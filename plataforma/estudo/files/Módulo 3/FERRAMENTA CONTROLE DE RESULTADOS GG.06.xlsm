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ivyroom_com_br/Documents/Ivy Room/9. SISTEMA DE GESTÃO/3. GER. ROTINA/1. GESTÃO GENERALISTA/RECÉM-FORMADOS/MÓDULO 3/"/>
    </mc:Choice>
  </mc:AlternateContent>
  <xr:revisionPtr revIDLastSave="12" documentId="13_ncr:1_{868EEC78-615D-4A41-8796-F810AAD2783D}" xr6:coauthVersionLast="45" xr6:coauthVersionMax="45" xr10:uidLastSave="{A4B51F80-BB32-4E25-A629-7C09AFDE3FEC}"/>
  <bookViews>
    <workbookView xWindow="-108" yWindow="-108" windowWidth="23256" windowHeight="12576" xr2:uid="{00000000-000D-0000-FFFF-FFFF00000000}"/>
  </bookViews>
  <sheets>
    <sheet name="Controle e Captura" sheetId="6" r:id="rId1"/>
    <sheet name="Auxiliar" sheetId="7" r:id="rId2"/>
  </sheets>
  <definedNames>
    <definedName name="_xlnm._FilterDatabase" localSheetId="0" hidden="1">'Controle e Captura'!$A$1:$A$12</definedName>
    <definedName name="Semanas">OFFSET(Auxiliar!$AB$3,0,0,ROWS(Auxiliar!$AB:$AB)-COUNTBLANK(Auxiliar!$AB:$AB)-1)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G2" i="7" l="1"/>
  <c r="D6" i="7" l="1"/>
  <c r="D4" i="7"/>
  <c r="BD3" i="7"/>
  <c r="BD2" i="7"/>
  <c r="Z2" i="6" l="1"/>
  <c r="AS4" i="7" l="1"/>
  <c r="AS5" i="7" s="1"/>
  <c r="AS6" i="7" s="1"/>
  <c r="AS7" i="7" s="1"/>
  <c r="AS8" i="7" s="1"/>
  <c r="AS9" i="7" s="1"/>
  <c r="AS10" i="7" s="1"/>
  <c r="AS11" i="7" s="1"/>
  <c r="AS12" i="7" s="1"/>
  <c r="AS13" i="7" s="1"/>
  <c r="AS14" i="7" s="1"/>
  <c r="AS15" i="7" s="1"/>
  <c r="AS16" i="7" s="1"/>
  <c r="AS17" i="7" s="1"/>
  <c r="AS18" i="7" s="1"/>
  <c r="AS19" i="7" s="1"/>
  <c r="AS20" i="7" s="1"/>
  <c r="AS21" i="7" s="1"/>
  <c r="AS22" i="7" s="1"/>
  <c r="AS23" i="7" s="1"/>
  <c r="AS24" i="7" s="1"/>
  <c r="AS25" i="7" s="1"/>
  <c r="AS26" i="7" s="1"/>
  <c r="AS27" i="7" s="1"/>
  <c r="AS28" i="7" s="1"/>
  <c r="AS29" i="7" s="1"/>
  <c r="AS30" i="7" s="1"/>
  <c r="AS31" i="7" s="1"/>
  <c r="AS32" i="7" s="1"/>
  <c r="AS33" i="7" s="1"/>
  <c r="AS34" i="7" s="1"/>
  <c r="AS35" i="7" s="1"/>
  <c r="AS36" i="7" s="1"/>
  <c r="AS37" i="7" s="1"/>
  <c r="AS38" i="7" s="1"/>
  <c r="AS39" i="7" s="1"/>
  <c r="AS40" i="7" s="1"/>
  <c r="AS41" i="7" s="1"/>
  <c r="AS42" i="7" s="1"/>
  <c r="AS43" i="7" s="1"/>
  <c r="AS44" i="7" s="1"/>
  <c r="AS45" i="7" s="1"/>
  <c r="AS46" i="7" s="1"/>
  <c r="AS47" i="7" s="1"/>
  <c r="AS48" i="7" s="1"/>
  <c r="AS49" i="7" s="1"/>
  <c r="AS50" i="7" s="1"/>
  <c r="AS51" i="7" s="1"/>
  <c r="AS52" i="7" s="1"/>
  <c r="AS53" i="7" s="1"/>
  <c r="AS54" i="7" s="1"/>
  <c r="AS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E35" i="6"/>
  <c r="AA35" i="6"/>
  <c r="AD3" i="7" l="1"/>
  <c r="AD4" i="7" l="1"/>
  <c r="Y3" i="7"/>
  <c r="AA10" i="6"/>
  <c r="AD5" i="7" l="1"/>
  <c r="Y4" i="7"/>
  <c r="AE9" i="6"/>
  <c r="AD6" i="7" l="1"/>
  <c r="Y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D7" i="7" l="1"/>
  <c r="Y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H3" i="7"/>
  <c r="AI3" i="7"/>
  <c r="AD8" i="7" l="1"/>
  <c r="Y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7" i="6"/>
  <c r="X10" i="6"/>
  <c r="X6" i="6"/>
  <c r="X5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13" i="6"/>
  <c r="X9" i="6"/>
  <c r="X151" i="6"/>
  <c r="X147" i="6"/>
  <c r="X143" i="6"/>
  <c r="X139" i="6"/>
  <c r="X135" i="6"/>
  <c r="X131" i="6"/>
  <c r="X127" i="6"/>
  <c r="X123" i="6"/>
  <c r="X119" i="6"/>
  <c r="X115" i="6"/>
  <c r="X111" i="6"/>
  <c r="X107" i="6"/>
  <c r="X103" i="6"/>
  <c r="X99" i="6"/>
  <c r="X95" i="6"/>
  <c r="X91" i="6"/>
  <c r="X87" i="6"/>
  <c r="X83" i="6"/>
  <c r="X79" i="6"/>
  <c r="X75" i="6"/>
  <c r="X71" i="6"/>
  <c r="X67" i="6"/>
  <c r="X63" i="6"/>
  <c r="X59" i="6"/>
  <c r="X55" i="6"/>
  <c r="X51" i="6"/>
  <c r="X47" i="6"/>
  <c r="X43" i="6"/>
  <c r="X39" i="6"/>
  <c r="X35" i="6"/>
  <c r="X31" i="6"/>
  <c r="X27" i="6"/>
  <c r="X23" i="6"/>
  <c r="X19" i="6"/>
  <c r="X12" i="6"/>
  <c r="X8" i="6"/>
  <c r="X150" i="6"/>
  <c r="X146" i="6"/>
  <c r="X142" i="6"/>
  <c r="X138" i="6"/>
  <c r="X134" i="6"/>
  <c r="X130" i="6"/>
  <c r="X126" i="6"/>
  <c r="X122" i="6"/>
  <c r="X118" i="6"/>
  <c r="X114" i="6"/>
  <c r="X110" i="6"/>
  <c r="X106" i="6"/>
  <c r="X102" i="6"/>
  <c r="X98" i="6"/>
  <c r="X94" i="6"/>
  <c r="X90" i="6"/>
  <c r="X86" i="6"/>
  <c r="X82" i="6"/>
  <c r="X78" i="6"/>
  <c r="X74" i="6"/>
  <c r="X70" i="6"/>
  <c r="X66" i="6"/>
  <c r="X62" i="6"/>
  <c r="X58" i="6"/>
  <c r="X54" i="6"/>
  <c r="X50" i="6"/>
  <c r="X46" i="6"/>
  <c r="X42" i="6"/>
  <c r="X38" i="6"/>
  <c r="X34" i="6"/>
  <c r="X30" i="6"/>
  <c r="X26" i="6"/>
  <c r="X22" i="6"/>
  <c r="X18" i="6"/>
  <c r="X11" i="6"/>
  <c r="X7" i="6"/>
  <c r="X16" i="6"/>
  <c r="X14" i="6"/>
  <c r="X15" i="6"/>
  <c r="Z3" i="7"/>
  <c r="AD9" i="7"/>
  <c r="Y8" i="7"/>
  <c r="S5" i="7"/>
  <c r="S6" i="7" s="1"/>
  <c r="S7" i="7" s="1"/>
  <c r="S8" i="7" s="1"/>
  <c r="S9" i="7" s="1"/>
  <c r="S10" i="7" s="1"/>
  <c r="S11" i="7" s="1"/>
  <c r="S12" i="7" s="1"/>
  <c r="S13" i="7" s="1"/>
  <c r="S14" i="7" s="1"/>
  <c r="S15" i="7" s="1"/>
  <c r="S16" i="7" s="1"/>
  <c r="S17" i="7" s="1"/>
  <c r="S18" i="7" s="1"/>
  <c r="S19" i="7" s="1"/>
  <c r="S20" i="7" s="1"/>
  <c r="S21" i="7" s="1"/>
  <c r="S22" i="7" s="1"/>
  <c r="S23" i="7" s="1"/>
  <c r="S24" i="7" s="1"/>
  <c r="S25" i="7" s="1"/>
  <c r="S26" i="7" s="1"/>
  <c r="S27" i="7" s="1"/>
  <c r="S28" i="7" s="1"/>
  <c r="S29" i="7" s="1"/>
  <c r="S30" i="7" s="1"/>
  <c r="S31" i="7" s="1"/>
  <c r="S32" i="7" s="1"/>
  <c r="S33" i="7" s="1"/>
  <c r="S34" i="7" s="1"/>
  <c r="S35" i="7" s="1"/>
  <c r="S36" i="7" s="1"/>
  <c r="S37" i="7" s="1"/>
  <c r="S38" i="7" s="1"/>
  <c r="S39" i="7" s="1"/>
  <c r="S40" i="7" s="1"/>
  <c r="S41" i="7" s="1"/>
  <c r="S42" i="7" s="1"/>
  <c r="S43" i="7" s="1"/>
  <c r="S44" i="7" s="1"/>
  <c r="S45" i="7" s="1"/>
  <c r="S46" i="7" s="1"/>
  <c r="S47" i="7" s="1"/>
  <c r="S48" i="7" s="1"/>
  <c r="S49" i="7" s="1"/>
  <c r="S50" i="7" s="1"/>
  <c r="S51" i="7" s="1"/>
  <c r="S52" i="7" s="1"/>
  <c r="S53" i="7" s="1"/>
  <c r="S54" i="7" s="1"/>
  <c r="S55" i="7" s="1"/>
  <c r="S56" i="7" s="1"/>
  <c r="S57" i="7" s="1"/>
  <c r="S58" i="7" s="1"/>
  <c r="S59" i="7" s="1"/>
  <c r="S60" i="7" s="1"/>
  <c r="S61" i="7" s="1"/>
  <c r="S62" i="7" s="1"/>
  <c r="S63" i="7" s="1"/>
  <c r="S64" i="7" s="1"/>
  <c r="S65" i="7" s="1"/>
  <c r="S66" i="7" s="1"/>
  <c r="S67" i="7" s="1"/>
  <c r="S68" i="7" s="1"/>
  <c r="S69" i="7" s="1"/>
  <c r="S70" i="7" s="1"/>
  <c r="S71" i="7" s="1"/>
  <c r="S72" i="7" s="1"/>
  <c r="S73" i="7" s="1"/>
  <c r="S74" i="7" s="1"/>
  <c r="S75" i="7" s="1"/>
  <c r="S76" i="7" s="1"/>
  <c r="S77" i="7" s="1"/>
  <c r="S78" i="7" s="1"/>
  <c r="S79" i="7" s="1"/>
  <c r="S80" i="7" s="1"/>
  <c r="S81" i="7" s="1"/>
  <c r="S82" i="7" s="1"/>
  <c r="S83" i="7" s="1"/>
  <c r="S84" i="7" s="1"/>
  <c r="S85" i="7" s="1"/>
  <c r="S86" i="7" s="1"/>
  <c r="S87" i="7" s="1"/>
  <c r="S88" i="7" s="1"/>
  <c r="S89" i="7" s="1"/>
  <c r="S90" i="7" s="1"/>
  <c r="S91" i="7" s="1"/>
  <c r="S92" i="7" s="1"/>
  <c r="S93" i="7" s="1"/>
  <c r="S94" i="7" s="1"/>
  <c r="S95" i="7" s="1"/>
  <c r="S96" i="7" s="1"/>
  <c r="S97" i="7" s="1"/>
  <c r="S98" i="7" s="1"/>
  <c r="S99" i="7" s="1"/>
  <c r="S100" i="7" s="1"/>
  <c r="S101" i="7" s="1"/>
  <c r="S102" i="7" s="1"/>
  <c r="S103" i="7" s="1"/>
  <c r="S104" i="7" s="1"/>
  <c r="S105" i="7" s="1"/>
  <c r="S106" i="7" s="1"/>
  <c r="S107" i="7" s="1"/>
  <c r="S108" i="7" s="1"/>
  <c r="S109" i="7" s="1"/>
  <c r="S110" i="7" s="1"/>
  <c r="S111" i="7" s="1"/>
  <c r="S112" i="7" s="1"/>
  <c r="S113" i="7" s="1"/>
  <c r="S114" i="7" s="1"/>
  <c r="S115" i="7" s="1"/>
  <c r="S116" i="7" s="1"/>
  <c r="S117" i="7" s="1"/>
  <c r="S118" i="7" s="1"/>
  <c r="S119" i="7" s="1"/>
  <c r="S120" i="7" s="1"/>
  <c r="S121" i="7" s="1"/>
  <c r="S122" i="7" s="1"/>
  <c r="S123" i="7" s="1"/>
  <c r="S124" i="7" s="1"/>
  <c r="S125" i="7" s="1"/>
  <c r="S126" i="7" s="1"/>
  <c r="S127" i="7" s="1"/>
  <c r="S128" i="7" s="1"/>
  <c r="S129" i="7" s="1"/>
  <c r="S130" i="7" s="1"/>
  <c r="S131" i="7" s="1"/>
  <c r="S132" i="7" s="1"/>
  <c r="S133" i="7" s="1"/>
  <c r="S134" i="7" s="1"/>
  <c r="S135" i="7" s="1"/>
  <c r="S136" i="7" s="1"/>
  <c r="S137" i="7" s="1"/>
  <c r="S138" i="7" s="1"/>
  <c r="S139" i="7" s="1"/>
  <c r="S140" i="7" s="1"/>
  <c r="S141" i="7" s="1"/>
  <c r="S142" i="7" s="1"/>
  <c r="S143" i="7" s="1"/>
  <c r="S144" i="7" s="1"/>
  <c r="S145" i="7" s="1"/>
  <c r="S146" i="7" s="1"/>
  <c r="S147" i="7" s="1"/>
  <c r="S148" i="7" s="1"/>
  <c r="S149" i="7" s="1"/>
  <c r="S150" i="7" s="1"/>
  <c r="S151" i="7" s="1"/>
  <c r="S152" i="7" s="1"/>
  <c r="S153" i="7" s="1"/>
  <c r="S154" i="7" s="1"/>
  <c r="S155" i="7" s="1"/>
  <c r="S156" i="7" s="1"/>
  <c r="S157" i="7" s="1"/>
  <c r="S158" i="7" s="1"/>
  <c r="S159" i="7" s="1"/>
  <c r="S160" i="7" s="1"/>
  <c r="S161" i="7" s="1"/>
  <c r="S162" i="7" s="1"/>
  <c r="S163" i="7" s="1"/>
  <c r="S164" i="7" s="1"/>
  <c r="S165" i="7" s="1"/>
  <c r="S166" i="7" s="1"/>
  <c r="S167" i="7" s="1"/>
  <c r="S168" i="7" s="1"/>
  <c r="S169" i="7" s="1"/>
  <c r="S170" i="7" s="1"/>
  <c r="S171" i="7" s="1"/>
  <c r="S172" i="7" s="1"/>
  <c r="S173" i="7" s="1"/>
  <c r="S174" i="7" s="1"/>
  <c r="S175" i="7" s="1"/>
  <c r="S176" i="7" s="1"/>
  <c r="S177" i="7" s="1"/>
  <c r="S178" i="7" s="1"/>
  <c r="S179" i="7" s="1"/>
  <c r="S180" i="7" s="1"/>
  <c r="S181" i="7" s="1"/>
  <c r="S182" i="7" s="1"/>
  <c r="S183" i="7" s="1"/>
  <c r="S184" i="7" s="1"/>
  <c r="S185" i="7" s="1"/>
  <c r="S186" i="7" s="1"/>
  <c r="S187" i="7" s="1"/>
  <c r="S188" i="7" s="1"/>
  <c r="S189" i="7" s="1"/>
  <c r="S190" i="7" s="1"/>
  <c r="S191" i="7" s="1"/>
  <c r="S192" i="7" s="1"/>
  <c r="S193" i="7" s="1"/>
  <c r="S194" i="7" s="1"/>
  <c r="S195" i="7" s="1"/>
  <c r="S196" i="7" s="1"/>
  <c r="S197" i="7" s="1"/>
  <c r="S198" i="7" s="1"/>
  <c r="S199" i="7" s="1"/>
  <c r="S200" i="7" s="1"/>
  <c r="S201" i="7" s="1"/>
  <c r="S202" i="7" s="1"/>
  <c r="S203" i="7" s="1"/>
  <c r="S204" i="7" s="1"/>
  <c r="S205" i="7" s="1"/>
  <c r="S206" i="7" s="1"/>
  <c r="S207" i="7" s="1"/>
  <c r="S208" i="7" s="1"/>
  <c r="S209" i="7" s="1"/>
  <c r="S210" i="7" s="1"/>
  <c r="S211" i="7" s="1"/>
  <c r="S212" i="7" s="1"/>
  <c r="S213" i="7" s="1"/>
  <c r="S214" i="7" s="1"/>
  <c r="S215" i="7" s="1"/>
  <c r="S216" i="7" s="1"/>
  <c r="S217" i="7" s="1"/>
  <c r="S218" i="7" s="1"/>
  <c r="S219" i="7" s="1"/>
  <c r="S220" i="7" s="1"/>
  <c r="S221" i="7" s="1"/>
  <c r="S222" i="7" s="1"/>
  <c r="S223" i="7" s="1"/>
  <c r="S224" i="7" s="1"/>
  <c r="S225" i="7" s="1"/>
  <c r="S226" i="7" s="1"/>
  <c r="S227" i="7" s="1"/>
  <c r="S228" i="7" s="1"/>
  <c r="S229" i="7" s="1"/>
  <c r="S230" i="7" s="1"/>
  <c r="S231" i="7" s="1"/>
  <c r="S232" i="7" s="1"/>
  <c r="S233" i="7" s="1"/>
  <c r="S234" i="7" s="1"/>
  <c r="S235" i="7" s="1"/>
  <c r="S236" i="7" s="1"/>
  <c r="S237" i="7" s="1"/>
  <c r="S238" i="7" s="1"/>
  <c r="S239" i="7" s="1"/>
  <c r="S240" i="7" s="1"/>
  <c r="S241" i="7" s="1"/>
  <c r="S242" i="7" s="1"/>
  <c r="S243" i="7" s="1"/>
  <c r="S244" i="7" s="1"/>
  <c r="S245" i="7" s="1"/>
  <c r="S246" i="7" s="1"/>
  <c r="S247" i="7" s="1"/>
  <c r="S248" i="7" s="1"/>
  <c r="S249" i="7" s="1"/>
  <c r="S250" i="7" s="1"/>
  <c r="S251" i="7" s="1"/>
  <c r="S252" i="7" s="1"/>
  <c r="S253" i="7" s="1"/>
  <c r="S254" i="7" s="1"/>
  <c r="S255" i="7" s="1"/>
  <c r="S256" i="7" s="1"/>
  <c r="S257" i="7" s="1"/>
  <c r="S258" i="7" s="1"/>
  <c r="S259" i="7" s="1"/>
  <c r="S260" i="7" s="1"/>
  <c r="S261" i="7" s="1"/>
  <c r="S262" i="7" s="1"/>
  <c r="S263" i="7" s="1"/>
  <c r="S264" i="7" s="1"/>
  <c r="S265" i="7" s="1"/>
  <c r="S266" i="7" s="1"/>
  <c r="S267" i="7" s="1"/>
  <c r="S268" i="7" s="1"/>
  <c r="S269" i="7" s="1"/>
  <c r="S270" i="7" s="1"/>
  <c r="S271" i="7" s="1"/>
  <c r="S272" i="7" s="1"/>
  <c r="S273" i="7" s="1"/>
  <c r="S274" i="7" s="1"/>
  <c r="S275" i="7" s="1"/>
  <c r="S276" i="7" s="1"/>
  <c r="S277" i="7" s="1"/>
  <c r="S278" i="7" s="1"/>
  <c r="S279" i="7" s="1"/>
  <c r="S280" i="7" s="1"/>
  <c r="S281" i="7" s="1"/>
  <c r="S282" i="7" s="1"/>
  <c r="S283" i="7" s="1"/>
  <c r="S284" i="7" s="1"/>
  <c r="S285" i="7" s="1"/>
  <c r="S286" i="7" s="1"/>
  <c r="S287" i="7" s="1"/>
  <c r="S288" i="7" s="1"/>
  <c r="S289" i="7" s="1"/>
  <c r="S290" i="7" s="1"/>
  <c r="S291" i="7" s="1"/>
  <c r="S292" i="7" s="1"/>
  <c r="S293" i="7" s="1"/>
  <c r="S294" i="7" s="1"/>
  <c r="S295" i="7" s="1"/>
  <c r="S296" i="7" s="1"/>
  <c r="S297" i="7" s="1"/>
  <c r="S298" i="7" s="1"/>
  <c r="S299" i="7" s="1"/>
  <c r="S300" i="7" s="1"/>
  <c r="S301" i="7" s="1"/>
  <c r="S302" i="7" s="1"/>
  <c r="S303" i="7" s="1"/>
  <c r="S304" i="7" s="1"/>
  <c r="S305" i="7" s="1"/>
  <c r="S306" i="7" s="1"/>
  <c r="S307" i="7" s="1"/>
  <c r="S308" i="7" s="1"/>
  <c r="S309" i="7" s="1"/>
  <c r="S310" i="7" s="1"/>
  <c r="S311" i="7" s="1"/>
  <c r="S312" i="7" s="1"/>
  <c r="S313" i="7" s="1"/>
  <c r="S314" i="7" s="1"/>
  <c r="S315" i="7" s="1"/>
  <c r="S316" i="7" s="1"/>
  <c r="S317" i="7" s="1"/>
  <c r="S318" i="7" s="1"/>
  <c r="S319" i="7" s="1"/>
  <c r="S320" i="7" s="1"/>
  <c r="S321" i="7" s="1"/>
  <c r="S322" i="7" s="1"/>
  <c r="S323" i="7" s="1"/>
  <c r="S324" i="7" s="1"/>
  <c r="S325" i="7" s="1"/>
  <c r="S326" i="7" s="1"/>
  <c r="S327" i="7" s="1"/>
  <c r="S328" i="7" s="1"/>
  <c r="S329" i="7" s="1"/>
  <c r="S330" i="7" s="1"/>
  <c r="S331" i="7" s="1"/>
  <c r="S332" i="7" s="1"/>
  <c r="S333" i="7" s="1"/>
  <c r="S334" i="7" s="1"/>
  <c r="S335" i="7" s="1"/>
  <c r="S336" i="7" s="1"/>
  <c r="S337" i="7" s="1"/>
  <c r="S338" i="7" s="1"/>
  <c r="S339" i="7" s="1"/>
  <c r="S340" i="7" s="1"/>
  <c r="S341" i="7" s="1"/>
  <c r="S342" i="7" s="1"/>
  <c r="S343" i="7" s="1"/>
  <c r="S344" i="7" s="1"/>
  <c r="S345" i="7" s="1"/>
  <c r="S346" i="7" s="1"/>
  <c r="S347" i="7" s="1"/>
  <c r="S348" i="7" s="1"/>
  <c r="S349" i="7" s="1"/>
  <c r="S350" i="7" s="1"/>
  <c r="S351" i="7" s="1"/>
  <c r="S352" i="7" s="1"/>
  <c r="S353" i="7" s="1"/>
  <c r="S354" i="7" s="1"/>
  <c r="S355" i="7" s="1"/>
  <c r="S356" i="7" s="1"/>
  <c r="S357" i="7" s="1"/>
  <c r="S358" i="7" s="1"/>
  <c r="S359" i="7" s="1"/>
  <c r="S360" i="7" s="1"/>
  <c r="S361" i="7" s="1"/>
  <c r="S362" i="7" s="1"/>
  <c r="S363" i="7" s="1"/>
  <c r="S364" i="7" s="1"/>
  <c r="S365" i="7" s="1"/>
  <c r="S366" i="7" s="1"/>
  <c r="S367" i="7" s="1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F6" i="6" l="1"/>
  <c r="AL4" i="7" s="1"/>
  <c r="AM4" i="7" s="1"/>
  <c r="AT51" i="7"/>
  <c r="AT35" i="7"/>
  <c r="AT19" i="7"/>
  <c r="AT50" i="7"/>
  <c r="AT34" i="7"/>
  <c r="AT10" i="7"/>
  <c r="AT5" i="7"/>
  <c r="AT8" i="7"/>
  <c r="AT33" i="7"/>
  <c r="AT40" i="7"/>
  <c r="AT37" i="7"/>
  <c r="AT26" i="7"/>
  <c r="AT16" i="7"/>
  <c r="AT12" i="7"/>
  <c r="AT47" i="7"/>
  <c r="AT31" i="7"/>
  <c r="AT15" i="7"/>
  <c r="AT46" i="7"/>
  <c r="AT30" i="7"/>
  <c r="AT6" i="7"/>
  <c r="AT48" i="7"/>
  <c r="AT54" i="7"/>
  <c r="AT21" i="7"/>
  <c r="AT28" i="7"/>
  <c r="AT49" i="7"/>
  <c r="AT25" i="7"/>
  <c r="AT24" i="7"/>
  <c r="AT27" i="7"/>
  <c r="AT42" i="7"/>
  <c r="AT32" i="7"/>
  <c r="AT9" i="7"/>
  <c r="AT13" i="7"/>
  <c r="AT43" i="7"/>
  <c r="AT55" i="7"/>
  <c r="AT39" i="7"/>
  <c r="AT23" i="7"/>
  <c r="AT7" i="7"/>
  <c r="AT38" i="7"/>
  <c r="AT18" i="7"/>
  <c r="AT17" i="7"/>
  <c r="AT20" i="7"/>
  <c r="AT14" i="7"/>
  <c r="AT52" i="7"/>
  <c r="AT4" i="7"/>
  <c r="AT41" i="7"/>
  <c r="AT44" i="7"/>
  <c r="AT3" i="7"/>
  <c r="AU3" i="7" s="1"/>
  <c r="AT53" i="7"/>
  <c r="AT36" i="7"/>
  <c r="AT11" i="7"/>
  <c r="AT29" i="7"/>
  <c r="AT22" i="7"/>
  <c r="AT45" i="7"/>
  <c r="AD10" i="7"/>
  <c r="Y9" i="7"/>
  <c r="Z6" i="7"/>
  <c r="Z4" i="7"/>
  <c r="Z8" i="7"/>
  <c r="Z10" i="7"/>
  <c r="AL3" i="7"/>
  <c r="Z5" i="7"/>
  <c r="Z7" i="7"/>
  <c r="Z9" i="7"/>
  <c r="E10" i="6"/>
  <c r="F7" i="6"/>
  <c r="AL5" i="7" s="1"/>
  <c r="AM5" i="7" s="1"/>
  <c r="AC9" i="7" l="1"/>
  <c r="AC10" i="7"/>
  <c r="AU4" i="7"/>
  <c r="AU5" i="7" s="1"/>
  <c r="AU6" i="7" s="1"/>
  <c r="AU7" i="7" s="1"/>
  <c r="AU8" i="7" s="1"/>
  <c r="AU9" i="7" s="1"/>
  <c r="AU10" i="7" s="1"/>
  <c r="AU11" i="7" s="1"/>
  <c r="AU12" i="7" s="1"/>
  <c r="AU13" i="7" s="1"/>
  <c r="AU14" i="7" s="1"/>
  <c r="AU15" i="7" s="1"/>
  <c r="AU16" i="7" s="1"/>
  <c r="AU17" i="7" s="1"/>
  <c r="AU18" i="7" s="1"/>
  <c r="AU19" i="7" s="1"/>
  <c r="AU20" i="7" s="1"/>
  <c r="AU21" i="7" s="1"/>
  <c r="AU22" i="7" s="1"/>
  <c r="AC5" i="7"/>
  <c r="AC7" i="7"/>
  <c r="AA9" i="7"/>
  <c r="AB9" i="7" s="1"/>
  <c r="AD11" i="7"/>
  <c r="Y10" i="7"/>
  <c r="AA3" i="7"/>
  <c r="AB3" i="7" s="1"/>
  <c r="AC4" i="7"/>
  <c r="AA7" i="7"/>
  <c r="AB7" i="7" s="1"/>
  <c r="AC8" i="7"/>
  <c r="AA5" i="7"/>
  <c r="AB5" i="7" s="1"/>
  <c r="AC6" i="7"/>
  <c r="AM3" i="7"/>
  <c r="AN3" i="7" s="1"/>
  <c r="AN4" i="7" s="1"/>
  <c r="AN5" i="7" s="1"/>
  <c r="AC3" i="7"/>
  <c r="AA8" i="7"/>
  <c r="AB8" i="7" s="1"/>
  <c r="AA6" i="7"/>
  <c r="AB6" i="7" s="1"/>
  <c r="AA4" i="7"/>
  <c r="AB4" i="7" s="1"/>
  <c r="E11" i="6"/>
  <c r="F8" i="6"/>
  <c r="AL6" i="7" s="1"/>
  <c r="AM6" i="7" s="1"/>
  <c r="AU23" i="7" l="1"/>
  <c r="AD12" i="7"/>
  <c r="Y11" i="7"/>
  <c r="Z11" i="7"/>
  <c r="AN6" i="7"/>
  <c r="E12" i="6"/>
  <c r="F9" i="6"/>
  <c r="AU24" i="7" l="1"/>
  <c r="AC11" i="7"/>
  <c r="AA10" i="7"/>
  <c r="AB10" i="7" s="1"/>
  <c r="AD13" i="7"/>
  <c r="Y12" i="7"/>
  <c r="Z12" i="7"/>
  <c r="AL7" i="7"/>
  <c r="E13" i="6"/>
  <c r="F10" i="6"/>
  <c r="AL8" i="7" s="1"/>
  <c r="AU25" i="7" l="1"/>
  <c r="AD14" i="7"/>
  <c r="Y13" i="7"/>
  <c r="Z13" i="7"/>
  <c r="AA11" i="7"/>
  <c r="AB11" i="7" s="1"/>
  <c r="AC12" i="7"/>
  <c r="AM7" i="7"/>
  <c r="AN7" i="7" s="1"/>
  <c r="AM8" i="7"/>
  <c r="E14" i="6"/>
  <c r="F11" i="6"/>
  <c r="AL9" i="7" s="1"/>
  <c r="AU26" i="7" l="1"/>
  <c r="AC13" i="7"/>
  <c r="AA12" i="7"/>
  <c r="AB12" i="7" s="1"/>
  <c r="AD15" i="7"/>
  <c r="Y14" i="7"/>
  <c r="Z14" i="7"/>
  <c r="AN8" i="7"/>
  <c r="AM9" i="7"/>
  <c r="E15" i="6"/>
  <c r="F12" i="6"/>
  <c r="AL10" i="7" s="1"/>
  <c r="AU27" i="7" l="1"/>
  <c r="AA13" i="7"/>
  <c r="AB13" i="7" s="1"/>
  <c r="AC14" i="7"/>
  <c r="AN9" i="7"/>
  <c r="AD16" i="7"/>
  <c r="Y15" i="7"/>
  <c r="Z15" i="7"/>
  <c r="AM10" i="7"/>
  <c r="AN10" i="7" s="1"/>
  <c r="E16" i="6"/>
  <c r="F13" i="6"/>
  <c r="AL11" i="7" s="1"/>
  <c r="AU28" i="7" l="1"/>
  <c r="AD17" i="7"/>
  <c r="Y16" i="7"/>
  <c r="Z16" i="7"/>
  <c r="AA14" i="7"/>
  <c r="AB14" i="7" s="1"/>
  <c r="AC15" i="7"/>
  <c r="AM11" i="7"/>
  <c r="AN11" i="7" s="1"/>
  <c r="E17" i="6"/>
  <c r="F14" i="6"/>
  <c r="AL12" i="7" s="1"/>
  <c r="AU29" i="7" l="1"/>
  <c r="AC16" i="7"/>
  <c r="AA15" i="7"/>
  <c r="AB15" i="7" s="1"/>
  <c r="AD18" i="7"/>
  <c r="Y17" i="7"/>
  <c r="Z17" i="7"/>
  <c r="AM12" i="7"/>
  <c r="AN12" i="7" s="1"/>
  <c r="E18" i="6"/>
  <c r="F16" i="6" s="1"/>
  <c r="F15" i="6"/>
  <c r="AL13" i="7" s="1"/>
  <c r="AU30" i="7" l="1"/>
  <c r="AU31" i="7" s="1"/>
  <c r="AU32" i="7" s="1"/>
  <c r="AU33" i="7" s="1"/>
  <c r="AU34" i="7" s="1"/>
  <c r="AU35" i="7" s="1"/>
  <c r="AU36" i="7" s="1"/>
  <c r="AU37" i="7" s="1"/>
  <c r="AU38" i="7" s="1"/>
  <c r="AU39" i="7" s="1"/>
  <c r="AU40" i="7" s="1"/>
  <c r="AU41" i="7" s="1"/>
  <c r="AU42" i="7" s="1"/>
  <c r="AU43" i="7" s="1"/>
  <c r="AU44" i="7" s="1"/>
  <c r="AU45" i="7" s="1"/>
  <c r="AU46" i="7" s="1"/>
  <c r="AU47" i="7" s="1"/>
  <c r="AU48" i="7" s="1"/>
  <c r="AU49" i="7" s="1"/>
  <c r="AU50" i="7" s="1"/>
  <c r="AU51" i="7" s="1"/>
  <c r="AU52" i="7" s="1"/>
  <c r="AU53" i="7" s="1"/>
  <c r="AU54" i="7" s="1"/>
  <c r="AU55" i="7" s="1"/>
  <c r="AA16" i="7"/>
  <c r="AB16" i="7" s="1"/>
  <c r="AC17" i="7"/>
  <c r="AD19" i="7"/>
  <c r="Y18" i="7"/>
  <c r="Z18" i="7"/>
  <c r="AM13" i="7"/>
  <c r="AN13" i="7" s="1"/>
  <c r="AL14" i="7"/>
  <c r="AA17" i="7" l="1"/>
  <c r="AB17" i="7" s="1"/>
  <c r="AC18" i="7"/>
  <c r="AD20" i="7"/>
  <c r="Y19" i="7"/>
  <c r="Z19" i="7"/>
  <c r="AM14" i="7"/>
  <c r="AN14" i="7" s="1"/>
  <c r="AD21" i="7" l="1"/>
  <c r="Y20" i="7"/>
  <c r="Z20" i="7"/>
  <c r="AA18" i="7"/>
  <c r="AB18" i="7" s="1"/>
  <c r="AC19" i="7"/>
  <c r="AA19" i="7" l="1"/>
  <c r="AB19" i="7" s="1"/>
  <c r="AC20" i="7"/>
  <c r="AD22" i="7"/>
  <c r="Y21" i="7"/>
  <c r="Z21" i="7"/>
  <c r="AD23" i="7" l="1"/>
  <c r="Y22" i="7"/>
  <c r="Z22" i="7"/>
  <c r="AA20" i="7"/>
  <c r="AB20" i="7" s="1"/>
  <c r="AC21" i="7"/>
  <c r="AA21" i="7" l="1"/>
  <c r="AB21" i="7" s="1"/>
  <c r="AC22" i="7"/>
  <c r="AD24" i="7"/>
  <c r="Y23" i="7"/>
  <c r="Z23" i="7"/>
  <c r="AD25" i="7" l="1"/>
  <c r="Y24" i="7"/>
  <c r="Z24" i="7"/>
  <c r="AA22" i="7"/>
  <c r="AB22" i="7" s="1"/>
  <c r="AC23" i="7"/>
  <c r="AD26" i="7" l="1"/>
  <c r="Y25" i="7"/>
  <c r="Z25" i="7"/>
  <c r="AA23" i="7"/>
  <c r="AB23" i="7" s="1"/>
  <c r="AC24" i="7"/>
  <c r="AA24" i="7" l="1"/>
  <c r="AB24" i="7" s="1"/>
  <c r="AC25" i="7"/>
  <c r="AD27" i="7"/>
  <c r="Y26" i="7"/>
  <c r="Z26" i="7"/>
  <c r="AA25" i="7" l="1"/>
  <c r="AB25" i="7" s="1"/>
  <c r="AC26" i="7"/>
  <c r="AD28" i="7"/>
  <c r="Y27" i="7"/>
  <c r="Z27" i="7"/>
  <c r="AD29" i="7" l="1"/>
  <c r="Y28" i="7"/>
  <c r="Z28" i="7"/>
  <c r="AA26" i="7"/>
  <c r="AB26" i="7" s="1"/>
  <c r="AC27" i="7"/>
  <c r="AD30" i="7" l="1"/>
  <c r="Y29" i="7"/>
  <c r="Z29" i="7"/>
  <c r="AA27" i="7"/>
  <c r="AB27" i="7" s="1"/>
  <c r="AC28" i="7"/>
  <c r="AA28" i="7" l="1"/>
  <c r="AB28" i="7" s="1"/>
  <c r="AC29" i="7"/>
  <c r="AD31" i="7"/>
  <c r="Y30" i="7"/>
  <c r="Z30" i="7"/>
  <c r="AD32" i="7" l="1"/>
  <c r="Y31" i="7"/>
  <c r="Z31" i="7"/>
  <c r="AA29" i="7"/>
  <c r="AB29" i="7" s="1"/>
  <c r="AC30" i="7"/>
  <c r="AA30" i="7" l="1"/>
  <c r="AB30" i="7" s="1"/>
  <c r="AC31" i="7"/>
  <c r="AD33" i="7"/>
  <c r="Y32" i="7"/>
  <c r="Z32" i="7"/>
  <c r="AD34" i="7" l="1"/>
  <c r="Y33" i="7"/>
  <c r="Z33" i="7"/>
  <c r="AA31" i="7"/>
  <c r="AB31" i="7" s="1"/>
  <c r="AC32" i="7"/>
  <c r="AA32" i="7" l="1"/>
  <c r="AB32" i="7" s="1"/>
  <c r="AC33" i="7"/>
  <c r="AD35" i="7"/>
  <c r="Y34" i="7"/>
  <c r="Z34" i="7"/>
  <c r="AA33" i="7" l="1"/>
  <c r="AB33" i="7" s="1"/>
  <c r="AC34" i="7"/>
  <c r="AD36" i="7"/>
  <c r="Y35" i="7"/>
  <c r="Z35" i="7"/>
  <c r="AA34" i="7" l="1"/>
  <c r="AB34" i="7" s="1"/>
  <c r="AC35" i="7"/>
  <c r="AD37" i="7"/>
  <c r="Y36" i="7"/>
  <c r="Z36" i="7"/>
  <c r="AD38" i="7" l="1"/>
  <c r="Y37" i="7"/>
  <c r="Z37" i="7"/>
  <c r="AA35" i="7"/>
  <c r="AB35" i="7" s="1"/>
  <c r="AC36" i="7"/>
  <c r="AA36" i="7" l="1"/>
  <c r="AB36" i="7" s="1"/>
  <c r="AC37" i="7"/>
  <c r="AD39" i="7"/>
  <c r="Y38" i="7"/>
  <c r="Z38" i="7"/>
  <c r="AA37" i="7" l="1"/>
  <c r="AB37" i="7" s="1"/>
  <c r="AC38" i="7"/>
  <c r="AD40" i="7"/>
  <c r="Y39" i="7"/>
  <c r="Z39" i="7"/>
  <c r="AA38" i="7" l="1"/>
  <c r="AB38" i="7" s="1"/>
  <c r="AC39" i="7"/>
  <c r="AD41" i="7"/>
  <c r="Y40" i="7"/>
  <c r="Z40" i="7"/>
  <c r="AA39" i="7" l="1"/>
  <c r="AB39" i="7" s="1"/>
  <c r="AC40" i="7"/>
  <c r="AD42" i="7"/>
  <c r="Y41" i="7"/>
  <c r="Z41" i="7"/>
  <c r="AA40" i="7" l="1"/>
  <c r="AB40" i="7" s="1"/>
  <c r="AC41" i="7"/>
  <c r="AD43" i="7"/>
  <c r="Y42" i="7"/>
  <c r="Z42" i="7"/>
  <c r="AA41" i="7" l="1"/>
  <c r="AB41" i="7" s="1"/>
  <c r="AC42" i="7"/>
  <c r="AD44" i="7"/>
  <c r="Y43" i="7"/>
  <c r="Z43" i="7"/>
  <c r="AA42" i="7" l="1"/>
  <c r="AB42" i="7" s="1"/>
  <c r="AC43" i="7"/>
  <c r="AD45" i="7"/>
  <c r="Y44" i="7"/>
  <c r="Z44" i="7"/>
  <c r="AA43" i="7" l="1"/>
  <c r="AB43" i="7" s="1"/>
  <c r="AC44" i="7"/>
  <c r="AD46" i="7"/>
  <c r="Y45" i="7"/>
  <c r="Z45" i="7"/>
  <c r="AD47" i="7" l="1"/>
  <c r="Y46" i="7"/>
  <c r="Z46" i="7"/>
  <c r="AA44" i="7"/>
  <c r="AB44" i="7" s="1"/>
  <c r="AC45" i="7"/>
  <c r="AA45" i="7" l="1"/>
  <c r="AB45" i="7" s="1"/>
  <c r="AC46" i="7"/>
  <c r="AD48" i="7"/>
  <c r="Y47" i="7"/>
  <c r="Z47" i="7"/>
  <c r="AD49" i="7" l="1"/>
  <c r="Y48" i="7"/>
  <c r="Z48" i="7"/>
  <c r="AA46" i="7"/>
  <c r="AB46" i="7" s="1"/>
  <c r="AC47" i="7"/>
  <c r="AA47" i="7" l="1"/>
  <c r="AB47" i="7" s="1"/>
  <c r="AC48" i="7"/>
  <c r="AD50" i="7"/>
  <c r="Y49" i="7"/>
  <c r="Z49" i="7"/>
  <c r="AA48" i="7" l="1"/>
  <c r="AB48" i="7" s="1"/>
  <c r="AC49" i="7"/>
  <c r="AD51" i="7"/>
  <c r="Y50" i="7"/>
  <c r="Z50" i="7"/>
  <c r="AD52" i="7" l="1"/>
  <c r="Y51" i="7"/>
  <c r="Z51" i="7"/>
  <c r="AA49" i="7"/>
  <c r="AB49" i="7" s="1"/>
  <c r="AC50" i="7"/>
  <c r="AA50" i="7" l="1"/>
  <c r="AB50" i="7" s="1"/>
  <c r="AC51" i="7"/>
  <c r="AD53" i="7"/>
  <c r="Y52" i="7"/>
  <c r="Z52" i="7"/>
  <c r="AD54" i="7" l="1"/>
  <c r="Y53" i="7"/>
  <c r="Z53" i="7"/>
  <c r="AA51" i="7"/>
  <c r="AB51" i="7" s="1"/>
  <c r="AC52" i="7"/>
  <c r="AA52" i="7" l="1"/>
  <c r="AB52" i="7" s="1"/>
  <c r="AC53" i="7"/>
  <c r="AD55" i="7"/>
  <c r="Y54" i="7"/>
  <c r="Z54" i="7"/>
  <c r="AA53" i="7" l="1"/>
  <c r="AB53" i="7" s="1"/>
  <c r="AC54" i="7"/>
  <c r="Y55" i="7"/>
  <c r="Z55" i="7"/>
  <c r="AA54" i="7" l="1"/>
  <c r="AB54" i="7" s="1"/>
  <c r="AC55" i="7"/>
  <c r="AA55" i="7" l="1"/>
  <c r="AB55" i="7" s="1"/>
  <c r="AF3" i="7" l="1"/>
  <c r="AF6" i="7"/>
  <c r="M12" i="6" s="1"/>
  <c r="AW10" i="7" s="1"/>
  <c r="AX10" i="7" s="1"/>
  <c r="AQ2" i="7" l="1"/>
  <c r="AQ3" i="7"/>
  <c r="AQ4" i="7" s="1"/>
  <c r="L12" i="6"/>
  <c r="M11" i="6"/>
  <c r="M10" i="6" s="1"/>
  <c r="L10" i="6" l="1"/>
  <c r="AW8" i="7"/>
  <c r="AX8" i="7" s="1"/>
  <c r="L11" i="6"/>
  <c r="AW9" i="7"/>
  <c r="AX9" i="7" s="1"/>
  <c r="M9" i="6"/>
  <c r="AQ6" i="7"/>
  <c r="AQ5" i="7"/>
  <c r="Z6" i="6" s="1"/>
  <c r="L9" i="6" l="1"/>
  <c r="AW7" i="7"/>
  <c r="AX7" i="7" s="1"/>
  <c r="M8" i="6"/>
  <c r="L8" i="6" l="1"/>
  <c r="AW6" i="7"/>
  <c r="AX6" i="7" s="1"/>
  <c r="M7" i="6"/>
  <c r="L7" i="6" l="1"/>
  <c r="AW5" i="7"/>
  <c r="AX5" i="7" s="1"/>
  <c r="M6" i="6"/>
  <c r="L6" i="6" l="1"/>
  <c r="AW4" i="7"/>
  <c r="AX4" i="7" s="1"/>
  <c r="M5" i="6"/>
  <c r="AW3" i="7" l="1"/>
  <c r="AX3" i="7" s="1"/>
  <c r="BA3" i="7"/>
  <c r="BA2" i="7"/>
  <c r="L5" i="6"/>
  <c r="BA4" i="7" l="1"/>
  <c r="BA6" i="7" l="1"/>
  <c r="BA5" i="7"/>
  <c r="Z31" i="6" l="1"/>
</calcChain>
</file>

<file path=xl/sharedStrings.xml><?xml version="1.0" encoding="utf-8"?>
<sst xmlns="http://schemas.openxmlformats.org/spreadsheetml/2006/main" count="199" uniqueCount="130">
  <si>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</si>
  <si>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</si>
  <si>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</si>
  <si>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</si>
  <si>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</si>
  <si>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</si>
  <si>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</si>
  <si>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</si>
  <si>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</si>
  <si>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</si>
  <si>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</si>
  <si>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</si>
  <si>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</si>
  <si>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</si>
  <si>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</si>
  <si>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</si>
  <si>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</si>
  <si>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</si>
  <si>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</si>
  <si>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</si>
  <si>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</si>
  <si>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</si>
  <si>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</si>
  <si>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</si>
  <si>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</si>
  <si>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</si>
  <si>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</si>
  <si>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</si>
  <si>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</si>
  <si>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</si>
  <si>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</si>
  <si>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</si>
  <si>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</si>
  <si>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</si>
  <si>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</si>
  <si>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</si>
  <si>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</si>
  <si>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</si>
  <si>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</si>
  <si>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</si>
  <si>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</si>
  <si>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</si>
  <si>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</si>
  <si>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</si>
  <si>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</si>
  <si>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</si>
  <si>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</si>
  <si>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</si>
  <si>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</si>
  <si>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</si>
  <si>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</si>
  <si>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</si>
  <si>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</si>
  <si>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</si>
  <si>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</si>
  <si>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</si>
  <si>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</si>
  <si>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</si>
  <si>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</si>
  <si>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</si>
  <si>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</si>
  <si>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</si>
  <si>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</si>
  <si>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</si>
  <si>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</si>
  <si>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</si>
  <si>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</si>
  <si>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</si>
  <si>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</si>
  <si>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E-MAILS (RECIPIENTES):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</si>
  <si>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</si>
  <si>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</si>
  <si>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</si>
  <si>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</si>
  <si>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</si>
  <si>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</si>
  <si>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</si>
  <si>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</si>
  <si>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</si>
  <si>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</si>
  <si>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</si>
  <si>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</si>
  <si>
    <t>Prospecção de Vendas</t>
  </si>
  <si>
    <t>Núm. Prospecções / HC Vendas</t>
  </si>
  <si>
    <t>Semana 38: de 13/set/2020 a 19/set/2020</t>
  </si>
  <si>
    <t>joãopedro@gatiza.com.br</t>
  </si>
  <si>
    <t>mariadasilva@gatiza.com.br</t>
  </si>
  <si>
    <t>luisaugusto@gatiza.com.br</t>
  </si>
  <si>
    <t>gestorcomercial@gatiza.com.br</t>
  </si>
  <si>
    <t>Estruturar POPs para as tarefas de "Cancelamento e Call-out".</t>
  </si>
  <si>
    <t>João Pedro</t>
  </si>
  <si>
    <t>Obter aprovação do budget de treinamento dos vendedores da região 14.</t>
  </si>
  <si>
    <t>Maria da Silva</t>
  </si>
  <si>
    <t>Contactar pessoalmente os investidores da região 09.</t>
  </si>
  <si>
    <t>Luís Augusto</t>
  </si>
  <si>
    <t>Estruturar Fluxograma da Operação "Revenda Inativos".</t>
  </si>
  <si>
    <t>Estruturar Fluxograma da Operação "Revenda Ativa".</t>
  </si>
  <si>
    <t>Contactar pessoalmente os investidores da região 05.</t>
  </si>
  <si>
    <t>Estruturar POPs para as tarefas de "Contato com Potenciais Clientes".</t>
  </si>
  <si>
    <t>Contactar pessoalmente os investidores da região 14.</t>
  </si>
  <si>
    <t>Estruturar Fluxograma da Operação "Cancelamento e Call-out".</t>
  </si>
  <si>
    <t>Contactar pessoalmente os investidores da região 06.</t>
  </si>
  <si>
    <t>Obter aprovação do budget de treinamento dos vendedores da região 09.</t>
  </si>
  <si>
    <t>Obter aprovação do budget de treinamento dos vendedores da região 10.</t>
  </si>
  <si>
    <t>Contactar pessoalmente os investidores da região 11.</t>
  </si>
  <si>
    <t>Estruturar POPs para as tarefas de "Revenda Ativa".</t>
  </si>
  <si>
    <t>Estruturar Fluxograma da Operação "Contato com Potenciais Clientes".</t>
  </si>
  <si>
    <t>Obter aprovação do budget de treinamento dos vendedores da região 07.</t>
  </si>
  <si>
    <t>Obter aprovação do budget de treinamento dos vendedores da região 06.</t>
  </si>
  <si>
    <t>Obter aprovação do budget de treinamento dos vendedores da região 02.</t>
  </si>
  <si>
    <t>Obter aprovação do budget de treinamento dos vendedores da região 08.</t>
  </si>
  <si>
    <t>Obter aprovação do budget de treinamento dos vendedores da região 01.</t>
  </si>
  <si>
    <t>Obter aprovação do budget de treinamento dos vendedores da região 03.</t>
  </si>
  <si>
    <t>Contactar pessoalmente os investidores da região 04.</t>
  </si>
  <si>
    <t>Contactar pessoalmente os investidores da região 07.</t>
  </si>
  <si>
    <t>Contactar pessoalmente os investidores da região 13.</t>
  </si>
  <si>
    <t>Obter aprovação do budget de treinamento dos vendedores da região 16.</t>
  </si>
  <si>
    <t>Obter aprovação do budget de treinamento dos vendedores da região 12.</t>
  </si>
  <si>
    <t>Estruturar POPs para as tarefas de "Revenda Inativos".</t>
  </si>
  <si>
    <t>Contactar pessoalmente os investidores da região 08.</t>
  </si>
  <si>
    <t>Contactar pessoalmente os investidores da região 10.</t>
  </si>
  <si>
    <t>Obter aprovação do budget de treinamento dos vendedores da região 13.</t>
  </si>
  <si>
    <t>Contactar pessoalmente os investidores da região 01.</t>
  </si>
  <si>
    <t>Obter aprovação do budget de treinamento dos vendedores da região 04.</t>
  </si>
  <si>
    <t>Obter aprovação do budget de treinamento dos vendedores da região 15.</t>
  </si>
  <si>
    <t>Contactar pessoalmente os investidores da região 12.</t>
  </si>
  <si>
    <t>Obter aprovação do budget de treinamento dos vendedores da região 05.</t>
  </si>
  <si>
    <t>Contactar pessoalmente os investidores da região 03.</t>
  </si>
  <si>
    <t>Obter aprovação do budget de treinamento dos vendedores da região 11.</t>
  </si>
  <si>
    <t>Contactar pessoalmente os investidores da região 02.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</si>
</sst>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mmm\-yy;@"/>
    <numFmt numFmtId="165" formatCode="[$-416]mmmyy"/>
    <numFmt numFmtId="166" formatCode="[$-416]dd/mmm/yyyy"/>
    <numFmt numFmtId="167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A41034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 applyBorder="1"/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0" borderId="0" xfId="0" applyAlignment="1">
      <alignment vertical="top"/>
    </xf>
    <xf numFmtId="0" fontId="1" fillId="3" borderId="1" xfId="0" applyFont="1" applyFill="1" applyBorder="1" applyAlignment="1">
      <alignment horizontal="left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5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8" fillId="2" borderId="1" xfId="2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0" fillId="0" borderId="1" xfId="0" quotePrefix="1" applyBorder="1"/>
    <xf numFmtId="1" fontId="0" fillId="0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6" fillId="2" borderId="1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0" xfId="0" applyFont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3">
    <cellStyle name="Hiperlink" xfId="2" builtinId="8"/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22112912866089757"/>
          <c:w val="0.90529456004774345"/>
          <c:h val="0.548551492944569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Auxiliar!$AH$3</c:f>
              <c:strCache>
                <c:ptCount val="1"/>
                <c:pt idx="0">
                  <c:v>Real &gt;=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'Controle e Captura'!$F$5:$F$16</c:f>
              <c:numCache>
                <c:formatCode>[$-416]mmmyy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'Controle e Captura'!$I$5:$I$16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180</c:v>
                </c:pt>
                <c:pt idx="4">
                  <c:v>192</c:v>
                </c:pt>
                <c:pt idx="5">
                  <c:v>188</c:v>
                </c:pt>
                <c:pt idx="6">
                  <c:v>202</c:v>
                </c:pt>
                <c:pt idx="7">
                  <c:v>223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Auxiliar!$AI$3</c:f>
              <c:strCache>
                <c:ptCount val="1"/>
                <c:pt idx="0">
                  <c:v>Real &lt;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'Controle e Captura'!$F$5:$F$16</c:f>
              <c:numCache>
                <c:formatCode>[$-416]mmmyy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'Controle e Captura'!$J$5:$J$16</c:f>
              <c:numCache>
                <c:formatCode>0</c:formatCode>
                <c:ptCount val="12"/>
                <c:pt idx="0">
                  <c:v>168</c:v>
                </c:pt>
                <c:pt idx="1">
                  <c:v>156</c:v>
                </c:pt>
                <c:pt idx="2">
                  <c:v>167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Auxiliar!$AL$3:$AL$14</c:f>
              <c:numCache>
                <c:formatCode>[$-416]mmmyy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'Controle e Captura'!$H$5:$H$16</c:f>
              <c:numCache>
                <c:formatCode>0</c:formatCode>
                <c:ptCount val="12"/>
                <c:pt idx="0">
                  <c:v>186</c:v>
                </c:pt>
                <c:pt idx="1">
                  <c:v>168</c:v>
                </c:pt>
                <c:pt idx="2">
                  <c:v>186</c:v>
                </c:pt>
                <c:pt idx="3">
                  <c:v>180</c:v>
                </c:pt>
                <c:pt idx="4">
                  <c:v>186</c:v>
                </c:pt>
                <c:pt idx="5">
                  <c:v>180</c:v>
                </c:pt>
                <c:pt idx="6">
                  <c:v>186</c:v>
                </c:pt>
                <c:pt idx="7">
                  <c:v>186</c:v>
                </c:pt>
                <c:pt idx="8">
                  <c:v>180</c:v>
                </c:pt>
                <c:pt idx="9">
                  <c:v>186</c:v>
                </c:pt>
                <c:pt idx="10">
                  <c:v>180</c:v>
                </c:pt>
                <c:pt idx="11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Auxiliar!$AL$3:$AL$14</c:f>
              <c:numCache>
                <c:formatCode>[$-416]mmmyy</c:formatCode>
                <c:ptCount val="12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</c:numCache>
            </c:numRef>
          </c:cat>
          <c:val>
            <c:numRef>
              <c:f>Auxiliar!$AN$3:$AN$14</c:f>
              <c:numCache>
                <c:formatCode>General</c:formatCode>
                <c:ptCount val="12"/>
                <c:pt idx="0">
                  <c:v>5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28</c:v>
                </c:pt>
                <c:pt idx="7">
                  <c:v>34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1"/>
        <c:axPos val="l"/>
        <c:numFmt formatCode="0%" sourceLinked="0"/>
        <c:majorTickMark val="out"/>
        <c:minorTickMark val="none"/>
        <c:tickLblPos val="nextTo"/>
        <c:crossAx val="229447168"/>
        <c:crosses val="autoZero"/>
        <c:crossBetween val="between"/>
      </c:valAx>
      <c:valAx>
        <c:axId val="3300655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38944596034406592"/>
          <c:w val="0.90529456004774345"/>
          <c:h val="0.38023466126140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Auxiliar!$AH$3</c:f>
              <c:strCache>
                <c:ptCount val="1"/>
                <c:pt idx="0">
                  <c:v>Real &gt;=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'Controle e Captura'!$L$5:$L$12</c:f>
              <c:strCache>
                <c:ptCount val="8"/>
                <c:pt idx="0">
                  <c:v>Sem. 31</c:v>
                </c:pt>
                <c:pt idx="1">
                  <c:v>Sem. 32</c:v>
                </c:pt>
                <c:pt idx="2">
                  <c:v>Sem. 33</c:v>
                </c:pt>
                <c:pt idx="3">
                  <c:v>Sem. 34</c:v>
                </c:pt>
                <c:pt idx="4">
                  <c:v>Sem. 35</c:v>
                </c:pt>
                <c:pt idx="5">
                  <c:v>Sem. 36</c:v>
                </c:pt>
                <c:pt idx="6">
                  <c:v>Sem. 37</c:v>
                </c:pt>
                <c:pt idx="7">
                  <c:v>Sem. 38</c:v>
                </c:pt>
              </c:strCache>
            </c:strRef>
          </c:cat>
          <c:val>
            <c:numRef>
              <c:f>'Controle e Captura'!$P$5:$P$12</c:f>
              <c:numCache>
                <c:formatCode>0</c:formatCode>
                <c:ptCount val="8"/>
                <c:pt idx="0">
                  <c:v>44</c:v>
                </c:pt>
                <c:pt idx="1">
                  <c:v>51</c:v>
                </c:pt>
                <c:pt idx="2">
                  <c:v>51</c:v>
                </c:pt>
                <c:pt idx="3">
                  <c:v>48</c:v>
                </c:pt>
                <c:pt idx="4">
                  <c:v>54</c:v>
                </c:pt>
                <c:pt idx="5">
                  <c:v>57</c:v>
                </c:pt>
                <c:pt idx="6">
                  <c:v>50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Auxiliar!$AI$3</c:f>
              <c:strCache>
                <c:ptCount val="1"/>
                <c:pt idx="0">
                  <c:v>Real &lt;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'Controle e Captura'!$L$5:$L$12</c:f>
              <c:strCache>
                <c:ptCount val="8"/>
                <c:pt idx="0">
                  <c:v>Sem. 31</c:v>
                </c:pt>
                <c:pt idx="1">
                  <c:v>Sem. 32</c:v>
                </c:pt>
                <c:pt idx="2">
                  <c:v>Sem. 33</c:v>
                </c:pt>
                <c:pt idx="3">
                  <c:v>Sem. 34</c:v>
                </c:pt>
                <c:pt idx="4">
                  <c:v>Sem. 35</c:v>
                </c:pt>
                <c:pt idx="5">
                  <c:v>Sem. 36</c:v>
                </c:pt>
                <c:pt idx="6">
                  <c:v>Sem. 37</c:v>
                </c:pt>
                <c:pt idx="7">
                  <c:v>Sem. 38</c:v>
                </c:pt>
              </c:strCache>
            </c:strRef>
          </c:cat>
          <c:val>
            <c:numRef>
              <c:f>'Controle e Captura'!$Q$5:$Q$12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'Controle e Captura'!$L$5:$L$12</c:f>
              <c:strCache>
                <c:ptCount val="8"/>
                <c:pt idx="0">
                  <c:v>Sem. 31</c:v>
                </c:pt>
                <c:pt idx="1">
                  <c:v>Sem. 32</c:v>
                </c:pt>
                <c:pt idx="2">
                  <c:v>Sem. 33</c:v>
                </c:pt>
                <c:pt idx="3">
                  <c:v>Sem. 34</c:v>
                </c:pt>
                <c:pt idx="4">
                  <c:v>Sem. 35</c:v>
                </c:pt>
                <c:pt idx="5">
                  <c:v>Sem. 36</c:v>
                </c:pt>
                <c:pt idx="6">
                  <c:v>Sem. 37</c:v>
                </c:pt>
                <c:pt idx="7">
                  <c:v>Sem. 38</c:v>
                </c:pt>
              </c:strCache>
            </c:strRef>
          </c:cat>
          <c:val>
            <c:numRef>
              <c:f>'Controle e Captura'!$O$5:$O$12</c:f>
              <c:numCache>
                <c:formatCode>0</c:formatCode>
                <c:ptCount val="8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'Controle e Captura'!$L$5:$L$12</c:f>
              <c:strCache>
                <c:ptCount val="8"/>
                <c:pt idx="0">
                  <c:v>Sem. 31</c:v>
                </c:pt>
                <c:pt idx="1">
                  <c:v>Sem. 32</c:v>
                </c:pt>
                <c:pt idx="2">
                  <c:v>Sem. 33</c:v>
                </c:pt>
                <c:pt idx="3">
                  <c:v>Sem. 34</c:v>
                </c:pt>
                <c:pt idx="4">
                  <c:v>Sem. 35</c:v>
                </c:pt>
                <c:pt idx="5">
                  <c:v>Sem. 36</c:v>
                </c:pt>
                <c:pt idx="6">
                  <c:v>Sem. 37</c:v>
                </c:pt>
                <c:pt idx="7">
                  <c:v>Sem. 38</c:v>
                </c:pt>
              </c:strCache>
            </c:strRef>
          </c:cat>
          <c:val>
            <c:numRef>
              <c:f>Auxiliar!$AX$3:$AX$10</c:f>
              <c:numCache>
                <c:formatCode>General</c:formatCode>
                <c:ptCount val="8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1"/>
        <c:axPos val="l"/>
        <c:numFmt formatCode="0%" sourceLinked="0"/>
        <c:majorTickMark val="out"/>
        <c:minorTickMark val="none"/>
        <c:tickLblPos val="nextTo"/>
        <c:crossAx val="229447168"/>
        <c:crosses val="autoZero"/>
        <c:crossBetween val="between"/>
      </c:valAx>
      <c:valAx>
        <c:axId val="330065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noFill/>
              </a:defRPr>
            </a:pPr>
            <a:endParaRPr lang="pt-BR"/>
          </a:p>
        </c:txPr>
        <c:crossAx val="330068824"/>
        <c:crosses val="max"/>
        <c:crossBetween val="between"/>
      </c:valAx>
      <c:catAx>
        <c:axId val="330068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0065544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289560</xdr:colOff>
          <xdr:row>4</xdr:row>
          <xdr:rowOff>53340</xdr:rowOff>
        </xdr:from>
        <xdr:to>
          <xdr:col>33</xdr:col>
          <xdr:colOff>441960</xdr:colOff>
          <xdr:row>7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289560</xdr:colOff>
          <xdr:row>7</xdr:row>
          <xdr:rowOff>121920</xdr:rowOff>
        </xdr:from>
        <xdr:to>
          <xdr:col>33</xdr:col>
          <xdr:colOff>441960</xdr:colOff>
          <xdr:row>10</xdr:row>
          <xdr:rowOff>99060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289560</xdr:colOff>
          <xdr:row>11</xdr:row>
          <xdr:rowOff>0</xdr:rowOff>
        </xdr:from>
        <xdr:to>
          <xdr:col>33</xdr:col>
          <xdr:colOff>441960</xdr:colOff>
          <xdr:row>13</xdr:row>
          <xdr:rowOff>160020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Gráficos aos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E-mails Cadastrados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220980</xdr:colOff>
      <xdr:row>11</xdr:row>
      <xdr:rowOff>152400</xdr:rowOff>
    </xdr:from>
    <xdr:to>
      <xdr:col>35</xdr:col>
      <xdr:colOff>388620</xdr:colOff>
      <xdr:row>17</xdr:row>
      <xdr:rowOff>99060</xdr:rowOff>
    </xdr:to>
    <xdr:sp macro="" textlink="">
      <xdr:nvSpPr>
        <xdr:cNvPr id="2" name="Nuv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248840" y="2164080"/>
          <a:ext cx="1386840" cy="1043940"/>
        </a:xfrm>
        <a:prstGeom prst="cloud">
          <a:avLst/>
        </a:prstGeom>
        <a:solidFill>
          <a:srgbClr val="FDE9EE"/>
        </a:solidFill>
        <a:ln>
          <a:solidFill>
            <a:srgbClr val="A4103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rgbClr val="A41034"/>
              </a:solidFill>
            </a:rPr>
            <a:t>Necessário que</a:t>
          </a:r>
          <a:r>
            <a:rPr lang="pt-BR" sz="900" baseline="0">
              <a:solidFill>
                <a:srgbClr val="A41034"/>
              </a:solidFill>
            </a:rPr>
            <a:t> o aplicativo do Outlook esteja aberto!</a:t>
          </a:r>
          <a:endParaRPr lang="pt-BR" sz="900">
            <a:solidFill>
              <a:srgbClr val="A41034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luisaugusto@gatiza.com.br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mariadasilva@gatiza.com.br" TargetMode="External"/><Relationship Id="rId1" Type="http://schemas.openxmlformats.org/officeDocument/2006/relationships/hyperlink" Target="mailto:jo&#227;opedro@gatiza.com.br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mailto:gestorcomercial@gatiza.com.br" TargetMode="Externa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rgb="FFA41034"/>
    <pageSetUpPr fitToPage="1"/>
  </sheetPr>
  <dimension ref="A2:AI153"/>
  <sheetViews>
    <sheetView showGridLines="0" tabSelected="1" topLeftCell="V1" zoomScaleNormal="100" workbookViewId="0">
      <selection activeCell="B2" sqref="B2:C2"/>
    </sheetView>
  </sheetViews>
  <sheetFormatPr defaultRowHeight="14.4" x14ac:dyDescent="0.3"/>
  <cols>
    <col min="1" max="1" width="14.21875" style="1" customWidth="1"/>
    <col min="2" max="2" width="21.5546875" bestFit="1" customWidth="1"/>
    <col min="3" max="3" width="37.21875" bestFit="1" customWidth="1"/>
    <col min="5" max="5" width="8.88671875" hidden="1" customWidth="1"/>
    <col min="6" max="10" width="20.21875" style="2" customWidth="1"/>
    <col min="11" max="11" width="5.21875" bestFit="1" customWidth="1"/>
    <col min="12" max="12" width="8.5546875" bestFit="1" customWidth="1"/>
    <col min="13" max="17" width="20.21875" style="20" customWidth="1"/>
    <col min="19" max="19" width="53.21875" style="2" customWidth="1"/>
    <col min="20" max="21" width="13.5546875" style="2" customWidth="1"/>
    <col min="22" max="22" width="16.88671875" style="2" bestFit="1" customWidth="1"/>
    <col min="23" max="23" width="16" style="2" bestFit="1" customWidth="1"/>
    <col min="24" max="24" width="19.88671875" style="2" bestFit="1" customWidth="1"/>
    <col min="25" max="25" width="10.44140625" customWidth="1"/>
    <col min="26" max="29" width="19.77734375" customWidth="1"/>
    <col min="31" max="31" width="9.21875" customWidth="1"/>
  </cols>
  <sheetData>
    <row r="2" spans="1:31" x14ac:dyDescent="0.3">
      <c r="A2" s="3"/>
      <c r="B2" s="46" t="s">
        <v>0</v>
      </c>
      <c r="C2" s="47"/>
      <c r="F2" s="42" t="s">
        <v>16</v>
      </c>
      <c r="G2" s="41"/>
      <c r="H2" s="41"/>
      <c r="I2" s="41"/>
      <c r="J2" s="41"/>
      <c r="L2" s="41" t="s">
        <v>18</v>
      </c>
      <c r="M2" s="41"/>
      <c r="N2" s="41"/>
      <c r="O2" s="41"/>
      <c r="P2" s="41"/>
      <c r="Q2" s="41"/>
      <c r="S2" s="42" t="s">
        <v>20</v>
      </c>
      <c r="T2" s="41"/>
      <c r="U2" s="41"/>
      <c r="V2" s="41"/>
      <c r="W2" s="41"/>
      <c r="X2" s="41"/>
      <c r="Z2" s="45" t="str">
        <f ca="1">"Atualizado em "&amp;TEXT(TODAY(),"dd/mmm/aaaa")</f>
        <v>Atualizado em 21/set/2020</v>
      </c>
      <c r="AA2" s="45"/>
      <c r="AB2" s="45"/>
      <c r="AC2" s="45"/>
      <c r="AD2" s="45"/>
      <c r="AE2" s="45"/>
    </row>
    <row r="3" spans="1:31" x14ac:dyDescent="0.3">
      <c r="A3" s="3"/>
      <c r="B3" s="25" t="s">
        <v>1</v>
      </c>
      <c r="C3" s="6" t="s">
        <v>82</v>
      </c>
    </row>
    <row r="4" spans="1:31" x14ac:dyDescent="0.3">
      <c r="A4" s="3"/>
      <c r="B4" s="25" t="s">
        <v>2</v>
      </c>
      <c r="C4" s="6" t="s">
        <v>83</v>
      </c>
      <c r="F4" s="27" t="s">
        <v>4</v>
      </c>
      <c r="G4" s="27" t="s">
        <v>5</v>
      </c>
      <c r="H4" s="27" t="s">
        <v>6</v>
      </c>
      <c r="I4" s="27" t="s">
        <v>35</v>
      </c>
      <c r="J4" s="27" t="s">
        <v>36</v>
      </c>
      <c r="L4" s="27" t="s">
        <v>19</v>
      </c>
      <c r="M4" s="27" t="s">
        <v>68</v>
      </c>
      <c r="N4" s="27" t="s">
        <v>5</v>
      </c>
      <c r="O4" s="27" t="s">
        <v>6</v>
      </c>
      <c r="P4" s="27" t="s">
        <v>35</v>
      </c>
      <c r="Q4" s="27" t="s">
        <v>36</v>
      </c>
      <c r="S4" s="27" t="s">
        <v>21</v>
      </c>
      <c r="T4" s="27" t="s">
        <v>22</v>
      </c>
      <c r="U4" s="27" t="s">
        <v>23</v>
      </c>
      <c r="V4" s="27" t="s">
        <v>24</v>
      </c>
      <c r="W4" s="27" t="s">
        <v>37</v>
      </c>
      <c r="X4" s="27" t="s">
        <v>38</v>
      </c>
      <c r="Z4" s="42" t="s">
        <v>28</v>
      </c>
      <c r="AA4" s="41"/>
      <c r="AB4" s="41"/>
      <c r="AC4" s="41"/>
      <c r="AD4" s="41"/>
      <c r="AE4" s="41"/>
    </row>
    <row r="5" spans="1:31" x14ac:dyDescent="0.3">
      <c r="A5" s="3"/>
      <c r="B5" s="26" t="s">
        <v>3</v>
      </c>
      <c r="C5" s="6" t="s">
        <v>41</v>
      </c>
      <c r="F5" s="5">
        <f t="shared" ref="F5:F16" si="0">DATE($C$9,E7,1)</f>
        <v>43831</v>
      </c>
      <c r="G5" s="39">
        <v>168</v>
      </c>
      <c r="H5" s="39">
        <v>186</v>
      </c>
      <c r="I5" s="36" t="str">
        <f t="shared" ref="I5:I16" si="1">IF(G5="","",IF($C$6="Cima",IF(G5&gt;=H5,G5,""),IF(G5&lt;=H5,G5,"")))</f>
        <v/>
      </c>
      <c r="J5" s="36">
        <f t="shared" ref="J5:J16" si="2">IF(G5="","",IF($C$6="Cima",IF(G5&lt;H5,G5,""),IF(G5&gt;H5,G5,"")))</f>
        <v>168</v>
      </c>
      <c r="L5" s="4" t="str">
        <f>IF(M5="","","Sem. "&amp;M5)</f>
        <v>Sem. 31</v>
      </c>
      <c r="M5" s="14">
        <f>IF(Auxiliar!$AF$6&lt;2,IF(Auxiliar!$AF$6=1,1,""),M6-1)</f>
        <v>31</v>
      </c>
      <c r="N5" s="39">
        <v>44</v>
      </c>
      <c r="O5" s="39">
        <v>42</v>
      </c>
      <c r="P5" s="36">
        <f>IF(N5="","",IF($C$6="Cima",IF(N5&gt;=O5,N5,""),IF(N5&lt;=O5,N5,"")))</f>
        <v>44</v>
      </c>
      <c r="Q5" s="36" t="str">
        <f>IF(N5="","",IF($C$6="Cima",IF(N5&lt;O5,N5,""),IF(N5&gt;O5,N5,"")))</f>
        <v/>
      </c>
      <c r="S5" s="6" t="s">
        <v>89</v>
      </c>
      <c r="T5" s="6" t="s">
        <v>90</v>
      </c>
      <c r="U5" s="11">
        <v>43832</v>
      </c>
      <c r="V5" s="11">
        <v>43843</v>
      </c>
      <c r="W5" s="5">
        <f>IF(V5="","",DATE(YEAR(V5),MONTH(V5),1))</f>
        <v>43831</v>
      </c>
      <c r="X5" s="4">
        <f>IFERROR(VLOOKUP(V5,Auxiliar!$T$3:$W$367,4,FALSE),"")</f>
        <v>2</v>
      </c>
    </row>
    <row r="6" spans="1:31" x14ac:dyDescent="0.3">
      <c r="A6" s="3"/>
      <c r="B6" s="26" t="s">
        <v>31</v>
      </c>
      <c r="C6" s="6" t="s">
        <v>33</v>
      </c>
      <c r="E6" s="30" t="s">
        <v>17</v>
      </c>
      <c r="F6" s="5">
        <f t="shared" si="0"/>
        <v>43862</v>
      </c>
      <c r="G6" s="39">
        <v>156</v>
      </c>
      <c r="H6" s="39">
        <v>168</v>
      </c>
      <c r="I6" s="36" t="str">
        <f t="shared" si="1"/>
        <v/>
      </c>
      <c r="J6" s="36">
        <f t="shared" si="2"/>
        <v>156</v>
      </c>
      <c r="L6" s="4" t="str">
        <f t="shared" ref="L6:L12" si="3">IF(M6="","","Sem. "&amp;M6)</f>
        <v>Sem. 32</v>
      </c>
      <c r="M6" s="14">
        <f>IF(Auxiliar!$AF$6&lt;3,IF(Auxiliar!$AF$6=2,2,""),M7-1)</f>
        <v>32</v>
      </c>
      <c r="N6" s="39">
        <v>51</v>
      </c>
      <c r="O6" s="39">
        <v>42</v>
      </c>
      <c r="P6" s="36">
        <f t="shared" ref="P6:P12" si="4">IF(N6="","",IF($C$6="Cima",IF(N6&gt;=O6,N6,""),IF(N6&lt;=O6,N6,"")))</f>
        <v>51</v>
      </c>
      <c r="Q6" s="36" t="str">
        <f t="shared" ref="Q6:Q12" si="5">IF(N6="","",IF($C$6="Cima",IF(N6&lt;O6,N6,""),IF(N6&gt;O6,N6,"")))</f>
        <v/>
      </c>
      <c r="S6" s="6" t="s">
        <v>91</v>
      </c>
      <c r="T6" s="6" t="s">
        <v>92</v>
      </c>
      <c r="U6" s="11">
        <v>43834</v>
      </c>
      <c r="V6" s="11">
        <v>43844</v>
      </c>
      <c r="W6" s="5">
        <f t="shared" ref="W6:W69" si="6">IF(V6="","",DATE(YEAR(V6),MONTH(V6),1))</f>
        <v>43831</v>
      </c>
      <c r="X6" s="4">
        <f>IFERROR(VLOOKUP(V6,Auxiliar!$T$3:$W$367,4,FALSE),"")</f>
        <v>3</v>
      </c>
      <c r="Z6" s="43" t="str">
        <f>"O realizado de "&amp;TEXT(Auxiliar!AF3,"mmmaa")&amp;" é "&amp;TEXT(Auxiliar!AQ2,Auxiliar!H3)&amp;" ("&amp;TEXT(Auxiliar!AQ5,Auxiliar!H3)&amp;" "&amp;Auxiliar!AQ6&amp;" do que meta de "&amp; TEXT(Auxiliar!AQ3,Auxiliar!H3)&amp;")."</f>
        <v>O realizado de set20 é 99 (81 pior do que meta de 180).</v>
      </c>
      <c r="AA6" s="43"/>
      <c r="AB6" s="43"/>
      <c r="AC6" s="43"/>
      <c r="AD6" s="43"/>
      <c r="AE6" s="43"/>
    </row>
    <row r="7" spans="1:31" x14ac:dyDescent="0.3">
      <c r="A7" s="3"/>
      <c r="E7" s="4">
        <v>1</v>
      </c>
      <c r="F7" s="5">
        <f t="shared" si="0"/>
        <v>43891</v>
      </c>
      <c r="G7" s="39">
        <v>167</v>
      </c>
      <c r="H7" s="39">
        <v>186</v>
      </c>
      <c r="I7" s="36" t="str">
        <f t="shared" si="1"/>
        <v/>
      </c>
      <c r="J7" s="36">
        <f t="shared" si="2"/>
        <v>167</v>
      </c>
      <c r="L7" s="4" t="str">
        <f t="shared" si="3"/>
        <v>Sem. 33</v>
      </c>
      <c r="M7" s="14">
        <f>IF(Auxiliar!$AF$6&lt;4,IF(Auxiliar!$AF$6=3,3,""),M8-1)</f>
        <v>33</v>
      </c>
      <c r="N7" s="39">
        <v>51</v>
      </c>
      <c r="O7" s="39">
        <v>42</v>
      </c>
      <c r="P7" s="36">
        <f t="shared" si="4"/>
        <v>51</v>
      </c>
      <c r="Q7" s="36" t="str">
        <f t="shared" si="5"/>
        <v/>
      </c>
      <c r="S7" s="6" t="s">
        <v>93</v>
      </c>
      <c r="T7" s="6" t="s">
        <v>94</v>
      </c>
      <c r="U7" s="11">
        <v>43842</v>
      </c>
      <c r="V7" s="11">
        <v>43857</v>
      </c>
      <c r="W7" s="5">
        <f t="shared" si="6"/>
        <v>43831</v>
      </c>
      <c r="X7" s="4">
        <f>IFERROR(VLOOKUP(V7,Auxiliar!$T$3:$W$367,4,FALSE),"")</f>
        <v>2</v>
      </c>
      <c r="Z7" s="24"/>
      <c r="AA7" s="24"/>
      <c r="AB7" s="24"/>
      <c r="AC7" s="24"/>
      <c r="AD7" s="24"/>
      <c r="AE7" s="24"/>
    </row>
    <row r="8" spans="1:31" x14ac:dyDescent="0.3">
      <c r="A8" s="3"/>
      <c r="B8" s="48" t="s">
        <v>7</v>
      </c>
      <c r="C8" s="48"/>
      <c r="E8" s="4">
        <f>E7+1</f>
        <v>2</v>
      </c>
      <c r="F8" s="5">
        <f t="shared" si="0"/>
        <v>43922</v>
      </c>
      <c r="G8" s="39">
        <v>180</v>
      </c>
      <c r="H8" s="39">
        <v>180</v>
      </c>
      <c r="I8" s="36">
        <f t="shared" si="1"/>
        <v>180</v>
      </c>
      <c r="J8" s="36" t="str">
        <f t="shared" si="2"/>
        <v/>
      </c>
      <c r="L8" s="4" t="str">
        <f t="shared" si="3"/>
        <v>Sem. 34</v>
      </c>
      <c r="M8" s="14">
        <f>IF(Auxiliar!$AF$6&lt;5,IF(Auxiliar!$AF$6=4,4,""),M9-1)</f>
        <v>34</v>
      </c>
      <c r="N8" s="39">
        <v>48</v>
      </c>
      <c r="O8" s="39">
        <v>42</v>
      </c>
      <c r="P8" s="36">
        <f t="shared" si="4"/>
        <v>48</v>
      </c>
      <c r="Q8" s="36" t="str">
        <f t="shared" si="5"/>
        <v/>
      </c>
      <c r="S8" s="6" t="s">
        <v>95</v>
      </c>
      <c r="T8" s="6" t="s">
        <v>94</v>
      </c>
      <c r="U8" s="11">
        <v>43853</v>
      </c>
      <c r="V8" s="11">
        <v>43865</v>
      </c>
      <c r="W8" s="5">
        <f t="shared" si="6"/>
        <v>43862</v>
      </c>
      <c r="X8" s="4">
        <f>IFERROR(VLOOKUP(V8,Auxiliar!$T$3:$W$367,4,FALSE),"")</f>
        <v>3</v>
      </c>
      <c r="AA8" s="44" t="str">
        <f>C3&amp;" ("&amp;Auxiliar!G3&amp;")"</f>
        <v>Prospecção de Vendas (#)</v>
      </c>
      <c r="AB8" s="44"/>
      <c r="AC8" s="44"/>
    </row>
    <row r="9" spans="1:31" x14ac:dyDescent="0.3">
      <c r="A9" s="3"/>
      <c r="B9" s="25" t="s">
        <v>8</v>
      </c>
      <c r="C9" s="6">
        <v>2020</v>
      </c>
      <c r="E9" s="4">
        <f t="shared" ref="E9:E18" si="7">E8+1</f>
        <v>3</v>
      </c>
      <c r="F9" s="5">
        <f t="shared" si="0"/>
        <v>43952</v>
      </c>
      <c r="G9" s="39">
        <v>192</v>
      </c>
      <c r="H9" s="39">
        <v>186</v>
      </c>
      <c r="I9" s="36">
        <f t="shared" si="1"/>
        <v>192</v>
      </c>
      <c r="J9" s="36" t="str">
        <f t="shared" si="2"/>
        <v/>
      </c>
      <c r="L9" s="4" t="str">
        <f t="shared" si="3"/>
        <v>Sem. 35</v>
      </c>
      <c r="M9" s="14">
        <f>IF(Auxiliar!$AF$6&lt;6,IF(Auxiliar!$AF$6=5,5,""),M10-1)</f>
        <v>35</v>
      </c>
      <c r="N9" s="39">
        <v>54</v>
      </c>
      <c r="O9" s="39">
        <v>42</v>
      </c>
      <c r="P9" s="36">
        <f t="shared" si="4"/>
        <v>54</v>
      </c>
      <c r="Q9" s="36" t="str">
        <f t="shared" si="5"/>
        <v/>
      </c>
      <c r="S9" s="6" t="s">
        <v>96</v>
      </c>
      <c r="T9" s="6" t="s">
        <v>90</v>
      </c>
      <c r="U9" s="11">
        <v>43858</v>
      </c>
      <c r="V9" s="11">
        <v>43856</v>
      </c>
      <c r="W9" s="5">
        <f t="shared" si="6"/>
        <v>43831</v>
      </c>
      <c r="X9" s="4">
        <f>IFERROR(VLOOKUP(V9,Auxiliar!$T$3:$W$367,4,FALSE),"")</f>
        <v>1</v>
      </c>
      <c r="AA9" s="44"/>
      <c r="AB9" s="44"/>
      <c r="AC9" s="44"/>
      <c r="AE9" s="17" t="str">
        <f>IF(C6="Baixo","(","&amp;")</f>
        <v>&amp;</v>
      </c>
    </row>
    <row r="10" spans="1:31" x14ac:dyDescent="0.3">
      <c r="A10" s="3"/>
      <c r="B10" s="28" t="s">
        <v>64</v>
      </c>
      <c r="C10" s="23" t="s">
        <v>84</v>
      </c>
      <c r="E10" s="4">
        <f t="shared" si="7"/>
        <v>4</v>
      </c>
      <c r="F10" s="5">
        <f t="shared" si="0"/>
        <v>43983</v>
      </c>
      <c r="G10" s="39">
        <v>188</v>
      </c>
      <c r="H10" s="39">
        <v>180</v>
      </c>
      <c r="I10" s="36">
        <f t="shared" si="1"/>
        <v>188</v>
      </c>
      <c r="J10" s="36" t="str">
        <f t="shared" si="2"/>
        <v/>
      </c>
      <c r="L10" s="4" t="str">
        <f t="shared" si="3"/>
        <v>Sem. 36</v>
      </c>
      <c r="M10" s="14">
        <f>IF(Auxiliar!$AF$6&lt;7,IF(Auxiliar!$AF$6=6,6,""),M11-1)</f>
        <v>36</v>
      </c>
      <c r="N10" s="39">
        <v>57</v>
      </c>
      <c r="O10" s="39">
        <v>42</v>
      </c>
      <c r="P10" s="36">
        <f t="shared" si="4"/>
        <v>57</v>
      </c>
      <c r="Q10" s="36" t="str">
        <f t="shared" si="5"/>
        <v/>
      </c>
      <c r="S10" s="6" t="s">
        <v>97</v>
      </c>
      <c r="T10" s="6" t="s">
        <v>92</v>
      </c>
      <c r="U10" s="11">
        <v>43859</v>
      </c>
      <c r="V10" s="11">
        <v>43861</v>
      </c>
      <c r="W10" s="5">
        <f t="shared" si="6"/>
        <v>43831</v>
      </c>
      <c r="X10" s="4">
        <f>IFERROR(VLOOKUP(V10,Auxiliar!$T$3:$W$367,4,FALSE),"")</f>
        <v>6</v>
      </c>
      <c r="AA10" s="40" t="str">
        <f>C4</f>
        <v>Núm. Prospecções / HC Vendas</v>
      </c>
      <c r="AB10" s="40"/>
      <c r="AC10" s="40"/>
    </row>
    <row r="11" spans="1:31" x14ac:dyDescent="0.3">
      <c r="A11" s="3"/>
      <c r="B11" s="34"/>
      <c r="C11" s="38"/>
      <c r="E11" s="4">
        <f t="shared" si="7"/>
        <v>5</v>
      </c>
      <c r="F11" s="5">
        <f t="shared" si="0"/>
        <v>44013</v>
      </c>
      <c r="G11" s="39">
        <v>202</v>
      </c>
      <c r="H11" s="39">
        <v>186</v>
      </c>
      <c r="I11" s="36">
        <f t="shared" si="1"/>
        <v>202</v>
      </c>
      <c r="J11" s="36" t="str">
        <f t="shared" si="2"/>
        <v/>
      </c>
      <c r="L11" s="4" t="str">
        <f t="shared" si="3"/>
        <v>Sem. 37</v>
      </c>
      <c r="M11" s="14">
        <f>IF(Auxiliar!$AF$6&lt;8,IF(Auxiliar!$AF$6=7,7,""),M12-1)</f>
        <v>37</v>
      </c>
      <c r="N11" s="39">
        <v>50</v>
      </c>
      <c r="O11" s="39">
        <v>42</v>
      </c>
      <c r="P11" s="36">
        <f t="shared" si="4"/>
        <v>50</v>
      </c>
      <c r="Q11" s="36" t="str">
        <f t="shared" si="5"/>
        <v/>
      </c>
      <c r="S11" s="6" t="s">
        <v>98</v>
      </c>
      <c r="T11" s="6" t="s">
        <v>90</v>
      </c>
      <c r="U11" s="11">
        <v>43859</v>
      </c>
      <c r="V11" s="11">
        <v>43869</v>
      </c>
      <c r="W11" s="5">
        <f t="shared" si="6"/>
        <v>43862</v>
      </c>
      <c r="X11" s="4">
        <f>IFERROR(VLOOKUP(V11,Auxiliar!$T$3:$W$367,4,FALSE),"")</f>
        <v>7</v>
      </c>
    </row>
    <row r="12" spans="1:31" ht="14.4" customHeight="1" x14ac:dyDescent="0.3">
      <c r="A12" s="3"/>
      <c r="B12" s="33" t="s">
        <v>69</v>
      </c>
      <c r="C12" s="31" t="s">
        <v>85</v>
      </c>
      <c r="E12" s="4">
        <f t="shared" si="7"/>
        <v>6</v>
      </c>
      <c r="F12" s="5">
        <f t="shared" si="0"/>
        <v>44044</v>
      </c>
      <c r="G12" s="39">
        <v>223</v>
      </c>
      <c r="H12" s="39">
        <v>186</v>
      </c>
      <c r="I12" s="36">
        <f t="shared" si="1"/>
        <v>223</v>
      </c>
      <c r="J12" s="36" t="str">
        <f t="shared" si="2"/>
        <v/>
      </c>
      <c r="L12" s="4" t="str">
        <f t="shared" si="3"/>
        <v>Sem. 38</v>
      </c>
      <c r="M12" s="14">
        <f>IF(Auxiliar!AF6&lt;8,"",Auxiliar!AF6)</f>
        <v>38</v>
      </c>
      <c r="N12" s="39">
        <v>6</v>
      </c>
      <c r="O12" s="39">
        <v>42</v>
      </c>
      <c r="P12" s="36" t="str">
        <f t="shared" si="4"/>
        <v/>
      </c>
      <c r="Q12" s="36">
        <f t="shared" si="5"/>
        <v>6</v>
      </c>
      <c r="S12" s="6" t="s">
        <v>99</v>
      </c>
      <c r="T12" s="6" t="s">
        <v>90</v>
      </c>
      <c r="U12" s="11">
        <v>43872</v>
      </c>
      <c r="V12" s="11">
        <v>43887</v>
      </c>
      <c r="W12" s="5">
        <f t="shared" si="6"/>
        <v>43862</v>
      </c>
      <c r="X12" s="4">
        <f>IFERROR(VLOOKUP(V12,Auxiliar!$T$3:$W$367,4,FALSE),"")</f>
        <v>4</v>
      </c>
    </row>
    <row r="13" spans="1:31" ht="14.4" customHeight="1" x14ac:dyDescent="0.3">
      <c r="A13" s="3"/>
      <c r="B13" s="13"/>
      <c r="C13" s="31" t="s">
        <v>86</v>
      </c>
      <c r="E13" s="4">
        <f t="shared" si="7"/>
        <v>7</v>
      </c>
      <c r="F13" s="5">
        <f t="shared" si="0"/>
        <v>44075</v>
      </c>
      <c r="G13" s="39">
        <v>99</v>
      </c>
      <c r="H13" s="39">
        <v>180</v>
      </c>
      <c r="I13" s="36" t="str">
        <f t="shared" si="1"/>
        <v/>
      </c>
      <c r="J13" s="36">
        <f t="shared" si="2"/>
        <v>99</v>
      </c>
      <c r="M13" s="22"/>
      <c r="N13" s="22"/>
      <c r="O13" s="22"/>
      <c r="P13" s="22"/>
      <c r="Q13" s="22"/>
      <c r="S13" s="6" t="s">
        <v>100</v>
      </c>
      <c r="T13" s="6" t="s">
        <v>92</v>
      </c>
      <c r="U13" s="11">
        <v>43880</v>
      </c>
      <c r="V13" s="11">
        <v>43885</v>
      </c>
      <c r="W13" s="5">
        <f t="shared" si="6"/>
        <v>43862</v>
      </c>
      <c r="X13" s="4">
        <f>IFERROR(VLOOKUP(V13,Auxiliar!$T$3:$W$367,4,FALSE),"")</f>
        <v>2</v>
      </c>
    </row>
    <row r="14" spans="1:31" ht="14.4" customHeight="1" x14ac:dyDescent="0.3">
      <c r="A14" s="3"/>
      <c r="B14" s="32"/>
      <c r="C14" s="31" t="s">
        <v>87</v>
      </c>
      <c r="E14" s="4">
        <f t="shared" si="7"/>
        <v>8</v>
      </c>
      <c r="F14" s="5">
        <f t="shared" si="0"/>
        <v>44105</v>
      </c>
      <c r="G14" s="39"/>
      <c r="H14" s="39">
        <v>186</v>
      </c>
      <c r="I14" s="36" t="str">
        <f t="shared" si="1"/>
        <v/>
      </c>
      <c r="J14" s="36" t="str">
        <f t="shared" si="2"/>
        <v/>
      </c>
      <c r="M14" s="22"/>
      <c r="N14" s="22"/>
      <c r="O14" s="22"/>
      <c r="P14" s="22"/>
      <c r="Q14" s="22"/>
      <c r="S14" s="6" t="s">
        <v>101</v>
      </c>
      <c r="T14" s="6" t="s">
        <v>92</v>
      </c>
      <c r="U14" s="11">
        <v>43890</v>
      </c>
      <c r="V14" s="11">
        <v>43898</v>
      </c>
      <c r="W14" s="5">
        <f t="shared" si="6"/>
        <v>43891</v>
      </c>
      <c r="X14" s="4">
        <f>IFERROR(VLOOKUP(V14,Auxiliar!$T$3:$W$367,4,FALSE),"")</f>
        <v>1</v>
      </c>
    </row>
    <row r="15" spans="1:31" x14ac:dyDescent="0.3">
      <c r="A15" s="3"/>
      <c r="B15" s="32"/>
      <c r="C15" s="31" t="s">
        <v>88</v>
      </c>
      <c r="E15" s="4">
        <f t="shared" si="7"/>
        <v>9</v>
      </c>
      <c r="F15" s="5">
        <f t="shared" si="0"/>
        <v>44136</v>
      </c>
      <c r="G15" s="39"/>
      <c r="H15" s="39">
        <v>180</v>
      </c>
      <c r="I15" s="36" t="str">
        <f t="shared" si="1"/>
        <v/>
      </c>
      <c r="J15" s="36" t="str">
        <f t="shared" si="2"/>
        <v/>
      </c>
      <c r="M15" s="22"/>
      <c r="N15" s="22"/>
      <c r="O15" s="22"/>
      <c r="P15" s="22"/>
      <c r="Q15" s="22"/>
      <c r="S15" s="6" t="s">
        <v>102</v>
      </c>
      <c r="T15" s="6" t="s">
        <v>94</v>
      </c>
      <c r="U15" s="11">
        <v>43903</v>
      </c>
      <c r="V15" s="11">
        <v>43912</v>
      </c>
      <c r="W15" s="5">
        <f t="shared" si="6"/>
        <v>43891</v>
      </c>
      <c r="X15" s="4">
        <f>IFERROR(VLOOKUP(V15,Auxiliar!$T$3:$W$367,4,FALSE),"")</f>
        <v>1</v>
      </c>
    </row>
    <row r="16" spans="1:31" x14ac:dyDescent="0.3">
      <c r="A16" s="3"/>
      <c r="B16" s="32"/>
      <c r="C16" s="15"/>
      <c r="E16" s="4">
        <f t="shared" si="7"/>
        <v>10</v>
      </c>
      <c r="F16" s="5">
        <f t="shared" si="0"/>
        <v>44166</v>
      </c>
      <c r="G16" s="39"/>
      <c r="H16" s="39">
        <v>186</v>
      </c>
      <c r="I16" s="36" t="str">
        <f t="shared" si="1"/>
        <v/>
      </c>
      <c r="J16" s="36" t="str">
        <f t="shared" si="2"/>
        <v/>
      </c>
      <c r="M16" s="22"/>
      <c r="N16" s="22"/>
      <c r="O16" s="22"/>
      <c r="P16" s="22"/>
      <c r="Q16" s="22"/>
      <c r="S16" s="6" t="s">
        <v>103</v>
      </c>
      <c r="T16" s="6" t="s">
        <v>94</v>
      </c>
      <c r="U16" s="11">
        <v>43927</v>
      </c>
      <c r="V16" s="11">
        <v>43928</v>
      </c>
      <c r="W16" s="5">
        <f t="shared" si="6"/>
        <v>43922</v>
      </c>
      <c r="X16" s="4">
        <f>IFERROR(VLOOKUP(V16,Auxiliar!$T$3:$W$367,4,FALSE),"")</f>
        <v>3</v>
      </c>
    </row>
    <row r="17" spans="1:35" x14ac:dyDescent="0.3">
      <c r="A17" s="3"/>
      <c r="B17" s="32"/>
      <c r="C17" s="15"/>
      <c r="E17" s="4">
        <f t="shared" si="7"/>
        <v>11</v>
      </c>
      <c r="M17" s="22"/>
      <c r="N17" s="22"/>
      <c r="O17" s="22"/>
      <c r="P17" s="22"/>
      <c r="Q17" s="22"/>
      <c r="S17" s="6" t="s">
        <v>104</v>
      </c>
      <c r="T17" s="6" t="s">
        <v>92</v>
      </c>
      <c r="U17" s="11">
        <v>43927</v>
      </c>
      <c r="V17" s="11">
        <v>43941</v>
      </c>
      <c r="W17" s="5">
        <f t="shared" si="6"/>
        <v>43922</v>
      </c>
      <c r="X17" s="4">
        <f>IFERROR(VLOOKUP(V17,Auxiliar!$T$3:$W$367,4,FALSE),"")</f>
        <v>2</v>
      </c>
    </row>
    <row r="18" spans="1:35" x14ac:dyDescent="0.3">
      <c r="A18" s="3"/>
      <c r="B18" s="32"/>
      <c r="C18" s="15"/>
      <c r="E18" s="4">
        <f t="shared" si="7"/>
        <v>12</v>
      </c>
      <c r="M18" s="22"/>
      <c r="N18" s="22"/>
      <c r="O18" s="22"/>
      <c r="P18" s="22"/>
      <c r="Q18" s="22"/>
      <c r="S18" s="6" t="s">
        <v>105</v>
      </c>
      <c r="T18" s="6" t="s">
        <v>92</v>
      </c>
      <c r="U18" s="11">
        <v>43934</v>
      </c>
      <c r="V18" s="11">
        <v>43941</v>
      </c>
      <c r="W18" s="5">
        <f t="shared" si="6"/>
        <v>43922</v>
      </c>
      <c r="X18" s="4">
        <f>IFERROR(VLOOKUP(V18,Auxiliar!$T$3:$W$367,4,FALSE),"")</f>
        <v>2</v>
      </c>
    </row>
    <row r="19" spans="1:35" x14ac:dyDescent="0.3">
      <c r="A19" s="3"/>
      <c r="B19" s="32"/>
      <c r="C19" s="15"/>
      <c r="S19" s="6" t="s">
        <v>106</v>
      </c>
      <c r="T19" s="6" t="s">
        <v>92</v>
      </c>
      <c r="U19" s="11">
        <v>43945</v>
      </c>
      <c r="V19" s="11">
        <v>43947</v>
      </c>
      <c r="W19" s="5">
        <f t="shared" si="6"/>
        <v>43922</v>
      </c>
      <c r="X19" s="4">
        <f>IFERROR(VLOOKUP(V19,Auxiliar!$T$3:$W$367,4,FALSE),"")</f>
        <v>1</v>
      </c>
    </row>
    <row r="20" spans="1:35" x14ac:dyDescent="0.3">
      <c r="A20" s="3"/>
      <c r="B20" s="32"/>
      <c r="C20" s="15"/>
      <c r="S20" s="6" t="s">
        <v>107</v>
      </c>
      <c r="T20" s="6" t="s">
        <v>90</v>
      </c>
      <c r="U20" s="11">
        <v>43946</v>
      </c>
      <c r="V20" s="11">
        <v>43944</v>
      </c>
      <c r="W20" s="5">
        <f t="shared" si="6"/>
        <v>43922</v>
      </c>
      <c r="X20" s="4">
        <f>IFERROR(VLOOKUP(V20,Auxiliar!$T$3:$W$367,4,FALSE),"")</f>
        <v>5</v>
      </c>
      <c r="AH20" s="19"/>
      <c r="AI20" s="19"/>
    </row>
    <row r="21" spans="1:35" x14ac:dyDescent="0.3">
      <c r="A21" s="3"/>
      <c r="B21" s="32"/>
      <c r="C21" s="15"/>
      <c r="S21" s="6" t="s">
        <v>108</v>
      </c>
      <c r="T21" s="6" t="s">
        <v>90</v>
      </c>
      <c r="U21" s="11">
        <v>43973</v>
      </c>
      <c r="V21" s="11">
        <v>43983</v>
      </c>
      <c r="W21" s="5">
        <f t="shared" si="6"/>
        <v>43983</v>
      </c>
      <c r="X21" s="4">
        <f>IFERROR(VLOOKUP(V21,Auxiliar!$T$3:$W$367,4,FALSE),"")</f>
        <v>2</v>
      </c>
    </row>
    <row r="22" spans="1:35" x14ac:dyDescent="0.3">
      <c r="A22" s="3"/>
      <c r="B22" s="32"/>
      <c r="C22" s="15"/>
      <c r="S22" s="6" t="s">
        <v>109</v>
      </c>
      <c r="T22" s="6" t="s">
        <v>94</v>
      </c>
      <c r="U22" s="11">
        <v>43974</v>
      </c>
      <c r="V22" s="11">
        <v>43980</v>
      </c>
      <c r="W22" s="5">
        <f t="shared" si="6"/>
        <v>43952</v>
      </c>
      <c r="X22" s="4">
        <f>IFERROR(VLOOKUP(V22,Auxiliar!$T$3:$W$367,4,FALSE),"")</f>
        <v>6</v>
      </c>
    </row>
    <row r="23" spans="1:35" x14ac:dyDescent="0.3">
      <c r="A23" s="3"/>
      <c r="B23" s="32"/>
      <c r="C23" s="15"/>
      <c r="S23" s="6" t="s">
        <v>110</v>
      </c>
      <c r="T23" s="6" t="s">
        <v>94</v>
      </c>
      <c r="U23" s="11">
        <v>43976</v>
      </c>
      <c r="V23" s="11">
        <v>43980</v>
      </c>
      <c r="W23" s="5">
        <f t="shared" si="6"/>
        <v>43952</v>
      </c>
      <c r="X23" s="4">
        <f>IFERROR(VLOOKUP(V23,Auxiliar!$T$3:$W$367,4,FALSE),"")</f>
        <v>6</v>
      </c>
    </row>
    <row r="24" spans="1:35" x14ac:dyDescent="0.3">
      <c r="A24" s="3"/>
      <c r="B24" s="32"/>
      <c r="C24" s="15"/>
      <c r="S24" s="6" t="s">
        <v>111</v>
      </c>
      <c r="T24" s="6" t="s">
        <v>90</v>
      </c>
      <c r="U24" s="11">
        <v>43977</v>
      </c>
      <c r="V24" s="11">
        <v>43978</v>
      </c>
      <c r="W24" s="5">
        <f t="shared" si="6"/>
        <v>43952</v>
      </c>
      <c r="X24" s="4">
        <f>IFERROR(VLOOKUP(V24,Auxiliar!$T$3:$W$367,4,FALSE),"")</f>
        <v>4</v>
      </c>
    </row>
    <row r="25" spans="1:35" x14ac:dyDescent="0.3">
      <c r="A25" s="3"/>
      <c r="B25" s="32"/>
      <c r="C25" s="15"/>
      <c r="S25" s="6" t="s">
        <v>112</v>
      </c>
      <c r="T25" s="6" t="s">
        <v>90</v>
      </c>
      <c r="U25" s="11">
        <v>43980</v>
      </c>
      <c r="V25" s="11">
        <v>43985</v>
      </c>
      <c r="W25" s="5">
        <f t="shared" si="6"/>
        <v>43983</v>
      </c>
      <c r="X25" s="4">
        <f>IFERROR(VLOOKUP(V25,Auxiliar!$T$3:$W$367,4,FALSE),"")</f>
        <v>4</v>
      </c>
    </row>
    <row r="26" spans="1:35" x14ac:dyDescent="0.3">
      <c r="A26" s="3"/>
      <c r="B26" s="32"/>
      <c r="C26" s="15"/>
      <c r="S26" s="6" t="s">
        <v>113</v>
      </c>
      <c r="T26" s="6" t="s">
        <v>92</v>
      </c>
      <c r="U26" s="11">
        <v>43992</v>
      </c>
      <c r="V26" s="11">
        <v>44004</v>
      </c>
      <c r="W26" s="5">
        <f t="shared" si="6"/>
        <v>43983</v>
      </c>
      <c r="X26" s="4">
        <f>IFERROR(VLOOKUP(V26,Auxiliar!$T$3:$W$367,4,FALSE),"")</f>
        <v>2</v>
      </c>
    </row>
    <row r="27" spans="1:35" x14ac:dyDescent="0.3">
      <c r="A27" s="3"/>
      <c r="B27" s="32"/>
      <c r="C27" s="15"/>
      <c r="S27" s="6" t="s">
        <v>114</v>
      </c>
      <c r="T27" s="6" t="s">
        <v>94</v>
      </c>
      <c r="U27" s="11">
        <v>44007</v>
      </c>
      <c r="V27" s="11">
        <v>44015</v>
      </c>
      <c r="W27" s="5">
        <f t="shared" si="6"/>
        <v>44013</v>
      </c>
      <c r="X27" s="4">
        <f>IFERROR(VLOOKUP(V27,Auxiliar!$T$3:$W$367,4,FALSE),"")</f>
        <v>6</v>
      </c>
    </row>
    <row r="28" spans="1:35" x14ac:dyDescent="0.3">
      <c r="A28" s="3"/>
      <c r="B28" s="32"/>
      <c r="C28" s="15"/>
      <c r="S28" s="6" t="s">
        <v>115</v>
      </c>
      <c r="T28" s="6" t="s">
        <v>92</v>
      </c>
      <c r="U28" s="11">
        <v>44009</v>
      </c>
      <c r="V28" s="11">
        <v>44021</v>
      </c>
      <c r="W28" s="5">
        <f t="shared" si="6"/>
        <v>44013</v>
      </c>
      <c r="X28" s="4">
        <f>IFERROR(VLOOKUP(V28,Auxiliar!$T$3:$W$367,4,FALSE),"")</f>
        <v>5</v>
      </c>
    </row>
    <row r="29" spans="1:35" x14ac:dyDescent="0.3">
      <c r="A29" s="3"/>
      <c r="B29" s="32"/>
      <c r="C29" s="15"/>
      <c r="S29" s="6" t="s">
        <v>116</v>
      </c>
      <c r="T29" s="6" t="s">
        <v>94</v>
      </c>
      <c r="U29" s="11">
        <v>44013</v>
      </c>
      <c r="V29" s="11">
        <v>44023</v>
      </c>
      <c r="W29" s="5">
        <f t="shared" si="6"/>
        <v>44013</v>
      </c>
      <c r="X29" s="4">
        <f>IFERROR(VLOOKUP(V29,Auxiliar!$T$3:$W$367,4,FALSE),"")</f>
        <v>7</v>
      </c>
      <c r="Z29" s="42" t="s">
        <v>29</v>
      </c>
      <c r="AA29" s="41"/>
      <c r="AB29" s="41"/>
      <c r="AC29" s="41"/>
      <c r="AD29" s="41"/>
      <c r="AE29" s="41"/>
    </row>
    <row r="30" spans="1:35" x14ac:dyDescent="0.3">
      <c r="A30" s="3"/>
      <c r="B30" s="32"/>
      <c r="C30" s="15"/>
      <c r="S30" s="6" t="s">
        <v>117</v>
      </c>
      <c r="T30" s="6" t="s">
        <v>94</v>
      </c>
      <c r="U30" s="11">
        <v>44014</v>
      </c>
      <c r="V30" s="11">
        <v>44029</v>
      </c>
      <c r="W30" s="5">
        <f t="shared" si="6"/>
        <v>44013</v>
      </c>
      <c r="X30" s="4">
        <f>IFERROR(VLOOKUP(V30,Auxiliar!$T$3:$W$367,4,FALSE),"")</f>
        <v>6</v>
      </c>
    </row>
    <row r="31" spans="1:35" x14ac:dyDescent="0.3">
      <c r="A31" s="3"/>
      <c r="B31" s="32"/>
      <c r="C31" s="15"/>
      <c r="S31" s="6" t="s">
        <v>118</v>
      </c>
      <c r="T31" s="6" t="s">
        <v>92</v>
      </c>
      <c r="U31" s="11">
        <v>44018</v>
      </c>
      <c r="V31" s="11">
        <v>44025</v>
      </c>
      <c r="W31" s="5">
        <f t="shared" si="6"/>
        <v>44013</v>
      </c>
      <c r="X31" s="4">
        <f>IFERROR(VLOOKUP(V31,Auxiliar!$T$3:$W$367,4,FALSE),"")</f>
        <v>2</v>
      </c>
      <c r="Z31" s="43" t="str">
        <f>"O realizado na Semana "&amp;Auxiliar!AF6&amp;" foi "&amp;TEXT(Auxiliar!BA2,Auxiliar!H3)&amp;" ("&amp;TEXT(Auxiliar!BA5,Auxiliar!H3)&amp;" "&amp;Auxiliar!BA6&amp;" do que meta de "&amp; TEXT(Auxiliar!BA3,Auxiliar!H3)&amp;")."</f>
        <v>O realizado na Semana 38 foi 6 (36 pior do que meta de 42).</v>
      </c>
      <c r="AA31" s="43"/>
      <c r="AB31" s="43"/>
      <c r="AC31" s="43"/>
      <c r="AD31" s="43"/>
      <c r="AE31" s="43"/>
    </row>
    <row r="32" spans="1:35" x14ac:dyDescent="0.3">
      <c r="A32" s="3"/>
      <c r="S32" s="6" t="s">
        <v>119</v>
      </c>
      <c r="T32" s="6" t="s">
        <v>92</v>
      </c>
      <c r="U32" s="11">
        <v>44027</v>
      </c>
      <c r="V32" s="11">
        <v>44032</v>
      </c>
      <c r="W32" s="5">
        <f t="shared" si="6"/>
        <v>44013</v>
      </c>
      <c r="X32" s="4">
        <f>IFERROR(VLOOKUP(V32,Auxiliar!$T$3:$W$367,4,FALSE),"")</f>
        <v>2</v>
      </c>
    </row>
    <row r="33" spans="1:31" x14ac:dyDescent="0.3">
      <c r="A33" s="3"/>
      <c r="B33" s="32"/>
      <c r="S33" s="6" t="s">
        <v>120</v>
      </c>
      <c r="T33" s="6" t="s">
        <v>90</v>
      </c>
      <c r="U33" s="11">
        <v>44032</v>
      </c>
      <c r="V33" s="11">
        <v>44044</v>
      </c>
      <c r="W33" s="5">
        <f t="shared" si="6"/>
        <v>44044</v>
      </c>
      <c r="X33" s="4">
        <f>IFERROR(VLOOKUP(V33,Auxiliar!$T$3:$W$367,4,FALSE),"")</f>
        <v>7</v>
      </c>
      <c r="AA33" s="44" t="str">
        <f>C3&amp;" ("&amp;Auxiliar!G3&amp;")"</f>
        <v>Prospecção de Vendas (#)</v>
      </c>
      <c r="AB33" s="44"/>
      <c r="AC33" s="44"/>
    </row>
    <row r="34" spans="1:31" x14ac:dyDescent="0.3">
      <c r="A34" s="3"/>
      <c r="B34" s="32"/>
      <c r="S34" s="6" t="s">
        <v>121</v>
      </c>
      <c r="T34" s="6" t="s">
        <v>90</v>
      </c>
      <c r="U34" s="11">
        <v>44043</v>
      </c>
      <c r="V34" s="11">
        <v>44048</v>
      </c>
      <c r="W34" s="5">
        <f t="shared" si="6"/>
        <v>44044</v>
      </c>
      <c r="X34" s="4">
        <f>IFERROR(VLOOKUP(V34,Auxiliar!$T$3:$W$367,4,FALSE),"")</f>
        <v>4</v>
      </c>
      <c r="AA34" s="44"/>
      <c r="AB34" s="44"/>
      <c r="AC34" s="44"/>
    </row>
    <row r="35" spans="1:31" x14ac:dyDescent="0.3">
      <c r="A35" s="3"/>
      <c r="S35" s="6" t="s">
        <v>122</v>
      </c>
      <c r="T35" s="6" t="s">
        <v>94</v>
      </c>
      <c r="U35" s="11">
        <v>44049</v>
      </c>
      <c r="V35" s="11">
        <v>44057</v>
      </c>
      <c r="W35" s="5">
        <f t="shared" si="6"/>
        <v>44044</v>
      </c>
      <c r="X35" s="4">
        <f>IFERROR(VLOOKUP(V35,Auxiliar!$T$3:$W$367,4,FALSE),"")</f>
        <v>6</v>
      </c>
      <c r="AA35" s="40" t="str">
        <f>C4</f>
        <v>Núm. Prospecções / HC Vendas</v>
      </c>
      <c r="AB35" s="40"/>
      <c r="AC35" s="40"/>
      <c r="AE35" s="17" t="str">
        <f>IF(C30="Baixo","(","&amp;")</f>
        <v>&amp;</v>
      </c>
    </row>
    <row r="36" spans="1:31" x14ac:dyDescent="0.3">
      <c r="A36" s="3"/>
      <c r="S36" s="6" t="s">
        <v>123</v>
      </c>
      <c r="T36" s="6" t="s">
        <v>94</v>
      </c>
      <c r="U36" s="11">
        <v>44062</v>
      </c>
      <c r="V36" s="11">
        <v>44065</v>
      </c>
      <c r="W36" s="5">
        <f t="shared" si="6"/>
        <v>44044</v>
      </c>
      <c r="X36" s="4">
        <f>IFERROR(VLOOKUP(V36,Auxiliar!$T$3:$W$367,4,FALSE),"")</f>
        <v>7</v>
      </c>
    </row>
    <row r="37" spans="1:31" ht="14.4" customHeight="1" x14ac:dyDescent="0.3">
      <c r="A37" s="3"/>
      <c r="S37" s="6" t="s">
        <v>124</v>
      </c>
      <c r="T37" s="6" t="s">
        <v>92</v>
      </c>
      <c r="U37" s="11">
        <v>44066</v>
      </c>
      <c r="V37" s="11">
        <v>44076</v>
      </c>
      <c r="W37" s="5">
        <f t="shared" si="6"/>
        <v>44075</v>
      </c>
      <c r="X37" s="4">
        <f>IFERROR(VLOOKUP(V37,Auxiliar!$T$3:$W$367,4,FALSE),"")</f>
        <v>4</v>
      </c>
    </row>
    <row r="38" spans="1:31" ht="14.4" customHeight="1" x14ac:dyDescent="0.3">
      <c r="A38" s="3"/>
      <c r="S38" s="6" t="s">
        <v>125</v>
      </c>
      <c r="T38" s="6" t="s">
        <v>90</v>
      </c>
      <c r="U38" s="11">
        <v>44068</v>
      </c>
      <c r="V38" s="11">
        <v>44067</v>
      </c>
      <c r="W38" s="5">
        <f t="shared" si="6"/>
        <v>44044</v>
      </c>
      <c r="X38" s="4">
        <f>IFERROR(VLOOKUP(V38,Auxiliar!$T$3:$W$367,4,FALSE),"")</f>
        <v>2</v>
      </c>
    </row>
    <row r="39" spans="1:31" ht="14.4" customHeight="1" x14ac:dyDescent="0.3">
      <c r="A39" s="3"/>
      <c r="S39" s="6" t="s">
        <v>126</v>
      </c>
      <c r="T39" s="6" t="s">
        <v>92</v>
      </c>
      <c r="U39" s="11">
        <v>44071</v>
      </c>
      <c r="V39" s="11">
        <v>44074</v>
      </c>
      <c r="W39" s="5">
        <f t="shared" si="6"/>
        <v>44044</v>
      </c>
      <c r="X39" s="4">
        <f>IFERROR(VLOOKUP(V39,Auxiliar!$T$3:$W$367,4,FALSE),"")</f>
        <v>2</v>
      </c>
    </row>
    <row r="40" spans="1:31" x14ac:dyDescent="0.3">
      <c r="A40" s="3"/>
      <c r="S40" s="6" t="s">
        <v>127</v>
      </c>
      <c r="T40" s="6" t="s">
        <v>92</v>
      </c>
      <c r="U40" s="11">
        <v>44076</v>
      </c>
      <c r="V40" s="11">
        <v>44084</v>
      </c>
      <c r="W40" s="5">
        <f t="shared" si="6"/>
        <v>44075</v>
      </c>
      <c r="X40" s="4">
        <f>IFERROR(VLOOKUP(V40,Auxiliar!$T$3:$W$367,4,FALSE),"")</f>
        <v>5</v>
      </c>
    </row>
    <row r="41" spans="1:31" x14ac:dyDescent="0.3">
      <c r="A41" s="3"/>
      <c r="S41" s="6" t="s">
        <v>128</v>
      </c>
      <c r="T41" s="6" t="s">
        <v>92</v>
      </c>
      <c r="U41" s="11">
        <v>44077</v>
      </c>
      <c r="V41" s="11">
        <v>44080</v>
      </c>
      <c r="W41" s="5">
        <f t="shared" si="6"/>
        <v>44075</v>
      </c>
      <c r="X41" s="4">
        <f>IFERROR(VLOOKUP(V41,Auxiliar!$T$3:$W$367,4,FALSE),"")</f>
        <v>1</v>
      </c>
    </row>
    <row r="42" spans="1:31" x14ac:dyDescent="0.3">
      <c r="A42" s="3"/>
      <c r="S42" s="6" t="s">
        <v>129</v>
      </c>
      <c r="T42" s="6" t="s">
        <v>94</v>
      </c>
      <c r="U42" s="11">
        <v>44079</v>
      </c>
      <c r="V42" s="11">
        <v>44084</v>
      </c>
      <c r="W42" s="5">
        <f t="shared" si="6"/>
        <v>44075</v>
      </c>
      <c r="X42" s="4">
        <f>IFERROR(VLOOKUP(V42,Auxiliar!$T$3:$W$367,4,FALSE),"")</f>
        <v>5</v>
      </c>
    </row>
    <row r="43" spans="1:31" x14ac:dyDescent="0.3">
      <c r="A43" s="3"/>
      <c r="S43" s="6"/>
      <c r="T43" s="6"/>
      <c r="U43" s="8"/>
      <c r="V43" s="11"/>
      <c r="W43" s="5" t="str">
        <f t="shared" si="6"/>
        <v/>
      </c>
      <c r="X43" s="4" t="str">
        <f>IFERROR(VLOOKUP(V43,Auxiliar!$T$3:$W$367,4,FALSE),"")</f>
        <v/>
      </c>
    </row>
    <row r="44" spans="1:31" x14ac:dyDescent="0.3">
      <c r="A44" s="3"/>
      <c r="S44" s="6"/>
      <c r="T44" s="6"/>
      <c r="U44" s="8"/>
      <c r="V44" s="11"/>
      <c r="W44" s="5" t="str">
        <f t="shared" si="6"/>
        <v/>
      </c>
      <c r="X44" s="4" t="str">
        <f>IFERROR(VLOOKUP(V44,Auxiliar!$T$3:$W$367,4,FALSE),"")</f>
        <v/>
      </c>
    </row>
    <row r="45" spans="1:31" x14ac:dyDescent="0.3">
      <c r="A45" s="3"/>
      <c r="S45" s="6"/>
      <c r="T45" s="6"/>
      <c r="U45" s="8"/>
      <c r="V45" s="11"/>
      <c r="W45" s="5" t="str">
        <f t="shared" si="6"/>
        <v/>
      </c>
      <c r="X45" s="4" t="str">
        <f>IFERROR(VLOOKUP(V45,Auxiliar!$T$3:$W$367,4,FALSE),"")</f>
        <v/>
      </c>
    </row>
    <row r="46" spans="1:31" x14ac:dyDescent="0.3">
      <c r="A46" s="3"/>
      <c r="S46" s="6"/>
      <c r="T46" s="6"/>
      <c r="U46" s="8"/>
      <c r="V46" s="11"/>
      <c r="W46" s="5" t="str">
        <f t="shared" si="6"/>
        <v/>
      </c>
      <c r="X46" s="4" t="str">
        <f>IFERROR(VLOOKUP(V46,Auxiliar!$T$3:$W$367,4,FALSE),"")</f>
        <v/>
      </c>
    </row>
    <row r="47" spans="1:31" x14ac:dyDescent="0.3">
      <c r="A47" s="3"/>
      <c r="S47" s="6"/>
      <c r="T47" s="6"/>
      <c r="U47" s="8"/>
      <c r="V47" s="11"/>
      <c r="W47" s="5" t="str">
        <f t="shared" si="6"/>
        <v/>
      </c>
      <c r="X47" s="4" t="str">
        <f>IFERROR(VLOOKUP(V47,Auxiliar!$T$3:$W$367,4,FALSE),"")</f>
        <v/>
      </c>
    </row>
    <row r="48" spans="1:31" x14ac:dyDescent="0.3">
      <c r="A48" s="3"/>
      <c r="S48" s="6"/>
      <c r="T48" s="6"/>
      <c r="U48" s="8"/>
      <c r="V48" s="11"/>
      <c r="W48" s="5" t="str">
        <f t="shared" si="6"/>
        <v/>
      </c>
      <c r="X48" s="4" t="str">
        <f>IFERROR(VLOOKUP(V48,Auxiliar!$T$3:$W$367,4,FALSE),"")</f>
        <v/>
      </c>
    </row>
    <row r="49" spans="1:24" x14ac:dyDescent="0.3">
      <c r="A49" s="3"/>
      <c r="S49" s="6"/>
      <c r="T49" s="6"/>
      <c r="U49" s="8"/>
      <c r="V49" s="11"/>
      <c r="W49" s="5" t="str">
        <f t="shared" si="6"/>
        <v/>
      </c>
      <c r="X49" s="4" t="str">
        <f>IFERROR(VLOOKUP(V49,Auxiliar!$T$3:$W$367,4,FALSE),"")</f>
        <v/>
      </c>
    </row>
    <row r="50" spans="1:24" x14ac:dyDescent="0.3">
      <c r="A50" s="3"/>
      <c r="S50" s="6"/>
      <c r="T50" s="6"/>
      <c r="U50" s="8"/>
      <c r="V50" s="11"/>
      <c r="W50" s="5" t="str">
        <f t="shared" si="6"/>
        <v/>
      </c>
      <c r="X50" s="4" t="str">
        <f>IFERROR(VLOOKUP(V50,Auxiliar!$T$3:$W$367,4,FALSE),"")</f>
        <v/>
      </c>
    </row>
    <row r="51" spans="1:24" x14ac:dyDescent="0.3">
      <c r="A51" s="3"/>
      <c r="S51" s="6"/>
      <c r="T51" s="6"/>
      <c r="U51" s="8"/>
      <c r="V51" s="11"/>
      <c r="W51" s="5" t="str">
        <f t="shared" si="6"/>
        <v/>
      </c>
      <c r="X51" s="4" t="str">
        <f>IFERROR(VLOOKUP(V51,Auxiliar!$T$3:$W$367,4,FALSE),"")</f>
        <v/>
      </c>
    </row>
    <row r="52" spans="1:24" x14ac:dyDescent="0.3">
      <c r="A52" s="3"/>
      <c r="S52" s="6"/>
      <c r="T52" s="6"/>
      <c r="U52" s="8"/>
      <c r="V52" s="11"/>
      <c r="W52" s="5" t="str">
        <f t="shared" si="6"/>
        <v/>
      </c>
      <c r="X52" s="4" t="str">
        <f>IFERROR(VLOOKUP(V52,Auxiliar!$T$3:$W$367,4,FALSE),"")</f>
        <v/>
      </c>
    </row>
    <row r="53" spans="1:24" x14ac:dyDescent="0.3">
      <c r="A53" s="3"/>
      <c r="S53" s="6"/>
      <c r="T53" s="6"/>
      <c r="U53" s="8"/>
      <c r="V53" s="11"/>
      <c r="W53" s="5" t="str">
        <f t="shared" si="6"/>
        <v/>
      </c>
      <c r="X53" s="4" t="str">
        <f>IFERROR(VLOOKUP(V53,Auxiliar!$T$3:$W$367,4,FALSE),"")</f>
        <v/>
      </c>
    </row>
    <row r="54" spans="1:24" x14ac:dyDescent="0.3">
      <c r="A54" s="3"/>
      <c r="S54" s="6"/>
      <c r="T54" s="6"/>
      <c r="U54" s="8"/>
      <c r="V54" s="11"/>
      <c r="W54" s="5" t="str">
        <f t="shared" si="6"/>
        <v/>
      </c>
      <c r="X54" s="4" t="str">
        <f>IFERROR(VLOOKUP(V54,Auxiliar!$T$3:$W$367,4,FALSE),"")</f>
        <v/>
      </c>
    </row>
    <row r="55" spans="1:24" x14ac:dyDescent="0.3">
      <c r="A55" s="3"/>
      <c r="S55" s="6"/>
      <c r="T55" s="6"/>
      <c r="U55" s="8"/>
      <c r="V55" s="11"/>
      <c r="W55" s="5" t="str">
        <f t="shared" si="6"/>
        <v/>
      </c>
      <c r="X55" s="4" t="str">
        <f>IFERROR(VLOOKUP(V55,Auxiliar!$T$3:$W$367,4,FALSE),"")</f>
        <v/>
      </c>
    </row>
    <row r="56" spans="1:24" x14ac:dyDescent="0.3">
      <c r="A56" s="3"/>
      <c r="S56" s="6"/>
      <c r="T56" s="6"/>
      <c r="U56" s="8"/>
      <c r="V56" s="6"/>
      <c r="W56" s="5" t="str">
        <f t="shared" si="6"/>
        <v/>
      </c>
      <c r="X56" s="4" t="str">
        <f>IFERROR(VLOOKUP(V56,Auxiliar!$T$3:$W$367,4,FALSE),"")</f>
        <v/>
      </c>
    </row>
    <row r="57" spans="1:24" x14ac:dyDescent="0.3">
      <c r="A57" s="3"/>
      <c r="S57" s="6"/>
      <c r="T57" s="6"/>
      <c r="U57" s="8"/>
      <c r="V57" s="6"/>
      <c r="W57" s="5" t="str">
        <f t="shared" si="6"/>
        <v/>
      </c>
      <c r="X57" s="4" t="str">
        <f>IFERROR(VLOOKUP(V57,Auxiliar!$T$3:$W$367,4,FALSE),"")</f>
        <v/>
      </c>
    </row>
    <row r="58" spans="1:24" x14ac:dyDescent="0.3">
      <c r="A58" s="3"/>
      <c r="S58" s="6"/>
      <c r="T58" s="6"/>
      <c r="U58" s="8"/>
      <c r="V58" s="6"/>
      <c r="W58" s="5" t="str">
        <f t="shared" si="6"/>
        <v/>
      </c>
      <c r="X58" s="4" t="str">
        <f>IFERROR(VLOOKUP(V58,Auxiliar!$T$3:$W$367,4,FALSE),"")</f>
        <v/>
      </c>
    </row>
    <row r="59" spans="1:24" x14ac:dyDescent="0.3">
      <c r="A59" s="3"/>
      <c r="S59" s="6"/>
      <c r="T59" s="6"/>
      <c r="U59" s="8"/>
      <c r="V59" s="6"/>
      <c r="W59" s="5" t="str">
        <f t="shared" si="6"/>
        <v/>
      </c>
      <c r="X59" s="4" t="str">
        <f>IFERROR(VLOOKUP(V59,Auxiliar!$T$3:$W$367,4,FALSE),"")</f>
        <v/>
      </c>
    </row>
    <row r="60" spans="1:24" x14ac:dyDescent="0.3">
      <c r="A60" s="3"/>
      <c r="S60" s="6"/>
      <c r="T60" s="6"/>
      <c r="U60" s="8"/>
      <c r="V60" s="6"/>
      <c r="W60" s="5" t="str">
        <f t="shared" si="6"/>
        <v/>
      </c>
      <c r="X60" s="4" t="str">
        <f>IFERROR(VLOOKUP(V60,Auxiliar!$T$3:$W$367,4,FALSE),"")</f>
        <v/>
      </c>
    </row>
    <row r="61" spans="1:24" x14ac:dyDescent="0.3">
      <c r="A61" s="3"/>
      <c r="S61" s="6"/>
      <c r="T61" s="6"/>
      <c r="U61" s="8"/>
      <c r="V61" s="6"/>
      <c r="W61" s="5" t="str">
        <f t="shared" si="6"/>
        <v/>
      </c>
      <c r="X61" s="4" t="str">
        <f>IFERROR(VLOOKUP(V61,Auxiliar!$T$3:$W$367,4,FALSE),"")</f>
        <v/>
      </c>
    </row>
    <row r="62" spans="1:24" x14ac:dyDescent="0.3">
      <c r="A62" s="3"/>
      <c r="S62" s="6"/>
      <c r="T62" s="6"/>
      <c r="U62" s="8"/>
      <c r="V62" s="6"/>
      <c r="W62" s="5" t="str">
        <f t="shared" si="6"/>
        <v/>
      </c>
      <c r="X62" s="4" t="str">
        <f>IFERROR(VLOOKUP(V62,Auxiliar!$T$3:$W$367,4,FALSE),"")</f>
        <v/>
      </c>
    </row>
    <row r="63" spans="1:24" x14ac:dyDescent="0.3">
      <c r="A63" s="3"/>
      <c r="S63" s="6"/>
      <c r="T63" s="6"/>
      <c r="U63" s="8"/>
      <c r="V63" s="6"/>
      <c r="W63" s="5" t="str">
        <f t="shared" si="6"/>
        <v/>
      </c>
      <c r="X63" s="4" t="str">
        <f>IFERROR(VLOOKUP(V63,Auxiliar!$T$3:$W$367,4,FALSE),"")</f>
        <v/>
      </c>
    </row>
    <row r="64" spans="1:24" x14ac:dyDescent="0.3">
      <c r="A64" s="3"/>
      <c r="S64" s="6"/>
      <c r="T64" s="6"/>
      <c r="U64" s="8"/>
      <c r="V64" s="6"/>
      <c r="W64" s="5" t="str">
        <f t="shared" si="6"/>
        <v/>
      </c>
      <c r="X64" s="4" t="str">
        <f>IFERROR(VLOOKUP(V64,Auxiliar!$T$3:$W$367,4,FALSE),"")</f>
        <v/>
      </c>
    </row>
    <row r="65" spans="1:24" x14ac:dyDescent="0.3">
      <c r="A65" s="3"/>
      <c r="S65" s="6"/>
      <c r="T65" s="6"/>
      <c r="U65" s="8"/>
      <c r="V65" s="6"/>
      <c r="W65" s="5" t="str">
        <f t="shared" si="6"/>
        <v/>
      </c>
      <c r="X65" s="4" t="str">
        <f>IFERROR(VLOOKUP(V65,Auxiliar!$T$3:$W$367,4,FALSE),"")</f>
        <v/>
      </c>
    </row>
    <row r="66" spans="1:24" x14ac:dyDescent="0.3">
      <c r="A66" s="3"/>
      <c r="S66" s="6"/>
      <c r="T66" s="6"/>
      <c r="U66" s="8"/>
      <c r="V66" s="6"/>
      <c r="W66" s="5" t="str">
        <f t="shared" si="6"/>
        <v/>
      </c>
      <c r="X66" s="4" t="str">
        <f>IFERROR(VLOOKUP(V66,Auxiliar!$T$3:$W$367,4,FALSE),"")</f>
        <v/>
      </c>
    </row>
    <row r="67" spans="1:24" x14ac:dyDescent="0.3">
      <c r="A67" s="3"/>
      <c r="S67" s="6"/>
      <c r="T67" s="6"/>
      <c r="U67" s="8"/>
      <c r="V67" s="6"/>
      <c r="W67" s="5" t="str">
        <f t="shared" si="6"/>
        <v/>
      </c>
      <c r="X67" s="4" t="str">
        <f>IFERROR(VLOOKUP(V67,Auxiliar!$T$3:$W$367,4,FALSE),"")</f>
        <v/>
      </c>
    </row>
    <row r="68" spans="1:24" x14ac:dyDescent="0.3">
      <c r="A68" s="3"/>
      <c r="S68" s="6"/>
      <c r="T68" s="6"/>
      <c r="U68" s="8"/>
      <c r="V68" s="6"/>
      <c r="W68" s="5" t="str">
        <f t="shared" si="6"/>
        <v/>
      </c>
      <c r="X68" s="4" t="str">
        <f>IFERROR(VLOOKUP(V68,Auxiliar!$T$3:$W$367,4,FALSE),"")</f>
        <v/>
      </c>
    </row>
    <row r="69" spans="1:24" x14ac:dyDescent="0.3">
      <c r="A69" s="3"/>
      <c r="S69" s="6"/>
      <c r="T69" s="6"/>
      <c r="U69" s="8"/>
      <c r="V69" s="6"/>
      <c r="W69" s="5" t="str">
        <f t="shared" si="6"/>
        <v/>
      </c>
      <c r="X69" s="4" t="str">
        <f>IFERROR(VLOOKUP(V69,Auxiliar!$T$3:$W$367,4,FALSE),"")</f>
        <v/>
      </c>
    </row>
    <row r="70" spans="1:24" x14ac:dyDescent="0.3">
      <c r="A70" s="3"/>
      <c r="S70" s="6"/>
      <c r="T70" s="6"/>
      <c r="U70" s="8"/>
      <c r="V70" s="6"/>
      <c r="W70" s="5" t="str">
        <f t="shared" ref="W70:W133" si="8">IF(V70="","",DATE(YEAR(V70),MONTH(V70),1))</f>
        <v/>
      </c>
      <c r="X70" s="4" t="str">
        <f>IFERROR(VLOOKUP(V70,Auxiliar!$T$3:$W$367,4,FALSE),"")</f>
        <v/>
      </c>
    </row>
    <row r="71" spans="1:24" x14ac:dyDescent="0.3">
      <c r="A71" s="3"/>
      <c r="S71" s="6"/>
      <c r="T71" s="6"/>
      <c r="U71" s="8"/>
      <c r="V71" s="6"/>
      <c r="W71" s="5" t="str">
        <f t="shared" si="8"/>
        <v/>
      </c>
      <c r="X71" s="4" t="str">
        <f>IFERROR(VLOOKUP(V71,Auxiliar!$T$3:$W$367,4,FALSE),"")</f>
        <v/>
      </c>
    </row>
    <row r="72" spans="1:24" x14ac:dyDescent="0.3">
      <c r="A72" s="3"/>
      <c r="S72" s="6"/>
      <c r="T72" s="6"/>
      <c r="U72" s="8"/>
      <c r="V72" s="6"/>
      <c r="W72" s="5" t="str">
        <f t="shared" si="8"/>
        <v/>
      </c>
      <c r="X72" s="4" t="str">
        <f>IFERROR(VLOOKUP(V72,Auxiliar!$T$3:$W$367,4,FALSE),"")</f>
        <v/>
      </c>
    </row>
    <row r="73" spans="1:24" x14ac:dyDescent="0.3">
      <c r="A73" s="3"/>
      <c r="S73" s="6"/>
      <c r="T73" s="6"/>
      <c r="U73" s="8"/>
      <c r="V73" s="6"/>
      <c r="W73" s="5" t="str">
        <f t="shared" si="8"/>
        <v/>
      </c>
      <c r="X73" s="4" t="str">
        <f>IFERROR(VLOOKUP(V73,Auxiliar!$T$3:$W$367,4,FALSE),"")</f>
        <v/>
      </c>
    </row>
    <row r="74" spans="1:24" x14ac:dyDescent="0.3">
      <c r="A74" s="3"/>
      <c r="S74" s="6"/>
      <c r="T74" s="6"/>
      <c r="U74" s="8"/>
      <c r="V74" s="6"/>
      <c r="W74" s="5" t="str">
        <f t="shared" si="8"/>
        <v/>
      </c>
      <c r="X74" s="4" t="str">
        <f>IFERROR(VLOOKUP(V74,Auxiliar!$T$3:$W$367,4,FALSE),"")</f>
        <v/>
      </c>
    </row>
    <row r="75" spans="1:24" x14ac:dyDescent="0.3">
      <c r="A75" s="3"/>
      <c r="S75" s="6"/>
      <c r="T75" s="6"/>
      <c r="U75" s="8"/>
      <c r="V75" s="6"/>
      <c r="W75" s="5" t="str">
        <f t="shared" si="8"/>
        <v/>
      </c>
      <c r="X75" s="4" t="str">
        <f>IFERROR(VLOOKUP(V75,Auxiliar!$T$3:$W$367,4,FALSE),"")</f>
        <v/>
      </c>
    </row>
    <row r="76" spans="1:24" x14ac:dyDescent="0.3">
      <c r="A76" s="3"/>
      <c r="S76" s="6"/>
      <c r="T76" s="6"/>
      <c r="U76" s="8"/>
      <c r="V76" s="6"/>
      <c r="W76" s="5" t="str">
        <f t="shared" si="8"/>
        <v/>
      </c>
      <c r="X76" s="4" t="str">
        <f>IFERROR(VLOOKUP(V76,Auxiliar!$T$3:$W$367,4,FALSE),"")</f>
        <v/>
      </c>
    </row>
    <row r="77" spans="1:24" x14ac:dyDescent="0.3">
      <c r="A77" s="3"/>
      <c r="S77" s="6"/>
      <c r="T77" s="6"/>
      <c r="U77" s="8"/>
      <c r="V77" s="6"/>
      <c r="W77" s="5" t="str">
        <f t="shared" si="8"/>
        <v/>
      </c>
      <c r="X77" s="4" t="str">
        <f>IFERROR(VLOOKUP(V77,Auxiliar!$T$3:$W$367,4,FALSE),"")</f>
        <v/>
      </c>
    </row>
    <row r="78" spans="1:24" x14ac:dyDescent="0.3">
      <c r="A78" s="3"/>
      <c r="S78" s="6"/>
      <c r="T78" s="6"/>
      <c r="U78" s="8"/>
      <c r="V78" s="6"/>
      <c r="W78" s="5" t="str">
        <f t="shared" si="8"/>
        <v/>
      </c>
      <c r="X78" s="4" t="str">
        <f>IFERROR(VLOOKUP(V78,Auxiliar!$T$3:$W$367,4,FALSE),"")</f>
        <v/>
      </c>
    </row>
    <row r="79" spans="1:24" x14ac:dyDescent="0.3">
      <c r="A79" s="3"/>
      <c r="S79" s="6"/>
      <c r="T79" s="6"/>
      <c r="U79" s="8"/>
      <c r="V79" s="6"/>
      <c r="W79" s="5" t="str">
        <f t="shared" si="8"/>
        <v/>
      </c>
      <c r="X79" s="4" t="str">
        <f>IFERROR(VLOOKUP(V79,Auxiliar!$T$3:$W$367,4,FALSE),"")</f>
        <v/>
      </c>
    </row>
    <row r="80" spans="1:24" x14ac:dyDescent="0.3">
      <c r="A80" s="3"/>
      <c r="S80" s="6"/>
      <c r="T80" s="6"/>
      <c r="U80" s="8"/>
      <c r="V80" s="6"/>
      <c r="W80" s="5" t="str">
        <f t="shared" si="8"/>
        <v/>
      </c>
      <c r="X80" s="4" t="str">
        <f>IFERROR(VLOOKUP(V80,Auxiliar!$T$3:$W$367,4,FALSE),"")</f>
        <v/>
      </c>
    </row>
    <row r="81" spans="1:24" x14ac:dyDescent="0.3">
      <c r="A81" s="3"/>
      <c r="S81" s="6"/>
      <c r="T81" s="6"/>
      <c r="U81" s="8"/>
      <c r="V81" s="6"/>
      <c r="W81" s="5" t="str">
        <f t="shared" si="8"/>
        <v/>
      </c>
      <c r="X81" s="4" t="str">
        <f>IFERROR(VLOOKUP(V81,Auxiliar!$T$3:$W$367,4,FALSE),"")</f>
        <v/>
      </c>
    </row>
    <row r="82" spans="1:24" x14ac:dyDescent="0.3">
      <c r="A82" s="3"/>
      <c r="S82" s="6"/>
      <c r="T82" s="6"/>
      <c r="U82" s="8"/>
      <c r="V82" s="6"/>
      <c r="W82" s="5" t="str">
        <f t="shared" si="8"/>
        <v/>
      </c>
      <c r="X82" s="4" t="str">
        <f>IFERROR(VLOOKUP(V82,Auxiliar!$T$3:$W$367,4,FALSE),"")</f>
        <v/>
      </c>
    </row>
    <row r="83" spans="1:24" x14ac:dyDescent="0.3">
      <c r="A83" s="3"/>
      <c r="S83" s="6"/>
      <c r="T83" s="6"/>
      <c r="U83" s="8"/>
      <c r="V83" s="6"/>
      <c r="W83" s="5" t="str">
        <f t="shared" si="8"/>
        <v/>
      </c>
      <c r="X83" s="4" t="str">
        <f>IFERROR(VLOOKUP(V83,Auxiliar!$T$3:$W$367,4,FALSE),"")</f>
        <v/>
      </c>
    </row>
    <row r="84" spans="1:24" x14ac:dyDescent="0.3">
      <c r="A84" s="3"/>
      <c r="S84" s="6"/>
      <c r="T84" s="6"/>
      <c r="U84" s="8"/>
      <c r="V84" s="6"/>
      <c r="W84" s="5" t="str">
        <f t="shared" si="8"/>
        <v/>
      </c>
      <c r="X84" s="4" t="str">
        <f>IFERROR(VLOOKUP(V84,Auxiliar!$T$3:$W$367,4,FALSE),"")</f>
        <v/>
      </c>
    </row>
    <row r="85" spans="1:24" x14ac:dyDescent="0.3">
      <c r="A85" s="3"/>
      <c r="S85" s="6"/>
      <c r="T85" s="6"/>
      <c r="U85" s="8"/>
      <c r="V85" s="6"/>
      <c r="W85" s="5" t="str">
        <f t="shared" si="8"/>
        <v/>
      </c>
      <c r="X85" s="4" t="str">
        <f>IFERROR(VLOOKUP(V85,Auxiliar!$T$3:$W$367,4,FALSE),"")</f>
        <v/>
      </c>
    </row>
    <row r="86" spans="1:24" x14ac:dyDescent="0.3">
      <c r="A86" s="3"/>
      <c r="S86" s="6"/>
      <c r="T86" s="6"/>
      <c r="U86" s="8"/>
      <c r="V86" s="6"/>
      <c r="W86" s="5" t="str">
        <f t="shared" si="8"/>
        <v/>
      </c>
      <c r="X86" s="4" t="str">
        <f>IFERROR(VLOOKUP(V86,Auxiliar!$T$3:$W$367,4,FALSE),"")</f>
        <v/>
      </c>
    </row>
    <row r="87" spans="1:24" x14ac:dyDescent="0.3">
      <c r="A87" s="3"/>
      <c r="S87" s="6"/>
      <c r="T87" s="6"/>
      <c r="U87" s="8"/>
      <c r="V87" s="6"/>
      <c r="W87" s="5" t="str">
        <f t="shared" si="8"/>
        <v/>
      </c>
      <c r="X87" s="4" t="str">
        <f>IFERROR(VLOOKUP(V87,Auxiliar!$T$3:$W$367,4,FALSE),"")</f>
        <v/>
      </c>
    </row>
    <row r="88" spans="1:24" x14ac:dyDescent="0.3">
      <c r="A88" s="3"/>
      <c r="S88" s="6"/>
      <c r="T88" s="6"/>
      <c r="U88" s="8"/>
      <c r="V88" s="6"/>
      <c r="W88" s="5" t="str">
        <f t="shared" si="8"/>
        <v/>
      </c>
      <c r="X88" s="4" t="str">
        <f>IFERROR(VLOOKUP(V88,Auxiliar!$T$3:$W$367,4,FALSE),"")</f>
        <v/>
      </c>
    </row>
    <row r="89" spans="1:24" x14ac:dyDescent="0.3">
      <c r="A89" s="3"/>
      <c r="S89" s="6"/>
      <c r="T89" s="6"/>
      <c r="U89" s="8"/>
      <c r="V89" s="6"/>
      <c r="W89" s="5" t="str">
        <f t="shared" si="8"/>
        <v/>
      </c>
      <c r="X89" s="4" t="str">
        <f>IFERROR(VLOOKUP(V89,Auxiliar!$T$3:$W$367,4,FALSE),"")</f>
        <v/>
      </c>
    </row>
    <row r="90" spans="1:24" x14ac:dyDescent="0.3">
      <c r="A90" s="3"/>
      <c r="S90" s="6"/>
      <c r="T90" s="6"/>
      <c r="U90" s="8"/>
      <c r="V90" s="6"/>
      <c r="W90" s="5" t="str">
        <f t="shared" si="8"/>
        <v/>
      </c>
      <c r="X90" s="4" t="str">
        <f>IFERROR(VLOOKUP(V90,Auxiliar!$T$3:$W$367,4,FALSE),"")</f>
        <v/>
      </c>
    </row>
    <row r="91" spans="1:24" x14ac:dyDescent="0.3">
      <c r="A91" s="3"/>
      <c r="S91" s="6"/>
      <c r="T91" s="6"/>
      <c r="U91" s="8"/>
      <c r="V91" s="6"/>
      <c r="W91" s="5" t="str">
        <f t="shared" si="8"/>
        <v/>
      </c>
      <c r="X91" s="4" t="str">
        <f>IFERROR(VLOOKUP(V91,Auxiliar!$T$3:$W$367,4,FALSE),"")</f>
        <v/>
      </c>
    </row>
    <row r="92" spans="1:24" x14ac:dyDescent="0.3">
      <c r="A92" s="3"/>
      <c r="S92" s="6"/>
      <c r="T92" s="6"/>
      <c r="U92" s="8"/>
      <c r="V92" s="6"/>
      <c r="W92" s="5" t="str">
        <f t="shared" si="8"/>
        <v/>
      </c>
      <c r="X92" s="4" t="str">
        <f>IFERROR(VLOOKUP(V92,Auxiliar!$T$3:$W$367,4,FALSE),"")</f>
        <v/>
      </c>
    </row>
    <row r="93" spans="1:24" x14ac:dyDescent="0.3">
      <c r="A93" s="3"/>
      <c r="S93" s="6"/>
      <c r="T93" s="6"/>
      <c r="U93" s="8"/>
      <c r="V93" s="6"/>
      <c r="W93" s="5" t="str">
        <f t="shared" si="8"/>
        <v/>
      </c>
      <c r="X93" s="4" t="str">
        <f>IFERROR(VLOOKUP(V93,Auxiliar!$T$3:$W$367,4,FALSE),"")</f>
        <v/>
      </c>
    </row>
    <row r="94" spans="1:24" x14ac:dyDescent="0.3">
      <c r="A94" s="3"/>
      <c r="S94" s="6"/>
      <c r="T94" s="6"/>
      <c r="U94" s="8"/>
      <c r="V94" s="6"/>
      <c r="W94" s="5" t="str">
        <f t="shared" si="8"/>
        <v/>
      </c>
      <c r="X94" s="4" t="str">
        <f>IFERROR(VLOOKUP(V94,Auxiliar!$T$3:$W$367,4,FALSE),"")</f>
        <v/>
      </c>
    </row>
    <row r="95" spans="1:24" x14ac:dyDescent="0.3">
      <c r="A95" s="3"/>
      <c r="S95" s="6"/>
      <c r="T95" s="6"/>
      <c r="U95" s="8"/>
      <c r="V95" s="6"/>
      <c r="W95" s="5" t="str">
        <f t="shared" si="8"/>
        <v/>
      </c>
      <c r="X95" s="4" t="str">
        <f>IFERROR(VLOOKUP(V95,Auxiliar!$T$3:$W$367,4,FALSE),"")</f>
        <v/>
      </c>
    </row>
    <row r="96" spans="1:24" x14ac:dyDescent="0.3">
      <c r="A96" s="3"/>
      <c r="S96" s="6"/>
      <c r="T96" s="6"/>
      <c r="U96" s="8"/>
      <c r="V96" s="6"/>
      <c r="W96" s="5" t="str">
        <f t="shared" si="8"/>
        <v/>
      </c>
      <c r="X96" s="4" t="str">
        <f>IFERROR(VLOOKUP(V96,Auxiliar!$T$3:$W$367,4,FALSE),"")</f>
        <v/>
      </c>
    </row>
    <row r="97" spans="1:24" x14ac:dyDescent="0.3">
      <c r="A97" s="3"/>
      <c r="S97" s="6"/>
      <c r="T97" s="6"/>
      <c r="U97" s="8"/>
      <c r="V97" s="6"/>
      <c r="W97" s="5" t="str">
        <f t="shared" si="8"/>
        <v/>
      </c>
      <c r="X97" s="4" t="str">
        <f>IFERROR(VLOOKUP(V97,Auxiliar!$T$3:$W$367,4,FALSE),"")</f>
        <v/>
      </c>
    </row>
    <row r="98" spans="1:24" x14ac:dyDescent="0.3">
      <c r="A98" s="3"/>
      <c r="S98" s="6"/>
      <c r="T98" s="6"/>
      <c r="U98" s="8"/>
      <c r="V98" s="6"/>
      <c r="W98" s="5" t="str">
        <f t="shared" si="8"/>
        <v/>
      </c>
      <c r="X98" s="4" t="str">
        <f>IFERROR(VLOOKUP(V98,Auxiliar!$T$3:$W$367,4,FALSE),"")</f>
        <v/>
      </c>
    </row>
    <row r="99" spans="1:24" x14ac:dyDescent="0.3">
      <c r="A99" s="3"/>
      <c r="S99" s="6"/>
      <c r="T99" s="6"/>
      <c r="U99" s="8"/>
      <c r="V99" s="6"/>
      <c r="W99" s="5" t="str">
        <f t="shared" si="8"/>
        <v/>
      </c>
      <c r="X99" s="4" t="str">
        <f>IFERROR(VLOOKUP(V99,Auxiliar!$T$3:$W$367,4,FALSE),"")</f>
        <v/>
      </c>
    </row>
    <row r="100" spans="1:24" x14ac:dyDescent="0.3">
      <c r="A100" s="3"/>
      <c r="S100" s="6"/>
      <c r="T100" s="6"/>
      <c r="U100" s="8"/>
      <c r="V100" s="6"/>
      <c r="W100" s="5" t="str">
        <f t="shared" si="8"/>
        <v/>
      </c>
      <c r="X100" s="4" t="str">
        <f>IFERROR(VLOOKUP(V100,Auxiliar!$T$3:$W$367,4,FALSE),"")</f>
        <v/>
      </c>
    </row>
    <row r="101" spans="1:24" x14ac:dyDescent="0.3">
      <c r="A101" s="3"/>
      <c r="S101" s="6"/>
      <c r="T101" s="6"/>
      <c r="U101" s="8"/>
      <c r="V101" s="6"/>
      <c r="W101" s="5" t="str">
        <f t="shared" si="8"/>
        <v/>
      </c>
      <c r="X101" s="4" t="str">
        <f>IFERROR(VLOOKUP(V101,Auxiliar!$T$3:$W$367,4,FALSE),"")</f>
        <v/>
      </c>
    </row>
    <row r="102" spans="1:24" x14ac:dyDescent="0.3">
      <c r="A102" s="3"/>
      <c r="S102" s="6"/>
      <c r="T102" s="6"/>
      <c r="U102" s="8"/>
      <c r="V102" s="6"/>
      <c r="W102" s="5" t="str">
        <f t="shared" si="8"/>
        <v/>
      </c>
      <c r="X102" s="4" t="str">
        <f>IFERROR(VLOOKUP(V102,Auxiliar!$T$3:$W$367,4,FALSE),"")</f>
        <v/>
      </c>
    </row>
    <row r="103" spans="1:24" x14ac:dyDescent="0.3">
      <c r="A103" s="3"/>
      <c r="S103" s="6"/>
      <c r="T103" s="6"/>
      <c r="U103" s="8"/>
      <c r="V103" s="6"/>
      <c r="W103" s="5" t="str">
        <f t="shared" si="8"/>
        <v/>
      </c>
      <c r="X103" s="4" t="str">
        <f>IFERROR(VLOOKUP(V103,Auxiliar!$T$3:$W$367,4,FALSE),"")</f>
        <v/>
      </c>
    </row>
    <row r="104" spans="1:24" x14ac:dyDescent="0.3">
      <c r="A104" s="3"/>
      <c r="S104" s="6"/>
      <c r="T104" s="6"/>
      <c r="U104" s="8"/>
      <c r="V104" s="6"/>
      <c r="W104" s="5" t="str">
        <f t="shared" si="8"/>
        <v/>
      </c>
      <c r="X104" s="4" t="str">
        <f>IFERROR(VLOOKUP(V104,Auxiliar!$T$3:$W$367,4,FALSE),"")</f>
        <v/>
      </c>
    </row>
    <row r="105" spans="1:24" x14ac:dyDescent="0.3">
      <c r="A105" s="3"/>
      <c r="S105" s="6"/>
      <c r="T105" s="6"/>
      <c r="U105" s="8"/>
      <c r="V105" s="6"/>
      <c r="W105" s="5" t="str">
        <f t="shared" si="8"/>
        <v/>
      </c>
      <c r="X105" s="4" t="str">
        <f>IFERROR(VLOOKUP(V105,Auxiliar!$T$3:$W$367,4,FALSE),"")</f>
        <v/>
      </c>
    </row>
    <row r="106" spans="1:24" x14ac:dyDescent="0.3">
      <c r="A106" s="3"/>
      <c r="S106" s="6"/>
      <c r="T106" s="6"/>
      <c r="U106" s="8"/>
      <c r="V106" s="6"/>
      <c r="W106" s="5" t="str">
        <f t="shared" si="8"/>
        <v/>
      </c>
      <c r="X106" s="4" t="str">
        <f>IFERROR(VLOOKUP(V106,Auxiliar!$T$3:$W$367,4,FALSE),"")</f>
        <v/>
      </c>
    </row>
    <row r="107" spans="1:24" x14ac:dyDescent="0.3">
      <c r="A107" s="3"/>
      <c r="S107" s="6"/>
      <c r="T107" s="6"/>
      <c r="U107" s="8"/>
      <c r="V107" s="6"/>
      <c r="W107" s="5" t="str">
        <f t="shared" si="8"/>
        <v/>
      </c>
      <c r="X107" s="4" t="str">
        <f>IFERROR(VLOOKUP(V107,Auxiliar!$T$3:$W$367,4,FALSE),"")</f>
        <v/>
      </c>
    </row>
    <row r="108" spans="1:24" x14ac:dyDescent="0.3">
      <c r="A108" s="3"/>
      <c r="S108" s="6"/>
      <c r="T108" s="6"/>
      <c r="U108" s="8"/>
      <c r="V108" s="6"/>
      <c r="W108" s="5" t="str">
        <f t="shared" si="8"/>
        <v/>
      </c>
      <c r="X108" s="4" t="str">
        <f>IFERROR(VLOOKUP(V108,Auxiliar!$T$3:$W$367,4,FALSE),"")</f>
        <v/>
      </c>
    </row>
    <row r="109" spans="1:24" x14ac:dyDescent="0.3">
      <c r="A109" s="3"/>
      <c r="S109" s="6"/>
      <c r="T109" s="6"/>
      <c r="U109" s="8"/>
      <c r="V109" s="6"/>
      <c r="W109" s="5" t="str">
        <f t="shared" si="8"/>
        <v/>
      </c>
      <c r="X109" s="4" t="str">
        <f>IFERROR(VLOOKUP(V109,Auxiliar!$T$3:$W$367,4,FALSE),"")</f>
        <v/>
      </c>
    </row>
    <row r="110" spans="1:24" x14ac:dyDescent="0.3">
      <c r="A110" s="3"/>
      <c r="S110" s="6"/>
      <c r="T110" s="6"/>
      <c r="U110" s="8"/>
      <c r="V110" s="6"/>
      <c r="W110" s="5" t="str">
        <f t="shared" si="8"/>
        <v/>
      </c>
      <c r="X110" s="4" t="str">
        <f>IFERROR(VLOOKUP(V110,Auxiliar!$T$3:$W$367,4,FALSE),"")</f>
        <v/>
      </c>
    </row>
    <row r="111" spans="1:24" x14ac:dyDescent="0.3">
      <c r="A111" s="3"/>
      <c r="S111" s="6"/>
      <c r="T111" s="6"/>
      <c r="U111" s="8"/>
      <c r="V111" s="6"/>
      <c r="W111" s="5" t="str">
        <f t="shared" si="8"/>
        <v/>
      </c>
      <c r="X111" s="4" t="str">
        <f>IFERROR(VLOOKUP(V111,Auxiliar!$T$3:$W$367,4,FALSE),"")</f>
        <v/>
      </c>
    </row>
    <row r="112" spans="1:24" x14ac:dyDescent="0.3">
      <c r="A112" s="3"/>
      <c r="S112" s="6"/>
      <c r="T112" s="6"/>
      <c r="U112" s="8"/>
      <c r="V112" s="6"/>
      <c r="W112" s="5" t="str">
        <f t="shared" si="8"/>
        <v/>
      </c>
      <c r="X112" s="4" t="str">
        <f>IFERROR(VLOOKUP(V112,Auxiliar!$T$3:$W$367,4,FALSE),"")</f>
        <v/>
      </c>
    </row>
    <row r="113" spans="1:24" x14ac:dyDescent="0.3">
      <c r="A113" s="3"/>
      <c r="S113" s="6"/>
      <c r="T113" s="6"/>
      <c r="U113" s="8"/>
      <c r="V113" s="6"/>
      <c r="W113" s="5" t="str">
        <f t="shared" si="8"/>
        <v/>
      </c>
      <c r="X113" s="4" t="str">
        <f>IFERROR(VLOOKUP(V113,Auxiliar!$T$3:$W$367,4,FALSE),"")</f>
        <v/>
      </c>
    </row>
    <row r="114" spans="1:24" x14ac:dyDescent="0.3">
      <c r="A114" s="3"/>
      <c r="S114" s="6"/>
      <c r="T114" s="6"/>
      <c r="U114" s="8"/>
      <c r="V114" s="6"/>
      <c r="W114" s="5" t="str">
        <f t="shared" si="8"/>
        <v/>
      </c>
      <c r="X114" s="4" t="str">
        <f>IFERROR(VLOOKUP(V114,Auxiliar!$T$3:$W$367,4,FALSE),"")</f>
        <v/>
      </c>
    </row>
    <row r="115" spans="1:24" x14ac:dyDescent="0.3">
      <c r="A115" s="3"/>
      <c r="S115" s="6"/>
      <c r="T115" s="6"/>
      <c r="U115" s="8"/>
      <c r="V115" s="6"/>
      <c r="W115" s="5" t="str">
        <f t="shared" si="8"/>
        <v/>
      </c>
      <c r="X115" s="4" t="str">
        <f>IFERROR(VLOOKUP(V115,Auxiliar!$T$3:$W$367,4,FALSE),"")</f>
        <v/>
      </c>
    </row>
    <row r="116" spans="1:24" x14ac:dyDescent="0.3">
      <c r="A116" s="3"/>
      <c r="S116" s="6"/>
      <c r="T116" s="6"/>
      <c r="U116" s="8"/>
      <c r="V116" s="6"/>
      <c r="W116" s="5" t="str">
        <f t="shared" si="8"/>
        <v/>
      </c>
      <c r="X116" s="4" t="str">
        <f>IFERROR(VLOOKUP(V116,Auxiliar!$T$3:$W$367,4,FALSE),"")</f>
        <v/>
      </c>
    </row>
    <row r="117" spans="1:24" x14ac:dyDescent="0.3">
      <c r="A117" s="3"/>
      <c r="S117" s="6"/>
      <c r="T117" s="6"/>
      <c r="U117" s="8"/>
      <c r="V117" s="6"/>
      <c r="W117" s="5" t="str">
        <f t="shared" si="8"/>
        <v/>
      </c>
      <c r="X117" s="4" t="str">
        <f>IFERROR(VLOOKUP(V117,Auxiliar!$T$3:$W$367,4,FALSE),"")</f>
        <v/>
      </c>
    </row>
    <row r="118" spans="1:24" x14ac:dyDescent="0.3">
      <c r="A118" s="3"/>
      <c r="S118" s="6"/>
      <c r="T118" s="6"/>
      <c r="U118" s="8"/>
      <c r="V118" s="6"/>
      <c r="W118" s="5" t="str">
        <f t="shared" si="8"/>
        <v/>
      </c>
      <c r="X118" s="4" t="str">
        <f>IFERROR(VLOOKUP(V118,Auxiliar!$T$3:$W$367,4,FALSE),"")</f>
        <v/>
      </c>
    </row>
    <row r="119" spans="1:24" x14ac:dyDescent="0.3">
      <c r="A119" s="3"/>
      <c r="S119" s="6"/>
      <c r="T119" s="6"/>
      <c r="U119" s="8"/>
      <c r="V119" s="6"/>
      <c r="W119" s="5" t="str">
        <f t="shared" si="8"/>
        <v/>
      </c>
      <c r="X119" s="4" t="str">
        <f>IFERROR(VLOOKUP(V119,Auxiliar!$T$3:$W$367,4,FALSE),"")</f>
        <v/>
      </c>
    </row>
    <row r="120" spans="1:24" x14ac:dyDescent="0.3">
      <c r="A120" s="3"/>
      <c r="S120" s="6"/>
      <c r="T120" s="6"/>
      <c r="U120" s="8"/>
      <c r="V120" s="6"/>
      <c r="W120" s="5" t="str">
        <f t="shared" si="8"/>
        <v/>
      </c>
      <c r="X120" s="4" t="str">
        <f>IFERROR(VLOOKUP(V120,Auxiliar!$T$3:$W$367,4,FALSE),"")</f>
        <v/>
      </c>
    </row>
    <row r="121" spans="1:24" x14ac:dyDescent="0.3">
      <c r="S121" s="6"/>
      <c r="T121" s="6"/>
      <c r="U121" s="8"/>
      <c r="V121" s="6"/>
      <c r="W121" s="5" t="str">
        <f t="shared" si="8"/>
        <v/>
      </c>
      <c r="X121" s="4" t="str">
        <f>IFERROR(VLOOKUP(V121,Auxiliar!$T$3:$W$367,4,FALSE),"")</f>
        <v/>
      </c>
    </row>
    <row r="122" spans="1:24" x14ac:dyDescent="0.3">
      <c r="S122" s="6"/>
      <c r="T122" s="6"/>
      <c r="U122" s="8"/>
      <c r="V122" s="6"/>
      <c r="W122" s="5" t="str">
        <f t="shared" si="8"/>
        <v/>
      </c>
      <c r="X122" s="4" t="str">
        <f>IFERROR(VLOOKUP(V122,Auxiliar!$T$3:$W$367,4,FALSE),"")</f>
        <v/>
      </c>
    </row>
    <row r="123" spans="1:24" x14ac:dyDescent="0.3">
      <c r="S123" s="6"/>
      <c r="T123" s="6"/>
      <c r="U123" s="8"/>
      <c r="V123" s="6"/>
      <c r="W123" s="5" t="str">
        <f t="shared" si="8"/>
        <v/>
      </c>
      <c r="X123" s="4" t="str">
        <f>IFERROR(VLOOKUP(V123,Auxiliar!$T$3:$W$367,4,FALSE),"")</f>
        <v/>
      </c>
    </row>
    <row r="124" spans="1:24" x14ac:dyDescent="0.3">
      <c r="S124" s="6"/>
      <c r="T124" s="6"/>
      <c r="U124" s="8"/>
      <c r="V124" s="6"/>
      <c r="W124" s="5" t="str">
        <f t="shared" si="8"/>
        <v/>
      </c>
      <c r="X124" s="4" t="str">
        <f>IFERROR(VLOOKUP(V124,Auxiliar!$T$3:$W$367,4,FALSE),"")</f>
        <v/>
      </c>
    </row>
    <row r="125" spans="1:24" x14ac:dyDescent="0.3">
      <c r="S125" s="6"/>
      <c r="T125" s="6"/>
      <c r="U125" s="8"/>
      <c r="V125" s="6"/>
      <c r="W125" s="5" t="str">
        <f t="shared" si="8"/>
        <v/>
      </c>
      <c r="X125" s="4" t="str">
        <f>IFERROR(VLOOKUP(V125,Auxiliar!$T$3:$W$367,4,FALSE),"")</f>
        <v/>
      </c>
    </row>
    <row r="126" spans="1:24" x14ac:dyDescent="0.3">
      <c r="S126" s="6"/>
      <c r="T126" s="6"/>
      <c r="U126" s="8"/>
      <c r="V126" s="6"/>
      <c r="W126" s="5" t="str">
        <f t="shared" si="8"/>
        <v/>
      </c>
      <c r="X126" s="4" t="str">
        <f>IFERROR(VLOOKUP(V126,Auxiliar!$T$3:$W$367,4,FALSE),"")</f>
        <v/>
      </c>
    </row>
    <row r="127" spans="1:24" x14ac:dyDescent="0.3">
      <c r="S127" s="6"/>
      <c r="T127" s="6"/>
      <c r="U127" s="8"/>
      <c r="V127" s="6"/>
      <c r="W127" s="5" t="str">
        <f t="shared" si="8"/>
        <v/>
      </c>
      <c r="X127" s="4" t="str">
        <f>IFERROR(VLOOKUP(V127,Auxiliar!$T$3:$W$367,4,FALSE),"")</f>
        <v/>
      </c>
    </row>
    <row r="128" spans="1:24" x14ac:dyDescent="0.3">
      <c r="S128" s="6"/>
      <c r="T128" s="6"/>
      <c r="U128" s="8"/>
      <c r="V128" s="6"/>
      <c r="W128" s="5" t="str">
        <f t="shared" si="8"/>
        <v/>
      </c>
      <c r="X128" s="4" t="str">
        <f>IFERROR(VLOOKUP(V128,Auxiliar!$T$3:$W$367,4,FALSE),"")</f>
        <v/>
      </c>
    </row>
    <row r="129" spans="19:24" x14ac:dyDescent="0.3">
      <c r="S129" s="6"/>
      <c r="T129" s="6"/>
      <c r="U129" s="8"/>
      <c r="V129" s="6"/>
      <c r="W129" s="5" t="str">
        <f t="shared" si="8"/>
        <v/>
      </c>
      <c r="X129" s="4" t="str">
        <f>IFERROR(VLOOKUP(V129,Auxiliar!$T$3:$W$367,4,FALSE),"")</f>
        <v/>
      </c>
    </row>
    <row r="130" spans="19:24" x14ac:dyDescent="0.3">
      <c r="S130" s="6"/>
      <c r="T130" s="6"/>
      <c r="U130" s="8"/>
      <c r="V130" s="6"/>
      <c r="W130" s="5" t="str">
        <f t="shared" si="8"/>
        <v/>
      </c>
      <c r="X130" s="4" t="str">
        <f>IFERROR(VLOOKUP(V130,Auxiliar!$T$3:$W$367,4,FALSE),"")</f>
        <v/>
      </c>
    </row>
    <row r="131" spans="19:24" x14ac:dyDescent="0.3">
      <c r="S131" s="6"/>
      <c r="T131" s="6"/>
      <c r="U131" s="8"/>
      <c r="V131" s="6"/>
      <c r="W131" s="5" t="str">
        <f t="shared" si="8"/>
        <v/>
      </c>
      <c r="X131" s="4" t="str">
        <f>IFERROR(VLOOKUP(V131,Auxiliar!$T$3:$W$367,4,FALSE),"")</f>
        <v/>
      </c>
    </row>
    <row r="132" spans="19:24" x14ac:dyDescent="0.3">
      <c r="S132" s="6"/>
      <c r="T132" s="6"/>
      <c r="U132" s="8"/>
      <c r="V132" s="6"/>
      <c r="W132" s="5" t="str">
        <f t="shared" si="8"/>
        <v/>
      </c>
      <c r="X132" s="4" t="str">
        <f>IFERROR(VLOOKUP(V132,Auxiliar!$T$3:$W$367,4,FALSE),"")</f>
        <v/>
      </c>
    </row>
    <row r="133" spans="19:24" x14ac:dyDescent="0.3">
      <c r="S133" s="6"/>
      <c r="T133" s="6"/>
      <c r="U133" s="8"/>
      <c r="V133" s="6"/>
      <c r="W133" s="5" t="str">
        <f t="shared" si="8"/>
        <v/>
      </c>
      <c r="X133" s="4" t="str">
        <f>IFERROR(VLOOKUP(V133,Auxiliar!$T$3:$W$367,4,FALSE),"")</f>
        <v/>
      </c>
    </row>
    <row r="134" spans="19:24" x14ac:dyDescent="0.3">
      <c r="S134" s="6"/>
      <c r="T134" s="6"/>
      <c r="U134" s="8"/>
      <c r="V134" s="6"/>
      <c r="W134" s="5" t="str">
        <f t="shared" ref="W134:W153" si="9">IF(V134="","",DATE(YEAR(V134),MONTH(V134),1))</f>
        <v/>
      </c>
      <c r="X134" s="4" t="str">
        <f>IFERROR(VLOOKUP(V134,Auxiliar!$T$3:$W$367,4,FALSE),"")</f>
        <v/>
      </c>
    </row>
    <row r="135" spans="19:24" x14ac:dyDescent="0.3">
      <c r="S135" s="6"/>
      <c r="T135" s="6"/>
      <c r="U135" s="8"/>
      <c r="V135" s="6"/>
      <c r="W135" s="5" t="str">
        <f t="shared" si="9"/>
        <v/>
      </c>
      <c r="X135" s="4" t="str">
        <f>IFERROR(VLOOKUP(V135,Auxiliar!$T$3:$W$367,4,FALSE),"")</f>
        <v/>
      </c>
    </row>
    <row r="136" spans="19:24" x14ac:dyDescent="0.3">
      <c r="S136" s="6"/>
      <c r="T136" s="6"/>
      <c r="U136" s="8"/>
      <c r="V136" s="6"/>
      <c r="W136" s="5" t="str">
        <f t="shared" si="9"/>
        <v/>
      </c>
      <c r="X136" s="4" t="str">
        <f>IFERROR(VLOOKUP(V136,Auxiliar!$T$3:$W$367,4,FALSE),"")</f>
        <v/>
      </c>
    </row>
    <row r="137" spans="19:24" x14ac:dyDescent="0.3">
      <c r="S137" s="6"/>
      <c r="T137" s="6"/>
      <c r="U137" s="8"/>
      <c r="V137" s="6"/>
      <c r="W137" s="5" t="str">
        <f t="shared" si="9"/>
        <v/>
      </c>
      <c r="X137" s="4" t="str">
        <f>IFERROR(VLOOKUP(V137,Auxiliar!$T$3:$W$367,4,FALSE),"")</f>
        <v/>
      </c>
    </row>
    <row r="138" spans="19:24" x14ac:dyDescent="0.3">
      <c r="S138" s="6"/>
      <c r="T138" s="6"/>
      <c r="U138" s="8"/>
      <c r="V138" s="6"/>
      <c r="W138" s="5" t="str">
        <f t="shared" si="9"/>
        <v/>
      </c>
      <c r="X138" s="4" t="str">
        <f>IFERROR(VLOOKUP(V138,Auxiliar!$T$3:$W$367,4,FALSE),"")</f>
        <v/>
      </c>
    </row>
    <row r="139" spans="19:24" x14ac:dyDescent="0.3">
      <c r="S139" s="6"/>
      <c r="T139" s="6"/>
      <c r="U139" s="8"/>
      <c r="V139" s="6"/>
      <c r="W139" s="5" t="str">
        <f t="shared" si="9"/>
        <v/>
      </c>
      <c r="X139" s="4" t="str">
        <f>IFERROR(VLOOKUP(V139,Auxiliar!$T$3:$W$367,4,FALSE),"")</f>
        <v/>
      </c>
    </row>
    <row r="140" spans="19:24" x14ac:dyDescent="0.3">
      <c r="S140" s="6"/>
      <c r="T140" s="6"/>
      <c r="U140" s="8"/>
      <c r="V140" s="6"/>
      <c r="W140" s="5" t="str">
        <f t="shared" si="9"/>
        <v/>
      </c>
      <c r="X140" s="4" t="str">
        <f>IFERROR(VLOOKUP(V140,Auxiliar!$T$3:$W$367,4,FALSE),"")</f>
        <v/>
      </c>
    </row>
    <row r="141" spans="19:24" x14ac:dyDescent="0.3">
      <c r="S141" s="6"/>
      <c r="T141" s="6"/>
      <c r="U141" s="8"/>
      <c r="V141" s="6"/>
      <c r="W141" s="5" t="str">
        <f t="shared" si="9"/>
        <v/>
      </c>
      <c r="X141" s="4" t="str">
        <f>IFERROR(VLOOKUP(V141,Auxiliar!$T$3:$W$367,4,FALSE),"")</f>
        <v/>
      </c>
    </row>
    <row r="142" spans="19:24" x14ac:dyDescent="0.3">
      <c r="S142" s="6"/>
      <c r="T142" s="6"/>
      <c r="U142" s="8"/>
      <c r="V142" s="6"/>
      <c r="W142" s="5" t="str">
        <f t="shared" si="9"/>
        <v/>
      </c>
      <c r="X142" s="4" t="str">
        <f>IFERROR(VLOOKUP(V142,Auxiliar!$T$3:$W$367,4,FALSE),"")</f>
        <v/>
      </c>
    </row>
    <row r="143" spans="19:24" x14ac:dyDescent="0.3">
      <c r="S143" s="6"/>
      <c r="T143" s="6"/>
      <c r="U143" s="8"/>
      <c r="V143" s="6"/>
      <c r="W143" s="5" t="str">
        <f t="shared" si="9"/>
        <v/>
      </c>
      <c r="X143" s="4" t="str">
        <f>IFERROR(VLOOKUP(V143,Auxiliar!$T$3:$W$367,4,FALSE),"")</f>
        <v/>
      </c>
    </row>
    <row r="144" spans="19:24" x14ac:dyDescent="0.3">
      <c r="S144" s="6"/>
      <c r="T144" s="6"/>
      <c r="U144" s="8"/>
      <c r="V144" s="6"/>
      <c r="W144" s="5" t="str">
        <f t="shared" si="9"/>
        <v/>
      </c>
      <c r="X144" s="4" t="str">
        <f>IFERROR(VLOOKUP(V144,Auxiliar!$T$3:$W$367,4,FALSE),"")</f>
        <v/>
      </c>
    </row>
    <row r="145" spans="19:24" x14ac:dyDescent="0.3">
      <c r="S145" s="6"/>
      <c r="T145" s="6"/>
      <c r="U145" s="8"/>
      <c r="V145" s="6"/>
      <c r="W145" s="5" t="str">
        <f t="shared" si="9"/>
        <v/>
      </c>
      <c r="X145" s="4" t="str">
        <f>IFERROR(VLOOKUP(V145,Auxiliar!$T$3:$W$367,4,FALSE),"")</f>
        <v/>
      </c>
    </row>
    <row r="146" spans="19:24" x14ac:dyDescent="0.3">
      <c r="S146" s="6"/>
      <c r="T146" s="6"/>
      <c r="U146" s="8"/>
      <c r="V146" s="6"/>
      <c r="W146" s="5" t="str">
        <f t="shared" si="9"/>
        <v/>
      </c>
      <c r="X146" s="4" t="str">
        <f>IFERROR(VLOOKUP(V146,Auxiliar!$T$3:$W$367,4,FALSE),"")</f>
        <v/>
      </c>
    </row>
    <row r="147" spans="19:24" x14ac:dyDescent="0.3">
      <c r="S147" s="6"/>
      <c r="T147" s="6"/>
      <c r="U147" s="8"/>
      <c r="V147" s="6"/>
      <c r="W147" s="5" t="str">
        <f t="shared" si="9"/>
        <v/>
      </c>
      <c r="X147" s="4" t="str">
        <f>IFERROR(VLOOKUP(V147,Auxiliar!$T$3:$W$367,4,FALSE),"")</f>
        <v/>
      </c>
    </row>
    <row r="148" spans="19:24" x14ac:dyDescent="0.3">
      <c r="S148" s="6"/>
      <c r="T148" s="6"/>
      <c r="U148" s="8"/>
      <c r="V148" s="6"/>
      <c r="W148" s="5" t="str">
        <f t="shared" si="9"/>
        <v/>
      </c>
      <c r="X148" s="4" t="str">
        <f>IFERROR(VLOOKUP(V148,Auxiliar!$T$3:$W$367,4,FALSE),"")</f>
        <v/>
      </c>
    </row>
    <row r="149" spans="19:24" x14ac:dyDescent="0.3">
      <c r="S149" s="6"/>
      <c r="T149" s="6"/>
      <c r="U149" s="8"/>
      <c r="V149" s="6"/>
      <c r="W149" s="5" t="str">
        <f t="shared" si="9"/>
        <v/>
      </c>
      <c r="X149" s="4" t="str">
        <f>IFERROR(VLOOKUP(V149,Auxiliar!$T$3:$W$367,4,FALSE),"")</f>
        <v/>
      </c>
    </row>
    <row r="150" spans="19:24" x14ac:dyDescent="0.3">
      <c r="S150" s="6"/>
      <c r="T150" s="6"/>
      <c r="U150" s="8"/>
      <c r="V150" s="6"/>
      <c r="W150" s="5" t="str">
        <f t="shared" si="9"/>
        <v/>
      </c>
      <c r="X150" s="4" t="str">
        <f>IFERROR(VLOOKUP(V150,Auxiliar!$T$3:$W$367,4,FALSE),"")</f>
        <v/>
      </c>
    </row>
    <row r="151" spans="19:24" x14ac:dyDescent="0.3">
      <c r="S151" s="6"/>
      <c r="T151" s="6"/>
      <c r="U151" s="8"/>
      <c r="V151" s="6"/>
      <c r="W151" s="5" t="str">
        <f t="shared" si="9"/>
        <v/>
      </c>
      <c r="X151" s="4" t="str">
        <f>IFERROR(VLOOKUP(V151,Auxiliar!$T$3:$W$367,4,FALSE),"")</f>
        <v/>
      </c>
    </row>
    <row r="152" spans="19:24" x14ac:dyDescent="0.3">
      <c r="S152" s="6"/>
      <c r="T152" s="6"/>
      <c r="U152" s="8"/>
      <c r="V152" s="6"/>
      <c r="W152" s="5" t="str">
        <f t="shared" si="9"/>
        <v/>
      </c>
      <c r="X152" s="4" t="str">
        <f>IFERROR(VLOOKUP(V152,Auxiliar!$T$3:$W$367,4,FALSE),"")</f>
        <v/>
      </c>
    </row>
    <row r="153" spans="19:24" x14ac:dyDescent="0.3">
      <c r="S153" s="6"/>
      <c r="T153" s="6"/>
      <c r="U153" s="8"/>
      <c r="V153" s="6"/>
      <c r="W153" s="5" t="str">
        <f t="shared" si="9"/>
        <v/>
      </c>
      <c r="X153" s="4" t="str">
        <f>IFERROR(VLOOKUP(V153,Auxiliar!$T$3:$W$367,4,FALSE),"")</f>
        <v/>
      </c>
    </row>
  </sheetData>
  <mergeCells count="14">
    <mergeCell ref="B2:C2"/>
    <mergeCell ref="B8:C8"/>
    <mergeCell ref="S2:X2"/>
    <mergeCell ref="Z31:AE31"/>
    <mergeCell ref="AA33:AC34"/>
    <mergeCell ref="AA35:AC35"/>
    <mergeCell ref="L2:Q2"/>
    <mergeCell ref="F2:J2"/>
    <mergeCell ref="Z4:AE4"/>
    <mergeCell ref="Z29:AE29"/>
    <mergeCell ref="Z6:AE6"/>
    <mergeCell ref="AA8:AC9"/>
    <mergeCell ref="AA10:AC10"/>
    <mergeCell ref="Z2:AE2"/>
  </mergeCells>
  <hyperlinks>
    <hyperlink ref="C12" r:id="rId1" xr:uid="{D67043A3-AA95-4C4D-B6C1-FCB54CF50047}"/>
    <hyperlink ref="C13" r:id="rId2" xr:uid="{85071948-8E44-4CEA-B732-C757381C2717}"/>
    <hyperlink ref="C14" r:id="rId3" xr:uid="{6EA916CF-A9A0-4974-9AD8-3AAB9AA93B09}"/>
    <hyperlink ref="C15" r:id="rId4" xr:uid="{77014620-1115-4978-A8F6-F21BD53D9494}"/>
  </hyperlinks>
  <pageMargins left="0.25" right="0.25" top="0.75" bottom="0.75" header="0.3" footer="0.3"/>
  <pageSetup scale="17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289560</xdr:colOff>
                    <xdr:row>4</xdr:row>
                    <xdr:rowOff>53340</xdr:rowOff>
                  </from>
                  <to>
                    <xdr:col>33</xdr:col>
                    <xdr:colOff>441960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Imprimir">
                <anchor moveWithCells="1" sizeWithCells="1">
                  <from>
                    <xdr:col>31</xdr:col>
                    <xdr:colOff>289560</xdr:colOff>
                    <xdr:row>7</xdr:row>
                    <xdr:rowOff>121920</xdr:rowOff>
                  </from>
                  <to>
                    <xdr:col>33</xdr:col>
                    <xdr:colOff>441960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Envia_Emails">
                <anchor moveWithCells="1" sizeWithCells="1">
                  <from>
                    <xdr:col>31</xdr:col>
                    <xdr:colOff>289560</xdr:colOff>
                    <xdr:row>11</xdr:row>
                    <xdr:rowOff>0</xdr:rowOff>
                  </from>
                  <to>
                    <xdr:col>33</xdr:col>
                    <xdr:colOff>441960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A41034"/>
  </sheetPr>
  <dimension ref="B2:BG1048576"/>
  <sheetViews>
    <sheetView showGridLines="0" topLeftCell="O3" zoomScaleNormal="100" workbookViewId="0"/>
  </sheetViews>
  <sheetFormatPr defaultRowHeight="14.4" x14ac:dyDescent="0.3"/>
  <cols>
    <col min="3" max="3" width="17.6640625" bestFit="1" customWidth="1"/>
    <col min="4" max="4" width="13.33203125" bestFit="1" customWidth="1"/>
    <col min="5" max="5" width="17.6640625" bestFit="1" customWidth="1"/>
    <col min="6" max="6" width="12.88671875" customWidth="1"/>
    <col min="7" max="7" width="17.6640625" bestFit="1" customWidth="1"/>
    <col min="8" max="8" width="13.33203125" bestFit="1" customWidth="1"/>
    <col min="9" max="9" width="17.6640625" bestFit="1" customWidth="1"/>
    <col min="13" max="13" width="10" bestFit="1" customWidth="1"/>
    <col min="14" max="14" width="8.77734375" customWidth="1"/>
    <col min="15" max="15" width="18.6640625" bestFit="1" customWidth="1"/>
    <col min="16" max="16" width="8.77734375" customWidth="1"/>
    <col min="17" max="17" width="18.6640625" customWidth="1"/>
    <col min="20" max="20" width="18.6640625" bestFit="1" customWidth="1"/>
    <col min="23" max="23" width="15" bestFit="1" customWidth="1"/>
    <col min="25" max="25" width="19.21875" bestFit="1" customWidth="1"/>
    <col min="26" max="26" width="11.5546875" bestFit="1" customWidth="1"/>
    <col min="27" max="27" width="11.77734375" bestFit="1" customWidth="1"/>
    <col min="28" max="28" width="38.44140625" bestFit="1" customWidth="1"/>
    <col min="29" max="29" width="19.109375" bestFit="1" customWidth="1"/>
    <col min="31" max="31" width="8.88671875" style="7"/>
    <col min="32" max="32" width="19.109375" bestFit="1" customWidth="1"/>
    <col min="34" max="34" width="11.77734375" style="1" bestFit="1" customWidth="1"/>
    <col min="35" max="35" width="10.5546875" style="1" bestFit="1" customWidth="1"/>
    <col min="37" max="37" width="10.21875" bestFit="1" customWidth="1"/>
    <col min="39" max="39" width="19.88671875" bestFit="1" customWidth="1"/>
    <col min="40" max="40" width="26.5546875" bestFit="1" customWidth="1"/>
    <col min="42" max="42" width="15.21875" bestFit="1" customWidth="1"/>
    <col min="43" max="43" width="8.88671875" style="18"/>
    <col min="45" max="45" width="8.5546875" bestFit="1" customWidth="1"/>
    <col min="46" max="46" width="19.88671875" bestFit="1" customWidth="1"/>
    <col min="47" max="47" width="26.5546875" bestFit="1" customWidth="1"/>
    <col min="49" max="49" width="8.5546875" bestFit="1" customWidth="1"/>
    <col min="50" max="50" width="26.5546875" bestFit="1" customWidth="1"/>
    <col min="52" max="52" width="15.21875" bestFit="1" customWidth="1"/>
    <col min="55" max="55" width="23.77734375" bestFit="1" customWidth="1"/>
    <col min="56" max="56" width="20.21875" bestFit="1" customWidth="1"/>
    <col min="58" max="58" width="22.6640625" bestFit="1" customWidth="1"/>
  </cols>
  <sheetData>
    <row r="2" spans="2:59" x14ac:dyDescent="0.3">
      <c r="B2" s="27" t="s">
        <v>39</v>
      </c>
      <c r="C2" s="27" t="s">
        <v>53</v>
      </c>
      <c r="D2" s="27" t="s">
        <v>40</v>
      </c>
      <c r="E2" s="27" t="s">
        <v>51</v>
      </c>
      <c r="F2" s="13"/>
      <c r="G2" s="27" t="s">
        <v>53</v>
      </c>
      <c r="H2" s="27" t="s">
        <v>40</v>
      </c>
      <c r="I2" s="27" t="s">
        <v>51</v>
      </c>
      <c r="K2" s="27" t="s">
        <v>9</v>
      </c>
      <c r="M2" s="27" t="s">
        <v>10</v>
      </c>
      <c r="O2" s="27" t="s">
        <v>11</v>
      </c>
      <c r="P2" s="13"/>
      <c r="Q2" s="27" t="s">
        <v>32</v>
      </c>
      <c r="S2" s="27" t="s">
        <v>19</v>
      </c>
      <c r="T2" s="27" t="s">
        <v>26</v>
      </c>
      <c r="U2" s="27" t="s">
        <v>4</v>
      </c>
      <c r="V2" s="27" t="s">
        <v>25</v>
      </c>
      <c r="W2" s="27" t="s">
        <v>27</v>
      </c>
      <c r="Y2" s="27" t="s">
        <v>67</v>
      </c>
      <c r="Z2" s="27" t="s">
        <v>62</v>
      </c>
      <c r="AA2" s="27" t="s">
        <v>63</v>
      </c>
      <c r="AB2" s="27" t="s">
        <v>61</v>
      </c>
      <c r="AC2" s="27" t="s">
        <v>65</v>
      </c>
      <c r="AD2" s="27" t="s">
        <v>19</v>
      </c>
      <c r="AE2" s="13"/>
      <c r="AF2" s="27" t="s">
        <v>65</v>
      </c>
      <c r="AH2" s="27" t="s">
        <v>35</v>
      </c>
      <c r="AI2" s="27" t="s">
        <v>36</v>
      </c>
      <c r="AK2" s="27" t="s">
        <v>66</v>
      </c>
      <c r="AL2" s="27" t="s">
        <v>4</v>
      </c>
      <c r="AM2" s="29" t="s">
        <v>54</v>
      </c>
      <c r="AN2" s="29" t="s">
        <v>55</v>
      </c>
      <c r="AP2" s="27" t="s">
        <v>56</v>
      </c>
      <c r="AQ2" s="4">
        <f>VLOOKUP($AF$3,'Controle e Captura'!$F$5:$H$16,2,FALSE)</f>
        <v>99</v>
      </c>
      <c r="AS2" s="27" t="s">
        <v>19</v>
      </c>
      <c r="AT2" s="27" t="s">
        <v>54</v>
      </c>
      <c r="AU2" s="27" t="s">
        <v>55</v>
      </c>
      <c r="AW2" s="27" t="s">
        <v>19</v>
      </c>
      <c r="AX2" s="27" t="s">
        <v>55</v>
      </c>
      <c r="AZ2" s="27" t="s">
        <v>56</v>
      </c>
      <c r="BA2" s="4">
        <f>VLOOKUP(AF6,'Controle e Captura'!$M$5:$O$12,2,FALSE)</f>
        <v>6</v>
      </c>
      <c r="BC2" s="27" t="s">
        <v>70</v>
      </c>
      <c r="BD2" s="4">
        <f>ROWS('Controle e Captura'!C12:C31)-COUNTBLANK('Controle e Captura'!C12:C31)</f>
        <v>4</v>
      </c>
      <c r="BF2" s="37" t="s">
        <v>81</v>
      </c>
      <c r="BG2" s="4">
        <f>ROWS('Controle e Captura'!S:S)-COUNTBLANK('Controle e Captura'!S:S)-2</f>
        <v>38</v>
      </c>
    </row>
    <row r="3" spans="2:59" x14ac:dyDescent="0.3">
      <c r="B3" s="16" t="str">
        <f>"%"</f>
        <v>%</v>
      </c>
      <c r="C3" s="16" t="s">
        <v>30</v>
      </c>
      <c r="D3" s="4" t="str">
        <f>"0%"</f>
        <v>0%</v>
      </c>
      <c r="E3" s="4" t="s">
        <v>52</v>
      </c>
      <c r="F3" s="12"/>
      <c r="G3" s="4" t="str">
        <f>VLOOKUP('Controle e Captura'!C5,Auxiliar!B:C,2,FALSE)</f>
        <v>#</v>
      </c>
      <c r="H3" s="4" t="str">
        <f>VLOOKUP('Controle e Captura'!C5,Auxiliar!B:D,3,FALSE)</f>
        <v>#.##</v>
      </c>
      <c r="I3" s="4" t="str">
        <f>VLOOKUP('Controle e Captura'!C5,Auxiliar!B:E,4,FALSE)</f>
        <v>#.##0;"";""</v>
      </c>
      <c r="K3" s="4">
        <v>2015</v>
      </c>
      <c r="M3" s="4" t="s">
        <v>12</v>
      </c>
      <c r="O3" s="4" t="s">
        <v>14</v>
      </c>
      <c r="P3" s="12"/>
      <c r="Q3" s="4" t="s">
        <v>33</v>
      </c>
      <c r="S3" s="4">
        <f>1</f>
        <v>1</v>
      </c>
      <c r="T3" s="9">
        <f>DATE('Controle e Captura'!$C$9,Auxiliar!U3,Auxiliar!V3)</f>
        <v>43831</v>
      </c>
      <c r="U3" s="4">
        <v>1</v>
      </c>
      <c r="V3" s="4">
        <v>1</v>
      </c>
      <c r="W3" s="4">
        <f>WEEKDAY(T3)</f>
        <v>4</v>
      </c>
      <c r="Y3" s="4" t="str">
        <f t="shared" ref="Y3:Y34" si="0">"Semana "&amp;AD3</f>
        <v>Semana 1</v>
      </c>
      <c r="Z3" s="21">
        <f t="shared" ref="Z3:Z34" si="1">VLOOKUP(AD3,$S$3:$T$367,2,FALSE)</f>
        <v>43831</v>
      </c>
      <c r="AA3" s="21">
        <f>Z4-1</f>
        <v>43834</v>
      </c>
      <c r="AB3" s="10" t="str">
        <f>"Semana "&amp;AD3&amp;": de "&amp;TEXT(Z3,"dd/mmm/aaaa")&amp;" a "&amp;TEXT(AA3,"dd/mmm/aaaa")</f>
        <v>Semana 1: de 01/jan/2020 a 04/jan/2020</v>
      </c>
      <c r="AC3" s="5">
        <f t="shared" ref="AC3:AC34" si="2">VLOOKUP(MONTH(Z3),$AK$3:$AL$14,2,FALSE)</f>
        <v>43831</v>
      </c>
      <c r="AD3" s="4">
        <f>1</f>
        <v>1</v>
      </c>
      <c r="AE3" s="22"/>
      <c r="AF3" s="5">
        <f>VLOOKUP('Controle e Captura'!C10,Auxiliar!$AB$3:$AC$55,2,FALSE)</f>
        <v>44075</v>
      </c>
      <c r="AH3" s="10" t="str">
        <f>IF('Controle e Captura'!$C$6="Cima","Real &gt;= Meta", "Real &lt;= Meta")</f>
        <v>Real &gt;= Meta</v>
      </c>
      <c r="AI3" s="10" t="str">
        <f>IF('Controle e Captura'!$C$6="Cima","Real &lt; Meta", "Real &gt; Meta")</f>
        <v>Real &lt; Meta</v>
      </c>
      <c r="AK3" s="4">
        <v>1</v>
      </c>
      <c r="AL3" s="5">
        <f>'Controle e Captura'!F5</f>
        <v>43831</v>
      </c>
      <c r="AM3" s="4">
        <f>COUNTIF('Controle e Captura'!W:W,Auxiliar!AL3)</f>
        <v>5</v>
      </c>
      <c r="AN3" s="4">
        <f>AM3</f>
        <v>5</v>
      </c>
      <c r="AP3" s="27" t="s">
        <v>57</v>
      </c>
      <c r="AQ3" s="4">
        <f>VLOOKUP($AF$3,'Controle e Captura'!$F$5:$H$16,3,FALSE)</f>
        <v>180</v>
      </c>
      <c r="AS3" s="4">
        <v>1</v>
      </c>
      <c r="AT3" s="4">
        <f>COUNTIF('Controle e Captura'!X:X,Auxiliar!AS3)</f>
        <v>5</v>
      </c>
      <c r="AU3" s="4">
        <f>AT3</f>
        <v>5</v>
      </c>
      <c r="AW3" s="4">
        <f>'Controle e Captura'!M5</f>
        <v>31</v>
      </c>
      <c r="AX3" s="4">
        <f>VLOOKUP(AW3,$AS$3:$AU$55,3,FALSE)</f>
        <v>38</v>
      </c>
      <c r="AZ3" s="27" t="s">
        <v>57</v>
      </c>
      <c r="BA3" s="4">
        <f>VLOOKUP(AF6,'Controle e Captura'!$M$5:$O$12,3,FALSE)</f>
        <v>42</v>
      </c>
      <c r="BC3" s="27" t="s">
        <v>71</v>
      </c>
      <c r="BD3" s="35" t="str">
        <f>'Controle e Captura'!C12&amp;"; "&amp;'Controle e Captura'!C13&amp;"; "&amp;'Controle e Captura'!C14&amp;"; "&amp;'Controle e Captura'!C15&amp;"; "&amp;'Controle e Captura'!C16&amp;"; "&amp;'Controle e Captura'!C17&amp;"; "&amp;'Controle e Captura'!C18&amp;"; "&amp;'Controle e Captura'!C19&amp;"; "&amp;'Controle e Captura'!C20&amp;"; "&amp;'Controle e Captura'!C21&amp;"; "&amp;'Controle e Captura'!C22&amp;"; "&amp;'Controle e Captura'!C23&amp;"; "&amp;'Controle e Captura'!C24&amp;"; "&amp;'Controle e Captura'!C25&amp;"; "&amp;'Controle e Captura'!C26&amp;"; "&amp;'Controle e Captura'!C27&amp;"; "&amp;'Controle e Captura'!C28&amp;"; "&amp;'Controle e Captura'!C29&amp;"; "&amp;'Controle e Captura'!C30&amp;"; "&amp;'Controle e Captura'!C31</f>
        <v xml:space="preserve">joãopedro@gatiza.com.br; mariadasilva@gatiza.com.br; luisaugusto@gatiza.com.br; gestorcomercial@gatiza.com.br; ; ; ; ; ; ; ; ; ; ; ; ; ; ; ; </v>
      </c>
    </row>
    <row r="4" spans="2:59" x14ac:dyDescent="0.3">
      <c r="B4" s="4" t="s">
        <v>47</v>
      </c>
      <c r="C4" s="4" t="s">
        <v>30</v>
      </c>
      <c r="D4" s="4" t="str">
        <f>"0,0%"</f>
        <v>0,0%</v>
      </c>
      <c r="E4" s="4" t="s">
        <v>77</v>
      </c>
      <c r="F4" s="12"/>
      <c r="G4" s="12"/>
      <c r="H4" s="12"/>
      <c r="I4" s="12"/>
      <c r="K4" s="4">
        <f>K3+1</f>
        <v>2016</v>
      </c>
      <c r="M4" s="4" t="s">
        <v>13</v>
      </c>
      <c r="O4" s="4" t="s">
        <v>15</v>
      </c>
      <c r="P4" s="12"/>
      <c r="Q4" s="4" t="s">
        <v>34</v>
      </c>
      <c r="S4" s="4">
        <f t="shared" ref="S4:S67" si="3">IF(W4=1,S3+1,S3)</f>
        <v>1</v>
      </c>
      <c r="T4" s="9">
        <f>DATE('Controle e Captura'!$C$9,Auxiliar!U4,Auxiliar!V4)</f>
        <v>43832</v>
      </c>
      <c r="U4" s="4">
        <v>1</v>
      </c>
      <c r="V4" s="4">
        <v>2</v>
      </c>
      <c r="W4" s="4">
        <f t="shared" ref="W4:W67" si="4">WEEKDAY(T4)</f>
        <v>5</v>
      </c>
      <c r="Y4" s="4" t="str">
        <f t="shared" si="0"/>
        <v>Semana 2</v>
      </c>
      <c r="Z4" s="21">
        <f t="shared" si="1"/>
        <v>43835</v>
      </c>
      <c r="AA4" s="21">
        <f t="shared" ref="AA4:AA54" si="5">Z5-1</f>
        <v>43841</v>
      </c>
      <c r="AB4" s="10" t="str">
        <f t="shared" ref="AB4:AB55" si="6">"Semana "&amp;AD4&amp;": de "&amp;TEXT(Z4,"dd/mmm/aaaa")&amp;" a "&amp;TEXT(AA4,"dd/mmm/aaaa")</f>
        <v>Semana 2: de 05/jan/2020 a 11/jan/2020</v>
      </c>
      <c r="AC4" s="5">
        <f t="shared" si="2"/>
        <v>43831</v>
      </c>
      <c r="AD4" s="4">
        <f>1+AD3</f>
        <v>2</v>
      </c>
      <c r="AE4" s="22"/>
      <c r="AK4" s="4">
        <v>2</v>
      </c>
      <c r="AL4" s="5">
        <f>'Controle e Captura'!F6</f>
        <v>43862</v>
      </c>
      <c r="AM4" s="4">
        <f>COUNTIF('Controle e Captura'!W:W,Auxiliar!AL4)</f>
        <v>4</v>
      </c>
      <c r="AN4" s="4">
        <f>AM4+AN3</f>
        <v>9</v>
      </c>
      <c r="AP4" s="27" t="s">
        <v>58</v>
      </c>
      <c r="AQ4" s="4">
        <f>IF('Controle e Captura'!C6="Cima",Auxiliar!AQ2-Auxiliar!AQ3,AQ3-AQ2)</f>
        <v>-81</v>
      </c>
      <c r="AS4" s="4">
        <f>AS3+1</f>
        <v>2</v>
      </c>
      <c r="AT4" s="4">
        <f>COUNTIF('Controle e Captura'!X:X,Auxiliar!AS4)</f>
        <v>11</v>
      </c>
      <c r="AU4" s="4">
        <f>AT4+AU3</f>
        <v>16</v>
      </c>
      <c r="AW4" s="4">
        <f>'Controle e Captura'!M6</f>
        <v>32</v>
      </c>
      <c r="AX4" s="4">
        <f t="shared" ref="AX4:AX10" si="7">VLOOKUP(AW4,$AS$3:$AU$55,3,FALSE)</f>
        <v>38</v>
      </c>
      <c r="AZ4" s="27" t="s">
        <v>58</v>
      </c>
      <c r="BA4" s="4">
        <f>IF('Controle e Captura'!C6="Cima",Auxiliar!BA2-Auxiliar!BA3,BA3-BA2)</f>
        <v>-36</v>
      </c>
    </row>
    <row r="5" spans="2:59" x14ac:dyDescent="0.3">
      <c r="B5" s="4" t="s">
        <v>41</v>
      </c>
      <c r="C5" s="4" t="s">
        <v>41</v>
      </c>
      <c r="D5" s="4" t="s">
        <v>78</v>
      </c>
      <c r="E5" s="4" t="s">
        <v>79</v>
      </c>
      <c r="F5" s="12"/>
      <c r="G5" s="12"/>
      <c r="H5" s="12"/>
      <c r="I5" s="12"/>
      <c r="K5" s="4">
        <f t="shared" ref="K5:K38" si="8">K4+1</f>
        <v>2017</v>
      </c>
      <c r="S5" s="4">
        <f t="shared" si="3"/>
        <v>1</v>
      </c>
      <c r="T5" s="9">
        <f>DATE('Controle e Captura'!$C$9,Auxiliar!U5,Auxiliar!V5)</f>
        <v>43833</v>
      </c>
      <c r="U5" s="4">
        <v>1</v>
      </c>
      <c r="V5" s="4">
        <v>3</v>
      </c>
      <c r="W5" s="4">
        <f t="shared" si="4"/>
        <v>6</v>
      </c>
      <c r="Y5" s="4" t="str">
        <f t="shared" si="0"/>
        <v>Semana 3</v>
      </c>
      <c r="Z5" s="21">
        <f t="shared" si="1"/>
        <v>43842</v>
      </c>
      <c r="AA5" s="21">
        <f t="shared" si="5"/>
        <v>43848</v>
      </c>
      <c r="AB5" s="10" t="str">
        <f t="shared" si="6"/>
        <v>Semana 3: de 12/jan/2020 a 18/jan/2020</v>
      </c>
      <c r="AC5" s="5">
        <f t="shared" si="2"/>
        <v>43831</v>
      </c>
      <c r="AD5" s="4">
        <f t="shared" ref="AD5:AD55" si="9">1+AD4</f>
        <v>3</v>
      </c>
      <c r="AE5" s="22"/>
      <c r="AF5" s="27" t="s">
        <v>19</v>
      </c>
      <c r="AK5" s="4">
        <v>3</v>
      </c>
      <c r="AL5" s="5">
        <f>'Controle e Captura'!F7</f>
        <v>43891</v>
      </c>
      <c r="AM5" s="4">
        <f>COUNTIF('Controle e Captura'!W:W,Auxiliar!AL5)</f>
        <v>2</v>
      </c>
      <c r="AN5" s="4">
        <f t="shared" ref="AN5:AN14" si="10">AM5+AN4</f>
        <v>11</v>
      </c>
      <c r="AP5" s="27" t="s">
        <v>60</v>
      </c>
      <c r="AQ5" s="4">
        <f>ABS(AQ4)</f>
        <v>81</v>
      </c>
      <c r="AS5" s="4">
        <f t="shared" ref="AS5:AS55" si="11">AS4+1</f>
        <v>3</v>
      </c>
      <c r="AT5" s="4">
        <f>COUNTIF('Controle e Captura'!X:X,Auxiliar!AS5)</f>
        <v>3</v>
      </c>
      <c r="AU5" s="4">
        <f t="shared" ref="AU5:AU55" si="12">AT5+AU4</f>
        <v>19</v>
      </c>
      <c r="AW5" s="4">
        <f>'Controle e Captura'!M7</f>
        <v>33</v>
      </c>
      <c r="AX5" s="4">
        <f t="shared" si="7"/>
        <v>38</v>
      </c>
      <c r="AZ5" s="27" t="s">
        <v>60</v>
      </c>
      <c r="BA5" s="4">
        <f>ABS(BA4)</f>
        <v>36</v>
      </c>
    </row>
    <row r="6" spans="2:59" x14ac:dyDescent="0.3">
      <c r="B6" s="4" t="s">
        <v>48</v>
      </c>
      <c r="C6" s="4" t="s">
        <v>41</v>
      </c>
      <c r="D6" s="4" t="str">
        <f>"#.##0,0"</f>
        <v>#.##0,0</v>
      </c>
      <c r="E6" s="4" t="s">
        <v>80</v>
      </c>
      <c r="F6" s="12"/>
      <c r="G6" s="12"/>
      <c r="H6" s="12"/>
      <c r="I6" s="12"/>
      <c r="K6" s="4">
        <f t="shared" si="8"/>
        <v>2018</v>
      </c>
      <c r="S6" s="4">
        <f t="shared" si="3"/>
        <v>1</v>
      </c>
      <c r="T6" s="9">
        <f>DATE('Controle e Captura'!$C$9,Auxiliar!U6,Auxiliar!V6)</f>
        <v>43834</v>
      </c>
      <c r="U6" s="4">
        <v>1</v>
      </c>
      <c r="V6" s="4">
        <v>4</v>
      </c>
      <c r="W6" s="4">
        <f t="shared" si="4"/>
        <v>7</v>
      </c>
      <c r="Y6" s="4" t="str">
        <f t="shared" si="0"/>
        <v>Semana 4</v>
      </c>
      <c r="Z6" s="21">
        <f t="shared" si="1"/>
        <v>43849</v>
      </c>
      <c r="AA6" s="21">
        <f t="shared" si="5"/>
        <v>43855</v>
      </c>
      <c r="AB6" s="10" t="str">
        <f t="shared" si="6"/>
        <v>Semana 4: de 19/jan/2020 a 25/jan/2020</v>
      </c>
      <c r="AC6" s="5">
        <f t="shared" si="2"/>
        <v>43831</v>
      </c>
      <c r="AD6" s="4">
        <f t="shared" si="9"/>
        <v>4</v>
      </c>
      <c r="AE6" s="22"/>
      <c r="AF6" s="4">
        <f>VLOOKUP('Controle e Captura'!C10,Auxiliar!$AB$3:$AD$55,3,FALSE)</f>
        <v>38</v>
      </c>
      <c r="AK6" s="4">
        <v>4</v>
      </c>
      <c r="AL6" s="5">
        <f>'Controle e Captura'!F8</f>
        <v>43922</v>
      </c>
      <c r="AM6" s="4">
        <f>COUNTIF('Controle e Captura'!W:W,Auxiliar!AL6)</f>
        <v>5</v>
      </c>
      <c r="AN6" s="4">
        <f t="shared" si="10"/>
        <v>16</v>
      </c>
      <c r="AP6" s="27" t="s">
        <v>59</v>
      </c>
      <c r="AQ6" s="4" t="str">
        <f>IF(AQ4&lt;0,"pior","melhor")</f>
        <v>pior</v>
      </c>
      <c r="AS6" s="4">
        <f t="shared" si="11"/>
        <v>4</v>
      </c>
      <c r="AT6" s="4">
        <f>COUNTIF('Controle e Captura'!X:X,Auxiliar!AS6)</f>
        <v>5</v>
      </c>
      <c r="AU6" s="4">
        <f t="shared" si="12"/>
        <v>24</v>
      </c>
      <c r="AW6" s="4">
        <f>'Controle e Captura'!M8</f>
        <v>34</v>
      </c>
      <c r="AX6" s="4">
        <f t="shared" si="7"/>
        <v>38</v>
      </c>
      <c r="AZ6" s="27" t="s">
        <v>59</v>
      </c>
      <c r="BA6" s="4" t="str">
        <f>IF(BA4&lt;0,"pior","melhor")</f>
        <v>pior</v>
      </c>
    </row>
    <row r="7" spans="2:59" x14ac:dyDescent="0.3">
      <c r="B7" s="4" t="s">
        <v>42</v>
      </c>
      <c r="C7" s="4" t="s">
        <v>42</v>
      </c>
      <c r="D7" s="4" t="s">
        <v>72</v>
      </c>
      <c r="E7" s="4" t="s">
        <v>75</v>
      </c>
      <c r="K7" s="4">
        <f t="shared" si="8"/>
        <v>2019</v>
      </c>
      <c r="S7" s="4">
        <f t="shared" si="3"/>
        <v>2</v>
      </c>
      <c r="T7" s="9">
        <f>DATE('Controle e Captura'!$C$9,Auxiliar!U7,Auxiliar!V7)</f>
        <v>43835</v>
      </c>
      <c r="U7" s="4">
        <v>1</v>
      </c>
      <c r="V7" s="4">
        <v>5</v>
      </c>
      <c r="W7" s="4">
        <f t="shared" si="4"/>
        <v>1</v>
      </c>
      <c r="Y7" s="4" t="str">
        <f t="shared" si="0"/>
        <v>Semana 5</v>
      </c>
      <c r="Z7" s="21">
        <f t="shared" si="1"/>
        <v>43856</v>
      </c>
      <c r="AA7" s="21">
        <f t="shared" si="5"/>
        <v>43862</v>
      </c>
      <c r="AB7" s="10" t="str">
        <f t="shared" si="6"/>
        <v>Semana 5: de 26/jan/2020 a 01/fev/2020</v>
      </c>
      <c r="AC7" s="5">
        <f t="shared" si="2"/>
        <v>43831</v>
      </c>
      <c r="AD7" s="4">
        <f t="shared" si="9"/>
        <v>5</v>
      </c>
      <c r="AE7" s="22"/>
      <c r="AK7" s="4">
        <v>5</v>
      </c>
      <c r="AL7" s="5">
        <f>'Controle e Captura'!F9</f>
        <v>43952</v>
      </c>
      <c r="AM7" s="4">
        <f>COUNTIF('Controle e Captura'!W:W,Auxiliar!AL7)</f>
        <v>3</v>
      </c>
      <c r="AN7" s="4">
        <f t="shared" si="10"/>
        <v>19</v>
      </c>
      <c r="AS7" s="4">
        <f t="shared" si="11"/>
        <v>5</v>
      </c>
      <c r="AT7" s="4">
        <f>COUNTIF('Controle e Captura'!X:X,Auxiliar!AS7)</f>
        <v>4</v>
      </c>
      <c r="AU7" s="4">
        <f t="shared" si="12"/>
        <v>28</v>
      </c>
      <c r="AW7" s="4">
        <f>'Controle e Captura'!M9</f>
        <v>35</v>
      </c>
      <c r="AX7" s="4">
        <f t="shared" si="7"/>
        <v>38</v>
      </c>
    </row>
    <row r="8" spans="2:59" x14ac:dyDescent="0.3">
      <c r="B8" s="4" t="s">
        <v>49</v>
      </c>
      <c r="C8" s="4" t="s">
        <v>42</v>
      </c>
      <c r="D8" s="4" t="s">
        <v>45</v>
      </c>
      <c r="E8" s="4" t="s">
        <v>76</v>
      </c>
      <c r="K8" s="4">
        <f t="shared" si="8"/>
        <v>2020</v>
      </c>
      <c r="S8" s="4">
        <f t="shared" si="3"/>
        <v>2</v>
      </c>
      <c r="T8" s="9">
        <f>DATE('Controle e Captura'!$C$9,Auxiliar!U8,Auxiliar!V8)</f>
        <v>43836</v>
      </c>
      <c r="U8" s="4">
        <v>1</v>
      </c>
      <c r="V8" s="4">
        <v>6</v>
      </c>
      <c r="W8" s="4">
        <f t="shared" si="4"/>
        <v>2</v>
      </c>
      <c r="Y8" s="4" t="str">
        <f t="shared" si="0"/>
        <v>Semana 6</v>
      </c>
      <c r="Z8" s="21">
        <f t="shared" si="1"/>
        <v>43863</v>
      </c>
      <c r="AA8" s="21">
        <f t="shared" si="5"/>
        <v>43869</v>
      </c>
      <c r="AB8" s="10" t="str">
        <f t="shared" si="6"/>
        <v>Semana 6: de 02/fev/2020 a 08/fev/2020</v>
      </c>
      <c r="AC8" s="5">
        <f t="shared" si="2"/>
        <v>43862</v>
      </c>
      <c r="AD8" s="4">
        <f t="shared" si="9"/>
        <v>6</v>
      </c>
      <c r="AE8" s="22"/>
      <c r="AK8" s="4">
        <v>6</v>
      </c>
      <c r="AL8" s="5">
        <f>'Controle e Captura'!F10</f>
        <v>43983</v>
      </c>
      <c r="AM8" s="4">
        <f>COUNTIF('Controle e Captura'!W:W,Auxiliar!AL8)</f>
        <v>3</v>
      </c>
      <c r="AN8" s="4">
        <f t="shared" si="10"/>
        <v>22</v>
      </c>
      <c r="AS8" s="4">
        <f t="shared" si="11"/>
        <v>6</v>
      </c>
      <c r="AT8" s="4">
        <f>COUNTIF('Controle e Captura'!X:X,Auxiliar!AS8)</f>
        <v>6</v>
      </c>
      <c r="AU8" s="4">
        <f t="shared" si="12"/>
        <v>34</v>
      </c>
      <c r="AW8" s="4">
        <f>'Controle e Captura'!M10</f>
        <v>36</v>
      </c>
      <c r="AX8" s="4">
        <f t="shared" si="7"/>
        <v>38</v>
      </c>
    </row>
    <row r="9" spans="2:59" x14ac:dyDescent="0.3">
      <c r="B9" s="4" t="s">
        <v>43</v>
      </c>
      <c r="C9" s="4" t="s">
        <v>43</v>
      </c>
      <c r="D9" s="4" t="s">
        <v>44</v>
      </c>
      <c r="E9" s="4" t="s">
        <v>73</v>
      </c>
      <c r="K9" s="4">
        <f t="shared" si="8"/>
        <v>2021</v>
      </c>
      <c r="S9" s="4">
        <f t="shared" si="3"/>
        <v>2</v>
      </c>
      <c r="T9" s="9">
        <f>DATE('Controle e Captura'!$C$9,Auxiliar!U9,Auxiliar!V9)</f>
        <v>43837</v>
      </c>
      <c r="U9" s="4">
        <v>1</v>
      </c>
      <c r="V9" s="4">
        <v>7</v>
      </c>
      <c r="W9" s="4">
        <f t="shared" si="4"/>
        <v>3</v>
      </c>
      <c r="Y9" s="4" t="str">
        <f t="shared" si="0"/>
        <v>Semana 7</v>
      </c>
      <c r="Z9" s="21">
        <f t="shared" si="1"/>
        <v>43870</v>
      </c>
      <c r="AA9" s="21">
        <f t="shared" si="5"/>
        <v>43876</v>
      </c>
      <c r="AB9" s="10" t="str">
        <f t="shared" si="6"/>
        <v>Semana 7: de 09/fev/2020 a 15/fev/2020</v>
      </c>
      <c r="AC9" s="5">
        <f t="shared" si="2"/>
        <v>43862</v>
      </c>
      <c r="AD9" s="4">
        <f t="shared" si="9"/>
        <v>7</v>
      </c>
      <c r="AE9" s="22"/>
      <c r="AK9" s="4">
        <v>7</v>
      </c>
      <c r="AL9" s="5">
        <f>'Controle e Captura'!F11</f>
        <v>44013</v>
      </c>
      <c r="AM9" s="4">
        <f>COUNTIF('Controle e Captura'!W:W,Auxiliar!AL9)</f>
        <v>6</v>
      </c>
      <c r="AN9" s="4">
        <f t="shared" si="10"/>
        <v>28</v>
      </c>
      <c r="AS9" s="4">
        <f t="shared" si="11"/>
        <v>7</v>
      </c>
      <c r="AT9" s="4">
        <f>COUNTIF('Controle e Captura'!X:X,Auxiliar!AS9)</f>
        <v>4</v>
      </c>
      <c r="AU9" s="4">
        <f t="shared" si="12"/>
        <v>38</v>
      </c>
      <c r="AW9" s="4">
        <f>'Controle e Captura'!M11</f>
        <v>37</v>
      </c>
      <c r="AX9" s="4">
        <f t="shared" si="7"/>
        <v>38</v>
      </c>
    </row>
    <row r="10" spans="2:59" x14ac:dyDescent="0.3">
      <c r="B10" s="4" t="s">
        <v>50</v>
      </c>
      <c r="C10" s="4" t="s">
        <v>43</v>
      </c>
      <c r="D10" s="4" t="s">
        <v>46</v>
      </c>
      <c r="E10" s="4" t="s">
        <v>74</v>
      </c>
      <c r="K10" s="4">
        <f t="shared" si="8"/>
        <v>2022</v>
      </c>
      <c r="S10" s="4">
        <f t="shared" si="3"/>
        <v>2</v>
      </c>
      <c r="T10" s="9">
        <f>DATE('Controle e Captura'!$C$9,Auxiliar!U10,Auxiliar!V10)</f>
        <v>43838</v>
      </c>
      <c r="U10" s="4">
        <v>1</v>
      </c>
      <c r="V10" s="4">
        <v>8</v>
      </c>
      <c r="W10" s="4">
        <f t="shared" si="4"/>
        <v>4</v>
      </c>
      <c r="Y10" s="4" t="str">
        <f t="shared" si="0"/>
        <v>Semana 8</v>
      </c>
      <c r="Z10" s="21">
        <f t="shared" si="1"/>
        <v>43877</v>
      </c>
      <c r="AA10" s="21">
        <f t="shared" si="5"/>
        <v>43883</v>
      </c>
      <c r="AB10" s="10" t="str">
        <f t="shared" si="6"/>
        <v>Semana 8: de 16/fev/2020 a 22/fev/2020</v>
      </c>
      <c r="AC10" s="5">
        <f t="shared" si="2"/>
        <v>43862</v>
      </c>
      <c r="AD10" s="4">
        <f t="shared" si="9"/>
        <v>8</v>
      </c>
      <c r="AE10" s="22"/>
      <c r="AK10" s="4">
        <v>8</v>
      </c>
      <c r="AL10" s="5">
        <f>'Controle e Captura'!F12</f>
        <v>44044</v>
      </c>
      <c r="AM10" s="4">
        <f>COUNTIF('Controle e Captura'!W:W,Auxiliar!AL10)</f>
        <v>6</v>
      </c>
      <c r="AN10" s="4">
        <f t="shared" si="10"/>
        <v>34</v>
      </c>
      <c r="AS10" s="4">
        <f t="shared" si="11"/>
        <v>8</v>
      </c>
      <c r="AT10" s="4">
        <f>COUNTIF('Controle e Captura'!X:X,Auxiliar!AS10)</f>
        <v>0</v>
      </c>
      <c r="AU10" s="4">
        <f t="shared" si="12"/>
        <v>38</v>
      </c>
      <c r="AW10" s="4">
        <f>'Controle e Captura'!M12</f>
        <v>38</v>
      </c>
      <c r="AX10" s="4">
        <f t="shared" si="7"/>
        <v>38</v>
      </c>
    </row>
    <row r="11" spans="2:59" x14ac:dyDescent="0.3">
      <c r="K11" s="4">
        <f t="shared" si="8"/>
        <v>2023</v>
      </c>
      <c r="S11" s="4">
        <f t="shared" si="3"/>
        <v>2</v>
      </c>
      <c r="T11" s="9">
        <f>DATE('Controle e Captura'!$C$9,Auxiliar!U11,Auxiliar!V11)</f>
        <v>43839</v>
      </c>
      <c r="U11" s="4">
        <v>1</v>
      </c>
      <c r="V11" s="4">
        <v>9</v>
      </c>
      <c r="W11" s="4">
        <f t="shared" si="4"/>
        <v>5</v>
      </c>
      <c r="Y11" s="4" t="str">
        <f t="shared" si="0"/>
        <v>Semana 9</v>
      </c>
      <c r="Z11" s="21">
        <f t="shared" si="1"/>
        <v>43884</v>
      </c>
      <c r="AA11" s="21">
        <f t="shared" si="5"/>
        <v>43890</v>
      </c>
      <c r="AB11" s="10" t="str">
        <f t="shared" si="6"/>
        <v>Semana 9: de 23/fev/2020 a 29/fev/2020</v>
      </c>
      <c r="AC11" s="5">
        <f t="shared" si="2"/>
        <v>43862</v>
      </c>
      <c r="AD11" s="4">
        <f t="shared" si="9"/>
        <v>9</v>
      </c>
      <c r="AE11" s="22"/>
      <c r="AK11" s="4">
        <v>9</v>
      </c>
      <c r="AL11" s="5">
        <f>'Controle e Captura'!F13</f>
        <v>44075</v>
      </c>
      <c r="AM11" s="4">
        <f>COUNTIF('Controle e Captura'!W:W,Auxiliar!AL11)</f>
        <v>4</v>
      </c>
      <c r="AN11" s="4">
        <f t="shared" si="10"/>
        <v>38</v>
      </c>
      <c r="AS11" s="4">
        <f t="shared" si="11"/>
        <v>9</v>
      </c>
      <c r="AT11" s="4">
        <f>COUNTIF('Controle e Captura'!X:X,Auxiliar!AS11)</f>
        <v>0</v>
      </c>
      <c r="AU11" s="4">
        <f t="shared" si="12"/>
        <v>38</v>
      </c>
      <c r="AW11" s="12"/>
    </row>
    <row r="12" spans="2:59" x14ac:dyDescent="0.3">
      <c r="K12" s="4">
        <f t="shared" si="8"/>
        <v>2024</v>
      </c>
      <c r="S12" s="4">
        <f t="shared" si="3"/>
        <v>2</v>
      </c>
      <c r="T12" s="9">
        <f>DATE('Controle e Captura'!$C$9,Auxiliar!U12,Auxiliar!V12)</f>
        <v>43840</v>
      </c>
      <c r="U12" s="4">
        <v>1</v>
      </c>
      <c r="V12" s="4">
        <v>10</v>
      </c>
      <c r="W12" s="4">
        <f t="shared" si="4"/>
        <v>6</v>
      </c>
      <c r="Y12" s="4" t="str">
        <f t="shared" si="0"/>
        <v>Semana 10</v>
      </c>
      <c r="Z12" s="21">
        <f t="shared" si="1"/>
        <v>43891</v>
      </c>
      <c r="AA12" s="21">
        <f t="shared" si="5"/>
        <v>43897</v>
      </c>
      <c r="AB12" s="10" t="str">
        <f t="shared" si="6"/>
        <v>Semana 10: de 01/mar/2020 a 07/mar/2020</v>
      </c>
      <c r="AC12" s="5">
        <f t="shared" si="2"/>
        <v>43891</v>
      </c>
      <c r="AD12" s="4">
        <f t="shared" si="9"/>
        <v>10</v>
      </c>
      <c r="AE12" s="22"/>
      <c r="AK12" s="4">
        <v>10</v>
      </c>
      <c r="AL12" s="5">
        <f>'Controle e Captura'!F14</f>
        <v>44105</v>
      </c>
      <c r="AM12" s="4">
        <f>COUNTIF('Controle e Captura'!W:W,Auxiliar!AL12)</f>
        <v>0</v>
      </c>
      <c r="AN12" s="4">
        <f t="shared" si="10"/>
        <v>38</v>
      </c>
      <c r="AS12" s="4">
        <f t="shared" si="11"/>
        <v>10</v>
      </c>
      <c r="AT12" s="4">
        <f>COUNTIF('Controle e Captura'!X:X,Auxiliar!AS12)</f>
        <v>0</v>
      </c>
      <c r="AU12" s="4">
        <f t="shared" si="12"/>
        <v>38</v>
      </c>
    </row>
    <row r="13" spans="2:59" x14ac:dyDescent="0.3">
      <c r="K13" s="4">
        <f t="shared" si="8"/>
        <v>2025</v>
      </c>
      <c r="S13" s="4">
        <f t="shared" si="3"/>
        <v>2</v>
      </c>
      <c r="T13" s="9">
        <f>DATE('Controle e Captura'!$C$9,Auxiliar!U13,Auxiliar!V13)</f>
        <v>43841</v>
      </c>
      <c r="U13" s="4">
        <v>1</v>
      </c>
      <c r="V13" s="4">
        <v>11</v>
      </c>
      <c r="W13" s="4">
        <f t="shared" si="4"/>
        <v>7</v>
      </c>
      <c r="Y13" s="4" t="str">
        <f t="shared" si="0"/>
        <v>Semana 11</v>
      </c>
      <c r="Z13" s="21">
        <f t="shared" si="1"/>
        <v>43898</v>
      </c>
      <c r="AA13" s="21">
        <f t="shared" si="5"/>
        <v>43904</v>
      </c>
      <c r="AB13" s="10" t="str">
        <f t="shared" si="6"/>
        <v>Semana 11: de 08/mar/2020 a 14/mar/2020</v>
      </c>
      <c r="AC13" s="5">
        <f t="shared" si="2"/>
        <v>43891</v>
      </c>
      <c r="AD13" s="4">
        <f t="shared" si="9"/>
        <v>11</v>
      </c>
      <c r="AE13" s="22"/>
      <c r="AK13" s="4">
        <v>11</v>
      </c>
      <c r="AL13" s="5">
        <f>'Controle e Captura'!F15</f>
        <v>44136</v>
      </c>
      <c r="AM13" s="4">
        <f>COUNTIF('Controle e Captura'!W:W,Auxiliar!AL13)</f>
        <v>0</v>
      </c>
      <c r="AN13" s="4">
        <f t="shared" si="10"/>
        <v>38</v>
      </c>
      <c r="AS13" s="4">
        <f t="shared" si="11"/>
        <v>11</v>
      </c>
      <c r="AT13" s="4">
        <f>COUNTIF('Controle e Captura'!X:X,Auxiliar!AS13)</f>
        <v>0</v>
      </c>
      <c r="AU13" s="4">
        <f t="shared" si="12"/>
        <v>38</v>
      </c>
    </row>
    <row r="14" spans="2:59" x14ac:dyDescent="0.3">
      <c r="K14" s="4">
        <f t="shared" si="8"/>
        <v>2026</v>
      </c>
      <c r="S14" s="4">
        <f t="shared" si="3"/>
        <v>3</v>
      </c>
      <c r="T14" s="9">
        <f>DATE('Controle e Captura'!$C$9,Auxiliar!U14,Auxiliar!V14)</f>
        <v>43842</v>
      </c>
      <c r="U14" s="4">
        <v>1</v>
      </c>
      <c r="V14" s="4">
        <v>12</v>
      </c>
      <c r="W14" s="4">
        <f t="shared" si="4"/>
        <v>1</v>
      </c>
      <c r="Y14" s="4" t="str">
        <f t="shared" si="0"/>
        <v>Semana 12</v>
      </c>
      <c r="Z14" s="21">
        <f t="shared" si="1"/>
        <v>43905</v>
      </c>
      <c r="AA14" s="21">
        <f t="shared" si="5"/>
        <v>43911</v>
      </c>
      <c r="AB14" s="10" t="str">
        <f t="shared" si="6"/>
        <v>Semana 12: de 15/mar/2020 a 21/mar/2020</v>
      </c>
      <c r="AC14" s="5">
        <f t="shared" si="2"/>
        <v>43891</v>
      </c>
      <c r="AD14" s="4">
        <f t="shared" si="9"/>
        <v>12</v>
      </c>
      <c r="AE14" s="22"/>
      <c r="AK14" s="4">
        <v>12</v>
      </c>
      <c r="AL14" s="5">
        <f>'Controle e Captura'!F16</f>
        <v>44166</v>
      </c>
      <c r="AM14" s="4">
        <f>COUNTIF('Controle e Captura'!W:W,Auxiliar!AL14)</f>
        <v>0</v>
      </c>
      <c r="AN14" s="4">
        <f t="shared" si="10"/>
        <v>38</v>
      </c>
      <c r="AS14" s="4">
        <f t="shared" si="11"/>
        <v>12</v>
      </c>
      <c r="AT14" s="4">
        <f>COUNTIF('Controle e Captura'!X:X,Auxiliar!AS14)</f>
        <v>0</v>
      </c>
      <c r="AU14" s="4">
        <f t="shared" si="12"/>
        <v>38</v>
      </c>
    </row>
    <row r="15" spans="2:59" x14ac:dyDescent="0.3">
      <c r="K15" s="4">
        <f t="shared" si="8"/>
        <v>2027</v>
      </c>
      <c r="S15" s="4">
        <f t="shared" si="3"/>
        <v>3</v>
      </c>
      <c r="T15" s="9">
        <f>DATE('Controle e Captura'!$C$9,Auxiliar!U15,Auxiliar!V15)</f>
        <v>43843</v>
      </c>
      <c r="U15" s="4">
        <v>1</v>
      </c>
      <c r="V15" s="4">
        <v>13</v>
      </c>
      <c r="W15" s="4">
        <f t="shared" si="4"/>
        <v>2</v>
      </c>
      <c r="Y15" s="4" t="str">
        <f t="shared" si="0"/>
        <v>Semana 13</v>
      </c>
      <c r="Z15" s="21">
        <f t="shared" si="1"/>
        <v>43912</v>
      </c>
      <c r="AA15" s="21">
        <f t="shared" si="5"/>
        <v>43918</v>
      </c>
      <c r="AB15" s="10" t="str">
        <f t="shared" si="6"/>
        <v>Semana 13: de 22/mar/2020 a 28/mar/2020</v>
      </c>
      <c r="AC15" s="5">
        <f t="shared" si="2"/>
        <v>43891</v>
      </c>
      <c r="AD15" s="4">
        <f t="shared" si="9"/>
        <v>13</v>
      </c>
      <c r="AE15" s="22"/>
      <c r="AS15" s="4">
        <f t="shared" si="11"/>
        <v>13</v>
      </c>
      <c r="AT15" s="4">
        <f>COUNTIF('Controle e Captura'!X:X,Auxiliar!AS15)</f>
        <v>0</v>
      </c>
      <c r="AU15" s="4">
        <f t="shared" si="12"/>
        <v>38</v>
      </c>
    </row>
    <row r="16" spans="2:59" x14ac:dyDescent="0.3">
      <c r="K16" s="4">
        <f t="shared" si="8"/>
        <v>2028</v>
      </c>
      <c r="S16" s="4">
        <f t="shared" si="3"/>
        <v>3</v>
      </c>
      <c r="T16" s="9">
        <f>DATE('Controle e Captura'!$C$9,Auxiliar!U16,Auxiliar!V16)</f>
        <v>43844</v>
      </c>
      <c r="U16" s="4">
        <v>1</v>
      </c>
      <c r="V16" s="4">
        <v>14</v>
      </c>
      <c r="W16" s="4">
        <f t="shared" si="4"/>
        <v>3</v>
      </c>
      <c r="Y16" s="4" t="str">
        <f t="shared" si="0"/>
        <v>Semana 14</v>
      </c>
      <c r="Z16" s="21">
        <f t="shared" si="1"/>
        <v>43919</v>
      </c>
      <c r="AA16" s="21">
        <f t="shared" si="5"/>
        <v>43925</v>
      </c>
      <c r="AB16" s="10" t="str">
        <f t="shared" si="6"/>
        <v>Semana 14: de 29/mar/2020 a 04/abr/2020</v>
      </c>
      <c r="AC16" s="5">
        <f t="shared" si="2"/>
        <v>43891</v>
      </c>
      <c r="AD16" s="4">
        <f t="shared" si="9"/>
        <v>14</v>
      </c>
      <c r="AE16" s="22"/>
      <c r="AS16" s="4">
        <f t="shared" si="11"/>
        <v>14</v>
      </c>
      <c r="AT16" s="4">
        <f>COUNTIF('Controle e Captura'!X:X,Auxiliar!AS16)</f>
        <v>0</v>
      </c>
      <c r="AU16" s="4">
        <f t="shared" si="12"/>
        <v>38</v>
      </c>
    </row>
    <row r="17" spans="11:47" x14ac:dyDescent="0.3">
      <c r="K17" s="4">
        <f t="shared" si="8"/>
        <v>2029</v>
      </c>
      <c r="S17" s="4">
        <f t="shared" si="3"/>
        <v>3</v>
      </c>
      <c r="T17" s="9">
        <f>DATE('Controle e Captura'!$C$9,Auxiliar!U17,Auxiliar!V17)</f>
        <v>43845</v>
      </c>
      <c r="U17" s="4">
        <v>1</v>
      </c>
      <c r="V17" s="4">
        <v>15</v>
      </c>
      <c r="W17" s="4">
        <f t="shared" si="4"/>
        <v>4</v>
      </c>
      <c r="Y17" s="4" t="str">
        <f t="shared" si="0"/>
        <v>Semana 15</v>
      </c>
      <c r="Z17" s="21">
        <f t="shared" si="1"/>
        <v>43926</v>
      </c>
      <c r="AA17" s="21">
        <f t="shared" si="5"/>
        <v>43932</v>
      </c>
      <c r="AB17" s="10" t="str">
        <f t="shared" si="6"/>
        <v>Semana 15: de 05/abr/2020 a 11/abr/2020</v>
      </c>
      <c r="AC17" s="5">
        <f t="shared" si="2"/>
        <v>43922</v>
      </c>
      <c r="AD17" s="4">
        <f t="shared" si="9"/>
        <v>15</v>
      </c>
      <c r="AE17" s="22"/>
      <c r="AS17" s="4">
        <f t="shared" si="11"/>
        <v>15</v>
      </c>
      <c r="AT17" s="4">
        <f>COUNTIF('Controle e Captura'!X:X,Auxiliar!AS17)</f>
        <v>0</v>
      </c>
      <c r="AU17" s="4">
        <f t="shared" si="12"/>
        <v>38</v>
      </c>
    </row>
    <row r="18" spans="11:47" x14ac:dyDescent="0.3">
      <c r="K18" s="4">
        <f t="shared" si="8"/>
        <v>2030</v>
      </c>
      <c r="S18" s="4">
        <f t="shared" si="3"/>
        <v>3</v>
      </c>
      <c r="T18" s="9">
        <f>DATE('Controle e Captura'!$C$9,Auxiliar!U18,Auxiliar!V18)</f>
        <v>43846</v>
      </c>
      <c r="U18" s="4">
        <v>1</v>
      </c>
      <c r="V18" s="4">
        <v>16</v>
      </c>
      <c r="W18" s="4">
        <f t="shared" si="4"/>
        <v>5</v>
      </c>
      <c r="Y18" s="4" t="str">
        <f t="shared" si="0"/>
        <v>Semana 16</v>
      </c>
      <c r="Z18" s="21">
        <f t="shared" si="1"/>
        <v>43933</v>
      </c>
      <c r="AA18" s="21">
        <f t="shared" si="5"/>
        <v>43939</v>
      </c>
      <c r="AB18" s="10" t="str">
        <f t="shared" si="6"/>
        <v>Semana 16: de 12/abr/2020 a 18/abr/2020</v>
      </c>
      <c r="AC18" s="5">
        <f t="shared" si="2"/>
        <v>43922</v>
      </c>
      <c r="AD18" s="4">
        <f t="shared" si="9"/>
        <v>16</v>
      </c>
      <c r="AE18" s="22"/>
      <c r="AS18" s="4">
        <f t="shared" si="11"/>
        <v>16</v>
      </c>
      <c r="AT18" s="4">
        <f>COUNTIF('Controle e Captura'!X:X,Auxiliar!AS18)</f>
        <v>0</v>
      </c>
      <c r="AU18" s="4">
        <f t="shared" si="12"/>
        <v>38</v>
      </c>
    </row>
    <row r="19" spans="11:47" x14ac:dyDescent="0.3">
      <c r="K19" s="4">
        <f t="shared" si="8"/>
        <v>2031</v>
      </c>
      <c r="S19" s="4">
        <f t="shared" si="3"/>
        <v>3</v>
      </c>
      <c r="T19" s="9">
        <f>DATE('Controle e Captura'!$C$9,Auxiliar!U19,Auxiliar!V19)</f>
        <v>43847</v>
      </c>
      <c r="U19" s="4">
        <v>1</v>
      </c>
      <c r="V19" s="4">
        <v>17</v>
      </c>
      <c r="W19" s="4">
        <f t="shared" si="4"/>
        <v>6</v>
      </c>
      <c r="Y19" s="4" t="str">
        <f t="shared" si="0"/>
        <v>Semana 17</v>
      </c>
      <c r="Z19" s="21">
        <f t="shared" si="1"/>
        <v>43940</v>
      </c>
      <c r="AA19" s="21">
        <f t="shared" si="5"/>
        <v>43946</v>
      </c>
      <c r="AB19" s="10" t="str">
        <f t="shared" si="6"/>
        <v>Semana 17: de 19/abr/2020 a 25/abr/2020</v>
      </c>
      <c r="AC19" s="5">
        <f t="shared" si="2"/>
        <v>43922</v>
      </c>
      <c r="AD19" s="4">
        <f t="shared" si="9"/>
        <v>17</v>
      </c>
      <c r="AE19" s="22"/>
      <c r="AS19" s="4">
        <f t="shared" si="11"/>
        <v>17</v>
      </c>
      <c r="AT19" s="4">
        <f>COUNTIF('Controle e Captura'!X:X,Auxiliar!AS19)</f>
        <v>0</v>
      </c>
      <c r="AU19" s="4">
        <f t="shared" si="12"/>
        <v>38</v>
      </c>
    </row>
    <row r="20" spans="11:47" x14ac:dyDescent="0.3">
      <c r="K20" s="4">
        <f t="shared" si="8"/>
        <v>2032</v>
      </c>
      <c r="S20" s="4">
        <f t="shared" si="3"/>
        <v>3</v>
      </c>
      <c r="T20" s="9">
        <f>DATE('Controle e Captura'!$C$9,Auxiliar!U20,Auxiliar!V20)</f>
        <v>43848</v>
      </c>
      <c r="U20" s="4">
        <v>1</v>
      </c>
      <c r="V20" s="4">
        <v>18</v>
      </c>
      <c r="W20" s="4">
        <f t="shared" si="4"/>
        <v>7</v>
      </c>
      <c r="Y20" s="4" t="str">
        <f t="shared" si="0"/>
        <v>Semana 18</v>
      </c>
      <c r="Z20" s="21">
        <f t="shared" si="1"/>
        <v>43947</v>
      </c>
      <c r="AA20" s="21">
        <f t="shared" si="5"/>
        <v>43953</v>
      </c>
      <c r="AB20" s="10" t="str">
        <f t="shared" si="6"/>
        <v>Semana 18: de 26/abr/2020 a 02/mai/2020</v>
      </c>
      <c r="AC20" s="5">
        <f t="shared" si="2"/>
        <v>43922</v>
      </c>
      <c r="AD20" s="4">
        <f t="shared" si="9"/>
        <v>18</v>
      </c>
      <c r="AE20" s="22"/>
      <c r="AS20" s="4">
        <f t="shared" si="11"/>
        <v>18</v>
      </c>
      <c r="AT20" s="4">
        <f>COUNTIF('Controle e Captura'!X:X,Auxiliar!AS20)</f>
        <v>0</v>
      </c>
      <c r="AU20" s="4">
        <f t="shared" si="12"/>
        <v>38</v>
      </c>
    </row>
    <row r="21" spans="11:47" x14ac:dyDescent="0.3">
      <c r="K21" s="4">
        <f t="shared" si="8"/>
        <v>2033</v>
      </c>
      <c r="S21" s="4">
        <f t="shared" si="3"/>
        <v>4</v>
      </c>
      <c r="T21" s="9">
        <f>DATE('Controle e Captura'!$C$9,Auxiliar!U21,Auxiliar!V21)</f>
        <v>43849</v>
      </c>
      <c r="U21" s="4">
        <v>1</v>
      </c>
      <c r="V21" s="4">
        <v>19</v>
      </c>
      <c r="W21" s="4">
        <f t="shared" si="4"/>
        <v>1</v>
      </c>
      <c r="Y21" s="4" t="str">
        <f t="shared" si="0"/>
        <v>Semana 19</v>
      </c>
      <c r="Z21" s="21">
        <f t="shared" si="1"/>
        <v>43954</v>
      </c>
      <c r="AA21" s="21">
        <f t="shared" si="5"/>
        <v>43960</v>
      </c>
      <c r="AB21" s="10" t="str">
        <f t="shared" si="6"/>
        <v>Semana 19: de 03/mai/2020 a 09/mai/2020</v>
      </c>
      <c r="AC21" s="5">
        <f t="shared" si="2"/>
        <v>43952</v>
      </c>
      <c r="AD21" s="4">
        <f t="shared" si="9"/>
        <v>19</v>
      </c>
      <c r="AE21" s="22"/>
      <c r="AS21" s="4">
        <f t="shared" si="11"/>
        <v>19</v>
      </c>
      <c r="AT21" s="4">
        <f>COUNTIF('Controle e Captura'!X:X,Auxiliar!AS21)</f>
        <v>0</v>
      </c>
      <c r="AU21" s="4">
        <f t="shared" si="12"/>
        <v>38</v>
      </c>
    </row>
    <row r="22" spans="11:47" x14ac:dyDescent="0.3">
      <c r="K22" s="4">
        <f t="shared" si="8"/>
        <v>2034</v>
      </c>
      <c r="S22" s="4">
        <f t="shared" si="3"/>
        <v>4</v>
      </c>
      <c r="T22" s="9">
        <f>DATE('Controle e Captura'!$C$9,Auxiliar!U22,Auxiliar!V22)</f>
        <v>43850</v>
      </c>
      <c r="U22" s="4">
        <v>1</v>
      </c>
      <c r="V22" s="4">
        <v>20</v>
      </c>
      <c r="W22" s="4">
        <f t="shared" si="4"/>
        <v>2</v>
      </c>
      <c r="Y22" s="4" t="str">
        <f t="shared" si="0"/>
        <v>Semana 20</v>
      </c>
      <c r="Z22" s="21">
        <f t="shared" si="1"/>
        <v>43961</v>
      </c>
      <c r="AA22" s="21">
        <f t="shared" si="5"/>
        <v>43967</v>
      </c>
      <c r="AB22" s="10" t="str">
        <f t="shared" si="6"/>
        <v>Semana 20: de 10/mai/2020 a 16/mai/2020</v>
      </c>
      <c r="AC22" s="5">
        <f t="shared" si="2"/>
        <v>43952</v>
      </c>
      <c r="AD22" s="4">
        <f t="shared" si="9"/>
        <v>20</v>
      </c>
      <c r="AE22" s="22"/>
      <c r="AS22" s="4">
        <f t="shared" si="11"/>
        <v>20</v>
      </c>
      <c r="AT22" s="4">
        <f>COUNTIF('Controle e Captura'!X:X,Auxiliar!AS22)</f>
        <v>0</v>
      </c>
      <c r="AU22" s="4">
        <f t="shared" si="12"/>
        <v>38</v>
      </c>
    </row>
    <row r="23" spans="11:47" x14ac:dyDescent="0.3">
      <c r="K23" s="4">
        <f t="shared" si="8"/>
        <v>2035</v>
      </c>
      <c r="S23" s="4">
        <f t="shared" si="3"/>
        <v>4</v>
      </c>
      <c r="T23" s="9">
        <f>DATE('Controle e Captura'!$C$9,Auxiliar!U23,Auxiliar!V23)</f>
        <v>43851</v>
      </c>
      <c r="U23" s="4">
        <v>1</v>
      </c>
      <c r="V23" s="4">
        <v>21</v>
      </c>
      <c r="W23" s="4">
        <f t="shared" si="4"/>
        <v>3</v>
      </c>
      <c r="Y23" s="4" t="str">
        <f t="shared" si="0"/>
        <v>Semana 21</v>
      </c>
      <c r="Z23" s="21">
        <f t="shared" si="1"/>
        <v>43968</v>
      </c>
      <c r="AA23" s="21">
        <f t="shared" si="5"/>
        <v>43974</v>
      </c>
      <c r="AB23" s="10" t="str">
        <f t="shared" si="6"/>
        <v>Semana 21: de 17/mai/2020 a 23/mai/2020</v>
      </c>
      <c r="AC23" s="5">
        <f t="shared" si="2"/>
        <v>43952</v>
      </c>
      <c r="AD23" s="4">
        <f t="shared" si="9"/>
        <v>21</v>
      </c>
      <c r="AE23" s="22"/>
      <c r="AS23" s="4">
        <f t="shared" si="11"/>
        <v>21</v>
      </c>
      <c r="AT23" s="4">
        <f>COUNTIF('Controle e Captura'!X:X,Auxiliar!AS23)</f>
        <v>0</v>
      </c>
      <c r="AU23" s="4">
        <f t="shared" si="12"/>
        <v>38</v>
      </c>
    </row>
    <row r="24" spans="11:47" x14ac:dyDescent="0.3">
      <c r="K24" s="4">
        <f t="shared" si="8"/>
        <v>2036</v>
      </c>
      <c r="S24" s="4">
        <f t="shared" si="3"/>
        <v>4</v>
      </c>
      <c r="T24" s="9">
        <f>DATE('Controle e Captura'!$C$9,Auxiliar!U24,Auxiliar!V24)</f>
        <v>43852</v>
      </c>
      <c r="U24" s="4">
        <v>1</v>
      </c>
      <c r="V24" s="4">
        <v>22</v>
      </c>
      <c r="W24" s="4">
        <f t="shared" si="4"/>
        <v>4</v>
      </c>
      <c r="Y24" s="4" t="str">
        <f t="shared" si="0"/>
        <v>Semana 22</v>
      </c>
      <c r="Z24" s="21">
        <f t="shared" si="1"/>
        <v>43975</v>
      </c>
      <c r="AA24" s="21">
        <f t="shared" si="5"/>
        <v>43981</v>
      </c>
      <c r="AB24" s="10" t="str">
        <f t="shared" si="6"/>
        <v>Semana 22: de 24/mai/2020 a 30/mai/2020</v>
      </c>
      <c r="AC24" s="5">
        <f t="shared" si="2"/>
        <v>43952</v>
      </c>
      <c r="AD24" s="4">
        <f t="shared" si="9"/>
        <v>22</v>
      </c>
      <c r="AE24" s="22"/>
      <c r="AS24" s="4">
        <f t="shared" si="11"/>
        <v>22</v>
      </c>
      <c r="AT24" s="4">
        <f>COUNTIF('Controle e Captura'!X:X,Auxiliar!AS24)</f>
        <v>0</v>
      </c>
      <c r="AU24" s="4">
        <f t="shared" si="12"/>
        <v>38</v>
      </c>
    </row>
    <row r="25" spans="11:47" x14ac:dyDescent="0.3">
      <c r="K25" s="4">
        <f t="shared" si="8"/>
        <v>2037</v>
      </c>
      <c r="S25" s="4">
        <f t="shared" si="3"/>
        <v>4</v>
      </c>
      <c r="T25" s="9">
        <f>DATE('Controle e Captura'!$C$9,Auxiliar!U25,Auxiliar!V25)</f>
        <v>43853</v>
      </c>
      <c r="U25" s="4">
        <v>1</v>
      </c>
      <c r="V25" s="4">
        <v>23</v>
      </c>
      <c r="W25" s="4">
        <f t="shared" si="4"/>
        <v>5</v>
      </c>
      <c r="Y25" s="4" t="str">
        <f t="shared" si="0"/>
        <v>Semana 23</v>
      </c>
      <c r="Z25" s="21">
        <f t="shared" si="1"/>
        <v>43982</v>
      </c>
      <c r="AA25" s="21">
        <f t="shared" si="5"/>
        <v>43988</v>
      </c>
      <c r="AB25" s="10" t="str">
        <f t="shared" si="6"/>
        <v>Semana 23: de 31/mai/2020 a 06/jun/2020</v>
      </c>
      <c r="AC25" s="5">
        <f t="shared" si="2"/>
        <v>43952</v>
      </c>
      <c r="AD25" s="4">
        <f t="shared" si="9"/>
        <v>23</v>
      </c>
      <c r="AE25" s="22"/>
      <c r="AS25" s="4">
        <f t="shared" si="11"/>
        <v>23</v>
      </c>
      <c r="AT25" s="4">
        <f>COUNTIF('Controle e Captura'!X:X,Auxiliar!AS25)</f>
        <v>0</v>
      </c>
      <c r="AU25" s="4">
        <f t="shared" si="12"/>
        <v>38</v>
      </c>
    </row>
    <row r="26" spans="11:47" x14ac:dyDescent="0.3">
      <c r="K26" s="4">
        <f t="shared" si="8"/>
        <v>2038</v>
      </c>
      <c r="S26" s="4">
        <f t="shared" si="3"/>
        <v>4</v>
      </c>
      <c r="T26" s="9">
        <f>DATE('Controle e Captura'!$C$9,Auxiliar!U26,Auxiliar!V26)</f>
        <v>43854</v>
      </c>
      <c r="U26" s="4">
        <v>1</v>
      </c>
      <c r="V26" s="4">
        <v>24</v>
      </c>
      <c r="W26" s="4">
        <f t="shared" si="4"/>
        <v>6</v>
      </c>
      <c r="Y26" s="4" t="str">
        <f t="shared" si="0"/>
        <v>Semana 24</v>
      </c>
      <c r="Z26" s="21">
        <f t="shared" si="1"/>
        <v>43989</v>
      </c>
      <c r="AA26" s="21">
        <f t="shared" si="5"/>
        <v>43995</v>
      </c>
      <c r="AB26" s="10" t="str">
        <f t="shared" si="6"/>
        <v>Semana 24: de 07/jun/2020 a 13/jun/2020</v>
      </c>
      <c r="AC26" s="5">
        <f t="shared" si="2"/>
        <v>43983</v>
      </c>
      <c r="AD26" s="4">
        <f t="shared" si="9"/>
        <v>24</v>
      </c>
      <c r="AE26" s="22"/>
      <c r="AS26" s="4">
        <f t="shared" si="11"/>
        <v>24</v>
      </c>
      <c r="AT26" s="4">
        <f>COUNTIF('Controle e Captura'!X:X,Auxiliar!AS26)</f>
        <v>0</v>
      </c>
      <c r="AU26" s="4">
        <f t="shared" si="12"/>
        <v>38</v>
      </c>
    </row>
    <row r="27" spans="11:47" x14ac:dyDescent="0.3">
      <c r="K27" s="4">
        <f t="shared" si="8"/>
        <v>2039</v>
      </c>
      <c r="S27" s="4">
        <f t="shared" si="3"/>
        <v>4</v>
      </c>
      <c r="T27" s="9">
        <f>DATE('Controle e Captura'!$C$9,Auxiliar!U27,Auxiliar!V27)</f>
        <v>43855</v>
      </c>
      <c r="U27" s="4">
        <v>1</v>
      </c>
      <c r="V27" s="4">
        <v>25</v>
      </c>
      <c r="W27" s="4">
        <f t="shared" si="4"/>
        <v>7</v>
      </c>
      <c r="Y27" s="4" t="str">
        <f t="shared" si="0"/>
        <v>Semana 25</v>
      </c>
      <c r="Z27" s="21">
        <f t="shared" si="1"/>
        <v>43996</v>
      </c>
      <c r="AA27" s="21">
        <f t="shared" si="5"/>
        <v>44002</v>
      </c>
      <c r="AB27" s="10" t="str">
        <f t="shared" si="6"/>
        <v>Semana 25: de 14/jun/2020 a 20/jun/2020</v>
      </c>
      <c r="AC27" s="5">
        <f t="shared" si="2"/>
        <v>43983</v>
      </c>
      <c r="AD27" s="4">
        <f t="shared" si="9"/>
        <v>25</v>
      </c>
      <c r="AE27" s="22"/>
      <c r="AS27" s="4">
        <f t="shared" si="11"/>
        <v>25</v>
      </c>
      <c r="AT27" s="4">
        <f>COUNTIF('Controle e Captura'!X:X,Auxiliar!AS27)</f>
        <v>0</v>
      </c>
      <c r="AU27" s="4">
        <f t="shared" si="12"/>
        <v>38</v>
      </c>
    </row>
    <row r="28" spans="11:47" x14ac:dyDescent="0.3">
      <c r="K28" s="4">
        <f t="shared" si="8"/>
        <v>2040</v>
      </c>
      <c r="S28" s="4">
        <f t="shared" si="3"/>
        <v>5</v>
      </c>
      <c r="T28" s="9">
        <f>DATE('Controle e Captura'!$C$9,Auxiliar!U28,Auxiliar!V28)</f>
        <v>43856</v>
      </c>
      <c r="U28" s="4">
        <v>1</v>
      </c>
      <c r="V28" s="4">
        <v>26</v>
      </c>
      <c r="W28" s="4">
        <f t="shared" si="4"/>
        <v>1</v>
      </c>
      <c r="Y28" s="4" t="str">
        <f t="shared" si="0"/>
        <v>Semana 26</v>
      </c>
      <c r="Z28" s="21">
        <f t="shared" si="1"/>
        <v>44003</v>
      </c>
      <c r="AA28" s="21">
        <f t="shared" si="5"/>
        <v>44009</v>
      </c>
      <c r="AB28" s="10" t="str">
        <f t="shared" si="6"/>
        <v>Semana 26: de 21/jun/2020 a 27/jun/2020</v>
      </c>
      <c r="AC28" s="5">
        <f t="shared" si="2"/>
        <v>43983</v>
      </c>
      <c r="AD28" s="4">
        <f t="shared" si="9"/>
        <v>26</v>
      </c>
      <c r="AE28" s="22"/>
      <c r="AS28" s="4">
        <f t="shared" si="11"/>
        <v>26</v>
      </c>
      <c r="AT28" s="4">
        <f>COUNTIF('Controle e Captura'!X:X,Auxiliar!AS28)</f>
        <v>0</v>
      </c>
      <c r="AU28" s="4">
        <f t="shared" si="12"/>
        <v>38</v>
      </c>
    </row>
    <row r="29" spans="11:47" x14ac:dyDescent="0.3">
      <c r="K29" s="4">
        <f t="shared" si="8"/>
        <v>2041</v>
      </c>
      <c r="S29" s="4">
        <f t="shared" si="3"/>
        <v>5</v>
      </c>
      <c r="T29" s="9">
        <f>DATE('Controle e Captura'!$C$9,Auxiliar!U29,Auxiliar!V29)</f>
        <v>43857</v>
      </c>
      <c r="U29" s="4">
        <v>1</v>
      </c>
      <c r="V29" s="4">
        <v>27</v>
      </c>
      <c r="W29" s="4">
        <f t="shared" si="4"/>
        <v>2</v>
      </c>
      <c r="Y29" s="4" t="str">
        <f t="shared" si="0"/>
        <v>Semana 27</v>
      </c>
      <c r="Z29" s="21">
        <f t="shared" si="1"/>
        <v>44010</v>
      </c>
      <c r="AA29" s="21">
        <f t="shared" si="5"/>
        <v>44016</v>
      </c>
      <c r="AB29" s="10" t="str">
        <f t="shared" si="6"/>
        <v>Semana 27: de 28/jun/2020 a 04/jul/2020</v>
      </c>
      <c r="AC29" s="5">
        <f t="shared" si="2"/>
        <v>43983</v>
      </c>
      <c r="AD29" s="4">
        <f t="shared" si="9"/>
        <v>27</v>
      </c>
      <c r="AE29" s="22"/>
      <c r="AS29" s="4">
        <f t="shared" si="11"/>
        <v>27</v>
      </c>
      <c r="AT29" s="4">
        <f>COUNTIF('Controle e Captura'!X:X,Auxiliar!AS29)</f>
        <v>0</v>
      </c>
      <c r="AU29" s="4">
        <f t="shared" si="12"/>
        <v>38</v>
      </c>
    </row>
    <row r="30" spans="11:47" x14ac:dyDescent="0.3">
      <c r="K30" s="4">
        <f t="shared" si="8"/>
        <v>2042</v>
      </c>
      <c r="S30" s="4">
        <f t="shared" si="3"/>
        <v>5</v>
      </c>
      <c r="T30" s="9">
        <f>DATE('Controle e Captura'!$C$9,Auxiliar!U30,Auxiliar!V30)</f>
        <v>43858</v>
      </c>
      <c r="U30" s="4">
        <v>1</v>
      </c>
      <c r="V30" s="4">
        <v>28</v>
      </c>
      <c r="W30" s="4">
        <f t="shared" si="4"/>
        <v>3</v>
      </c>
      <c r="Y30" s="4" t="str">
        <f t="shared" si="0"/>
        <v>Semana 28</v>
      </c>
      <c r="Z30" s="21">
        <f t="shared" si="1"/>
        <v>44017</v>
      </c>
      <c r="AA30" s="21">
        <f t="shared" si="5"/>
        <v>44023</v>
      </c>
      <c r="AB30" s="10" t="str">
        <f t="shared" si="6"/>
        <v>Semana 28: de 05/jul/2020 a 11/jul/2020</v>
      </c>
      <c r="AC30" s="5">
        <f t="shared" si="2"/>
        <v>44013</v>
      </c>
      <c r="AD30" s="4">
        <f t="shared" si="9"/>
        <v>28</v>
      </c>
      <c r="AE30" s="22"/>
      <c r="AS30" s="4">
        <f t="shared" si="11"/>
        <v>28</v>
      </c>
      <c r="AT30" s="4">
        <f>COUNTIF('Controle e Captura'!X:X,Auxiliar!AS30)</f>
        <v>0</v>
      </c>
      <c r="AU30" s="4">
        <f t="shared" si="12"/>
        <v>38</v>
      </c>
    </row>
    <row r="31" spans="11:47" x14ac:dyDescent="0.3">
      <c r="K31" s="4">
        <f t="shared" si="8"/>
        <v>2043</v>
      </c>
      <c r="S31" s="4">
        <f t="shared" si="3"/>
        <v>5</v>
      </c>
      <c r="T31" s="9">
        <f>DATE('Controle e Captura'!$C$9,Auxiliar!U31,Auxiliar!V31)</f>
        <v>43859</v>
      </c>
      <c r="U31" s="4">
        <v>1</v>
      </c>
      <c r="V31" s="4">
        <v>29</v>
      </c>
      <c r="W31" s="4">
        <f t="shared" si="4"/>
        <v>4</v>
      </c>
      <c r="Y31" s="4" t="str">
        <f t="shared" si="0"/>
        <v>Semana 29</v>
      </c>
      <c r="Z31" s="21">
        <f t="shared" si="1"/>
        <v>44024</v>
      </c>
      <c r="AA31" s="21">
        <f t="shared" si="5"/>
        <v>44030</v>
      </c>
      <c r="AB31" s="10" t="str">
        <f t="shared" si="6"/>
        <v>Semana 29: de 12/jul/2020 a 18/jul/2020</v>
      </c>
      <c r="AC31" s="5">
        <f t="shared" si="2"/>
        <v>44013</v>
      </c>
      <c r="AD31" s="4">
        <f t="shared" si="9"/>
        <v>29</v>
      </c>
      <c r="AE31" s="22"/>
      <c r="AS31" s="4">
        <f t="shared" si="11"/>
        <v>29</v>
      </c>
      <c r="AT31" s="4">
        <f>COUNTIF('Controle e Captura'!X:X,Auxiliar!AS31)</f>
        <v>0</v>
      </c>
      <c r="AU31" s="4">
        <f t="shared" si="12"/>
        <v>38</v>
      </c>
    </row>
    <row r="32" spans="11:47" x14ac:dyDescent="0.3">
      <c r="K32" s="4">
        <f t="shared" si="8"/>
        <v>2044</v>
      </c>
      <c r="S32" s="4">
        <f t="shared" si="3"/>
        <v>5</v>
      </c>
      <c r="T32" s="9">
        <f>DATE('Controle e Captura'!$C$9,Auxiliar!U32,Auxiliar!V32)</f>
        <v>43860</v>
      </c>
      <c r="U32" s="4">
        <v>1</v>
      </c>
      <c r="V32" s="4">
        <v>30</v>
      </c>
      <c r="W32" s="4">
        <f t="shared" si="4"/>
        <v>5</v>
      </c>
      <c r="Y32" s="4" t="str">
        <f t="shared" si="0"/>
        <v>Semana 30</v>
      </c>
      <c r="Z32" s="21">
        <f t="shared" si="1"/>
        <v>44031</v>
      </c>
      <c r="AA32" s="21">
        <f t="shared" si="5"/>
        <v>44037</v>
      </c>
      <c r="AB32" s="10" t="str">
        <f t="shared" si="6"/>
        <v>Semana 30: de 19/jul/2020 a 25/jul/2020</v>
      </c>
      <c r="AC32" s="5">
        <f t="shared" si="2"/>
        <v>44013</v>
      </c>
      <c r="AD32" s="4">
        <f t="shared" si="9"/>
        <v>30</v>
      </c>
      <c r="AE32" s="22"/>
      <c r="AS32" s="4">
        <f t="shared" si="11"/>
        <v>30</v>
      </c>
      <c r="AT32" s="4">
        <f>COUNTIF('Controle e Captura'!X:X,Auxiliar!AS32)</f>
        <v>0</v>
      </c>
      <c r="AU32" s="4">
        <f t="shared" si="12"/>
        <v>38</v>
      </c>
    </row>
    <row r="33" spans="11:47" x14ac:dyDescent="0.3">
      <c r="K33" s="4">
        <f t="shared" si="8"/>
        <v>2045</v>
      </c>
      <c r="S33" s="4">
        <f t="shared" si="3"/>
        <v>5</v>
      </c>
      <c r="T33" s="9">
        <f>DATE('Controle e Captura'!$C$9,Auxiliar!U33,Auxiliar!V33)</f>
        <v>43861</v>
      </c>
      <c r="U33" s="4">
        <v>1</v>
      </c>
      <c r="V33" s="4">
        <v>31</v>
      </c>
      <c r="W33" s="4">
        <f t="shared" si="4"/>
        <v>6</v>
      </c>
      <c r="Y33" s="4" t="str">
        <f t="shared" si="0"/>
        <v>Semana 31</v>
      </c>
      <c r="Z33" s="21">
        <f t="shared" si="1"/>
        <v>44038</v>
      </c>
      <c r="AA33" s="21">
        <f t="shared" si="5"/>
        <v>44044</v>
      </c>
      <c r="AB33" s="10" t="str">
        <f t="shared" si="6"/>
        <v>Semana 31: de 26/jul/2020 a 01/ago/2020</v>
      </c>
      <c r="AC33" s="5">
        <f t="shared" si="2"/>
        <v>44013</v>
      </c>
      <c r="AD33" s="4">
        <f t="shared" si="9"/>
        <v>31</v>
      </c>
      <c r="AE33" s="22"/>
      <c r="AS33" s="4">
        <f t="shared" si="11"/>
        <v>31</v>
      </c>
      <c r="AT33" s="4">
        <f>COUNTIF('Controle e Captura'!X:X,Auxiliar!AS33)</f>
        <v>0</v>
      </c>
      <c r="AU33" s="4">
        <f t="shared" si="12"/>
        <v>38</v>
      </c>
    </row>
    <row r="34" spans="11:47" x14ac:dyDescent="0.3">
      <c r="K34" s="4">
        <f t="shared" si="8"/>
        <v>2046</v>
      </c>
      <c r="S34" s="4">
        <f t="shared" si="3"/>
        <v>5</v>
      </c>
      <c r="T34" s="9">
        <f>DATE('Controle e Captura'!$C$9,Auxiliar!U34,Auxiliar!V34)</f>
        <v>43862</v>
      </c>
      <c r="U34" s="4">
        <v>2</v>
      </c>
      <c r="V34" s="4">
        <v>1</v>
      </c>
      <c r="W34" s="4">
        <f t="shared" si="4"/>
        <v>7</v>
      </c>
      <c r="Y34" s="4" t="str">
        <f t="shared" si="0"/>
        <v>Semana 32</v>
      </c>
      <c r="Z34" s="21">
        <f t="shared" si="1"/>
        <v>44045</v>
      </c>
      <c r="AA34" s="21">
        <f t="shared" si="5"/>
        <v>44051</v>
      </c>
      <c r="AB34" s="10" t="str">
        <f t="shared" si="6"/>
        <v>Semana 32: de 02/ago/2020 a 08/ago/2020</v>
      </c>
      <c r="AC34" s="5">
        <f t="shared" si="2"/>
        <v>44044</v>
      </c>
      <c r="AD34" s="4">
        <f t="shared" si="9"/>
        <v>32</v>
      </c>
      <c r="AE34" s="22"/>
      <c r="AS34" s="4">
        <f t="shared" si="11"/>
        <v>32</v>
      </c>
      <c r="AT34" s="4">
        <f>COUNTIF('Controle e Captura'!X:X,Auxiliar!AS34)</f>
        <v>0</v>
      </c>
      <c r="AU34" s="4">
        <f t="shared" si="12"/>
        <v>38</v>
      </c>
    </row>
    <row r="35" spans="11:47" x14ac:dyDescent="0.3">
      <c r="K35" s="4">
        <f t="shared" si="8"/>
        <v>2047</v>
      </c>
      <c r="S35" s="4">
        <f t="shared" si="3"/>
        <v>6</v>
      </c>
      <c r="T35" s="9">
        <f>DATE('Controle e Captura'!$C$9,Auxiliar!U35,Auxiliar!V35)</f>
        <v>43863</v>
      </c>
      <c r="U35" s="4">
        <v>2</v>
      </c>
      <c r="V35" s="4">
        <v>2</v>
      </c>
      <c r="W35" s="4">
        <f t="shared" si="4"/>
        <v>1</v>
      </c>
      <c r="Y35" s="4" t="str">
        <f t="shared" ref="Y35:Y55" si="13">"Semana "&amp;AD35</f>
        <v>Semana 33</v>
      </c>
      <c r="Z35" s="21">
        <f t="shared" ref="Z35:Z55" si="14">VLOOKUP(AD35,$S$3:$T$367,2,FALSE)</f>
        <v>44052</v>
      </c>
      <c r="AA35" s="21">
        <f t="shared" si="5"/>
        <v>44058</v>
      </c>
      <c r="AB35" s="10" t="str">
        <f t="shared" si="6"/>
        <v>Semana 33: de 09/ago/2020 a 15/ago/2020</v>
      </c>
      <c r="AC35" s="5">
        <f t="shared" ref="AC35:AC55" si="15">VLOOKUP(MONTH(Z35),$AK$3:$AL$14,2,FALSE)</f>
        <v>44044</v>
      </c>
      <c r="AD35" s="4">
        <f t="shared" si="9"/>
        <v>33</v>
      </c>
      <c r="AE35" s="22"/>
      <c r="AS35" s="4">
        <f t="shared" si="11"/>
        <v>33</v>
      </c>
      <c r="AT35" s="4">
        <f>COUNTIF('Controle e Captura'!X:X,Auxiliar!AS35)</f>
        <v>0</v>
      </c>
      <c r="AU35" s="4">
        <f t="shared" si="12"/>
        <v>38</v>
      </c>
    </row>
    <row r="36" spans="11:47" x14ac:dyDescent="0.3">
      <c r="K36" s="4">
        <f t="shared" si="8"/>
        <v>2048</v>
      </c>
      <c r="S36" s="4">
        <f t="shared" si="3"/>
        <v>6</v>
      </c>
      <c r="T36" s="9">
        <f>DATE('Controle e Captura'!$C$9,Auxiliar!U36,Auxiliar!V36)</f>
        <v>43864</v>
      </c>
      <c r="U36" s="4">
        <v>2</v>
      </c>
      <c r="V36" s="4">
        <v>3</v>
      </c>
      <c r="W36" s="4">
        <f t="shared" si="4"/>
        <v>2</v>
      </c>
      <c r="Y36" s="4" t="str">
        <f t="shared" si="13"/>
        <v>Semana 34</v>
      </c>
      <c r="Z36" s="21">
        <f t="shared" si="14"/>
        <v>44059</v>
      </c>
      <c r="AA36" s="21">
        <f t="shared" si="5"/>
        <v>44065</v>
      </c>
      <c r="AB36" s="10" t="str">
        <f t="shared" si="6"/>
        <v>Semana 34: de 16/ago/2020 a 22/ago/2020</v>
      </c>
      <c r="AC36" s="5">
        <f t="shared" si="15"/>
        <v>44044</v>
      </c>
      <c r="AD36" s="4">
        <f t="shared" si="9"/>
        <v>34</v>
      </c>
      <c r="AE36" s="22"/>
      <c r="AS36" s="4">
        <f t="shared" si="11"/>
        <v>34</v>
      </c>
      <c r="AT36" s="4">
        <f>COUNTIF('Controle e Captura'!X:X,Auxiliar!AS36)</f>
        <v>0</v>
      </c>
      <c r="AU36" s="4">
        <f t="shared" si="12"/>
        <v>38</v>
      </c>
    </row>
    <row r="37" spans="11:47" x14ac:dyDescent="0.3">
      <c r="K37" s="4">
        <f t="shared" si="8"/>
        <v>2049</v>
      </c>
      <c r="S37" s="4">
        <f t="shared" si="3"/>
        <v>6</v>
      </c>
      <c r="T37" s="9">
        <f>DATE('Controle e Captura'!$C$9,Auxiliar!U37,Auxiliar!V37)</f>
        <v>43865</v>
      </c>
      <c r="U37" s="4">
        <v>2</v>
      </c>
      <c r="V37" s="4">
        <v>4</v>
      </c>
      <c r="W37" s="4">
        <f t="shared" si="4"/>
        <v>3</v>
      </c>
      <c r="Y37" s="4" t="str">
        <f t="shared" si="13"/>
        <v>Semana 35</v>
      </c>
      <c r="Z37" s="21">
        <f t="shared" si="14"/>
        <v>44066</v>
      </c>
      <c r="AA37" s="21">
        <f t="shared" si="5"/>
        <v>44072</v>
      </c>
      <c r="AB37" s="10" t="str">
        <f t="shared" si="6"/>
        <v>Semana 35: de 23/ago/2020 a 29/ago/2020</v>
      </c>
      <c r="AC37" s="5">
        <f t="shared" si="15"/>
        <v>44044</v>
      </c>
      <c r="AD37" s="4">
        <f t="shared" si="9"/>
        <v>35</v>
      </c>
      <c r="AE37" s="22"/>
      <c r="AS37" s="4">
        <f t="shared" si="11"/>
        <v>35</v>
      </c>
      <c r="AT37" s="4">
        <f>COUNTIF('Controle e Captura'!X:X,Auxiliar!AS37)</f>
        <v>0</v>
      </c>
      <c r="AU37" s="4">
        <f t="shared" si="12"/>
        <v>38</v>
      </c>
    </row>
    <row r="38" spans="11:47" x14ac:dyDescent="0.3">
      <c r="K38" s="4">
        <f t="shared" si="8"/>
        <v>2050</v>
      </c>
      <c r="S38" s="4">
        <f t="shared" si="3"/>
        <v>6</v>
      </c>
      <c r="T38" s="9">
        <f>DATE('Controle e Captura'!$C$9,Auxiliar!U38,Auxiliar!V38)</f>
        <v>43866</v>
      </c>
      <c r="U38" s="4">
        <v>2</v>
      </c>
      <c r="V38" s="4">
        <v>5</v>
      </c>
      <c r="W38" s="4">
        <f t="shared" si="4"/>
        <v>4</v>
      </c>
      <c r="Y38" s="4" t="str">
        <f t="shared" si="13"/>
        <v>Semana 36</v>
      </c>
      <c r="Z38" s="21">
        <f t="shared" si="14"/>
        <v>44073</v>
      </c>
      <c r="AA38" s="21">
        <f t="shared" si="5"/>
        <v>44079</v>
      </c>
      <c r="AB38" s="10" t="str">
        <f t="shared" si="6"/>
        <v>Semana 36: de 30/ago/2020 a 05/set/2020</v>
      </c>
      <c r="AC38" s="5">
        <f t="shared" si="15"/>
        <v>44044</v>
      </c>
      <c r="AD38" s="4">
        <f t="shared" si="9"/>
        <v>36</v>
      </c>
      <c r="AE38" s="22"/>
      <c r="AS38" s="4">
        <f t="shared" si="11"/>
        <v>36</v>
      </c>
      <c r="AT38" s="4">
        <f>COUNTIF('Controle e Captura'!X:X,Auxiliar!AS38)</f>
        <v>0</v>
      </c>
      <c r="AU38" s="4">
        <f t="shared" si="12"/>
        <v>38</v>
      </c>
    </row>
    <row r="39" spans="11:47" x14ac:dyDescent="0.3">
      <c r="K39" s="2"/>
      <c r="S39" s="4">
        <f t="shared" si="3"/>
        <v>6</v>
      </c>
      <c r="T39" s="9">
        <f>DATE('Controle e Captura'!$C$9,Auxiliar!U39,Auxiliar!V39)</f>
        <v>43867</v>
      </c>
      <c r="U39" s="4">
        <v>2</v>
      </c>
      <c r="V39" s="4">
        <v>6</v>
      </c>
      <c r="W39" s="4">
        <f t="shared" si="4"/>
        <v>5</v>
      </c>
      <c r="Y39" s="4" t="str">
        <f t="shared" si="13"/>
        <v>Semana 37</v>
      </c>
      <c r="Z39" s="21">
        <f t="shared" si="14"/>
        <v>44080</v>
      </c>
      <c r="AA39" s="21">
        <f t="shared" si="5"/>
        <v>44086</v>
      </c>
      <c r="AB39" s="10" t="str">
        <f t="shared" si="6"/>
        <v>Semana 37: de 06/set/2020 a 12/set/2020</v>
      </c>
      <c r="AC39" s="5">
        <f t="shared" si="15"/>
        <v>44075</v>
      </c>
      <c r="AD39" s="4">
        <f t="shared" si="9"/>
        <v>37</v>
      </c>
      <c r="AE39" s="22"/>
      <c r="AS39" s="4">
        <f t="shared" si="11"/>
        <v>37</v>
      </c>
      <c r="AT39" s="4">
        <f>COUNTIF('Controle e Captura'!X:X,Auxiliar!AS39)</f>
        <v>0</v>
      </c>
      <c r="AU39" s="4">
        <f t="shared" si="12"/>
        <v>38</v>
      </c>
    </row>
    <row r="40" spans="11:47" x14ac:dyDescent="0.3">
      <c r="K40" s="2"/>
      <c r="S40" s="4">
        <f t="shared" si="3"/>
        <v>6</v>
      </c>
      <c r="T40" s="9">
        <f>DATE('Controle e Captura'!$C$9,Auxiliar!U40,Auxiliar!V40)</f>
        <v>43868</v>
      </c>
      <c r="U40" s="4">
        <v>2</v>
      </c>
      <c r="V40" s="4">
        <v>7</v>
      </c>
      <c r="W40" s="4">
        <f t="shared" si="4"/>
        <v>6</v>
      </c>
      <c r="Y40" s="4" t="str">
        <f t="shared" si="13"/>
        <v>Semana 38</v>
      </c>
      <c r="Z40" s="21">
        <f t="shared" si="14"/>
        <v>44087</v>
      </c>
      <c r="AA40" s="21">
        <f t="shared" si="5"/>
        <v>44093</v>
      </c>
      <c r="AB40" s="10" t="str">
        <f t="shared" si="6"/>
        <v>Semana 38: de 13/set/2020 a 19/set/2020</v>
      </c>
      <c r="AC40" s="5">
        <f t="shared" si="15"/>
        <v>44075</v>
      </c>
      <c r="AD40" s="4">
        <f t="shared" si="9"/>
        <v>38</v>
      </c>
      <c r="AE40" s="22"/>
      <c r="AS40" s="4">
        <f t="shared" si="11"/>
        <v>38</v>
      </c>
      <c r="AT40" s="4">
        <f>COUNTIF('Controle e Captura'!X:X,Auxiliar!AS40)</f>
        <v>0</v>
      </c>
      <c r="AU40" s="4">
        <f t="shared" si="12"/>
        <v>38</v>
      </c>
    </row>
    <row r="41" spans="11:47" x14ac:dyDescent="0.3">
      <c r="K41" s="2"/>
      <c r="S41" s="4">
        <f t="shared" si="3"/>
        <v>6</v>
      </c>
      <c r="T41" s="9">
        <f>DATE('Controle e Captura'!$C$9,Auxiliar!U41,Auxiliar!V41)</f>
        <v>43869</v>
      </c>
      <c r="U41" s="4">
        <v>2</v>
      </c>
      <c r="V41" s="4">
        <v>8</v>
      </c>
      <c r="W41" s="4">
        <f t="shared" si="4"/>
        <v>7</v>
      </c>
      <c r="Y41" s="4" t="str">
        <f t="shared" si="13"/>
        <v>Semana 39</v>
      </c>
      <c r="Z41" s="21">
        <f t="shared" si="14"/>
        <v>44094</v>
      </c>
      <c r="AA41" s="21">
        <f t="shared" si="5"/>
        <v>44100</v>
      </c>
      <c r="AB41" s="10" t="str">
        <f t="shared" si="6"/>
        <v>Semana 39: de 20/set/2020 a 26/set/2020</v>
      </c>
      <c r="AC41" s="5">
        <f t="shared" si="15"/>
        <v>44075</v>
      </c>
      <c r="AD41" s="4">
        <f t="shared" si="9"/>
        <v>39</v>
      </c>
      <c r="AE41" s="22"/>
      <c r="AS41" s="4">
        <f t="shared" si="11"/>
        <v>39</v>
      </c>
      <c r="AT41" s="4">
        <f>COUNTIF('Controle e Captura'!X:X,Auxiliar!AS41)</f>
        <v>0</v>
      </c>
      <c r="AU41" s="4">
        <f t="shared" si="12"/>
        <v>38</v>
      </c>
    </row>
    <row r="42" spans="11:47" x14ac:dyDescent="0.3">
      <c r="K42" s="2"/>
      <c r="S42" s="4">
        <f t="shared" si="3"/>
        <v>7</v>
      </c>
      <c r="T42" s="9">
        <f>DATE('Controle e Captura'!$C$9,Auxiliar!U42,Auxiliar!V42)</f>
        <v>43870</v>
      </c>
      <c r="U42" s="4">
        <v>2</v>
      </c>
      <c r="V42" s="4">
        <v>9</v>
      </c>
      <c r="W42" s="4">
        <f t="shared" si="4"/>
        <v>1</v>
      </c>
      <c r="Y42" s="4" t="str">
        <f t="shared" si="13"/>
        <v>Semana 40</v>
      </c>
      <c r="Z42" s="21">
        <f t="shared" si="14"/>
        <v>44101</v>
      </c>
      <c r="AA42" s="21">
        <f t="shared" si="5"/>
        <v>44107</v>
      </c>
      <c r="AB42" s="10" t="str">
        <f t="shared" si="6"/>
        <v>Semana 40: de 27/set/2020 a 03/out/2020</v>
      </c>
      <c r="AC42" s="5">
        <f t="shared" si="15"/>
        <v>44075</v>
      </c>
      <c r="AD42" s="4">
        <f t="shared" si="9"/>
        <v>40</v>
      </c>
      <c r="AE42" s="22"/>
      <c r="AS42" s="4">
        <f t="shared" si="11"/>
        <v>40</v>
      </c>
      <c r="AT42" s="4">
        <f>COUNTIF('Controle e Captura'!X:X,Auxiliar!AS42)</f>
        <v>0</v>
      </c>
      <c r="AU42" s="4">
        <f t="shared" si="12"/>
        <v>38</v>
      </c>
    </row>
    <row r="43" spans="11:47" x14ac:dyDescent="0.3">
      <c r="K43" s="2"/>
      <c r="S43" s="4">
        <f t="shared" si="3"/>
        <v>7</v>
      </c>
      <c r="T43" s="9">
        <f>DATE('Controle e Captura'!$C$9,Auxiliar!U43,Auxiliar!V43)</f>
        <v>43871</v>
      </c>
      <c r="U43" s="4">
        <v>2</v>
      </c>
      <c r="V43" s="4">
        <v>10</v>
      </c>
      <c r="W43" s="4">
        <f t="shared" si="4"/>
        <v>2</v>
      </c>
      <c r="Y43" s="4" t="str">
        <f t="shared" si="13"/>
        <v>Semana 41</v>
      </c>
      <c r="Z43" s="21">
        <f t="shared" si="14"/>
        <v>44108</v>
      </c>
      <c r="AA43" s="21">
        <f t="shared" si="5"/>
        <v>44114</v>
      </c>
      <c r="AB43" s="10" t="str">
        <f t="shared" si="6"/>
        <v>Semana 41: de 04/out/2020 a 10/out/2020</v>
      </c>
      <c r="AC43" s="5">
        <f t="shared" si="15"/>
        <v>44105</v>
      </c>
      <c r="AD43" s="4">
        <f t="shared" si="9"/>
        <v>41</v>
      </c>
      <c r="AE43" s="22"/>
      <c r="AS43" s="4">
        <f t="shared" si="11"/>
        <v>41</v>
      </c>
      <c r="AT43" s="4">
        <f>COUNTIF('Controle e Captura'!X:X,Auxiliar!AS43)</f>
        <v>0</v>
      </c>
      <c r="AU43" s="4">
        <f t="shared" si="12"/>
        <v>38</v>
      </c>
    </row>
    <row r="44" spans="11:47" x14ac:dyDescent="0.3">
      <c r="K44" s="2"/>
      <c r="S44" s="4">
        <f t="shared" si="3"/>
        <v>7</v>
      </c>
      <c r="T44" s="9">
        <f>DATE('Controle e Captura'!$C$9,Auxiliar!U44,Auxiliar!V44)</f>
        <v>43872</v>
      </c>
      <c r="U44" s="4">
        <v>2</v>
      </c>
      <c r="V44" s="4">
        <v>11</v>
      </c>
      <c r="W44" s="4">
        <f t="shared" si="4"/>
        <v>3</v>
      </c>
      <c r="Y44" s="4" t="str">
        <f t="shared" si="13"/>
        <v>Semana 42</v>
      </c>
      <c r="Z44" s="21">
        <f t="shared" si="14"/>
        <v>44115</v>
      </c>
      <c r="AA44" s="21">
        <f t="shared" si="5"/>
        <v>44121</v>
      </c>
      <c r="AB44" s="10" t="str">
        <f t="shared" si="6"/>
        <v>Semana 42: de 11/out/2020 a 17/out/2020</v>
      </c>
      <c r="AC44" s="5">
        <f t="shared" si="15"/>
        <v>44105</v>
      </c>
      <c r="AD44" s="4">
        <f t="shared" si="9"/>
        <v>42</v>
      </c>
      <c r="AE44" s="22"/>
      <c r="AS44" s="4">
        <f t="shared" si="11"/>
        <v>42</v>
      </c>
      <c r="AT44" s="4">
        <f>COUNTIF('Controle e Captura'!X:X,Auxiliar!AS44)</f>
        <v>0</v>
      </c>
      <c r="AU44" s="4">
        <f t="shared" si="12"/>
        <v>38</v>
      </c>
    </row>
    <row r="45" spans="11:47" x14ac:dyDescent="0.3">
      <c r="K45" s="2"/>
      <c r="S45" s="4">
        <f t="shared" si="3"/>
        <v>7</v>
      </c>
      <c r="T45" s="9">
        <f>DATE('Controle e Captura'!$C$9,Auxiliar!U45,Auxiliar!V45)</f>
        <v>43873</v>
      </c>
      <c r="U45" s="4">
        <v>2</v>
      </c>
      <c r="V45" s="4">
        <v>12</v>
      </c>
      <c r="W45" s="4">
        <f t="shared" si="4"/>
        <v>4</v>
      </c>
      <c r="Y45" s="4" t="str">
        <f t="shared" si="13"/>
        <v>Semana 43</v>
      </c>
      <c r="Z45" s="21">
        <f t="shared" si="14"/>
        <v>44122</v>
      </c>
      <c r="AA45" s="21">
        <f t="shared" si="5"/>
        <v>44128</v>
      </c>
      <c r="AB45" s="10" t="str">
        <f t="shared" si="6"/>
        <v>Semana 43: de 18/out/2020 a 24/out/2020</v>
      </c>
      <c r="AC45" s="5">
        <f t="shared" si="15"/>
        <v>44105</v>
      </c>
      <c r="AD45" s="4">
        <f t="shared" si="9"/>
        <v>43</v>
      </c>
      <c r="AE45" s="22"/>
      <c r="AS45" s="4">
        <f t="shared" si="11"/>
        <v>43</v>
      </c>
      <c r="AT45" s="4">
        <f>COUNTIF('Controle e Captura'!X:X,Auxiliar!AS45)</f>
        <v>0</v>
      </c>
      <c r="AU45" s="4">
        <f t="shared" si="12"/>
        <v>38</v>
      </c>
    </row>
    <row r="46" spans="11:47" x14ac:dyDescent="0.3">
      <c r="K46" s="2"/>
      <c r="S46" s="4">
        <f t="shared" si="3"/>
        <v>7</v>
      </c>
      <c r="T46" s="9">
        <f>DATE('Controle e Captura'!$C$9,Auxiliar!U46,Auxiliar!V46)</f>
        <v>43874</v>
      </c>
      <c r="U46" s="4">
        <v>2</v>
      </c>
      <c r="V46" s="4">
        <v>13</v>
      </c>
      <c r="W46" s="4">
        <f t="shared" si="4"/>
        <v>5</v>
      </c>
      <c r="Y46" s="4" t="str">
        <f t="shared" si="13"/>
        <v>Semana 44</v>
      </c>
      <c r="Z46" s="21">
        <f t="shared" si="14"/>
        <v>44129</v>
      </c>
      <c r="AA46" s="21">
        <f t="shared" si="5"/>
        <v>44135</v>
      </c>
      <c r="AB46" s="10" t="str">
        <f t="shared" si="6"/>
        <v>Semana 44: de 25/out/2020 a 31/out/2020</v>
      </c>
      <c r="AC46" s="5">
        <f t="shared" si="15"/>
        <v>44105</v>
      </c>
      <c r="AD46" s="4">
        <f t="shared" si="9"/>
        <v>44</v>
      </c>
      <c r="AE46" s="22"/>
      <c r="AS46" s="4">
        <f t="shared" si="11"/>
        <v>44</v>
      </c>
      <c r="AT46" s="4">
        <f>COUNTIF('Controle e Captura'!X:X,Auxiliar!AS46)</f>
        <v>0</v>
      </c>
      <c r="AU46" s="4">
        <f t="shared" si="12"/>
        <v>38</v>
      </c>
    </row>
    <row r="47" spans="11:47" x14ac:dyDescent="0.3">
      <c r="K47" s="2"/>
      <c r="S47" s="4">
        <f t="shared" si="3"/>
        <v>7</v>
      </c>
      <c r="T47" s="9">
        <f>DATE('Controle e Captura'!$C$9,Auxiliar!U47,Auxiliar!V47)</f>
        <v>43875</v>
      </c>
      <c r="U47" s="4">
        <v>2</v>
      </c>
      <c r="V47" s="4">
        <v>14</v>
      </c>
      <c r="W47" s="4">
        <f t="shared" si="4"/>
        <v>6</v>
      </c>
      <c r="Y47" s="4" t="str">
        <f t="shared" si="13"/>
        <v>Semana 45</v>
      </c>
      <c r="Z47" s="21">
        <f t="shared" si="14"/>
        <v>44136</v>
      </c>
      <c r="AA47" s="21">
        <f t="shared" si="5"/>
        <v>44142</v>
      </c>
      <c r="AB47" s="10" t="str">
        <f t="shared" si="6"/>
        <v>Semana 45: de 01/nov/2020 a 07/nov/2020</v>
      </c>
      <c r="AC47" s="5">
        <f t="shared" si="15"/>
        <v>44136</v>
      </c>
      <c r="AD47" s="4">
        <f t="shared" si="9"/>
        <v>45</v>
      </c>
      <c r="AE47" s="22"/>
      <c r="AS47" s="4">
        <f t="shared" si="11"/>
        <v>45</v>
      </c>
      <c r="AT47" s="4">
        <f>COUNTIF('Controle e Captura'!X:X,Auxiliar!AS47)</f>
        <v>0</v>
      </c>
      <c r="AU47" s="4">
        <f t="shared" si="12"/>
        <v>38</v>
      </c>
    </row>
    <row r="48" spans="11:47" x14ac:dyDescent="0.3">
      <c r="K48" s="2"/>
      <c r="S48" s="4">
        <f t="shared" si="3"/>
        <v>7</v>
      </c>
      <c r="T48" s="9">
        <f>DATE('Controle e Captura'!$C$9,Auxiliar!U48,Auxiliar!V48)</f>
        <v>43876</v>
      </c>
      <c r="U48" s="4">
        <v>2</v>
      </c>
      <c r="V48" s="4">
        <v>15</v>
      </c>
      <c r="W48" s="4">
        <f t="shared" si="4"/>
        <v>7</v>
      </c>
      <c r="Y48" s="4" t="str">
        <f t="shared" si="13"/>
        <v>Semana 46</v>
      </c>
      <c r="Z48" s="21">
        <f t="shared" si="14"/>
        <v>44143</v>
      </c>
      <c r="AA48" s="21">
        <f t="shared" si="5"/>
        <v>44149</v>
      </c>
      <c r="AB48" s="10" t="str">
        <f t="shared" si="6"/>
        <v>Semana 46: de 08/nov/2020 a 14/nov/2020</v>
      </c>
      <c r="AC48" s="5">
        <f t="shared" si="15"/>
        <v>44136</v>
      </c>
      <c r="AD48" s="4">
        <f t="shared" si="9"/>
        <v>46</v>
      </c>
      <c r="AE48" s="22"/>
      <c r="AS48" s="4">
        <f t="shared" si="11"/>
        <v>46</v>
      </c>
      <c r="AT48" s="4">
        <f>COUNTIF('Controle e Captura'!X:X,Auxiliar!AS48)</f>
        <v>0</v>
      </c>
      <c r="AU48" s="4">
        <f t="shared" si="12"/>
        <v>38</v>
      </c>
    </row>
    <row r="49" spans="11:47" x14ac:dyDescent="0.3">
      <c r="K49" s="2"/>
      <c r="S49" s="4">
        <f t="shared" si="3"/>
        <v>8</v>
      </c>
      <c r="T49" s="9">
        <f>DATE('Controle e Captura'!$C$9,Auxiliar!U49,Auxiliar!V49)</f>
        <v>43877</v>
      </c>
      <c r="U49" s="4">
        <v>2</v>
      </c>
      <c r="V49" s="4">
        <v>16</v>
      </c>
      <c r="W49" s="4">
        <f t="shared" si="4"/>
        <v>1</v>
      </c>
      <c r="Y49" s="4" t="str">
        <f t="shared" si="13"/>
        <v>Semana 47</v>
      </c>
      <c r="Z49" s="21">
        <f t="shared" si="14"/>
        <v>44150</v>
      </c>
      <c r="AA49" s="21">
        <f t="shared" si="5"/>
        <v>44156</v>
      </c>
      <c r="AB49" s="10" t="str">
        <f t="shared" si="6"/>
        <v>Semana 47: de 15/nov/2020 a 21/nov/2020</v>
      </c>
      <c r="AC49" s="5">
        <f t="shared" si="15"/>
        <v>44136</v>
      </c>
      <c r="AD49" s="4">
        <f t="shared" si="9"/>
        <v>47</v>
      </c>
      <c r="AE49" s="22"/>
      <c r="AS49" s="4">
        <f t="shared" si="11"/>
        <v>47</v>
      </c>
      <c r="AT49" s="4">
        <f>COUNTIF('Controle e Captura'!X:X,Auxiliar!AS49)</f>
        <v>0</v>
      </c>
      <c r="AU49" s="4">
        <f t="shared" si="12"/>
        <v>38</v>
      </c>
    </row>
    <row r="50" spans="11:47" x14ac:dyDescent="0.3">
      <c r="K50" s="2"/>
      <c r="S50" s="4">
        <f t="shared" si="3"/>
        <v>8</v>
      </c>
      <c r="T50" s="9">
        <f>DATE('Controle e Captura'!$C$9,Auxiliar!U50,Auxiliar!V50)</f>
        <v>43878</v>
      </c>
      <c r="U50" s="4">
        <v>2</v>
      </c>
      <c r="V50" s="4">
        <v>17</v>
      </c>
      <c r="W50" s="4">
        <f t="shared" si="4"/>
        <v>2</v>
      </c>
      <c r="Y50" s="4" t="str">
        <f t="shared" si="13"/>
        <v>Semana 48</v>
      </c>
      <c r="Z50" s="21">
        <f t="shared" si="14"/>
        <v>44157</v>
      </c>
      <c r="AA50" s="21">
        <f t="shared" si="5"/>
        <v>44163</v>
      </c>
      <c r="AB50" s="10" t="str">
        <f t="shared" si="6"/>
        <v>Semana 48: de 22/nov/2020 a 28/nov/2020</v>
      </c>
      <c r="AC50" s="5">
        <f t="shared" si="15"/>
        <v>44136</v>
      </c>
      <c r="AD50" s="4">
        <f t="shared" si="9"/>
        <v>48</v>
      </c>
      <c r="AE50" s="22"/>
      <c r="AS50" s="4">
        <f t="shared" si="11"/>
        <v>48</v>
      </c>
      <c r="AT50" s="4">
        <f>COUNTIF('Controle e Captura'!X:X,Auxiliar!AS50)</f>
        <v>0</v>
      </c>
      <c r="AU50" s="4">
        <f t="shared" si="12"/>
        <v>38</v>
      </c>
    </row>
    <row r="51" spans="11:47" x14ac:dyDescent="0.3">
      <c r="K51" s="2"/>
      <c r="S51" s="4">
        <f t="shared" si="3"/>
        <v>8</v>
      </c>
      <c r="T51" s="9">
        <f>DATE('Controle e Captura'!$C$9,Auxiliar!U51,Auxiliar!V51)</f>
        <v>43879</v>
      </c>
      <c r="U51" s="4">
        <v>2</v>
      </c>
      <c r="V51" s="4">
        <v>18</v>
      </c>
      <c r="W51" s="4">
        <f t="shared" si="4"/>
        <v>3</v>
      </c>
      <c r="Y51" s="4" t="str">
        <f t="shared" si="13"/>
        <v>Semana 49</v>
      </c>
      <c r="Z51" s="21">
        <f t="shared" si="14"/>
        <v>44164</v>
      </c>
      <c r="AA51" s="21">
        <f t="shared" si="5"/>
        <v>44170</v>
      </c>
      <c r="AB51" s="10" t="str">
        <f t="shared" si="6"/>
        <v>Semana 49: de 29/nov/2020 a 05/dez/2020</v>
      </c>
      <c r="AC51" s="5">
        <f t="shared" si="15"/>
        <v>44136</v>
      </c>
      <c r="AD51" s="4">
        <f t="shared" si="9"/>
        <v>49</v>
      </c>
      <c r="AE51" s="22"/>
      <c r="AS51" s="4">
        <f>AS50+1</f>
        <v>49</v>
      </c>
      <c r="AT51" s="4">
        <f>COUNTIF('Controle e Captura'!X:X,Auxiliar!AS51)</f>
        <v>0</v>
      </c>
      <c r="AU51" s="4">
        <f t="shared" si="12"/>
        <v>38</v>
      </c>
    </row>
    <row r="52" spans="11:47" x14ac:dyDescent="0.3">
      <c r="K52" s="2"/>
      <c r="S52" s="4">
        <f t="shared" si="3"/>
        <v>8</v>
      </c>
      <c r="T52" s="9">
        <f>DATE('Controle e Captura'!$C$9,Auxiliar!U52,Auxiliar!V52)</f>
        <v>43880</v>
      </c>
      <c r="U52" s="4">
        <v>2</v>
      </c>
      <c r="V52" s="4">
        <v>19</v>
      </c>
      <c r="W52" s="4">
        <f t="shared" si="4"/>
        <v>4</v>
      </c>
      <c r="Y52" s="4" t="str">
        <f t="shared" si="13"/>
        <v>Semana 50</v>
      </c>
      <c r="Z52" s="21">
        <f t="shared" si="14"/>
        <v>44171</v>
      </c>
      <c r="AA52" s="21">
        <f t="shared" si="5"/>
        <v>44177</v>
      </c>
      <c r="AB52" s="10" t="str">
        <f t="shared" si="6"/>
        <v>Semana 50: de 06/dez/2020 a 12/dez/2020</v>
      </c>
      <c r="AC52" s="5">
        <f t="shared" si="15"/>
        <v>44166</v>
      </c>
      <c r="AD52" s="4">
        <f t="shared" si="9"/>
        <v>50</v>
      </c>
      <c r="AE52" s="22"/>
      <c r="AS52" s="4">
        <f t="shared" si="11"/>
        <v>50</v>
      </c>
      <c r="AT52" s="4">
        <f>COUNTIF('Controle e Captura'!X:X,Auxiliar!AS52)</f>
        <v>0</v>
      </c>
      <c r="AU52" s="4">
        <f t="shared" si="12"/>
        <v>38</v>
      </c>
    </row>
    <row r="53" spans="11:47" x14ac:dyDescent="0.3">
      <c r="K53" s="2"/>
      <c r="S53" s="4">
        <f t="shared" si="3"/>
        <v>8</v>
      </c>
      <c r="T53" s="9">
        <f>DATE('Controle e Captura'!$C$9,Auxiliar!U53,Auxiliar!V53)</f>
        <v>43881</v>
      </c>
      <c r="U53" s="4">
        <v>2</v>
      </c>
      <c r="V53" s="4">
        <v>20</v>
      </c>
      <c r="W53" s="4">
        <f t="shared" si="4"/>
        <v>5</v>
      </c>
      <c r="Y53" s="4" t="str">
        <f t="shared" si="13"/>
        <v>Semana 51</v>
      </c>
      <c r="Z53" s="21">
        <f t="shared" si="14"/>
        <v>44178</v>
      </c>
      <c r="AA53" s="21">
        <f t="shared" si="5"/>
        <v>44184</v>
      </c>
      <c r="AB53" s="10" t="str">
        <f t="shared" si="6"/>
        <v>Semana 51: de 13/dez/2020 a 19/dez/2020</v>
      </c>
      <c r="AC53" s="5">
        <f t="shared" si="15"/>
        <v>44166</v>
      </c>
      <c r="AD53" s="4">
        <f t="shared" si="9"/>
        <v>51</v>
      </c>
      <c r="AE53" s="22"/>
      <c r="AS53" s="4">
        <f t="shared" si="11"/>
        <v>51</v>
      </c>
      <c r="AT53" s="4">
        <f>COUNTIF('Controle e Captura'!X:X,Auxiliar!AS53)</f>
        <v>0</v>
      </c>
      <c r="AU53" s="4">
        <f t="shared" si="12"/>
        <v>38</v>
      </c>
    </row>
    <row r="54" spans="11:47" x14ac:dyDescent="0.3">
      <c r="S54" s="4">
        <f t="shared" si="3"/>
        <v>8</v>
      </c>
      <c r="T54" s="9">
        <f>DATE('Controle e Captura'!$C$9,Auxiliar!U54,Auxiliar!V54)</f>
        <v>43882</v>
      </c>
      <c r="U54" s="4">
        <v>2</v>
      </c>
      <c r="V54" s="4">
        <v>21</v>
      </c>
      <c r="W54" s="4">
        <f t="shared" si="4"/>
        <v>6</v>
      </c>
      <c r="Y54" s="4" t="str">
        <f t="shared" si="13"/>
        <v>Semana 52</v>
      </c>
      <c r="Z54" s="21">
        <f t="shared" si="14"/>
        <v>44185</v>
      </c>
      <c r="AA54" s="21">
        <f t="shared" si="5"/>
        <v>44191</v>
      </c>
      <c r="AB54" s="10" t="str">
        <f t="shared" si="6"/>
        <v>Semana 52: de 20/dez/2020 a 26/dez/2020</v>
      </c>
      <c r="AC54" s="5">
        <f t="shared" si="15"/>
        <v>44166</v>
      </c>
      <c r="AD54" s="4">
        <f t="shared" si="9"/>
        <v>52</v>
      </c>
      <c r="AE54" s="22"/>
      <c r="AS54" s="4">
        <f>AS53+1</f>
        <v>52</v>
      </c>
      <c r="AT54" s="4">
        <f>COUNTIF('Controle e Captura'!X:X,Auxiliar!AS54)</f>
        <v>0</v>
      </c>
      <c r="AU54" s="4">
        <f t="shared" si="12"/>
        <v>38</v>
      </c>
    </row>
    <row r="55" spans="11:47" x14ac:dyDescent="0.3">
      <c r="S55" s="4">
        <f t="shared" si="3"/>
        <v>8</v>
      </c>
      <c r="T55" s="9">
        <f>DATE('Controle e Captura'!$C$9,Auxiliar!U55,Auxiliar!V55)</f>
        <v>43883</v>
      </c>
      <c r="U55" s="4">
        <v>2</v>
      </c>
      <c r="V55" s="4">
        <v>22</v>
      </c>
      <c r="W55" s="4">
        <f t="shared" si="4"/>
        <v>7</v>
      </c>
      <c r="Y55" s="4" t="str">
        <f t="shared" si="13"/>
        <v>Semana 53</v>
      </c>
      <c r="Z55" s="21">
        <f t="shared" si="14"/>
        <v>44192</v>
      </c>
      <c r="AA55" s="21" t="str">
        <f>IF(DAY(AA54)&lt;&gt;31,"31/dez/"&amp;'Controle e Captura'!C9,"")</f>
        <v>31/dez/2020</v>
      </c>
      <c r="AB55" s="10" t="str">
        <f t="shared" si="6"/>
        <v>Semana 53: de 27/dez/2020 a 31/dez/2020</v>
      </c>
      <c r="AC55" s="5">
        <f t="shared" si="15"/>
        <v>44166</v>
      </c>
      <c r="AD55" s="4">
        <f t="shared" si="9"/>
        <v>53</v>
      </c>
      <c r="AE55" s="22"/>
      <c r="AS55" s="4">
        <f t="shared" si="11"/>
        <v>53</v>
      </c>
      <c r="AT55" s="4">
        <f>COUNTIF('Controle e Captura'!X:X,Auxiliar!AS55)</f>
        <v>0</v>
      </c>
      <c r="AU55" s="4">
        <f t="shared" si="12"/>
        <v>38</v>
      </c>
    </row>
    <row r="56" spans="11:47" x14ac:dyDescent="0.3">
      <c r="S56" s="4">
        <f t="shared" si="3"/>
        <v>9</v>
      </c>
      <c r="T56" s="9">
        <f>DATE('Controle e Captura'!$C$9,Auxiliar!U56,Auxiliar!V56)</f>
        <v>43884</v>
      </c>
      <c r="U56" s="4">
        <v>2</v>
      </c>
      <c r="V56" s="4">
        <v>23</v>
      </c>
      <c r="W56" s="4">
        <f t="shared" si="4"/>
        <v>1</v>
      </c>
    </row>
    <row r="57" spans="11:47" x14ac:dyDescent="0.3">
      <c r="S57" s="4">
        <f t="shared" si="3"/>
        <v>9</v>
      </c>
      <c r="T57" s="9">
        <f>DATE('Controle e Captura'!$C$9,Auxiliar!U57,Auxiliar!V57)</f>
        <v>43885</v>
      </c>
      <c r="U57" s="4">
        <v>2</v>
      </c>
      <c r="V57" s="4">
        <v>24</v>
      </c>
      <c r="W57" s="4">
        <f t="shared" si="4"/>
        <v>2</v>
      </c>
    </row>
    <row r="58" spans="11:47" x14ac:dyDescent="0.3">
      <c r="S58" s="4">
        <f t="shared" si="3"/>
        <v>9</v>
      </c>
      <c r="T58" s="9">
        <f>DATE('Controle e Captura'!$C$9,Auxiliar!U58,Auxiliar!V58)</f>
        <v>43886</v>
      </c>
      <c r="U58" s="4">
        <v>2</v>
      </c>
      <c r="V58" s="4">
        <v>25</v>
      </c>
      <c r="W58" s="4">
        <f t="shared" si="4"/>
        <v>3</v>
      </c>
    </row>
    <row r="59" spans="11:47" x14ac:dyDescent="0.3">
      <c r="S59" s="4">
        <f t="shared" si="3"/>
        <v>9</v>
      </c>
      <c r="T59" s="9">
        <f>DATE('Controle e Captura'!$C$9,Auxiliar!U59,Auxiliar!V59)</f>
        <v>43887</v>
      </c>
      <c r="U59" s="4">
        <v>2</v>
      </c>
      <c r="V59" s="4">
        <v>26</v>
      </c>
      <c r="W59" s="4">
        <f t="shared" si="4"/>
        <v>4</v>
      </c>
    </row>
    <row r="60" spans="11:47" x14ac:dyDescent="0.3">
      <c r="S60" s="4">
        <f t="shared" si="3"/>
        <v>9</v>
      </c>
      <c r="T60" s="9">
        <f>DATE('Controle e Captura'!$C$9,Auxiliar!U60,Auxiliar!V60)</f>
        <v>43888</v>
      </c>
      <c r="U60" s="4">
        <v>2</v>
      </c>
      <c r="V60" s="4">
        <v>27</v>
      </c>
      <c r="W60" s="4">
        <f t="shared" si="4"/>
        <v>5</v>
      </c>
    </row>
    <row r="61" spans="11:47" x14ac:dyDescent="0.3">
      <c r="S61" s="4">
        <f t="shared" si="3"/>
        <v>9</v>
      </c>
      <c r="T61" s="9">
        <f>DATE('Controle e Captura'!$C$9,Auxiliar!U61,Auxiliar!V61)</f>
        <v>43889</v>
      </c>
      <c r="U61" s="4">
        <v>2</v>
      </c>
      <c r="V61" s="4">
        <v>28</v>
      </c>
      <c r="W61" s="4">
        <f t="shared" si="4"/>
        <v>6</v>
      </c>
    </row>
    <row r="62" spans="11:47" x14ac:dyDescent="0.3">
      <c r="S62" s="4">
        <f t="shared" si="3"/>
        <v>10</v>
      </c>
      <c r="T62" s="9">
        <f>DATE('Controle e Captura'!$C$9,Auxiliar!U62,Auxiliar!V62)</f>
        <v>43891</v>
      </c>
      <c r="U62" s="4">
        <v>3</v>
      </c>
      <c r="V62" s="4">
        <v>1</v>
      </c>
      <c r="W62" s="4">
        <f t="shared" si="4"/>
        <v>1</v>
      </c>
    </row>
    <row r="63" spans="11:47" x14ac:dyDescent="0.3">
      <c r="S63" s="4">
        <f t="shared" si="3"/>
        <v>10</v>
      </c>
      <c r="T63" s="9">
        <f>DATE('Controle e Captura'!$C$9,Auxiliar!U63,Auxiliar!V63)</f>
        <v>43892</v>
      </c>
      <c r="U63" s="4">
        <v>3</v>
      </c>
      <c r="V63" s="4">
        <v>2</v>
      </c>
      <c r="W63" s="4">
        <f t="shared" si="4"/>
        <v>2</v>
      </c>
    </row>
    <row r="64" spans="11:47" x14ac:dyDescent="0.3">
      <c r="S64" s="4">
        <f t="shared" si="3"/>
        <v>10</v>
      </c>
      <c r="T64" s="9">
        <f>DATE('Controle e Captura'!$C$9,Auxiliar!U64,Auxiliar!V64)</f>
        <v>43893</v>
      </c>
      <c r="U64" s="4">
        <v>3</v>
      </c>
      <c r="V64" s="4">
        <v>3</v>
      </c>
      <c r="W64" s="4">
        <f t="shared" si="4"/>
        <v>3</v>
      </c>
    </row>
    <row r="65" spans="19:23" x14ac:dyDescent="0.3">
      <c r="S65" s="4">
        <f t="shared" si="3"/>
        <v>10</v>
      </c>
      <c r="T65" s="9">
        <f>DATE('Controle e Captura'!$C$9,Auxiliar!U65,Auxiliar!V65)</f>
        <v>43894</v>
      </c>
      <c r="U65" s="4">
        <v>3</v>
      </c>
      <c r="V65" s="4">
        <v>4</v>
      </c>
      <c r="W65" s="4">
        <f t="shared" si="4"/>
        <v>4</v>
      </c>
    </row>
    <row r="66" spans="19:23" x14ac:dyDescent="0.3">
      <c r="S66" s="4">
        <f t="shared" si="3"/>
        <v>10</v>
      </c>
      <c r="T66" s="9">
        <f>DATE('Controle e Captura'!$C$9,Auxiliar!U66,Auxiliar!V66)</f>
        <v>43895</v>
      </c>
      <c r="U66" s="4">
        <v>3</v>
      </c>
      <c r="V66" s="4">
        <v>5</v>
      </c>
      <c r="W66" s="4">
        <f t="shared" si="4"/>
        <v>5</v>
      </c>
    </row>
    <row r="67" spans="19:23" x14ac:dyDescent="0.3">
      <c r="S67" s="4">
        <f t="shared" si="3"/>
        <v>10</v>
      </c>
      <c r="T67" s="9">
        <f>DATE('Controle e Captura'!$C$9,Auxiliar!U67,Auxiliar!V67)</f>
        <v>43896</v>
      </c>
      <c r="U67" s="4">
        <v>3</v>
      </c>
      <c r="V67" s="4">
        <v>6</v>
      </c>
      <c r="W67" s="4">
        <f t="shared" si="4"/>
        <v>6</v>
      </c>
    </row>
    <row r="68" spans="19:23" x14ac:dyDescent="0.3">
      <c r="S68" s="4">
        <f t="shared" ref="S68:S131" si="16">IF(W68=1,S67+1,S67)</f>
        <v>10</v>
      </c>
      <c r="T68" s="9">
        <f>DATE('Controle e Captura'!$C$9,Auxiliar!U68,Auxiliar!V68)</f>
        <v>43897</v>
      </c>
      <c r="U68" s="4">
        <v>3</v>
      </c>
      <c r="V68" s="4">
        <v>7</v>
      </c>
      <c r="W68" s="4">
        <f t="shared" ref="W68:W131" si="17">WEEKDAY(T68)</f>
        <v>7</v>
      </c>
    </row>
    <row r="69" spans="19:23" x14ac:dyDescent="0.3">
      <c r="S69" s="4">
        <f t="shared" si="16"/>
        <v>11</v>
      </c>
      <c r="T69" s="9">
        <f>DATE('Controle e Captura'!$C$9,Auxiliar!U69,Auxiliar!V69)</f>
        <v>43898</v>
      </c>
      <c r="U69" s="4">
        <v>3</v>
      </c>
      <c r="V69" s="4">
        <v>8</v>
      </c>
      <c r="W69" s="4">
        <f t="shared" si="17"/>
        <v>1</v>
      </c>
    </row>
    <row r="70" spans="19:23" x14ac:dyDescent="0.3">
      <c r="S70" s="4">
        <f t="shared" si="16"/>
        <v>11</v>
      </c>
      <c r="T70" s="9">
        <f>DATE('Controle e Captura'!$C$9,Auxiliar!U70,Auxiliar!V70)</f>
        <v>43899</v>
      </c>
      <c r="U70" s="4">
        <v>3</v>
      </c>
      <c r="V70" s="4">
        <v>9</v>
      </c>
      <c r="W70" s="4">
        <f t="shared" si="17"/>
        <v>2</v>
      </c>
    </row>
    <row r="71" spans="19:23" x14ac:dyDescent="0.3">
      <c r="S71" s="4">
        <f t="shared" si="16"/>
        <v>11</v>
      </c>
      <c r="T71" s="9">
        <f>DATE('Controle e Captura'!$C$9,Auxiliar!U71,Auxiliar!V71)</f>
        <v>43900</v>
      </c>
      <c r="U71" s="4">
        <v>3</v>
      </c>
      <c r="V71" s="4">
        <v>10</v>
      </c>
      <c r="W71" s="4">
        <f t="shared" si="17"/>
        <v>3</v>
      </c>
    </row>
    <row r="72" spans="19:23" x14ac:dyDescent="0.3">
      <c r="S72" s="4">
        <f t="shared" si="16"/>
        <v>11</v>
      </c>
      <c r="T72" s="9">
        <f>DATE('Controle e Captura'!$C$9,Auxiliar!U72,Auxiliar!V72)</f>
        <v>43901</v>
      </c>
      <c r="U72" s="4">
        <v>3</v>
      </c>
      <c r="V72" s="4">
        <v>11</v>
      </c>
      <c r="W72" s="4">
        <f t="shared" si="17"/>
        <v>4</v>
      </c>
    </row>
    <row r="73" spans="19:23" x14ac:dyDescent="0.3">
      <c r="S73" s="4">
        <f t="shared" si="16"/>
        <v>11</v>
      </c>
      <c r="T73" s="9">
        <f>DATE('Controle e Captura'!$C$9,Auxiliar!U73,Auxiliar!V73)</f>
        <v>43902</v>
      </c>
      <c r="U73" s="4">
        <v>3</v>
      </c>
      <c r="V73" s="4">
        <v>12</v>
      </c>
      <c r="W73" s="4">
        <f t="shared" si="17"/>
        <v>5</v>
      </c>
    </row>
    <row r="74" spans="19:23" x14ac:dyDescent="0.3">
      <c r="S74" s="4">
        <f t="shared" si="16"/>
        <v>11</v>
      </c>
      <c r="T74" s="9">
        <f>DATE('Controle e Captura'!$C$9,Auxiliar!U74,Auxiliar!V74)</f>
        <v>43903</v>
      </c>
      <c r="U74" s="4">
        <v>3</v>
      </c>
      <c r="V74" s="4">
        <v>13</v>
      </c>
      <c r="W74" s="4">
        <f t="shared" si="17"/>
        <v>6</v>
      </c>
    </row>
    <row r="75" spans="19:23" x14ac:dyDescent="0.3">
      <c r="S75" s="4">
        <f t="shared" si="16"/>
        <v>11</v>
      </c>
      <c r="T75" s="9">
        <f>DATE('Controle e Captura'!$C$9,Auxiliar!U75,Auxiliar!V75)</f>
        <v>43904</v>
      </c>
      <c r="U75" s="4">
        <v>3</v>
      </c>
      <c r="V75" s="4">
        <v>14</v>
      </c>
      <c r="W75" s="4">
        <f t="shared" si="17"/>
        <v>7</v>
      </c>
    </row>
    <row r="76" spans="19:23" x14ac:dyDescent="0.3">
      <c r="S76" s="4">
        <f t="shared" si="16"/>
        <v>12</v>
      </c>
      <c r="T76" s="9">
        <f>DATE('Controle e Captura'!$C$9,Auxiliar!U76,Auxiliar!V76)</f>
        <v>43905</v>
      </c>
      <c r="U76" s="4">
        <v>3</v>
      </c>
      <c r="V76" s="4">
        <v>15</v>
      </c>
      <c r="W76" s="4">
        <f t="shared" si="17"/>
        <v>1</v>
      </c>
    </row>
    <row r="77" spans="19:23" x14ac:dyDescent="0.3">
      <c r="S77" s="4">
        <f t="shared" si="16"/>
        <v>12</v>
      </c>
      <c r="T77" s="9">
        <f>DATE('Controle e Captura'!$C$9,Auxiliar!U77,Auxiliar!V77)</f>
        <v>43906</v>
      </c>
      <c r="U77" s="4">
        <v>3</v>
      </c>
      <c r="V77" s="4">
        <v>16</v>
      </c>
      <c r="W77" s="4">
        <f t="shared" si="17"/>
        <v>2</v>
      </c>
    </row>
    <row r="78" spans="19:23" x14ac:dyDescent="0.3">
      <c r="S78" s="4">
        <f t="shared" si="16"/>
        <v>12</v>
      </c>
      <c r="T78" s="9">
        <f>DATE('Controle e Captura'!$C$9,Auxiliar!U78,Auxiliar!V78)</f>
        <v>43907</v>
      </c>
      <c r="U78" s="4">
        <v>3</v>
      </c>
      <c r="V78" s="4">
        <v>17</v>
      </c>
      <c r="W78" s="4">
        <f t="shared" si="17"/>
        <v>3</v>
      </c>
    </row>
    <row r="79" spans="19:23" x14ac:dyDescent="0.3">
      <c r="S79" s="4">
        <f t="shared" si="16"/>
        <v>12</v>
      </c>
      <c r="T79" s="9">
        <f>DATE('Controle e Captura'!$C$9,Auxiliar!U79,Auxiliar!V79)</f>
        <v>43908</v>
      </c>
      <c r="U79" s="4">
        <v>3</v>
      </c>
      <c r="V79" s="4">
        <v>18</v>
      </c>
      <c r="W79" s="4">
        <f t="shared" si="17"/>
        <v>4</v>
      </c>
    </row>
    <row r="80" spans="19:23" x14ac:dyDescent="0.3">
      <c r="S80" s="4">
        <f t="shared" si="16"/>
        <v>12</v>
      </c>
      <c r="T80" s="9">
        <f>DATE('Controle e Captura'!$C$9,Auxiliar!U80,Auxiliar!V80)</f>
        <v>43909</v>
      </c>
      <c r="U80" s="4">
        <v>3</v>
      </c>
      <c r="V80" s="4">
        <v>19</v>
      </c>
      <c r="W80" s="4">
        <f t="shared" si="17"/>
        <v>5</v>
      </c>
    </row>
    <row r="81" spans="19:23" x14ac:dyDescent="0.3">
      <c r="S81" s="4">
        <f t="shared" si="16"/>
        <v>12</v>
      </c>
      <c r="T81" s="9">
        <f>DATE('Controle e Captura'!$C$9,Auxiliar!U81,Auxiliar!V81)</f>
        <v>43910</v>
      </c>
      <c r="U81" s="4">
        <v>3</v>
      </c>
      <c r="V81" s="4">
        <v>20</v>
      </c>
      <c r="W81" s="4">
        <f t="shared" si="17"/>
        <v>6</v>
      </c>
    </row>
    <row r="82" spans="19:23" x14ac:dyDescent="0.3">
      <c r="S82" s="4">
        <f t="shared" si="16"/>
        <v>12</v>
      </c>
      <c r="T82" s="9">
        <f>DATE('Controle e Captura'!$C$9,Auxiliar!U82,Auxiliar!V82)</f>
        <v>43911</v>
      </c>
      <c r="U82" s="4">
        <v>3</v>
      </c>
      <c r="V82" s="4">
        <v>21</v>
      </c>
      <c r="W82" s="4">
        <f t="shared" si="17"/>
        <v>7</v>
      </c>
    </row>
    <row r="83" spans="19:23" x14ac:dyDescent="0.3">
      <c r="S83" s="4">
        <f t="shared" si="16"/>
        <v>13</v>
      </c>
      <c r="T83" s="9">
        <f>DATE('Controle e Captura'!$C$9,Auxiliar!U83,Auxiliar!V83)</f>
        <v>43912</v>
      </c>
      <c r="U83" s="4">
        <v>3</v>
      </c>
      <c r="V83" s="4">
        <v>22</v>
      </c>
      <c r="W83" s="4">
        <f t="shared" si="17"/>
        <v>1</v>
      </c>
    </row>
    <row r="84" spans="19:23" x14ac:dyDescent="0.3">
      <c r="S84" s="4">
        <f t="shared" si="16"/>
        <v>13</v>
      </c>
      <c r="T84" s="9">
        <f>DATE('Controle e Captura'!$C$9,Auxiliar!U84,Auxiliar!V84)</f>
        <v>43913</v>
      </c>
      <c r="U84" s="4">
        <v>3</v>
      </c>
      <c r="V84" s="4">
        <v>23</v>
      </c>
      <c r="W84" s="4">
        <f t="shared" si="17"/>
        <v>2</v>
      </c>
    </row>
    <row r="85" spans="19:23" x14ac:dyDescent="0.3">
      <c r="S85" s="4">
        <f t="shared" si="16"/>
        <v>13</v>
      </c>
      <c r="T85" s="9">
        <f>DATE('Controle e Captura'!$C$9,Auxiliar!U85,Auxiliar!V85)</f>
        <v>43914</v>
      </c>
      <c r="U85" s="4">
        <v>3</v>
      </c>
      <c r="V85" s="4">
        <v>24</v>
      </c>
      <c r="W85" s="4">
        <f t="shared" si="17"/>
        <v>3</v>
      </c>
    </row>
    <row r="86" spans="19:23" x14ac:dyDescent="0.3">
      <c r="S86" s="4">
        <f t="shared" si="16"/>
        <v>13</v>
      </c>
      <c r="T86" s="9">
        <f>DATE('Controle e Captura'!$C$9,Auxiliar!U86,Auxiliar!V86)</f>
        <v>43915</v>
      </c>
      <c r="U86" s="4">
        <v>3</v>
      </c>
      <c r="V86" s="4">
        <v>25</v>
      </c>
      <c r="W86" s="4">
        <f t="shared" si="17"/>
        <v>4</v>
      </c>
    </row>
    <row r="87" spans="19:23" x14ac:dyDescent="0.3">
      <c r="S87" s="4">
        <f t="shared" si="16"/>
        <v>13</v>
      </c>
      <c r="T87" s="9">
        <f>DATE('Controle e Captura'!$C$9,Auxiliar!U87,Auxiliar!V87)</f>
        <v>43916</v>
      </c>
      <c r="U87" s="4">
        <v>3</v>
      </c>
      <c r="V87" s="4">
        <v>26</v>
      </c>
      <c r="W87" s="4">
        <f t="shared" si="17"/>
        <v>5</v>
      </c>
    </row>
    <row r="88" spans="19:23" x14ac:dyDescent="0.3">
      <c r="S88" s="4">
        <f t="shared" si="16"/>
        <v>13</v>
      </c>
      <c r="T88" s="9">
        <f>DATE('Controle e Captura'!$C$9,Auxiliar!U88,Auxiliar!V88)</f>
        <v>43917</v>
      </c>
      <c r="U88" s="4">
        <v>3</v>
      </c>
      <c r="V88" s="4">
        <v>27</v>
      </c>
      <c r="W88" s="4">
        <f t="shared" si="17"/>
        <v>6</v>
      </c>
    </row>
    <row r="89" spans="19:23" x14ac:dyDescent="0.3">
      <c r="S89" s="4">
        <f t="shared" si="16"/>
        <v>13</v>
      </c>
      <c r="T89" s="9">
        <f>DATE('Controle e Captura'!$C$9,Auxiliar!U89,Auxiliar!V89)</f>
        <v>43918</v>
      </c>
      <c r="U89" s="4">
        <v>3</v>
      </c>
      <c r="V89" s="4">
        <v>28</v>
      </c>
      <c r="W89" s="4">
        <f t="shared" si="17"/>
        <v>7</v>
      </c>
    </row>
    <row r="90" spans="19:23" x14ac:dyDescent="0.3">
      <c r="S90" s="4">
        <f t="shared" si="16"/>
        <v>14</v>
      </c>
      <c r="T90" s="9">
        <f>DATE('Controle e Captura'!$C$9,Auxiliar!U90,Auxiliar!V90)</f>
        <v>43919</v>
      </c>
      <c r="U90" s="4">
        <v>3</v>
      </c>
      <c r="V90" s="4">
        <v>29</v>
      </c>
      <c r="W90" s="4">
        <f t="shared" si="17"/>
        <v>1</v>
      </c>
    </row>
    <row r="91" spans="19:23" x14ac:dyDescent="0.3">
      <c r="S91" s="4">
        <f t="shared" si="16"/>
        <v>14</v>
      </c>
      <c r="T91" s="9">
        <f>DATE('Controle e Captura'!$C$9,Auxiliar!U91,Auxiliar!V91)</f>
        <v>43920</v>
      </c>
      <c r="U91" s="4">
        <v>3</v>
      </c>
      <c r="V91" s="4">
        <v>30</v>
      </c>
      <c r="W91" s="4">
        <f t="shared" si="17"/>
        <v>2</v>
      </c>
    </row>
    <row r="92" spans="19:23" x14ac:dyDescent="0.3">
      <c r="S92" s="4">
        <f t="shared" si="16"/>
        <v>14</v>
      </c>
      <c r="T92" s="9">
        <f>DATE('Controle e Captura'!$C$9,Auxiliar!U92,Auxiliar!V92)</f>
        <v>43921</v>
      </c>
      <c r="U92" s="4">
        <v>3</v>
      </c>
      <c r="V92" s="4">
        <v>31</v>
      </c>
      <c r="W92" s="4">
        <f t="shared" si="17"/>
        <v>3</v>
      </c>
    </row>
    <row r="93" spans="19:23" x14ac:dyDescent="0.3">
      <c r="S93" s="4">
        <f t="shared" si="16"/>
        <v>14</v>
      </c>
      <c r="T93" s="9">
        <f>DATE('Controle e Captura'!$C$9,Auxiliar!U93,Auxiliar!V93)</f>
        <v>43922</v>
      </c>
      <c r="U93" s="4">
        <v>4</v>
      </c>
      <c r="V93" s="4">
        <v>1</v>
      </c>
      <c r="W93" s="4">
        <f t="shared" si="17"/>
        <v>4</v>
      </c>
    </row>
    <row r="94" spans="19:23" x14ac:dyDescent="0.3">
      <c r="S94" s="4">
        <f t="shared" si="16"/>
        <v>14</v>
      </c>
      <c r="T94" s="9">
        <f>DATE('Controle e Captura'!$C$9,Auxiliar!U94,Auxiliar!V94)</f>
        <v>43923</v>
      </c>
      <c r="U94" s="4">
        <v>4</v>
      </c>
      <c r="V94" s="4">
        <v>2</v>
      </c>
      <c r="W94" s="4">
        <f t="shared" si="17"/>
        <v>5</v>
      </c>
    </row>
    <row r="95" spans="19:23" x14ac:dyDescent="0.3">
      <c r="S95" s="4">
        <f t="shared" si="16"/>
        <v>14</v>
      </c>
      <c r="T95" s="9">
        <f>DATE('Controle e Captura'!$C$9,Auxiliar!U95,Auxiliar!V95)</f>
        <v>43924</v>
      </c>
      <c r="U95" s="4">
        <v>4</v>
      </c>
      <c r="V95" s="4">
        <v>3</v>
      </c>
      <c r="W95" s="4">
        <f t="shared" si="17"/>
        <v>6</v>
      </c>
    </row>
    <row r="96" spans="19:23" x14ac:dyDescent="0.3">
      <c r="S96" s="4">
        <f t="shared" si="16"/>
        <v>14</v>
      </c>
      <c r="T96" s="9">
        <f>DATE('Controle e Captura'!$C$9,Auxiliar!U96,Auxiliar!V96)</f>
        <v>43925</v>
      </c>
      <c r="U96" s="4">
        <v>4</v>
      </c>
      <c r="V96" s="4">
        <v>4</v>
      </c>
      <c r="W96" s="4">
        <f t="shared" si="17"/>
        <v>7</v>
      </c>
    </row>
    <row r="97" spans="19:23" x14ac:dyDescent="0.3">
      <c r="S97" s="4">
        <f t="shared" si="16"/>
        <v>15</v>
      </c>
      <c r="T97" s="9">
        <f>DATE('Controle e Captura'!$C$9,Auxiliar!U97,Auxiliar!V97)</f>
        <v>43926</v>
      </c>
      <c r="U97" s="4">
        <v>4</v>
      </c>
      <c r="V97" s="4">
        <v>5</v>
      </c>
      <c r="W97" s="4">
        <f t="shared" si="17"/>
        <v>1</v>
      </c>
    </row>
    <row r="98" spans="19:23" x14ac:dyDescent="0.3">
      <c r="S98" s="4">
        <f t="shared" si="16"/>
        <v>15</v>
      </c>
      <c r="T98" s="9">
        <f>DATE('Controle e Captura'!$C$9,Auxiliar!U98,Auxiliar!V98)</f>
        <v>43927</v>
      </c>
      <c r="U98" s="4">
        <v>4</v>
      </c>
      <c r="V98" s="4">
        <v>6</v>
      </c>
      <c r="W98" s="4">
        <f t="shared" si="17"/>
        <v>2</v>
      </c>
    </row>
    <row r="99" spans="19:23" x14ac:dyDescent="0.3">
      <c r="S99" s="4">
        <f t="shared" si="16"/>
        <v>15</v>
      </c>
      <c r="T99" s="9">
        <f>DATE('Controle e Captura'!$C$9,Auxiliar!U99,Auxiliar!V99)</f>
        <v>43928</v>
      </c>
      <c r="U99" s="4">
        <v>4</v>
      </c>
      <c r="V99" s="4">
        <v>7</v>
      </c>
      <c r="W99" s="4">
        <f t="shared" si="17"/>
        <v>3</v>
      </c>
    </row>
    <row r="100" spans="19:23" x14ac:dyDescent="0.3">
      <c r="S100" s="4">
        <f t="shared" si="16"/>
        <v>15</v>
      </c>
      <c r="T100" s="9">
        <f>DATE('Controle e Captura'!$C$9,Auxiliar!U100,Auxiliar!V100)</f>
        <v>43929</v>
      </c>
      <c r="U100" s="4">
        <v>4</v>
      </c>
      <c r="V100" s="4">
        <v>8</v>
      </c>
      <c r="W100" s="4">
        <f t="shared" si="17"/>
        <v>4</v>
      </c>
    </row>
    <row r="101" spans="19:23" x14ac:dyDescent="0.3">
      <c r="S101" s="4">
        <f t="shared" si="16"/>
        <v>15</v>
      </c>
      <c r="T101" s="9">
        <f>DATE('Controle e Captura'!$C$9,Auxiliar!U101,Auxiliar!V101)</f>
        <v>43930</v>
      </c>
      <c r="U101" s="4">
        <v>4</v>
      </c>
      <c r="V101" s="4">
        <v>9</v>
      </c>
      <c r="W101" s="4">
        <f t="shared" si="17"/>
        <v>5</v>
      </c>
    </row>
    <row r="102" spans="19:23" x14ac:dyDescent="0.3">
      <c r="S102" s="4">
        <f t="shared" si="16"/>
        <v>15</v>
      </c>
      <c r="T102" s="9">
        <f>DATE('Controle e Captura'!$C$9,Auxiliar!U102,Auxiliar!V102)</f>
        <v>43931</v>
      </c>
      <c r="U102" s="4">
        <v>4</v>
      </c>
      <c r="V102" s="4">
        <v>10</v>
      </c>
      <c r="W102" s="4">
        <f t="shared" si="17"/>
        <v>6</v>
      </c>
    </row>
    <row r="103" spans="19:23" x14ac:dyDescent="0.3">
      <c r="S103" s="4">
        <f t="shared" si="16"/>
        <v>15</v>
      </c>
      <c r="T103" s="9">
        <f>DATE('Controle e Captura'!$C$9,Auxiliar!U103,Auxiliar!V103)</f>
        <v>43932</v>
      </c>
      <c r="U103" s="4">
        <v>4</v>
      </c>
      <c r="V103" s="4">
        <v>11</v>
      </c>
      <c r="W103" s="4">
        <f t="shared" si="17"/>
        <v>7</v>
      </c>
    </row>
    <row r="104" spans="19:23" x14ac:dyDescent="0.3">
      <c r="S104" s="4">
        <f t="shared" si="16"/>
        <v>16</v>
      </c>
      <c r="T104" s="9">
        <f>DATE('Controle e Captura'!$C$9,Auxiliar!U104,Auxiliar!V104)</f>
        <v>43933</v>
      </c>
      <c r="U104" s="4">
        <v>4</v>
      </c>
      <c r="V104" s="4">
        <v>12</v>
      </c>
      <c r="W104" s="4">
        <f t="shared" si="17"/>
        <v>1</v>
      </c>
    </row>
    <row r="105" spans="19:23" x14ac:dyDescent="0.3">
      <c r="S105" s="4">
        <f t="shared" si="16"/>
        <v>16</v>
      </c>
      <c r="T105" s="9">
        <f>DATE('Controle e Captura'!$C$9,Auxiliar!U105,Auxiliar!V105)</f>
        <v>43934</v>
      </c>
      <c r="U105" s="4">
        <v>4</v>
      </c>
      <c r="V105" s="4">
        <v>13</v>
      </c>
      <c r="W105" s="4">
        <f t="shared" si="17"/>
        <v>2</v>
      </c>
    </row>
    <row r="106" spans="19:23" x14ac:dyDescent="0.3">
      <c r="S106" s="4">
        <f t="shared" si="16"/>
        <v>16</v>
      </c>
      <c r="T106" s="9">
        <f>DATE('Controle e Captura'!$C$9,Auxiliar!U106,Auxiliar!V106)</f>
        <v>43935</v>
      </c>
      <c r="U106" s="4">
        <v>4</v>
      </c>
      <c r="V106" s="4">
        <v>14</v>
      </c>
      <c r="W106" s="4">
        <f t="shared" si="17"/>
        <v>3</v>
      </c>
    </row>
    <row r="107" spans="19:23" x14ac:dyDescent="0.3">
      <c r="S107" s="4">
        <f t="shared" si="16"/>
        <v>16</v>
      </c>
      <c r="T107" s="9">
        <f>DATE('Controle e Captura'!$C$9,Auxiliar!U107,Auxiliar!V107)</f>
        <v>43936</v>
      </c>
      <c r="U107" s="4">
        <v>4</v>
      </c>
      <c r="V107" s="4">
        <v>15</v>
      </c>
      <c r="W107" s="4">
        <f t="shared" si="17"/>
        <v>4</v>
      </c>
    </row>
    <row r="108" spans="19:23" x14ac:dyDescent="0.3">
      <c r="S108" s="4">
        <f t="shared" si="16"/>
        <v>16</v>
      </c>
      <c r="T108" s="9">
        <f>DATE('Controle e Captura'!$C$9,Auxiliar!U108,Auxiliar!V108)</f>
        <v>43937</v>
      </c>
      <c r="U108" s="4">
        <v>4</v>
      </c>
      <c r="V108" s="4">
        <v>16</v>
      </c>
      <c r="W108" s="4">
        <f t="shared" si="17"/>
        <v>5</v>
      </c>
    </row>
    <row r="109" spans="19:23" x14ac:dyDescent="0.3">
      <c r="S109" s="4">
        <f t="shared" si="16"/>
        <v>16</v>
      </c>
      <c r="T109" s="9">
        <f>DATE('Controle e Captura'!$C$9,Auxiliar!U109,Auxiliar!V109)</f>
        <v>43938</v>
      </c>
      <c r="U109" s="4">
        <v>4</v>
      </c>
      <c r="V109" s="4">
        <v>17</v>
      </c>
      <c r="W109" s="4">
        <f t="shared" si="17"/>
        <v>6</v>
      </c>
    </row>
    <row r="110" spans="19:23" x14ac:dyDescent="0.3">
      <c r="S110" s="4">
        <f t="shared" si="16"/>
        <v>16</v>
      </c>
      <c r="T110" s="9">
        <f>DATE('Controle e Captura'!$C$9,Auxiliar!U110,Auxiliar!V110)</f>
        <v>43939</v>
      </c>
      <c r="U110" s="4">
        <v>4</v>
      </c>
      <c r="V110" s="4">
        <v>18</v>
      </c>
      <c r="W110" s="4">
        <f t="shared" si="17"/>
        <v>7</v>
      </c>
    </row>
    <row r="111" spans="19:23" x14ac:dyDescent="0.3">
      <c r="S111" s="4">
        <f t="shared" si="16"/>
        <v>17</v>
      </c>
      <c r="T111" s="9">
        <f>DATE('Controle e Captura'!$C$9,Auxiliar!U111,Auxiliar!V111)</f>
        <v>43940</v>
      </c>
      <c r="U111" s="4">
        <v>4</v>
      </c>
      <c r="V111" s="4">
        <v>19</v>
      </c>
      <c r="W111" s="4">
        <f t="shared" si="17"/>
        <v>1</v>
      </c>
    </row>
    <row r="112" spans="19:23" x14ac:dyDescent="0.3">
      <c r="S112" s="4">
        <f t="shared" si="16"/>
        <v>17</v>
      </c>
      <c r="T112" s="9">
        <f>DATE('Controle e Captura'!$C$9,Auxiliar!U112,Auxiliar!V112)</f>
        <v>43941</v>
      </c>
      <c r="U112" s="4">
        <v>4</v>
      </c>
      <c r="V112" s="4">
        <v>20</v>
      </c>
      <c r="W112" s="4">
        <f t="shared" si="17"/>
        <v>2</v>
      </c>
    </row>
    <row r="113" spans="19:23" x14ac:dyDescent="0.3">
      <c r="S113" s="4">
        <f t="shared" si="16"/>
        <v>17</v>
      </c>
      <c r="T113" s="9">
        <f>DATE('Controle e Captura'!$C$9,Auxiliar!U113,Auxiliar!V113)</f>
        <v>43942</v>
      </c>
      <c r="U113" s="4">
        <v>4</v>
      </c>
      <c r="V113" s="4">
        <v>21</v>
      </c>
      <c r="W113" s="4">
        <f t="shared" si="17"/>
        <v>3</v>
      </c>
    </row>
    <row r="114" spans="19:23" x14ac:dyDescent="0.3">
      <c r="S114" s="4">
        <f t="shared" si="16"/>
        <v>17</v>
      </c>
      <c r="T114" s="9">
        <f>DATE('Controle e Captura'!$C$9,Auxiliar!U114,Auxiliar!V114)</f>
        <v>43943</v>
      </c>
      <c r="U114" s="4">
        <v>4</v>
      </c>
      <c r="V114" s="4">
        <v>22</v>
      </c>
      <c r="W114" s="4">
        <f t="shared" si="17"/>
        <v>4</v>
      </c>
    </row>
    <row r="115" spans="19:23" x14ac:dyDescent="0.3">
      <c r="S115" s="4">
        <f t="shared" si="16"/>
        <v>17</v>
      </c>
      <c r="T115" s="9">
        <f>DATE('Controle e Captura'!$C$9,Auxiliar!U115,Auxiliar!V115)</f>
        <v>43944</v>
      </c>
      <c r="U115" s="4">
        <v>4</v>
      </c>
      <c r="V115" s="4">
        <v>23</v>
      </c>
      <c r="W115" s="4">
        <f t="shared" si="17"/>
        <v>5</v>
      </c>
    </row>
    <row r="116" spans="19:23" x14ac:dyDescent="0.3">
      <c r="S116" s="4">
        <f t="shared" si="16"/>
        <v>17</v>
      </c>
      <c r="T116" s="9">
        <f>DATE('Controle e Captura'!$C$9,Auxiliar!U116,Auxiliar!V116)</f>
        <v>43945</v>
      </c>
      <c r="U116" s="4">
        <v>4</v>
      </c>
      <c r="V116" s="4">
        <v>24</v>
      </c>
      <c r="W116" s="4">
        <f t="shared" si="17"/>
        <v>6</v>
      </c>
    </row>
    <row r="117" spans="19:23" x14ac:dyDescent="0.3">
      <c r="S117" s="4">
        <f t="shared" si="16"/>
        <v>17</v>
      </c>
      <c r="T117" s="9">
        <f>DATE('Controle e Captura'!$C$9,Auxiliar!U117,Auxiliar!V117)</f>
        <v>43946</v>
      </c>
      <c r="U117" s="4">
        <v>4</v>
      </c>
      <c r="V117" s="4">
        <v>25</v>
      </c>
      <c r="W117" s="4">
        <f t="shared" si="17"/>
        <v>7</v>
      </c>
    </row>
    <row r="118" spans="19:23" x14ac:dyDescent="0.3">
      <c r="S118" s="4">
        <f t="shared" si="16"/>
        <v>18</v>
      </c>
      <c r="T118" s="9">
        <f>DATE('Controle e Captura'!$C$9,Auxiliar!U118,Auxiliar!V118)</f>
        <v>43947</v>
      </c>
      <c r="U118" s="4">
        <v>4</v>
      </c>
      <c r="V118" s="4">
        <v>26</v>
      </c>
      <c r="W118" s="4">
        <f t="shared" si="17"/>
        <v>1</v>
      </c>
    </row>
    <row r="119" spans="19:23" x14ac:dyDescent="0.3">
      <c r="S119" s="4">
        <f t="shared" si="16"/>
        <v>18</v>
      </c>
      <c r="T119" s="9">
        <f>DATE('Controle e Captura'!$C$9,Auxiliar!U119,Auxiliar!V119)</f>
        <v>43948</v>
      </c>
      <c r="U119" s="4">
        <v>4</v>
      </c>
      <c r="V119" s="4">
        <v>27</v>
      </c>
      <c r="W119" s="4">
        <f t="shared" si="17"/>
        <v>2</v>
      </c>
    </row>
    <row r="120" spans="19:23" x14ac:dyDescent="0.3">
      <c r="S120" s="4">
        <f t="shared" si="16"/>
        <v>18</v>
      </c>
      <c r="T120" s="9">
        <f>DATE('Controle e Captura'!$C$9,Auxiliar!U120,Auxiliar!V120)</f>
        <v>43949</v>
      </c>
      <c r="U120" s="4">
        <v>4</v>
      </c>
      <c r="V120" s="4">
        <v>28</v>
      </c>
      <c r="W120" s="4">
        <f t="shared" si="17"/>
        <v>3</v>
      </c>
    </row>
    <row r="121" spans="19:23" x14ac:dyDescent="0.3">
      <c r="S121" s="4">
        <f t="shared" si="16"/>
        <v>18</v>
      </c>
      <c r="T121" s="9">
        <f>DATE('Controle e Captura'!$C$9,Auxiliar!U121,Auxiliar!V121)</f>
        <v>43950</v>
      </c>
      <c r="U121" s="4">
        <v>4</v>
      </c>
      <c r="V121" s="4">
        <v>29</v>
      </c>
      <c r="W121" s="4">
        <f t="shared" si="17"/>
        <v>4</v>
      </c>
    </row>
    <row r="122" spans="19:23" x14ac:dyDescent="0.3">
      <c r="S122" s="4">
        <f t="shared" si="16"/>
        <v>18</v>
      </c>
      <c r="T122" s="9">
        <f>DATE('Controle e Captura'!$C$9,Auxiliar!U122,Auxiliar!V122)</f>
        <v>43951</v>
      </c>
      <c r="U122" s="4">
        <v>4</v>
      </c>
      <c r="V122" s="4">
        <v>30</v>
      </c>
      <c r="W122" s="4">
        <f t="shared" si="17"/>
        <v>5</v>
      </c>
    </row>
    <row r="123" spans="19:23" x14ac:dyDescent="0.3">
      <c r="S123" s="4">
        <f t="shared" si="16"/>
        <v>18</v>
      </c>
      <c r="T123" s="9">
        <f>DATE('Controle e Captura'!$C$9,Auxiliar!U123,Auxiliar!V123)</f>
        <v>43952</v>
      </c>
      <c r="U123" s="4">
        <v>5</v>
      </c>
      <c r="V123" s="4">
        <v>1</v>
      </c>
      <c r="W123" s="4">
        <f t="shared" si="17"/>
        <v>6</v>
      </c>
    </row>
    <row r="124" spans="19:23" x14ac:dyDescent="0.3">
      <c r="S124" s="4">
        <f t="shared" si="16"/>
        <v>18</v>
      </c>
      <c r="T124" s="9">
        <f>DATE('Controle e Captura'!$C$9,Auxiliar!U124,Auxiliar!V124)</f>
        <v>43953</v>
      </c>
      <c r="U124" s="4">
        <v>5</v>
      </c>
      <c r="V124" s="4">
        <v>2</v>
      </c>
      <c r="W124" s="4">
        <f t="shared" si="17"/>
        <v>7</v>
      </c>
    </row>
    <row r="125" spans="19:23" x14ac:dyDescent="0.3">
      <c r="S125" s="4">
        <f t="shared" si="16"/>
        <v>19</v>
      </c>
      <c r="T125" s="9">
        <f>DATE('Controle e Captura'!$C$9,Auxiliar!U125,Auxiliar!V125)</f>
        <v>43954</v>
      </c>
      <c r="U125" s="4">
        <v>5</v>
      </c>
      <c r="V125" s="4">
        <v>3</v>
      </c>
      <c r="W125" s="4">
        <f t="shared" si="17"/>
        <v>1</v>
      </c>
    </row>
    <row r="126" spans="19:23" x14ac:dyDescent="0.3">
      <c r="S126" s="4">
        <f t="shared" si="16"/>
        <v>19</v>
      </c>
      <c r="T126" s="9">
        <f>DATE('Controle e Captura'!$C$9,Auxiliar!U126,Auxiliar!V126)</f>
        <v>43955</v>
      </c>
      <c r="U126" s="4">
        <v>5</v>
      </c>
      <c r="V126" s="4">
        <v>4</v>
      </c>
      <c r="W126" s="4">
        <f t="shared" si="17"/>
        <v>2</v>
      </c>
    </row>
    <row r="127" spans="19:23" x14ac:dyDescent="0.3">
      <c r="S127" s="4">
        <f t="shared" si="16"/>
        <v>19</v>
      </c>
      <c r="T127" s="9">
        <f>DATE('Controle e Captura'!$C$9,Auxiliar!U127,Auxiliar!V127)</f>
        <v>43956</v>
      </c>
      <c r="U127" s="4">
        <v>5</v>
      </c>
      <c r="V127" s="4">
        <v>5</v>
      </c>
      <c r="W127" s="4">
        <f t="shared" si="17"/>
        <v>3</v>
      </c>
    </row>
    <row r="128" spans="19:23" x14ac:dyDescent="0.3">
      <c r="S128" s="4">
        <f t="shared" si="16"/>
        <v>19</v>
      </c>
      <c r="T128" s="9">
        <f>DATE('Controle e Captura'!$C$9,Auxiliar!U128,Auxiliar!V128)</f>
        <v>43957</v>
      </c>
      <c r="U128" s="4">
        <v>5</v>
      </c>
      <c r="V128" s="4">
        <v>6</v>
      </c>
      <c r="W128" s="4">
        <f t="shared" si="17"/>
        <v>4</v>
      </c>
    </row>
    <row r="129" spans="19:23" x14ac:dyDescent="0.3">
      <c r="S129" s="4">
        <f t="shared" si="16"/>
        <v>19</v>
      </c>
      <c r="T129" s="9">
        <f>DATE('Controle e Captura'!$C$9,Auxiliar!U129,Auxiliar!V129)</f>
        <v>43958</v>
      </c>
      <c r="U129" s="4">
        <v>5</v>
      </c>
      <c r="V129" s="4">
        <v>7</v>
      </c>
      <c r="W129" s="4">
        <f t="shared" si="17"/>
        <v>5</v>
      </c>
    </row>
    <row r="130" spans="19:23" x14ac:dyDescent="0.3">
      <c r="S130" s="4">
        <f t="shared" si="16"/>
        <v>19</v>
      </c>
      <c r="T130" s="9">
        <f>DATE('Controle e Captura'!$C$9,Auxiliar!U130,Auxiliar!V130)</f>
        <v>43959</v>
      </c>
      <c r="U130" s="4">
        <v>5</v>
      </c>
      <c r="V130" s="4">
        <v>8</v>
      </c>
      <c r="W130" s="4">
        <f t="shared" si="17"/>
        <v>6</v>
      </c>
    </row>
    <row r="131" spans="19:23" x14ac:dyDescent="0.3">
      <c r="S131" s="4">
        <f t="shared" si="16"/>
        <v>19</v>
      </c>
      <c r="T131" s="9">
        <f>DATE('Controle e Captura'!$C$9,Auxiliar!U131,Auxiliar!V131)</f>
        <v>43960</v>
      </c>
      <c r="U131" s="4">
        <v>5</v>
      </c>
      <c r="V131" s="4">
        <v>9</v>
      </c>
      <c r="W131" s="4">
        <f t="shared" si="17"/>
        <v>7</v>
      </c>
    </row>
    <row r="132" spans="19:23" x14ac:dyDescent="0.3">
      <c r="S132" s="4">
        <f t="shared" ref="S132:S195" si="18">IF(W132=1,S131+1,S131)</f>
        <v>20</v>
      </c>
      <c r="T132" s="9">
        <f>DATE('Controle e Captura'!$C$9,Auxiliar!U132,Auxiliar!V132)</f>
        <v>43961</v>
      </c>
      <c r="U132" s="4">
        <v>5</v>
      </c>
      <c r="V132" s="4">
        <v>10</v>
      </c>
      <c r="W132" s="4">
        <f t="shared" ref="W132:W195" si="19">WEEKDAY(T132)</f>
        <v>1</v>
      </c>
    </row>
    <row r="133" spans="19:23" x14ac:dyDescent="0.3">
      <c r="S133" s="4">
        <f t="shared" si="18"/>
        <v>20</v>
      </c>
      <c r="T133" s="9">
        <f>DATE('Controle e Captura'!$C$9,Auxiliar!U133,Auxiliar!V133)</f>
        <v>43962</v>
      </c>
      <c r="U133" s="4">
        <v>5</v>
      </c>
      <c r="V133" s="4">
        <v>11</v>
      </c>
      <c r="W133" s="4">
        <f t="shared" si="19"/>
        <v>2</v>
      </c>
    </row>
    <row r="134" spans="19:23" x14ac:dyDescent="0.3">
      <c r="S134" s="4">
        <f t="shared" si="18"/>
        <v>20</v>
      </c>
      <c r="T134" s="9">
        <f>DATE('Controle e Captura'!$C$9,Auxiliar!U134,Auxiliar!V134)</f>
        <v>43963</v>
      </c>
      <c r="U134" s="4">
        <v>5</v>
      </c>
      <c r="V134" s="4">
        <v>12</v>
      </c>
      <c r="W134" s="4">
        <f t="shared" si="19"/>
        <v>3</v>
      </c>
    </row>
    <row r="135" spans="19:23" x14ac:dyDescent="0.3">
      <c r="S135" s="4">
        <f t="shared" si="18"/>
        <v>20</v>
      </c>
      <c r="T135" s="9">
        <f>DATE('Controle e Captura'!$C$9,Auxiliar!U135,Auxiliar!V135)</f>
        <v>43964</v>
      </c>
      <c r="U135" s="4">
        <v>5</v>
      </c>
      <c r="V135" s="4">
        <v>13</v>
      </c>
      <c r="W135" s="4">
        <f t="shared" si="19"/>
        <v>4</v>
      </c>
    </row>
    <row r="136" spans="19:23" x14ac:dyDescent="0.3">
      <c r="S136" s="4">
        <f t="shared" si="18"/>
        <v>20</v>
      </c>
      <c r="T136" s="9">
        <f>DATE('Controle e Captura'!$C$9,Auxiliar!U136,Auxiliar!V136)</f>
        <v>43965</v>
      </c>
      <c r="U136" s="4">
        <v>5</v>
      </c>
      <c r="V136" s="4">
        <v>14</v>
      </c>
      <c r="W136" s="4">
        <f t="shared" si="19"/>
        <v>5</v>
      </c>
    </row>
    <row r="137" spans="19:23" x14ac:dyDescent="0.3">
      <c r="S137" s="4">
        <f t="shared" si="18"/>
        <v>20</v>
      </c>
      <c r="T137" s="9">
        <f>DATE('Controle e Captura'!$C$9,Auxiliar!U137,Auxiliar!V137)</f>
        <v>43966</v>
      </c>
      <c r="U137" s="4">
        <v>5</v>
      </c>
      <c r="V137" s="4">
        <v>15</v>
      </c>
      <c r="W137" s="4">
        <f t="shared" si="19"/>
        <v>6</v>
      </c>
    </row>
    <row r="138" spans="19:23" x14ac:dyDescent="0.3">
      <c r="S138" s="4">
        <f t="shared" si="18"/>
        <v>20</v>
      </c>
      <c r="T138" s="9">
        <f>DATE('Controle e Captura'!$C$9,Auxiliar!U138,Auxiliar!V138)</f>
        <v>43967</v>
      </c>
      <c r="U138" s="4">
        <v>5</v>
      </c>
      <c r="V138" s="4">
        <v>16</v>
      </c>
      <c r="W138" s="4">
        <f t="shared" si="19"/>
        <v>7</v>
      </c>
    </row>
    <row r="139" spans="19:23" x14ac:dyDescent="0.3">
      <c r="S139" s="4">
        <f t="shared" si="18"/>
        <v>21</v>
      </c>
      <c r="T139" s="9">
        <f>DATE('Controle e Captura'!$C$9,Auxiliar!U139,Auxiliar!V139)</f>
        <v>43968</v>
      </c>
      <c r="U139" s="4">
        <v>5</v>
      </c>
      <c r="V139" s="4">
        <v>17</v>
      </c>
      <c r="W139" s="4">
        <f t="shared" si="19"/>
        <v>1</v>
      </c>
    </row>
    <row r="140" spans="19:23" x14ac:dyDescent="0.3">
      <c r="S140" s="4">
        <f t="shared" si="18"/>
        <v>21</v>
      </c>
      <c r="T140" s="9">
        <f>DATE('Controle e Captura'!$C$9,Auxiliar!U140,Auxiliar!V140)</f>
        <v>43969</v>
      </c>
      <c r="U140" s="4">
        <v>5</v>
      </c>
      <c r="V140" s="4">
        <v>18</v>
      </c>
      <c r="W140" s="4">
        <f t="shared" si="19"/>
        <v>2</v>
      </c>
    </row>
    <row r="141" spans="19:23" x14ac:dyDescent="0.3">
      <c r="S141" s="4">
        <f t="shared" si="18"/>
        <v>21</v>
      </c>
      <c r="T141" s="9">
        <f>DATE('Controle e Captura'!$C$9,Auxiliar!U141,Auxiliar!V141)</f>
        <v>43970</v>
      </c>
      <c r="U141" s="4">
        <v>5</v>
      </c>
      <c r="V141" s="4">
        <v>19</v>
      </c>
      <c r="W141" s="4">
        <f t="shared" si="19"/>
        <v>3</v>
      </c>
    </row>
    <row r="142" spans="19:23" x14ac:dyDescent="0.3">
      <c r="S142" s="4">
        <f t="shared" si="18"/>
        <v>21</v>
      </c>
      <c r="T142" s="9">
        <f>DATE('Controle e Captura'!$C$9,Auxiliar!U142,Auxiliar!V142)</f>
        <v>43971</v>
      </c>
      <c r="U142" s="4">
        <v>5</v>
      </c>
      <c r="V142" s="4">
        <v>20</v>
      </c>
      <c r="W142" s="4">
        <f t="shared" si="19"/>
        <v>4</v>
      </c>
    </row>
    <row r="143" spans="19:23" x14ac:dyDescent="0.3">
      <c r="S143" s="4">
        <f t="shared" si="18"/>
        <v>21</v>
      </c>
      <c r="T143" s="9">
        <f>DATE('Controle e Captura'!$C$9,Auxiliar!U143,Auxiliar!V143)</f>
        <v>43972</v>
      </c>
      <c r="U143" s="4">
        <v>5</v>
      </c>
      <c r="V143" s="4">
        <v>21</v>
      </c>
      <c r="W143" s="4">
        <f t="shared" si="19"/>
        <v>5</v>
      </c>
    </row>
    <row r="144" spans="19:23" x14ac:dyDescent="0.3">
      <c r="S144" s="4">
        <f t="shared" si="18"/>
        <v>21</v>
      </c>
      <c r="T144" s="9">
        <f>DATE('Controle e Captura'!$C$9,Auxiliar!U144,Auxiliar!V144)</f>
        <v>43973</v>
      </c>
      <c r="U144" s="4">
        <v>5</v>
      </c>
      <c r="V144" s="4">
        <v>22</v>
      </c>
      <c r="W144" s="4">
        <f t="shared" si="19"/>
        <v>6</v>
      </c>
    </row>
    <row r="145" spans="19:23" x14ac:dyDescent="0.3">
      <c r="S145" s="4">
        <f t="shared" si="18"/>
        <v>21</v>
      </c>
      <c r="T145" s="9">
        <f>DATE('Controle e Captura'!$C$9,Auxiliar!U145,Auxiliar!V145)</f>
        <v>43974</v>
      </c>
      <c r="U145" s="4">
        <v>5</v>
      </c>
      <c r="V145" s="4">
        <v>23</v>
      </c>
      <c r="W145" s="4">
        <f t="shared" si="19"/>
        <v>7</v>
      </c>
    </row>
    <row r="146" spans="19:23" x14ac:dyDescent="0.3">
      <c r="S146" s="4">
        <f t="shared" si="18"/>
        <v>22</v>
      </c>
      <c r="T146" s="9">
        <f>DATE('Controle e Captura'!$C$9,Auxiliar!U146,Auxiliar!V146)</f>
        <v>43975</v>
      </c>
      <c r="U146" s="4">
        <v>5</v>
      </c>
      <c r="V146" s="4">
        <v>24</v>
      </c>
      <c r="W146" s="4">
        <f t="shared" si="19"/>
        <v>1</v>
      </c>
    </row>
    <row r="147" spans="19:23" x14ac:dyDescent="0.3">
      <c r="S147" s="4">
        <f t="shared" si="18"/>
        <v>22</v>
      </c>
      <c r="T147" s="9">
        <f>DATE('Controle e Captura'!$C$9,Auxiliar!U147,Auxiliar!V147)</f>
        <v>43976</v>
      </c>
      <c r="U147" s="4">
        <v>5</v>
      </c>
      <c r="V147" s="4">
        <v>25</v>
      </c>
      <c r="W147" s="4">
        <f t="shared" si="19"/>
        <v>2</v>
      </c>
    </row>
    <row r="148" spans="19:23" x14ac:dyDescent="0.3">
      <c r="S148" s="4">
        <f t="shared" si="18"/>
        <v>22</v>
      </c>
      <c r="T148" s="9">
        <f>DATE('Controle e Captura'!$C$9,Auxiliar!U148,Auxiliar!V148)</f>
        <v>43977</v>
      </c>
      <c r="U148" s="4">
        <v>5</v>
      </c>
      <c r="V148" s="4">
        <v>26</v>
      </c>
      <c r="W148" s="4">
        <f t="shared" si="19"/>
        <v>3</v>
      </c>
    </row>
    <row r="149" spans="19:23" x14ac:dyDescent="0.3">
      <c r="S149" s="4">
        <f t="shared" si="18"/>
        <v>22</v>
      </c>
      <c r="T149" s="9">
        <f>DATE('Controle e Captura'!$C$9,Auxiliar!U149,Auxiliar!V149)</f>
        <v>43978</v>
      </c>
      <c r="U149" s="4">
        <v>5</v>
      </c>
      <c r="V149" s="4">
        <v>27</v>
      </c>
      <c r="W149" s="4">
        <f t="shared" si="19"/>
        <v>4</v>
      </c>
    </row>
    <row r="150" spans="19:23" x14ac:dyDescent="0.3">
      <c r="S150" s="4">
        <f t="shared" si="18"/>
        <v>22</v>
      </c>
      <c r="T150" s="9">
        <f>DATE('Controle e Captura'!$C$9,Auxiliar!U150,Auxiliar!V150)</f>
        <v>43979</v>
      </c>
      <c r="U150" s="4">
        <v>5</v>
      </c>
      <c r="V150" s="4">
        <v>28</v>
      </c>
      <c r="W150" s="4">
        <f t="shared" si="19"/>
        <v>5</v>
      </c>
    </row>
    <row r="151" spans="19:23" x14ac:dyDescent="0.3">
      <c r="S151" s="4">
        <f t="shared" si="18"/>
        <v>22</v>
      </c>
      <c r="T151" s="9">
        <f>DATE('Controle e Captura'!$C$9,Auxiliar!U151,Auxiliar!V151)</f>
        <v>43980</v>
      </c>
      <c r="U151" s="4">
        <v>5</v>
      </c>
      <c r="V151" s="4">
        <v>29</v>
      </c>
      <c r="W151" s="4">
        <f t="shared" si="19"/>
        <v>6</v>
      </c>
    </row>
    <row r="152" spans="19:23" x14ac:dyDescent="0.3">
      <c r="S152" s="4">
        <f t="shared" si="18"/>
        <v>22</v>
      </c>
      <c r="T152" s="9">
        <f>DATE('Controle e Captura'!$C$9,Auxiliar!U152,Auxiliar!V152)</f>
        <v>43981</v>
      </c>
      <c r="U152" s="4">
        <v>5</v>
      </c>
      <c r="V152" s="4">
        <v>30</v>
      </c>
      <c r="W152" s="4">
        <f t="shared" si="19"/>
        <v>7</v>
      </c>
    </row>
    <row r="153" spans="19:23" x14ac:dyDescent="0.3">
      <c r="S153" s="4">
        <f t="shared" si="18"/>
        <v>23</v>
      </c>
      <c r="T153" s="9">
        <f>DATE('Controle e Captura'!$C$9,Auxiliar!U153,Auxiliar!V153)</f>
        <v>43982</v>
      </c>
      <c r="U153" s="4">
        <v>5</v>
      </c>
      <c r="V153" s="4">
        <v>31</v>
      </c>
      <c r="W153" s="4">
        <f t="shared" si="19"/>
        <v>1</v>
      </c>
    </row>
    <row r="154" spans="19:23" x14ac:dyDescent="0.3">
      <c r="S154" s="4">
        <f t="shared" si="18"/>
        <v>23</v>
      </c>
      <c r="T154" s="9">
        <f>DATE('Controle e Captura'!$C$9,Auxiliar!U154,Auxiliar!V154)</f>
        <v>43983</v>
      </c>
      <c r="U154" s="4">
        <v>6</v>
      </c>
      <c r="V154" s="4">
        <v>1</v>
      </c>
      <c r="W154" s="4">
        <f t="shared" si="19"/>
        <v>2</v>
      </c>
    </row>
    <row r="155" spans="19:23" x14ac:dyDescent="0.3">
      <c r="S155" s="4">
        <f t="shared" si="18"/>
        <v>23</v>
      </c>
      <c r="T155" s="9">
        <f>DATE('Controle e Captura'!$C$9,Auxiliar!U155,Auxiliar!V155)</f>
        <v>43984</v>
      </c>
      <c r="U155" s="4">
        <v>6</v>
      </c>
      <c r="V155" s="4">
        <v>2</v>
      </c>
      <c r="W155" s="4">
        <f t="shared" si="19"/>
        <v>3</v>
      </c>
    </row>
    <row r="156" spans="19:23" x14ac:dyDescent="0.3">
      <c r="S156" s="4">
        <f t="shared" si="18"/>
        <v>23</v>
      </c>
      <c r="T156" s="9">
        <f>DATE('Controle e Captura'!$C$9,Auxiliar!U156,Auxiliar!V156)</f>
        <v>43985</v>
      </c>
      <c r="U156" s="4">
        <v>6</v>
      </c>
      <c r="V156" s="4">
        <v>3</v>
      </c>
      <c r="W156" s="4">
        <f t="shared" si="19"/>
        <v>4</v>
      </c>
    </row>
    <row r="157" spans="19:23" x14ac:dyDescent="0.3">
      <c r="S157" s="4">
        <f t="shared" si="18"/>
        <v>23</v>
      </c>
      <c r="T157" s="9">
        <f>DATE('Controle e Captura'!$C$9,Auxiliar!U157,Auxiliar!V157)</f>
        <v>43986</v>
      </c>
      <c r="U157" s="4">
        <v>6</v>
      </c>
      <c r="V157" s="4">
        <v>4</v>
      </c>
      <c r="W157" s="4">
        <f t="shared" si="19"/>
        <v>5</v>
      </c>
    </row>
    <row r="158" spans="19:23" x14ac:dyDescent="0.3">
      <c r="S158" s="4">
        <f t="shared" si="18"/>
        <v>23</v>
      </c>
      <c r="T158" s="9">
        <f>DATE('Controle e Captura'!$C$9,Auxiliar!U158,Auxiliar!V158)</f>
        <v>43987</v>
      </c>
      <c r="U158" s="4">
        <v>6</v>
      </c>
      <c r="V158" s="4">
        <v>5</v>
      </c>
      <c r="W158" s="4">
        <f t="shared" si="19"/>
        <v>6</v>
      </c>
    </row>
    <row r="159" spans="19:23" x14ac:dyDescent="0.3">
      <c r="S159" s="4">
        <f t="shared" si="18"/>
        <v>23</v>
      </c>
      <c r="T159" s="9">
        <f>DATE('Controle e Captura'!$C$9,Auxiliar!U159,Auxiliar!V159)</f>
        <v>43988</v>
      </c>
      <c r="U159" s="4">
        <v>6</v>
      </c>
      <c r="V159" s="4">
        <v>6</v>
      </c>
      <c r="W159" s="4">
        <f t="shared" si="19"/>
        <v>7</v>
      </c>
    </row>
    <row r="160" spans="19:23" x14ac:dyDescent="0.3">
      <c r="S160" s="4">
        <f t="shared" si="18"/>
        <v>24</v>
      </c>
      <c r="T160" s="9">
        <f>DATE('Controle e Captura'!$C$9,Auxiliar!U160,Auxiliar!V160)</f>
        <v>43989</v>
      </c>
      <c r="U160" s="4">
        <v>6</v>
      </c>
      <c r="V160" s="4">
        <v>7</v>
      </c>
      <c r="W160" s="4">
        <f t="shared" si="19"/>
        <v>1</v>
      </c>
    </row>
    <row r="161" spans="19:23" x14ac:dyDescent="0.3">
      <c r="S161" s="4">
        <f t="shared" si="18"/>
        <v>24</v>
      </c>
      <c r="T161" s="9">
        <f>DATE('Controle e Captura'!$C$9,Auxiliar!U161,Auxiliar!V161)</f>
        <v>43990</v>
      </c>
      <c r="U161" s="4">
        <v>6</v>
      </c>
      <c r="V161" s="4">
        <v>8</v>
      </c>
      <c r="W161" s="4">
        <f t="shared" si="19"/>
        <v>2</v>
      </c>
    </row>
    <row r="162" spans="19:23" x14ac:dyDescent="0.3">
      <c r="S162" s="4">
        <f t="shared" si="18"/>
        <v>24</v>
      </c>
      <c r="T162" s="9">
        <f>DATE('Controle e Captura'!$C$9,Auxiliar!U162,Auxiliar!V162)</f>
        <v>43991</v>
      </c>
      <c r="U162" s="4">
        <v>6</v>
      </c>
      <c r="V162" s="4">
        <v>9</v>
      </c>
      <c r="W162" s="4">
        <f t="shared" si="19"/>
        <v>3</v>
      </c>
    </row>
    <row r="163" spans="19:23" x14ac:dyDescent="0.3">
      <c r="S163" s="4">
        <f t="shared" si="18"/>
        <v>24</v>
      </c>
      <c r="T163" s="9">
        <f>DATE('Controle e Captura'!$C$9,Auxiliar!U163,Auxiliar!V163)</f>
        <v>43992</v>
      </c>
      <c r="U163" s="4">
        <v>6</v>
      </c>
      <c r="V163" s="4">
        <v>10</v>
      </c>
      <c r="W163" s="4">
        <f t="shared" si="19"/>
        <v>4</v>
      </c>
    </row>
    <row r="164" spans="19:23" x14ac:dyDescent="0.3">
      <c r="S164" s="4">
        <f t="shared" si="18"/>
        <v>24</v>
      </c>
      <c r="T164" s="9">
        <f>DATE('Controle e Captura'!$C$9,Auxiliar!U164,Auxiliar!V164)</f>
        <v>43993</v>
      </c>
      <c r="U164" s="4">
        <v>6</v>
      </c>
      <c r="V164" s="4">
        <v>11</v>
      </c>
      <c r="W164" s="4">
        <f t="shared" si="19"/>
        <v>5</v>
      </c>
    </row>
    <row r="165" spans="19:23" x14ac:dyDescent="0.3">
      <c r="S165" s="4">
        <f t="shared" si="18"/>
        <v>24</v>
      </c>
      <c r="T165" s="9">
        <f>DATE('Controle e Captura'!$C$9,Auxiliar!U165,Auxiliar!V165)</f>
        <v>43994</v>
      </c>
      <c r="U165" s="4">
        <v>6</v>
      </c>
      <c r="V165" s="4">
        <v>12</v>
      </c>
      <c r="W165" s="4">
        <f t="shared" si="19"/>
        <v>6</v>
      </c>
    </row>
    <row r="166" spans="19:23" x14ac:dyDescent="0.3">
      <c r="S166" s="4">
        <f t="shared" si="18"/>
        <v>24</v>
      </c>
      <c r="T166" s="9">
        <f>DATE('Controle e Captura'!$C$9,Auxiliar!U166,Auxiliar!V166)</f>
        <v>43995</v>
      </c>
      <c r="U166" s="4">
        <v>6</v>
      </c>
      <c r="V166" s="4">
        <v>13</v>
      </c>
      <c r="W166" s="4">
        <f t="shared" si="19"/>
        <v>7</v>
      </c>
    </row>
    <row r="167" spans="19:23" x14ac:dyDescent="0.3">
      <c r="S167" s="4">
        <f t="shared" si="18"/>
        <v>25</v>
      </c>
      <c r="T167" s="9">
        <f>DATE('Controle e Captura'!$C$9,Auxiliar!U167,Auxiliar!V167)</f>
        <v>43996</v>
      </c>
      <c r="U167" s="4">
        <v>6</v>
      </c>
      <c r="V167" s="4">
        <v>14</v>
      </c>
      <c r="W167" s="4">
        <f t="shared" si="19"/>
        <v>1</v>
      </c>
    </row>
    <row r="168" spans="19:23" x14ac:dyDescent="0.3">
      <c r="S168" s="4">
        <f t="shared" si="18"/>
        <v>25</v>
      </c>
      <c r="T168" s="9">
        <f>DATE('Controle e Captura'!$C$9,Auxiliar!U168,Auxiliar!V168)</f>
        <v>43997</v>
      </c>
      <c r="U168" s="4">
        <v>6</v>
      </c>
      <c r="V168" s="4">
        <v>15</v>
      </c>
      <c r="W168" s="4">
        <f t="shared" si="19"/>
        <v>2</v>
      </c>
    </row>
    <row r="169" spans="19:23" x14ac:dyDescent="0.3">
      <c r="S169" s="4">
        <f t="shared" si="18"/>
        <v>25</v>
      </c>
      <c r="T169" s="9">
        <f>DATE('Controle e Captura'!$C$9,Auxiliar!U169,Auxiliar!V169)</f>
        <v>43998</v>
      </c>
      <c r="U169" s="4">
        <v>6</v>
      </c>
      <c r="V169" s="4">
        <v>16</v>
      </c>
      <c r="W169" s="4">
        <f t="shared" si="19"/>
        <v>3</v>
      </c>
    </row>
    <row r="170" spans="19:23" x14ac:dyDescent="0.3">
      <c r="S170" s="4">
        <f t="shared" si="18"/>
        <v>25</v>
      </c>
      <c r="T170" s="9">
        <f>DATE('Controle e Captura'!$C$9,Auxiliar!U170,Auxiliar!V170)</f>
        <v>43999</v>
      </c>
      <c r="U170" s="4">
        <v>6</v>
      </c>
      <c r="V170" s="4">
        <v>17</v>
      </c>
      <c r="W170" s="4">
        <f t="shared" si="19"/>
        <v>4</v>
      </c>
    </row>
    <row r="171" spans="19:23" x14ac:dyDescent="0.3">
      <c r="S171" s="4">
        <f t="shared" si="18"/>
        <v>25</v>
      </c>
      <c r="T171" s="9">
        <f>DATE('Controle e Captura'!$C$9,Auxiliar!U171,Auxiliar!V171)</f>
        <v>44000</v>
      </c>
      <c r="U171" s="4">
        <v>6</v>
      </c>
      <c r="V171" s="4">
        <v>18</v>
      </c>
      <c r="W171" s="4">
        <f t="shared" si="19"/>
        <v>5</v>
      </c>
    </row>
    <row r="172" spans="19:23" x14ac:dyDescent="0.3">
      <c r="S172" s="4">
        <f t="shared" si="18"/>
        <v>25</v>
      </c>
      <c r="T172" s="9">
        <f>DATE('Controle e Captura'!$C$9,Auxiliar!U172,Auxiliar!V172)</f>
        <v>44001</v>
      </c>
      <c r="U172" s="4">
        <v>6</v>
      </c>
      <c r="V172" s="4">
        <v>19</v>
      </c>
      <c r="W172" s="4">
        <f t="shared" si="19"/>
        <v>6</v>
      </c>
    </row>
    <row r="173" spans="19:23" x14ac:dyDescent="0.3">
      <c r="S173" s="4">
        <f t="shared" si="18"/>
        <v>25</v>
      </c>
      <c r="T173" s="9">
        <f>DATE('Controle e Captura'!$C$9,Auxiliar!U173,Auxiliar!V173)</f>
        <v>44002</v>
      </c>
      <c r="U173" s="4">
        <v>6</v>
      </c>
      <c r="V173" s="4">
        <v>20</v>
      </c>
      <c r="W173" s="4">
        <f t="shared" si="19"/>
        <v>7</v>
      </c>
    </row>
    <row r="174" spans="19:23" x14ac:dyDescent="0.3">
      <c r="S174" s="4">
        <f t="shared" si="18"/>
        <v>26</v>
      </c>
      <c r="T174" s="9">
        <f>DATE('Controle e Captura'!$C$9,Auxiliar!U174,Auxiliar!V174)</f>
        <v>44003</v>
      </c>
      <c r="U174" s="4">
        <v>6</v>
      </c>
      <c r="V174" s="4">
        <v>21</v>
      </c>
      <c r="W174" s="4">
        <f t="shared" si="19"/>
        <v>1</v>
      </c>
    </row>
    <row r="175" spans="19:23" x14ac:dyDescent="0.3">
      <c r="S175" s="4">
        <f t="shared" si="18"/>
        <v>26</v>
      </c>
      <c r="T175" s="9">
        <f>DATE('Controle e Captura'!$C$9,Auxiliar!U175,Auxiliar!V175)</f>
        <v>44004</v>
      </c>
      <c r="U175" s="4">
        <v>6</v>
      </c>
      <c r="V175" s="4">
        <v>22</v>
      </c>
      <c r="W175" s="4">
        <f t="shared" si="19"/>
        <v>2</v>
      </c>
    </row>
    <row r="176" spans="19:23" x14ac:dyDescent="0.3">
      <c r="S176" s="4">
        <f t="shared" si="18"/>
        <v>26</v>
      </c>
      <c r="T176" s="9">
        <f>DATE('Controle e Captura'!$C$9,Auxiliar!U176,Auxiliar!V176)</f>
        <v>44005</v>
      </c>
      <c r="U176" s="4">
        <v>6</v>
      </c>
      <c r="V176" s="4">
        <v>23</v>
      </c>
      <c r="W176" s="4">
        <f t="shared" si="19"/>
        <v>3</v>
      </c>
    </row>
    <row r="177" spans="19:23" x14ac:dyDescent="0.3">
      <c r="S177" s="4">
        <f t="shared" si="18"/>
        <v>26</v>
      </c>
      <c r="T177" s="9">
        <f>DATE('Controle e Captura'!$C$9,Auxiliar!U177,Auxiliar!V177)</f>
        <v>44006</v>
      </c>
      <c r="U177" s="4">
        <v>6</v>
      </c>
      <c r="V177" s="4">
        <v>24</v>
      </c>
      <c r="W177" s="4">
        <f t="shared" si="19"/>
        <v>4</v>
      </c>
    </row>
    <row r="178" spans="19:23" x14ac:dyDescent="0.3">
      <c r="S178" s="4">
        <f t="shared" si="18"/>
        <v>26</v>
      </c>
      <c r="T178" s="9">
        <f>DATE('Controle e Captura'!$C$9,Auxiliar!U178,Auxiliar!V178)</f>
        <v>44007</v>
      </c>
      <c r="U178" s="4">
        <v>6</v>
      </c>
      <c r="V178" s="4">
        <v>25</v>
      </c>
      <c r="W178" s="4">
        <f t="shared" si="19"/>
        <v>5</v>
      </c>
    </row>
    <row r="179" spans="19:23" x14ac:dyDescent="0.3">
      <c r="S179" s="4">
        <f t="shared" si="18"/>
        <v>26</v>
      </c>
      <c r="T179" s="9">
        <f>DATE('Controle e Captura'!$C$9,Auxiliar!U179,Auxiliar!V179)</f>
        <v>44008</v>
      </c>
      <c r="U179" s="4">
        <v>6</v>
      </c>
      <c r="V179" s="4">
        <v>26</v>
      </c>
      <c r="W179" s="4">
        <f t="shared" si="19"/>
        <v>6</v>
      </c>
    </row>
    <row r="180" spans="19:23" x14ac:dyDescent="0.3">
      <c r="S180" s="4">
        <f t="shared" si="18"/>
        <v>26</v>
      </c>
      <c r="T180" s="9">
        <f>DATE('Controle e Captura'!$C$9,Auxiliar!U180,Auxiliar!V180)</f>
        <v>44009</v>
      </c>
      <c r="U180" s="4">
        <v>6</v>
      </c>
      <c r="V180" s="4">
        <v>27</v>
      </c>
      <c r="W180" s="4">
        <f t="shared" si="19"/>
        <v>7</v>
      </c>
    </row>
    <row r="181" spans="19:23" x14ac:dyDescent="0.3">
      <c r="S181" s="4">
        <f t="shared" si="18"/>
        <v>27</v>
      </c>
      <c r="T181" s="9">
        <f>DATE('Controle e Captura'!$C$9,Auxiliar!U181,Auxiliar!V181)</f>
        <v>44010</v>
      </c>
      <c r="U181" s="4">
        <v>6</v>
      </c>
      <c r="V181" s="4">
        <v>28</v>
      </c>
      <c r="W181" s="4">
        <f t="shared" si="19"/>
        <v>1</v>
      </c>
    </row>
    <row r="182" spans="19:23" x14ac:dyDescent="0.3">
      <c r="S182" s="4">
        <f t="shared" si="18"/>
        <v>27</v>
      </c>
      <c r="T182" s="9">
        <f>DATE('Controle e Captura'!$C$9,Auxiliar!U182,Auxiliar!V182)</f>
        <v>44011</v>
      </c>
      <c r="U182" s="4">
        <v>6</v>
      </c>
      <c r="V182" s="4">
        <v>29</v>
      </c>
      <c r="W182" s="4">
        <f t="shared" si="19"/>
        <v>2</v>
      </c>
    </row>
    <row r="183" spans="19:23" x14ac:dyDescent="0.3">
      <c r="S183" s="4">
        <f t="shared" si="18"/>
        <v>27</v>
      </c>
      <c r="T183" s="9">
        <f>DATE('Controle e Captura'!$C$9,Auxiliar!U183,Auxiliar!V183)</f>
        <v>44012</v>
      </c>
      <c r="U183" s="4">
        <v>6</v>
      </c>
      <c r="V183" s="4">
        <v>30</v>
      </c>
      <c r="W183" s="4">
        <f t="shared" si="19"/>
        <v>3</v>
      </c>
    </row>
    <row r="184" spans="19:23" x14ac:dyDescent="0.3">
      <c r="S184" s="4">
        <f t="shared" si="18"/>
        <v>27</v>
      </c>
      <c r="T184" s="9">
        <f>DATE('Controle e Captura'!$C$9,Auxiliar!U184,Auxiliar!V184)</f>
        <v>44013</v>
      </c>
      <c r="U184" s="4">
        <v>7</v>
      </c>
      <c r="V184" s="4">
        <v>1</v>
      </c>
      <c r="W184" s="4">
        <f t="shared" si="19"/>
        <v>4</v>
      </c>
    </row>
    <row r="185" spans="19:23" x14ac:dyDescent="0.3">
      <c r="S185" s="4">
        <f t="shared" si="18"/>
        <v>27</v>
      </c>
      <c r="T185" s="9">
        <f>DATE('Controle e Captura'!$C$9,Auxiliar!U185,Auxiliar!V185)</f>
        <v>44014</v>
      </c>
      <c r="U185" s="4">
        <v>7</v>
      </c>
      <c r="V185" s="4">
        <v>2</v>
      </c>
      <c r="W185" s="4">
        <f t="shared" si="19"/>
        <v>5</v>
      </c>
    </row>
    <row r="186" spans="19:23" x14ac:dyDescent="0.3">
      <c r="S186" s="4">
        <f t="shared" si="18"/>
        <v>27</v>
      </c>
      <c r="T186" s="9">
        <f>DATE('Controle e Captura'!$C$9,Auxiliar!U186,Auxiliar!V186)</f>
        <v>44015</v>
      </c>
      <c r="U186" s="4">
        <v>7</v>
      </c>
      <c r="V186" s="4">
        <v>3</v>
      </c>
      <c r="W186" s="4">
        <f t="shared" si="19"/>
        <v>6</v>
      </c>
    </row>
    <row r="187" spans="19:23" x14ac:dyDescent="0.3">
      <c r="S187" s="4">
        <f t="shared" si="18"/>
        <v>27</v>
      </c>
      <c r="T187" s="9">
        <f>DATE('Controle e Captura'!$C$9,Auxiliar!U187,Auxiliar!V187)</f>
        <v>44016</v>
      </c>
      <c r="U187" s="4">
        <v>7</v>
      </c>
      <c r="V187" s="4">
        <v>4</v>
      </c>
      <c r="W187" s="4">
        <f t="shared" si="19"/>
        <v>7</v>
      </c>
    </row>
    <row r="188" spans="19:23" x14ac:dyDescent="0.3">
      <c r="S188" s="4">
        <f t="shared" si="18"/>
        <v>28</v>
      </c>
      <c r="T188" s="9">
        <f>DATE('Controle e Captura'!$C$9,Auxiliar!U188,Auxiliar!V188)</f>
        <v>44017</v>
      </c>
      <c r="U188" s="4">
        <v>7</v>
      </c>
      <c r="V188" s="4">
        <v>5</v>
      </c>
      <c r="W188" s="4">
        <f t="shared" si="19"/>
        <v>1</v>
      </c>
    </row>
    <row r="189" spans="19:23" x14ac:dyDescent="0.3">
      <c r="S189" s="4">
        <f t="shared" si="18"/>
        <v>28</v>
      </c>
      <c r="T189" s="9">
        <f>DATE('Controle e Captura'!$C$9,Auxiliar!U189,Auxiliar!V189)</f>
        <v>44018</v>
      </c>
      <c r="U189" s="4">
        <v>7</v>
      </c>
      <c r="V189" s="4">
        <v>6</v>
      </c>
      <c r="W189" s="4">
        <f t="shared" si="19"/>
        <v>2</v>
      </c>
    </row>
    <row r="190" spans="19:23" x14ac:dyDescent="0.3">
      <c r="S190" s="4">
        <f t="shared" si="18"/>
        <v>28</v>
      </c>
      <c r="T190" s="9">
        <f>DATE('Controle e Captura'!$C$9,Auxiliar!U190,Auxiliar!V190)</f>
        <v>44019</v>
      </c>
      <c r="U190" s="4">
        <v>7</v>
      </c>
      <c r="V190" s="4">
        <v>7</v>
      </c>
      <c r="W190" s="4">
        <f t="shared" si="19"/>
        <v>3</v>
      </c>
    </row>
    <row r="191" spans="19:23" x14ac:dyDescent="0.3">
      <c r="S191" s="4">
        <f t="shared" si="18"/>
        <v>28</v>
      </c>
      <c r="T191" s="9">
        <f>DATE('Controle e Captura'!$C$9,Auxiliar!U191,Auxiliar!V191)</f>
        <v>44020</v>
      </c>
      <c r="U191" s="4">
        <v>7</v>
      </c>
      <c r="V191" s="4">
        <v>8</v>
      </c>
      <c r="W191" s="4">
        <f t="shared" si="19"/>
        <v>4</v>
      </c>
    </row>
    <row r="192" spans="19:23" x14ac:dyDescent="0.3">
      <c r="S192" s="4">
        <f t="shared" si="18"/>
        <v>28</v>
      </c>
      <c r="T192" s="9">
        <f>DATE('Controle e Captura'!$C$9,Auxiliar!U192,Auxiliar!V192)</f>
        <v>44021</v>
      </c>
      <c r="U192" s="4">
        <v>7</v>
      </c>
      <c r="V192" s="4">
        <v>9</v>
      </c>
      <c r="W192" s="4">
        <f t="shared" si="19"/>
        <v>5</v>
      </c>
    </row>
    <row r="193" spans="19:23" x14ac:dyDescent="0.3">
      <c r="S193" s="4">
        <f t="shared" si="18"/>
        <v>28</v>
      </c>
      <c r="T193" s="9">
        <f>DATE('Controle e Captura'!$C$9,Auxiliar!U193,Auxiliar!V193)</f>
        <v>44022</v>
      </c>
      <c r="U193" s="4">
        <v>7</v>
      </c>
      <c r="V193" s="4">
        <v>10</v>
      </c>
      <c r="W193" s="4">
        <f t="shared" si="19"/>
        <v>6</v>
      </c>
    </row>
    <row r="194" spans="19:23" x14ac:dyDescent="0.3">
      <c r="S194" s="4">
        <f t="shared" si="18"/>
        <v>28</v>
      </c>
      <c r="T194" s="9">
        <f>DATE('Controle e Captura'!$C$9,Auxiliar!U194,Auxiliar!V194)</f>
        <v>44023</v>
      </c>
      <c r="U194" s="4">
        <v>7</v>
      </c>
      <c r="V194" s="4">
        <v>11</v>
      </c>
      <c r="W194" s="4">
        <f t="shared" si="19"/>
        <v>7</v>
      </c>
    </row>
    <row r="195" spans="19:23" x14ac:dyDescent="0.3">
      <c r="S195" s="4">
        <f t="shared" si="18"/>
        <v>29</v>
      </c>
      <c r="T195" s="9">
        <f>DATE('Controle e Captura'!$C$9,Auxiliar!U195,Auxiliar!V195)</f>
        <v>44024</v>
      </c>
      <c r="U195" s="4">
        <v>7</v>
      </c>
      <c r="V195" s="4">
        <v>12</v>
      </c>
      <c r="W195" s="4">
        <f t="shared" si="19"/>
        <v>1</v>
      </c>
    </row>
    <row r="196" spans="19:23" x14ac:dyDescent="0.3">
      <c r="S196" s="4">
        <f t="shared" ref="S196:S259" si="20">IF(W196=1,S195+1,S195)</f>
        <v>29</v>
      </c>
      <c r="T196" s="9">
        <f>DATE('Controle e Captura'!$C$9,Auxiliar!U196,Auxiliar!V196)</f>
        <v>44025</v>
      </c>
      <c r="U196" s="4">
        <v>7</v>
      </c>
      <c r="V196" s="4">
        <v>13</v>
      </c>
      <c r="W196" s="4">
        <f t="shared" ref="W196:W259" si="21">WEEKDAY(T196)</f>
        <v>2</v>
      </c>
    </row>
    <row r="197" spans="19:23" x14ac:dyDescent="0.3">
      <c r="S197" s="4">
        <f t="shared" si="20"/>
        <v>29</v>
      </c>
      <c r="T197" s="9">
        <f>DATE('Controle e Captura'!$C$9,Auxiliar!U197,Auxiliar!V197)</f>
        <v>44026</v>
      </c>
      <c r="U197" s="4">
        <v>7</v>
      </c>
      <c r="V197" s="4">
        <v>14</v>
      </c>
      <c r="W197" s="4">
        <f t="shared" si="21"/>
        <v>3</v>
      </c>
    </row>
    <row r="198" spans="19:23" x14ac:dyDescent="0.3">
      <c r="S198" s="4">
        <f t="shared" si="20"/>
        <v>29</v>
      </c>
      <c r="T198" s="9">
        <f>DATE('Controle e Captura'!$C$9,Auxiliar!U198,Auxiliar!V198)</f>
        <v>44027</v>
      </c>
      <c r="U198" s="4">
        <v>7</v>
      </c>
      <c r="V198" s="4">
        <v>15</v>
      </c>
      <c r="W198" s="4">
        <f t="shared" si="21"/>
        <v>4</v>
      </c>
    </row>
    <row r="199" spans="19:23" x14ac:dyDescent="0.3">
      <c r="S199" s="4">
        <f t="shared" si="20"/>
        <v>29</v>
      </c>
      <c r="T199" s="9">
        <f>DATE('Controle e Captura'!$C$9,Auxiliar!U199,Auxiliar!V199)</f>
        <v>44028</v>
      </c>
      <c r="U199" s="4">
        <v>7</v>
      </c>
      <c r="V199" s="4">
        <v>16</v>
      </c>
      <c r="W199" s="4">
        <f t="shared" si="21"/>
        <v>5</v>
      </c>
    </row>
    <row r="200" spans="19:23" x14ac:dyDescent="0.3">
      <c r="S200" s="4">
        <f t="shared" si="20"/>
        <v>29</v>
      </c>
      <c r="T200" s="9">
        <f>DATE('Controle e Captura'!$C$9,Auxiliar!U200,Auxiliar!V200)</f>
        <v>44029</v>
      </c>
      <c r="U200" s="4">
        <v>7</v>
      </c>
      <c r="V200" s="4">
        <v>17</v>
      </c>
      <c r="W200" s="4">
        <f t="shared" si="21"/>
        <v>6</v>
      </c>
    </row>
    <row r="201" spans="19:23" x14ac:dyDescent="0.3">
      <c r="S201" s="4">
        <f t="shared" si="20"/>
        <v>29</v>
      </c>
      <c r="T201" s="9">
        <f>DATE('Controle e Captura'!$C$9,Auxiliar!U201,Auxiliar!V201)</f>
        <v>44030</v>
      </c>
      <c r="U201" s="4">
        <v>7</v>
      </c>
      <c r="V201" s="4">
        <v>18</v>
      </c>
      <c r="W201" s="4">
        <f t="shared" si="21"/>
        <v>7</v>
      </c>
    </row>
    <row r="202" spans="19:23" x14ac:dyDescent="0.3">
      <c r="S202" s="4">
        <f t="shared" si="20"/>
        <v>30</v>
      </c>
      <c r="T202" s="9">
        <f>DATE('Controle e Captura'!$C$9,Auxiliar!U202,Auxiliar!V202)</f>
        <v>44031</v>
      </c>
      <c r="U202" s="4">
        <v>7</v>
      </c>
      <c r="V202" s="4">
        <v>19</v>
      </c>
      <c r="W202" s="4">
        <f t="shared" si="21"/>
        <v>1</v>
      </c>
    </row>
    <row r="203" spans="19:23" x14ac:dyDescent="0.3">
      <c r="S203" s="4">
        <f t="shared" si="20"/>
        <v>30</v>
      </c>
      <c r="T203" s="9">
        <f>DATE('Controle e Captura'!$C$9,Auxiliar!U203,Auxiliar!V203)</f>
        <v>44032</v>
      </c>
      <c r="U203" s="4">
        <v>7</v>
      </c>
      <c r="V203" s="4">
        <v>20</v>
      </c>
      <c r="W203" s="4">
        <f t="shared" si="21"/>
        <v>2</v>
      </c>
    </row>
    <row r="204" spans="19:23" x14ac:dyDescent="0.3">
      <c r="S204" s="4">
        <f t="shared" si="20"/>
        <v>30</v>
      </c>
      <c r="T204" s="9">
        <f>DATE('Controle e Captura'!$C$9,Auxiliar!U204,Auxiliar!V204)</f>
        <v>44033</v>
      </c>
      <c r="U204" s="4">
        <v>7</v>
      </c>
      <c r="V204" s="4">
        <v>21</v>
      </c>
      <c r="W204" s="4">
        <f t="shared" si="21"/>
        <v>3</v>
      </c>
    </row>
    <row r="205" spans="19:23" x14ac:dyDescent="0.3">
      <c r="S205" s="4">
        <f t="shared" si="20"/>
        <v>30</v>
      </c>
      <c r="T205" s="9">
        <f>DATE('Controle e Captura'!$C$9,Auxiliar!U205,Auxiliar!V205)</f>
        <v>44034</v>
      </c>
      <c r="U205" s="4">
        <v>7</v>
      </c>
      <c r="V205" s="4">
        <v>22</v>
      </c>
      <c r="W205" s="4">
        <f t="shared" si="21"/>
        <v>4</v>
      </c>
    </row>
    <row r="206" spans="19:23" x14ac:dyDescent="0.3">
      <c r="S206" s="4">
        <f t="shared" si="20"/>
        <v>30</v>
      </c>
      <c r="T206" s="9">
        <f>DATE('Controle e Captura'!$C$9,Auxiliar!U206,Auxiliar!V206)</f>
        <v>44035</v>
      </c>
      <c r="U206" s="4">
        <v>7</v>
      </c>
      <c r="V206" s="4">
        <v>23</v>
      </c>
      <c r="W206" s="4">
        <f t="shared" si="21"/>
        <v>5</v>
      </c>
    </row>
    <row r="207" spans="19:23" x14ac:dyDescent="0.3">
      <c r="S207" s="4">
        <f t="shared" si="20"/>
        <v>30</v>
      </c>
      <c r="T207" s="9">
        <f>DATE('Controle e Captura'!$C$9,Auxiliar!U207,Auxiliar!V207)</f>
        <v>44036</v>
      </c>
      <c r="U207" s="4">
        <v>7</v>
      </c>
      <c r="V207" s="4">
        <v>24</v>
      </c>
      <c r="W207" s="4">
        <f t="shared" si="21"/>
        <v>6</v>
      </c>
    </row>
    <row r="208" spans="19:23" x14ac:dyDescent="0.3">
      <c r="S208" s="4">
        <f t="shared" si="20"/>
        <v>30</v>
      </c>
      <c r="T208" s="9">
        <f>DATE('Controle e Captura'!$C$9,Auxiliar!U208,Auxiliar!V208)</f>
        <v>44037</v>
      </c>
      <c r="U208" s="4">
        <v>7</v>
      </c>
      <c r="V208" s="4">
        <v>25</v>
      </c>
      <c r="W208" s="4">
        <f t="shared" si="21"/>
        <v>7</v>
      </c>
    </row>
    <row r="209" spans="19:23" x14ac:dyDescent="0.3">
      <c r="S209" s="4">
        <f t="shared" si="20"/>
        <v>31</v>
      </c>
      <c r="T209" s="9">
        <f>DATE('Controle e Captura'!$C$9,Auxiliar!U209,Auxiliar!V209)</f>
        <v>44038</v>
      </c>
      <c r="U209" s="4">
        <v>7</v>
      </c>
      <c r="V209" s="4">
        <v>26</v>
      </c>
      <c r="W209" s="4">
        <f t="shared" si="21"/>
        <v>1</v>
      </c>
    </row>
    <row r="210" spans="19:23" x14ac:dyDescent="0.3">
      <c r="S210" s="4">
        <f t="shared" si="20"/>
        <v>31</v>
      </c>
      <c r="T210" s="9">
        <f>DATE('Controle e Captura'!$C$9,Auxiliar!U210,Auxiliar!V210)</f>
        <v>44039</v>
      </c>
      <c r="U210" s="4">
        <v>7</v>
      </c>
      <c r="V210" s="4">
        <v>27</v>
      </c>
      <c r="W210" s="4">
        <f t="shared" si="21"/>
        <v>2</v>
      </c>
    </row>
    <row r="211" spans="19:23" x14ac:dyDescent="0.3">
      <c r="S211" s="4">
        <f t="shared" si="20"/>
        <v>31</v>
      </c>
      <c r="T211" s="9">
        <f>DATE('Controle e Captura'!$C$9,Auxiliar!U211,Auxiliar!V211)</f>
        <v>44040</v>
      </c>
      <c r="U211" s="4">
        <v>7</v>
      </c>
      <c r="V211" s="4">
        <v>28</v>
      </c>
      <c r="W211" s="4">
        <f t="shared" si="21"/>
        <v>3</v>
      </c>
    </row>
    <row r="212" spans="19:23" x14ac:dyDescent="0.3">
      <c r="S212" s="4">
        <f t="shared" si="20"/>
        <v>31</v>
      </c>
      <c r="T212" s="9">
        <f>DATE('Controle e Captura'!$C$9,Auxiliar!U212,Auxiliar!V212)</f>
        <v>44041</v>
      </c>
      <c r="U212" s="4">
        <v>7</v>
      </c>
      <c r="V212" s="4">
        <v>29</v>
      </c>
      <c r="W212" s="4">
        <f t="shared" si="21"/>
        <v>4</v>
      </c>
    </row>
    <row r="213" spans="19:23" x14ac:dyDescent="0.3">
      <c r="S213" s="4">
        <f t="shared" si="20"/>
        <v>31</v>
      </c>
      <c r="T213" s="9">
        <f>DATE('Controle e Captura'!$C$9,Auxiliar!U213,Auxiliar!V213)</f>
        <v>44042</v>
      </c>
      <c r="U213" s="4">
        <v>7</v>
      </c>
      <c r="V213" s="4">
        <v>30</v>
      </c>
      <c r="W213" s="4">
        <f t="shared" si="21"/>
        <v>5</v>
      </c>
    </row>
    <row r="214" spans="19:23" x14ac:dyDescent="0.3">
      <c r="S214" s="4">
        <f t="shared" si="20"/>
        <v>31</v>
      </c>
      <c r="T214" s="9">
        <f>DATE('Controle e Captura'!$C$9,Auxiliar!U214,Auxiliar!V214)</f>
        <v>44043</v>
      </c>
      <c r="U214" s="4">
        <v>7</v>
      </c>
      <c r="V214" s="4">
        <v>31</v>
      </c>
      <c r="W214" s="4">
        <f t="shared" si="21"/>
        <v>6</v>
      </c>
    </row>
    <row r="215" spans="19:23" x14ac:dyDescent="0.3">
      <c r="S215" s="4">
        <f t="shared" si="20"/>
        <v>31</v>
      </c>
      <c r="T215" s="9">
        <f>DATE('Controle e Captura'!$C$9,Auxiliar!U215,Auxiliar!V215)</f>
        <v>44044</v>
      </c>
      <c r="U215" s="4">
        <v>8</v>
      </c>
      <c r="V215" s="4">
        <v>1</v>
      </c>
      <c r="W215" s="4">
        <f t="shared" si="21"/>
        <v>7</v>
      </c>
    </row>
    <row r="216" spans="19:23" x14ac:dyDescent="0.3">
      <c r="S216" s="4">
        <f t="shared" si="20"/>
        <v>32</v>
      </c>
      <c r="T216" s="9">
        <f>DATE('Controle e Captura'!$C$9,Auxiliar!U216,Auxiliar!V216)</f>
        <v>44045</v>
      </c>
      <c r="U216" s="4">
        <v>8</v>
      </c>
      <c r="V216" s="4">
        <v>2</v>
      </c>
      <c r="W216" s="4">
        <f t="shared" si="21"/>
        <v>1</v>
      </c>
    </row>
    <row r="217" spans="19:23" x14ac:dyDescent="0.3">
      <c r="S217" s="4">
        <f t="shared" si="20"/>
        <v>32</v>
      </c>
      <c r="T217" s="9">
        <f>DATE('Controle e Captura'!$C$9,Auxiliar!U217,Auxiliar!V217)</f>
        <v>44046</v>
      </c>
      <c r="U217" s="4">
        <v>8</v>
      </c>
      <c r="V217" s="4">
        <v>3</v>
      </c>
      <c r="W217" s="4">
        <f t="shared" si="21"/>
        <v>2</v>
      </c>
    </row>
    <row r="218" spans="19:23" x14ac:dyDescent="0.3">
      <c r="S218" s="4">
        <f t="shared" si="20"/>
        <v>32</v>
      </c>
      <c r="T218" s="9">
        <f>DATE('Controle e Captura'!$C$9,Auxiliar!U218,Auxiliar!V218)</f>
        <v>44047</v>
      </c>
      <c r="U218" s="4">
        <v>8</v>
      </c>
      <c r="V218" s="4">
        <v>4</v>
      </c>
      <c r="W218" s="4">
        <f t="shared" si="21"/>
        <v>3</v>
      </c>
    </row>
    <row r="219" spans="19:23" x14ac:dyDescent="0.3">
      <c r="S219" s="4">
        <f t="shared" si="20"/>
        <v>32</v>
      </c>
      <c r="T219" s="9">
        <f>DATE('Controle e Captura'!$C$9,Auxiliar!U219,Auxiliar!V219)</f>
        <v>44048</v>
      </c>
      <c r="U219" s="4">
        <v>8</v>
      </c>
      <c r="V219" s="4">
        <v>5</v>
      </c>
      <c r="W219" s="4">
        <f t="shared" si="21"/>
        <v>4</v>
      </c>
    </row>
    <row r="220" spans="19:23" x14ac:dyDescent="0.3">
      <c r="S220" s="4">
        <f t="shared" si="20"/>
        <v>32</v>
      </c>
      <c r="T220" s="9">
        <f>DATE('Controle e Captura'!$C$9,Auxiliar!U220,Auxiliar!V220)</f>
        <v>44049</v>
      </c>
      <c r="U220" s="4">
        <v>8</v>
      </c>
      <c r="V220" s="4">
        <v>6</v>
      </c>
      <c r="W220" s="4">
        <f t="shared" si="21"/>
        <v>5</v>
      </c>
    </row>
    <row r="221" spans="19:23" x14ac:dyDescent="0.3">
      <c r="S221" s="4">
        <f t="shared" si="20"/>
        <v>32</v>
      </c>
      <c r="T221" s="9">
        <f>DATE('Controle e Captura'!$C$9,Auxiliar!U221,Auxiliar!V221)</f>
        <v>44050</v>
      </c>
      <c r="U221" s="4">
        <v>8</v>
      </c>
      <c r="V221" s="4">
        <v>7</v>
      </c>
      <c r="W221" s="4">
        <f t="shared" si="21"/>
        <v>6</v>
      </c>
    </row>
    <row r="222" spans="19:23" x14ac:dyDescent="0.3">
      <c r="S222" s="4">
        <f t="shared" si="20"/>
        <v>32</v>
      </c>
      <c r="T222" s="9">
        <f>DATE('Controle e Captura'!$C$9,Auxiliar!U222,Auxiliar!V222)</f>
        <v>44051</v>
      </c>
      <c r="U222" s="4">
        <v>8</v>
      </c>
      <c r="V222" s="4">
        <v>8</v>
      </c>
      <c r="W222" s="4">
        <f t="shared" si="21"/>
        <v>7</v>
      </c>
    </row>
    <row r="223" spans="19:23" x14ac:dyDescent="0.3">
      <c r="S223" s="4">
        <f t="shared" si="20"/>
        <v>33</v>
      </c>
      <c r="T223" s="9">
        <f>DATE('Controle e Captura'!$C$9,Auxiliar!U223,Auxiliar!V223)</f>
        <v>44052</v>
      </c>
      <c r="U223" s="4">
        <v>8</v>
      </c>
      <c r="V223" s="4">
        <v>9</v>
      </c>
      <c r="W223" s="4">
        <f t="shared" si="21"/>
        <v>1</v>
      </c>
    </row>
    <row r="224" spans="19:23" x14ac:dyDescent="0.3">
      <c r="S224" s="4">
        <f t="shared" si="20"/>
        <v>33</v>
      </c>
      <c r="T224" s="9">
        <f>DATE('Controle e Captura'!$C$9,Auxiliar!U224,Auxiliar!V224)</f>
        <v>44053</v>
      </c>
      <c r="U224" s="4">
        <v>8</v>
      </c>
      <c r="V224" s="4">
        <v>10</v>
      </c>
      <c r="W224" s="4">
        <f t="shared" si="21"/>
        <v>2</v>
      </c>
    </row>
    <row r="225" spans="19:23" x14ac:dyDescent="0.3">
      <c r="S225" s="4">
        <f t="shared" si="20"/>
        <v>33</v>
      </c>
      <c r="T225" s="9">
        <f>DATE('Controle e Captura'!$C$9,Auxiliar!U225,Auxiliar!V225)</f>
        <v>44054</v>
      </c>
      <c r="U225" s="4">
        <v>8</v>
      </c>
      <c r="V225" s="4">
        <v>11</v>
      </c>
      <c r="W225" s="4">
        <f t="shared" si="21"/>
        <v>3</v>
      </c>
    </row>
    <row r="226" spans="19:23" x14ac:dyDescent="0.3">
      <c r="S226" s="4">
        <f t="shared" si="20"/>
        <v>33</v>
      </c>
      <c r="T226" s="9">
        <f>DATE('Controle e Captura'!$C$9,Auxiliar!U226,Auxiliar!V226)</f>
        <v>44055</v>
      </c>
      <c r="U226" s="4">
        <v>8</v>
      </c>
      <c r="V226" s="4">
        <v>12</v>
      </c>
      <c r="W226" s="4">
        <f t="shared" si="21"/>
        <v>4</v>
      </c>
    </row>
    <row r="227" spans="19:23" x14ac:dyDescent="0.3">
      <c r="S227" s="4">
        <f t="shared" si="20"/>
        <v>33</v>
      </c>
      <c r="T227" s="9">
        <f>DATE('Controle e Captura'!$C$9,Auxiliar!U227,Auxiliar!V227)</f>
        <v>44056</v>
      </c>
      <c r="U227" s="4">
        <v>8</v>
      </c>
      <c r="V227" s="4">
        <v>13</v>
      </c>
      <c r="W227" s="4">
        <f t="shared" si="21"/>
        <v>5</v>
      </c>
    </row>
    <row r="228" spans="19:23" x14ac:dyDescent="0.3">
      <c r="S228" s="4">
        <f t="shared" si="20"/>
        <v>33</v>
      </c>
      <c r="T228" s="9">
        <f>DATE('Controle e Captura'!$C$9,Auxiliar!U228,Auxiliar!V228)</f>
        <v>44057</v>
      </c>
      <c r="U228" s="4">
        <v>8</v>
      </c>
      <c r="V228" s="4">
        <v>14</v>
      </c>
      <c r="W228" s="4">
        <f t="shared" si="21"/>
        <v>6</v>
      </c>
    </row>
    <row r="229" spans="19:23" x14ac:dyDescent="0.3">
      <c r="S229" s="4">
        <f t="shared" si="20"/>
        <v>33</v>
      </c>
      <c r="T229" s="9">
        <f>DATE('Controle e Captura'!$C$9,Auxiliar!U229,Auxiliar!V229)</f>
        <v>44058</v>
      </c>
      <c r="U229" s="4">
        <v>8</v>
      </c>
      <c r="V229" s="4">
        <v>15</v>
      </c>
      <c r="W229" s="4">
        <f t="shared" si="21"/>
        <v>7</v>
      </c>
    </row>
    <row r="230" spans="19:23" x14ac:dyDescent="0.3">
      <c r="S230" s="4">
        <f t="shared" si="20"/>
        <v>34</v>
      </c>
      <c r="T230" s="9">
        <f>DATE('Controle e Captura'!$C$9,Auxiliar!U230,Auxiliar!V230)</f>
        <v>44059</v>
      </c>
      <c r="U230" s="4">
        <v>8</v>
      </c>
      <c r="V230" s="4">
        <v>16</v>
      </c>
      <c r="W230" s="4">
        <f t="shared" si="21"/>
        <v>1</v>
      </c>
    </row>
    <row r="231" spans="19:23" x14ac:dyDescent="0.3">
      <c r="S231" s="4">
        <f t="shared" si="20"/>
        <v>34</v>
      </c>
      <c r="T231" s="9">
        <f>DATE('Controle e Captura'!$C$9,Auxiliar!U231,Auxiliar!V231)</f>
        <v>44060</v>
      </c>
      <c r="U231" s="4">
        <v>8</v>
      </c>
      <c r="V231" s="4">
        <v>17</v>
      </c>
      <c r="W231" s="4">
        <f t="shared" si="21"/>
        <v>2</v>
      </c>
    </row>
    <row r="232" spans="19:23" x14ac:dyDescent="0.3">
      <c r="S232" s="4">
        <f t="shared" si="20"/>
        <v>34</v>
      </c>
      <c r="T232" s="9">
        <f>DATE('Controle e Captura'!$C$9,Auxiliar!U232,Auxiliar!V232)</f>
        <v>44061</v>
      </c>
      <c r="U232" s="4">
        <v>8</v>
      </c>
      <c r="V232" s="4">
        <v>18</v>
      </c>
      <c r="W232" s="4">
        <f t="shared" si="21"/>
        <v>3</v>
      </c>
    </row>
    <row r="233" spans="19:23" x14ac:dyDescent="0.3">
      <c r="S233" s="4">
        <f t="shared" si="20"/>
        <v>34</v>
      </c>
      <c r="T233" s="9">
        <f>DATE('Controle e Captura'!$C$9,Auxiliar!U233,Auxiliar!V233)</f>
        <v>44062</v>
      </c>
      <c r="U233" s="4">
        <v>8</v>
      </c>
      <c r="V233" s="4">
        <v>19</v>
      </c>
      <c r="W233" s="4">
        <f t="shared" si="21"/>
        <v>4</v>
      </c>
    </row>
    <row r="234" spans="19:23" x14ac:dyDescent="0.3">
      <c r="S234" s="4">
        <f t="shared" si="20"/>
        <v>34</v>
      </c>
      <c r="T234" s="9">
        <f>DATE('Controle e Captura'!$C$9,Auxiliar!U234,Auxiliar!V234)</f>
        <v>44063</v>
      </c>
      <c r="U234" s="4">
        <v>8</v>
      </c>
      <c r="V234" s="4">
        <v>20</v>
      </c>
      <c r="W234" s="4">
        <f t="shared" si="21"/>
        <v>5</v>
      </c>
    </row>
    <row r="235" spans="19:23" x14ac:dyDescent="0.3">
      <c r="S235" s="4">
        <f t="shared" si="20"/>
        <v>34</v>
      </c>
      <c r="T235" s="9">
        <f>DATE('Controle e Captura'!$C$9,Auxiliar!U235,Auxiliar!V235)</f>
        <v>44064</v>
      </c>
      <c r="U235" s="4">
        <v>8</v>
      </c>
      <c r="V235" s="4">
        <v>21</v>
      </c>
      <c r="W235" s="4">
        <f t="shared" si="21"/>
        <v>6</v>
      </c>
    </row>
    <row r="236" spans="19:23" x14ac:dyDescent="0.3">
      <c r="S236" s="4">
        <f t="shared" si="20"/>
        <v>34</v>
      </c>
      <c r="T236" s="9">
        <f>DATE('Controle e Captura'!$C$9,Auxiliar!U236,Auxiliar!V236)</f>
        <v>44065</v>
      </c>
      <c r="U236" s="4">
        <v>8</v>
      </c>
      <c r="V236" s="4">
        <v>22</v>
      </c>
      <c r="W236" s="4">
        <f t="shared" si="21"/>
        <v>7</v>
      </c>
    </row>
    <row r="237" spans="19:23" x14ac:dyDescent="0.3">
      <c r="S237" s="4">
        <f t="shared" si="20"/>
        <v>35</v>
      </c>
      <c r="T237" s="9">
        <f>DATE('Controle e Captura'!$C$9,Auxiliar!U237,Auxiliar!V237)</f>
        <v>44066</v>
      </c>
      <c r="U237" s="4">
        <v>8</v>
      </c>
      <c r="V237" s="4">
        <v>23</v>
      </c>
      <c r="W237" s="4">
        <f t="shared" si="21"/>
        <v>1</v>
      </c>
    </row>
    <row r="238" spans="19:23" x14ac:dyDescent="0.3">
      <c r="S238" s="4">
        <f t="shared" si="20"/>
        <v>35</v>
      </c>
      <c r="T238" s="9">
        <f>DATE('Controle e Captura'!$C$9,Auxiliar!U238,Auxiliar!V238)</f>
        <v>44067</v>
      </c>
      <c r="U238" s="4">
        <v>8</v>
      </c>
      <c r="V238" s="4">
        <v>24</v>
      </c>
      <c r="W238" s="4">
        <f t="shared" si="21"/>
        <v>2</v>
      </c>
    </row>
    <row r="239" spans="19:23" x14ac:dyDescent="0.3">
      <c r="S239" s="4">
        <f t="shared" si="20"/>
        <v>35</v>
      </c>
      <c r="T239" s="9">
        <f>DATE('Controle e Captura'!$C$9,Auxiliar!U239,Auxiliar!V239)</f>
        <v>44068</v>
      </c>
      <c r="U239" s="4">
        <v>8</v>
      </c>
      <c r="V239" s="4">
        <v>25</v>
      </c>
      <c r="W239" s="4">
        <f t="shared" si="21"/>
        <v>3</v>
      </c>
    </row>
    <row r="240" spans="19:23" x14ac:dyDescent="0.3">
      <c r="S240" s="4">
        <f t="shared" si="20"/>
        <v>35</v>
      </c>
      <c r="T240" s="9">
        <f>DATE('Controle e Captura'!$C$9,Auxiliar!U240,Auxiliar!V240)</f>
        <v>44069</v>
      </c>
      <c r="U240" s="4">
        <v>8</v>
      </c>
      <c r="V240" s="4">
        <v>26</v>
      </c>
      <c r="W240" s="4">
        <f t="shared" si="21"/>
        <v>4</v>
      </c>
    </row>
    <row r="241" spans="19:23" x14ac:dyDescent="0.3">
      <c r="S241" s="4">
        <f t="shared" si="20"/>
        <v>35</v>
      </c>
      <c r="T241" s="9">
        <f>DATE('Controle e Captura'!$C$9,Auxiliar!U241,Auxiliar!V241)</f>
        <v>44070</v>
      </c>
      <c r="U241" s="4">
        <v>8</v>
      </c>
      <c r="V241" s="4">
        <v>27</v>
      </c>
      <c r="W241" s="4">
        <f t="shared" si="21"/>
        <v>5</v>
      </c>
    </row>
    <row r="242" spans="19:23" x14ac:dyDescent="0.3">
      <c r="S242" s="4">
        <f t="shared" si="20"/>
        <v>35</v>
      </c>
      <c r="T242" s="9">
        <f>DATE('Controle e Captura'!$C$9,Auxiliar!U242,Auxiliar!V242)</f>
        <v>44071</v>
      </c>
      <c r="U242" s="4">
        <v>8</v>
      </c>
      <c r="V242" s="4">
        <v>28</v>
      </c>
      <c r="W242" s="4">
        <f t="shared" si="21"/>
        <v>6</v>
      </c>
    </row>
    <row r="243" spans="19:23" x14ac:dyDescent="0.3">
      <c r="S243" s="4">
        <f t="shared" si="20"/>
        <v>35</v>
      </c>
      <c r="T243" s="9">
        <f>DATE('Controle e Captura'!$C$9,Auxiliar!U243,Auxiliar!V243)</f>
        <v>44072</v>
      </c>
      <c r="U243" s="4">
        <v>8</v>
      </c>
      <c r="V243" s="4">
        <v>29</v>
      </c>
      <c r="W243" s="4">
        <f t="shared" si="21"/>
        <v>7</v>
      </c>
    </row>
    <row r="244" spans="19:23" x14ac:dyDescent="0.3">
      <c r="S244" s="4">
        <f t="shared" si="20"/>
        <v>36</v>
      </c>
      <c r="T244" s="9">
        <f>DATE('Controle e Captura'!$C$9,Auxiliar!U244,Auxiliar!V244)</f>
        <v>44073</v>
      </c>
      <c r="U244" s="4">
        <v>8</v>
      </c>
      <c r="V244" s="4">
        <v>30</v>
      </c>
      <c r="W244" s="4">
        <f t="shared" si="21"/>
        <v>1</v>
      </c>
    </row>
    <row r="245" spans="19:23" x14ac:dyDescent="0.3">
      <c r="S245" s="4">
        <f t="shared" si="20"/>
        <v>36</v>
      </c>
      <c r="T245" s="9">
        <f>DATE('Controle e Captura'!$C$9,Auxiliar!U245,Auxiliar!V245)</f>
        <v>44074</v>
      </c>
      <c r="U245" s="4">
        <v>8</v>
      </c>
      <c r="V245" s="4">
        <v>31</v>
      </c>
      <c r="W245" s="4">
        <f t="shared" si="21"/>
        <v>2</v>
      </c>
    </row>
    <row r="246" spans="19:23" x14ac:dyDescent="0.3">
      <c r="S246" s="4">
        <f t="shared" si="20"/>
        <v>36</v>
      </c>
      <c r="T246" s="9">
        <f>DATE('Controle e Captura'!$C$9,Auxiliar!U246,Auxiliar!V246)</f>
        <v>44075</v>
      </c>
      <c r="U246" s="4">
        <v>9</v>
      </c>
      <c r="V246" s="4">
        <v>1</v>
      </c>
      <c r="W246" s="4">
        <f t="shared" si="21"/>
        <v>3</v>
      </c>
    </row>
    <row r="247" spans="19:23" x14ac:dyDescent="0.3">
      <c r="S247" s="4">
        <f t="shared" si="20"/>
        <v>36</v>
      </c>
      <c r="T247" s="9">
        <f>DATE('Controle e Captura'!$C$9,Auxiliar!U247,Auxiliar!V247)</f>
        <v>44076</v>
      </c>
      <c r="U247" s="4">
        <v>9</v>
      </c>
      <c r="V247" s="4">
        <v>2</v>
      </c>
      <c r="W247" s="4">
        <f t="shared" si="21"/>
        <v>4</v>
      </c>
    </row>
    <row r="248" spans="19:23" x14ac:dyDescent="0.3">
      <c r="S248" s="4">
        <f t="shared" si="20"/>
        <v>36</v>
      </c>
      <c r="T248" s="9">
        <f>DATE('Controle e Captura'!$C$9,Auxiliar!U248,Auxiliar!V248)</f>
        <v>44077</v>
      </c>
      <c r="U248" s="4">
        <v>9</v>
      </c>
      <c r="V248" s="4">
        <v>3</v>
      </c>
      <c r="W248" s="4">
        <f t="shared" si="21"/>
        <v>5</v>
      </c>
    </row>
    <row r="249" spans="19:23" x14ac:dyDescent="0.3">
      <c r="S249" s="4">
        <f t="shared" si="20"/>
        <v>36</v>
      </c>
      <c r="T249" s="9">
        <f>DATE('Controle e Captura'!$C$9,Auxiliar!U249,Auxiliar!V249)</f>
        <v>44078</v>
      </c>
      <c r="U249" s="4">
        <v>9</v>
      </c>
      <c r="V249" s="4">
        <v>4</v>
      </c>
      <c r="W249" s="4">
        <f t="shared" si="21"/>
        <v>6</v>
      </c>
    </row>
    <row r="250" spans="19:23" x14ac:dyDescent="0.3">
      <c r="S250" s="4">
        <f t="shared" si="20"/>
        <v>36</v>
      </c>
      <c r="T250" s="9">
        <f>DATE('Controle e Captura'!$C$9,Auxiliar!U250,Auxiliar!V250)</f>
        <v>44079</v>
      </c>
      <c r="U250" s="4">
        <v>9</v>
      </c>
      <c r="V250" s="4">
        <v>5</v>
      </c>
      <c r="W250" s="4">
        <f t="shared" si="21"/>
        <v>7</v>
      </c>
    </row>
    <row r="251" spans="19:23" x14ac:dyDescent="0.3">
      <c r="S251" s="4">
        <f t="shared" si="20"/>
        <v>37</v>
      </c>
      <c r="T251" s="9">
        <f>DATE('Controle e Captura'!$C$9,Auxiliar!U251,Auxiliar!V251)</f>
        <v>44080</v>
      </c>
      <c r="U251" s="4">
        <v>9</v>
      </c>
      <c r="V251" s="4">
        <v>6</v>
      </c>
      <c r="W251" s="4">
        <f t="shared" si="21"/>
        <v>1</v>
      </c>
    </row>
    <row r="252" spans="19:23" x14ac:dyDescent="0.3">
      <c r="S252" s="4">
        <f t="shared" si="20"/>
        <v>37</v>
      </c>
      <c r="T252" s="9">
        <f>DATE('Controle e Captura'!$C$9,Auxiliar!U252,Auxiliar!V252)</f>
        <v>44081</v>
      </c>
      <c r="U252" s="4">
        <v>9</v>
      </c>
      <c r="V252" s="4">
        <v>7</v>
      </c>
      <c r="W252" s="4">
        <f t="shared" si="21"/>
        <v>2</v>
      </c>
    </row>
    <row r="253" spans="19:23" x14ac:dyDescent="0.3">
      <c r="S253" s="4">
        <f t="shared" si="20"/>
        <v>37</v>
      </c>
      <c r="T253" s="9">
        <f>DATE('Controle e Captura'!$C$9,Auxiliar!U253,Auxiliar!V253)</f>
        <v>44082</v>
      </c>
      <c r="U253" s="4">
        <v>9</v>
      </c>
      <c r="V253" s="4">
        <v>8</v>
      </c>
      <c r="W253" s="4">
        <f t="shared" si="21"/>
        <v>3</v>
      </c>
    </row>
    <row r="254" spans="19:23" x14ac:dyDescent="0.3">
      <c r="S254" s="4">
        <f t="shared" si="20"/>
        <v>37</v>
      </c>
      <c r="T254" s="9">
        <f>DATE('Controle e Captura'!$C$9,Auxiliar!U254,Auxiliar!V254)</f>
        <v>44083</v>
      </c>
      <c r="U254" s="4">
        <v>9</v>
      </c>
      <c r="V254" s="4">
        <v>9</v>
      </c>
      <c r="W254" s="4">
        <f t="shared" si="21"/>
        <v>4</v>
      </c>
    </row>
    <row r="255" spans="19:23" x14ac:dyDescent="0.3">
      <c r="S255" s="4">
        <f t="shared" si="20"/>
        <v>37</v>
      </c>
      <c r="T255" s="9">
        <f>DATE('Controle e Captura'!$C$9,Auxiliar!U255,Auxiliar!V255)</f>
        <v>44084</v>
      </c>
      <c r="U255" s="4">
        <v>9</v>
      </c>
      <c r="V255" s="4">
        <v>10</v>
      </c>
      <c r="W255" s="4">
        <f t="shared" si="21"/>
        <v>5</v>
      </c>
    </row>
    <row r="256" spans="19:23" x14ac:dyDescent="0.3">
      <c r="S256" s="4">
        <f t="shared" si="20"/>
        <v>37</v>
      </c>
      <c r="T256" s="9">
        <f>DATE('Controle e Captura'!$C$9,Auxiliar!U256,Auxiliar!V256)</f>
        <v>44085</v>
      </c>
      <c r="U256" s="4">
        <v>9</v>
      </c>
      <c r="V256" s="4">
        <v>11</v>
      </c>
      <c r="W256" s="4">
        <f t="shared" si="21"/>
        <v>6</v>
      </c>
    </row>
    <row r="257" spans="19:23" x14ac:dyDescent="0.3">
      <c r="S257" s="4">
        <f t="shared" si="20"/>
        <v>37</v>
      </c>
      <c r="T257" s="9">
        <f>DATE('Controle e Captura'!$C$9,Auxiliar!U257,Auxiliar!V257)</f>
        <v>44086</v>
      </c>
      <c r="U257" s="4">
        <v>9</v>
      </c>
      <c r="V257" s="4">
        <v>12</v>
      </c>
      <c r="W257" s="4">
        <f t="shared" si="21"/>
        <v>7</v>
      </c>
    </row>
    <row r="258" spans="19:23" x14ac:dyDescent="0.3">
      <c r="S258" s="4">
        <f t="shared" si="20"/>
        <v>38</v>
      </c>
      <c r="T258" s="9">
        <f>DATE('Controle e Captura'!$C$9,Auxiliar!U258,Auxiliar!V258)</f>
        <v>44087</v>
      </c>
      <c r="U258" s="4">
        <v>9</v>
      </c>
      <c r="V258" s="4">
        <v>13</v>
      </c>
      <c r="W258" s="4">
        <f t="shared" si="21"/>
        <v>1</v>
      </c>
    </row>
    <row r="259" spans="19:23" x14ac:dyDescent="0.3">
      <c r="S259" s="4">
        <f t="shared" si="20"/>
        <v>38</v>
      </c>
      <c r="T259" s="9">
        <f>DATE('Controle e Captura'!$C$9,Auxiliar!U259,Auxiliar!V259)</f>
        <v>44088</v>
      </c>
      <c r="U259" s="4">
        <v>9</v>
      </c>
      <c r="V259" s="4">
        <v>14</v>
      </c>
      <c r="W259" s="4">
        <f t="shared" si="21"/>
        <v>2</v>
      </c>
    </row>
    <row r="260" spans="19:23" x14ac:dyDescent="0.3">
      <c r="S260" s="4">
        <f t="shared" ref="S260:S323" si="22">IF(W260=1,S259+1,S259)</f>
        <v>38</v>
      </c>
      <c r="T260" s="9">
        <f>DATE('Controle e Captura'!$C$9,Auxiliar!U260,Auxiliar!V260)</f>
        <v>44089</v>
      </c>
      <c r="U260" s="4">
        <v>9</v>
      </c>
      <c r="V260" s="4">
        <v>15</v>
      </c>
      <c r="W260" s="4">
        <f t="shared" ref="W260:W323" si="23">WEEKDAY(T260)</f>
        <v>3</v>
      </c>
    </row>
    <row r="261" spans="19:23" x14ac:dyDescent="0.3">
      <c r="S261" s="4">
        <f t="shared" si="22"/>
        <v>38</v>
      </c>
      <c r="T261" s="9">
        <f>DATE('Controle e Captura'!$C$9,Auxiliar!U261,Auxiliar!V261)</f>
        <v>44090</v>
      </c>
      <c r="U261" s="4">
        <v>9</v>
      </c>
      <c r="V261" s="4">
        <v>16</v>
      </c>
      <c r="W261" s="4">
        <f t="shared" si="23"/>
        <v>4</v>
      </c>
    </row>
    <row r="262" spans="19:23" x14ac:dyDescent="0.3">
      <c r="S262" s="4">
        <f t="shared" si="22"/>
        <v>38</v>
      </c>
      <c r="T262" s="9">
        <f>DATE('Controle e Captura'!$C$9,Auxiliar!U262,Auxiliar!V262)</f>
        <v>44091</v>
      </c>
      <c r="U262" s="4">
        <v>9</v>
      </c>
      <c r="V262" s="4">
        <v>17</v>
      </c>
      <c r="W262" s="4">
        <f t="shared" si="23"/>
        <v>5</v>
      </c>
    </row>
    <row r="263" spans="19:23" x14ac:dyDescent="0.3">
      <c r="S263" s="4">
        <f t="shared" si="22"/>
        <v>38</v>
      </c>
      <c r="T263" s="9">
        <f>DATE('Controle e Captura'!$C$9,Auxiliar!U263,Auxiliar!V263)</f>
        <v>44092</v>
      </c>
      <c r="U263" s="4">
        <v>9</v>
      </c>
      <c r="V263" s="4">
        <v>18</v>
      </c>
      <c r="W263" s="4">
        <f t="shared" si="23"/>
        <v>6</v>
      </c>
    </row>
    <row r="264" spans="19:23" x14ac:dyDescent="0.3">
      <c r="S264" s="4">
        <f t="shared" si="22"/>
        <v>38</v>
      </c>
      <c r="T264" s="9">
        <f>DATE('Controle e Captura'!$C$9,Auxiliar!U264,Auxiliar!V264)</f>
        <v>44093</v>
      </c>
      <c r="U264" s="4">
        <v>9</v>
      </c>
      <c r="V264" s="4">
        <v>19</v>
      </c>
      <c r="W264" s="4">
        <f t="shared" si="23"/>
        <v>7</v>
      </c>
    </row>
    <row r="265" spans="19:23" x14ac:dyDescent="0.3">
      <c r="S265" s="4">
        <f t="shared" si="22"/>
        <v>39</v>
      </c>
      <c r="T265" s="9">
        <f>DATE('Controle e Captura'!$C$9,Auxiliar!U265,Auxiliar!V265)</f>
        <v>44094</v>
      </c>
      <c r="U265" s="4">
        <v>9</v>
      </c>
      <c r="V265" s="4">
        <v>20</v>
      </c>
      <c r="W265" s="4">
        <f t="shared" si="23"/>
        <v>1</v>
      </c>
    </row>
    <row r="266" spans="19:23" x14ac:dyDescent="0.3">
      <c r="S266" s="4">
        <f t="shared" si="22"/>
        <v>39</v>
      </c>
      <c r="T266" s="9">
        <f>DATE('Controle e Captura'!$C$9,Auxiliar!U266,Auxiliar!V266)</f>
        <v>44095</v>
      </c>
      <c r="U266" s="4">
        <v>9</v>
      </c>
      <c r="V266" s="4">
        <v>21</v>
      </c>
      <c r="W266" s="4">
        <f t="shared" si="23"/>
        <v>2</v>
      </c>
    </row>
    <row r="267" spans="19:23" x14ac:dyDescent="0.3">
      <c r="S267" s="4">
        <f t="shared" si="22"/>
        <v>39</v>
      </c>
      <c r="T267" s="9">
        <f>DATE('Controle e Captura'!$C$9,Auxiliar!U267,Auxiliar!V267)</f>
        <v>44096</v>
      </c>
      <c r="U267" s="4">
        <v>9</v>
      </c>
      <c r="V267" s="4">
        <v>22</v>
      </c>
      <c r="W267" s="4">
        <f t="shared" si="23"/>
        <v>3</v>
      </c>
    </row>
    <row r="268" spans="19:23" x14ac:dyDescent="0.3">
      <c r="S268" s="4">
        <f t="shared" si="22"/>
        <v>39</v>
      </c>
      <c r="T268" s="9">
        <f>DATE('Controle e Captura'!$C$9,Auxiliar!U268,Auxiliar!V268)</f>
        <v>44097</v>
      </c>
      <c r="U268" s="4">
        <v>9</v>
      </c>
      <c r="V268" s="4">
        <v>23</v>
      </c>
      <c r="W268" s="4">
        <f t="shared" si="23"/>
        <v>4</v>
      </c>
    </row>
    <row r="269" spans="19:23" x14ac:dyDescent="0.3">
      <c r="S269" s="4">
        <f t="shared" si="22"/>
        <v>39</v>
      </c>
      <c r="T269" s="9">
        <f>DATE('Controle e Captura'!$C$9,Auxiliar!U269,Auxiliar!V269)</f>
        <v>44098</v>
      </c>
      <c r="U269" s="4">
        <v>9</v>
      </c>
      <c r="V269" s="4">
        <v>24</v>
      </c>
      <c r="W269" s="4">
        <f t="shared" si="23"/>
        <v>5</v>
      </c>
    </row>
    <row r="270" spans="19:23" x14ac:dyDescent="0.3">
      <c r="S270" s="4">
        <f t="shared" si="22"/>
        <v>39</v>
      </c>
      <c r="T270" s="9">
        <f>DATE('Controle e Captura'!$C$9,Auxiliar!U270,Auxiliar!V270)</f>
        <v>44099</v>
      </c>
      <c r="U270" s="4">
        <v>9</v>
      </c>
      <c r="V270" s="4">
        <v>25</v>
      </c>
      <c r="W270" s="4">
        <f t="shared" si="23"/>
        <v>6</v>
      </c>
    </row>
    <row r="271" spans="19:23" x14ac:dyDescent="0.3">
      <c r="S271" s="4">
        <f t="shared" si="22"/>
        <v>39</v>
      </c>
      <c r="T271" s="9">
        <f>DATE('Controle e Captura'!$C$9,Auxiliar!U271,Auxiliar!V271)</f>
        <v>44100</v>
      </c>
      <c r="U271" s="4">
        <v>9</v>
      </c>
      <c r="V271" s="4">
        <v>26</v>
      </c>
      <c r="W271" s="4">
        <f t="shared" si="23"/>
        <v>7</v>
      </c>
    </row>
    <row r="272" spans="19:23" x14ac:dyDescent="0.3">
      <c r="S272" s="4">
        <f t="shared" si="22"/>
        <v>40</v>
      </c>
      <c r="T272" s="9">
        <f>DATE('Controle e Captura'!$C$9,Auxiliar!U272,Auxiliar!V272)</f>
        <v>44101</v>
      </c>
      <c r="U272" s="4">
        <v>9</v>
      </c>
      <c r="V272" s="4">
        <v>27</v>
      </c>
      <c r="W272" s="4">
        <f t="shared" si="23"/>
        <v>1</v>
      </c>
    </row>
    <row r="273" spans="19:23" x14ac:dyDescent="0.3">
      <c r="S273" s="4">
        <f t="shared" si="22"/>
        <v>40</v>
      </c>
      <c r="T273" s="9">
        <f>DATE('Controle e Captura'!$C$9,Auxiliar!U273,Auxiliar!V273)</f>
        <v>44102</v>
      </c>
      <c r="U273" s="4">
        <v>9</v>
      </c>
      <c r="V273" s="4">
        <v>28</v>
      </c>
      <c r="W273" s="4">
        <f t="shared" si="23"/>
        <v>2</v>
      </c>
    </row>
    <row r="274" spans="19:23" x14ac:dyDescent="0.3">
      <c r="S274" s="4">
        <f t="shared" si="22"/>
        <v>40</v>
      </c>
      <c r="T274" s="9">
        <f>DATE('Controle e Captura'!$C$9,Auxiliar!U274,Auxiliar!V274)</f>
        <v>44103</v>
      </c>
      <c r="U274" s="4">
        <v>9</v>
      </c>
      <c r="V274" s="4">
        <v>29</v>
      </c>
      <c r="W274" s="4">
        <f t="shared" si="23"/>
        <v>3</v>
      </c>
    </row>
    <row r="275" spans="19:23" x14ac:dyDescent="0.3">
      <c r="S275" s="4">
        <f t="shared" si="22"/>
        <v>40</v>
      </c>
      <c r="T275" s="9">
        <f>DATE('Controle e Captura'!$C$9,Auxiliar!U275,Auxiliar!V275)</f>
        <v>44104</v>
      </c>
      <c r="U275" s="4">
        <v>9</v>
      </c>
      <c r="V275" s="4">
        <v>30</v>
      </c>
      <c r="W275" s="4">
        <f t="shared" si="23"/>
        <v>4</v>
      </c>
    </row>
    <row r="276" spans="19:23" x14ac:dyDescent="0.3">
      <c r="S276" s="4">
        <f t="shared" si="22"/>
        <v>40</v>
      </c>
      <c r="T276" s="9">
        <f>DATE('Controle e Captura'!$C$9,Auxiliar!U276,Auxiliar!V276)</f>
        <v>44105</v>
      </c>
      <c r="U276" s="4">
        <v>10</v>
      </c>
      <c r="V276" s="4">
        <v>1</v>
      </c>
      <c r="W276" s="4">
        <f t="shared" si="23"/>
        <v>5</v>
      </c>
    </row>
    <row r="277" spans="19:23" x14ac:dyDescent="0.3">
      <c r="S277" s="4">
        <f t="shared" si="22"/>
        <v>40</v>
      </c>
      <c r="T277" s="9">
        <f>DATE('Controle e Captura'!$C$9,Auxiliar!U277,Auxiliar!V277)</f>
        <v>44106</v>
      </c>
      <c r="U277" s="4">
        <v>10</v>
      </c>
      <c r="V277" s="4">
        <v>2</v>
      </c>
      <c r="W277" s="4">
        <f t="shared" si="23"/>
        <v>6</v>
      </c>
    </row>
    <row r="278" spans="19:23" x14ac:dyDescent="0.3">
      <c r="S278" s="4">
        <f t="shared" si="22"/>
        <v>40</v>
      </c>
      <c r="T278" s="9">
        <f>DATE('Controle e Captura'!$C$9,Auxiliar!U278,Auxiliar!V278)</f>
        <v>44107</v>
      </c>
      <c r="U278" s="4">
        <v>10</v>
      </c>
      <c r="V278" s="4">
        <v>3</v>
      </c>
      <c r="W278" s="4">
        <f t="shared" si="23"/>
        <v>7</v>
      </c>
    </row>
    <row r="279" spans="19:23" x14ac:dyDescent="0.3">
      <c r="S279" s="4">
        <f t="shared" si="22"/>
        <v>41</v>
      </c>
      <c r="T279" s="9">
        <f>DATE('Controle e Captura'!$C$9,Auxiliar!U279,Auxiliar!V279)</f>
        <v>44108</v>
      </c>
      <c r="U279" s="4">
        <v>10</v>
      </c>
      <c r="V279" s="4">
        <v>4</v>
      </c>
      <c r="W279" s="4">
        <f t="shared" si="23"/>
        <v>1</v>
      </c>
    </row>
    <row r="280" spans="19:23" x14ac:dyDescent="0.3">
      <c r="S280" s="4">
        <f t="shared" si="22"/>
        <v>41</v>
      </c>
      <c r="T280" s="9">
        <f>DATE('Controle e Captura'!$C$9,Auxiliar!U280,Auxiliar!V280)</f>
        <v>44109</v>
      </c>
      <c r="U280" s="4">
        <v>10</v>
      </c>
      <c r="V280" s="4">
        <v>5</v>
      </c>
      <c r="W280" s="4">
        <f t="shared" si="23"/>
        <v>2</v>
      </c>
    </row>
    <row r="281" spans="19:23" x14ac:dyDescent="0.3">
      <c r="S281" s="4">
        <f t="shared" si="22"/>
        <v>41</v>
      </c>
      <c r="T281" s="9">
        <f>DATE('Controle e Captura'!$C$9,Auxiliar!U281,Auxiliar!V281)</f>
        <v>44110</v>
      </c>
      <c r="U281" s="4">
        <v>10</v>
      </c>
      <c r="V281" s="4">
        <v>6</v>
      </c>
      <c r="W281" s="4">
        <f t="shared" si="23"/>
        <v>3</v>
      </c>
    </row>
    <row r="282" spans="19:23" x14ac:dyDescent="0.3">
      <c r="S282" s="4">
        <f t="shared" si="22"/>
        <v>41</v>
      </c>
      <c r="T282" s="9">
        <f>DATE('Controle e Captura'!$C$9,Auxiliar!U282,Auxiliar!V282)</f>
        <v>44111</v>
      </c>
      <c r="U282" s="4">
        <v>10</v>
      </c>
      <c r="V282" s="4">
        <v>7</v>
      </c>
      <c r="W282" s="4">
        <f t="shared" si="23"/>
        <v>4</v>
      </c>
    </row>
    <row r="283" spans="19:23" x14ac:dyDescent="0.3">
      <c r="S283" s="4">
        <f t="shared" si="22"/>
        <v>41</v>
      </c>
      <c r="T283" s="9">
        <f>DATE('Controle e Captura'!$C$9,Auxiliar!U283,Auxiliar!V283)</f>
        <v>44112</v>
      </c>
      <c r="U283" s="4">
        <v>10</v>
      </c>
      <c r="V283" s="4">
        <v>8</v>
      </c>
      <c r="W283" s="4">
        <f t="shared" si="23"/>
        <v>5</v>
      </c>
    </row>
    <row r="284" spans="19:23" x14ac:dyDescent="0.3">
      <c r="S284" s="4">
        <f t="shared" si="22"/>
        <v>41</v>
      </c>
      <c r="T284" s="9">
        <f>DATE('Controle e Captura'!$C$9,Auxiliar!U284,Auxiliar!V284)</f>
        <v>44113</v>
      </c>
      <c r="U284" s="4">
        <v>10</v>
      </c>
      <c r="V284" s="4">
        <v>9</v>
      </c>
      <c r="W284" s="4">
        <f t="shared" si="23"/>
        <v>6</v>
      </c>
    </row>
    <row r="285" spans="19:23" x14ac:dyDescent="0.3">
      <c r="S285" s="4">
        <f t="shared" si="22"/>
        <v>41</v>
      </c>
      <c r="T285" s="9">
        <f>DATE('Controle e Captura'!$C$9,Auxiliar!U285,Auxiliar!V285)</f>
        <v>44114</v>
      </c>
      <c r="U285" s="4">
        <v>10</v>
      </c>
      <c r="V285" s="4">
        <v>10</v>
      </c>
      <c r="W285" s="4">
        <f t="shared" si="23"/>
        <v>7</v>
      </c>
    </row>
    <row r="286" spans="19:23" x14ac:dyDescent="0.3">
      <c r="S286" s="4">
        <f t="shared" si="22"/>
        <v>42</v>
      </c>
      <c r="T286" s="9">
        <f>DATE('Controle e Captura'!$C$9,Auxiliar!U286,Auxiliar!V286)</f>
        <v>44115</v>
      </c>
      <c r="U286" s="4">
        <v>10</v>
      </c>
      <c r="V286" s="4">
        <v>11</v>
      </c>
      <c r="W286" s="4">
        <f t="shared" si="23"/>
        <v>1</v>
      </c>
    </row>
    <row r="287" spans="19:23" x14ac:dyDescent="0.3">
      <c r="S287" s="4">
        <f t="shared" si="22"/>
        <v>42</v>
      </c>
      <c r="T287" s="9">
        <f>DATE('Controle e Captura'!$C$9,Auxiliar!U287,Auxiliar!V287)</f>
        <v>44116</v>
      </c>
      <c r="U287" s="4">
        <v>10</v>
      </c>
      <c r="V287" s="4">
        <v>12</v>
      </c>
      <c r="W287" s="4">
        <f t="shared" si="23"/>
        <v>2</v>
      </c>
    </row>
    <row r="288" spans="19:23" x14ac:dyDescent="0.3">
      <c r="S288" s="4">
        <f t="shared" si="22"/>
        <v>42</v>
      </c>
      <c r="T288" s="9">
        <f>DATE('Controle e Captura'!$C$9,Auxiliar!U288,Auxiliar!V288)</f>
        <v>44117</v>
      </c>
      <c r="U288" s="4">
        <v>10</v>
      </c>
      <c r="V288" s="4">
        <v>13</v>
      </c>
      <c r="W288" s="4">
        <f t="shared" si="23"/>
        <v>3</v>
      </c>
    </row>
    <row r="289" spans="19:23" x14ac:dyDescent="0.3">
      <c r="S289" s="4">
        <f t="shared" si="22"/>
        <v>42</v>
      </c>
      <c r="T289" s="9">
        <f>DATE('Controle e Captura'!$C$9,Auxiliar!U289,Auxiliar!V289)</f>
        <v>44118</v>
      </c>
      <c r="U289" s="4">
        <v>10</v>
      </c>
      <c r="V289" s="4">
        <v>14</v>
      </c>
      <c r="W289" s="4">
        <f t="shared" si="23"/>
        <v>4</v>
      </c>
    </row>
    <row r="290" spans="19:23" x14ac:dyDescent="0.3">
      <c r="S290" s="4">
        <f t="shared" si="22"/>
        <v>42</v>
      </c>
      <c r="T290" s="9">
        <f>DATE('Controle e Captura'!$C$9,Auxiliar!U290,Auxiliar!V290)</f>
        <v>44119</v>
      </c>
      <c r="U290" s="4">
        <v>10</v>
      </c>
      <c r="V290" s="4">
        <v>15</v>
      </c>
      <c r="W290" s="4">
        <f t="shared" si="23"/>
        <v>5</v>
      </c>
    </row>
    <row r="291" spans="19:23" x14ac:dyDescent="0.3">
      <c r="S291" s="4">
        <f t="shared" si="22"/>
        <v>42</v>
      </c>
      <c r="T291" s="9">
        <f>DATE('Controle e Captura'!$C$9,Auxiliar!U291,Auxiliar!V291)</f>
        <v>44120</v>
      </c>
      <c r="U291" s="4">
        <v>10</v>
      </c>
      <c r="V291" s="4">
        <v>16</v>
      </c>
      <c r="W291" s="4">
        <f t="shared" si="23"/>
        <v>6</v>
      </c>
    </row>
    <row r="292" spans="19:23" x14ac:dyDescent="0.3">
      <c r="S292" s="4">
        <f t="shared" si="22"/>
        <v>42</v>
      </c>
      <c r="T292" s="9">
        <f>DATE('Controle e Captura'!$C$9,Auxiliar!U292,Auxiliar!V292)</f>
        <v>44121</v>
      </c>
      <c r="U292" s="4">
        <v>10</v>
      </c>
      <c r="V292" s="4">
        <v>17</v>
      </c>
      <c r="W292" s="4">
        <f t="shared" si="23"/>
        <v>7</v>
      </c>
    </row>
    <row r="293" spans="19:23" x14ac:dyDescent="0.3">
      <c r="S293" s="4">
        <f t="shared" si="22"/>
        <v>43</v>
      </c>
      <c r="T293" s="9">
        <f>DATE('Controle e Captura'!$C$9,Auxiliar!U293,Auxiliar!V293)</f>
        <v>44122</v>
      </c>
      <c r="U293" s="4">
        <v>10</v>
      </c>
      <c r="V293" s="4">
        <v>18</v>
      </c>
      <c r="W293" s="4">
        <f t="shared" si="23"/>
        <v>1</v>
      </c>
    </row>
    <row r="294" spans="19:23" x14ac:dyDescent="0.3">
      <c r="S294" s="4">
        <f t="shared" si="22"/>
        <v>43</v>
      </c>
      <c r="T294" s="9">
        <f>DATE('Controle e Captura'!$C$9,Auxiliar!U294,Auxiliar!V294)</f>
        <v>44123</v>
      </c>
      <c r="U294" s="4">
        <v>10</v>
      </c>
      <c r="V294" s="4">
        <v>19</v>
      </c>
      <c r="W294" s="4">
        <f t="shared" si="23"/>
        <v>2</v>
      </c>
    </row>
    <row r="295" spans="19:23" x14ac:dyDescent="0.3">
      <c r="S295" s="4">
        <f t="shared" si="22"/>
        <v>43</v>
      </c>
      <c r="T295" s="9">
        <f>DATE('Controle e Captura'!$C$9,Auxiliar!U295,Auxiliar!V295)</f>
        <v>44124</v>
      </c>
      <c r="U295" s="4">
        <v>10</v>
      </c>
      <c r="V295" s="4">
        <v>20</v>
      </c>
      <c r="W295" s="4">
        <f t="shared" si="23"/>
        <v>3</v>
      </c>
    </row>
    <row r="296" spans="19:23" x14ac:dyDescent="0.3">
      <c r="S296" s="4">
        <f t="shared" si="22"/>
        <v>43</v>
      </c>
      <c r="T296" s="9">
        <f>DATE('Controle e Captura'!$C$9,Auxiliar!U296,Auxiliar!V296)</f>
        <v>44125</v>
      </c>
      <c r="U296" s="4">
        <v>10</v>
      </c>
      <c r="V296" s="4">
        <v>21</v>
      </c>
      <c r="W296" s="4">
        <f t="shared" si="23"/>
        <v>4</v>
      </c>
    </row>
    <row r="297" spans="19:23" x14ac:dyDescent="0.3">
      <c r="S297" s="4">
        <f t="shared" si="22"/>
        <v>43</v>
      </c>
      <c r="T297" s="9">
        <f>DATE('Controle e Captura'!$C$9,Auxiliar!U297,Auxiliar!V297)</f>
        <v>44126</v>
      </c>
      <c r="U297" s="4">
        <v>10</v>
      </c>
      <c r="V297" s="4">
        <v>22</v>
      </c>
      <c r="W297" s="4">
        <f t="shared" si="23"/>
        <v>5</v>
      </c>
    </row>
    <row r="298" spans="19:23" x14ac:dyDescent="0.3">
      <c r="S298" s="4">
        <f t="shared" si="22"/>
        <v>43</v>
      </c>
      <c r="T298" s="9">
        <f>DATE('Controle e Captura'!$C$9,Auxiliar!U298,Auxiliar!V298)</f>
        <v>44127</v>
      </c>
      <c r="U298" s="4">
        <v>10</v>
      </c>
      <c r="V298" s="4">
        <v>23</v>
      </c>
      <c r="W298" s="4">
        <f t="shared" si="23"/>
        <v>6</v>
      </c>
    </row>
    <row r="299" spans="19:23" x14ac:dyDescent="0.3">
      <c r="S299" s="4">
        <f t="shared" si="22"/>
        <v>43</v>
      </c>
      <c r="T299" s="9">
        <f>DATE('Controle e Captura'!$C$9,Auxiliar!U299,Auxiliar!V299)</f>
        <v>44128</v>
      </c>
      <c r="U299" s="4">
        <v>10</v>
      </c>
      <c r="V299" s="4">
        <v>24</v>
      </c>
      <c r="W299" s="4">
        <f t="shared" si="23"/>
        <v>7</v>
      </c>
    </row>
    <row r="300" spans="19:23" x14ac:dyDescent="0.3">
      <c r="S300" s="4">
        <f t="shared" si="22"/>
        <v>44</v>
      </c>
      <c r="T300" s="9">
        <f>DATE('Controle e Captura'!$C$9,Auxiliar!U300,Auxiliar!V300)</f>
        <v>44129</v>
      </c>
      <c r="U300" s="4">
        <v>10</v>
      </c>
      <c r="V300" s="4">
        <v>25</v>
      </c>
      <c r="W300" s="4">
        <f t="shared" si="23"/>
        <v>1</v>
      </c>
    </row>
    <row r="301" spans="19:23" x14ac:dyDescent="0.3">
      <c r="S301" s="4">
        <f t="shared" si="22"/>
        <v>44</v>
      </c>
      <c r="T301" s="9">
        <f>DATE('Controle e Captura'!$C$9,Auxiliar!U301,Auxiliar!V301)</f>
        <v>44130</v>
      </c>
      <c r="U301" s="4">
        <v>10</v>
      </c>
      <c r="V301" s="4">
        <v>26</v>
      </c>
      <c r="W301" s="4">
        <f t="shared" si="23"/>
        <v>2</v>
      </c>
    </row>
    <row r="302" spans="19:23" x14ac:dyDescent="0.3">
      <c r="S302" s="4">
        <f t="shared" si="22"/>
        <v>44</v>
      </c>
      <c r="T302" s="9">
        <f>DATE('Controle e Captura'!$C$9,Auxiliar!U302,Auxiliar!V302)</f>
        <v>44131</v>
      </c>
      <c r="U302" s="4">
        <v>10</v>
      </c>
      <c r="V302" s="4">
        <v>27</v>
      </c>
      <c r="W302" s="4">
        <f t="shared" si="23"/>
        <v>3</v>
      </c>
    </row>
    <row r="303" spans="19:23" x14ac:dyDescent="0.3">
      <c r="S303" s="4">
        <f t="shared" si="22"/>
        <v>44</v>
      </c>
      <c r="T303" s="9">
        <f>DATE('Controle e Captura'!$C$9,Auxiliar!U303,Auxiliar!V303)</f>
        <v>44132</v>
      </c>
      <c r="U303" s="4">
        <v>10</v>
      </c>
      <c r="V303" s="4">
        <v>28</v>
      </c>
      <c r="W303" s="4">
        <f t="shared" si="23"/>
        <v>4</v>
      </c>
    </row>
    <row r="304" spans="19:23" x14ac:dyDescent="0.3">
      <c r="S304" s="4">
        <f t="shared" si="22"/>
        <v>44</v>
      </c>
      <c r="T304" s="9">
        <f>DATE('Controle e Captura'!$C$9,Auxiliar!U304,Auxiliar!V304)</f>
        <v>44133</v>
      </c>
      <c r="U304" s="4">
        <v>10</v>
      </c>
      <c r="V304" s="4">
        <v>29</v>
      </c>
      <c r="W304" s="4">
        <f t="shared" si="23"/>
        <v>5</v>
      </c>
    </row>
    <row r="305" spans="19:23" x14ac:dyDescent="0.3">
      <c r="S305" s="4">
        <f t="shared" si="22"/>
        <v>44</v>
      </c>
      <c r="T305" s="9">
        <f>DATE('Controle e Captura'!$C$9,Auxiliar!U305,Auxiliar!V305)</f>
        <v>44134</v>
      </c>
      <c r="U305" s="4">
        <v>10</v>
      </c>
      <c r="V305" s="4">
        <v>30</v>
      </c>
      <c r="W305" s="4">
        <f t="shared" si="23"/>
        <v>6</v>
      </c>
    </row>
    <row r="306" spans="19:23" x14ac:dyDescent="0.3">
      <c r="S306" s="4">
        <f t="shared" si="22"/>
        <v>44</v>
      </c>
      <c r="T306" s="9">
        <f>DATE('Controle e Captura'!$C$9,Auxiliar!U306,Auxiliar!V306)</f>
        <v>44135</v>
      </c>
      <c r="U306" s="4">
        <v>10</v>
      </c>
      <c r="V306" s="4">
        <v>31</v>
      </c>
      <c r="W306" s="4">
        <f t="shared" si="23"/>
        <v>7</v>
      </c>
    </row>
    <row r="307" spans="19:23" x14ac:dyDescent="0.3">
      <c r="S307" s="4">
        <f t="shared" si="22"/>
        <v>45</v>
      </c>
      <c r="T307" s="9">
        <f>DATE('Controle e Captura'!$C$9,Auxiliar!U307,Auxiliar!V307)</f>
        <v>44136</v>
      </c>
      <c r="U307" s="4">
        <v>11</v>
      </c>
      <c r="V307" s="4">
        <v>1</v>
      </c>
      <c r="W307" s="4">
        <f t="shared" si="23"/>
        <v>1</v>
      </c>
    </row>
    <row r="308" spans="19:23" x14ac:dyDescent="0.3">
      <c r="S308" s="4">
        <f t="shared" si="22"/>
        <v>45</v>
      </c>
      <c r="T308" s="9">
        <f>DATE('Controle e Captura'!$C$9,Auxiliar!U308,Auxiliar!V308)</f>
        <v>44137</v>
      </c>
      <c r="U308" s="4">
        <v>11</v>
      </c>
      <c r="V308" s="4">
        <v>2</v>
      </c>
      <c r="W308" s="4">
        <f t="shared" si="23"/>
        <v>2</v>
      </c>
    </row>
    <row r="309" spans="19:23" x14ac:dyDescent="0.3">
      <c r="S309" s="4">
        <f t="shared" si="22"/>
        <v>45</v>
      </c>
      <c r="T309" s="9">
        <f>DATE('Controle e Captura'!$C$9,Auxiliar!U309,Auxiliar!V309)</f>
        <v>44138</v>
      </c>
      <c r="U309" s="4">
        <v>11</v>
      </c>
      <c r="V309" s="4">
        <v>3</v>
      </c>
      <c r="W309" s="4">
        <f t="shared" si="23"/>
        <v>3</v>
      </c>
    </row>
    <row r="310" spans="19:23" x14ac:dyDescent="0.3">
      <c r="S310" s="4">
        <f t="shared" si="22"/>
        <v>45</v>
      </c>
      <c r="T310" s="9">
        <f>DATE('Controle e Captura'!$C$9,Auxiliar!U310,Auxiliar!V310)</f>
        <v>44139</v>
      </c>
      <c r="U310" s="4">
        <v>11</v>
      </c>
      <c r="V310" s="4">
        <v>4</v>
      </c>
      <c r="W310" s="4">
        <f t="shared" si="23"/>
        <v>4</v>
      </c>
    </row>
    <row r="311" spans="19:23" x14ac:dyDescent="0.3">
      <c r="S311" s="4">
        <f t="shared" si="22"/>
        <v>45</v>
      </c>
      <c r="T311" s="9">
        <f>DATE('Controle e Captura'!$C$9,Auxiliar!U311,Auxiliar!V311)</f>
        <v>44140</v>
      </c>
      <c r="U311" s="4">
        <v>11</v>
      </c>
      <c r="V311" s="4">
        <v>5</v>
      </c>
      <c r="W311" s="4">
        <f t="shared" si="23"/>
        <v>5</v>
      </c>
    </row>
    <row r="312" spans="19:23" x14ac:dyDescent="0.3">
      <c r="S312" s="4">
        <f t="shared" si="22"/>
        <v>45</v>
      </c>
      <c r="T312" s="9">
        <f>DATE('Controle e Captura'!$C$9,Auxiliar!U312,Auxiliar!V312)</f>
        <v>44141</v>
      </c>
      <c r="U312" s="4">
        <v>11</v>
      </c>
      <c r="V312" s="4">
        <v>6</v>
      </c>
      <c r="W312" s="4">
        <f t="shared" si="23"/>
        <v>6</v>
      </c>
    </row>
    <row r="313" spans="19:23" x14ac:dyDescent="0.3">
      <c r="S313" s="4">
        <f t="shared" si="22"/>
        <v>45</v>
      </c>
      <c r="T313" s="9">
        <f>DATE('Controle e Captura'!$C$9,Auxiliar!U313,Auxiliar!V313)</f>
        <v>44142</v>
      </c>
      <c r="U313" s="4">
        <v>11</v>
      </c>
      <c r="V313" s="4">
        <v>7</v>
      </c>
      <c r="W313" s="4">
        <f t="shared" si="23"/>
        <v>7</v>
      </c>
    </row>
    <row r="314" spans="19:23" x14ac:dyDescent="0.3">
      <c r="S314" s="4">
        <f t="shared" si="22"/>
        <v>46</v>
      </c>
      <c r="T314" s="9">
        <f>DATE('Controle e Captura'!$C$9,Auxiliar!U314,Auxiliar!V314)</f>
        <v>44143</v>
      </c>
      <c r="U314" s="4">
        <v>11</v>
      </c>
      <c r="V314" s="4">
        <v>8</v>
      </c>
      <c r="W314" s="4">
        <f t="shared" si="23"/>
        <v>1</v>
      </c>
    </row>
    <row r="315" spans="19:23" x14ac:dyDescent="0.3">
      <c r="S315" s="4">
        <f t="shared" si="22"/>
        <v>46</v>
      </c>
      <c r="T315" s="9">
        <f>DATE('Controle e Captura'!$C$9,Auxiliar!U315,Auxiliar!V315)</f>
        <v>44144</v>
      </c>
      <c r="U315" s="4">
        <v>11</v>
      </c>
      <c r="V315" s="4">
        <v>9</v>
      </c>
      <c r="W315" s="4">
        <f t="shared" si="23"/>
        <v>2</v>
      </c>
    </row>
    <row r="316" spans="19:23" x14ac:dyDescent="0.3">
      <c r="S316" s="4">
        <f t="shared" si="22"/>
        <v>46</v>
      </c>
      <c r="T316" s="9">
        <f>DATE('Controle e Captura'!$C$9,Auxiliar!U316,Auxiliar!V316)</f>
        <v>44145</v>
      </c>
      <c r="U316" s="4">
        <v>11</v>
      </c>
      <c r="V316" s="4">
        <v>10</v>
      </c>
      <c r="W316" s="4">
        <f t="shared" si="23"/>
        <v>3</v>
      </c>
    </row>
    <row r="317" spans="19:23" x14ac:dyDescent="0.3">
      <c r="S317" s="4">
        <f t="shared" si="22"/>
        <v>46</v>
      </c>
      <c r="T317" s="9">
        <f>DATE('Controle e Captura'!$C$9,Auxiliar!U317,Auxiliar!V317)</f>
        <v>44146</v>
      </c>
      <c r="U317" s="4">
        <v>11</v>
      </c>
      <c r="V317" s="4">
        <v>11</v>
      </c>
      <c r="W317" s="4">
        <f t="shared" si="23"/>
        <v>4</v>
      </c>
    </row>
    <row r="318" spans="19:23" x14ac:dyDescent="0.3">
      <c r="S318" s="4">
        <f t="shared" si="22"/>
        <v>46</v>
      </c>
      <c r="T318" s="9">
        <f>DATE('Controle e Captura'!$C$9,Auxiliar!U318,Auxiliar!V318)</f>
        <v>44147</v>
      </c>
      <c r="U318" s="4">
        <v>11</v>
      </c>
      <c r="V318" s="4">
        <v>12</v>
      </c>
      <c r="W318" s="4">
        <f t="shared" si="23"/>
        <v>5</v>
      </c>
    </row>
    <row r="319" spans="19:23" x14ac:dyDescent="0.3">
      <c r="S319" s="4">
        <f t="shared" si="22"/>
        <v>46</v>
      </c>
      <c r="T319" s="9">
        <f>DATE('Controle e Captura'!$C$9,Auxiliar!U319,Auxiliar!V319)</f>
        <v>44148</v>
      </c>
      <c r="U319" s="4">
        <v>11</v>
      </c>
      <c r="V319" s="4">
        <v>13</v>
      </c>
      <c r="W319" s="4">
        <f t="shared" si="23"/>
        <v>6</v>
      </c>
    </row>
    <row r="320" spans="19:23" x14ac:dyDescent="0.3">
      <c r="S320" s="4">
        <f t="shared" si="22"/>
        <v>46</v>
      </c>
      <c r="T320" s="9">
        <f>DATE('Controle e Captura'!$C$9,Auxiliar!U320,Auxiliar!V320)</f>
        <v>44149</v>
      </c>
      <c r="U320" s="4">
        <v>11</v>
      </c>
      <c r="V320" s="4">
        <v>14</v>
      </c>
      <c r="W320" s="4">
        <f t="shared" si="23"/>
        <v>7</v>
      </c>
    </row>
    <row r="321" spans="19:23" x14ac:dyDescent="0.3">
      <c r="S321" s="4">
        <f t="shared" si="22"/>
        <v>47</v>
      </c>
      <c r="T321" s="9">
        <f>DATE('Controle e Captura'!$C$9,Auxiliar!U321,Auxiliar!V321)</f>
        <v>44150</v>
      </c>
      <c r="U321" s="4">
        <v>11</v>
      </c>
      <c r="V321" s="4">
        <v>15</v>
      </c>
      <c r="W321" s="4">
        <f t="shared" si="23"/>
        <v>1</v>
      </c>
    </row>
    <row r="322" spans="19:23" x14ac:dyDescent="0.3">
      <c r="S322" s="4">
        <f t="shared" si="22"/>
        <v>47</v>
      </c>
      <c r="T322" s="9">
        <f>DATE('Controle e Captura'!$C$9,Auxiliar!U322,Auxiliar!V322)</f>
        <v>44151</v>
      </c>
      <c r="U322" s="4">
        <v>11</v>
      </c>
      <c r="V322" s="4">
        <v>16</v>
      </c>
      <c r="W322" s="4">
        <f t="shared" si="23"/>
        <v>2</v>
      </c>
    </row>
    <row r="323" spans="19:23" x14ac:dyDescent="0.3">
      <c r="S323" s="4">
        <f t="shared" si="22"/>
        <v>47</v>
      </c>
      <c r="T323" s="9">
        <f>DATE('Controle e Captura'!$C$9,Auxiliar!U323,Auxiliar!V323)</f>
        <v>44152</v>
      </c>
      <c r="U323" s="4">
        <v>11</v>
      </c>
      <c r="V323" s="4">
        <v>17</v>
      </c>
      <c r="W323" s="4">
        <f t="shared" si="23"/>
        <v>3</v>
      </c>
    </row>
    <row r="324" spans="19:23" x14ac:dyDescent="0.3">
      <c r="S324" s="4">
        <f t="shared" ref="S324:S367" si="24">IF(W324=1,S323+1,S323)</f>
        <v>47</v>
      </c>
      <c r="T324" s="9">
        <f>DATE('Controle e Captura'!$C$9,Auxiliar!U324,Auxiliar!V324)</f>
        <v>44153</v>
      </c>
      <c r="U324" s="4">
        <v>11</v>
      </c>
      <c r="V324" s="4">
        <v>18</v>
      </c>
      <c r="W324" s="4">
        <f t="shared" ref="W324:W367" si="25">WEEKDAY(T324)</f>
        <v>4</v>
      </c>
    </row>
    <row r="325" spans="19:23" x14ac:dyDescent="0.3">
      <c r="S325" s="4">
        <f t="shared" si="24"/>
        <v>47</v>
      </c>
      <c r="T325" s="9">
        <f>DATE('Controle e Captura'!$C$9,Auxiliar!U325,Auxiliar!V325)</f>
        <v>44154</v>
      </c>
      <c r="U325" s="4">
        <v>11</v>
      </c>
      <c r="V325" s="4">
        <v>19</v>
      </c>
      <c r="W325" s="4">
        <f t="shared" si="25"/>
        <v>5</v>
      </c>
    </row>
    <row r="326" spans="19:23" x14ac:dyDescent="0.3">
      <c r="S326" s="4">
        <f t="shared" si="24"/>
        <v>47</v>
      </c>
      <c r="T326" s="9">
        <f>DATE('Controle e Captura'!$C$9,Auxiliar!U326,Auxiliar!V326)</f>
        <v>44155</v>
      </c>
      <c r="U326" s="4">
        <v>11</v>
      </c>
      <c r="V326" s="4">
        <v>20</v>
      </c>
      <c r="W326" s="4">
        <f t="shared" si="25"/>
        <v>6</v>
      </c>
    </row>
    <row r="327" spans="19:23" x14ac:dyDescent="0.3">
      <c r="S327" s="4">
        <f t="shared" si="24"/>
        <v>47</v>
      </c>
      <c r="T327" s="9">
        <f>DATE('Controle e Captura'!$C$9,Auxiliar!U327,Auxiliar!V327)</f>
        <v>44156</v>
      </c>
      <c r="U327" s="4">
        <v>11</v>
      </c>
      <c r="V327" s="4">
        <v>21</v>
      </c>
      <c r="W327" s="4">
        <f t="shared" si="25"/>
        <v>7</v>
      </c>
    </row>
    <row r="328" spans="19:23" x14ac:dyDescent="0.3">
      <c r="S328" s="4">
        <f t="shared" si="24"/>
        <v>48</v>
      </c>
      <c r="T328" s="9">
        <f>DATE('Controle e Captura'!$C$9,Auxiliar!U328,Auxiliar!V328)</f>
        <v>44157</v>
      </c>
      <c r="U328" s="4">
        <v>11</v>
      </c>
      <c r="V328" s="4">
        <v>22</v>
      </c>
      <c r="W328" s="4">
        <f t="shared" si="25"/>
        <v>1</v>
      </c>
    </row>
    <row r="329" spans="19:23" x14ac:dyDescent="0.3">
      <c r="S329" s="4">
        <f t="shared" si="24"/>
        <v>48</v>
      </c>
      <c r="T329" s="9">
        <f>DATE('Controle e Captura'!$C$9,Auxiliar!U329,Auxiliar!V329)</f>
        <v>44158</v>
      </c>
      <c r="U329" s="4">
        <v>11</v>
      </c>
      <c r="V329" s="4">
        <v>23</v>
      </c>
      <c r="W329" s="4">
        <f t="shared" si="25"/>
        <v>2</v>
      </c>
    </row>
    <row r="330" spans="19:23" x14ac:dyDescent="0.3">
      <c r="S330" s="4">
        <f t="shared" si="24"/>
        <v>48</v>
      </c>
      <c r="T330" s="9">
        <f>DATE('Controle e Captura'!$C$9,Auxiliar!U330,Auxiliar!V330)</f>
        <v>44159</v>
      </c>
      <c r="U330" s="4">
        <v>11</v>
      </c>
      <c r="V330" s="4">
        <v>24</v>
      </c>
      <c r="W330" s="4">
        <f t="shared" si="25"/>
        <v>3</v>
      </c>
    </row>
    <row r="331" spans="19:23" x14ac:dyDescent="0.3">
      <c r="S331" s="4">
        <f t="shared" si="24"/>
        <v>48</v>
      </c>
      <c r="T331" s="9">
        <f>DATE('Controle e Captura'!$C$9,Auxiliar!U331,Auxiliar!V331)</f>
        <v>44160</v>
      </c>
      <c r="U331" s="4">
        <v>11</v>
      </c>
      <c r="V331" s="4">
        <v>25</v>
      </c>
      <c r="W331" s="4">
        <f t="shared" si="25"/>
        <v>4</v>
      </c>
    </row>
    <row r="332" spans="19:23" x14ac:dyDescent="0.3">
      <c r="S332" s="4">
        <f t="shared" si="24"/>
        <v>48</v>
      </c>
      <c r="T332" s="9">
        <f>DATE('Controle e Captura'!$C$9,Auxiliar!U332,Auxiliar!V332)</f>
        <v>44161</v>
      </c>
      <c r="U332" s="4">
        <v>11</v>
      </c>
      <c r="V332" s="4">
        <v>26</v>
      </c>
      <c r="W332" s="4">
        <f t="shared" si="25"/>
        <v>5</v>
      </c>
    </row>
    <row r="333" spans="19:23" x14ac:dyDescent="0.3">
      <c r="S333" s="4">
        <f t="shared" si="24"/>
        <v>48</v>
      </c>
      <c r="T333" s="9">
        <f>DATE('Controle e Captura'!$C$9,Auxiliar!U333,Auxiliar!V333)</f>
        <v>44162</v>
      </c>
      <c r="U333" s="4">
        <v>11</v>
      </c>
      <c r="V333" s="4">
        <v>27</v>
      </c>
      <c r="W333" s="4">
        <f t="shared" si="25"/>
        <v>6</v>
      </c>
    </row>
    <row r="334" spans="19:23" x14ac:dyDescent="0.3">
      <c r="S334" s="4">
        <f t="shared" si="24"/>
        <v>48</v>
      </c>
      <c r="T334" s="9">
        <f>DATE('Controle e Captura'!$C$9,Auxiliar!U334,Auxiliar!V334)</f>
        <v>44163</v>
      </c>
      <c r="U334" s="4">
        <v>11</v>
      </c>
      <c r="V334" s="4">
        <v>28</v>
      </c>
      <c r="W334" s="4">
        <f t="shared" si="25"/>
        <v>7</v>
      </c>
    </row>
    <row r="335" spans="19:23" x14ac:dyDescent="0.3">
      <c r="S335" s="4">
        <f t="shared" si="24"/>
        <v>49</v>
      </c>
      <c r="T335" s="9">
        <f>DATE('Controle e Captura'!$C$9,Auxiliar!U335,Auxiliar!V335)</f>
        <v>44164</v>
      </c>
      <c r="U335" s="4">
        <v>11</v>
      </c>
      <c r="V335" s="4">
        <v>29</v>
      </c>
      <c r="W335" s="4">
        <f t="shared" si="25"/>
        <v>1</v>
      </c>
    </row>
    <row r="336" spans="19:23" x14ac:dyDescent="0.3">
      <c r="S336" s="4">
        <f t="shared" si="24"/>
        <v>49</v>
      </c>
      <c r="T336" s="9">
        <f>DATE('Controle e Captura'!$C$9,Auxiliar!U336,Auxiliar!V336)</f>
        <v>44165</v>
      </c>
      <c r="U336" s="4">
        <v>11</v>
      </c>
      <c r="V336" s="4">
        <v>30</v>
      </c>
      <c r="W336" s="4">
        <f t="shared" si="25"/>
        <v>2</v>
      </c>
    </row>
    <row r="337" spans="19:23" x14ac:dyDescent="0.3">
      <c r="S337" s="4">
        <f t="shared" si="24"/>
        <v>49</v>
      </c>
      <c r="T337" s="9">
        <f>DATE('Controle e Captura'!$C$9,Auxiliar!U337,Auxiliar!V337)</f>
        <v>44166</v>
      </c>
      <c r="U337" s="4">
        <v>12</v>
      </c>
      <c r="V337" s="4">
        <v>1</v>
      </c>
      <c r="W337" s="4">
        <f t="shared" si="25"/>
        <v>3</v>
      </c>
    </row>
    <row r="338" spans="19:23" x14ac:dyDescent="0.3">
      <c r="S338" s="4">
        <f t="shared" si="24"/>
        <v>49</v>
      </c>
      <c r="T338" s="9">
        <f>DATE('Controle e Captura'!$C$9,Auxiliar!U338,Auxiliar!V338)</f>
        <v>44167</v>
      </c>
      <c r="U338" s="4">
        <v>12</v>
      </c>
      <c r="V338" s="4">
        <v>2</v>
      </c>
      <c r="W338" s="4">
        <f t="shared" si="25"/>
        <v>4</v>
      </c>
    </row>
    <row r="339" spans="19:23" x14ac:dyDescent="0.3">
      <c r="S339" s="4">
        <f t="shared" si="24"/>
        <v>49</v>
      </c>
      <c r="T339" s="9">
        <f>DATE('Controle e Captura'!$C$9,Auxiliar!U339,Auxiliar!V339)</f>
        <v>44168</v>
      </c>
      <c r="U339" s="4">
        <v>12</v>
      </c>
      <c r="V339" s="4">
        <v>3</v>
      </c>
      <c r="W339" s="4">
        <f t="shared" si="25"/>
        <v>5</v>
      </c>
    </row>
    <row r="340" spans="19:23" x14ac:dyDescent="0.3">
      <c r="S340" s="4">
        <f t="shared" si="24"/>
        <v>49</v>
      </c>
      <c r="T340" s="9">
        <f>DATE('Controle e Captura'!$C$9,Auxiliar!U340,Auxiliar!V340)</f>
        <v>44169</v>
      </c>
      <c r="U340" s="4">
        <v>12</v>
      </c>
      <c r="V340" s="4">
        <v>4</v>
      </c>
      <c r="W340" s="4">
        <f t="shared" si="25"/>
        <v>6</v>
      </c>
    </row>
    <row r="341" spans="19:23" x14ac:dyDescent="0.3">
      <c r="S341" s="4">
        <f t="shared" si="24"/>
        <v>49</v>
      </c>
      <c r="T341" s="9">
        <f>DATE('Controle e Captura'!$C$9,Auxiliar!U341,Auxiliar!V341)</f>
        <v>44170</v>
      </c>
      <c r="U341" s="4">
        <v>12</v>
      </c>
      <c r="V341" s="4">
        <v>5</v>
      </c>
      <c r="W341" s="4">
        <f t="shared" si="25"/>
        <v>7</v>
      </c>
    </row>
    <row r="342" spans="19:23" x14ac:dyDescent="0.3">
      <c r="S342" s="4">
        <f t="shared" si="24"/>
        <v>50</v>
      </c>
      <c r="T342" s="9">
        <f>DATE('Controle e Captura'!$C$9,Auxiliar!U342,Auxiliar!V342)</f>
        <v>44171</v>
      </c>
      <c r="U342" s="4">
        <v>12</v>
      </c>
      <c r="V342" s="4">
        <v>6</v>
      </c>
      <c r="W342" s="4">
        <f t="shared" si="25"/>
        <v>1</v>
      </c>
    </row>
    <row r="343" spans="19:23" x14ac:dyDescent="0.3">
      <c r="S343" s="4">
        <f t="shared" si="24"/>
        <v>50</v>
      </c>
      <c r="T343" s="9">
        <f>DATE('Controle e Captura'!$C$9,Auxiliar!U343,Auxiliar!V343)</f>
        <v>44172</v>
      </c>
      <c r="U343" s="4">
        <v>12</v>
      </c>
      <c r="V343" s="4">
        <v>7</v>
      </c>
      <c r="W343" s="4">
        <f t="shared" si="25"/>
        <v>2</v>
      </c>
    </row>
    <row r="344" spans="19:23" x14ac:dyDescent="0.3">
      <c r="S344" s="4">
        <f t="shared" si="24"/>
        <v>50</v>
      </c>
      <c r="T344" s="9">
        <f>DATE('Controle e Captura'!$C$9,Auxiliar!U344,Auxiliar!V344)</f>
        <v>44173</v>
      </c>
      <c r="U344" s="4">
        <v>12</v>
      </c>
      <c r="V344" s="4">
        <v>8</v>
      </c>
      <c r="W344" s="4">
        <f t="shared" si="25"/>
        <v>3</v>
      </c>
    </row>
    <row r="345" spans="19:23" x14ac:dyDescent="0.3">
      <c r="S345" s="4">
        <f t="shared" si="24"/>
        <v>50</v>
      </c>
      <c r="T345" s="9">
        <f>DATE('Controle e Captura'!$C$9,Auxiliar!U345,Auxiliar!V345)</f>
        <v>44174</v>
      </c>
      <c r="U345" s="4">
        <v>12</v>
      </c>
      <c r="V345" s="4">
        <v>9</v>
      </c>
      <c r="W345" s="4">
        <f t="shared" si="25"/>
        <v>4</v>
      </c>
    </row>
    <row r="346" spans="19:23" x14ac:dyDescent="0.3">
      <c r="S346" s="4">
        <f t="shared" si="24"/>
        <v>50</v>
      </c>
      <c r="T346" s="9">
        <f>DATE('Controle e Captura'!$C$9,Auxiliar!U346,Auxiliar!V346)</f>
        <v>44175</v>
      </c>
      <c r="U346" s="4">
        <v>12</v>
      </c>
      <c r="V346" s="4">
        <v>10</v>
      </c>
      <c r="W346" s="4">
        <f t="shared" si="25"/>
        <v>5</v>
      </c>
    </row>
    <row r="347" spans="19:23" x14ac:dyDescent="0.3">
      <c r="S347" s="4">
        <f t="shared" si="24"/>
        <v>50</v>
      </c>
      <c r="T347" s="9">
        <f>DATE('Controle e Captura'!$C$9,Auxiliar!U347,Auxiliar!V347)</f>
        <v>44176</v>
      </c>
      <c r="U347" s="4">
        <v>12</v>
      </c>
      <c r="V347" s="4">
        <v>11</v>
      </c>
      <c r="W347" s="4">
        <f t="shared" si="25"/>
        <v>6</v>
      </c>
    </row>
    <row r="348" spans="19:23" x14ac:dyDescent="0.3">
      <c r="S348" s="4">
        <f t="shared" si="24"/>
        <v>50</v>
      </c>
      <c r="T348" s="9">
        <f>DATE('Controle e Captura'!$C$9,Auxiliar!U348,Auxiliar!V348)</f>
        <v>44177</v>
      </c>
      <c r="U348" s="4">
        <v>12</v>
      </c>
      <c r="V348" s="4">
        <v>12</v>
      </c>
      <c r="W348" s="4">
        <f t="shared" si="25"/>
        <v>7</v>
      </c>
    </row>
    <row r="349" spans="19:23" x14ac:dyDescent="0.3">
      <c r="S349" s="4">
        <f t="shared" si="24"/>
        <v>51</v>
      </c>
      <c r="T349" s="9">
        <f>DATE('Controle e Captura'!$C$9,Auxiliar!U349,Auxiliar!V349)</f>
        <v>44178</v>
      </c>
      <c r="U349" s="4">
        <v>12</v>
      </c>
      <c r="V349" s="4">
        <v>13</v>
      </c>
      <c r="W349" s="4">
        <f t="shared" si="25"/>
        <v>1</v>
      </c>
    </row>
    <row r="350" spans="19:23" x14ac:dyDescent="0.3">
      <c r="S350" s="4">
        <f t="shared" si="24"/>
        <v>51</v>
      </c>
      <c r="T350" s="9">
        <f>DATE('Controle e Captura'!$C$9,Auxiliar!U350,Auxiliar!V350)</f>
        <v>44179</v>
      </c>
      <c r="U350" s="4">
        <v>12</v>
      </c>
      <c r="V350" s="4">
        <v>14</v>
      </c>
      <c r="W350" s="4">
        <f t="shared" si="25"/>
        <v>2</v>
      </c>
    </row>
    <row r="351" spans="19:23" x14ac:dyDescent="0.3">
      <c r="S351" s="4">
        <f t="shared" si="24"/>
        <v>51</v>
      </c>
      <c r="T351" s="9">
        <f>DATE('Controle e Captura'!$C$9,Auxiliar!U351,Auxiliar!V351)</f>
        <v>44180</v>
      </c>
      <c r="U351" s="4">
        <v>12</v>
      </c>
      <c r="V351" s="4">
        <v>15</v>
      </c>
      <c r="W351" s="4">
        <f t="shared" si="25"/>
        <v>3</v>
      </c>
    </row>
    <row r="352" spans="19:23" x14ac:dyDescent="0.3">
      <c r="S352" s="4">
        <f t="shared" si="24"/>
        <v>51</v>
      </c>
      <c r="T352" s="9">
        <f>DATE('Controle e Captura'!$C$9,Auxiliar!U352,Auxiliar!V352)</f>
        <v>44181</v>
      </c>
      <c r="U352" s="4">
        <v>12</v>
      </c>
      <c r="V352" s="4">
        <v>16</v>
      </c>
      <c r="W352" s="4">
        <f t="shared" si="25"/>
        <v>4</v>
      </c>
    </row>
    <row r="353" spans="19:23" x14ac:dyDescent="0.3">
      <c r="S353" s="4">
        <f t="shared" si="24"/>
        <v>51</v>
      </c>
      <c r="T353" s="9">
        <f>DATE('Controle e Captura'!$C$9,Auxiliar!U353,Auxiliar!V353)</f>
        <v>44182</v>
      </c>
      <c r="U353" s="4">
        <v>12</v>
      </c>
      <c r="V353" s="4">
        <v>17</v>
      </c>
      <c r="W353" s="4">
        <f t="shared" si="25"/>
        <v>5</v>
      </c>
    </row>
    <row r="354" spans="19:23" x14ac:dyDescent="0.3">
      <c r="S354" s="4">
        <f t="shared" si="24"/>
        <v>51</v>
      </c>
      <c r="T354" s="9">
        <f>DATE('Controle e Captura'!$C$9,Auxiliar!U354,Auxiliar!V354)</f>
        <v>44183</v>
      </c>
      <c r="U354" s="4">
        <v>12</v>
      </c>
      <c r="V354" s="4">
        <v>18</v>
      </c>
      <c r="W354" s="4">
        <f t="shared" si="25"/>
        <v>6</v>
      </c>
    </row>
    <row r="355" spans="19:23" x14ac:dyDescent="0.3">
      <c r="S355" s="4">
        <f t="shared" si="24"/>
        <v>51</v>
      </c>
      <c r="T355" s="9">
        <f>DATE('Controle e Captura'!$C$9,Auxiliar!U355,Auxiliar!V355)</f>
        <v>44184</v>
      </c>
      <c r="U355" s="4">
        <v>12</v>
      </c>
      <c r="V355" s="4">
        <v>19</v>
      </c>
      <c r="W355" s="4">
        <f t="shared" si="25"/>
        <v>7</v>
      </c>
    </row>
    <row r="356" spans="19:23" x14ac:dyDescent="0.3">
      <c r="S356" s="4">
        <f t="shared" si="24"/>
        <v>52</v>
      </c>
      <c r="T356" s="9">
        <f>DATE('Controle e Captura'!$C$9,Auxiliar!U356,Auxiliar!V356)</f>
        <v>44185</v>
      </c>
      <c r="U356" s="4">
        <v>12</v>
      </c>
      <c r="V356" s="4">
        <v>20</v>
      </c>
      <c r="W356" s="4">
        <f t="shared" si="25"/>
        <v>1</v>
      </c>
    </row>
    <row r="357" spans="19:23" x14ac:dyDescent="0.3">
      <c r="S357" s="4">
        <f t="shared" si="24"/>
        <v>52</v>
      </c>
      <c r="T357" s="9">
        <f>DATE('Controle e Captura'!$C$9,Auxiliar!U357,Auxiliar!V357)</f>
        <v>44186</v>
      </c>
      <c r="U357" s="4">
        <v>12</v>
      </c>
      <c r="V357" s="4">
        <v>21</v>
      </c>
      <c r="W357" s="4">
        <f t="shared" si="25"/>
        <v>2</v>
      </c>
    </row>
    <row r="358" spans="19:23" x14ac:dyDescent="0.3">
      <c r="S358" s="4">
        <f t="shared" si="24"/>
        <v>52</v>
      </c>
      <c r="T358" s="9">
        <f>DATE('Controle e Captura'!$C$9,Auxiliar!U358,Auxiliar!V358)</f>
        <v>44187</v>
      </c>
      <c r="U358" s="4">
        <v>12</v>
      </c>
      <c r="V358" s="4">
        <v>22</v>
      </c>
      <c r="W358" s="4">
        <f t="shared" si="25"/>
        <v>3</v>
      </c>
    </row>
    <row r="359" spans="19:23" x14ac:dyDescent="0.3">
      <c r="S359" s="4">
        <f t="shared" si="24"/>
        <v>52</v>
      </c>
      <c r="T359" s="9">
        <f>DATE('Controle e Captura'!$C$9,Auxiliar!U359,Auxiliar!V359)</f>
        <v>44188</v>
      </c>
      <c r="U359" s="4">
        <v>12</v>
      </c>
      <c r="V359" s="4">
        <v>23</v>
      </c>
      <c r="W359" s="4">
        <f t="shared" si="25"/>
        <v>4</v>
      </c>
    </row>
    <row r="360" spans="19:23" x14ac:dyDescent="0.3">
      <c r="S360" s="4">
        <f t="shared" si="24"/>
        <v>52</v>
      </c>
      <c r="T360" s="9">
        <f>DATE('Controle e Captura'!$C$9,Auxiliar!U360,Auxiliar!V360)</f>
        <v>44189</v>
      </c>
      <c r="U360" s="4">
        <v>12</v>
      </c>
      <c r="V360" s="4">
        <v>24</v>
      </c>
      <c r="W360" s="4">
        <f t="shared" si="25"/>
        <v>5</v>
      </c>
    </row>
    <row r="361" spans="19:23" x14ac:dyDescent="0.3">
      <c r="S361" s="4">
        <f t="shared" si="24"/>
        <v>52</v>
      </c>
      <c r="T361" s="9">
        <f>DATE('Controle e Captura'!$C$9,Auxiliar!U361,Auxiliar!V361)</f>
        <v>44190</v>
      </c>
      <c r="U361" s="4">
        <v>12</v>
      </c>
      <c r="V361" s="4">
        <v>25</v>
      </c>
      <c r="W361" s="4">
        <f t="shared" si="25"/>
        <v>6</v>
      </c>
    </row>
    <row r="362" spans="19:23" x14ac:dyDescent="0.3">
      <c r="S362" s="4">
        <f t="shared" si="24"/>
        <v>52</v>
      </c>
      <c r="T362" s="9">
        <f>DATE('Controle e Captura'!$C$9,Auxiliar!U362,Auxiliar!V362)</f>
        <v>44191</v>
      </c>
      <c r="U362" s="4">
        <v>12</v>
      </c>
      <c r="V362" s="4">
        <v>26</v>
      </c>
      <c r="W362" s="4">
        <f t="shared" si="25"/>
        <v>7</v>
      </c>
    </row>
    <row r="363" spans="19:23" x14ac:dyDescent="0.3">
      <c r="S363" s="4">
        <f t="shared" si="24"/>
        <v>53</v>
      </c>
      <c r="T363" s="9">
        <f>DATE('Controle e Captura'!$C$9,Auxiliar!U363,Auxiliar!V363)</f>
        <v>44192</v>
      </c>
      <c r="U363" s="4">
        <v>12</v>
      </c>
      <c r="V363" s="4">
        <v>27</v>
      </c>
      <c r="W363" s="4">
        <f t="shared" si="25"/>
        <v>1</v>
      </c>
    </row>
    <row r="364" spans="19:23" x14ac:dyDescent="0.3">
      <c r="S364" s="4">
        <f t="shared" si="24"/>
        <v>53</v>
      </c>
      <c r="T364" s="9">
        <f>DATE('Controle e Captura'!$C$9,Auxiliar!U364,Auxiliar!V364)</f>
        <v>44193</v>
      </c>
      <c r="U364" s="4">
        <v>12</v>
      </c>
      <c r="V364" s="4">
        <v>28</v>
      </c>
      <c r="W364" s="4">
        <f t="shared" si="25"/>
        <v>2</v>
      </c>
    </row>
    <row r="365" spans="19:23" x14ac:dyDescent="0.3">
      <c r="S365" s="4">
        <f t="shared" si="24"/>
        <v>53</v>
      </c>
      <c r="T365" s="9">
        <f>DATE('Controle e Captura'!$C$9,Auxiliar!U365,Auxiliar!V365)</f>
        <v>44194</v>
      </c>
      <c r="U365" s="4">
        <v>12</v>
      </c>
      <c r="V365" s="4">
        <v>29</v>
      </c>
      <c r="W365" s="4">
        <f t="shared" si="25"/>
        <v>3</v>
      </c>
    </row>
    <row r="366" spans="19:23" x14ac:dyDescent="0.3">
      <c r="S366" s="4">
        <f t="shared" si="24"/>
        <v>53</v>
      </c>
      <c r="T366" s="9">
        <f>DATE('Controle e Captura'!$C$9,Auxiliar!U366,Auxiliar!V366)</f>
        <v>44195</v>
      </c>
      <c r="U366" s="4">
        <v>12</v>
      </c>
      <c r="V366" s="4">
        <v>30</v>
      </c>
      <c r="W366" s="4">
        <f t="shared" si="25"/>
        <v>4</v>
      </c>
    </row>
    <row r="367" spans="19:23" x14ac:dyDescent="0.3">
      <c r="S367" s="4">
        <f t="shared" si="24"/>
        <v>53</v>
      </c>
      <c r="T367" s="9">
        <f>DATE('Controle e Captura'!$C$9,Auxiliar!U367,Auxiliar!V367)</f>
        <v>44196</v>
      </c>
      <c r="U367" s="4">
        <v>12</v>
      </c>
      <c r="V367" s="4">
        <v>31</v>
      </c>
      <c r="W367" s="4">
        <f t="shared" si="25"/>
        <v>5</v>
      </c>
    </row>
    <row r="1048576" spans="49:49" x14ac:dyDescent="0.3">
      <c r="AW1048576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Controle e Captura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Lucas Braga Machado</cp:lastModifiedBy>
  <cp:lastPrinted>2020-06-08T21:31:17Z</cp:lastPrinted>
  <dcterms:created xsi:type="dcterms:W3CDTF">2015-06-05T18:17:20Z</dcterms:created>
  <dcterms:modified xsi:type="dcterms:W3CDTF">2020-09-21T13:51:13Z</dcterms:modified>
</cp:coreProperties>
</file>