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5/DOCUMENTOS AUXILIARES/"/>
    </mc:Choice>
  </mc:AlternateContent>
  <xr:revisionPtr revIDLastSave="350" documentId="13_ncr:1_{2A45562E-7195-4637-8913-4A69A2013963}" xr6:coauthVersionLast="47" xr6:coauthVersionMax="47" xr10:uidLastSave="{340F71C6-C89A-4753-9936-B2C4A0717A60}"/>
  <bookViews>
    <workbookView xWindow="-110" yWindow="-110" windowWidth="25820" windowHeight="13900" xr2:uid="{00000000-000D-0000-FFFF-FFFF00000000}"/>
  </bookViews>
  <sheets>
    <sheet name="Gráfico Controle de Resultados" sheetId="6" r:id="rId1"/>
    <sheet name="Realizado Jan35" sheetId="8" r:id="rId2"/>
    <sheet name="Realizado Fev35" sheetId="9" r:id="rId3"/>
    <sheet name="Auxiliar" sheetId="7" state="hidden" r:id="rId4"/>
  </sheets>
  <definedNames>
    <definedName name="_xlnm._FilterDatabase" localSheetId="0" hidden="1">'Gráfico Controle de Resultados'!$A$1:$A$12</definedName>
    <definedName name="_xlnm._FilterDatabase" localSheetId="2" hidden="1">'Realizado Fev35'!$H$1:$I$6198</definedName>
    <definedName name="_xleta.IF" hidden="1" xlm="1">#NAME?</definedName>
    <definedName name="Semanas">OFFSET(Auxiliar!$AC$3,0,0,ROWS(Auxiliar!$AC:$AC)-COUNTBLANK(Auxiliar!$AC:$AC)-1)</definedName>
  </definedName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9" l="1"/>
  <c r="F7006" i="9"/>
  <c r="E7006" i="9"/>
  <c r="F7005" i="9"/>
  <c r="E7005" i="9"/>
  <c r="F7004" i="9"/>
  <c r="E7004" i="9"/>
  <c r="F7003" i="9"/>
  <c r="E7003" i="9"/>
  <c r="F7002" i="9"/>
  <c r="E7002" i="9"/>
  <c r="F7001" i="9"/>
  <c r="E7001" i="9"/>
  <c r="F7000" i="9"/>
  <c r="E7000" i="9"/>
  <c r="F6999" i="9"/>
  <c r="E6999" i="9"/>
  <c r="F6998" i="9"/>
  <c r="E6998" i="9"/>
  <c r="F6997" i="9"/>
  <c r="E6997" i="9"/>
  <c r="F6996" i="9"/>
  <c r="E6996" i="9"/>
  <c r="F6995" i="9"/>
  <c r="E6995" i="9"/>
  <c r="F6994" i="9"/>
  <c r="E6994" i="9"/>
  <c r="F6993" i="9"/>
  <c r="E6993" i="9"/>
  <c r="F6992" i="9"/>
  <c r="E6992" i="9"/>
  <c r="F6991" i="9"/>
  <c r="E6991" i="9"/>
  <c r="F6990" i="9"/>
  <c r="E6990" i="9"/>
  <c r="F6989" i="9"/>
  <c r="E6989" i="9"/>
  <c r="F6988" i="9"/>
  <c r="E6988" i="9"/>
  <c r="F6987" i="9"/>
  <c r="E6987" i="9"/>
  <c r="F6986" i="9"/>
  <c r="E6986" i="9"/>
  <c r="F6985" i="9"/>
  <c r="E6985" i="9"/>
  <c r="F6984" i="9"/>
  <c r="E6984" i="9"/>
  <c r="F6983" i="9"/>
  <c r="E6983" i="9"/>
  <c r="F6982" i="9"/>
  <c r="E6982" i="9"/>
  <c r="F6981" i="9"/>
  <c r="E6981" i="9"/>
  <c r="F6980" i="9"/>
  <c r="E6980" i="9"/>
  <c r="F6979" i="9"/>
  <c r="E6979" i="9"/>
  <c r="F6978" i="9"/>
  <c r="E6978" i="9"/>
  <c r="F6977" i="9"/>
  <c r="E6977" i="9"/>
  <c r="F6976" i="9"/>
  <c r="E6976" i="9"/>
  <c r="F6975" i="9"/>
  <c r="E6975" i="9"/>
  <c r="F6974" i="9"/>
  <c r="E6974" i="9"/>
  <c r="F6973" i="9"/>
  <c r="E6973" i="9"/>
  <c r="F6972" i="9"/>
  <c r="E6972" i="9"/>
  <c r="F6971" i="9"/>
  <c r="E6971" i="9"/>
  <c r="F6970" i="9"/>
  <c r="E6970" i="9"/>
  <c r="F6969" i="9"/>
  <c r="E6969" i="9"/>
  <c r="F6968" i="9"/>
  <c r="E6968" i="9"/>
  <c r="F6967" i="9"/>
  <c r="E6967" i="9"/>
  <c r="F6966" i="9"/>
  <c r="E6966" i="9"/>
  <c r="F6965" i="9"/>
  <c r="E6965" i="9"/>
  <c r="F6964" i="9"/>
  <c r="E6964" i="9"/>
  <c r="F6963" i="9"/>
  <c r="E6963" i="9"/>
  <c r="F6962" i="9"/>
  <c r="E6962" i="9"/>
  <c r="F6961" i="9"/>
  <c r="E6961" i="9"/>
  <c r="F6960" i="9"/>
  <c r="E6960" i="9"/>
  <c r="F6959" i="9"/>
  <c r="E6959" i="9"/>
  <c r="F6958" i="9"/>
  <c r="E6958" i="9"/>
  <c r="F6957" i="9"/>
  <c r="E6957" i="9"/>
  <c r="F6956" i="9"/>
  <c r="E6956" i="9"/>
  <c r="F6955" i="9"/>
  <c r="E6955" i="9"/>
  <c r="F6954" i="9"/>
  <c r="E6954" i="9"/>
  <c r="F6953" i="9"/>
  <c r="E6953" i="9"/>
  <c r="F6952" i="9"/>
  <c r="E6952" i="9"/>
  <c r="F6951" i="9"/>
  <c r="E6951" i="9"/>
  <c r="F6950" i="9"/>
  <c r="E6950" i="9"/>
  <c r="F6949" i="9"/>
  <c r="E6949" i="9"/>
  <c r="F6948" i="9"/>
  <c r="E6948" i="9"/>
  <c r="F6947" i="9"/>
  <c r="E6947" i="9"/>
  <c r="F6946" i="9"/>
  <c r="E6946" i="9"/>
  <c r="F6945" i="9"/>
  <c r="E6945" i="9"/>
  <c r="F6944" i="9"/>
  <c r="E6944" i="9"/>
  <c r="F6943" i="9"/>
  <c r="E6943" i="9"/>
  <c r="F6942" i="9"/>
  <c r="E6942" i="9"/>
  <c r="F6941" i="9"/>
  <c r="E6941" i="9"/>
  <c r="F6940" i="9"/>
  <c r="E6940" i="9"/>
  <c r="F6939" i="9"/>
  <c r="E6939" i="9"/>
  <c r="F6938" i="9"/>
  <c r="E6938" i="9"/>
  <c r="F6937" i="9"/>
  <c r="E6937" i="9"/>
  <c r="F6936" i="9"/>
  <c r="E6936" i="9"/>
  <c r="F6935" i="9"/>
  <c r="E6935" i="9"/>
  <c r="F6934" i="9"/>
  <c r="E6934" i="9"/>
  <c r="F6933" i="9"/>
  <c r="E6933" i="9"/>
  <c r="F6932" i="9"/>
  <c r="E6932" i="9"/>
  <c r="F6931" i="9"/>
  <c r="E6931" i="9"/>
  <c r="F6930" i="9"/>
  <c r="E6930" i="9"/>
  <c r="F6929" i="9"/>
  <c r="E6929" i="9"/>
  <c r="F6928" i="9"/>
  <c r="E6928" i="9"/>
  <c r="F6927" i="9"/>
  <c r="E6927" i="9"/>
  <c r="F6926" i="9"/>
  <c r="E6926" i="9"/>
  <c r="F6925" i="9"/>
  <c r="E6925" i="9"/>
  <c r="F6924" i="9"/>
  <c r="E6924" i="9"/>
  <c r="F6923" i="9"/>
  <c r="E6923" i="9"/>
  <c r="F6922" i="9"/>
  <c r="E6922" i="9"/>
  <c r="F6921" i="9"/>
  <c r="E6921" i="9"/>
  <c r="F6920" i="9"/>
  <c r="E6920" i="9"/>
  <c r="F6919" i="9"/>
  <c r="E6919" i="9"/>
  <c r="F6918" i="9"/>
  <c r="E6918" i="9"/>
  <c r="F6917" i="9"/>
  <c r="E6917" i="9"/>
  <c r="F6916" i="9"/>
  <c r="E6916" i="9"/>
  <c r="F6915" i="9"/>
  <c r="E6915" i="9"/>
  <c r="F6914" i="9"/>
  <c r="E6914" i="9"/>
  <c r="F6913" i="9"/>
  <c r="E6913" i="9"/>
  <c r="F6912" i="9"/>
  <c r="E6912" i="9"/>
  <c r="F6911" i="9"/>
  <c r="E6911" i="9"/>
  <c r="F6910" i="9"/>
  <c r="E6910" i="9"/>
  <c r="F6909" i="9"/>
  <c r="E6909" i="9"/>
  <c r="F6908" i="9"/>
  <c r="E6908" i="9"/>
  <c r="F6907" i="9"/>
  <c r="E6907" i="9"/>
  <c r="F6906" i="9"/>
  <c r="E6906" i="9"/>
  <c r="F6905" i="9"/>
  <c r="E6905" i="9"/>
  <c r="F6904" i="9"/>
  <c r="E6904" i="9"/>
  <c r="F6903" i="9"/>
  <c r="E6903" i="9"/>
  <c r="F6902" i="9"/>
  <c r="E6902" i="9"/>
  <c r="F6901" i="9"/>
  <c r="E6901" i="9"/>
  <c r="F6900" i="9"/>
  <c r="E6900" i="9"/>
  <c r="F6899" i="9"/>
  <c r="E6899" i="9"/>
  <c r="F6898" i="9"/>
  <c r="E6898" i="9"/>
  <c r="F6897" i="9"/>
  <c r="E6897" i="9"/>
  <c r="F6896" i="9"/>
  <c r="E6896" i="9"/>
  <c r="F6895" i="9"/>
  <c r="E6895" i="9"/>
  <c r="F6894" i="9"/>
  <c r="E6894" i="9"/>
  <c r="F6893" i="9"/>
  <c r="E6893" i="9"/>
  <c r="F6892" i="9"/>
  <c r="E6892" i="9"/>
  <c r="F6891" i="9"/>
  <c r="E6891" i="9"/>
  <c r="F6890" i="9"/>
  <c r="E6890" i="9"/>
  <c r="F6889" i="9"/>
  <c r="E6889" i="9"/>
  <c r="F6888" i="9"/>
  <c r="E6888" i="9"/>
  <c r="F6887" i="9"/>
  <c r="E6887" i="9"/>
  <c r="F6886" i="9"/>
  <c r="E6886" i="9"/>
  <c r="F6885" i="9"/>
  <c r="E6885" i="9"/>
  <c r="F6884" i="9"/>
  <c r="E6884" i="9"/>
  <c r="F6883" i="9"/>
  <c r="E6883" i="9"/>
  <c r="F6882" i="9"/>
  <c r="E6882" i="9"/>
  <c r="F6881" i="9"/>
  <c r="E6881" i="9"/>
  <c r="F6880" i="9"/>
  <c r="E6880" i="9"/>
  <c r="F6879" i="9"/>
  <c r="E6879" i="9"/>
  <c r="F6878" i="9"/>
  <c r="E6878" i="9"/>
  <c r="F6877" i="9"/>
  <c r="E6877" i="9"/>
  <c r="F6876" i="9"/>
  <c r="E6876" i="9"/>
  <c r="F6875" i="9"/>
  <c r="E6875" i="9"/>
  <c r="F6874" i="9"/>
  <c r="E6874" i="9"/>
  <c r="F6873" i="9"/>
  <c r="E6873" i="9"/>
  <c r="F6872" i="9"/>
  <c r="E6872" i="9"/>
  <c r="F6871" i="9"/>
  <c r="E6871" i="9"/>
  <c r="F6870" i="9"/>
  <c r="E6870" i="9"/>
  <c r="F6869" i="9"/>
  <c r="E6869" i="9"/>
  <c r="F6868" i="9"/>
  <c r="E6868" i="9"/>
  <c r="F6867" i="9"/>
  <c r="E6867" i="9"/>
  <c r="F6866" i="9"/>
  <c r="E6866" i="9"/>
  <c r="F6865" i="9"/>
  <c r="E6865" i="9"/>
  <c r="F6864" i="9"/>
  <c r="E6864" i="9"/>
  <c r="F6863" i="9"/>
  <c r="E6863" i="9"/>
  <c r="F6862" i="9"/>
  <c r="E6862" i="9"/>
  <c r="F6861" i="9"/>
  <c r="E6861" i="9"/>
  <c r="F6860" i="9"/>
  <c r="E6860" i="9"/>
  <c r="F6859" i="9"/>
  <c r="E6859" i="9"/>
  <c r="F6858" i="9"/>
  <c r="E6858" i="9"/>
  <c r="F6857" i="9"/>
  <c r="E6857" i="9"/>
  <c r="F6856" i="9"/>
  <c r="E6856" i="9"/>
  <c r="F6855" i="9"/>
  <c r="E6855" i="9"/>
  <c r="F6854" i="9"/>
  <c r="E6854" i="9"/>
  <c r="F6853" i="9"/>
  <c r="E6853" i="9"/>
  <c r="F6852" i="9"/>
  <c r="E6852" i="9"/>
  <c r="F6851" i="9"/>
  <c r="E6851" i="9"/>
  <c r="F6850" i="9"/>
  <c r="E6850" i="9"/>
  <c r="F6849" i="9"/>
  <c r="E6849" i="9"/>
  <c r="F6848" i="9"/>
  <c r="E6848" i="9"/>
  <c r="F6847" i="9"/>
  <c r="E6847" i="9"/>
  <c r="F6846" i="9"/>
  <c r="E6846" i="9"/>
  <c r="F6845" i="9"/>
  <c r="E6845" i="9"/>
  <c r="F6844" i="9"/>
  <c r="E6844" i="9"/>
  <c r="F6843" i="9"/>
  <c r="E6843" i="9"/>
  <c r="F6842" i="9"/>
  <c r="E6842" i="9"/>
  <c r="F6841" i="9"/>
  <c r="E6841" i="9"/>
  <c r="F6840" i="9"/>
  <c r="E6840" i="9"/>
  <c r="F6839" i="9"/>
  <c r="E6839" i="9"/>
  <c r="F6838" i="9"/>
  <c r="E6838" i="9"/>
  <c r="F6837" i="9"/>
  <c r="E6837" i="9"/>
  <c r="F6836" i="9"/>
  <c r="E6836" i="9"/>
  <c r="F6835" i="9"/>
  <c r="E6835" i="9"/>
  <c r="F6834" i="9"/>
  <c r="E6834" i="9"/>
  <c r="F6833" i="9"/>
  <c r="E6833" i="9"/>
  <c r="F6832" i="9"/>
  <c r="E6832" i="9"/>
  <c r="F6831" i="9"/>
  <c r="E6831" i="9"/>
  <c r="F6830" i="9"/>
  <c r="E6830" i="9"/>
  <c r="F6829" i="9"/>
  <c r="E6829" i="9"/>
  <c r="F6828" i="9"/>
  <c r="E6828" i="9"/>
  <c r="F6827" i="9"/>
  <c r="E6827" i="9"/>
  <c r="F6826" i="9"/>
  <c r="E6826" i="9"/>
  <c r="F6825" i="9"/>
  <c r="E6825" i="9"/>
  <c r="F6824" i="9"/>
  <c r="E6824" i="9"/>
  <c r="F6823" i="9"/>
  <c r="E6823" i="9"/>
  <c r="F6822" i="9"/>
  <c r="E6822" i="9"/>
  <c r="F6821" i="9"/>
  <c r="E6821" i="9"/>
  <c r="F6820" i="9"/>
  <c r="E6820" i="9"/>
  <c r="F6819" i="9"/>
  <c r="E6819" i="9"/>
  <c r="F6818" i="9"/>
  <c r="E6818" i="9"/>
  <c r="F6817" i="9"/>
  <c r="E6817" i="9"/>
  <c r="F6816" i="9"/>
  <c r="E6816" i="9"/>
  <c r="F6815" i="9"/>
  <c r="E6815" i="9"/>
  <c r="F6814" i="9"/>
  <c r="E6814" i="9"/>
  <c r="F6813" i="9"/>
  <c r="E6813" i="9"/>
  <c r="F6812" i="9"/>
  <c r="E6812" i="9"/>
  <c r="F6811" i="9"/>
  <c r="E6811" i="9"/>
  <c r="F6810" i="9"/>
  <c r="E6810" i="9"/>
  <c r="F6809" i="9"/>
  <c r="E6809" i="9"/>
  <c r="F6808" i="9"/>
  <c r="E6808" i="9"/>
  <c r="F6807" i="9"/>
  <c r="E6807" i="9"/>
  <c r="F6806" i="9"/>
  <c r="E6806" i="9"/>
  <c r="F6805" i="9"/>
  <c r="E6805" i="9"/>
  <c r="F6804" i="9"/>
  <c r="E6804" i="9"/>
  <c r="F6803" i="9"/>
  <c r="E6803" i="9"/>
  <c r="F6802" i="9"/>
  <c r="E6802" i="9"/>
  <c r="F6801" i="9"/>
  <c r="E6801" i="9"/>
  <c r="F6800" i="9"/>
  <c r="E6800" i="9"/>
  <c r="F6799" i="9"/>
  <c r="E6799" i="9"/>
  <c r="F6798" i="9"/>
  <c r="E6798" i="9"/>
  <c r="F6797" i="9"/>
  <c r="E6797" i="9"/>
  <c r="F6796" i="9"/>
  <c r="E6796" i="9"/>
  <c r="F6795" i="9"/>
  <c r="E6795" i="9"/>
  <c r="F6794" i="9"/>
  <c r="E6794" i="9"/>
  <c r="F6793" i="9"/>
  <c r="E6793" i="9"/>
  <c r="F6792" i="9"/>
  <c r="E6792" i="9"/>
  <c r="F6791" i="9"/>
  <c r="E6791" i="9"/>
  <c r="F6790" i="9"/>
  <c r="E6790" i="9"/>
  <c r="F6789" i="9"/>
  <c r="E6789" i="9"/>
  <c r="F6788" i="9"/>
  <c r="E6788" i="9"/>
  <c r="F6787" i="9"/>
  <c r="E6787" i="9"/>
  <c r="F6786" i="9"/>
  <c r="E6786" i="9"/>
  <c r="F6785" i="9"/>
  <c r="E6785" i="9"/>
  <c r="F6784" i="9"/>
  <c r="E6784" i="9"/>
  <c r="F6783" i="9"/>
  <c r="E6783" i="9"/>
  <c r="F6782" i="9"/>
  <c r="E6782" i="9"/>
  <c r="F6781" i="9"/>
  <c r="E6781" i="9"/>
  <c r="F6780" i="9"/>
  <c r="E6780" i="9"/>
  <c r="F6779" i="9"/>
  <c r="E6779" i="9"/>
  <c r="F6778" i="9"/>
  <c r="E6778" i="9"/>
  <c r="F6777" i="9"/>
  <c r="E6777" i="9"/>
  <c r="F6776" i="9"/>
  <c r="E6776" i="9"/>
  <c r="F6775" i="9"/>
  <c r="E6775" i="9"/>
  <c r="F6774" i="9"/>
  <c r="E6774" i="9"/>
  <c r="F6773" i="9"/>
  <c r="E6773" i="9"/>
  <c r="F6772" i="9"/>
  <c r="E6772" i="9"/>
  <c r="F6771" i="9"/>
  <c r="E6771" i="9"/>
  <c r="F6770" i="9"/>
  <c r="E6770" i="9"/>
  <c r="F6769" i="9"/>
  <c r="E6769" i="9"/>
  <c r="F6768" i="9"/>
  <c r="E6768" i="9"/>
  <c r="F6767" i="9"/>
  <c r="E6767" i="9"/>
  <c r="F6766" i="9"/>
  <c r="E6766" i="9"/>
  <c r="F6765" i="9"/>
  <c r="E6765" i="9"/>
  <c r="F6764" i="9"/>
  <c r="E6764" i="9"/>
  <c r="F6763" i="9"/>
  <c r="E6763" i="9"/>
  <c r="F6762" i="9"/>
  <c r="E6762" i="9"/>
  <c r="F6761" i="9"/>
  <c r="E6761" i="9"/>
  <c r="F6760" i="9"/>
  <c r="E6760" i="9"/>
  <c r="F6759" i="9"/>
  <c r="E6759" i="9"/>
  <c r="F6758" i="9"/>
  <c r="E6758" i="9"/>
  <c r="F6757" i="9"/>
  <c r="E6757" i="9"/>
  <c r="F6756" i="9"/>
  <c r="E6756" i="9"/>
  <c r="F6755" i="9"/>
  <c r="E6755" i="9"/>
  <c r="F6754" i="9"/>
  <c r="E6754" i="9"/>
  <c r="F6753" i="9"/>
  <c r="E6753" i="9"/>
  <c r="F6752" i="9"/>
  <c r="E6752" i="9"/>
  <c r="F6751" i="9"/>
  <c r="E6751" i="9"/>
  <c r="F6750" i="9"/>
  <c r="E6750" i="9"/>
  <c r="F6749" i="9"/>
  <c r="E6749" i="9"/>
  <c r="F6748" i="9"/>
  <c r="E6748" i="9"/>
  <c r="F6747" i="9"/>
  <c r="E6747" i="9"/>
  <c r="F6746" i="9"/>
  <c r="E6746" i="9"/>
  <c r="F6745" i="9"/>
  <c r="E6745" i="9"/>
  <c r="F6744" i="9"/>
  <c r="E6744" i="9"/>
  <c r="F6743" i="9"/>
  <c r="E6743" i="9"/>
  <c r="F6742" i="9"/>
  <c r="E6742" i="9"/>
  <c r="F6741" i="9"/>
  <c r="E6741" i="9"/>
  <c r="F6740" i="9"/>
  <c r="E6740" i="9"/>
  <c r="F6739" i="9"/>
  <c r="E6739" i="9"/>
  <c r="F6738" i="9"/>
  <c r="E6738" i="9"/>
  <c r="F6737" i="9"/>
  <c r="E6737" i="9"/>
  <c r="F6736" i="9"/>
  <c r="E6736" i="9"/>
  <c r="F6735" i="9"/>
  <c r="E6735" i="9"/>
  <c r="F6734" i="9"/>
  <c r="E6734" i="9"/>
  <c r="F6733" i="9"/>
  <c r="E6733" i="9"/>
  <c r="F6732" i="9"/>
  <c r="E6732" i="9"/>
  <c r="F6731" i="9"/>
  <c r="E6731" i="9"/>
  <c r="F6730" i="9"/>
  <c r="E6730" i="9"/>
  <c r="F6729" i="9"/>
  <c r="E6729" i="9"/>
  <c r="F6728" i="9"/>
  <c r="E6728" i="9"/>
  <c r="F6727" i="9"/>
  <c r="E6727" i="9"/>
  <c r="F6726" i="9"/>
  <c r="E6726" i="9"/>
  <c r="F6725" i="9"/>
  <c r="E6725" i="9"/>
  <c r="F6724" i="9"/>
  <c r="E6724" i="9"/>
  <c r="F6723" i="9"/>
  <c r="E6723" i="9"/>
  <c r="F6722" i="9"/>
  <c r="E6722" i="9"/>
  <c r="F6721" i="9"/>
  <c r="E6721" i="9"/>
  <c r="F6720" i="9"/>
  <c r="E6720" i="9"/>
  <c r="F6719" i="9"/>
  <c r="E6719" i="9"/>
  <c r="F6718" i="9"/>
  <c r="E6718" i="9"/>
  <c r="F6717" i="9"/>
  <c r="E6717" i="9"/>
  <c r="F6716" i="9"/>
  <c r="E6716" i="9"/>
  <c r="F6715" i="9"/>
  <c r="E6715" i="9"/>
  <c r="F6714" i="9"/>
  <c r="E6714" i="9"/>
  <c r="F6713" i="9"/>
  <c r="E6713" i="9"/>
  <c r="F6712" i="9"/>
  <c r="E6712" i="9"/>
  <c r="F6711" i="9"/>
  <c r="E6711" i="9"/>
  <c r="F6710" i="9"/>
  <c r="E6710" i="9"/>
  <c r="F6709" i="9"/>
  <c r="E6709" i="9"/>
  <c r="F6708" i="9"/>
  <c r="E6708" i="9"/>
  <c r="F6707" i="9"/>
  <c r="E6707" i="9"/>
  <c r="F6706" i="9"/>
  <c r="E6706" i="9"/>
  <c r="F6705" i="9"/>
  <c r="E6705" i="9"/>
  <c r="F6704" i="9"/>
  <c r="E6704" i="9"/>
  <c r="F6703" i="9"/>
  <c r="E6703" i="9"/>
  <c r="F6702" i="9"/>
  <c r="E6702" i="9"/>
  <c r="F6701" i="9"/>
  <c r="E6701" i="9"/>
  <c r="F6700" i="9"/>
  <c r="E6700" i="9"/>
  <c r="F6699" i="9"/>
  <c r="E6699" i="9"/>
  <c r="F6698" i="9"/>
  <c r="E6698" i="9"/>
  <c r="F6697" i="9"/>
  <c r="E6697" i="9"/>
  <c r="F6696" i="9"/>
  <c r="E6696" i="9"/>
  <c r="F6695" i="9"/>
  <c r="E6695" i="9"/>
  <c r="F6694" i="9"/>
  <c r="E6694" i="9"/>
  <c r="F6693" i="9"/>
  <c r="E6693" i="9"/>
  <c r="F6692" i="9"/>
  <c r="E6692" i="9"/>
  <c r="F6691" i="9"/>
  <c r="E6691" i="9"/>
  <c r="F6690" i="9"/>
  <c r="E6690" i="9"/>
  <c r="F6689" i="9"/>
  <c r="E6689" i="9"/>
  <c r="F6688" i="9"/>
  <c r="E6688" i="9"/>
  <c r="F6687" i="9"/>
  <c r="E6687" i="9"/>
  <c r="F6686" i="9"/>
  <c r="E6686" i="9"/>
  <c r="F6685" i="9"/>
  <c r="E6685" i="9"/>
  <c r="F6684" i="9"/>
  <c r="E6684" i="9"/>
  <c r="F6683" i="9"/>
  <c r="E6683" i="9"/>
  <c r="F6682" i="9"/>
  <c r="E6682" i="9"/>
  <c r="F6681" i="9"/>
  <c r="E6681" i="9"/>
  <c r="F6680" i="9"/>
  <c r="E6680" i="9"/>
  <c r="F6679" i="9"/>
  <c r="E6679" i="9"/>
  <c r="F6678" i="9"/>
  <c r="E6678" i="9"/>
  <c r="F6677" i="9"/>
  <c r="E6677" i="9"/>
  <c r="F6676" i="9"/>
  <c r="E6676" i="9"/>
  <c r="F6675" i="9"/>
  <c r="E6675" i="9"/>
  <c r="F6674" i="9"/>
  <c r="E6674" i="9"/>
  <c r="F6673" i="9"/>
  <c r="E6673" i="9"/>
  <c r="F6672" i="9"/>
  <c r="E6672" i="9"/>
  <c r="F6671" i="9"/>
  <c r="E6671" i="9"/>
  <c r="F6670" i="9"/>
  <c r="E6670" i="9"/>
  <c r="F6669" i="9"/>
  <c r="E6669" i="9"/>
  <c r="F6668" i="9"/>
  <c r="E6668" i="9"/>
  <c r="F6667" i="9"/>
  <c r="E6667" i="9"/>
  <c r="F6666" i="9"/>
  <c r="E6666" i="9"/>
  <c r="F6665" i="9"/>
  <c r="E6665" i="9"/>
  <c r="F6664" i="9"/>
  <c r="E6664" i="9"/>
  <c r="F6663" i="9"/>
  <c r="E6663" i="9"/>
  <c r="F6662" i="9"/>
  <c r="E6662" i="9"/>
  <c r="F6661" i="9"/>
  <c r="E6661" i="9"/>
  <c r="F6660" i="9"/>
  <c r="E6660" i="9"/>
  <c r="F6659" i="9"/>
  <c r="E6659" i="9"/>
  <c r="F6658" i="9"/>
  <c r="E6658" i="9"/>
  <c r="F6657" i="9"/>
  <c r="E6657" i="9"/>
  <c r="F6656" i="9"/>
  <c r="E6656" i="9"/>
  <c r="F6655" i="9"/>
  <c r="E6655" i="9"/>
  <c r="F6654" i="9"/>
  <c r="E6654" i="9"/>
  <c r="F6653" i="9"/>
  <c r="E6653" i="9"/>
  <c r="F6652" i="9"/>
  <c r="E6652" i="9"/>
  <c r="F6651" i="9"/>
  <c r="E6651" i="9"/>
  <c r="F6650" i="9"/>
  <c r="E6650" i="9"/>
  <c r="F6649" i="9"/>
  <c r="E6649" i="9"/>
  <c r="F6648" i="9"/>
  <c r="E6648" i="9"/>
  <c r="F6647" i="9"/>
  <c r="E6647" i="9"/>
  <c r="F6646" i="9"/>
  <c r="E6646" i="9"/>
  <c r="F6645" i="9"/>
  <c r="E6645" i="9"/>
  <c r="F6644" i="9"/>
  <c r="E6644" i="9"/>
  <c r="F6643" i="9"/>
  <c r="E6643" i="9"/>
  <c r="F6642" i="9"/>
  <c r="E6642" i="9"/>
  <c r="F6641" i="9"/>
  <c r="E6641" i="9"/>
  <c r="F6640" i="9"/>
  <c r="E6640" i="9"/>
  <c r="F6639" i="9"/>
  <c r="E6639" i="9"/>
  <c r="F6638" i="9"/>
  <c r="E6638" i="9"/>
  <c r="F6637" i="9"/>
  <c r="E6637" i="9"/>
  <c r="F6636" i="9"/>
  <c r="E6636" i="9"/>
  <c r="F6635" i="9"/>
  <c r="E6635" i="9"/>
  <c r="F6634" i="9"/>
  <c r="E6634" i="9"/>
  <c r="F6633" i="9"/>
  <c r="E6633" i="9"/>
  <c r="F6632" i="9"/>
  <c r="E6632" i="9"/>
  <c r="F6631" i="9"/>
  <c r="E6631" i="9"/>
  <c r="F6630" i="9"/>
  <c r="E6630" i="9"/>
  <c r="F6629" i="9"/>
  <c r="E6629" i="9"/>
  <c r="F6628" i="9"/>
  <c r="E6628" i="9"/>
  <c r="F6627" i="9"/>
  <c r="E6627" i="9"/>
  <c r="F6626" i="9"/>
  <c r="E6626" i="9"/>
  <c r="F6625" i="9"/>
  <c r="E6625" i="9"/>
  <c r="F6624" i="9"/>
  <c r="E6624" i="9"/>
  <c r="F6623" i="9"/>
  <c r="E6623" i="9"/>
  <c r="F6622" i="9"/>
  <c r="E6622" i="9"/>
  <c r="F6621" i="9"/>
  <c r="E6621" i="9"/>
  <c r="F6620" i="9"/>
  <c r="E6620" i="9"/>
  <c r="F6619" i="9"/>
  <c r="E6619" i="9"/>
  <c r="F6618" i="9"/>
  <c r="E6618" i="9"/>
  <c r="F6617" i="9"/>
  <c r="E6617" i="9"/>
  <c r="F6616" i="9"/>
  <c r="E6616" i="9"/>
  <c r="F6615" i="9"/>
  <c r="E6615" i="9"/>
  <c r="F6614" i="9"/>
  <c r="E6614" i="9"/>
  <c r="F6613" i="9"/>
  <c r="E6613" i="9"/>
  <c r="F6612" i="9"/>
  <c r="E6612" i="9"/>
  <c r="F6611" i="9"/>
  <c r="E6611" i="9"/>
  <c r="F6610" i="9"/>
  <c r="E6610" i="9"/>
  <c r="F6609" i="9"/>
  <c r="E6609" i="9"/>
  <c r="F6608" i="9"/>
  <c r="E6608" i="9"/>
  <c r="F6607" i="9"/>
  <c r="E6607" i="9"/>
  <c r="F6606" i="9"/>
  <c r="E6606" i="9"/>
  <c r="F6605" i="9"/>
  <c r="E6605" i="9"/>
  <c r="F6604" i="9"/>
  <c r="E6604" i="9"/>
  <c r="F6603" i="9"/>
  <c r="E6603" i="9"/>
  <c r="F6602" i="9"/>
  <c r="E6602" i="9"/>
  <c r="F6601" i="9"/>
  <c r="E6601" i="9"/>
  <c r="F6600" i="9"/>
  <c r="E6600" i="9"/>
  <c r="F6599" i="9"/>
  <c r="E6599" i="9"/>
  <c r="F6598" i="9"/>
  <c r="E6598" i="9"/>
  <c r="F6597" i="9"/>
  <c r="E6597" i="9"/>
  <c r="F6596" i="9"/>
  <c r="E6596" i="9"/>
  <c r="F6595" i="9"/>
  <c r="E6595" i="9"/>
  <c r="F6594" i="9"/>
  <c r="E6594" i="9"/>
  <c r="F6593" i="9"/>
  <c r="E6593" i="9"/>
  <c r="F6592" i="9"/>
  <c r="E6592" i="9"/>
  <c r="F6591" i="9"/>
  <c r="E6591" i="9"/>
  <c r="F6590" i="9"/>
  <c r="E6590" i="9"/>
  <c r="F6589" i="9"/>
  <c r="E6589" i="9"/>
  <c r="F6588" i="9"/>
  <c r="E6588" i="9"/>
  <c r="F6587" i="9"/>
  <c r="E6587" i="9"/>
  <c r="F6586" i="9"/>
  <c r="E6586" i="9"/>
  <c r="F6585" i="9"/>
  <c r="E6585" i="9"/>
  <c r="F6584" i="9"/>
  <c r="E6584" i="9"/>
  <c r="F6583" i="9"/>
  <c r="E6583" i="9"/>
  <c r="F6582" i="9"/>
  <c r="E6582" i="9"/>
  <c r="F6581" i="9"/>
  <c r="E6581" i="9"/>
  <c r="F6580" i="9"/>
  <c r="E6580" i="9"/>
  <c r="F6579" i="9"/>
  <c r="E6579" i="9"/>
  <c r="F6578" i="9"/>
  <c r="E6578" i="9"/>
  <c r="F6577" i="9"/>
  <c r="E6577" i="9"/>
  <c r="F6576" i="9"/>
  <c r="E6576" i="9"/>
  <c r="F6575" i="9"/>
  <c r="E6575" i="9"/>
  <c r="F6574" i="9"/>
  <c r="E6574" i="9"/>
  <c r="F6573" i="9"/>
  <c r="E6573" i="9"/>
  <c r="F6572" i="9"/>
  <c r="E6572" i="9"/>
  <c r="F6571" i="9"/>
  <c r="E6571" i="9"/>
  <c r="F6570" i="9"/>
  <c r="E6570" i="9"/>
  <c r="F6569" i="9"/>
  <c r="E6569" i="9"/>
  <c r="F6568" i="9"/>
  <c r="E6568" i="9"/>
  <c r="F6567" i="9"/>
  <c r="E6567" i="9"/>
  <c r="F6566" i="9"/>
  <c r="E6566" i="9"/>
  <c r="F6565" i="9"/>
  <c r="E6565" i="9"/>
  <c r="F6564" i="9"/>
  <c r="E6564" i="9"/>
  <c r="F6563" i="9"/>
  <c r="E6563" i="9"/>
  <c r="F6562" i="9"/>
  <c r="E6562" i="9"/>
  <c r="F6561" i="9"/>
  <c r="E6561" i="9"/>
  <c r="F6560" i="9"/>
  <c r="E6560" i="9"/>
  <c r="F6559" i="9"/>
  <c r="E6559" i="9"/>
  <c r="F6558" i="9"/>
  <c r="E6558" i="9"/>
  <c r="F6557" i="9"/>
  <c r="E6557" i="9"/>
  <c r="F6556" i="9"/>
  <c r="E6556" i="9"/>
  <c r="F6555" i="9"/>
  <c r="E6555" i="9"/>
  <c r="F6554" i="9"/>
  <c r="E6554" i="9"/>
  <c r="F6553" i="9"/>
  <c r="E6553" i="9"/>
  <c r="F6552" i="9"/>
  <c r="E6552" i="9"/>
  <c r="F6551" i="9"/>
  <c r="E6551" i="9"/>
  <c r="F6550" i="9"/>
  <c r="E6550" i="9"/>
  <c r="F6549" i="9"/>
  <c r="E6549" i="9"/>
  <c r="F6548" i="9"/>
  <c r="E6548" i="9"/>
  <c r="F6547" i="9"/>
  <c r="E6547" i="9"/>
  <c r="F6546" i="9"/>
  <c r="E6546" i="9"/>
  <c r="F6545" i="9"/>
  <c r="E6545" i="9"/>
  <c r="F6544" i="9"/>
  <c r="E6544" i="9"/>
  <c r="F6543" i="9"/>
  <c r="E6543" i="9"/>
  <c r="F6542" i="9"/>
  <c r="E6542" i="9"/>
  <c r="F6541" i="9"/>
  <c r="E6541" i="9"/>
  <c r="F6540" i="9"/>
  <c r="E6540" i="9"/>
  <c r="F6539" i="9"/>
  <c r="E6539" i="9"/>
  <c r="F6538" i="9"/>
  <c r="E6538" i="9"/>
  <c r="F6537" i="9"/>
  <c r="E6537" i="9"/>
  <c r="F6536" i="9"/>
  <c r="E6536" i="9"/>
  <c r="F6535" i="9"/>
  <c r="E6535" i="9"/>
  <c r="F6534" i="9"/>
  <c r="E6534" i="9"/>
  <c r="F6533" i="9"/>
  <c r="E6533" i="9"/>
  <c r="F6532" i="9"/>
  <c r="E6532" i="9"/>
  <c r="F6531" i="9"/>
  <c r="E6531" i="9"/>
  <c r="F6530" i="9"/>
  <c r="E6530" i="9"/>
  <c r="F6529" i="9"/>
  <c r="E6529" i="9"/>
  <c r="F6528" i="9"/>
  <c r="E6528" i="9"/>
  <c r="F6527" i="9"/>
  <c r="E6527" i="9"/>
  <c r="F6526" i="9"/>
  <c r="E6526" i="9"/>
  <c r="F6525" i="9"/>
  <c r="E6525" i="9"/>
  <c r="F6524" i="9"/>
  <c r="E6524" i="9"/>
  <c r="F6523" i="9"/>
  <c r="E6523" i="9"/>
  <c r="F6522" i="9"/>
  <c r="E6522" i="9"/>
  <c r="F6521" i="9"/>
  <c r="E6521" i="9"/>
  <c r="F6520" i="9"/>
  <c r="E6520" i="9"/>
  <c r="F6519" i="9"/>
  <c r="E6519" i="9"/>
  <c r="F6518" i="9"/>
  <c r="E6518" i="9"/>
  <c r="F6517" i="9"/>
  <c r="E6517" i="9"/>
  <c r="F6516" i="9"/>
  <c r="E6516" i="9"/>
  <c r="F6515" i="9"/>
  <c r="E6515" i="9"/>
  <c r="F6514" i="9"/>
  <c r="E6514" i="9"/>
  <c r="F6513" i="9"/>
  <c r="E6513" i="9"/>
  <c r="F6512" i="9"/>
  <c r="E6512" i="9"/>
  <c r="F6511" i="9"/>
  <c r="E6511" i="9"/>
  <c r="F6510" i="9"/>
  <c r="E6510" i="9"/>
  <c r="F6509" i="9"/>
  <c r="E6509" i="9"/>
  <c r="F6508" i="9"/>
  <c r="E6508" i="9"/>
  <c r="F6507" i="9"/>
  <c r="E6507" i="9"/>
  <c r="F6506" i="9"/>
  <c r="E6506" i="9"/>
  <c r="F6505" i="9"/>
  <c r="E6505" i="9"/>
  <c r="F6504" i="9"/>
  <c r="E6504" i="9"/>
  <c r="F6503" i="9"/>
  <c r="E6503" i="9"/>
  <c r="F6502" i="9"/>
  <c r="E6502" i="9"/>
  <c r="F6501" i="9"/>
  <c r="E6501" i="9"/>
  <c r="F6500" i="9"/>
  <c r="E6500" i="9"/>
  <c r="F6499" i="9"/>
  <c r="E6499" i="9"/>
  <c r="F6498" i="9"/>
  <c r="E6498" i="9"/>
  <c r="F6497" i="9"/>
  <c r="E6497" i="9"/>
  <c r="F6496" i="9"/>
  <c r="E6496" i="9"/>
  <c r="F6495" i="9"/>
  <c r="E6495" i="9"/>
  <c r="F6494" i="9"/>
  <c r="E6494" i="9"/>
  <c r="F6493" i="9"/>
  <c r="E6493" i="9"/>
  <c r="F6492" i="9"/>
  <c r="E6492" i="9"/>
  <c r="F6491" i="9"/>
  <c r="E6491" i="9"/>
  <c r="F6490" i="9"/>
  <c r="E6490" i="9"/>
  <c r="F6489" i="9"/>
  <c r="E6489" i="9"/>
  <c r="F6488" i="9"/>
  <c r="E6488" i="9"/>
  <c r="F6487" i="9"/>
  <c r="E6487" i="9"/>
  <c r="F6486" i="9"/>
  <c r="E6486" i="9"/>
  <c r="F6485" i="9"/>
  <c r="E6485" i="9"/>
  <c r="F6484" i="9"/>
  <c r="E6484" i="9"/>
  <c r="F6483" i="9"/>
  <c r="E6483" i="9"/>
  <c r="F6482" i="9"/>
  <c r="E6482" i="9"/>
  <c r="F6481" i="9"/>
  <c r="E6481" i="9"/>
  <c r="F6480" i="9"/>
  <c r="E6480" i="9"/>
  <c r="F6479" i="9"/>
  <c r="E6479" i="9"/>
  <c r="F6478" i="9"/>
  <c r="E6478" i="9"/>
  <c r="F6477" i="9"/>
  <c r="E6477" i="9"/>
  <c r="F6476" i="9"/>
  <c r="E6476" i="9"/>
  <c r="F6475" i="9"/>
  <c r="E6475" i="9"/>
  <c r="F6474" i="9"/>
  <c r="E6474" i="9"/>
  <c r="F6473" i="9"/>
  <c r="E6473" i="9"/>
  <c r="F6472" i="9"/>
  <c r="E6472" i="9"/>
  <c r="F6471" i="9"/>
  <c r="E6471" i="9"/>
  <c r="F6470" i="9"/>
  <c r="E6470" i="9"/>
  <c r="F6469" i="9"/>
  <c r="E6469" i="9"/>
  <c r="F6468" i="9"/>
  <c r="E6468" i="9"/>
  <c r="F6467" i="9"/>
  <c r="E6467" i="9"/>
  <c r="F6466" i="9"/>
  <c r="E6466" i="9"/>
  <c r="F6465" i="9"/>
  <c r="E6465" i="9"/>
  <c r="F6464" i="9"/>
  <c r="E6464" i="9"/>
  <c r="F6463" i="9"/>
  <c r="E6463" i="9"/>
  <c r="F6462" i="9"/>
  <c r="E6462" i="9"/>
  <c r="F6461" i="9"/>
  <c r="E6461" i="9"/>
  <c r="F6460" i="9"/>
  <c r="E6460" i="9"/>
  <c r="F6459" i="9"/>
  <c r="E6459" i="9"/>
  <c r="F6458" i="9"/>
  <c r="E6458" i="9"/>
  <c r="F6457" i="9"/>
  <c r="E6457" i="9"/>
  <c r="F6456" i="9"/>
  <c r="E6456" i="9"/>
  <c r="F6455" i="9"/>
  <c r="E6455" i="9"/>
  <c r="F6454" i="9"/>
  <c r="E6454" i="9"/>
  <c r="F6453" i="9"/>
  <c r="E6453" i="9"/>
  <c r="F6452" i="9"/>
  <c r="E6452" i="9"/>
  <c r="F6451" i="9"/>
  <c r="E6451" i="9"/>
  <c r="F6450" i="9"/>
  <c r="E6450" i="9"/>
  <c r="F6449" i="9"/>
  <c r="E6449" i="9"/>
  <c r="F6448" i="9"/>
  <c r="E6448" i="9"/>
  <c r="F6447" i="9"/>
  <c r="E6447" i="9"/>
  <c r="F6446" i="9"/>
  <c r="E6446" i="9"/>
  <c r="F6445" i="9"/>
  <c r="E6445" i="9"/>
  <c r="F6444" i="9"/>
  <c r="E6444" i="9"/>
  <c r="F6443" i="9"/>
  <c r="E6443" i="9"/>
  <c r="F6442" i="9"/>
  <c r="E6442" i="9"/>
  <c r="F6441" i="9"/>
  <c r="E6441" i="9"/>
  <c r="F6440" i="9"/>
  <c r="E6440" i="9"/>
  <c r="F6439" i="9"/>
  <c r="E6439" i="9"/>
  <c r="F6438" i="9"/>
  <c r="E6438" i="9"/>
  <c r="F6437" i="9"/>
  <c r="E6437" i="9"/>
  <c r="F6436" i="9"/>
  <c r="E6436" i="9"/>
  <c r="F6435" i="9"/>
  <c r="E6435" i="9"/>
  <c r="F6434" i="9"/>
  <c r="E6434" i="9"/>
  <c r="F6433" i="9"/>
  <c r="E6433" i="9"/>
  <c r="F6432" i="9"/>
  <c r="E6432" i="9"/>
  <c r="F6431" i="9"/>
  <c r="E6431" i="9"/>
  <c r="F6430" i="9"/>
  <c r="E6430" i="9"/>
  <c r="F6429" i="9"/>
  <c r="E6429" i="9"/>
  <c r="F6428" i="9"/>
  <c r="E6428" i="9"/>
  <c r="F6427" i="9"/>
  <c r="E6427" i="9"/>
  <c r="F6426" i="9"/>
  <c r="E6426" i="9"/>
  <c r="F6425" i="9"/>
  <c r="E6425" i="9"/>
  <c r="F6424" i="9"/>
  <c r="E6424" i="9"/>
  <c r="F6423" i="9"/>
  <c r="E6423" i="9"/>
  <c r="F6422" i="9"/>
  <c r="E6422" i="9"/>
  <c r="F6421" i="9"/>
  <c r="E6421" i="9"/>
  <c r="F6420" i="9"/>
  <c r="E6420" i="9"/>
  <c r="F6419" i="9"/>
  <c r="E6419" i="9"/>
  <c r="F6418" i="9"/>
  <c r="E6418" i="9"/>
  <c r="F6417" i="9"/>
  <c r="E6417" i="9"/>
  <c r="F6416" i="9"/>
  <c r="E6416" i="9"/>
  <c r="F6415" i="9"/>
  <c r="E6415" i="9"/>
  <c r="F6414" i="9"/>
  <c r="E6414" i="9"/>
  <c r="F6413" i="9"/>
  <c r="E6413" i="9"/>
  <c r="F6412" i="9"/>
  <c r="E6412" i="9"/>
  <c r="F6411" i="9"/>
  <c r="E6411" i="9"/>
  <c r="F6410" i="9"/>
  <c r="E6410" i="9"/>
  <c r="F6409" i="9"/>
  <c r="E6409" i="9"/>
  <c r="F6408" i="9"/>
  <c r="E6408" i="9"/>
  <c r="F6407" i="9"/>
  <c r="E6407" i="9"/>
  <c r="F6406" i="9"/>
  <c r="E6406" i="9"/>
  <c r="F6405" i="9"/>
  <c r="E6405" i="9"/>
  <c r="F6404" i="9"/>
  <c r="E6404" i="9"/>
  <c r="F6403" i="9"/>
  <c r="E6403" i="9"/>
  <c r="F6402" i="9"/>
  <c r="E6402" i="9"/>
  <c r="F6401" i="9"/>
  <c r="E6401" i="9"/>
  <c r="F6400" i="9"/>
  <c r="E6400" i="9"/>
  <c r="F6399" i="9"/>
  <c r="E6399" i="9"/>
  <c r="F6398" i="9"/>
  <c r="E6398" i="9"/>
  <c r="F6397" i="9"/>
  <c r="E6397" i="9"/>
  <c r="F6396" i="9"/>
  <c r="E6396" i="9"/>
  <c r="F6395" i="9"/>
  <c r="E6395" i="9"/>
  <c r="F6394" i="9"/>
  <c r="E6394" i="9"/>
  <c r="F6393" i="9"/>
  <c r="E6393" i="9"/>
  <c r="F6392" i="9"/>
  <c r="E6392" i="9"/>
  <c r="F6391" i="9"/>
  <c r="E6391" i="9"/>
  <c r="F6390" i="9"/>
  <c r="E6390" i="9"/>
  <c r="F6389" i="9"/>
  <c r="E6389" i="9"/>
  <c r="F6388" i="9"/>
  <c r="E6388" i="9"/>
  <c r="F6387" i="9"/>
  <c r="E6387" i="9"/>
  <c r="F6386" i="9"/>
  <c r="E6386" i="9"/>
  <c r="F6385" i="9"/>
  <c r="E6385" i="9"/>
  <c r="F6384" i="9"/>
  <c r="E6384" i="9"/>
  <c r="F6383" i="9"/>
  <c r="E6383" i="9"/>
  <c r="F6382" i="9"/>
  <c r="E6382" i="9"/>
  <c r="F6381" i="9"/>
  <c r="E6381" i="9"/>
  <c r="F6380" i="9"/>
  <c r="E6380" i="9"/>
  <c r="F6379" i="9"/>
  <c r="E6379" i="9"/>
  <c r="F6378" i="9"/>
  <c r="E6378" i="9"/>
  <c r="F6377" i="9"/>
  <c r="E6377" i="9"/>
  <c r="F6376" i="9"/>
  <c r="E6376" i="9"/>
  <c r="F6375" i="9"/>
  <c r="E6375" i="9"/>
  <c r="F6374" i="9"/>
  <c r="E6374" i="9"/>
  <c r="F6373" i="9"/>
  <c r="E6373" i="9"/>
  <c r="F6372" i="9"/>
  <c r="E6372" i="9"/>
  <c r="F6371" i="9"/>
  <c r="E6371" i="9"/>
  <c r="F6370" i="9"/>
  <c r="E6370" i="9"/>
  <c r="F6369" i="9"/>
  <c r="E6369" i="9"/>
  <c r="F6368" i="9"/>
  <c r="E6368" i="9"/>
  <c r="F6367" i="9"/>
  <c r="E6367" i="9"/>
  <c r="F6366" i="9"/>
  <c r="E6366" i="9"/>
  <c r="F6365" i="9"/>
  <c r="E6365" i="9"/>
  <c r="F6364" i="9"/>
  <c r="E6364" i="9"/>
  <c r="F6363" i="9"/>
  <c r="E6363" i="9"/>
  <c r="F6362" i="9"/>
  <c r="E6362" i="9"/>
  <c r="F6361" i="9"/>
  <c r="E6361" i="9"/>
  <c r="F6360" i="9"/>
  <c r="E6360" i="9"/>
  <c r="F6359" i="9"/>
  <c r="E6359" i="9"/>
  <c r="F6358" i="9"/>
  <c r="E6358" i="9"/>
  <c r="F6357" i="9"/>
  <c r="E6357" i="9"/>
  <c r="F6356" i="9"/>
  <c r="E6356" i="9"/>
  <c r="F6355" i="9"/>
  <c r="E6355" i="9"/>
  <c r="F6354" i="9"/>
  <c r="E6354" i="9"/>
  <c r="F6353" i="9"/>
  <c r="E6353" i="9"/>
  <c r="F6352" i="9"/>
  <c r="E6352" i="9"/>
  <c r="F6351" i="9"/>
  <c r="E6351" i="9"/>
  <c r="F6350" i="9"/>
  <c r="E6350" i="9"/>
  <c r="F6349" i="9"/>
  <c r="E6349" i="9"/>
  <c r="F6348" i="9"/>
  <c r="E6348" i="9"/>
  <c r="F6347" i="9"/>
  <c r="E6347" i="9"/>
  <c r="F6346" i="9"/>
  <c r="E6346" i="9"/>
  <c r="F6345" i="9"/>
  <c r="E6345" i="9"/>
  <c r="F6344" i="9"/>
  <c r="E6344" i="9"/>
  <c r="F6343" i="9"/>
  <c r="E6343" i="9"/>
  <c r="F6342" i="9"/>
  <c r="E6342" i="9"/>
  <c r="F6341" i="9"/>
  <c r="E6341" i="9"/>
  <c r="F6340" i="9"/>
  <c r="E6340" i="9"/>
  <c r="F6339" i="9"/>
  <c r="E6339" i="9"/>
  <c r="F6338" i="9"/>
  <c r="E6338" i="9"/>
  <c r="F6337" i="9"/>
  <c r="E6337" i="9"/>
  <c r="F6336" i="9"/>
  <c r="E6336" i="9"/>
  <c r="F6335" i="9"/>
  <c r="E6335" i="9"/>
  <c r="F6334" i="9"/>
  <c r="E6334" i="9"/>
  <c r="F6333" i="9"/>
  <c r="E6333" i="9"/>
  <c r="F6332" i="9"/>
  <c r="E6332" i="9"/>
  <c r="F6331" i="9"/>
  <c r="E6331" i="9"/>
  <c r="F6330" i="9"/>
  <c r="E6330" i="9"/>
  <c r="F6329" i="9"/>
  <c r="E6329" i="9"/>
  <c r="F6328" i="9"/>
  <c r="E6328" i="9"/>
  <c r="F6327" i="9"/>
  <c r="E6327" i="9"/>
  <c r="F6326" i="9"/>
  <c r="E6326" i="9"/>
  <c r="F6325" i="9"/>
  <c r="E6325" i="9"/>
  <c r="F6324" i="9"/>
  <c r="E6324" i="9"/>
  <c r="F6323" i="9"/>
  <c r="E6323" i="9"/>
  <c r="F6322" i="9"/>
  <c r="E6322" i="9"/>
  <c r="F6321" i="9"/>
  <c r="E6321" i="9"/>
  <c r="F6320" i="9"/>
  <c r="E6320" i="9"/>
  <c r="F6319" i="9"/>
  <c r="E6319" i="9"/>
  <c r="F6318" i="9"/>
  <c r="E6318" i="9"/>
  <c r="F6317" i="9"/>
  <c r="E6317" i="9"/>
  <c r="F6316" i="9"/>
  <c r="E6316" i="9"/>
  <c r="F6315" i="9"/>
  <c r="E6315" i="9"/>
  <c r="F6314" i="9"/>
  <c r="E6314" i="9"/>
  <c r="F6313" i="9"/>
  <c r="E6313" i="9"/>
  <c r="F6312" i="9"/>
  <c r="E6312" i="9"/>
  <c r="F6311" i="9"/>
  <c r="E6311" i="9"/>
  <c r="F6310" i="9"/>
  <c r="E6310" i="9"/>
  <c r="F6309" i="9"/>
  <c r="E6309" i="9"/>
  <c r="F6308" i="9"/>
  <c r="E6308" i="9"/>
  <c r="F6307" i="9"/>
  <c r="E6307" i="9"/>
  <c r="F6306" i="9"/>
  <c r="E6306" i="9"/>
  <c r="F6305" i="9"/>
  <c r="E6305" i="9"/>
  <c r="F6304" i="9"/>
  <c r="E6304" i="9"/>
  <c r="F6303" i="9"/>
  <c r="E6303" i="9"/>
  <c r="F6302" i="9"/>
  <c r="E6302" i="9"/>
  <c r="F6301" i="9"/>
  <c r="E6301" i="9"/>
  <c r="F6300" i="9"/>
  <c r="E6300" i="9"/>
  <c r="F6299" i="9"/>
  <c r="E6299" i="9"/>
  <c r="F6298" i="9"/>
  <c r="E6298" i="9"/>
  <c r="F6297" i="9"/>
  <c r="E6297" i="9"/>
  <c r="F6296" i="9"/>
  <c r="E6296" i="9"/>
  <c r="F6295" i="9"/>
  <c r="E6295" i="9"/>
  <c r="F6294" i="9"/>
  <c r="E6294" i="9"/>
  <c r="F6293" i="9"/>
  <c r="E6293" i="9"/>
  <c r="F6292" i="9"/>
  <c r="E6292" i="9"/>
  <c r="F6291" i="9"/>
  <c r="E6291" i="9"/>
  <c r="F6290" i="9"/>
  <c r="E6290" i="9"/>
  <c r="F6289" i="9"/>
  <c r="E6289" i="9"/>
  <c r="F6288" i="9"/>
  <c r="E6288" i="9"/>
  <c r="F6287" i="9"/>
  <c r="E6287" i="9"/>
  <c r="F6286" i="9"/>
  <c r="E6286" i="9"/>
  <c r="F6285" i="9"/>
  <c r="E6285" i="9"/>
  <c r="F6284" i="9"/>
  <c r="E6284" i="9"/>
  <c r="F6283" i="9"/>
  <c r="E6283" i="9"/>
  <c r="F6282" i="9"/>
  <c r="E6282" i="9"/>
  <c r="F6281" i="9"/>
  <c r="E6281" i="9"/>
  <c r="F6280" i="9"/>
  <c r="E6280" i="9"/>
  <c r="F6279" i="9"/>
  <c r="E6279" i="9"/>
  <c r="F6278" i="9"/>
  <c r="E6278" i="9"/>
  <c r="F6277" i="9"/>
  <c r="E6277" i="9"/>
  <c r="F6276" i="9"/>
  <c r="E6276" i="9"/>
  <c r="F6275" i="9"/>
  <c r="E6275" i="9"/>
  <c r="F6274" i="9"/>
  <c r="E6274" i="9"/>
  <c r="F6273" i="9"/>
  <c r="E6273" i="9"/>
  <c r="F6272" i="9"/>
  <c r="E6272" i="9"/>
  <c r="F6271" i="9"/>
  <c r="E6271" i="9"/>
  <c r="F6270" i="9"/>
  <c r="E6270" i="9"/>
  <c r="F6269" i="9"/>
  <c r="E6269" i="9"/>
  <c r="F6268" i="9"/>
  <c r="E6268" i="9"/>
  <c r="F6267" i="9"/>
  <c r="E6267" i="9"/>
  <c r="F6266" i="9"/>
  <c r="E6266" i="9"/>
  <c r="F6265" i="9"/>
  <c r="E6265" i="9"/>
  <c r="F6264" i="9"/>
  <c r="E6264" i="9"/>
  <c r="F6263" i="9"/>
  <c r="E6263" i="9"/>
  <c r="F6262" i="9"/>
  <c r="E6262" i="9"/>
  <c r="F6261" i="9"/>
  <c r="E6261" i="9"/>
  <c r="F6260" i="9"/>
  <c r="E6260" i="9"/>
  <c r="F6259" i="9"/>
  <c r="E6259" i="9"/>
  <c r="F6258" i="9"/>
  <c r="E6258" i="9"/>
  <c r="F6257" i="9"/>
  <c r="E6257" i="9"/>
  <c r="F6256" i="9"/>
  <c r="E6256" i="9"/>
  <c r="F6255" i="9"/>
  <c r="E6255" i="9"/>
  <c r="F6254" i="9"/>
  <c r="E6254" i="9"/>
  <c r="F6253" i="9"/>
  <c r="E6253" i="9"/>
  <c r="F6252" i="9"/>
  <c r="E6252" i="9"/>
  <c r="F6251" i="9"/>
  <c r="E6251" i="9"/>
  <c r="F6250" i="9"/>
  <c r="E6250" i="9"/>
  <c r="F6249" i="9"/>
  <c r="E6249" i="9"/>
  <c r="F6248" i="9"/>
  <c r="E6248" i="9"/>
  <c r="F6247" i="9"/>
  <c r="E6247" i="9"/>
  <c r="F6246" i="9"/>
  <c r="E6246" i="9"/>
  <c r="F6245" i="9"/>
  <c r="E6245" i="9"/>
  <c r="F6244" i="9"/>
  <c r="E6244" i="9"/>
  <c r="F6243" i="9"/>
  <c r="E6243" i="9"/>
  <c r="F6242" i="9"/>
  <c r="E6242" i="9"/>
  <c r="F6241" i="9"/>
  <c r="E6241" i="9"/>
  <c r="F6240" i="9"/>
  <c r="E6240" i="9"/>
  <c r="F6239" i="9"/>
  <c r="E6239" i="9"/>
  <c r="F6238" i="9"/>
  <c r="E6238" i="9"/>
  <c r="F6237" i="9"/>
  <c r="E6237" i="9"/>
  <c r="F6236" i="9"/>
  <c r="E6236" i="9"/>
  <c r="F6235" i="9"/>
  <c r="E6235" i="9"/>
  <c r="F6234" i="9"/>
  <c r="E6234" i="9"/>
  <c r="F6233" i="9"/>
  <c r="E6233" i="9"/>
  <c r="F6232" i="9"/>
  <c r="E6232" i="9"/>
  <c r="F6231" i="9"/>
  <c r="E6231" i="9"/>
  <c r="F6230" i="9"/>
  <c r="E6230" i="9"/>
  <c r="F6229" i="9"/>
  <c r="E6229" i="9"/>
  <c r="F6228" i="9"/>
  <c r="E6228" i="9"/>
  <c r="F6227" i="9"/>
  <c r="E6227" i="9"/>
  <c r="F6226" i="9"/>
  <c r="E6226" i="9"/>
  <c r="F6225" i="9"/>
  <c r="E6225" i="9"/>
  <c r="F6224" i="9"/>
  <c r="E6224" i="9"/>
  <c r="F6223" i="9"/>
  <c r="E6223" i="9"/>
  <c r="F6222" i="9"/>
  <c r="E6222" i="9"/>
  <c r="F6221" i="9"/>
  <c r="E6221" i="9"/>
  <c r="F6220" i="9"/>
  <c r="E6220" i="9"/>
  <c r="F6219" i="9"/>
  <c r="E6219" i="9"/>
  <c r="F6218" i="9"/>
  <c r="E6218" i="9"/>
  <c r="F6217" i="9"/>
  <c r="E6217" i="9"/>
  <c r="F6216" i="9"/>
  <c r="E6216" i="9"/>
  <c r="F6215" i="9"/>
  <c r="E6215" i="9"/>
  <c r="F6214" i="9"/>
  <c r="E6214" i="9"/>
  <c r="F6213" i="9"/>
  <c r="E6213" i="9"/>
  <c r="F6212" i="9"/>
  <c r="E6212" i="9"/>
  <c r="F6211" i="9"/>
  <c r="E6211" i="9"/>
  <c r="F6210" i="9"/>
  <c r="E6210" i="9"/>
  <c r="F6209" i="9"/>
  <c r="E6209" i="9"/>
  <c r="F6208" i="9"/>
  <c r="E6208" i="9"/>
  <c r="F6207" i="9"/>
  <c r="E6207" i="9"/>
  <c r="F6206" i="9"/>
  <c r="E6206" i="9"/>
  <c r="F6205" i="9"/>
  <c r="E6205" i="9"/>
  <c r="F6204" i="9"/>
  <c r="E6204" i="9"/>
  <c r="F6203" i="9"/>
  <c r="E6203" i="9"/>
  <c r="F6202" i="9"/>
  <c r="E6202" i="9"/>
  <c r="F6201" i="9"/>
  <c r="E6201" i="9"/>
  <c r="F6200" i="9"/>
  <c r="E6200" i="9"/>
  <c r="F6199" i="9"/>
  <c r="E6199" i="9"/>
  <c r="F6198" i="9" l="1"/>
  <c r="E6198" i="9"/>
  <c r="F6197" i="9"/>
  <c r="E6197" i="9"/>
  <c r="F6196" i="9"/>
  <c r="E6196" i="9"/>
  <c r="F6195" i="9"/>
  <c r="E6195" i="9"/>
  <c r="F6194" i="9"/>
  <c r="E6194" i="9"/>
  <c r="F6193" i="9"/>
  <c r="E6193" i="9"/>
  <c r="F6192" i="9"/>
  <c r="E6192" i="9"/>
  <c r="F6191" i="9"/>
  <c r="E6191" i="9"/>
  <c r="F6190" i="9"/>
  <c r="E6190" i="9"/>
  <c r="F6189" i="9"/>
  <c r="E6189" i="9"/>
  <c r="F6188" i="9"/>
  <c r="E6188" i="9"/>
  <c r="F6187" i="9"/>
  <c r="E6187" i="9"/>
  <c r="F6186" i="9"/>
  <c r="E6186" i="9"/>
  <c r="F6185" i="9"/>
  <c r="E6185" i="9"/>
  <c r="F6184" i="9"/>
  <c r="E6184" i="9"/>
  <c r="F6183" i="9"/>
  <c r="E6183" i="9"/>
  <c r="F6182" i="9"/>
  <c r="E6182" i="9"/>
  <c r="F6181" i="9"/>
  <c r="E6181" i="9"/>
  <c r="F6180" i="9"/>
  <c r="E6180" i="9"/>
  <c r="F6179" i="9"/>
  <c r="E6179" i="9"/>
  <c r="F6178" i="9"/>
  <c r="E6178" i="9"/>
  <c r="F6177" i="9"/>
  <c r="E6177" i="9"/>
  <c r="F6176" i="9"/>
  <c r="E6176" i="9"/>
  <c r="F6175" i="9"/>
  <c r="E6175" i="9"/>
  <c r="F6174" i="9"/>
  <c r="E6174" i="9"/>
  <c r="F6173" i="9"/>
  <c r="E6173" i="9"/>
  <c r="F6172" i="9"/>
  <c r="E6172" i="9"/>
  <c r="F6171" i="9"/>
  <c r="E6171" i="9"/>
  <c r="F6170" i="9"/>
  <c r="E6170" i="9"/>
  <c r="F6169" i="9"/>
  <c r="E6169" i="9"/>
  <c r="F6168" i="9"/>
  <c r="E6168" i="9"/>
  <c r="F6167" i="9"/>
  <c r="E6167" i="9"/>
  <c r="F6166" i="9"/>
  <c r="E6166" i="9"/>
  <c r="F6165" i="9"/>
  <c r="E6165" i="9"/>
  <c r="F6164" i="9"/>
  <c r="E6164" i="9"/>
  <c r="F6163" i="9"/>
  <c r="E6163" i="9"/>
  <c r="F6162" i="9"/>
  <c r="E6162" i="9"/>
  <c r="F6161" i="9"/>
  <c r="E6161" i="9"/>
  <c r="F6160" i="9"/>
  <c r="E6160" i="9"/>
  <c r="F6159" i="9"/>
  <c r="E6159" i="9"/>
  <c r="F6158" i="9"/>
  <c r="E6158" i="9"/>
  <c r="F6157" i="9"/>
  <c r="E6157" i="9"/>
  <c r="F6156" i="9"/>
  <c r="E6156" i="9"/>
  <c r="F6155" i="9"/>
  <c r="E6155" i="9"/>
  <c r="F6154" i="9"/>
  <c r="E6154" i="9"/>
  <c r="F6153" i="9"/>
  <c r="E6153" i="9"/>
  <c r="F6152" i="9"/>
  <c r="E6152" i="9"/>
  <c r="F6151" i="9"/>
  <c r="E6151" i="9"/>
  <c r="F6150" i="9"/>
  <c r="E6150" i="9"/>
  <c r="F6149" i="9"/>
  <c r="E6149" i="9"/>
  <c r="F6148" i="9"/>
  <c r="E6148" i="9"/>
  <c r="F6147" i="9"/>
  <c r="E6147" i="9"/>
  <c r="F6146" i="9"/>
  <c r="E6146" i="9"/>
  <c r="F6145" i="9"/>
  <c r="E6145" i="9"/>
  <c r="F6144" i="9"/>
  <c r="E6144" i="9"/>
  <c r="F6143" i="9"/>
  <c r="E6143" i="9"/>
  <c r="F6142" i="9"/>
  <c r="E6142" i="9"/>
  <c r="F6141" i="9"/>
  <c r="E6141" i="9"/>
  <c r="F6140" i="9"/>
  <c r="E6140" i="9"/>
  <c r="F6139" i="9"/>
  <c r="E6139" i="9"/>
  <c r="F6138" i="9"/>
  <c r="E6138" i="9"/>
  <c r="F6137" i="9"/>
  <c r="E6137" i="9"/>
  <c r="F6136" i="9"/>
  <c r="E6136" i="9"/>
  <c r="F6135" i="9"/>
  <c r="E6135" i="9"/>
  <c r="F6134" i="9"/>
  <c r="E6134" i="9"/>
  <c r="F6133" i="9"/>
  <c r="E6133" i="9"/>
  <c r="F6132" i="9"/>
  <c r="E6132" i="9"/>
  <c r="F6131" i="9"/>
  <c r="E6131" i="9"/>
  <c r="F6130" i="9"/>
  <c r="E6130" i="9"/>
  <c r="F6129" i="9"/>
  <c r="E6129" i="9"/>
  <c r="F6128" i="9"/>
  <c r="E6128" i="9"/>
  <c r="F6127" i="9"/>
  <c r="E6127" i="9"/>
  <c r="F6126" i="9"/>
  <c r="E6126" i="9"/>
  <c r="F6125" i="9"/>
  <c r="E6125" i="9"/>
  <c r="F6124" i="9"/>
  <c r="E6124" i="9"/>
  <c r="F6123" i="9"/>
  <c r="E6123" i="9"/>
  <c r="F6122" i="9"/>
  <c r="E6122" i="9"/>
  <c r="F6121" i="9"/>
  <c r="E6121" i="9"/>
  <c r="F6120" i="9"/>
  <c r="E6120" i="9"/>
  <c r="F6119" i="9"/>
  <c r="E6119" i="9"/>
  <c r="F6118" i="9"/>
  <c r="E6118" i="9"/>
  <c r="F6117" i="9"/>
  <c r="E6117" i="9"/>
  <c r="F6116" i="9"/>
  <c r="E6116" i="9"/>
  <c r="F6115" i="9"/>
  <c r="E6115" i="9"/>
  <c r="F6114" i="9"/>
  <c r="E6114" i="9"/>
  <c r="F6113" i="9"/>
  <c r="E6113" i="9"/>
  <c r="F6112" i="9"/>
  <c r="E6112" i="9"/>
  <c r="F6111" i="9"/>
  <c r="E6111" i="9"/>
  <c r="F6110" i="9"/>
  <c r="E6110" i="9"/>
  <c r="F6109" i="9"/>
  <c r="E6109" i="9"/>
  <c r="F6108" i="9"/>
  <c r="E6108" i="9"/>
  <c r="F6107" i="9"/>
  <c r="E6107" i="9"/>
  <c r="F6106" i="9"/>
  <c r="E6106" i="9"/>
  <c r="F6105" i="9"/>
  <c r="E6105" i="9"/>
  <c r="F6104" i="9"/>
  <c r="E6104" i="9"/>
  <c r="F6103" i="9"/>
  <c r="E6103" i="9"/>
  <c r="F6102" i="9"/>
  <c r="E6102" i="9"/>
  <c r="F6101" i="9"/>
  <c r="E6101" i="9"/>
  <c r="F6100" i="9"/>
  <c r="E6100" i="9"/>
  <c r="F6099" i="9"/>
  <c r="E6099" i="9"/>
  <c r="F6098" i="9"/>
  <c r="E6098" i="9"/>
  <c r="F6097" i="9"/>
  <c r="E6097" i="9"/>
  <c r="F6096" i="9"/>
  <c r="E6096" i="9"/>
  <c r="F6095" i="9"/>
  <c r="E6095" i="9"/>
  <c r="F6094" i="9"/>
  <c r="E6094" i="9"/>
  <c r="F6093" i="9"/>
  <c r="E6093" i="9"/>
  <c r="F6092" i="9"/>
  <c r="E6092" i="9"/>
  <c r="F6091" i="9"/>
  <c r="E6091" i="9"/>
  <c r="F6090" i="9"/>
  <c r="E6090" i="9"/>
  <c r="F6089" i="9"/>
  <c r="E6089" i="9"/>
  <c r="F6088" i="9"/>
  <c r="E6088" i="9"/>
  <c r="F6087" i="9"/>
  <c r="E6087" i="9"/>
  <c r="F6086" i="9"/>
  <c r="E6086" i="9"/>
  <c r="F6085" i="9"/>
  <c r="E6085" i="9"/>
  <c r="F6084" i="9"/>
  <c r="E6084" i="9"/>
  <c r="F6083" i="9"/>
  <c r="E6083" i="9"/>
  <c r="F6082" i="9"/>
  <c r="E6082" i="9"/>
  <c r="F6081" i="9"/>
  <c r="E6081" i="9"/>
  <c r="F6080" i="9"/>
  <c r="E6080" i="9"/>
  <c r="F6079" i="9"/>
  <c r="E6079" i="9"/>
  <c r="F6078" i="9"/>
  <c r="E6078" i="9"/>
  <c r="F6077" i="9"/>
  <c r="E6077" i="9"/>
  <c r="F6076" i="9"/>
  <c r="E6076" i="9"/>
  <c r="F6075" i="9"/>
  <c r="E6075" i="9"/>
  <c r="F6074" i="9"/>
  <c r="E6074" i="9"/>
  <c r="F6073" i="9"/>
  <c r="E6073" i="9"/>
  <c r="F6072" i="9"/>
  <c r="E6072" i="9"/>
  <c r="F6071" i="9"/>
  <c r="E6071" i="9"/>
  <c r="F6070" i="9"/>
  <c r="E6070" i="9"/>
  <c r="F6069" i="9"/>
  <c r="E6069" i="9"/>
  <c r="F6068" i="9"/>
  <c r="E6068" i="9"/>
  <c r="F6067" i="9"/>
  <c r="E6067" i="9"/>
  <c r="F6066" i="9"/>
  <c r="E6066" i="9"/>
  <c r="F6065" i="9"/>
  <c r="E6065" i="9"/>
  <c r="F6064" i="9"/>
  <c r="E6064" i="9"/>
  <c r="F6063" i="9"/>
  <c r="E6063" i="9"/>
  <c r="F6062" i="9"/>
  <c r="E6062" i="9"/>
  <c r="F6061" i="9"/>
  <c r="E6061" i="9"/>
  <c r="F6060" i="9"/>
  <c r="E6060" i="9"/>
  <c r="F6059" i="9"/>
  <c r="E6059" i="9"/>
  <c r="F6058" i="9"/>
  <c r="E6058" i="9"/>
  <c r="F6057" i="9"/>
  <c r="E6057" i="9"/>
  <c r="F6056" i="9"/>
  <c r="E6056" i="9"/>
  <c r="F6055" i="9"/>
  <c r="E6055" i="9"/>
  <c r="F6054" i="9"/>
  <c r="E6054" i="9"/>
  <c r="F6053" i="9"/>
  <c r="E6053" i="9"/>
  <c r="F6052" i="9"/>
  <c r="E6052" i="9"/>
  <c r="F6051" i="9"/>
  <c r="E6051" i="9"/>
  <c r="F6050" i="9"/>
  <c r="E6050" i="9"/>
  <c r="F6049" i="9"/>
  <c r="E6049" i="9"/>
  <c r="F6048" i="9"/>
  <c r="E6048" i="9"/>
  <c r="F6047" i="9"/>
  <c r="E6047" i="9"/>
  <c r="F6046" i="9"/>
  <c r="E6046" i="9"/>
  <c r="F6045" i="9"/>
  <c r="E6045" i="9"/>
  <c r="F6044" i="9"/>
  <c r="E6044" i="9"/>
  <c r="F6043" i="9"/>
  <c r="E6043" i="9"/>
  <c r="F6042" i="9"/>
  <c r="E6042" i="9"/>
  <c r="F6041" i="9"/>
  <c r="E6041" i="9"/>
  <c r="F6040" i="9"/>
  <c r="E6040" i="9"/>
  <c r="F6039" i="9"/>
  <c r="E6039" i="9"/>
  <c r="F6038" i="9"/>
  <c r="E6038" i="9"/>
  <c r="F6037" i="9"/>
  <c r="E6037" i="9"/>
  <c r="F6036" i="9"/>
  <c r="E6036" i="9"/>
  <c r="F6035" i="9"/>
  <c r="E6035" i="9"/>
  <c r="F6034" i="9"/>
  <c r="E6034" i="9"/>
  <c r="F6033" i="9"/>
  <c r="E6033" i="9"/>
  <c r="F6032" i="9"/>
  <c r="E6032" i="9"/>
  <c r="F6031" i="9"/>
  <c r="E6031" i="9"/>
  <c r="F6030" i="9"/>
  <c r="E6030" i="9"/>
  <c r="F6029" i="9"/>
  <c r="E6029" i="9"/>
  <c r="F6028" i="9"/>
  <c r="E6028" i="9"/>
  <c r="F6027" i="9"/>
  <c r="E6027" i="9"/>
  <c r="F6026" i="9"/>
  <c r="E6026" i="9"/>
  <c r="F6025" i="9"/>
  <c r="E6025" i="9"/>
  <c r="F6024" i="9"/>
  <c r="E6024" i="9"/>
  <c r="F6023" i="9"/>
  <c r="E6023" i="9"/>
  <c r="F6022" i="9"/>
  <c r="E6022" i="9"/>
  <c r="F6021" i="9"/>
  <c r="E6021" i="9"/>
  <c r="F6020" i="9"/>
  <c r="E6020" i="9"/>
  <c r="F6019" i="9"/>
  <c r="E6019" i="9"/>
  <c r="F6018" i="9"/>
  <c r="E6018" i="9"/>
  <c r="F6017" i="9"/>
  <c r="E6017" i="9"/>
  <c r="F6016" i="9"/>
  <c r="E6016" i="9"/>
  <c r="F6015" i="9"/>
  <c r="E6015" i="9"/>
  <c r="F6014" i="9"/>
  <c r="E6014" i="9"/>
  <c r="F6013" i="9"/>
  <c r="E6013" i="9"/>
  <c r="F6012" i="9"/>
  <c r="E6012" i="9"/>
  <c r="F6011" i="9"/>
  <c r="E6011" i="9"/>
  <c r="F6010" i="9"/>
  <c r="E6010" i="9"/>
  <c r="F6009" i="9"/>
  <c r="E6009" i="9"/>
  <c r="F6008" i="9"/>
  <c r="E6008" i="9"/>
  <c r="F6007" i="9"/>
  <c r="E6007" i="9"/>
  <c r="F6006" i="9"/>
  <c r="E6006" i="9"/>
  <c r="F6005" i="9"/>
  <c r="E6005" i="9"/>
  <c r="F6004" i="9"/>
  <c r="E6004" i="9"/>
  <c r="F6003" i="9"/>
  <c r="E6003" i="9"/>
  <c r="F6002" i="9"/>
  <c r="E6002" i="9"/>
  <c r="F6001" i="9"/>
  <c r="E6001" i="9"/>
  <c r="F6000" i="9"/>
  <c r="E6000" i="9"/>
  <c r="F5999" i="9"/>
  <c r="E5999" i="9"/>
  <c r="F5998" i="9"/>
  <c r="E5998" i="9"/>
  <c r="F5997" i="9"/>
  <c r="E5997" i="9"/>
  <c r="F5996" i="9"/>
  <c r="E5996" i="9"/>
  <c r="F5995" i="9"/>
  <c r="E5995" i="9"/>
  <c r="F5994" i="9"/>
  <c r="E5994" i="9"/>
  <c r="F5993" i="9"/>
  <c r="E5993" i="9"/>
  <c r="F5992" i="9"/>
  <c r="E5992" i="9"/>
  <c r="F5991" i="9"/>
  <c r="E5991" i="9"/>
  <c r="F5990" i="9"/>
  <c r="E5990" i="9"/>
  <c r="F5989" i="9"/>
  <c r="E5989" i="9"/>
  <c r="F5988" i="9"/>
  <c r="E5988" i="9"/>
  <c r="F5987" i="9"/>
  <c r="E5987" i="9"/>
  <c r="F5986" i="9"/>
  <c r="E5986" i="9"/>
  <c r="F5985" i="9"/>
  <c r="E5985" i="9"/>
  <c r="F5984" i="9"/>
  <c r="E5984" i="9"/>
  <c r="F5983" i="9"/>
  <c r="E5983" i="9"/>
  <c r="F5982" i="9"/>
  <c r="E5982" i="9"/>
  <c r="F5981" i="9"/>
  <c r="E5981" i="9"/>
  <c r="F5980" i="9"/>
  <c r="E5980" i="9"/>
  <c r="F5979" i="9"/>
  <c r="E5979" i="9"/>
  <c r="F5978" i="9"/>
  <c r="E5978" i="9"/>
  <c r="F5977" i="9"/>
  <c r="E5977" i="9"/>
  <c r="F5976" i="9"/>
  <c r="E5976" i="9"/>
  <c r="F5975" i="9"/>
  <c r="E5975" i="9"/>
  <c r="F5974" i="9"/>
  <c r="E5974" i="9"/>
  <c r="F5973" i="9"/>
  <c r="E5973" i="9"/>
  <c r="F5972" i="9"/>
  <c r="E5972" i="9"/>
  <c r="F5971" i="9"/>
  <c r="E5971" i="9"/>
  <c r="F5970" i="9"/>
  <c r="E5970" i="9"/>
  <c r="F5969" i="9"/>
  <c r="E5969" i="9"/>
  <c r="F5968" i="9"/>
  <c r="E5968" i="9"/>
  <c r="F5967" i="9"/>
  <c r="E5967" i="9"/>
  <c r="F5966" i="9"/>
  <c r="E5966" i="9"/>
  <c r="F5965" i="9"/>
  <c r="E5965" i="9"/>
  <c r="F5964" i="9"/>
  <c r="E5964" i="9"/>
  <c r="F5963" i="9"/>
  <c r="E5963" i="9"/>
  <c r="F5962" i="9"/>
  <c r="E5962" i="9"/>
  <c r="F5961" i="9"/>
  <c r="E5961" i="9"/>
  <c r="F5960" i="9"/>
  <c r="E5960" i="9"/>
  <c r="F5959" i="9"/>
  <c r="E5959" i="9"/>
  <c r="F5958" i="9"/>
  <c r="E5958" i="9"/>
  <c r="F5957" i="9"/>
  <c r="E5957" i="9"/>
  <c r="F5956" i="9"/>
  <c r="E5956" i="9"/>
  <c r="F5955" i="9"/>
  <c r="E5955" i="9"/>
  <c r="F5954" i="9"/>
  <c r="E5954" i="9"/>
  <c r="F5953" i="9"/>
  <c r="E5953" i="9"/>
  <c r="F5952" i="9"/>
  <c r="E5952" i="9"/>
  <c r="F5951" i="9"/>
  <c r="E5951" i="9"/>
  <c r="F5950" i="9"/>
  <c r="E5950" i="9"/>
  <c r="F5949" i="9"/>
  <c r="E5949" i="9"/>
  <c r="F5948" i="9"/>
  <c r="E5948" i="9"/>
  <c r="F5947" i="9"/>
  <c r="E5947" i="9"/>
  <c r="F5946" i="9"/>
  <c r="E5946" i="9"/>
  <c r="F5945" i="9"/>
  <c r="E5945" i="9"/>
  <c r="F5944" i="9"/>
  <c r="E5944" i="9"/>
  <c r="F5943" i="9"/>
  <c r="E5943" i="9"/>
  <c r="F5942" i="9"/>
  <c r="E5942" i="9"/>
  <c r="F5941" i="9"/>
  <c r="E5941" i="9"/>
  <c r="F5940" i="9"/>
  <c r="E5940" i="9"/>
  <c r="F5939" i="9"/>
  <c r="E5939" i="9"/>
  <c r="F5938" i="9"/>
  <c r="E5938" i="9"/>
  <c r="F5937" i="9"/>
  <c r="E5937" i="9"/>
  <c r="F5936" i="9"/>
  <c r="E5936" i="9"/>
  <c r="F5935" i="9"/>
  <c r="E5935" i="9"/>
  <c r="F5934" i="9"/>
  <c r="E5934" i="9"/>
  <c r="F5933" i="9"/>
  <c r="E5933" i="9"/>
  <c r="F5932" i="9"/>
  <c r="E5932" i="9"/>
  <c r="F5931" i="9"/>
  <c r="E5931" i="9"/>
  <c r="F5930" i="9"/>
  <c r="E5930" i="9"/>
  <c r="F5929" i="9"/>
  <c r="E5929" i="9"/>
  <c r="F5928" i="9"/>
  <c r="E5928" i="9"/>
  <c r="F5927" i="9"/>
  <c r="E5927" i="9"/>
  <c r="F5926" i="9"/>
  <c r="E5926" i="9"/>
  <c r="F5925" i="9"/>
  <c r="E5925" i="9"/>
  <c r="F5924" i="9"/>
  <c r="E5924" i="9"/>
  <c r="F5923" i="9"/>
  <c r="E5923" i="9"/>
  <c r="F5922" i="9"/>
  <c r="E5922" i="9"/>
  <c r="F5921" i="9"/>
  <c r="E5921" i="9"/>
  <c r="F5920" i="9"/>
  <c r="E5920" i="9"/>
  <c r="F5919" i="9"/>
  <c r="E5919" i="9"/>
  <c r="F5918" i="9"/>
  <c r="E5918" i="9"/>
  <c r="F5917" i="9"/>
  <c r="E5917" i="9"/>
  <c r="F5916" i="9"/>
  <c r="E5916" i="9"/>
  <c r="F5915" i="9"/>
  <c r="E5915" i="9"/>
  <c r="F5914" i="9"/>
  <c r="E5914" i="9"/>
  <c r="F5913" i="9"/>
  <c r="E5913" i="9"/>
  <c r="F5912" i="9"/>
  <c r="E5912" i="9"/>
  <c r="F5911" i="9"/>
  <c r="E5911" i="9"/>
  <c r="F5910" i="9"/>
  <c r="E5910" i="9"/>
  <c r="F5909" i="9"/>
  <c r="E5909" i="9"/>
  <c r="F5908" i="9"/>
  <c r="E5908" i="9"/>
  <c r="F5907" i="9"/>
  <c r="E5907" i="9"/>
  <c r="F5906" i="9"/>
  <c r="E5906" i="9"/>
  <c r="F5905" i="9"/>
  <c r="E5905" i="9"/>
  <c r="F5904" i="9"/>
  <c r="E5904" i="9"/>
  <c r="F5903" i="9"/>
  <c r="E5903" i="9"/>
  <c r="F5902" i="9"/>
  <c r="E5902" i="9"/>
  <c r="F5901" i="9"/>
  <c r="E5901" i="9"/>
  <c r="F5900" i="9"/>
  <c r="E5900" i="9"/>
  <c r="F5899" i="9"/>
  <c r="E5899" i="9"/>
  <c r="F5898" i="9"/>
  <c r="E5898" i="9"/>
  <c r="F5897" i="9"/>
  <c r="E5897" i="9"/>
  <c r="F5896" i="9"/>
  <c r="E5896" i="9"/>
  <c r="F5895" i="9"/>
  <c r="E5895" i="9"/>
  <c r="F5894" i="9"/>
  <c r="E5894" i="9"/>
  <c r="F5893" i="9"/>
  <c r="E5893" i="9"/>
  <c r="F5892" i="9"/>
  <c r="E5892" i="9"/>
  <c r="F5891" i="9"/>
  <c r="E5891" i="9"/>
  <c r="F5890" i="9"/>
  <c r="E5890" i="9"/>
  <c r="F5889" i="9"/>
  <c r="E5889" i="9"/>
  <c r="F5888" i="9"/>
  <c r="E5888" i="9"/>
  <c r="F5887" i="9"/>
  <c r="E5887" i="9"/>
  <c r="F5886" i="9"/>
  <c r="E5886" i="9"/>
  <c r="F5885" i="9"/>
  <c r="E5885" i="9"/>
  <c r="F5884" i="9"/>
  <c r="E5884" i="9"/>
  <c r="F5883" i="9"/>
  <c r="E5883" i="9"/>
  <c r="F5882" i="9"/>
  <c r="E5882" i="9"/>
  <c r="F5881" i="9"/>
  <c r="E5881" i="9"/>
  <c r="F5880" i="9"/>
  <c r="E5880" i="9"/>
  <c r="F5879" i="9"/>
  <c r="E5879" i="9"/>
  <c r="F5878" i="9"/>
  <c r="E5878" i="9"/>
  <c r="F5877" i="9"/>
  <c r="E5877" i="9"/>
  <c r="F5876" i="9"/>
  <c r="E5876" i="9"/>
  <c r="F5875" i="9"/>
  <c r="E5875" i="9"/>
  <c r="F5874" i="9"/>
  <c r="E5874" i="9"/>
  <c r="F5873" i="9"/>
  <c r="E5873" i="9"/>
  <c r="F5872" i="9"/>
  <c r="E5872" i="9"/>
  <c r="F5871" i="9"/>
  <c r="E5871" i="9"/>
  <c r="F5870" i="9"/>
  <c r="E5870" i="9"/>
  <c r="F5869" i="9"/>
  <c r="E5869" i="9"/>
  <c r="F5868" i="9"/>
  <c r="E5868" i="9"/>
  <c r="F5867" i="9"/>
  <c r="E5867" i="9"/>
  <c r="F5866" i="9"/>
  <c r="E5866" i="9"/>
  <c r="F5865" i="9"/>
  <c r="E5865" i="9"/>
  <c r="F5864" i="9"/>
  <c r="E5864" i="9"/>
  <c r="F5863" i="9"/>
  <c r="E5863" i="9"/>
  <c r="F5862" i="9"/>
  <c r="E5862" i="9"/>
  <c r="F5861" i="9"/>
  <c r="E5861" i="9"/>
  <c r="F5860" i="9"/>
  <c r="E5860" i="9"/>
  <c r="F5859" i="9"/>
  <c r="E5859" i="9"/>
  <c r="F5858" i="9"/>
  <c r="E5858" i="9"/>
  <c r="F5857" i="9"/>
  <c r="E5857" i="9"/>
  <c r="F5856" i="9"/>
  <c r="E5856" i="9"/>
  <c r="F5855" i="9"/>
  <c r="E5855" i="9"/>
  <c r="F5854" i="9"/>
  <c r="E5854" i="9"/>
  <c r="F5853" i="9"/>
  <c r="E5853" i="9"/>
  <c r="F5852" i="9"/>
  <c r="E5852" i="9"/>
  <c r="F5851" i="9"/>
  <c r="E5851" i="9"/>
  <c r="F5850" i="9"/>
  <c r="E5850" i="9"/>
  <c r="F5849" i="9"/>
  <c r="E5849" i="9"/>
  <c r="F5848" i="9"/>
  <c r="E5848" i="9"/>
  <c r="F5847" i="9"/>
  <c r="E5847" i="9"/>
  <c r="F5846" i="9"/>
  <c r="E5846" i="9"/>
  <c r="F5845" i="9"/>
  <c r="E5845" i="9"/>
  <c r="F5844" i="9"/>
  <c r="E5844" i="9"/>
  <c r="F5843" i="9"/>
  <c r="E5843" i="9"/>
  <c r="F5842" i="9"/>
  <c r="E5842" i="9"/>
  <c r="F5841" i="9"/>
  <c r="E5841" i="9"/>
  <c r="F5840" i="9"/>
  <c r="E5840" i="9"/>
  <c r="F5839" i="9"/>
  <c r="E5839" i="9"/>
  <c r="F5838" i="9"/>
  <c r="E5838" i="9"/>
  <c r="F5837" i="9"/>
  <c r="E5837" i="9"/>
  <c r="F5836" i="9"/>
  <c r="E5836" i="9"/>
  <c r="F5835" i="9"/>
  <c r="E5835" i="9"/>
  <c r="F5834" i="9"/>
  <c r="E5834" i="9"/>
  <c r="F5833" i="9"/>
  <c r="E5833" i="9"/>
  <c r="F5832" i="9"/>
  <c r="E5832" i="9"/>
  <c r="F5831" i="9"/>
  <c r="E5831" i="9"/>
  <c r="F5830" i="9"/>
  <c r="E5830" i="9"/>
  <c r="F5829" i="9"/>
  <c r="E5829" i="9"/>
  <c r="F5828" i="9"/>
  <c r="E5828" i="9"/>
  <c r="F5827" i="9"/>
  <c r="E5827" i="9"/>
  <c r="F5826" i="9"/>
  <c r="E5826" i="9"/>
  <c r="F5825" i="9"/>
  <c r="E5825" i="9"/>
  <c r="F5824" i="9"/>
  <c r="E5824" i="9"/>
  <c r="F5823" i="9"/>
  <c r="E5823" i="9"/>
  <c r="F5822" i="9"/>
  <c r="E5822" i="9"/>
  <c r="F5821" i="9"/>
  <c r="E5821" i="9"/>
  <c r="F5820" i="9"/>
  <c r="E5820" i="9"/>
  <c r="F5819" i="9"/>
  <c r="E5819" i="9"/>
  <c r="F5818" i="9"/>
  <c r="E5818" i="9"/>
  <c r="F5817" i="9"/>
  <c r="E5817" i="9"/>
  <c r="F5816" i="9"/>
  <c r="E5816" i="9"/>
  <c r="F5815" i="9"/>
  <c r="E5815" i="9"/>
  <c r="F5814" i="9"/>
  <c r="E5814" i="9"/>
  <c r="F5813" i="9"/>
  <c r="E5813" i="9"/>
  <c r="F5812" i="9"/>
  <c r="E5812" i="9"/>
  <c r="F5811" i="9"/>
  <c r="E5811" i="9"/>
  <c r="F5810" i="9"/>
  <c r="E5810" i="9"/>
  <c r="F5809" i="9"/>
  <c r="E5809" i="9"/>
  <c r="F5808" i="9"/>
  <c r="E5808" i="9"/>
  <c r="F5807" i="9"/>
  <c r="E5807" i="9"/>
  <c r="F5806" i="9"/>
  <c r="E5806" i="9"/>
  <c r="F5805" i="9"/>
  <c r="E5805" i="9"/>
  <c r="F5804" i="9"/>
  <c r="E5804" i="9"/>
  <c r="F5803" i="9"/>
  <c r="E5803" i="9"/>
  <c r="F5802" i="9"/>
  <c r="E5802" i="9"/>
  <c r="F5801" i="9"/>
  <c r="E5801" i="9"/>
  <c r="F5800" i="9"/>
  <c r="E5800" i="9"/>
  <c r="F5799" i="9"/>
  <c r="E5799" i="9"/>
  <c r="F5798" i="9"/>
  <c r="E5798" i="9"/>
  <c r="F5797" i="9"/>
  <c r="E5797" i="9"/>
  <c r="F5796" i="9"/>
  <c r="E5796" i="9"/>
  <c r="F5795" i="9"/>
  <c r="E5795" i="9"/>
  <c r="F5794" i="9"/>
  <c r="E5794" i="9"/>
  <c r="F5793" i="9"/>
  <c r="E5793" i="9"/>
  <c r="F5792" i="9"/>
  <c r="E5792" i="9"/>
  <c r="F5791" i="9"/>
  <c r="E5791" i="9"/>
  <c r="F5790" i="9"/>
  <c r="E5790" i="9"/>
  <c r="F5789" i="9"/>
  <c r="E5789" i="9"/>
  <c r="F5788" i="9"/>
  <c r="E5788" i="9"/>
  <c r="F5787" i="9"/>
  <c r="E5787" i="9"/>
  <c r="F5786" i="9"/>
  <c r="E5786" i="9"/>
  <c r="F5785" i="9"/>
  <c r="E5785" i="9"/>
  <c r="F5784" i="9"/>
  <c r="E5784" i="9"/>
  <c r="F5783" i="9"/>
  <c r="E5783" i="9"/>
  <c r="F5782" i="9"/>
  <c r="E5782" i="9"/>
  <c r="F5781" i="9"/>
  <c r="E5781" i="9"/>
  <c r="F5780" i="9"/>
  <c r="E5780" i="9"/>
  <c r="F5779" i="9"/>
  <c r="E5779" i="9"/>
  <c r="F5778" i="9"/>
  <c r="E5778" i="9"/>
  <c r="F5777" i="9"/>
  <c r="E5777" i="9"/>
  <c r="F5776" i="9"/>
  <c r="E5776" i="9"/>
  <c r="F5775" i="9"/>
  <c r="E5775" i="9"/>
  <c r="F5774" i="9"/>
  <c r="E5774" i="9"/>
  <c r="F5773" i="9"/>
  <c r="E5773" i="9"/>
  <c r="F5772" i="9"/>
  <c r="E5772" i="9"/>
  <c r="F5771" i="9"/>
  <c r="E5771" i="9"/>
  <c r="F5770" i="9"/>
  <c r="E5770" i="9"/>
  <c r="F5769" i="9"/>
  <c r="E5769" i="9"/>
  <c r="F5768" i="9"/>
  <c r="E5768" i="9"/>
  <c r="F5767" i="9"/>
  <c r="E5767" i="9"/>
  <c r="F5766" i="9"/>
  <c r="E5766" i="9"/>
  <c r="F5765" i="9"/>
  <c r="E5765" i="9"/>
  <c r="F5764" i="9"/>
  <c r="E5764" i="9"/>
  <c r="F5763" i="9"/>
  <c r="E5763" i="9"/>
  <c r="F5762" i="9"/>
  <c r="E5762" i="9"/>
  <c r="F5761" i="9"/>
  <c r="E5761" i="9"/>
  <c r="F5760" i="9"/>
  <c r="E5760" i="9"/>
  <c r="F5759" i="9"/>
  <c r="E5759" i="9"/>
  <c r="F5758" i="9"/>
  <c r="E5758" i="9"/>
  <c r="F5757" i="9"/>
  <c r="E5757" i="9"/>
  <c r="F5756" i="9"/>
  <c r="E5756" i="9"/>
  <c r="F5755" i="9"/>
  <c r="E5755" i="9"/>
  <c r="F5754" i="9"/>
  <c r="E5754" i="9"/>
  <c r="F5753" i="9"/>
  <c r="E5753" i="9"/>
  <c r="F5752" i="9"/>
  <c r="E5752" i="9"/>
  <c r="F5751" i="9"/>
  <c r="E5751" i="9"/>
  <c r="F5750" i="9"/>
  <c r="E5750" i="9"/>
  <c r="F5749" i="9"/>
  <c r="E5749" i="9"/>
  <c r="F5748" i="9"/>
  <c r="E5748" i="9"/>
  <c r="F5747" i="9"/>
  <c r="E5747" i="9"/>
  <c r="F5746" i="9"/>
  <c r="E5746" i="9"/>
  <c r="F5745" i="9"/>
  <c r="E5745" i="9"/>
  <c r="F5744" i="9"/>
  <c r="E5744" i="9"/>
  <c r="F5743" i="9"/>
  <c r="E5743" i="9"/>
  <c r="F5742" i="9"/>
  <c r="E5742" i="9"/>
  <c r="F5741" i="9"/>
  <c r="E5741" i="9"/>
  <c r="F5740" i="9"/>
  <c r="E5740" i="9"/>
  <c r="F5739" i="9"/>
  <c r="E5739" i="9"/>
  <c r="F5738" i="9"/>
  <c r="E5738" i="9"/>
  <c r="F5737" i="9"/>
  <c r="E5737" i="9"/>
  <c r="F5736" i="9"/>
  <c r="E5736" i="9"/>
  <c r="F5735" i="9"/>
  <c r="E5735" i="9"/>
  <c r="F5734" i="9"/>
  <c r="E5734" i="9"/>
  <c r="F5733" i="9"/>
  <c r="E5733" i="9"/>
  <c r="F5732" i="9"/>
  <c r="E5732" i="9"/>
  <c r="F5731" i="9"/>
  <c r="E5731" i="9"/>
  <c r="F5730" i="9"/>
  <c r="E5730" i="9"/>
  <c r="F5729" i="9"/>
  <c r="E5729" i="9"/>
  <c r="F5728" i="9"/>
  <c r="E5728" i="9"/>
  <c r="F5727" i="9"/>
  <c r="E5727" i="9"/>
  <c r="F5726" i="9"/>
  <c r="E5726" i="9"/>
  <c r="F5725" i="9"/>
  <c r="E5725" i="9"/>
  <c r="F5724" i="9"/>
  <c r="E5724" i="9"/>
  <c r="F5723" i="9"/>
  <c r="E5723" i="9"/>
  <c r="F5722" i="9"/>
  <c r="E5722" i="9"/>
  <c r="F5721" i="9"/>
  <c r="E5721" i="9"/>
  <c r="F5720" i="9"/>
  <c r="E5720" i="9"/>
  <c r="F5719" i="9"/>
  <c r="E5719" i="9"/>
  <c r="F5718" i="9"/>
  <c r="E5718" i="9"/>
  <c r="F5717" i="9"/>
  <c r="E5717" i="9"/>
  <c r="F5716" i="9"/>
  <c r="E5716" i="9"/>
  <c r="F5715" i="9"/>
  <c r="E5715" i="9"/>
  <c r="F5714" i="9"/>
  <c r="E5714" i="9"/>
  <c r="F5713" i="9"/>
  <c r="E5713" i="9"/>
  <c r="F5712" i="9"/>
  <c r="E5712" i="9"/>
  <c r="F5711" i="9"/>
  <c r="E5711" i="9"/>
  <c r="F5710" i="9"/>
  <c r="E5710" i="9"/>
  <c r="F5709" i="9"/>
  <c r="E5709" i="9"/>
  <c r="F5708" i="9"/>
  <c r="E5708" i="9"/>
  <c r="F5707" i="9"/>
  <c r="E5707" i="9"/>
  <c r="F5706" i="9"/>
  <c r="E5706" i="9"/>
  <c r="F5705" i="9"/>
  <c r="E5705" i="9"/>
  <c r="F5704" i="9"/>
  <c r="E5704" i="9"/>
  <c r="F5703" i="9"/>
  <c r="E5703" i="9"/>
  <c r="F5702" i="9"/>
  <c r="E5702" i="9"/>
  <c r="F5701" i="9"/>
  <c r="E5701" i="9"/>
  <c r="F5700" i="9"/>
  <c r="E5700" i="9"/>
  <c r="F5699" i="9"/>
  <c r="E5699" i="9"/>
  <c r="F5698" i="9"/>
  <c r="E5698" i="9"/>
  <c r="F5697" i="9"/>
  <c r="E5697" i="9"/>
  <c r="F5696" i="9"/>
  <c r="E5696" i="9"/>
  <c r="F5695" i="9"/>
  <c r="E5695" i="9"/>
  <c r="F5694" i="9"/>
  <c r="E5694" i="9"/>
  <c r="F5693" i="9"/>
  <c r="E5693" i="9"/>
  <c r="F5692" i="9"/>
  <c r="E5692" i="9"/>
  <c r="F5691" i="9"/>
  <c r="E5691" i="9"/>
  <c r="F5690" i="9"/>
  <c r="E5690" i="9"/>
  <c r="F5689" i="9"/>
  <c r="E5689" i="9"/>
  <c r="F5688" i="9"/>
  <c r="E5688" i="9"/>
  <c r="F5687" i="9"/>
  <c r="E5687" i="9"/>
  <c r="F5686" i="9"/>
  <c r="E5686" i="9"/>
  <c r="F5685" i="9"/>
  <c r="E5685" i="9"/>
  <c r="F5684" i="9"/>
  <c r="E5684" i="9"/>
  <c r="F5683" i="9"/>
  <c r="E5683" i="9"/>
  <c r="F5682" i="9"/>
  <c r="E5682" i="9"/>
  <c r="F5681" i="9"/>
  <c r="E5681" i="9"/>
  <c r="F5680" i="9"/>
  <c r="E5680" i="9"/>
  <c r="F5679" i="9"/>
  <c r="E5679" i="9"/>
  <c r="F5678" i="9"/>
  <c r="E5678" i="9"/>
  <c r="F5677" i="9"/>
  <c r="E5677" i="9"/>
  <c r="F5676" i="9"/>
  <c r="E5676" i="9"/>
  <c r="F5675" i="9"/>
  <c r="E5675" i="9"/>
  <c r="F5674" i="9"/>
  <c r="E5674" i="9"/>
  <c r="F5673" i="9"/>
  <c r="E5673" i="9"/>
  <c r="F5672" i="9"/>
  <c r="E5672" i="9"/>
  <c r="F5671" i="9"/>
  <c r="E5671" i="9"/>
  <c r="F5670" i="9"/>
  <c r="E5670" i="9"/>
  <c r="F5669" i="9"/>
  <c r="E5669" i="9"/>
  <c r="F5668" i="9"/>
  <c r="E5668" i="9"/>
  <c r="F5667" i="9"/>
  <c r="E5667" i="9"/>
  <c r="F5666" i="9"/>
  <c r="E5666" i="9"/>
  <c r="F5665" i="9"/>
  <c r="E5665" i="9"/>
  <c r="F5664" i="9"/>
  <c r="E5664" i="9"/>
  <c r="F5663" i="9"/>
  <c r="E5663" i="9"/>
  <c r="F5662" i="9"/>
  <c r="E5662" i="9"/>
  <c r="F5661" i="9"/>
  <c r="E5661" i="9"/>
  <c r="F5660" i="9"/>
  <c r="E5660" i="9"/>
  <c r="F5659" i="9"/>
  <c r="E5659" i="9"/>
  <c r="F5658" i="9"/>
  <c r="E5658" i="9"/>
  <c r="F5657" i="9"/>
  <c r="E5657" i="9"/>
  <c r="F5656" i="9"/>
  <c r="E5656" i="9"/>
  <c r="F5655" i="9"/>
  <c r="E5655" i="9"/>
  <c r="F5654" i="9"/>
  <c r="E5654" i="9"/>
  <c r="F5653" i="9"/>
  <c r="E5653" i="9"/>
  <c r="F5652" i="9"/>
  <c r="E5652" i="9"/>
  <c r="F5651" i="9"/>
  <c r="E5651" i="9"/>
  <c r="F5650" i="9"/>
  <c r="E5650" i="9"/>
  <c r="F5649" i="9"/>
  <c r="E5649" i="9"/>
  <c r="F5648" i="9"/>
  <c r="E5648" i="9"/>
  <c r="F5647" i="9"/>
  <c r="E5647" i="9"/>
  <c r="F5646" i="9"/>
  <c r="E5646" i="9"/>
  <c r="F5645" i="9"/>
  <c r="E5645" i="9"/>
  <c r="F5644" i="9"/>
  <c r="E5644" i="9"/>
  <c r="F5643" i="9"/>
  <c r="E5643" i="9"/>
  <c r="F5642" i="9"/>
  <c r="E5642" i="9"/>
  <c r="F5641" i="9"/>
  <c r="E5641" i="9"/>
  <c r="F5640" i="9"/>
  <c r="E5640" i="9"/>
  <c r="F5639" i="9"/>
  <c r="E5639" i="9"/>
  <c r="F5638" i="9"/>
  <c r="E5638" i="9"/>
  <c r="F5637" i="9"/>
  <c r="E5637" i="9"/>
  <c r="F5636" i="9"/>
  <c r="E5636" i="9"/>
  <c r="F5635" i="9"/>
  <c r="E5635" i="9"/>
  <c r="F5634" i="9"/>
  <c r="E5634" i="9"/>
  <c r="F5633" i="9"/>
  <c r="E5633" i="9"/>
  <c r="F5632" i="9"/>
  <c r="E5632" i="9"/>
  <c r="F5631" i="9"/>
  <c r="E5631" i="9"/>
  <c r="F5630" i="9"/>
  <c r="E5630" i="9"/>
  <c r="F5629" i="9"/>
  <c r="E5629" i="9"/>
  <c r="F5628" i="9"/>
  <c r="E5628" i="9"/>
  <c r="F5627" i="9"/>
  <c r="E5627" i="9"/>
  <c r="F5626" i="9"/>
  <c r="E5626" i="9"/>
  <c r="F5625" i="9"/>
  <c r="E5625" i="9"/>
  <c r="F5624" i="9"/>
  <c r="E5624" i="9"/>
  <c r="F5623" i="9"/>
  <c r="E5623" i="9"/>
  <c r="F5622" i="9"/>
  <c r="E5622" i="9"/>
  <c r="F5621" i="9"/>
  <c r="E5621" i="9"/>
  <c r="F5620" i="9"/>
  <c r="E5620" i="9"/>
  <c r="F5619" i="9"/>
  <c r="E5619" i="9"/>
  <c r="F5618" i="9"/>
  <c r="E5618" i="9"/>
  <c r="F5617" i="9"/>
  <c r="E5617" i="9"/>
  <c r="F5616" i="9"/>
  <c r="E5616" i="9"/>
  <c r="F5615" i="9"/>
  <c r="E5615" i="9"/>
  <c r="F5614" i="9"/>
  <c r="E5614" i="9"/>
  <c r="F5613" i="9"/>
  <c r="E5613" i="9"/>
  <c r="F5612" i="9"/>
  <c r="E5612" i="9"/>
  <c r="F5611" i="9"/>
  <c r="E5611" i="9"/>
  <c r="F5610" i="9"/>
  <c r="E5610" i="9"/>
  <c r="F5609" i="9"/>
  <c r="E5609" i="9"/>
  <c r="F5608" i="9"/>
  <c r="E5608" i="9"/>
  <c r="F5607" i="9"/>
  <c r="E5607" i="9"/>
  <c r="F5606" i="9"/>
  <c r="E5606" i="9"/>
  <c r="F5605" i="9"/>
  <c r="E5605" i="9"/>
  <c r="F5604" i="9"/>
  <c r="E5604" i="9"/>
  <c r="F5603" i="9"/>
  <c r="E5603" i="9"/>
  <c r="F5602" i="9"/>
  <c r="E5602" i="9"/>
  <c r="F5601" i="9"/>
  <c r="E5601" i="9"/>
  <c r="F5600" i="9"/>
  <c r="E5600" i="9"/>
  <c r="F5599" i="9"/>
  <c r="E5599" i="9"/>
  <c r="F5598" i="9"/>
  <c r="E5598" i="9"/>
  <c r="F5597" i="9"/>
  <c r="E5597" i="9"/>
  <c r="F5596" i="9"/>
  <c r="E5596" i="9"/>
  <c r="F5595" i="9"/>
  <c r="E5595" i="9"/>
  <c r="F5594" i="9"/>
  <c r="E5594" i="9"/>
  <c r="F5593" i="9"/>
  <c r="E5593" i="9"/>
  <c r="F5592" i="9"/>
  <c r="E5592" i="9"/>
  <c r="F5591" i="9"/>
  <c r="E5591" i="9"/>
  <c r="F5590" i="9"/>
  <c r="E5590" i="9"/>
  <c r="F5589" i="9"/>
  <c r="E5589" i="9"/>
  <c r="F5588" i="9"/>
  <c r="E5588" i="9"/>
  <c r="F5587" i="9"/>
  <c r="E5587" i="9"/>
  <c r="F5586" i="9"/>
  <c r="E5586" i="9"/>
  <c r="F5585" i="9"/>
  <c r="E5585" i="9"/>
  <c r="F5584" i="9"/>
  <c r="E5584" i="9"/>
  <c r="F5583" i="9"/>
  <c r="E5583" i="9"/>
  <c r="F5582" i="9"/>
  <c r="E5582" i="9"/>
  <c r="F5581" i="9"/>
  <c r="E5581" i="9"/>
  <c r="F5580" i="9"/>
  <c r="E5580" i="9"/>
  <c r="F5579" i="9"/>
  <c r="E5579" i="9"/>
  <c r="F5578" i="9"/>
  <c r="E5578" i="9"/>
  <c r="F5577" i="9"/>
  <c r="E5577" i="9"/>
  <c r="F5576" i="9"/>
  <c r="E5576" i="9"/>
  <c r="F5575" i="9"/>
  <c r="E5575" i="9"/>
  <c r="F5574" i="9"/>
  <c r="E5574" i="9"/>
  <c r="F5573" i="9"/>
  <c r="E5573" i="9"/>
  <c r="F5572" i="9"/>
  <c r="E5572" i="9"/>
  <c r="F5571" i="9"/>
  <c r="E5571" i="9"/>
  <c r="F5570" i="9"/>
  <c r="E5570" i="9"/>
  <c r="F5569" i="9"/>
  <c r="E5569" i="9"/>
  <c r="F5568" i="9"/>
  <c r="E5568" i="9"/>
  <c r="F5567" i="9"/>
  <c r="E5567" i="9"/>
  <c r="F5566" i="9"/>
  <c r="E5566" i="9"/>
  <c r="F5565" i="9"/>
  <c r="E5565" i="9"/>
  <c r="F5564" i="9"/>
  <c r="E5564" i="9"/>
  <c r="F5563" i="9"/>
  <c r="E5563" i="9"/>
  <c r="F5562" i="9"/>
  <c r="E5562" i="9"/>
  <c r="F5561" i="9"/>
  <c r="E5561" i="9"/>
  <c r="F5560" i="9"/>
  <c r="E5560" i="9"/>
  <c r="F5559" i="9"/>
  <c r="E5559" i="9"/>
  <c r="F5558" i="9"/>
  <c r="E5558" i="9"/>
  <c r="F5557" i="9"/>
  <c r="E5557" i="9"/>
  <c r="F5556" i="9"/>
  <c r="E5556" i="9"/>
  <c r="F5555" i="9"/>
  <c r="E5555" i="9"/>
  <c r="F5554" i="9"/>
  <c r="E5554" i="9"/>
  <c r="F5553" i="9"/>
  <c r="E5553" i="9"/>
  <c r="F5552" i="9"/>
  <c r="E5552" i="9"/>
  <c r="F5551" i="9"/>
  <c r="E5551" i="9"/>
  <c r="F5550" i="9"/>
  <c r="E5550" i="9"/>
  <c r="F5549" i="9"/>
  <c r="E5549" i="9"/>
  <c r="F5548" i="9"/>
  <c r="E5548" i="9"/>
  <c r="F5547" i="9"/>
  <c r="E5547" i="9"/>
  <c r="F5546" i="9"/>
  <c r="E5546" i="9"/>
  <c r="F5545" i="9"/>
  <c r="E5545" i="9"/>
  <c r="F5544" i="9"/>
  <c r="E5544" i="9"/>
  <c r="F5543" i="9"/>
  <c r="E5543" i="9"/>
  <c r="F5542" i="9"/>
  <c r="E5542" i="9"/>
  <c r="F5541" i="9"/>
  <c r="E5541" i="9"/>
  <c r="F5540" i="9"/>
  <c r="E5540" i="9"/>
  <c r="F5539" i="9"/>
  <c r="E5539" i="9"/>
  <c r="F5538" i="9"/>
  <c r="E5538" i="9"/>
  <c r="F5537" i="9"/>
  <c r="E5537" i="9"/>
  <c r="F5536" i="9"/>
  <c r="E5536" i="9"/>
  <c r="F5535" i="9"/>
  <c r="E5535" i="9"/>
  <c r="F5534" i="9"/>
  <c r="E5534" i="9"/>
  <c r="F5533" i="9"/>
  <c r="E5533" i="9"/>
  <c r="F5532" i="9"/>
  <c r="E5532" i="9"/>
  <c r="F5531" i="9"/>
  <c r="E5531" i="9"/>
  <c r="F5530" i="9"/>
  <c r="E5530" i="9"/>
  <c r="F5529" i="9"/>
  <c r="E5529" i="9"/>
  <c r="F5528" i="9"/>
  <c r="E5528" i="9"/>
  <c r="F5527" i="9"/>
  <c r="E5527" i="9"/>
  <c r="F5526" i="9"/>
  <c r="E5526" i="9"/>
  <c r="F5525" i="9"/>
  <c r="E5525" i="9"/>
  <c r="F5524" i="9"/>
  <c r="E5524" i="9"/>
  <c r="F5523" i="9"/>
  <c r="E5523" i="9"/>
  <c r="F5522" i="9"/>
  <c r="E5522" i="9"/>
  <c r="F5521" i="9"/>
  <c r="E5521" i="9"/>
  <c r="F5520" i="9"/>
  <c r="E5520" i="9"/>
  <c r="F5519" i="9"/>
  <c r="E5519" i="9"/>
  <c r="F5518" i="9"/>
  <c r="E5518" i="9"/>
  <c r="F5517" i="9"/>
  <c r="E5517" i="9"/>
  <c r="F5516" i="9"/>
  <c r="E5516" i="9"/>
  <c r="F5515" i="9"/>
  <c r="E5515" i="9"/>
  <c r="F5514" i="9"/>
  <c r="E5514" i="9"/>
  <c r="F5513" i="9"/>
  <c r="E5513" i="9"/>
  <c r="F5512" i="9"/>
  <c r="E5512" i="9"/>
  <c r="F5511" i="9"/>
  <c r="E5511" i="9"/>
  <c r="F5510" i="9"/>
  <c r="E5510" i="9"/>
  <c r="F5509" i="9"/>
  <c r="E5509" i="9"/>
  <c r="F5508" i="9"/>
  <c r="E5508" i="9"/>
  <c r="F5507" i="9"/>
  <c r="E5507" i="9"/>
  <c r="F5506" i="9"/>
  <c r="E5506" i="9"/>
  <c r="F5505" i="9"/>
  <c r="E5505" i="9"/>
  <c r="F5504" i="9"/>
  <c r="E5504" i="9"/>
  <c r="F5503" i="9"/>
  <c r="E5503" i="9"/>
  <c r="F5502" i="9"/>
  <c r="E5502" i="9"/>
  <c r="F5501" i="9"/>
  <c r="E5501" i="9"/>
  <c r="F5500" i="9"/>
  <c r="E5500" i="9"/>
  <c r="F5499" i="9"/>
  <c r="E5499" i="9"/>
  <c r="F5498" i="9"/>
  <c r="E5498" i="9"/>
  <c r="F5497" i="9"/>
  <c r="E5497" i="9"/>
  <c r="F5496" i="9"/>
  <c r="E5496" i="9"/>
  <c r="F5495" i="9"/>
  <c r="E5495" i="9"/>
  <c r="F5494" i="9"/>
  <c r="E5494" i="9"/>
  <c r="F5493" i="9"/>
  <c r="E5493" i="9"/>
  <c r="F5492" i="9"/>
  <c r="E5492" i="9"/>
  <c r="F5491" i="9"/>
  <c r="E5491" i="9"/>
  <c r="F5490" i="9"/>
  <c r="E5490" i="9"/>
  <c r="F5489" i="9"/>
  <c r="E5489" i="9"/>
  <c r="F5488" i="9"/>
  <c r="E5488" i="9"/>
  <c r="F5487" i="9"/>
  <c r="E5487" i="9"/>
  <c r="F5486" i="9"/>
  <c r="E5486" i="9"/>
  <c r="F5485" i="9"/>
  <c r="E5485" i="9"/>
  <c r="F5484" i="9"/>
  <c r="E5484" i="9"/>
  <c r="F5483" i="9"/>
  <c r="E5483" i="9"/>
  <c r="F5482" i="9"/>
  <c r="E5482" i="9"/>
  <c r="F5481" i="9"/>
  <c r="E5481" i="9"/>
  <c r="F5480" i="9"/>
  <c r="E5480" i="9"/>
  <c r="F5479" i="9"/>
  <c r="E5479" i="9"/>
  <c r="F5478" i="9"/>
  <c r="E5478" i="9"/>
  <c r="F5477" i="9"/>
  <c r="E5477" i="9"/>
  <c r="F5476" i="9"/>
  <c r="E5476" i="9"/>
  <c r="F5475" i="9"/>
  <c r="E5475" i="9"/>
  <c r="F5474" i="9"/>
  <c r="E5474" i="9"/>
  <c r="F5473" i="9"/>
  <c r="E5473" i="9"/>
  <c r="F5472" i="9"/>
  <c r="E5472" i="9"/>
  <c r="F5471" i="9"/>
  <c r="E5471" i="9"/>
  <c r="F5470" i="9"/>
  <c r="E5470" i="9"/>
  <c r="F5469" i="9"/>
  <c r="E5469" i="9"/>
  <c r="F5468" i="9"/>
  <c r="E5468" i="9"/>
  <c r="F5467" i="9"/>
  <c r="E5467" i="9"/>
  <c r="F5466" i="9"/>
  <c r="E5466" i="9"/>
  <c r="F5465" i="9"/>
  <c r="E5465" i="9"/>
  <c r="F5464" i="9"/>
  <c r="E5464" i="9"/>
  <c r="F5463" i="9"/>
  <c r="E5463" i="9"/>
  <c r="F5462" i="9"/>
  <c r="E5462" i="9"/>
  <c r="F5461" i="9"/>
  <c r="E5461" i="9"/>
  <c r="F5460" i="9"/>
  <c r="E5460" i="9"/>
  <c r="F5459" i="9"/>
  <c r="E5459" i="9"/>
  <c r="F5458" i="9"/>
  <c r="E5458" i="9"/>
  <c r="F5457" i="9"/>
  <c r="E5457" i="9"/>
  <c r="F5456" i="9"/>
  <c r="E5456" i="9"/>
  <c r="F5455" i="9"/>
  <c r="E5455" i="9"/>
  <c r="F5454" i="9"/>
  <c r="E5454" i="9"/>
  <c r="F5453" i="9"/>
  <c r="E5453" i="9"/>
  <c r="F5452" i="9"/>
  <c r="E5452" i="9"/>
  <c r="F5451" i="9"/>
  <c r="E5451" i="9"/>
  <c r="F5450" i="9"/>
  <c r="E5450" i="9"/>
  <c r="F5449" i="9"/>
  <c r="E5449" i="9"/>
  <c r="F5448" i="9"/>
  <c r="E5448" i="9"/>
  <c r="F5447" i="9"/>
  <c r="E5447" i="9"/>
  <c r="F5446" i="9"/>
  <c r="E5446" i="9"/>
  <c r="F5445" i="9"/>
  <c r="E5445" i="9"/>
  <c r="F5444" i="9"/>
  <c r="E5444" i="9"/>
  <c r="F5443" i="9"/>
  <c r="E5443" i="9"/>
  <c r="F5442" i="9"/>
  <c r="E5442" i="9"/>
  <c r="F5441" i="9"/>
  <c r="E5441" i="9"/>
  <c r="F5440" i="9"/>
  <c r="E5440" i="9"/>
  <c r="F5439" i="9"/>
  <c r="E5439" i="9"/>
  <c r="F5438" i="9"/>
  <c r="E5438" i="9"/>
  <c r="F5437" i="9"/>
  <c r="E5437" i="9"/>
  <c r="F5436" i="9"/>
  <c r="E5436" i="9"/>
  <c r="F5435" i="9"/>
  <c r="E5435" i="9"/>
  <c r="F5434" i="9"/>
  <c r="E5434" i="9"/>
  <c r="F5433" i="9"/>
  <c r="E5433" i="9"/>
  <c r="F5432" i="9"/>
  <c r="E5432" i="9"/>
  <c r="F5431" i="9"/>
  <c r="E5431" i="9"/>
  <c r="F5430" i="9"/>
  <c r="E5430" i="9"/>
  <c r="F5429" i="9"/>
  <c r="E5429" i="9"/>
  <c r="F5428" i="9"/>
  <c r="E5428" i="9"/>
  <c r="F5427" i="9"/>
  <c r="E5427" i="9"/>
  <c r="F5426" i="9"/>
  <c r="E5426" i="9"/>
  <c r="F5425" i="9"/>
  <c r="E5425" i="9"/>
  <c r="F5424" i="9"/>
  <c r="E5424" i="9"/>
  <c r="F5423" i="9"/>
  <c r="E5423" i="9"/>
  <c r="F5422" i="9"/>
  <c r="E5422" i="9"/>
  <c r="F5421" i="9"/>
  <c r="E5421" i="9"/>
  <c r="F5420" i="9"/>
  <c r="E5420" i="9"/>
  <c r="F5419" i="9"/>
  <c r="E5419" i="9"/>
  <c r="F5418" i="9"/>
  <c r="E5418" i="9"/>
  <c r="F5417" i="9"/>
  <c r="E5417" i="9"/>
  <c r="F5416" i="9"/>
  <c r="E5416" i="9"/>
  <c r="F5415" i="9"/>
  <c r="E5415" i="9"/>
  <c r="F5414" i="9"/>
  <c r="E5414" i="9"/>
  <c r="F5413" i="9"/>
  <c r="E5413" i="9"/>
  <c r="F5412" i="9"/>
  <c r="E5412" i="9"/>
  <c r="F5411" i="9"/>
  <c r="E5411" i="9"/>
  <c r="F5410" i="9"/>
  <c r="E5410" i="9"/>
  <c r="F5409" i="9"/>
  <c r="E5409" i="9"/>
  <c r="F5408" i="9"/>
  <c r="E5408" i="9"/>
  <c r="F5407" i="9"/>
  <c r="E5407" i="9"/>
  <c r="F5406" i="9"/>
  <c r="E5406" i="9"/>
  <c r="F5405" i="9"/>
  <c r="E5405" i="9"/>
  <c r="F5404" i="9"/>
  <c r="E5404" i="9"/>
  <c r="F5403" i="9"/>
  <c r="E5403" i="9"/>
  <c r="F5402" i="9"/>
  <c r="E5402" i="9"/>
  <c r="F5401" i="9"/>
  <c r="E5401" i="9"/>
  <c r="F5400" i="9"/>
  <c r="E5400" i="9"/>
  <c r="F5399" i="9"/>
  <c r="E5399" i="9"/>
  <c r="F5398" i="9"/>
  <c r="E5398" i="9"/>
  <c r="F5397" i="9"/>
  <c r="E5397" i="9"/>
  <c r="F5396" i="9"/>
  <c r="E5396" i="9"/>
  <c r="F5395" i="9"/>
  <c r="E5395" i="9"/>
  <c r="F5394" i="9"/>
  <c r="E5394" i="9"/>
  <c r="F5393" i="9"/>
  <c r="E5393" i="9"/>
  <c r="F5392" i="9"/>
  <c r="E5392" i="9"/>
  <c r="F5391" i="9"/>
  <c r="E5391" i="9"/>
  <c r="F5390" i="9"/>
  <c r="E5390" i="9"/>
  <c r="F5389" i="9"/>
  <c r="E5389" i="9"/>
  <c r="F5388" i="9"/>
  <c r="E5388" i="9"/>
  <c r="F5387" i="9"/>
  <c r="E5387" i="9"/>
  <c r="F5386" i="9"/>
  <c r="E5386" i="9"/>
  <c r="F5385" i="9"/>
  <c r="E5385" i="9"/>
  <c r="F5384" i="9"/>
  <c r="E5384" i="9"/>
  <c r="F5383" i="9"/>
  <c r="E5383" i="9"/>
  <c r="F5382" i="9"/>
  <c r="E5382" i="9"/>
  <c r="F5381" i="9"/>
  <c r="E5381" i="9"/>
  <c r="F5380" i="9"/>
  <c r="E5380" i="9"/>
  <c r="F5379" i="9"/>
  <c r="E5379" i="9"/>
  <c r="F5378" i="9"/>
  <c r="E5378" i="9"/>
  <c r="F5377" i="9"/>
  <c r="E5377" i="9"/>
  <c r="F5376" i="9"/>
  <c r="E5376" i="9"/>
  <c r="F5375" i="9"/>
  <c r="E5375" i="9"/>
  <c r="F5374" i="9"/>
  <c r="E5374" i="9"/>
  <c r="F5373" i="9"/>
  <c r="E5373" i="9"/>
  <c r="F5372" i="9"/>
  <c r="E5372" i="9"/>
  <c r="F5371" i="9"/>
  <c r="E5371" i="9"/>
  <c r="F5370" i="9"/>
  <c r="E5370" i="9"/>
  <c r="F5369" i="9"/>
  <c r="E5369" i="9"/>
  <c r="F5368" i="9"/>
  <c r="E5368" i="9"/>
  <c r="F5367" i="9"/>
  <c r="E5367" i="9"/>
  <c r="F5366" i="9"/>
  <c r="E5366" i="9"/>
  <c r="F5365" i="9"/>
  <c r="E5365" i="9"/>
  <c r="F5364" i="9"/>
  <c r="E5364" i="9"/>
  <c r="F5363" i="9"/>
  <c r="E5363" i="9"/>
  <c r="F5362" i="9"/>
  <c r="E5362" i="9"/>
  <c r="F5361" i="9"/>
  <c r="E5361" i="9"/>
  <c r="F5360" i="9"/>
  <c r="E5360" i="9"/>
  <c r="F5359" i="9"/>
  <c r="E5359" i="9"/>
  <c r="F5358" i="9"/>
  <c r="E5358" i="9"/>
  <c r="F5357" i="9"/>
  <c r="E5357" i="9"/>
  <c r="F5356" i="9"/>
  <c r="E5356" i="9"/>
  <c r="F5355" i="9"/>
  <c r="E5355" i="9"/>
  <c r="F5354" i="9"/>
  <c r="E5354" i="9"/>
  <c r="F5353" i="9"/>
  <c r="E5353" i="9"/>
  <c r="F5352" i="9"/>
  <c r="E5352" i="9"/>
  <c r="F5351" i="9"/>
  <c r="E5351" i="9"/>
  <c r="F5350" i="9"/>
  <c r="E5350" i="9"/>
  <c r="F5349" i="9"/>
  <c r="E5349" i="9"/>
  <c r="F5348" i="9"/>
  <c r="E5348" i="9"/>
  <c r="F5347" i="9"/>
  <c r="E5347" i="9"/>
  <c r="F5346" i="9"/>
  <c r="E5346" i="9"/>
  <c r="F5345" i="9"/>
  <c r="E5345" i="9"/>
  <c r="F5344" i="9"/>
  <c r="E5344" i="9"/>
  <c r="F5343" i="9"/>
  <c r="E5343" i="9"/>
  <c r="F5342" i="9"/>
  <c r="E5342" i="9"/>
  <c r="F5341" i="9"/>
  <c r="E5341" i="9"/>
  <c r="F5340" i="9"/>
  <c r="E5340" i="9"/>
  <c r="F5339" i="9"/>
  <c r="E5339" i="9"/>
  <c r="F5338" i="9"/>
  <c r="E5338" i="9"/>
  <c r="F5337" i="9"/>
  <c r="E5337" i="9"/>
  <c r="F5336" i="9"/>
  <c r="E5336" i="9"/>
  <c r="F5335" i="9"/>
  <c r="E5335" i="9"/>
  <c r="F5334" i="9"/>
  <c r="E5334" i="9"/>
  <c r="F5333" i="9"/>
  <c r="E5333" i="9"/>
  <c r="F5332" i="9"/>
  <c r="E5332" i="9"/>
  <c r="F5331" i="9"/>
  <c r="E5331" i="9"/>
  <c r="F5330" i="9"/>
  <c r="E5330" i="9"/>
  <c r="F5329" i="9"/>
  <c r="E5329" i="9"/>
  <c r="F5328" i="9"/>
  <c r="E5328" i="9"/>
  <c r="F5327" i="9"/>
  <c r="E5327" i="9"/>
  <c r="F5326" i="9"/>
  <c r="E5326" i="9"/>
  <c r="F5325" i="9"/>
  <c r="E5325" i="9"/>
  <c r="F5324" i="9"/>
  <c r="E5324" i="9"/>
  <c r="F5323" i="9"/>
  <c r="E5323" i="9"/>
  <c r="F5322" i="9"/>
  <c r="E5322" i="9"/>
  <c r="F5321" i="9"/>
  <c r="E5321" i="9"/>
  <c r="F5320" i="9"/>
  <c r="E5320" i="9"/>
  <c r="F5319" i="9"/>
  <c r="E5319" i="9"/>
  <c r="F5318" i="9"/>
  <c r="E5318" i="9"/>
  <c r="F5317" i="9"/>
  <c r="E5317" i="9"/>
  <c r="F5316" i="9"/>
  <c r="E5316" i="9"/>
  <c r="F5315" i="9"/>
  <c r="E5315" i="9"/>
  <c r="F5314" i="9"/>
  <c r="E5314" i="9"/>
  <c r="F5313" i="9"/>
  <c r="E5313" i="9"/>
  <c r="F5312" i="9"/>
  <c r="E5312" i="9"/>
  <c r="F5311" i="9"/>
  <c r="E5311" i="9"/>
  <c r="F5310" i="9"/>
  <c r="E5310" i="9"/>
  <c r="F5309" i="9"/>
  <c r="E5309" i="9"/>
  <c r="F5308" i="9"/>
  <c r="E5308" i="9"/>
  <c r="F5307" i="9"/>
  <c r="E5307" i="9"/>
  <c r="F5306" i="9"/>
  <c r="E5306" i="9"/>
  <c r="F5305" i="9"/>
  <c r="E5305" i="9"/>
  <c r="F5304" i="9"/>
  <c r="E5304" i="9"/>
  <c r="F5303" i="9"/>
  <c r="E5303" i="9"/>
  <c r="F5302" i="9"/>
  <c r="E5302" i="9"/>
  <c r="F5301" i="9"/>
  <c r="E5301" i="9"/>
  <c r="F5300" i="9"/>
  <c r="E5300" i="9"/>
  <c r="F5299" i="9"/>
  <c r="E5299" i="9"/>
  <c r="F5298" i="9"/>
  <c r="E5298" i="9"/>
  <c r="F5297" i="9"/>
  <c r="E5297" i="9"/>
  <c r="F5296" i="9"/>
  <c r="E5296" i="9"/>
  <c r="F5295" i="9"/>
  <c r="E5295" i="9"/>
  <c r="F5294" i="9"/>
  <c r="E5294" i="9"/>
  <c r="F5293" i="9"/>
  <c r="E5293" i="9"/>
  <c r="F5292" i="9"/>
  <c r="E5292" i="9"/>
  <c r="F5291" i="9"/>
  <c r="E5291" i="9"/>
  <c r="F5290" i="9"/>
  <c r="E5290" i="9"/>
  <c r="F5289" i="9"/>
  <c r="E5289" i="9"/>
  <c r="F5288" i="9"/>
  <c r="E5288" i="9"/>
  <c r="F5287" i="9"/>
  <c r="E5287" i="9"/>
  <c r="F5286" i="9"/>
  <c r="E5286" i="9"/>
  <c r="F5285" i="9"/>
  <c r="E5285" i="9"/>
  <c r="F5284" i="9"/>
  <c r="E5284" i="9"/>
  <c r="F5283" i="9"/>
  <c r="E5283" i="9"/>
  <c r="F5282" i="9"/>
  <c r="E5282" i="9"/>
  <c r="F5281" i="9"/>
  <c r="E5281" i="9"/>
  <c r="F5280" i="9"/>
  <c r="E5280" i="9"/>
  <c r="F5279" i="9"/>
  <c r="E5279" i="9"/>
  <c r="F5278" i="9"/>
  <c r="E5278" i="9"/>
  <c r="F5277" i="9"/>
  <c r="E5277" i="9"/>
  <c r="F5276" i="9"/>
  <c r="E5276" i="9"/>
  <c r="F5275" i="9"/>
  <c r="E5275" i="9"/>
  <c r="F5274" i="9"/>
  <c r="E5274" i="9"/>
  <c r="F5273" i="9"/>
  <c r="E5273" i="9"/>
  <c r="F5272" i="9"/>
  <c r="E5272" i="9"/>
  <c r="F5271" i="9"/>
  <c r="E5271" i="9"/>
  <c r="F5270" i="9"/>
  <c r="E5270" i="9"/>
  <c r="F5269" i="9"/>
  <c r="E5269" i="9"/>
  <c r="F5268" i="9"/>
  <c r="E5268" i="9"/>
  <c r="F5267" i="9"/>
  <c r="E5267" i="9"/>
  <c r="F5266" i="9"/>
  <c r="E5266" i="9"/>
  <c r="F5265" i="9"/>
  <c r="E5265" i="9"/>
  <c r="F5264" i="9"/>
  <c r="E5264" i="9"/>
  <c r="F5263" i="9"/>
  <c r="E5263" i="9"/>
  <c r="F5262" i="9"/>
  <c r="E5262" i="9"/>
  <c r="F5261" i="9"/>
  <c r="E5261" i="9"/>
  <c r="F5260" i="9"/>
  <c r="E5260" i="9"/>
  <c r="F5259" i="9"/>
  <c r="E5259" i="9"/>
  <c r="F5258" i="9"/>
  <c r="E5258" i="9"/>
  <c r="F5257" i="9"/>
  <c r="E5257" i="9"/>
  <c r="F5256" i="9"/>
  <c r="E5256" i="9"/>
  <c r="F5255" i="9"/>
  <c r="E5255" i="9"/>
  <c r="F5254" i="9"/>
  <c r="E5254" i="9"/>
  <c r="F5253" i="9"/>
  <c r="E5253" i="9"/>
  <c r="F5252" i="9"/>
  <c r="E5252" i="9"/>
  <c r="F5251" i="9"/>
  <c r="E5251" i="9"/>
  <c r="F5250" i="9"/>
  <c r="E5250" i="9"/>
  <c r="F5249" i="9"/>
  <c r="E5249" i="9"/>
  <c r="F5248" i="9"/>
  <c r="E5248" i="9"/>
  <c r="F5247" i="9"/>
  <c r="E5247" i="9"/>
  <c r="F5246" i="9"/>
  <c r="E5246" i="9"/>
  <c r="F5245" i="9"/>
  <c r="E5245" i="9"/>
  <c r="F5244" i="9"/>
  <c r="E5244" i="9"/>
  <c r="F5243" i="9"/>
  <c r="E5243" i="9"/>
  <c r="F5242" i="9"/>
  <c r="E5242" i="9"/>
  <c r="F5241" i="9"/>
  <c r="E5241" i="9"/>
  <c r="F5240" i="9"/>
  <c r="E5240" i="9"/>
  <c r="F5239" i="9"/>
  <c r="E5239" i="9"/>
  <c r="F5238" i="9"/>
  <c r="E5238" i="9"/>
  <c r="F5237" i="9"/>
  <c r="E5237" i="9"/>
  <c r="F5236" i="9"/>
  <c r="E5236" i="9"/>
  <c r="F5235" i="9"/>
  <c r="E5235" i="9"/>
  <c r="F5234" i="9"/>
  <c r="E5234" i="9"/>
  <c r="F5233" i="9"/>
  <c r="E5233" i="9"/>
  <c r="F5232" i="9"/>
  <c r="E5232" i="9"/>
  <c r="F5231" i="9"/>
  <c r="E5231" i="9"/>
  <c r="F5230" i="9"/>
  <c r="E5230" i="9"/>
  <c r="F5229" i="9"/>
  <c r="E5229" i="9"/>
  <c r="F5228" i="9"/>
  <c r="E5228" i="9"/>
  <c r="F5227" i="9"/>
  <c r="E5227" i="9"/>
  <c r="F5226" i="9"/>
  <c r="E5226" i="9"/>
  <c r="F5225" i="9"/>
  <c r="E5225" i="9"/>
  <c r="F5224" i="9"/>
  <c r="E5224" i="9"/>
  <c r="F5223" i="9"/>
  <c r="E5223" i="9"/>
  <c r="F5222" i="9"/>
  <c r="E5222" i="9"/>
  <c r="F5221" i="9"/>
  <c r="E5221" i="9"/>
  <c r="F5220" i="9"/>
  <c r="E5220" i="9"/>
  <c r="F5219" i="9"/>
  <c r="E5219" i="9"/>
  <c r="F5218" i="9"/>
  <c r="E5218" i="9"/>
  <c r="F5217" i="9"/>
  <c r="E5217" i="9"/>
  <c r="F5216" i="9"/>
  <c r="E5216" i="9"/>
  <c r="F5215" i="9"/>
  <c r="E5215" i="9"/>
  <c r="F5214" i="9"/>
  <c r="E5214" i="9"/>
  <c r="F5213" i="9"/>
  <c r="E5213" i="9"/>
  <c r="F5212" i="9"/>
  <c r="E5212" i="9"/>
  <c r="F5211" i="9"/>
  <c r="E5211" i="9"/>
  <c r="F5210" i="9"/>
  <c r="E5210" i="9"/>
  <c r="F5209" i="9"/>
  <c r="E5209" i="9"/>
  <c r="F5208" i="9"/>
  <c r="E5208" i="9"/>
  <c r="F5207" i="9"/>
  <c r="E5207" i="9"/>
  <c r="F5206" i="9"/>
  <c r="E5206" i="9"/>
  <c r="F5205" i="9"/>
  <c r="E5205" i="9"/>
  <c r="F5204" i="9"/>
  <c r="E5204" i="9"/>
  <c r="F5203" i="9"/>
  <c r="E5203" i="9"/>
  <c r="F5202" i="9"/>
  <c r="E5202" i="9"/>
  <c r="F5201" i="9"/>
  <c r="E5201" i="9"/>
  <c r="F5200" i="9"/>
  <c r="E5200" i="9"/>
  <c r="F5199" i="9"/>
  <c r="E5199" i="9"/>
  <c r="F5198" i="9"/>
  <c r="E5198" i="9"/>
  <c r="F5197" i="9"/>
  <c r="E5197" i="9"/>
  <c r="F5196" i="9"/>
  <c r="E5196" i="9"/>
  <c r="F5195" i="9"/>
  <c r="E5195" i="9"/>
  <c r="F5194" i="9"/>
  <c r="E5194" i="9"/>
  <c r="F5193" i="9"/>
  <c r="E5193" i="9"/>
  <c r="F5192" i="9"/>
  <c r="E5192" i="9"/>
  <c r="F5191" i="9"/>
  <c r="E5191" i="9"/>
  <c r="F5190" i="9"/>
  <c r="E5190" i="9"/>
  <c r="F5189" i="9"/>
  <c r="E5189" i="9"/>
  <c r="F5188" i="9"/>
  <c r="E5188" i="9"/>
  <c r="F5187" i="9"/>
  <c r="E5187" i="9"/>
  <c r="F5186" i="9"/>
  <c r="E5186" i="9"/>
  <c r="F5185" i="9"/>
  <c r="E5185" i="9"/>
  <c r="F5184" i="9"/>
  <c r="E5184" i="9"/>
  <c r="F5183" i="9"/>
  <c r="E5183" i="9"/>
  <c r="F5182" i="9"/>
  <c r="E5182" i="9"/>
  <c r="F5181" i="9"/>
  <c r="E5181" i="9"/>
  <c r="F5180" i="9"/>
  <c r="E5180" i="9"/>
  <c r="F5179" i="9"/>
  <c r="E5179" i="9"/>
  <c r="F5178" i="9"/>
  <c r="E5178" i="9"/>
  <c r="F5177" i="9"/>
  <c r="E5177" i="9"/>
  <c r="F5176" i="9"/>
  <c r="E5176" i="9"/>
  <c r="F5175" i="9"/>
  <c r="E5175" i="9"/>
  <c r="F5174" i="9"/>
  <c r="E5174" i="9"/>
  <c r="F5173" i="9"/>
  <c r="E5173" i="9"/>
  <c r="F5172" i="9"/>
  <c r="E5172" i="9"/>
  <c r="F5171" i="9"/>
  <c r="E5171" i="9"/>
  <c r="F5170" i="9"/>
  <c r="E5170" i="9"/>
  <c r="F5169" i="9"/>
  <c r="E5169" i="9"/>
  <c r="F5168" i="9"/>
  <c r="E5168" i="9"/>
  <c r="F5167" i="9"/>
  <c r="E5167" i="9"/>
  <c r="F5166" i="9"/>
  <c r="E5166" i="9"/>
  <c r="F5165" i="9"/>
  <c r="E5165" i="9"/>
  <c r="F5164" i="9"/>
  <c r="E5164" i="9"/>
  <c r="F5163" i="9"/>
  <c r="E5163" i="9"/>
  <c r="F5162" i="9"/>
  <c r="E5162" i="9"/>
  <c r="F5161" i="9"/>
  <c r="E5161" i="9"/>
  <c r="F5160" i="9"/>
  <c r="E5160" i="9"/>
  <c r="F5159" i="9"/>
  <c r="E5159" i="9"/>
  <c r="F5158" i="9"/>
  <c r="E5158" i="9"/>
  <c r="F5157" i="9"/>
  <c r="E5157" i="9"/>
  <c r="F5156" i="9"/>
  <c r="E5156" i="9"/>
  <c r="F5155" i="9"/>
  <c r="E5155" i="9"/>
  <c r="F5154" i="9"/>
  <c r="E5154" i="9"/>
  <c r="F5153" i="9"/>
  <c r="E5153" i="9"/>
  <c r="F5152" i="9"/>
  <c r="E5152" i="9"/>
  <c r="F5151" i="9"/>
  <c r="E5151" i="9"/>
  <c r="F5150" i="9"/>
  <c r="E5150" i="9"/>
  <c r="F5149" i="9"/>
  <c r="E5149" i="9"/>
  <c r="F5148" i="9"/>
  <c r="E5148" i="9"/>
  <c r="F5147" i="9"/>
  <c r="E5147" i="9"/>
  <c r="F5146" i="9"/>
  <c r="E5146" i="9"/>
  <c r="F5145" i="9"/>
  <c r="E5145" i="9"/>
  <c r="F5144" i="9"/>
  <c r="E5144" i="9"/>
  <c r="F5143" i="9"/>
  <c r="E5143" i="9"/>
  <c r="F5142" i="9"/>
  <c r="E5142" i="9"/>
  <c r="F5141" i="9"/>
  <c r="E5141" i="9"/>
  <c r="F5140" i="9"/>
  <c r="E5140" i="9"/>
  <c r="F5139" i="9"/>
  <c r="E5139" i="9"/>
  <c r="F5138" i="9"/>
  <c r="E5138" i="9"/>
  <c r="F5137" i="9"/>
  <c r="E5137" i="9"/>
  <c r="F5136" i="9"/>
  <c r="E5136" i="9"/>
  <c r="F5135" i="9"/>
  <c r="E5135" i="9"/>
  <c r="F5134" i="9"/>
  <c r="E5134" i="9"/>
  <c r="F5133" i="9"/>
  <c r="E5133" i="9"/>
  <c r="F5132" i="9"/>
  <c r="E5132" i="9"/>
  <c r="F5131" i="9"/>
  <c r="E5131" i="9"/>
  <c r="F5130" i="9"/>
  <c r="E5130" i="9"/>
  <c r="F5129" i="9"/>
  <c r="E5129" i="9"/>
  <c r="F5128" i="9"/>
  <c r="E5128" i="9"/>
  <c r="F5127" i="9"/>
  <c r="E5127" i="9"/>
  <c r="F5126" i="9"/>
  <c r="E5126" i="9"/>
  <c r="F5125" i="9"/>
  <c r="E5125" i="9"/>
  <c r="F5124" i="9"/>
  <c r="E5124" i="9"/>
  <c r="F5123" i="9"/>
  <c r="E5123" i="9"/>
  <c r="F5122" i="9"/>
  <c r="E5122" i="9"/>
  <c r="F5121" i="9"/>
  <c r="E5121" i="9"/>
  <c r="F5120" i="9"/>
  <c r="E5120" i="9"/>
  <c r="F5119" i="9"/>
  <c r="E5119" i="9"/>
  <c r="F5118" i="9"/>
  <c r="E5118" i="9"/>
  <c r="F5117" i="9"/>
  <c r="E5117" i="9"/>
  <c r="F5116" i="9"/>
  <c r="E5116" i="9"/>
  <c r="F5115" i="9"/>
  <c r="E5115" i="9"/>
  <c r="F5114" i="9"/>
  <c r="E5114" i="9"/>
  <c r="F5113" i="9"/>
  <c r="E5113" i="9"/>
  <c r="F5112" i="9"/>
  <c r="E5112" i="9"/>
  <c r="F5111" i="9"/>
  <c r="E5111" i="9"/>
  <c r="F5110" i="9"/>
  <c r="E5110" i="9"/>
  <c r="F5109" i="9"/>
  <c r="E5109" i="9"/>
  <c r="F5108" i="9"/>
  <c r="E5108" i="9"/>
  <c r="F5107" i="9"/>
  <c r="E5107" i="9"/>
  <c r="F5106" i="9"/>
  <c r="E5106" i="9"/>
  <c r="F5105" i="9"/>
  <c r="E5105" i="9"/>
  <c r="F5104" i="9"/>
  <c r="E5104" i="9"/>
  <c r="F5103" i="9"/>
  <c r="E5103" i="9"/>
  <c r="F5102" i="9"/>
  <c r="E5102" i="9"/>
  <c r="F5101" i="9"/>
  <c r="E5101" i="9"/>
  <c r="F5100" i="9"/>
  <c r="E5100" i="9"/>
  <c r="F5099" i="9"/>
  <c r="E5099" i="9"/>
  <c r="F5098" i="9"/>
  <c r="E5098" i="9"/>
  <c r="F5097" i="9"/>
  <c r="E5097" i="9"/>
  <c r="F5096" i="9"/>
  <c r="E5096" i="9"/>
  <c r="F5095" i="9"/>
  <c r="E5095" i="9"/>
  <c r="F5094" i="9"/>
  <c r="E5094" i="9"/>
  <c r="F5093" i="9"/>
  <c r="E5093" i="9"/>
  <c r="F5092" i="9"/>
  <c r="E5092" i="9"/>
  <c r="F5091" i="9"/>
  <c r="E5091" i="9"/>
  <c r="F5090" i="9"/>
  <c r="E5090" i="9"/>
  <c r="F5089" i="9"/>
  <c r="E5089" i="9"/>
  <c r="F5088" i="9"/>
  <c r="E5088" i="9"/>
  <c r="F5087" i="9"/>
  <c r="E5087" i="9"/>
  <c r="F5086" i="9"/>
  <c r="E5086" i="9"/>
  <c r="F5085" i="9"/>
  <c r="E5085" i="9"/>
  <c r="F5084" i="9"/>
  <c r="E5084" i="9"/>
  <c r="F5083" i="9"/>
  <c r="E5083" i="9"/>
  <c r="F5082" i="9"/>
  <c r="E5082" i="9"/>
  <c r="F5081" i="9"/>
  <c r="E5081" i="9"/>
  <c r="F5080" i="9"/>
  <c r="E5080" i="9"/>
  <c r="F5079" i="9"/>
  <c r="E5079" i="9"/>
  <c r="F5078" i="9"/>
  <c r="E5078" i="9"/>
  <c r="F5077" i="9"/>
  <c r="E5077" i="9"/>
  <c r="F5076" i="9"/>
  <c r="E5076" i="9"/>
  <c r="F5075" i="9"/>
  <c r="E5075" i="9"/>
  <c r="F5074" i="9"/>
  <c r="E5074" i="9"/>
  <c r="F5073" i="9"/>
  <c r="E5073" i="9"/>
  <c r="F5072" i="9"/>
  <c r="E5072" i="9"/>
  <c r="F5071" i="9"/>
  <c r="E5071" i="9"/>
  <c r="F5070" i="9"/>
  <c r="E5070" i="9"/>
  <c r="F5069" i="9"/>
  <c r="E5069" i="9"/>
  <c r="F5068" i="9"/>
  <c r="E5068" i="9"/>
  <c r="F5067" i="9"/>
  <c r="E5067" i="9"/>
  <c r="F5066" i="9"/>
  <c r="E5066" i="9"/>
  <c r="F5065" i="9"/>
  <c r="E5065" i="9"/>
  <c r="F5064" i="9"/>
  <c r="E5064" i="9"/>
  <c r="F5063" i="9"/>
  <c r="E5063" i="9"/>
  <c r="F5062" i="9"/>
  <c r="E5062" i="9"/>
  <c r="F5061" i="9"/>
  <c r="E5061" i="9"/>
  <c r="F5060" i="9"/>
  <c r="E5060" i="9"/>
  <c r="F5059" i="9"/>
  <c r="E5059" i="9"/>
  <c r="F5058" i="9"/>
  <c r="E5058" i="9"/>
  <c r="F5057" i="9"/>
  <c r="E5057" i="9"/>
  <c r="F5056" i="9"/>
  <c r="E5056" i="9"/>
  <c r="F5055" i="9"/>
  <c r="E5055" i="9"/>
  <c r="F5054" i="9"/>
  <c r="E5054" i="9"/>
  <c r="F5053" i="9"/>
  <c r="E5053" i="9"/>
  <c r="F5052" i="9"/>
  <c r="E5052" i="9"/>
  <c r="F5051" i="9"/>
  <c r="E5051" i="9"/>
  <c r="F5050" i="9"/>
  <c r="E5050" i="9"/>
  <c r="F5049" i="9"/>
  <c r="E5049" i="9"/>
  <c r="F5048" i="9"/>
  <c r="E5048" i="9"/>
  <c r="F5047" i="9"/>
  <c r="E5047" i="9"/>
  <c r="F5046" i="9"/>
  <c r="E5046" i="9"/>
  <c r="F5045" i="9"/>
  <c r="E5045" i="9"/>
  <c r="F5044" i="9"/>
  <c r="E5044" i="9"/>
  <c r="F5043" i="9"/>
  <c r="E5043" i="9"/>
  <c r="F5042" i="9"/>
  <c r="E5042" i="9"/>
  <c r="F5041" i="9"/>
  <c r="E5041" i="9"/>
  <c r="F5040" i="9"/>
  <c r="E5040" i="9"/>
  <c r="F5039" i="9"/>
  <c r="E5039" i="9"/>
  <c r="F5038" i="9"/>
  <c r="E5038" i="9"/>
  <c r="F5037" i="9"/>
  <c r="E5037" i="9"/>
  <c r="F5036" i="9"/>
  <c r="E5036" i="9"/>
  <c r="F5035" i="9"/>
  <c r="E5035" i="9"/>
  <c r="F5034" i="9"/>
  <c r="E5034" i="9"/>
  <c r="F5033" i="9"/>
  <c r="E5033" i="9"/>
  <c r="F5032" i="9"/>
  <c r="E5032" i="9"/>
  <c r="F5031" i="9"/>
  <c r="E5031" i="9"/>
  <c r="F5030" i="9"/>
  <c r="E5030" i="9"/>
  <c r="F5029" i="9"/>
  <c r="E5029" i="9"/>
  <c r="F5028" i="9"/>
  <c r="E5028" i="9"/>
  <c r="F5027" i="9"/>
  <c r="E5027" i="9"/>
  <c r="F5026" i="9"/>
  <c r="E5026" i="9"/>
  <c r="F5025" i="9"/>
  <c r="E5025" i="9"/>
  <c r="F5024" i="9"/>
  <c r="E5024" i="9"/>
  <c r="F5023" i="9"/>
  <c r="E5023" i="9"/>
  <c r="F5022" i="9"/>
  <c r="E5022" i="9"/>
  <c r="F5021" i="9"/>
  <c r="E5021" i="9"/>
  <c r="F5020" i="9"/>
  <c r="E5020" i="9"/>
  <c r="F5019" i="9"/>
  <c r="E5019" i="9"/>
  <c r="F5018" i="9"/>
  <c r="E5018" i="9"/>
  <c r="F5017" i="9"/>
  <c r="E5017" i="9"/>
  <c r="F5016" i="9"/>
  <c r="E5016" i="9"/>
  <c r="F5015" i="9"/>
  <c r="E5015" i="9"/>
  <c r="F5014" i="9"/>
  <c r="E5014" i="9"/>
  <c r="F5013" i="9"/>
  <c r="E5013" i="9"/>
  <c r="F5012" i="9"/>
  <c r="E5012" i="9"/>
  <c r="F5011" i="9"/>
  <c r="E5011" i="9"/>
  <c r="F5010" i="9"/>
  <c r="E5010" i="9"/>
  <c r="F5009" i="9"/>
  <c r="E5009" i="9"/>
  <c r="F5008" i="9"/>
  <c r="E5008" i="9"/>
  <c r="F5007" i="9"/>
  <c r="E5007" i="9"/>
  <c r="F5006" i="9"/>
  <c r="E5006" i="9"/>
  <c r="F5005" i="9"/>
  <c r="E5005" i="9"/>
  <c r="F5004" i="9"/>
  <c r="E5004" i="9"/>
  <c r="F5003" i="9"/>
  <c r="E5003" i="9"/>
  <c r="F5002" i="9"/>
  <c r="E5002" i="9"/>
  <c r="F5001" i="9"/>
  <c r="E5001" i="9"/>
  <c r="F5000" i="9"/>
  <c r="E5000" i="9"/>
  <c r="F4999" i="9"/>
  <c r="E4999" i="9"/>
  <c r="F4998" i="9"/>
  <c r="E4998" i="9"/>
  <c r="F4997" i="9"/>
  <c r="E4997" i="9"/>
  <c r="F4996" i="9"/>
  <c r="E4996" i="9"/>
  <c r="F4995" i="9"/>
  <c r="E4995" i="9"/>
  <c r="F4994" i="9"/>
  <c r="E4994" i="9"/>
  <c r="F4993" i="9"/>
  <c r="E4993" i="9"/>
  <c r="F4992" i="9"/>
  <c r="E4992" i="9"/>
  <c r="F4991" i="9"/>
  <c r="E4991" i="9"/>
  <c r="F4990" i="9"/>
  <c r="E4990" i="9"/>
  <c r="F4989" i="9"/>
  <c r="E4989" i="9"/>
  <c r="F4988" i="9"/>
  <c r="E4988" i="9"/>
  <c r="F4987" i="9"/>
  <c r="E4987" i="9"/>
  <c r="F4986" i="9"/>
  <c r="E4986" i="9"/>
  <c r="F4985" i="9"/>
  <c r="E4985" i="9"/>
  <c r="F4984" i="9"/>
  <c r="E4984" i="9"/>
  <c r="F4983" i="9"/>
  <c r="E4983" i="9"/>
  <c r="F4982" i="9"/>
  <c r="E4982" i="9"/>
  <c r="F4981" i="9"/>
  <c r="E4981" i="9"/>
  <c r="F4980" i="9"/>
  <c r="E4980" i="9"/>
  <c r="F4979" i="9"/>
  <c r="E4979" i="9"/>
  <c r="F4978" i="9"/>
  <c r="E4978" i="9"/>
  <c r="F4977" i="9"/>
  <c r="E4977" i="9"/>
  <c r="F4976" i="9"/>
  <c r="E4976" i="9"/>
  <c r="F4975" i="9"/>
  <c r="E4975" i="9"/>
  <c r="F4974" i="9"/>
  <c r="E4974" i="9"/>
  <c r="F4973" i="9"/>
  <c r="E4973" i="9"/>
  <c r="F4972" i="9"/>
  <c r="E4972" i="9"/>
  <c r="F4971" i="9"/>
  <c r="E4971" i="9"/>
  <c r="F4970" i="9"/>
  <c r="E4970" i="9"/>
  <c r="F4969" i="9"/>
  <c r="E4969" i="9"/>
  <c r="F4968" i="9"/>
  <c r="E4968" i="9"/>
  <c r="F4967" i="9"/>
  <c r="E4967" i="9"/>
  <c r="F4966" i="9"/>
  <c r="E4966" i="9"/>
  <c r="F4965" i="9"/>
  <c r="E4965" i="9"/>
  <c r="F4964" i="9"/>
  <c r="E4964" i="9"/>
  <c r="F4963" i="9"/>
  <c r="E4963" i="9"/>
  <c r="F4962" i="9"/>
  <c r="E4962" i="9"/>
  <c r="F4961" i="9"/>
  <c r="E4961" i="9"/>
  <c r="F4960" i="9"/>
  <c r="E4960" i="9"/>
  <c r="F4959" i="9"/>
  <c r="E4959" i="9"/>
  <c r="F4958" i="9"/>
  <c r="E4958" i="9"/>
  <c r="F4957" i="9"/>
  <c r="E4957" i="9"/>
  <c r="F4956" i="9"/>
  <c r="E4956" i="9"/>
  <c r="F4955" i="9"/>
  <c r="E4955" i="9"/>
  <c r="F4954" i="9"/>
  <c r="E4954" i="9"/>
  <c r="F4953" i="9"/>
  <c r="E4953" i="9"/>
  <c r="F4952" i="9"/>
  <c r="E4952" i="9"/>
  <c r="F4951" i="9"/>
  <c r="E4951" i="9"/>
  <c r="F4950" i="9"/>
  <c r="E4950" i="9"/>
  <c r="F4949" i="9"/>
  <c r="E4949" i="9"/>
  <c r="F4948" i="9"/>
  <c r="E4948" i="9"/>
  <c r="F4947" i="9"/>
  <c r="E4947" i="9"/>
  <c r="F4946" i="9"/>
  <c r="E4946" i="9"/>
  <c r="F4945" i="9"/>
  <c r="E4945" i="9"/>
  <c r="F4944" i="9"/>
  <c r="E4944" i="9"/>
  <c r="F4943" i="9"/>
  <c r="E4943" i="9"/>
  <c r="F4942" i="9"/>
  <c r="E4942" i="9"/>
  <c r="F4941" i="9"/>
  <c r="E4941" i="9"/>
  <c r="F4940" i="9"/>
  <c r="E4940" i="9"/>
  <c r="F4939" i="9"/>
  <c r="E4939" i="9"/>
  <c r="F4938" i="9"/>
  <c r="E4938" i="9"/>
  <c r="F4937" i="9"/>
  <c r="E4937" i="9"/>
  <c r="F4936" i="9"/>
  <c r="E4936" i="9"/>
  <c r="F4935" i="9"/>
  <c r="E4935" i="9"/>
  <c r="F4934" i="9"/>
  <c r="E4934" i="9"/>
  <c r="F4933" i="9"/>
  <c r="E4933" i="9"/>
  <c r="F4932" i="9"/>
  <c r="E4932" i="9"/>
  <c r="F4931" i="9"/>
  <c r="E4931" i="9"/>
  <c r="F4930" i="9"/>
  <c r="E4930" i="9"/>
  <c r="F4929" i="9"/>
  <c r="E4929" i="9"/>
  <c r="F4928" i="9"/>
  <c r="E4928" i="9"/>
  <c r="F4927" i="9"/>
  <c r="E4927" i="9"/>
  <c r="F4926" i="9"/>
  <c r="E4926" i="9"/>
  <c r="F4925" i="9"/>
  <c r="E4925" i="9"/>
  <c r="F4924" i="9"/>
  <c r="E4924" i="9"/>
  <c r="F4923" i="9"/>
  <c r="E4923" i="9"/>
  <c r="F4922" i="9"/>
  <c r="E4922" i="9"/>
  <c r="F4921" i="9"/>
  <c r="E4921" i="9"/>
  <c r="F4920" i="9"/>
  <c r="E4920" i="9"/>
  <c r="F4919" i="9"/>
  <c r="E4919" i="9"/>
  <c r="F4918" i="9"/>
  <c r="E4918" i="9"/>
  <c r="F4917" i="9"/>
  <c r="E4917" i="9"/>
  <c r="F4916" i="9"/>
  <c r="E4916" i="9"/>
  <c r="F4915" i="9"/>
  <c r="E4915" i="9"/>
  <c r="F4914" i="9"/>
  <c r="E4914" i="9"/>
  <c r="F4913" i="9"/>
  <c r="E4913" i="9"/>
  <c r="F4912" i="9"/>
  <c r="E4912" i="9"/>
  <c r="F4911" i="9"/>
  <c r="E4911" i="9"/>
  <c r="F4910" i="9"/>
  <c r="E4910" i="9"/>
  <c r="F4909" i="9"/>
  <c r="E4909" i="9"/>
  <c r="F4908" i="9"/>
  <c r="E4908" i="9"/>
  <c r="F4907" i="9"/>
  <c r="E4907" i="9"/>
  <c r="F4906" i="9"/>
  <c r="E4906" i="9"/>
  <c r="F4905" i="9"/>
  <c r="E4905" i="9"/>
  <c r="F4904" i="9"/>
  <c r="E4904" i="9"/>
  <c r="F4903" i="9"/>
  <c r="E4903" i="9"/>
  <c r="F4902" i="9"/>
  <c r="E4902" i="9"/>
  <c r="F4901" i="9"/>
  <c r="E4901" i="9"/>
  <c r="F4900" i="9"/>
  <c r="E4900" i="9"/>
  <c r="F4899" i="9"/>
  <c r="E4899" i="9"/>
  <c r="F4898" i="9"/>
  <c r="E4898" i="9"/>
  <c r="F4897" i="9"/>
  <c r="E4897" i="9"/>
  <c r="F4896" i="9"/>
  <c r="E4896" i="9"/>
  <c r="F4895" i="9"/>
  <c r="E4895" i="9"/>
  <c r="F4894" i="9"/>
  <c r="E4894" i="9"/>
  <c r="F4893" i="9"/>
  <c r="E4893" i="9"/>
  <c r="F4892" i="9"/>
  <c r="E4892" i="9"/>
  <c r="F4891" i="9"/>
  <c r="E4891" i="9"/>
  <c r="F4890" i="9"/>
  <c r="E4890" i="9"/>
  <c r="F4889" i="9"/>
  <c r="E4889" i="9"/>
  <c r="F4888" i="9"/>
  <c r="E4888" i="9"/>
  <c r="F4887" i="9"/>
  <c r="E4887" i="9"/>
  <c r="F4886" i="9"/>
  <c r="E4886" i="9"/>
  <c r="F4885" i="9"/>
  <c r="E4885" i="9"/>
  <c r="F4884" i="9"/>
  <c r="E4884" i="9"/>
  <c r="F4883" i="9"/>
  <c r="E4883" i="9"/>
  <c r="F4882" i="9"/>
  <c r="E4882" i="9"/>
  <c r="F4881" i="9"/>
  <c r="E4881" i="9"/>
  <c r="F4880" i="9"/>
  <c r="E4880" i="9"/>
  <c r="F4879" i="9"/>
  <c r="E4879" i="9"/>
  <c r="F4878" i="9"/>
  <c r="E4878" i="9"/>
  <c r="F4877" i="9"/>
  <c r="E4877" i="9"/>
  <c r="F4876" i="9"/>
  <c r="E4876" i="9"/>
  <c r="F4875" i="9"/>
  <c r="E4875" i="9"/>
  <c r="F4874" i="9"/>
  <c r="E4874" i="9"/>
  <c r="F4873" i="9"/>
  <c r="E4873" i="9"/>
  <c r="F4872" i="9"/>
  <c r="E4872" i="9"/>
  <c r="F4871" i="9"/>
  <c r="E4871" i="9"/>
  <c r="F4870" i="9"/>
  <c r="E4870" i="9"/>
  <c r="F4869" i="9"/>
  <c r="E4869" i="9"/>
  <c r="F4868" i="9"/>
  <c r="E4868" i="9"/>
  <c r="F4867" i="9"/>
  <c r="E4867" i="9"/>
  <c r="F4866" i="9"/>
  <c r="E4866" i="9"/>
  <c r="F4865" i="9"/>
  <c r="E4865" i="9"/>
  <c r="F4864" i="9"/>
  <c r="E4864" i="9"/>
  <c r="F4863" i="9"/>
  <c r="E4863" i="9"/>
  <c r="F4862" i="9"/>
  <c r="E4862" i="9"/>
  <c r="F4861" i="9"/>
  <c r="E4861" i="9"/>
  <c r="F4860" i="9"/>
  <c r="E4860" i="9"/>
  <c r="F4859" i="9"/>
  <c r="E4859" i="9"/>
  <c r="F4858" i="9"/>
  <c r="E4858" i="9"/>
  <c r="F4857" i="9"/>
  <c r="E4857" i="9"/>
  <c r="F4856" i="9"/>
  <c r="E4856" i="9"/>
  <c r="F4855" i="9"/>
  <c r="E4855" i="9"/>
  <c r="F4854" i="9"/>
  <c r="E4854" i="9"/>
  <c r="F4853" i="9"/>
  <c r="E4853" i="9"/>
  <c r="F4852" i="9"/>
  <c r="E4852" i="9"/>
  <c r="F4851" i="9"/>
  <c r="E4851" i="9"/>
  <c r="F4850" i="9"/>
  <c r="E4850" i="9"/>
  <c r="F4849" i="9"/>
  <c r="E4849" i="9"/>
  <c r="F4848" i="9"/>
  <c r="E4848" i="9"/>
  <c r="F4847" i="9"/>
  <c r="E4847" i="9"/>
  <c r="F4846" i="9"/>
  <c r="E4846" i="9"/>
  <c r="F4845" i="9"/>
  <c r="E4845" i="9"/>
  <c r="F4844" i="9"/>
  <c r="E4844" i="9"/>
  <c r="F4843" i="9"/>
  <c r="E4843" i="9"/>
  <c r="F4842" i="9"/>
  <c r="E4842" i="9"/>
  <c r="F4841" i="9"/>
  <c r="E4841" i="9"/>
  <c r="F4840" i="9"/>
  <c r="E4840" i="9"/>
  <c r="F4839" i="9"/>
  <c r="E4839" i="9"/>
  <c r="F4838" i="9"/>
  <c r="E4838" i="9"/>
  <c r="F4837" i="9"/>
  <c r="E4837" i="9"/>
  <c r="F4836" i="9"/>
  <c r="E4836" i="9"/>
  <c r="F4835" i="9"/>
  <c r="E4835" i="9"/>
  <c r="F4834" i="9"/>
  <c r="E4834" i="9"/>
  <c r="F4833" i="9"/>
  <c r="E4833" i="9"/>
  <c r="F4832" i="9"/>
  <c r="E4832" i="9"/>
  <c r="F4831" i="9"/>
  <c r="E4831" i="9"/>
  <c r="F4830" i="9"/>
  <c r="E4830" i="9"/>
  <c r="F4829" i="9"/>
  <c r="E4829" i="9"/>
  <c r="F4828" i="9"/>
  <c r="E4828" i="9"/>
  <c r="F4827" i="9"/>
  <c r="E4827" i="9"/>
  <c r="F4826" i="9"/>
  <c r="E4826" i="9"/>
  <c r="F4825" i="9"/>
  <c r="E4825" i="9"/>
  <c r="F4824" i="9"/>
  <c r="E4824" i="9"/>
  <c r="F4823" i="9"/>
  <c r="E4823" i="9"/>
  <c r="F4822" i="9"/>
  <c r="E4822" i="9"/>
  <c r="F4821" i="9"/>
  <c r="E4821" i="9"/>
  <c r="F4820" i="9"/>
  <c r="E4820" i="9"/>
  <c r="F4819" i="9"/>
  <c r="E4819" i="9"/>
  <c r="F4818" i="9"/>
  <c r="E4818" i="9"/>
  <c r="F4817" i="9"/>
  <c r="E4817" i="9"/>
  <c r="F4816" i="9"/>
  <c r="E4816" i="9"/>
  <c r="F4815" i="9"/>
  <c r="E4815" i="9"/>
  <c r="F4814" i="9"/>
  <c r="E4814" i="9"/>
  <c r="F4813" i="9"/>
  <c r="E4813" i="9"/>
  <c r="F4812" i="9"/>
  <c r="E4812" i="9"/>
  <c r="F4811" i="9"/>
  <c r="E4811" i="9"/>
  <c r="F4810" i="9"/>
  <c r="E4810" i="9"/>
  <c r="F4809" i="9"/>
  <c r="E4809" i="9"/>
  <c r="F4808" i="9"/>
  <c r="E4808" i="9"/>
  <c r="F4807" i="9"/>
  <c r="E4807" i="9"/>
  <c r="F4806" i="9"/>
  <c r="E4806" i="9"/>
  <c r="F4805" i="9"/>
  <c r="E4805" i="9"/>
  <c r="F4804" i="9"/>
  <c r="E4804" i="9"/>
  <c r="F4803" i="9"/>
  <c r="E4803" i="9"/>
  <c r="F4802" i="9"/>
  <c r="E4802" i="9"/>
  <c r="F4801" i="9"/>
  <c r="E4801" i="9"/>
  <c r="F4800" i="9"/>
  <c r="E4800" i="9"/>
  <c r="F4799" i="9"/>
  <c r="E4799" i="9"/>
  <c r="F4798" i="9"/>
  <c r="E4798" i="9"/>
  <c r="F4797" i="9"/>
  <c r="E4797" i="9"/>
  <c r="F4796" i="9"/>
  <c r="E4796" i="9"/>
  <c r="F4795" i="9"/>
  <c r="E4795" i="9"/>
  <c r="F4794" i="9"/>
  <c r="E4794" i="9"/>
  <c r="F4793" i="9"/>
  <c r="E4793" i="9"/>
  <c r="F4792" i="9"/>
  <c r="E4792" i="9"/>
  <c r="F4791" i="9"/>
  <c r="E4791" i="9"/>
  <c r="F4790" i="9"/>
  <c r="E4790" i="9"/>
  <c r="F4789" i="9"/>
  <c r="E4789" i="9"/>
  <c r="F4788" i="9"/>
  <c r="E4788" i="9"/>
  <c r="F4787" i="9"/>
  <c r="E4787" i="9"/>
  <c r="F4786" i="9"/>
  <c r="E4786" i="9"/>
  <c r="F4785" i="9"/>
  <c r="E4785" i="9"/>
  <c r="F4784" i="9"/>
  <c r="E4784" i="9"/>
  <c r="F4783" i="9"/>
  <c r="E4783" i="9"/>
  <c r="F4782" i="9"/>
  <c r="E4782" i="9"/>
  <c r="F4781" i="9"/>
  <c r="E4781" i="9"/>
  <c r="F4780" i="9"/>
  <c r="E4780" i="9"/>
  <c r="F4779" i="9"/>
  <c r="E4779" i="9"/>
  <c r="F4778" i="9"/>
  <c r="E4778" i="9"/>
  <c r="F4777" i="9"/>
  <c r="E4777" i="9"/>
  <c r="F4776" i="9"/>
  <c r="E4776" i="9"/>
  <c r="F4775" i="9"/>
  <c r="E4775" i="9"/>
  <c r="F4774" i="9"/>
  <c r="E4774" i="9"/>
  <c r="F4773" i="9"/>
  <c r="E4773" i="9"/>
  <c r="F4772" i="9"/>
  <c r="E4772" i="9"/>
  <c r="F4771" i="9"/>
  <c r="E4771" i="9"/>
  <c r="F4770" i="9"/>
  <c r="E4770" i="9"/>
  <c r="F4769" i="9"/>
  <c r="E4769" i="9"/>
  <c r="F4768" i="9"/>
  <c r="E4768" i="9"/>
  <c r="F4767" i="9"/>
  <c r="E4767" i="9"/>
  <c r="F4766" i="9"/>
  <c r="E4766" i="9"/>
  <c r="F4765" i="9"/>
  <c r="E4765" i="9"/>
  <c r="F4764" i="9"/>
  <c r="E4764" i="9"/>
  <c r="F4763" i="9"/>
  <c r="E4763" i="9"/>
  <c r="F4762" i="9"/>
  <c r="E4762" i="9"/>
  <c r="F4761" i="9"/>
  <c r="E4761" i="9"/>
  <c r="F4760" i="9"/>
  <c r="E4760" i="9"/>
  <c r="F4759" i="9"/>
  <c r="E4759" i="9"/>
  <c r="F4758" i="9"/>
  <c r="E4758" i="9"/>
  <c r="F4757" i="9"/>
  <c r="E4757" i="9"/>
  <c r="F4756" i="9"/>
  <c r="E4756" i="9"/>
  <c r="F4755" i="9"/>
  <c r="E4755" i="9"/>
  <c r="F4754" i="9"/>
  <c r="E4754" i="9"/>
  <c r="F4753" i="9"/>
  <c r="E4753" i="9"/>
  <c r="F4752" i="9"/>
  <c r="E4752" i="9"/>
  <c r="F4751" i="9"/>
  <c r="E4751" i="9"/>
  <c r="F4750" i="9"/>
  <c r="E4750" i="9"/>
  <c r="F4749" i="9"/>
  <c r="E4749" i="9"/>
  <c r="F4748" i="9"/>
  <c r="E4748" i="9"/>
  <c r="F4747" i="9"/>
  <c r="E4747" i="9"/>
  <c r="F4746" i="9"/>
  <c r="E4746" i="9"/>
  <c r="F4745" i="9"/>
  <c r="E4745" i="9"/>
  <c r="F4744" i="9"/>
  <c r="E4744" i="9"/>
  <c r="F4743" i="9"/>
  <c r="E4743" i="9"/>
  <c r="F4742" i="9"/>
  <c r="E4742" i="9"/>
  <c r="F4741" i="9"/>
  <c r="E4741" i="9"/>
  <c r="F4740" i="9"/>
  <c r="E4740" i="9"/>
  <c r="F4739" i="9"/>
  <c r="E4739" i="9"/>
  <c r="F4738" i="9"/>
  <c r="E4738" i="9"/>
  <c r="F4737" i="9"/>
  <c r="E4737" i="9"/>
  <c r="F4736" i="9"/>
  <c r="E4736" i="9"/>
  <c r="F4735" i="9"/>
  <c r="E4735" i="9"/>
  <c r="F4734" i="9"/>
  <c r="E4734" i="9"/>
  <c r="F4733" i="9"/>
  <c r="E4733" i="9"/>
  <c r="F4732" i="9"/>
  <c r="E4732" i="9"/>
  <c r="F4731" i="9"/>
  <c r="E4731" i="9"/>
  <c r="F4730" i="9"/>
  <c r="E4730" i="9"/>
  <c r="F4729" i="9"/>
  <c r="E4729" i="9"/>
  <c r="F4728" i="9"/>
  <c r="E4728" i="9"/>
  <c r="F4727" i="9"/>
  <c r="E4727" i="9"/>
  <c r="F4726" i="9"/>
  <c r="E4726" i="9"/>
  <c r="F4725" i="9"/>
  <c r="E4725" i="9"/>
  <c r="F4724" i="9"/>
  <c r="E4724" i="9"/>
  <c r="F4723" i="9"/>
  <c r="E4723" i="9"/>
  <c r="F4722" i="9"/>
  <c r="E4722" i="9"/>
  <c r="F4721" i="9"/>
  <c r="E4721" i="9"/>
  <c r="F4720" i="9"/>
  <c r="E4720" i="9"/>
  <c r="F4719" i="9"/>
  <c r="E4719" i="9"/>
  <c r="F4718" i="9"/>
  <c r="E4718" i="9"/>
  <c r="F4717" i="9"/>
  <c r="E4717" i="9"/>
  <c r="F4716" i="9"/>
  <c r="E4716" i="9"/>
  <c r="F4715" i="9"/>
  <c r="E4715" i="9"/>
  <c r="F4714" i="9"/>
  <c r="E4714" i="9"/>
  <c r="F4713" i="9"/>
  <c r="E4713" i="9"/>
  <c r="F4712" i="9"/>
  <c r="E4712" i="9"/>
  <c r="F4711" i="9"/>
  <c r="E4711" i="9"/>
  <c r="F4710" i="9"/>
  <c r="E4710" i="9"/>
  <c r="F4709" i="9"/>
  <c r="E4709" i="9"/>
  <c r="F4708" i="9"/>
  <c r="E4708" i="9"/>
  <c r="F4707" i="9"/>
  <c r="E4707" i="9"/>
  <c r="F4706" i="9"/>
  <c r="E4706" i="9"/>
  <c r="F4705" i="9"/>
  <c r="E4705" i="9"/>
  <c r="F4704" i="9"/>
  <c r="E4704" i="9"/>
  <c r="F4703" i="9"/>
  <c r="E4703" i="9"/>
  <c r="F4702" i="9"/>
  <c r="E4702" i="9"/>
  <c r="F4701" i="9"/>
  <c r="E4701" i="9"/>
  <c r="F4700" i="9"/>
  <c r="E4700" i="9"/>
  <c r="F4699" i="9"/>
  <c r="E4699" i="9"/>
  <c r="F4698" i="9"/>
  <c r="E4698" i="9"/>
  <c r="F4697" i="9"/>
  <c r="E4697" i="9"/>
  <c r="F4696" i="9"/>
  <c r="E4696" i="9"/>
  <c r="F4695" i="9"/>
  <c r="E4695" i="9"/>
  <c r="F4694" i="9"/>
  <c r="E4694" i="9"/>
  <c r="F4693" i="9"/>
  <c r="E4693" i="9"/>
  <c r="F4692" i="9"/>
  <c r="E4692" i="9"/>
  <c r="F4691" i="9"/>
  <c r="E4691" i="9"/>
  <c r="F4690" i="9"/>
  <c r="E4690" i="9"/>
  <c r="F4689" i="9"/>
  <c r="E4689" i="9"/>
  <c r="F4688" i="9"/>
  <c r="E4688" i="9"/>
  <c r="F4687" i="9"/>
  <c r="E4687" i="9"/>
  <c r="F4686" i="9"/>
  <c r="E4686" i="9"/>
  <c r="F4685" i="9"/>
  <c r="E4685" i="9"/>
  <c r="F4684" i="9"/>
  <c r="E4684" i="9"/>
  <c r="F4683" i="9"/>
  <c r="E4683" i="9"/>
  <c r="F4682" i="9"/>
  <c r="E4682" i="9"/>
  <c r="F4681" i="9"/>
  <c r="E4681" i="9"/>
  <c r="F4680" i="9"/>
  <c r="E4680" i="9"/>
  <c r="F4679" i="9"/>
  <c r="E4679" i="9"/>
  <c r="F4678" i="9"/>
  <c r="E4678" i="9"/>
  <c r="F4677" i="9"/>
  <c r="E4677" i="9"/>
  <c r="F4676" i="9"/>
  <c r="E4676" i="9"/>
  <c r="F4675" i="9"/>
  <c r="E4675" i="9"/>
  <c r="F4674" i="9"/>
  <c r="E4674" i="9"/>
  <c r="F4673" i="9"/>
  <c r="E4673" i="9"/>
  <c r="F4672" i="9"/>
  <c r="E4672" i="9"/>
  <c r="F4671" i="9"/>
  <c r="E4671" i="9"/>
  <c r="F4670" i="9"/>
  <c r="E4670" i="9"/>
  <c r="F4669" i="9"/>
  <c r="E4669" i="9"/>
  <c r="F4668" i="9"/>
  <c r="E4668" i="9"/>
  <c r="F4667" i="9"/>
  <c r="E4667" i="9"/>
  <c r="F4666" i="9"/>
  <c r="E4666" i="9"/>
  <c r="F4665" i="9"/>
  <c r="E4665" i="9"/>
  <c r="F4664" i="9"/>
  <c r="E4664" i="9"/>
  <c r="F4663" i="9"/>
  <c r="E4663" i="9"/>
  <c r="F4662" i="9"/>
  <c r="E4662" i="9"/>
  <c r="F4661" i="9"/>
  <c r="E4661" i="9"/>
  <c r="F4660" i="9"/>
  <c r="E4660" i="9"/>
  <c r="F4659" i="9"/>
  <c r="E4659" i="9"/>
  <c r="F4658" i="9"/>
  <c r="E4658" i="9"/>
  <c r="F4657" i="9"/>
  <c r="E4657" i="9"/>
  <c r="F4656" i="9"/>
  <c r="E4656" i="9"/>
  <c r="F4655" i="9"/>
  <c r="E4655" i="9"/>
  <c r="F4654" i="9"/>
  <c r="E4654" i="9"/>
  <c r="F4653" i="9"/>
  <c r="E4653" i="9"/>
  <c r="F4652" i="9"/>
  <c r="E4652" i="9"/>
  <c r="F4651" i="9"/>
  <c r="E4651" i="9"/>
  <c r="F4650" i="9"/>
  <c r="E4650" i="9"/>
  <c r="F4649" i="9"/>
  <c r="E4649" i="9"/>
  <c r="F4648" i="9"/>
  <c r="E4648" i="9"/>
  <c r="F4647" i="9"/>
  <c r="E4647" i="9"/>
  <c r="F4646" i="9"/>
  <c r="E4646" i="9"/>
  <c r="F4645" i="9"/>
  <c r="E4645" i="9"/>
  <c r="F4644" i="9"/>
  <c r="E4644" i="9"/>
  <c r="F4643" i="9"/>
  <c r="E4643" i="9"/>
  <c r="F4642" i="9"/>
  <c r="E4642" i="9"/>
  <c r="F4641" i="9"/>
  <c r="E4641" i="9"/>
  <c r="F4640" i="9"/>
  <c r="E4640" i="9"/>
  <c r="F4639" i="9"/>
  <c r="E4639" i="9"/>
  <c r="F4638" i="9"/>
  <c r="E4638" i="9"/>
  <c r="F4637" i="9"/>
  <c r="E4637" i="9"/>
  <c r="F4636" i="9"/>
  <c r="E4636" i="9"/>
  <c r="F4635" i="9"/>
  <c r="E4635" i="9"/>
  <c r="F4634" i="9"/>
  <c r="E4634" i="9"/>
  <c r="F4633" i="9"/>
  <c r="E4633" i="9"/>
  <c r="F4632" i="9"/>
  <c r="E4632" i="9"/>
  <c r="F4631" i="9"/>
  <c r="E4631" i="9"/>
  <c r="F4630" i="9"/>
  <c r="E4630" i="9"/>
  <c r="F4629" i="9"/>
  <c r="E4629" i="9"/>
  <c r="F4628" i="9"/>
  <c r="E4628" i="9"/>
  <c r="F4627" i="9"/>
  <c r="E4627" i="9"/>
  <c r="F4626" i="9"/>
  <c r="E4626" i="9"/>
  <c r="F4625" i="9"/>
  <c r="E4625" i="9"/>
  <c r="F4624" i="9"/>
  <c r="E4624" i="9"/>
  <c r="F4623" i="9"/>
  <c r="E4623" i="9"/>
  <c r="F4622" i="9"/>
  <c r="E4622" i="9"/>
  <c r="F4621" i="9"/>
  <c r="E4621" i="9"/>
  <c r="F4620" i="9"/>
  <c r="E4620" i="9"/>
  <c r="F4619" i="9"/>
  <c r="E4619" i="9"/>
  <c r="F4618" i="9"/>
  <c r="E4618" i="9"/>
  <c r="F4617" i="9"/>
  <c r="E4617" i="9"/>
  <c r="F4616" i="9"/>
  <c r="E4616" i="9"/>
  <c r="F4615" i="9"/>
  <c r="E4615" i="9"/>
  <c r="F4614" i="9"/>
  <c r="E4614" i="9"/>
  <c r="F4613" i="9"/>
  <c r="E4613" i="9"/>
  <c r="F4612" i="9"/>
  <c r="E4612" i="9"/>
  <c r="F4611" i="9"/>
  <c r="E4611" i="9"/>
  <c r="F4610" i="9"/>
  <c r="E4610" i="9"/>
  <c r="F4609" i="9"/>
  <c r="E4609" i="9"/>
  <c r="F4608" i="9"/>
  <c r="E4608" i="9"/>
  <c r="F4607" i="9"/>
  <c r="E4607" i="9"/>
  <c r="F4606" i="9"/>
  <c r="E4606" i="9"/>
  <c r="F4605" i="9"/>
  <c r="E4605" i="9"/>
  <c r="F4604" i="9"/>
  <c r="E4604" i="9"/>
  <c r="F4603" i="9"/>
  <c r="E4603" i="9"/>
  <c r="F4602" i="9"/>
  <c r="E4602" i="9"/>
  <c r="F4601" i="9"/>
  <c r="E4601" i="9"/>
  <c r="F4600" i="9"/>
  <c r="E4600" i="9"/>
  <c r="F4599" i="9"/>
  <c r="E4599" i="9"/>
  <c r="F4598" i="9"/>
  <c r="E4598" i="9"/>
  <c r="F4597" i="9"/>
  <c r="E4597" i="9"/>
  <c r="F4596" i="9"/>
  <c r="E4596" i="9"/>
  <c r="F4595" i="9"/>
  <c r="E4595" i="9"/>
  <c r="F4594" i="9"/>
  <c r="E4594" i="9"/>
  <c r="F4593" i="9"/>
  <c r="E4593" i="9"/>
  <c r="F4592" i="9"/>
  <c r="E4592" i="9"/>
  <c r="F4591" i="9"/>
  <c r="E4591" i="9"/>
  <c r="F4590" i="9"/>
  <c r="E4590" i="9"/>
  <c r="F4589" i="9"/>
  <c r="E4589" i="9"/>
  <c r="F4588" i="9"/>
  <c r="E4588" i="9"/>
  <c r="F4587" i="9"/>
  <c r="E4587" i="9"/>
  <c r="F4586" i="9"/>
  <c r="E4586" i="9"/>
  <c r="F4585" i="9"/>
  <c r="E4585" i="9"/>
  <c r="F4584" i="9"/>
  <c r="E4584" i="9"/>
  <c r="F4583" i="9"/>
  <c r="E4583" i="9"/>
  <c r="F4582" i="9"/>
  <c r="E4582" i="9"/>
  <c r="F4581" i="9"/>
  <c r="E4581" i="9"/>
  <c r="F4580" i="9"/>
  <c r="E4580" i="9"/>
  <c r="F4579" i="9"/>
  <c r="E4579" i="9"/>
  <c r="F4578" i="9"/>
  <c r="E4578" i="9"/>
  <c r="F4577" i="9"/>
  <c r="E4577" i="9"/>
  <c r="F4576" i="9"/>
  <c r="E4576" i="9"/>
  <c r="F4575" i="9"/>
  <c r="E4575" i="9"/>
  <c r="F4574" i="9"/>
  <c r="E4574" i="9"/>
  <c r="F4573" i="9"/>
  <c r="E4573" i="9"/>
  <c r="F4572" i="9"/>
  <c r="E4572" i="9"/>
  <c r="F4571" i="9"/>
  <c r="E4571" i="9"/>
  <c r="F4570" i="9"/>
  <c r="E4570" i="9"/>
  <c r="F4569" i="9"/>
  <c r="E4569" i="9"/>
  <c r="F4568" i="9"/>
  <c r="E4568" i="9"/>
  <c r="F4567" i="9"/>
  <c r="E4567" i="9"/>
  <c r="F4566" i="9"/>
  <c r="E4566" i="9"/>
  <c r="F4565" i="9"/>
  <c r="E4565" i="9"/>
  <c r="F4564" i="9"/>
  <c r="E4564" i="9"/>
  <c r="F4563" i="9"/>
  <c r="E4563" i="9"/>
  <c r="F4562" i="9"/>
  <c r="E4562" i="9"/>
  <c r="F4561" i="9"/>
  <c r="E4561" i="9"/>
  <c r="F4560" i="9"/>
  <c r="E4560" i="9"/>
  <c r="F4559" i="9"/>
  <c r="E4559" i="9"/>
  <c r="F4558" i="9"/>
  <c r="E4558" i="9"/>
  <c r="F4557" i="9"/>
  <c r="E4557" i="9"/>
  <c r="F4556" i="9"/>
  <c r="E4556" i="9"/>
  <c r="F4555" i="9"/>
  <c r="E4555" i="9"/>
  <c r="F4554" i="9"/>
  <c r="E4554" i="9"/>
  <c r="F4553" i="9"/>
  <c r="E4553" i="9"/>
  <c r="F4552" i="9"/>
  <c r="E4552" i="9"/>
  <c r="F4551" i="9"/>
  <c r="E4551" i="9"/>
  <c r="F4550" i="9"/>
  <c r="E4550" i="9"/>
  <c r="F4549" i="9"/>
  <c r="E4549" i="9"/>
  <c r="F4548" i="9"/>
  <c r="E4548" i="9"/>
  <c r="F4547" i="9"/>
  <c r="E4547" i="9"/>
  <c r="F4546" i="9"/>
  <c r="E4546" i="9"/>
  <c r="F4545" i="9"/>
  <c r="E4545" i="9"/>
  <c r="F4544" i="9"/>
  <c r="E4544" i="9"/>
  <c r="F4543" i="9"/>
  <c r="E4543" i="9"/>
  <c r="F4542" i="9"/>
  <c r="E4542" i="9"/>
  <c r="F4541" i="9"/>
  <c r="E4541" i="9"/>
  <c r="F4540" i="9"/>
  <c r="E4540" i="9"/>
  <c r="F4539" i="9"/>
  <c r="E4539" i="9"/>
  <c r="F4538" i="9"/>
  <c r="E4538" i="9"/>
  <c r="F4537" i="9"/>
  <c r="E4537" i="9"/>
  <c r="F4536" i="9"/>
  <c r="E4536" i="9"/>
  <c r="F4535" i="9"/>
  <c r="E4535" i="9"/>
  <c r="F4534" i="9"/>
  <c r="E4534" i="9"/>
  <c r="F4533" i="9"/>
  <c r="E4533" i="9"/>
  <c r="F4532" i="9"/>
  <c r="E4532" i="9"/>
  <c r="F4531" i="9"/>
  <c r="E4531" i="9"/>
  <c r="F4530" i="9"/>
  <c r="E4530" i="9"/>
  <c r="F4529" i="9"/>
  <c r="E4529" i="9"/>
  <c r="F4528" i="9"/>
  <c r="E4528" i="9"/>
  <c r="F4527" i="9"/>
  <c r="E4527" i="9"/>
  <c r="F4526" i="9"/>
  <c r="E4526" i="9"/>
  <c r="F4525" i="9"/>
  <c r="E4525" i="9"/>
  <c r="F4524" i="9"/>
  <c r="E4524" i="9"/>
  <c r="F4523" i="9"/>
  <c r="E4523" i="9"/>
  <c r="F4522" i="9"/>
  <c r="E4522" i="9"/>
  <c r="F4521" i="9"/>
  <c r="E4521" i="9"/>
  <c r="F4520" i="9"/>
  <c r="E4520" i="9"/>
  <c r="F4519" i="9"/>
  <c r="E4519" i="9"/>
  <c r="F4518" i="9"/>
  <c r="E4518" i="9"/>
  <c r="F4517" i="9"/>
  <c r="E4517" i="9"/>
  <c r="F4516" i="9"/>
  <c r="E4516" i="9"/>
  <c r="F4515" i="9"/>
  <c r="E4515" i="9"/>
  <c r="F4514" i="9"/>
  <c r="E4514" i="9"/>
  <c r="F4513" i="9"/>
  <c r="E4513" i="9"/>
  <c r="F4512" i="9"/>
  <c r="E4512" i="9"/>
  <c r="F4511" i="9"/>
  <c r="E4511" i="9"/>
  <c r="F4510" i="9"/>
  <c r="E4510" i="9"/>
  <c r="F4509" i="9"/>
  <c r="E4509" i="9"/>
  <c r="F4508" i="9"/>
  <c r="E4508" i="9"/>
  <c r="F4507" i="9"/>
  <c r="E4507" i="9"/>
  <c r="F4506" i="9"/>
  <c r="E4506" i="9"/>
  <c r="F4505" i="9"/>
  <c r="E4505" i="9"/>
  <c r="F4504" i="9"/>
  <c r="E4504" i="9"/>
  <c r="F4503" i="9"/>
  <c r="E4503" i="9"/>
  <c r="F4502" i="9"/>
  <c r="E4502" i="9"/>
  <c r="F4501" i="9"/>
  <c r="E4501" i="9"/>
  <c r="F4500" i="9"/>
  <c r="E4500" i="9"/>
  <c r="F4499" i="9"/>
  <c r="E4499" i="9"/>
  <c r="F4498" i="9"/>
  <c r="E4498" i="9"/>
  <c r="F4497" i="9"/>
  <c r="E4497" i="9"/>
  <c r="F4496" i="9"/>
  <c r="E4496" i="9"/>
  <c r="F4495" i="9"/>
  <c r="E4495" i="9"/>
  <c r="F4494" i="9"/>
  <c r="E4494" i="9"/>
  <c r="F4493" i="9"/>
  <c r="E4493" i="9"/>
  <c r="F4492" i="9"/>
  <c r="E4492" i="9"/>
  <c r="F4491" i="9"/>
  <c r="E4491" i="9"/>
  <c r="F4490" i="9"/>
  <c r="E4490" i="9"/>
  <c r="F4489" i="9"/>
  <c r="E4489" i="9"/>
  <c r="F4488" i="9"/>
  <c r="E4488" i="9"/>
  <c r="F4487" i="9"/>
  <c r="E4487" i="9"/>
  <c r="F4486" i="9"/>
  <c r="E4486" i="9"/>
  <c r="F4485" i="9"/>
  <c r="E4485" i="9"/>
  <c r="F4484" i="9"/>
  <c r="E4484" i="9"/>
  <c r="F4483" i="9"/>
  <c r="E4483" i="9"/>
  <c r="F4482" i="9"/>
  <c r="E4482" i="9"/>
  <c r="F4481" i="9"/>
  <c r="E4481" i="9"/>
  <c r="F4480" i="9"/>
  <c r="E4480" i="9"/>
  <c r="F4479" i="9"/>
  <c r="E4479" i="9"/>
  <c r="F4478" i="9"/>
  <c r="E4478" i="9"/>
  <c r="F4477" i="9"/>
  <c r="E4477" i="9"/>
  <c r="F4476" i="9"/>
  <c r="E4476" i="9"/>
  <c r="F4475" i="9"/>
  <c r="E4475" i="9"/>
  <c r="F4474" i="9"/>
  <c r="E4474" i="9"/>
  <c r="F4473" i="9"/>
  <c r="E4473" i="9"/>
  <c r="F4472" i="9"/>
  <c r="E4472" i="9"/>
  <c r="F4471" i="9"/>
  <c r="E4471" i="9"/>
  <c r="F4470" i="9"/>
  <c r="E4470" i="9"/>
  <c r="F4469" i="9"/>
  <c r="E4469" i="9"/>
  <c r="F4468" i="9"/>
  <c r="E4468" i="9"/>
  <c r="F4467" i="9"/>
  <c r="E4467" i="9"/>
  <c r="F4466" i="9"/>
  <c r="E4466" i="9"/>
  <c r="F4465" i="9"/>
  <c r="E4465" i="9"/>
  <c r="F4464" i="9"/>
  <c r="E4464" i="9"/>
  <c r="F4463" i="9"/>
  <c r="E4463" i="9"/>
  <c r="F4462" i="9"/>
  <c r="E4462" i="9"/>
  <c r="F4461" i="9"/>
  <c r="E4461" i="9"/>
  <c r="F4460" i="9"/>
  <c r="E4460" i="9"/>
  <c r="F4459" i="9"/>
  <c r="E4459" i="9"/>
  <c r="F4458" i="9"/>
  <c r="E4458" i="9"/>
  <c r="F4457" i="9"/>
  <c r="E4457" i="9"/>
  <c r="F4456" i="9"/>
  <c r="E4456" i="9"/>
  <c r="F4455" i="9"/>
  <c r="E4455" i="9"/>
  <c r="F4454" i="9"/>
  <c r="E4454" i="9"/>
  <c r="F4453" i="9"/>
  <c r="E4453" i="9"/>
  <c r="F4452" i="9"/>
  <c r="E4452" i="9"/>
  <c r="F4451" i="9"/>
  <c r="E4451" i="9"/>
  <c r="F4450" i="9"/>
  <c r="E4450" i="9"/>
  <c r="F4449" i="9"/>
  <c r="E4449" i="9"/>
  <c r="F4448" i="9"/>
  <c r="E4448" i="9"/>
  <c r="F4447" i="9"/>
  <c r="E4447" i="9"/>
  <c r="F4446" i="9"/>
  <c r="E4446" i="9"/>
  <c r="F4445" i="9"/>
  <c r="E4445" i="9"/>
  <c r="F4444" i="9"/>
  <c r="E4444" i="9"/>
  <c r="F4443" i="9"/>
  <c r="E4443" i="9"/>
  <c r="F4442" i="9"/>
  <c r="E4442" i="9"/>
  <c r="F4441" i="9"/>
  <c r="E4441" i="9"/>
  <c r="F4440" i="9"/>
  <c r="E4440" i="9"/>
  <c r="F4439" i="9"/>
  <c r="E4439" i="9"/>
  <c r="F4438" i="9"/>
  <c r="E4438" i="9"/>
  <c r="F4437" i="9"/>
  <c r="E4437" i="9"/>
  <c r="F4436" i="9"/>
  <c r="E4436" i="9"/>
  <c r="F4435" i="9"/>
  <c r="E4435" i="9"/>
  <c r="F4434" i="9"/>
  <c r="E4434" i="9"/>
  <c r="F4433" i="9"/>
  <c r="E4433" i="9"/>
  <c r="F4432" i="9"/>
  <c r="E4432" i="9"/>
  <c r="F4431" i="9"/>
  <c r="E4431" i="9"/>
  <c r="F4430" i="9"/>
  <c r="E4430" i="9"/>
  <c r="F4429" i="9"/>
  <c r="E4429" i="9"/>
  <c r="F4428" i="9"/>
  <c r="E4428" i="9"/>
  <c r="F4427" i="9"/>
  <c r="E4427" i="9"/>
  <c r="F4426" i="9"/>
  <c r="E4426" i="9"/>
  <c r="F4425" i="9"/>
  <c r="E4425" i="9"/>
  <c r="F4424" i="9"/>
  <c r="E4424" i="9"/>
  <c r="F4423" i="9"/>
  <c r="E4423" i="9"/>
  <c r="F4422" i="9"/>
  <c r="E4422" i="9"/>
  <c r="F4421" i="9"/>
  <c r="E4421" i="9"/>
  <c r="F4420" i="9"/>
  <c r="E4420" i="9"/>
  <c r="F4419" i="9"/>
  <c r="E4419" i="9"/>
  <c r="F4418" i="9"/>
  <c r="E4418" i="9"/>
  <c r="F4417" i="9"/>
  <c r="E4417" i="9"/>
  <c r="F4416" i="9"/>
  <c r="E4416" i="9"/>
  <c r="F4415" i="9"/>
  <c r="E4415" i="9"/>
  <c r="F4414" i="9"/>
  <c r="E4414" i="9"/>
  <c r="F4413" i="9"/>
  <c r="E4413" i="9"/>
  <c r="F4412" i="9"/>
  <c r="E4412" i="9"/>
  <c r="F4411" i="9"/>
  <c r="E4411" i="9"/>
  <c r="F4410" i="9"/>
  <c r="E4410" i="9"/>
  <c r="F4409" i="9"/>
  <c r="E4409" i="9"/>
  <c r="F4408" i="9"/>
  <c r="E4408" i="9"/>
  <c r="F4407" i="9"/>
  <c r="E4407" i="9"/>
  <c r="F4406" i="9"/>
  <c r="E4406" i="9"/>
  <c r="F4405" i="9"/>
  <c r="E4405" i="9"/>
  <c r="F4404" i="9"/>
  <c r="E4404" i="9"/>
  <c r="F4403" i="9"/>
  <c r="E4403" i="9"/>
  <c r="F4402" i="9"/>
  <c r="E4402" i="9"/>
  <c r="F4401" i="9"/>
  <c r="E4401" i="9"/>
  <c r="F4400" i="9"/>
  <c r="E4400" i="9"/>
  <c r="F4399" i="9"/>
  <c r="E4399" i="9"/>
  <c r="F4398" i="9"/>
  <c r="E4398" i="9"/>
  <c r="F4397" i="9"/>
  <c r="E4397" i="9"/>
  <c r="F4396" i="9"/>
  <c r="E4396" i="9"/>
  <c r="F4395" i="9"/>
  <c r="E4395" i="9"/>
  <c r="F4394" i="9"/>
  <c r="E4394" i="9"/>
  <c r="F4393" i="9"/>
  <c r="E4393" i="9"/>
  <c r="F4392" i="9"/>
  <c r="E4392" i="9"/>
  <c r="F4391" i="9"/>
  <c r="E4391" i="9"/>
  <c r="F4390" i="9"/>
  <c r="E4390" i="9"/>
  <c r="F4389" i="9"/>
  <c r="E4389" i="9"/>
  <c r="F4388" i="9"/>
  <c r="E4388" i="9"/>
  <c r="F4387" i="9"/>
  <c r="E4387" i="9"/>
  <c r="F4386" i="9"/>
  <c r="E4386" i="9"/>
  <c r="F4385" i="9"/>
  <c r="E4385" i="9"/>
  <c r="F4384" i="9"/>
  <c r="E4384" i="9"/>
  <c r="F4383" i="9"/>
  <c r="E4383" i="9"/>
  <c r="F4382" i="9"/>
  <c r="E4382" i="9"/>
  <c r="F4381" i="9"/>
  <c r="E4381" i="9"/>
  <c r="F4380" i="9"/>
  <c r="E4380" i="9"/>
  <c r="F4379" i="9"/>
  <c r="E4379" i="9"/>
  <c r="F4378" i="9"/>
  <c r="E4378" i="9"/>
  <c r="F4377" i="9"/>
  <c r="E4377" i="9"/>
  <c r="F4376" i="9"/>
  <c r="E4376" i="9"/>
  <c r="F4375" i="9"/>
  <c r="E4375" i="9"/>
  <c r="F4374" i="9"/>
  <c r="E4374" i="9"/>
  <c r="F4373" i="9"/>
  <c r="E4373" i="9"/>
  <c r="F4372" i="9"/>
  <c r="E4372" i="9"/>
  <c r="F4371" i="9"/>
  <c r="E4371" i="9"/>
  <c r="F4370" i="9"/>
  <c r="E4370" i="9"/>
  <c r="F4369" i="9"/>
  <c r="E4369" i="9"/>
  <c r="F4368" i="9"/>
  <c r="E4368" i="9"/>
  <c r="F4367" i="9"/>
  <c r="E4367" i="9"/>
  <c r="F4366" i="9"/>
  <c r="E4366" i="9"/>
  <c r="F4365" i="9"/>
  <c r="E4365" i="9"/>
  <c r="F4364" i="9"/>
  <c r="E4364" i="9"/>
  <c r="F4363" i="9"/>
  <c r="E4363" i="9"/>
  <c r="F4362" i="9"/>
  <c r="E4362" i="9"/>
  <c r="F4361" i="9"/>
  <c r="E4361" i="9"/>
  <c r="F4360" i="9"/>
  <c r="E4360" i="9"/>
  <c r="F4359" i="9"/>
  <c r="E4359" i="9"/>
  <c r="F4358" i="9"/>
  <c r="E4358" i="9"/>
  <c r="F4357" i="9"/>
  <c r="E4357" i="9"/>
  <c r="F4356" i="9"/>
  <c r="E4356" i="9"/>
  <c r="F4355" i="9"/>
  <c r="E4355" i="9"/>
  <c r="F4354" i="9"/>
  <c r="E4354" i="9"/>
  <c r="F4353" i="9"/>
  <c r="E4353" i="9"/>
  <c r="F4352" i="9"/>
  <c r="E4352" i="9"/>
  <c r="F4351" i="9"/>
  <c r="E4351" i="9"/>
  <c r="F4350" i="9"/>
  <c r="E4350" i="9"/>
  <c r="F4349" i="9"/>
  <c r="E4349" i="9"/>
  <c r="F4348" i="9"/>
  <c r="E4348" i="9"/>
  <c r="F4347" i="9"/>
  <c r="E4347" i="9"/>
  <c r="F4346" i="9"/>
  <c r="E4346" i="9"/>
  <c r="F4345" i="9"/>
  <c r="E4345" i="9"/>
  <c r="F4344" i="9"/>
  <c r="E4344" i="9"/>
  <c r="F4343" i="9"/>
  <c r="E4343" i="9"/>
  <c r="F4342" i="9"/>
  <c r="E4342" i="9"/>
  <c r="F4341" i="9"/>
  <c r="E4341" i="9"/>
  <c r="F4340" i="9"/>
  <c r="E4340" i="9"/>
  <c r="F4339" i="9"/>
  <c r="E4339" i="9"/>
  <c r="F4338" i="9"/>
  <c r="E4338" i="9"/>
  <c r="F4337" i="9"/>
  <c r="E4337" i="9"/>
  <c r="F4336" i="9"/>
  <c r="E4336" i="9"/>
  <c r="F4335" i="9"/>
  <c r="E4335" i="9"/>
  <c r="F4334" i="9"/>
  <c r="E4334" i="9"/>
  <c r="F4333" i="9"/>
  <c r="E4333" i="9"/>
  <c r="F4332" i="9"/>
  <c r="E4332" i="9"/>
  <c r="F4331" i="9"/>
  <c r="E4331" i="9"/>
  <c r="F4330" i="9"/>
  <c r="E4330" i="9"/>
  <c r="F4329" i="9"/>
  <c r="E4329" i="9"/>
  <c r="F4328" i="9"/>
  <c r="E4328" i="9"/>
  <c r="F4327" i="9"/>
  <c r="E4327" i="9"/>
  <c r="F4326" i="9"/>
  <c r="E4326" i="9"/>
  <c r="F4325" i="9"/>
  <c r="E4325" i="9"/>
  <c r="F4324" i="9"/>
  <c r="E4324" i="9"/>
  <c r="F4323" i="9"/>
  <c r="E4323" i="9"/>
  <c r="F4322" i="9"/>
  <c r="E4322" i="9"/>
  <c r="F4321" i="9"/>
  <c r="E4321" i="9"/>
  <c r="F4320" i="9"/>
  <c r="E4320" i="9"/>
  <c r="F4319" i="9"/>
  <c r="E4319" i="9"/>
  <c r="F4318" i="9"/>
  <c r="E4318" i="9"/>
  <c r="F4317" i="9"/>
  <c r="E4317" i="9"/>
  <c r="F4316" i="9"/>
  <c r="E4316" i="9"/>
  <c r="F4315" i="9"/>
  <c r="E4315" i="9"/>
  <c r="F4314" i="9"/>
  <c r="E4314" i="9"/>
  <c r="F4313" i="9"/>
  <c r="E4313" i="9"/>
  <c r="F4312" i="9"/>
  <c r="E4312" i="9"/>
  <c r="F4311" i="9"/>
  <c r="E4311" i="9"/>
  <c r="F4310" i="9"/>
  <c r="E4310" i="9"/>
  <c r="F4309" i="9"/>
  <c r="E4309" i="9"/>
  <c r="F4308" i="9"/>
  <c r="E4308" i="9"/>
  <c r="F4307" i="9"/>
  <c r="E4307" i="9"/>
  <c r="F4306" i="9"/>
  <c r="E4306" i="9"/>
  <c r="F4305" i="9"/>
  <c r="E4305" i="9"/>
  <c r="F4304" i="9"/>
  <c r="E4304" i="9"/>
  <c r="F4303" i="9"/>
  <c r="E4303" i="9"/>
  <c r="F4302" i="9"/>
  <c r="E4302" i="9"/>
  <c r="F4301" i="9"/>
  <c r="E4301" i="9"/>
  <c r="F4300" i="9"/>
  <c r="E4300" i="9"/>
  <c r="F4299" i="9"/>
  <c r="E4299" i="9"/>
  <c r="F4298" i="9"/>
  <c r="E4298" i="9"/>
  <c r="F4297" i="9"/>
  <c r="E4297" i="9"/>
  <c r="F4296" i="9"/>
  <c r="E4296" i="9"/>
  <c r="F4295" i="9"/>
  <c r="E4295" i="9"/>
  <c r="F4294" i="9"/>
  <c r="E4294" i="9"/>
  <c r="F4293" i="9"/>
  <c r="E4293" i="9"/>
  <c r="F4292" i="9"/>
  <c r="E4292" i="9"/>
  <c r="F4291" i="9"/>
  <c r="E4291" i="9"/>
  <c r="F4290" i="9"/>
  <c r="E4290" i="9"/>
  <c r="F4289" i="9"/>
  <c r="E4289" i="9"/>
  <c r="F4288" i="9"/>
  <c r="E4288" i="9"/>
  <c r="F4287" i="9"/>
  <c r="E4287" i="9"/>
  <c r="F4286" i="9"/>
  <c r="E4286" i="9"/>
  <c r="F4285" i="9"/>
  <c r="E4285" i="9"/>
  <c r="F4284" i="9"/>
  <c r="E4284" i="9"/>
  <c r="F4283" i="9"/>
  <c r="E4283" i="9"/>
  <c r="F4282" i="9"/>
  <c r="E4282" i="9"/>
  <c r="F4281" i="9"/>
  <c r="E4281" i="9"/>
  <c r="F4280" i="9"/>
  <c r="E4280" i="9"/>
  <c r="F4279" i="9"/>
  <c r="E4279" i="9"/>
  <c r="F4278" i="9"/>
  <c r="E4278" i="9"/>
  <c r="F4277" i="9"/>
  <c r="E4277" i="9"/>
  <c r="F4276" i="9"/>
  <c r="E4276" i="9"/>
  <c r="F4275" i="9"/>
  <c r="E4275" i="9"/>
  <c r="F4274" i="9"/>
  <c r="E4274" i="9"/>
  <c r="F4273" i="9"/>
  <c r="E4273" i="9"/>
  <c r="F4272" i="9"/>
  <c r="E4272" i="9"/>
  <c r="F4271" i="9"/>
  <c r="E4271" i="9"/>
  <c r="F4270" i="9"/>
  <c r="E4270" i="9"/>
  <c r="F4269" i="9"/>
  <c r="E4269" i="9"/>
  <c r="F4268" i="9"/>
  <c r="E4268" i="9"/>
  <c r="F4267" i="9"/>
  <c r="E4267" i="9"/>
  <c r="F4266" i="9"/>
  <c r="E4266" i="9"/>
  <c r="F4265" i="9"/>
  <c r="E4265" i="9"/>
  <c r="F4264" i="9"/>
  <c r="E4264" i="9"/>
  <c r="F4263" i="9"/>
  <c r="E4263" i="9"/>
  <c r="F4262" i="9"/>
  <c r="E4262" i="9"/>
  <c r="F4261" i="9"/>
  <c r="E4261" i="9"/>
  <c r="F4260" i="9"/>
  <c r="E4260" i="9"/>
  <c r="F4259" i="9"/>
  <c r="E4259" i="9"/>
  <c r="F4258" i="9"/>
  <c r="E4258" i="9"/>
  <c r="F4257" i="9"/>
  <c r="E4257" i="9"/>
  <c r="F4256" i="9"/>
  <c r="E4256" i="9"/>
  <c r="F4255" i="9"/>
  <c r="E4255" i="9"/>
  <c r="F4254" i="9"/>
  <c r="E4254" i="9"/>
  <c r="F4253" i="9"/>
  <c r="E4253" i="9"/>
  <c r="F4252" i="9"/>
  <c r="E4252" i="9"/>
  <c r="F4251" i="9"/>
  <c r="E4251" i="9"/>
  <c r="F4250" i="9"/>
  <c r="E4250" i="9"/>
  <c r="F4249" i="9"/>
  <c r="E4249" i="9"/>
  <c r="F4248" i="9"/>
  <c r="E4248" i="9"/>
  <c r="F4247" i="9"/>
  <c r="E4247" i="9"/>
  <c r="F4246" i="9"/>
  <c r="E4246" i="9"/>
  <c r="F4245" i="9"/>
  <c r="E4245" i="9"/>
  <c r="F4244" i="9"/>
  <c r="E4244" i="9"/>
  <c r="F4243" i="9"/>
  <c r="E4243" i="9"/>
  <c r="F4242" i="9"/>
  <c r="E4242" i="9"/>
  <c r="F4241" i="9"/>
  <c r="E4241" i="9"/>
  <c r="F4240" i="9"/>
  <c r="E4240" i="9"/>
  <c r="F4239" i="9"/>
  <c r="E4239" i="9"/>
  <c r="F4238" i="9"/>
  <c r="E4238" i="9"/>
  <c r="F4237" i="9"/>
  <c r="E4237" i="9"/>
  <c r="F4236" i="9"/>
  <c r="E4236" i="9"/>
  <c r="F4235" i="9"/>
  <c r="E4235" i="9"/>
  <c r="F4234" i="9"/>
  <c r="E4234" i="9"/>
  <c r="F4233" i="9"/>
  <c r="E4233" i="9"/>
  <c r="F4232" i="9"/>
  <c r="E4232" i="9"/>
  <c r="F4231" i="9"/>
  <c r="E4231" i="9"/>
  <c r="F4230" i="9"/>
  <c r="E4230" i="9"/>
  <c r="F4229" i="9"/>
  <c r="E4229" i="9"/>
  <c r="F4228" i="9"/>
  <c r="E4228" i="9"/>
  <c r="F4227" i="9"/>
  <c r="E4227" i="9"/>
  <c r="F4226" i="9"/>
  <c r="E4226" i="9"/>
  <c r="F4225" i="9"/>
  <c r="E4225" i="9"/>
  <c r="F4224" i="9"/>
  <c r="E4224" i="9"/>
  <c r="F4223" i="9"/>
  <c r="E4223" i="9"/>
  <c r="F4222" i="9"/>
  <c r="E4222" i="9"/>
  <c r="F4221" i="9"/>
  <c r="E4221" i="9"/>
  <c r="F4220" i="9"/>
  <c r="E4220" i="9"/>
  <c r="F4219" i="9"/>
  <c r="E4219" i="9"/>
  <c r="F4218" i="9"/>
  <c r="E4218" i="9"/>
  <c r="F4217" i="9"/>
  <c r="E4217" i="9"/>
  <c r="F4216" i="9"/>
  <c r="E4216" i="9"/>
  <c r="F4215" i="9"/>
  <c r="E4215" i="9"/>
  <c r="F4214" i="9"/>
  <c r="E4214" i="9"/>
  <c r="F4213" i="9"/>
  <c r="E4213" i="9"/>
  <c r="F4212" i="9"/>
  <c r="E4212" i="9"/>
  <c r="F4211" i="9"/>
  <c r="E4211" i="9"/>
  <c r="F4210" i="9"/>
  <c r="E4210" i="9"/>
  <c r="F4209" i="9"/>
  <c r="E4209" i="9"/>
  <c r="F4208" i="9"/>
  <c r="E4208" i="9"/>
  <c r="F4207" i="9"/>
  <c r="E4207" i="9"/>
  <c r="F4206" i="9"/>
  <c r="E4206" i="9"/>
  <c r="F4205" i="9"/>
  <c r="E4205" i="9"/>
  <c r="F4204" i="9"/>
  <c r="E4204" i="9"/>
  <c r="F4203" i="9"/>
  <c r="E4203" i="9"/>
  <c r="F4202" i="9"/>
  <c r="E4202" i="9"/>
  <c r="F4201" i="9"/>
  <c r="E4201" i="9"/>
  <c r="F4200" i="9"/>
  <c r="E4200" i="9"/>
  <c r="F4199" i="9"/>
  <c r="E4199" i="9"/>
  <c r="F4198" i="9"/>
  <c r="E4198" i="9"/>
  <c r="F4197" i="9"/>
  <c r="E4197" i="9"/>
  <c r="F4196" i="9"/>
  <c r="E4196" i="9"/>
  <c r="F4195" i="9"/>
  <c r="E4195" i="9"/>
  <c r="F4194" i="9"/>
  <c r="E4194" i="9"/>
  <c r="F4193" i="9"/>
  <c r="E4193" i="9"/>
  <c r="F4192" i="9"/>
  <c r="E4192" i="9"/>
  <c r="F4191" i="9"/>
  <c r="E4191" i="9"/>
  <c r="F4190" i="9"/>
  <c r="E4190" i="9"/>
  <c r="F4189" i="9"/>
  <c r="E4189" i="9"/>
  <c r="F4188" i="9"/>
  <c r="E4188" i="9"/>
  <c r="F4187" i="9"/>
  <c r="E4187" i="9"/>
  <c r="F4186" i="9"/>
  <c r="E4186" i="9"/>
  <c r="F4185" i="9"/>
  <c r="E4185" i="9"/>
  <c r="F4184" i="9"/>
  <c r="E4184" i="9"/>
  <c r="F4183" i="9"/>
  <c r="E4183" i="9"/>
  <c r="F4182" i="9"/>
  <c r="E4182" i="9"/>
  <c r="F4181" i="9"/>
  <c r="E4181" i="9"/>
  <c r="F4180" i="9"/>
  <c r="E4180" i="9"/>
  <c r="F4179" i="9"/>
  <c r="E4179" i="9"/>
  <c r="F4178" i="9"/>
  <c r="E4178" i="9"/>
  <c r="F4177" i="9"/>
  <c r="E4177" i="9"/>
  <c r="F4176" i="9"/>
  <c r="E4176" i="9"/>
  <c r="F4175" i="9"/>
  <c r="E4175" i="9"/>
  <c r="F4174" i="9"/>
  <c r="E4174" i="9"/>
  <c r="F4173" i="9"/>
  <c r="E4173" i="9"/>
  <c r="F4172" i="9"/>
  <c r="E4172" i="9"/>
  <c r="F4171" i="9"/>
  <c r="E4171" i="9"/>
  <c r="F4170" i="9"/>
  <c r="E4170" i="9"/>
  <c r="F4169" i="9"/>
  <c r="E4169" i="9"/>
  <c r="F4168" i="9"/>
  <c r="E4168" i="9"/>
  <c r="F4167" i="9"/>
  <c r="E4167" i="9"/>
  <c r="F4166" i="9"/>
  <c r="E4166" i="9"/>
  <c r="F4165" i="9"/>
  <c r="E4165" i="9"/>
  <c r="F4164" i="9"/>
  <c r="E4164" i="9"/>
  <c r="F4163" i="9"/>
  <c r="E4163" i="9"/>
  <c r="F4162" i="9"/>
  <c r="E4162" i="9"/>
  <c r="F4161" i="9"/>
  <c r="E4161" i="9"/>
  <c r="F4160" i="9"/>
  <c r="E4160" i="9"/>
  <c r="F4159" i="9"/>
  <c r="E4159" i="9"/>
  <c r="F4158" i="9"/>
  <c r="E4158" i="9"/>
  <c r="F4157" i="9"/>
  <c r="E4157" i="9"/>
  <c r="F4156" i="9"/>
  <c r="E4156" i="9"/>
  <c r="F4155" i="9"/>
  <c r="E4155" i="9"/>
  <c r="F4154" i="9"/>
  <c r="E4154" i="9"/>
  <c r="F4153" i="9"/>
  <c r="E4153" i="9"/>
  <c r="F4152" i="9"/>
  <c r="E4152" i="9"/>
  <c r="F4151" i="9"/>
  <c r="E4151" i="9"/>
  <c r="F4150" i="9"/>
  <c r="E4150" i="9"/>
  <c r="F4149" i="9"/>
  <c r="E4149" i="9"/>
  <c r="F4148" i="9"/>
  <c r="E4148" i="9"/>
  <c r="F4147" i="9"/>
  <c r="E4147" i="9"/>
  <c r="F4146" i="9"/>
  <c r="E4146" i="9"/>
  <c r="F4145" i="9"/>
  <c r="E4145" i="9"/>
  <c r="F4144" i="9"/>
  <c r="E4144" i="9"/>
  <c r="F4143" i="9"/>
  <c r="E4143" i="9"/>
  <c r="F4142" i="9"/>
  <c r="E4142" i="9"/>
  <c r="F4141" i="9"/>
  <c r="E4141" i="9"/>
  <c r="F4140" i="9"/>
  <c r="E4140" i="9"/>
  <c r="F4139" i="9"/>
  <c r="E4139" i="9"/>
  <c r="F4138" i="9"/>
  <c r="E4138" i="9"/>
  <c r="F4137" i="9"/>
  <c r="E4137" i="9"/>
  <c r="F4136" i="9"/>
  <c r="E4136" i="9"/>
  <c r="F4135" i="9"/>
  <c r="E4135" i="9"/>
  <c r="F4134" i="9"/>
  <c r="E4134" i="9"/>
  <c r="F4133" i="9"/>
  <c r="E4133" i="9"/>
  <c r="F4132" i="9"/>
  <c r="E4132" i="9"/>
  <c r="F4131" i="9"/>
  <c r="E4131" i="9"/>
  <c r="F4130" i="9"/>
  <c r="E4130" i="9"/>
  <c r="F4129" i="9"/>
  <c r="E4129" i="9"/>
  <c r="F4128" i="9"/>
  <c r="E4128" i="9"/>
  <c r="F4127" i="9"/>
  <c r="E4127" i="9"/>
  <c r="F4126" i="9"/>
  <c r="E4126" i="9"/>
  <c r="F4125" i="9"/>
  <c r="E4125" i="9"/>
  <c r="F4124" i="9"/>
  <c r="E4124" i="9"/>
  <c r="F4123" i="9"/>
  <c r="E4123" i="9"/>
  <c r="F4122" i="9"/>
  <c r="E4122" i="9"/>
  <c r="F4121" i="9"/>
  <c r="E4121" i="9"/>
  <c r="F4120" i="9"/>
  <c r="E4120" i="9"/>
  <c r="F4119" i="9"/>
  <c r="E4119" i="9"/>
  <c r="F4118" i="9"/>
  <c r="E4118" i="9"/>
  <c r="F4117" i="9"/>
  <c r="E4117" i="9"/>
  <c r="F4116" i="9"/>
  <c r="E4116" i="9"/>
  <c r="F4115" i="9"/>
  <c r="E4115" i="9"/>
  <c r="F4114" i="9"/>
  <c r="E4114" i="9"/>
  <c r="F4113" i="9"/>
  <c r="E4113" i="9"/>
  <c r="F4112" i="9"/>
  <c r="E4112" i="9"/>
  <c r="F4111" i="9"/>
  <c r="E4111" i="9"/>
  <c r="F4110" i="9"/>
  <c r="E4110" i="9"/>
  <c r="F4109" i="9"/>
  <c r="E4109" i="9"/>
  <c r="F4108" i="9"/>
  <c r="E4108" i="9"/>
  <c r="F4107" i="9"/>
  <c r="E4107" i="9"/>
  <c r="F4106" i="9"/>
  <c r="E4106" i="9"/>
  <c r="F4105" i="9"/>
  <c r="E4105" i="9"/>
  <c r="F4104" i="9"/>
  <c r="E4104" i="9"/>
  <c r="F4103" i="9"/>
  <c r="E4103" i="9"/>
  <c r="F4102" i="9"/>
  <c r="E4102" i="9"/>
  <c r="F4101" i="9"/>
  <c r="E4101" i="9"/>
  <c r="F4100" i="9"/>
  <c r="E4100" i="9"/>
  <c r="F4099" i="9"/>
  <c r="E4099" i="9"/>
  <c r="F4098" i="9"/>
  <c r="E4098" i="9"/>
  <c r="F4097" i="9"/>
  <c r="E4097" i="9"/>
  <c r="F4096" i="9"/>
  <c r="E4096" i="9"/>
  <c r="F4095" i="9"/>
  <c r="E4095" i="9"/>
  <c r="F4094" i="9"/>
  <c r="E4094" i="9"/>
  <c r="F4093" i="9"/>
  <c r="E4093" i="9"/>
  <c r="F4092" i="9"/>
  <c r="E4092" i="9"/>
  <c r="F4091" i="9"/>
  <c r="E4091" i="9"/>
  <c r="F4090" i="9"/>
  <c r="E4090" i="9"/>
  <c r="F4089" i="9"/>
  <c r="E4089" i="9"/>
  <c r="F4088" i="9"/>
  <c r="E4088" i="9"/>
  <c r="F4087" i="9"/>
  <c r="E4087" i="9"/>
  <c r="F4086" i="9"/>
  <c r="E4086" i="9"/>
  <c r="F4085" i="9"/>
  <c r="E4085" i="9"/>
  <c r="F4084" i="9"/>
  <c r="E4084" i="9"/>
  <c r="F4083" i="9"/>
  <c r="E4083" i="9"/>
  <c r="F4082" i="9"/>
  <c r="E4082" i="9"/>
  <c r="F4081" i="9"/>
  <c r="E4081" i="9"/>
  <c r="F4080" i="9"/>
  <c r="E4080" i="9"/>
  <c r="F4079" i="9"/>
  <c r="E4079" i="9"/>
  <c r="F4078" i="9"/>
  <c r="E4078" i="9"/>
  <c r="F4077" i="9"/>
  <c r="E4077" i="9"/>
  <c r="F4076" i="9"/>
  <c r="E4076" i="9"/>
  <c r="F4075" i="9"/>
  <c r="E4075" i="9"/>
  <c r="F4074" i="9"/>
  <c r="E4074" i="9"/>
  <c r="F4073" i="9"/>
  <c r="E4073" i="9"/>
  <c r="F4072" i="9"/>
  <c r="E4072" i="9"/>
  <c r="F4071" i="9"/>
  <c r="E4071" i="9"/>
  <c r="F4070" i="9"/>
  <c r="E4070" i="9"/>
  <c r="F4069" i="9"/>
  <c r="E4069" i="9"/>
  <c r="F4068" i="9"/>
  <c r="E4068" i="9"/>
  <c r="F4067" i="9"/>
  <c r="E4067" i="9"/>
  <c r="F4066" i="9"/>
  <c r="E4066" i="9"/>
  <c r="F4065" i="9"/>
  <c r="E4065" i="9"/>
  <c r="F4064" i="9"/>
  <c r="E4064" i="9"/>
  <c r="F4063" i="9"/>
  <c r="E4063" i="9"/>
  <c r="F4062" i="9"/>
  <c r="E4062" i="9"/>
  <c r="F4061" i="9"/>
  <c r="E4061" i="9"/>
  <c r="F4060" i="9"/>
  <c r="E4060" i="9"/>
  <c r="F4059" i="9"/>
  <c r="E4059" i="9"/>
  <c r="F4058" i="9"/>
  <c r="E4058" i="9"/>
  <c r="F4057" i="9"/>
  <c r="E4057" i="9"/>
  <c r="F4056" i="9"/>
  <c r="E4056" i="9"/>
  <c r="F4055" i="9"/>
  <c r="E4055" i="9"/>
  <c r="F4054" i="9"/>
  <c r="E4054" i="9"/>
  <c r="F4053" i="9"/>
  <c r="E4053" i="9"/>
  <c r="F4052" i="9"/>
  <c r="E4052" i="9"/>
  <c r="F4051" i="9"/>
  <c r="E4051" i="9"/>
  <c r="F4050" i="9"/>
  <c r="E4050" i="9"/>
  <c r="F4049" i="9"/>
  <c r="E4049" i="9"/>
  <c r="F4048" i="9"/>
  <c r="E4048" i="9"/>
  <c r="F4047" i="9"/>
  <c r="E4047" i="9"/>
  <c r="F4046" i="9"/>
  <c r="E4046" i="9"/>
  <c r="F4045" i="9"/>
  <c r="E4045" i="9"/>
  <c r="F4044" i="9"/>
  <c r="E4044" i="9"/>
  <c r="F4043" i="9"/>
  <c r="E4043" i="9"/>
  <c r="F4042" i="9"/>
  <c r="E4042" i="9"/>
  <c r="F4041" i="9"/>
  <c r="E4041" i="9"/>
  <c r="F4040" i="9"/>
  <c r="E4040" i="9"/>
  <c r="F4039" i="9"/>
  <c r="E4039" i="9"/>
  <c r="F4038" i="9"/>
  <c r="E4038" i="9"/>
  <c r="F4037" i="9"/>
  <c r="E4037" i="9"/>
  <c r="F4036" i="9"/>
  <c r="E4036" i="9"/>
  <c r="F4035" i="9"/>
  <c r="E4035" i="9"/>
  <c r="F4034" i="9"/>
  <c r="E4034" i="9"/>
  <c r="F4033" i="9"/>
  <c r="E4033" i="9"/>
  <c r="F4032" i="9"/>
  <c r="E4032" i="9"/>
  <c r="F4031" i="9"/>
  <c r="E4031" i="9"/>
  <c r="F4030" i="9"/>
  <c r="E4030" i="9"/>
  <c r="F4029" i="9"/>
  <c r="E4029" i="9"/>
  <c r="F4028" i="9"/>
  <c r="E4028" i="9"/>
  <c r="F4027" i="9"/>
  <c r="E4027" i="9"/>
  <c r="F4026" i="9"/>
  <c r="E4026" i="9"/>
  <c r="F4025" i="9"/>
  <c r="E4025" i="9"/>
  <c r="F4024" i="9"/>
  <c r="E4024" i="9"/>
  <c r="F4023" i="9"/>
  <c r="E4023" i="9"/>
  <c r="F4022" i="9"/>
  <c r="E4022" i="9"/>
  <c r="F4021" i="9"/>
  <c r="E4021" i="9"/>
  <c r="F4020" i="9"/>
  <c r="E4020" i="9"/>
  <c r="F4019" i="9"/>
  <c r="E4019" i="9"/>
  <c r="F4018" i="9"/>
  <c r="E4018" i="9"/>
  <c r="F4017" i="9"/>
  <c r="E4017" i="9"/>
  <c r="F4016" i="9"/>
  <c r="E4016" i="9"/>
  <c r="F4015" i="9"/>
  <c r="E4015" i="9"/>
  <c r="F4014" i="9"/>
  <c r="E4014" i="9"/>
  <c r="F4013" i="9"/>
  <c r="E4013" i="9"/>
  <c r="F4012" i="9"/>
  <c r="E4012" i="9"/>
  <c r="F4011" i="9"/>
  <c r="E4011" i="9"/>
  <c r="F4010" i="9"/>
  <c r="E4010" i="9"/>
  <c r="F4009" i="9"/>
  <c r="E4009" i="9"/>
  <c r="F4008" i="9"/>
  <c r="E4008" i="9"/>
  <c r="F4007" i="9"/>
  <c r="E4007" i="9"/>
  <c r="F4006" i="9"/>
  <c r="E4006" i="9"/>
  <c r="F4005" i="9"/>
  <c r="E4005" i="9"/>
  <c r="F4004" i="9"/>
  <c r="E4004" i="9"/>
  <c r="F4003" i="9"/>
  <c r="E4003" i="9"/>
  <c r="F4002" i="9"/>
  <c r="E4002" i="9"/>
  <c r="F4001" i="9"/>
  <c r="E4001" i="9"/>
  <c r="F4000" i="9"/>
  <c r="E4000" i="9"/>
  <c r="F3999" i="9"/>
  <c r="E3999" i="9"/>
  <c r="F3998" i="9"/>
  <c r="E3998" i="9"/>
  <c r="F3997" i="9"/>
  <c r="E3997" i="9"/>
  <c r="F3996" i="9"/>
  <c r="E3996" i="9"/>
  <c r="F3995" i="9"/>
  <c r="E3995" i="9"/>
  <c r="F3994" i="9"/>
  <c r="E3994" i="9"/>
  <c r="F3993" i="9"/>
  <c r="E3993" i="9"/>
  <c r="F3992" i="9"/>
  <c r="E3992" i="9"/>
  <c r="F3991" i="9"/>
  <c r="E3991" i="9"/>
  <c r="F3990" i="9"/>
  <c r="E3990" i="9"/>
  <c r="F3989" i="9"/>
  <c r="E3989" i="9"/>
  <c r="F3988" i="9"/>
  <c r="E3988" i="9"/>
  <c r="F3987" i="9"/>
  <c r="E3987" i="9"/>
  <c r="F3986" i="9"/>
  <c r="E3986" i="9"/>
  <c r="F3985" i="9"/>
  <c r="E3985" i="9"/>
  <c r="F3984" i="9"/>
  <c r="E3984" i="9"/>
  <c r="F3983" i="9"/>
  <c r="E3983" i="9"/>
  <c r="F3982" i="9"/>
  <c r="E3982" i="9"/>
  <c r="F3981" i="9"/>
  <c r="E3981" i="9"/>
  <c r="F3980" i="9"/>
  <c r="E3980" i="9"/>
  <c r="F3979" i="9"/>
  <c r="E3979" i="9"/>
  <c r="F3978" i="9"/>
  <c r="E3978" i="9"/>
  <c r="F3977" i="9"/>
  <c r="E3977" i="9"/>
  <c r="F3976" i="9"/>
  <c r="E3976" i="9"/>
  <c r="F3975" i="9"/>
  <c r="E3975" i="9"/>
  <c r="F3974" i="9"/>
  <c r="E3974" i="9"/>
  <c r="F3973" i="9"/>
  <c r="E3973" i="9"/>
  <c r="F3972" i="9"/>
  <c r="E3972" i="9"/>
  <c r="F3971" i="9"/>
  <c r="E3971" i="9"/>
  <c r="F3970" i="9"/>
  <c r="E3970" i="9"/>
  <c r="F3969" i="9"/>
  <c r="E3969" i="9"/>
  <c r="F3968" i="9"/>
  <c r="E3968" i="9"/>
  <c r="F3967" i="9"/>
  <c r="E3967" i="9"/>
  <c r="F3966" i="9"/>
  <c r="E3966" i="9"/>
  <c r="F3965" i="9"/>
  <c r="E3965" i="9"/>
  <c r="F3964" i="9"/>
  <c r="E3964" i="9"/>
  <c r="F3963" i="9"/>
  <c r="E3963" i="9"/>
  <c r="F3962" i="9"/>
  <c r="E3962" i="9"/>
  <c r="F3961" i="9"/>
  <c r="E3961" i="9"/>
  <c r="F3960" i="9"/>
  <c r="E3960" i="9"/>
  <c r="F3959" i="9"/>
  <c r="E3959" i="9"/>
  <c r="F3958" i="9"/>
  <c r="E3958" i="9"/>
  <c r="F3957" i="9"/>
  <c r="E3957" i="9"/>
  <c r="F3956" i="9"/>
  <c r="E3956" i="9"/>
  <c r="F3955" i="9"/>
  <c r="E3955" i="9"/>
  <c r="F3954" i="9"/>
  <c r="E3954" i="9"/>
  <c r="F3953" i="9"/>
  <c r="E3953" i="9"/>
  <c r="F3952" i="9"/>
  <c r="E3952" i="9"/>
  <c r="F3951" i="9"/>
  <c r="E3951" i="9"/>
  <c r="F3950" i="9"/>
  <c r="E3950" i="9"/>
  <c r="F3949" i="9"/>
  <c r="E3949" i="9"/>
  <c r="F3948" i="9"/>
  <c r="E3948" i="9"/>
  <c r="F3947" i="9"/>
  <c r="E3947" i="9"/>
  <c r="F3946" i="9"/>
  <c r="E3946" i="9"/>
  <c r="F3945" i="9"/>
  <c r="E3945" i="9"/>
  <c r="F3944" i="9"/>
  <c r="E3944" i="9"/>
  <c r="F3943" i="9"/>
  <c r="E3943" i="9"/>
  <c r="F3942" i="9"/>
  <c r="E3942" i="9"/>
  <c r="F3941" i="9"/>
  <c r="E3941" i="9"/>
  <c r="F3940" i="9"/>
  <c r="E3940" i="9"/>
  <c r="F3939" i="9"/>
  <c r="E3939" i="9"/>
  <c r="F3938" i="9"/>
  <c r="E3938" i="9"/>
  <c r="F3937" i="9"/>
  <c r="E3937" i="9"/>
  <c r="F3936" i="9"/>
  <c r="E3936" i="9"/>
  <c r="F3935" i="9"/>
  <c r="E3935" i="9"/>
  <c r="F3934" i="9"/>
  <c r="E3934" i="9"/>
  <c r="F3933" i="9"/>
  <c r="E3933" i="9"/>
  <c r="F3932" i="9"/>
  <c r="E3932" i="9"/>
  <c r="F3931" i="9"/>
  <c r="E3931" i="9"/>
  <c r="F3930" i="9"/>
  <c r="E3930" i="9"/>
  <c r="F3929" i="9"/>
  <c r="E3929" i="9"/>
  <c r="F3928" i="9"/>
  <c r="E3928" i="9"/>
  <c r="F3927" i="9"/>
  <c r="E3927" i="9"/>
  <c r="F3926" i="9"/>
  <c r="E3926" i="9"/>
  <c r="F3925" i="9"/>
  <c r="E3925" i="9"/>
  <c r="F3924" i="9"/>
  <c r="E3924" i="9"/>
  <c r="F3923" i="9"/>
  <c r="E3923" i="9"/>
  <c r="F3922" i="9"/>
  <c r="E3922" i="9"/>
  <c r="F3921" i="9"/>
  <c r="E3921" i="9"/>
  <c r="F3920" i="9"/>
  <c r="E3920" i="9"/>
  <c r="F3919" i="9"/>
  <c r="E3919" i="9"/>
  <c r="F3918" i="9"/>
  <c r="E3918" i="9"/>
  <c r="F3917" i="9"/>
  <c r="E3917" i="9"/>
  <c r="F3916" i="9"/>
  <c r="E3916" i="9"/>
  <c r="F3915" i="9"/>
  <c r="E3915" i="9"/>
  <c r="F3914" i="9"/>
  <c r="E3914" i="9"/>
  <c r="F3913" i="9"/>
  <c r="E3913" i="9"/>
  <c r="F3912" i="9"/>
  <c r="E3912" i="9"/>
  <c r="F3911" i="9"/>
  <c r="E3911" i="9"/>
  <c r="F3910" i="9"/>
  <c r="E3910" i="9"/>
  <c r="F3909" i="9"/>
  <c r="E3909" i="9"/>
  <c r="F3908" i="9"/>
  <c r="E3908" i="9"/>
  <c r="F3907" i="9"/>
  <c r="E3907" i="9"/>
  <c r="F3906" i="9"/>
  <c r="E3906" i="9"/>
  <c r="F3905" i="9"/>
  <c r="E3905" i="9"/>
  <c r="F3904" i="9"/>
  <c r="E3904" i="9"/>
  <c r="F3903" i="9"/>
  <c r="E3903" i="9"/>
  <c r="F3902" i="9"/>
  <c r="E3902" i="9"/>
  <c r="F3901" i="9"/>
  <c r="E3901" i="9"/>
  <c r="F3900" i="9"/>
  <c r="E3900" i="9"/>
  <c r="F3899" i="9"/>
  <c r="E3899" i="9"/>
  <c r="F3898" i="9"/>
  <c r="E3898" i="9"/>
  <c r="F3897" i="9"/>
  <c r="E3897" i="9"/>
  <c r="F3896" i="9"/>
  <c r="E3896" i="9"/>
  <c r="F3895" i="9"/>
  <c r="E3895" i="9"/>
  <c r="F3894" i="9"/>
  <c r="E3894" i="9"/>
  <c r="F3893" i="9"/>
  <c r="E3893" i="9"/>
  <c r="F3892" i="9"/>
  <c r="E3892" i="9"/>
  <c r="F3891" i="9"/>
  <c r="E3891" i="9"/>
  <c r="F3890" i="9"/>
  <c r="E3890" i="9"/>
  <c r="F3889" i="9"/>
  <c r="E3889" i="9"/>
  <c r="F3888" i="9"/>
  <c r="E3888" i="9"/>
  <c r="F3887" i="9"/>
  <c r="E3887" i="9"/>
  <c r="F3886" i="9"/>
  <c r="E3886" i="9"/>
  <c r="F3885" i="9"/>
  <c r="E3885" i="9"/>
  <c r="F3884" i="9"/>
  <c r="E3884" i="9"/>
  <c r="F3883" i="9"/>
  <c r="E3883" i="9"/>
  <c r="F3882" i="9"/>
  <c r="E3882" i="9"/>
  <c r="F3881" i="9"/>
  <c r="E3881" i="9"/>
  <c r="F3880" i="9"/>
  <c r="E3880" i="9"/>
  <c r="F3879" i="9"/>
  <c r="E3879" i="9"/>
  <c r="F3878" i="9"/>
  <c r="E3878" i="9"/>
  <c r="F3877" i="9"/>
  <c r="E3877" i="9"/>
  <c r="F3876" i="9"/>
  <c r="E3876" i="9"/>
  <c r="F3875" i="9"/>
  <c r="E3875" i="9"/>
  <c r="F3874" i="9"/>
  <c r="E3874" i="9"/>
  <c r="F3873" i="9"/>
  <c r="E3873" i="9"/>
  <c r="F3872" i="9"/>
  <c r="E3872" i="9"/>
  <c r="F3871" i="9"/>
  <c r="E3871" i="9"/>
  <c r="F3870" i="9"/>
  <c r="E3870" i="9"/>
  <c r="F3869" i="9"/>
  <c r="E3869" i="9"/>
  <c r="F3868" i="9"/>
  <c r="E3868" i="9"/>
  <c r="F3867" i="9"/>
  <c r="E3867" i="9"/>
  <c r="F3866" i="9"/>
  <c r="E3866" i="9"/>
  <c r="F3865" i="9"/>
  <c r="E3865" i="9"/>
  <c r="F3864" i="9"/>
  <c r="E3864" i="9"/>
  <c r="F3863" i="9"/>
  <c r="E3863" i="9"/>
  <c r="F3862" i="9"/>
  <c r="E3862" i="9"/>
  <c r="F3861" i="9"/>
  <c r="E3861" i="9"/>
  <c r="F3860" i="9"/>
  <c r="E3860" i="9"/>
  <c r="F3859" i="9"/>
  <c r="E3859" i="9"/>
  <c r="F3858" i="9"/>
  <c r="E3858" i="9"/>
  <c r="F3857" i="9"/>
  <c r="E3857" i="9"/>
  <c r="F3856" i="9"/>
  <c r="E3856" i="9"/>
  <c r="F3855" i="9"/>
  <c r="E3855" i="9"/>
  <c r="F3854" i="9"/>
  <c r="E3854" i="9"/>
  <c r="F3853" i="9"/>
  <c r="E3853" i="9"/>
  <c r="F3852" i="9"/>
  <c r="E3852" i="9"/>
  <c r="F3851" i="9"/>
  <c r="E3851" i="9"/>
  <c r="F3850" i="9"/>
  <c r="E3850" i="9"/>
  <c r="F3849" i="9"/>
  <c r="E3849" i="9"/>
  <c r="F3848" i="9"/>
  <c r="E3848" i="9"/>
  <c r="F3847" i="9"/>
  <c r="E3847" i="9"/>
  <c r="F3846" i="9"/>
  <c r="E3846" i="9"/>
  <c r="F3845" i="9"/>
  <c r="E3845" i="9"/>
  <c r="F3844" i="9"/>
  <c r="E3844" i="9"/>
  <c r="F3843" i="9"/>
  <c r="E3843" i="9"/>
  <c r="F3842" i="9"/>
  <c r="E3842" i="9"/>
  <c r="F3841" i="9"/>
  <c r="E3841" i="9"/>
  <c r="F3840" i="9"/>
  <c r="E3840" i="9"/>
  <c r="F3839" i="9"/>
  <c r="E3839" i="9"/>
  <c r="F3838" i="9"/>
  <c r="E3838" i="9"/>
  <c r="F3837" i="9"/>
  <c r="E3837" i="9"/>
  <c r="F3836" i="9"/>
  <c r="E3836" i="9"/>
  <c r="F3835" i="9"/>
  <c r="E3835" i="9"/>
  <c r="F3834" i="9"/>
  <c r="E3834" i="9"/>
  <c r="F3833" i="9"/>
  <c r="E3833" i="9"/>
  <c r="F3832" i="9"/>
  <c r="E3832" i="9"/>
  <c r="F3831" i="9"/>
  <c r="E3831" i="9"/>
  <c r="F3830" i="9"/>
  <c r="E3830" i="9"/>
  <c r="F3829" i="9"/>
  <c r="E3829" i="9"/>
  <c r="F3828" i="9"/>
  <c r="E3828" i="9"/>
  <c r="F3827" i="9"/>
  <c r="E3827" i="9"/>
  <c r="F3826" i="9"/>
  <c r="E3826" i="9"/>
  <c r="F3825" i="9"/>
  <c r="E3825" i="9"/>
  <c r="F3824" i="9"/>
  <c r="E3824" i="9"/>
  <c r="F3823" i="9"/>
  <c r="E3823" i="9"/>
  <c r="F3822" i="9"/>
  <c r="E3822" i="9"/>
  <c r="F3821" i="9"/>
  <c r="E3821" i="9"/>
  <c r="F3820" i="9"/>
  <c r="E3820" i="9"/>
  <c r="F3819" i="9"/>
  <c r="E3819" i="9"/>
  <c r="F3818" i="9"/>
  <c r="E3818" i="9"/>
  <c r="F3817" i="9"/>
  <c r="E3817" i="9"/>
  <c r="F3816" i="9"/>
  <c r="E3816" i="9"/>
  <c r="F3815" i="9"/>
  <c r="E3815" i="9"/>
  <c r="F3814" i="9"/>
  <c r="E3814" i="9"/>
  <c r="F3813" i="9"/>
  <c r="E3813" i="9"/>
  <c r="F3812" i="9"/>
  <c r="E3812" i="9"/>
  <c r="F3811" i="9"/>
  <c r="E3811" i="9"/>
  <c r="F3810" i="9"/>
  <c r="E3810" i="9"/>
  <c r="F3809" i="9"/>
  <c r="E3809" i="9"/>
  <c r="F3808" i="9"/>
  <c r="E3808" i="9"/>
  <c r="F3807" i="9"/>
  <c r="E3807" i="9"/>
  <c r="F3806" i="9"/>
  <c r="E3806" i="9"/>
  <c r="F3805" i="9"/>
  <c r="E3805" i="9"/>
  <c r="F3804" i="9"/>
  <c r="E3804" i="9"/>
  <c r="F3803" i="9"/>
  <c r="E3803" i="9"/>
  <c r="F3802" i="9"/>
  <c r="E3802" i="9"/>
  <c r="F3801" i="9"/>
  <c r="E3801" i="9"/>
  <c r="F3800" i="9"/>
  <c r="E3800" i="9"/>
  <c r="F3799" i="9"/>
  <c r="E3799" i="9"/>
  <c r="F3798" i="9"/>
  <c r="E3798" i="9"/>
  <c r="F3797" i="9"/>
  <c r="E3797" i="9"/>
  <c r="F3796" i="9"/>
  <c r="E3796" i="9"/>
  <c r="F3795" i="9"/>
  <c r="E3795" i="9"/>
  <c r="F3794" i="9"/>
  <c r="E3794" i="9"/>
  <c r="F3793" i="9"/>
  <c r="E3793" i="9"/>
  <c r="F3792" i="9"/>
  <c r="E3792" i="9"/>
  <c r="F3791" i="9"/>
  <c r="E3791" i="9"/>
  <c r="F3790" i="9"/>
  <c r="E3790" i="9"/>
  <c r="F3789" i="9"/>
  <c r="E3789" i="9"/>
  <c r="F3788" i="9"/>
  <c r="E3788" i="9"/>
  <c r="F3787" i="9"/>
  <c r="E3787" i="9"/>
  <c r="F3786" i="9"/>
  <c r="E3786" i="9"/>
  <c r="F3785" i="9"/>
  <c r="E3785" i="9"/>
  <c r="F3784" i="9"/>
  <c r="E3784" i="9"/>
  <c r="F3783" i="9"/>
  <c r="E3783" i="9"/>
  <c r="F3782" i="9"/>
  <c r="E3782" i="9"/>
  <c r="F3781" i="9"/>
  <c r="E3781" i="9"/>
  <c r="F3780" i="9"/>
  <c r="E3780" i="9"/>
  <c r="F3779" i="9"/>
  <c r="E3779" i="9"/>
  <c r="F3778" i="9"/>
  <c r="E3778" i="9"/>
  <c r="F3777" i="9"/>
  <c r="E3777" i="9"/>
  <c r="F3776" i="9"/>
  <c r="E3776" i="9"/>
  <c r="F3775" i="9"/>
  <c r="E3775" i="9"/>
  <c r="F3774" i="9"/>
  <c r="E3774" i="9"/>
  <c r="F3773" i="9"/>
  <c r="E3773" i="9"/>
  <c r="F3772" i="9"/>
  <c r="E3772" i="9"/>
  <c r="F3771" i="9"/>
  <c r="E3771" i="9"/>
  <c r="F3770" i="9"/>
  <c r="E3770" i="9"/>
  <c r="F3769" i="9"/>
  <c r="E3769" i="9"/>
  <c r="F3768" i="9"/>
  <c r="E3768" i="9"/>
  <c r="F3767" i="9"/>
  <c r="E3767" i="9"/>
  <c r="F3766" i="9"/>
  <c r="E3766" i="9"/>
  <c r="F3765" i="9"/>
  <c r="E3765" i="9"/>
  <c r="F3764" i="9"/>
  <c r="E3764" i="9"/>
  <c r="F3763" i="9"/>
  <c r="E3763" i="9"/>
  <c r="F3762" i="9"/>
  <c r="E3762" i="9"/>
  <c r="F3761" i="9"/>
  <c r="E3761" i="9"/>
  <c r="F3760" i="9"/>
  <c r="E3760" i="9"/>
  <c r="F3759" i="9"/>
  <c r="E3759" i="9"/>
  <c r="F3758" i="9"/>
  <c r="E3758" i="9"/>
  <c r="F3757" i="9"/>
  <c r="E3757" i="9"/>
  <c r="F3756" i="9"/>
  <c r="E3756" i="9"/>
  <c r="F3755" i="9"/>
  <c r="E3755" i="9"/>
  <c r="F3754" i="9"/>
  <c r="E3754" i="9"/>
  <c r="F3753" i="9"/>
  <c r="E3753" i="9"/>
  <c r="F3752" i="9"/>
  <c r="E3752" i="9"/>
  <c r="F3751" i="9"/>
  <c r="E3751" i="9"/>
  <c r="F3750" i="9"/>
  <c r="E3750" i="9"/>
  <c r="F3749" i="9"/>
  <c r="E3749" i="9"/>
  <c r="F3748" i="9"/>
  <c r="E3748" i="9"/>
  <c r="F3747" i="9"/>
  <c r="E3747" i="9"/>
  <c r="F3746" i="9"/>
  <c r="E3746" i="9"/>
  <c r="F3745" i="9"/>
  <c r="E3745" i="9"/>
  <c r="F3744" i="9"/>
  <c r="E3744" i="9"/>
  <c r="F3743" i="9"/>
  <c r="E3743" i="9"/>
  <c r="F3742" i="9"/>
  <c r="E3742" i="9"/>
  <c r="F3741" i="9"/>
  <c r="E3741" i="9"/>
  <c r="F3740" i="9"/>
  <c r="E3740" i="9"/>
  <c r="F3739" i="9"/>
  <c r="E3739" i="9"/>
  <c r="F3738" i="9"/>
  <c r="E3738" i="9"/>
  <c r="F3737" i="9"/>
  <c r="E3737" i="9"/>
  <c r="F3736" i="9"/>
  <c r="E3736" i="9"/>
  <c r="F3735" i="9"/>
  <c r="E3735" i="9"/>
  <c r="F3734" i="9"/>
  <c r="E3734" i="9"/>
  <c r="F3733" i="9"/>
  <c r="E3733" i="9"/>
  <c r="F3732" i="9"/>
  <c r="E3732" i="9"/>
  <c r="F3731" i="9"/>
  <c r="E3731" i="9"/>
  <c r="F3730" i="9"/>
  <c r="E3730" i="9"/>
  <c r="F3729" i="9"/>
  <c r="E3729" i="9"/>
  <c r="F3728" i="9"/>
  <c r="E3728" i="9"/>
  <c r="F3727" i="9"/>
  <c r="E3727" i="9"/>
  <c r="F3726" i="9"/>
  <c r="E3726" i="9"/>
  <c r="F3725" i="9"/>
  <c r="E3725" i="9"/>
  <c r="F3724" i="9"/>
  <c r="E3724" i="9"/>
  <c r="F3723" i="9"/>
  <c r="E3723" i="9"/>
  <c r="F3722" i="9"/>
  <c r="E3722" i="9"/>
  <c r="F3721" i="9"/>
  <c r="E3721" i="9"/>
  <c r="F3720" i="9"/>
  <c r="E3720" i="9"/>
  <c r="F3719" i="9"/>
  <c r="E3719" i="9"/>
  <c r="F3718" i="9"/>
  <c r="E3718" i="9"/>
  <c r="F3717" i="9"/>
  <c r="E3717" i="9"/>
  <c r="F3716" i="9"/>
  <c r="E3716" i="9"/>
  <c r="F3715" i="9"/>
  <c r="E3715" i="9"/>
  <c r="F3714" i="9"/>
  <c r="E3714" i="9"/>
  <c r="F3713" i="9"/>
  <c r="E3713" i="9"/>
  <c r="F3712" i="9"/>
  <c r="E3712" i="9"/>
  <c r="F3711" i="9"/>
  <c r="E3711" i="9"/>
  <c r="F3710" i="9"/>
  <c r="E3710" i="9"/>
  <c r="F3709" i="9"/>
  <c r="E3709" i="9"/>
  <c r="F3708" i="9"/>
  <c r="E3708" i="9"/>
  <c r="F3707" i="9"/>
  <c r="E3707" i="9"/>
  <c r="F3706" i="9"/>
  <c r="E3706" i="9"/>
  <c r="F3705" i="9"/>
  <c r="E3705" i="9"/>
  <c r="F3704" i="9"/>
  <c r="E3704" i="9"/>
  <c r="F3703" i="9"/>
  <c r="E3703" i="9"/>
  <c r="F3702" i="9"/>
  <c r="E3702" i="9"/>
  <c r="F3701" i="9"/>
  <c r="E3701" i="9"/>
  <c r="F3700" i="9"/>
  <c r="E3700" i="9"/>
  <c r="F3699" i="9"/>
  <c r="E3699" i="9"/>
  <c r="F3698" i="9"/>
  <c r="E3698" i="9"/>
  <c r="F3697" i="9"/>
  <c r="E3697" i="9"/>
  <c r="F3696" i="9"/>
  <c r="E3696" i="9"/>
  <c r="F3695" i="9"/>
  <c r="E3695" i="9"/>
  <c r="F3694" i="9"/>
  <c r="E3694" i="9"/>
  <c r="F3693" i="9"/>
  <c r="E3693" i="9"/>
  <c r="F3692" i="9"/>
  <c r="E3692" i="9"/>
  <c r="F3691" i="9"/>
  <c r="E3691" i="9"/>
  <c r="F3690" i="9"/>
  <c r="E3690" i="9"/>
  <c r="F3689" i="9"/>
  <c r="E3689" i="9"/>
  <c r="F3688" i="9"/>
  <c r="E3688" i="9"/>
  <c r="F3687" i="9"/>
  <c r="E3687" i="9"/>
  <c r="F3686" i="9"/>
  <c r="E3686" i="9"/>
  <c r="F3685" i="9"/>
  <c r="E3685" i="9"/>
  <c r="F3684" i="9"/>
  <c r="E3684" i="9"/>
  <c r="F3683" i="9"/>
  <c r="E3683" i="9"/>
  <c r="F3682" i="9"/>
  <c r="E3682" i="9"/>
  <c r="F3681" i="9"/>
  <c r="E3681" i="9"/>
  <c r="F3680" i="9"/>
  <c r="E3680" i="9"/>
  <c r="F3679" i="9"/>
  <c r="E3679" i="9"/>
  <c r="F3678" i="9"/>
  <c r="E3678" i="9"/>
  <c r="F3677" i="9"/>
  <c r="E3677" i="9"/>
  <c r="F3676" i="9"/>
  <c r="E3676" i="9"/>
  <c r="F3675" i="9"/>
  <c r="E3675" i="9"/>
  <c r="F3674" i="9"/>
  <c r="E3674" i="9"/>
  <c r="F3673" i="9"/>
  <c r="E3673" i="9"/>
  <c r="F3672" i="9"/>
  <c r="E3672" i="9"/>
  <c r="F3671" i="9"/>
  <c r="E3671" i="9"/>
  <c r="F3670" i="9"/>
  <c r="E3670" i="9"/>
  <c r="F3669" i="9"/>
  <c r="E3669" i="9"/>
  <c r="F3668" i="9"/>
  <c r="E3668" i="9"/>
  <c r="F3667" i="9"/>
  <c r="E3667" i="9"/>
  <c r="F3666" i="9"/>
  <c r="E3666" i="9"/>
  <c r="F3665" i="9"/>
  <c r="E3665" i="9"/>
  <c r="F3664" i="9"/>
  <c r="E3664" i="9"/>
  <c r="F3663" i="9"/>
  <c r="E3663" i="9"/>
  <c r="F3662" i="9"/>
  <c r="E3662" i="9"/>
  <c r="F3661" i="9"/>
  <c r="E3661" i="9"/>
  <c r="F3660" i="9"/>
  <c r="E3660" i="9"/>
  <c r="F3659" i="9"/>
  <c r="E3659" i="9"/>
  <c r="F3658" i="9"/>
  <c r="E3658" i="9"/>
  <c r="F3657" i="9"/>
  <c r="E3657" i="9"/>
  <c r="F3656" i="9"/>
  <c r="E3656" i="9"/>
  <c r="F3655" i="9"/>
  <c r="E3655" i="9"/>
  <c r="F3654" i="9"/>
  <c r="E3654" i="9"/>
  <c r="F3653" i="9"/>
  <c r="E3653" i="9"/>
  <c r="F3652" i="9"/>
  <c r="E3652" i="9"/>
  <c r="F3651" i="9"/>
  <c r="E3651" i="9"/>
  <c r="F3650" i="9"/>
  <c r="E3650" i="9"/>
  <c r="F3649" i="9"/>
  <c r="E3649" i="9"/>
  <c r="F3648" i="9"/>
  <c r="E3648" i="9"/>
  <c r="F3647" i="9"/>
  <c r="E3647" i="9"/>
  <c r="F3646" i="9"/>
  <c r="E3646" i="9"/>
  <c r="F3645" i="9"/>
  <c r="E3645" i="9"/>
  <c r="F3644" i="9"/>
  <c r="E3644" i="9"/>
  <c r="F3643" i="9"/>
  <c r="E3643" i="9"/>
  <c r="F3642" i="9"/>
  <c r="E3642" i="9"/>
  <c r="F3641" i="9"/>
  <c r="E3641" i="9"/>
  <c r="F3640" i="9"/>
  <c r="E3640" i="9"/>
  <c r="F3639" i="9"/>
  <c r="E3639" i="9"/>
  <c r="F3638" i="9"/>
  <c r="E3638" i="9"/>
  <c r="F3637" i="9"/>
  <c r="E3637" i="9"/>
  <c r="F3636" i="9"/>
  <c r="E3636" i="9"/>
  <c r="F3635" i="9"/>
  <c r="E3635" i="9"/>
  <c r="F3634" i="9"/>
  <c r="E3634" i="9"/>
  <c r="F3633" i="9"/>
  <c r="E3633" i="9"/>
  <c r="F3632" i="9"/>
  <c r="E3632" i="9"/>
  <c r="F3631" i="9"/>
  <c r="E3631" i="9"/>
  <c r="F3630" i="9"/>
  <c r="E3630" i="9"/>
  <c r="F3629" i="9"/>
  <c r="E3629" i="9"/>
  <c r="F3628" i="9"/>
  <c r="E3628" i="9"/>
  <c r="F3627" i="9"/>
  <c r="E3627" i="9"/>
  <c r="F3626" i="9"/>
  <c r="E3626" i="9"/>
  <c r="F3625" i="9"/>
  <c r="E3625" i="9"/>
  <c r="F3624" i="9"/>
  <c r="E3624" i="9"/>
  <c r="F3623" i="9"/>
  <c r="E3623" i="9"/>
  <c r="F3622" i="9"/>
  <c r="E3622" i="9"/>
  <c r="F3621" i="9"/>
  <c r="E3621" i="9"/>
  <c r="F3620" i="9"/>
  <c r="E3620" i="9"/>
  <c r="F3619" i="9"/>
  <c r="E3619" i="9"/>
  <c r="F3618" i="9"/>
  <c r="E3618" i="9"/>
  <c r="F3617" i="9"/>
  <c r="E3617" i="9"/>
  <c r="F3616" i="9"/>
  <c r="E3616" i="9"/>
  <c r="F3615" i="9"/>
  <c r="E3615" i="9"/>
  <c r="F3614" i="9"/>
  <c r="E3614" i="9"/>
  <c r="F3613" i="9"/>
  <c r="E3613" i="9"/>
  <c r="F3612" i="9"/>
  <c r="E3612" i="9"/>
  <c r="F3611" i="9"/>
  <c r="E3611" i="9"/>
  <c r="F3610" i="9"/>
  <c r="E3610" i="9"/>
  <c r="F3609" i="9"/>
  <c r="E3609" i="9"/>
  <c r="F3608" i="9"/>
  <c r="E3608" i="9"/>
  <c r="F3607" i="9"/>
  <c r="E3607" i="9"/>
  <c r="F3606" i="9"/>
  <c r="E3606" i="9"/>
  <c r="F3605" i="9"/>
  <c r="E3605" i="9"/>
  <c r="F3604" i="9"/>
  <c r="E3604" i="9"/>
  <c r="F3603" i="9"/>
  <c r="E3603" i="9"/>
  <c r="F3602" i="9"/>
  <c r="E3602" i="9"/>
  <c r="F3601" i="9"/>
  <c r="E3601" i="9"/>
  <c r="F3600" i="9"/>
  <c r="E3600" i="9"/>
  <c r="F3599" i="9"/>
  <c r="E3599" i="9"/>
  <c r="F3598" i="9"/>
  <c r="E3598" i="9"/>
  <c r="F3597" i="9"/>
  <c r="E3597" i="9"/>
  <c r="F3596" i="9"/>
  <c r="E3596" i="9"/>
  <c r="F3595" i="9"/>
  <c r="E3595" i="9"/>
  <c r="F3594" i="9"/>
  <c r="E3594" i="9"/>
  <c r="F3593" i="9"/>
  <c r="E3593" i="9"/>
  <c r="F3592" i="9"/>
  <c r="E3592" i="9"/>
  <c r="F3591" i="9"/>
  <c r="E3591" i="9"/>
  <c r="F3590" i="9"/>
  <c r="E3590" i="9"/>
  <c r="F3589" i="9"/>
  <c r="E3589" i="9"/>
  <c r="F3588" i="9"/>
  <c r="E3588" i="9"/>
  <c r="F3587" i="9"/>
  <c r="E3587" i="9"/>
  <c r="F3586" i="9"/>
  <c r="E3586" i="9"/>
  <c r="F3585" i="9"/>
  <c r="E3585" i="9"/>
  <c r="F3584" i="9"/>
  <c r="E3584" i="9"/>
  <c r="F3583" i="9"/>
  <c r="E3583" i="9"/>
  <c r="F3582" i="9"/>
  <c r="E3582" i="9"/>
  <c r="F3581" i="9"/>
  <c r="E3581" i="9"/>
  <c r="F3580" i="9"/>
  <c r="E3580" i="9"/>
  <c r="F3579" i="9"/>
  <c r="E3579" i="9"/>
  <c r="F3578" i="9"/>
  <c r="E3578" i="9"/>
  <c r="F3577" i="9"/>
  <c r="E3577" i="9"/>
  <c r="F3576" i="9"/>
  <c r="E3576" i="9"/>
  <c r="F3575" i="9"/>
  <c r="E3575" i="9"/>
  <c r="F3574" i="9"/>
  <c r="E3574" i="9"/>
  <c r="F3573" i="9"/>
  <c r="E3573" i="9"/>
  <c r="F3572" i="9"/>
  <c r="E3572" i="9"/>
  <c r="F3571" i="9"/>
  <c r="E3571" i="9"/>
  <c r="F3570" i="9"/>
  <c r="E3570" i="9"/>
  <c r="F3569" i="9"/>
  <c r="E3569" i="9"/>
  <c r="F3568" i="9"/>
  <c r="E3568" i="9"/>
  <c r="F3567" i="9"/>
  <c r="E3567" i="9"/>
  <c r="F3566" i="9"/>
  <c r="E3566" i="9"/>
  <c r="F3565" i="9"/>
  <c r="E3565" i="9"/>
  <c r="F3564" i="9"/>
  <c r="E3564" i="9"/>
  <c r="F3563" i="9"/>
  <c r="E3563" i="9"/>
  <c r="F3562" i="9"/>
  <c r="E3562" i="9"/>
  <c r="F3561" i="9"/>
  <c r="E3561" i="9"/>
  <c r="F3560" i="9"/>
  <c r="E3560" i="9"/>
  <c r="F3559" i="9"/>
  <c r="E3559" i="9"/>
  <c r="F3558" i="9"/>
  <c r="E3558" i="9"/>
  <c r="F3557" i="9"/>
  <c r="E3557" i="9"/>
  <c r="F3556" i="9"/>
  <c r="E3556" i="9"/>
  <c r="F3555" i="9"/>
  <c r="E3555" i="9"/>
  <c r="F3554" i="9"/>
  <c r="E3554" i="9"/>
  <c r="F3553" i="9"/>
  <c r="E3553" i="9"/>
  <c r="F3552" i="9"/>
  <c r="E3552" i="9"/>
  <c r="F3551" i="9"/>
  <c r="E3551" i="9"/>
  <c r="F3550" i="9"/>
  <c r="E3550" i="9"/>
  <c r="F3549" i="9"/>
  <c r="E3549" i="9"/>
  <c r="F3548" i="9"/>
  <c r="E3548" i="9"/>
  <c r="F3547" i="9"/>
  <c r="E3547" i="9"/>
  <c r="F3546" i="9"/>
  <c r="E3546" i="9"/>
  <c r="F3545" i="9"/>
  <c r="E3545" i="9"/>
  <c r="F3544" i="9"/>
  <c r="E3544" i="9"/>
  <c r="F3543" i="9"/>
  <c r="E3543" i="9"/>
  <c r="F3542" i="9"/>
  <c r="E3542" i="9"/>
  <c r="F3541" i="9"/>
  <c r="E3541" i="9"/>
  <c r="F3540" i="9"/>
  <c r="E3540" i="9"/>
  <c r="F3539" i="9"/>
  <c r="E3539" i="9"/>
  <c r="F3538" i="9"/>
  <c r="E3538" i="9"/>
  <c r="F3537" i="9"/>
  <c r="E3537" i="9"/>
  <c r="F3536" i="9"/>
  <c r="E3536" i="9"/>
  <c r="F3535" i="9"/>
  <c r="E3535" i="9"/>
  <c r="F3534" i="9"/>
  <c r="E3534" i="9"/>
  <c r="F3533" i="9"/>
  <c r="E3533" i="9"/>
  <c r="F3532" i="9"/>
  <c r="E3532" i="9"/>
  <c r="F3531" i="9"/>
  <c r="E3531" i="9"/>
  <c r="F3530" i="9"/>
  <c r="E3530" i="9"/>
  <c r="F3529" i="9"/>
  <c r="E3529" i="9"/>
  <c r="F3528" i="9"/>
  <c r="E3528" i="9"/>
  <c r="F3527" i="9"/>
  <c r="E3527" i="9"/>
  <c r="F3526" i="9"/>
  <c r="E3526" i="9"/>
  <c r="F3525" i="9"/>
  <c r="E3525" i="9"/>
  <c r="F3524" i="9"/>
  <c r="E3524" i="9"/>
  <c r="F3523" i="9"/>
  <c r="E3523" i="9"/>
  <c r="F3522" i="9"/>
  <c r="E3522" i="9"/>
  <c r="F3521" i="9"/>
  <c r="E3521" i="9"/>
  <c r="F3520" i="9"/>
  <c r="E3520" i="9"/>
  <c r="F3519" i="9"/>
  <c r="E3519" i="9"/>
  <c r="F3518" i="9"/>
  <c r="E3518" i="9"/>
  <c r="F3517" i="9"/>
  <c r="E3517" i="9"/>
  <c r="F3516" i="9"/>
  <c r="E3516" i="9"/>
  <c r="F3515" i="9"/>
  <c r="E3515" i="9"/>
  <c r="F3514" i="9"/>
  <c r="E3514" i="9"/>
  <c r="F3513" i="9"/>
  <c r="E3513" i="9"/>
  <c r="F3512" i="9"/>
  <c r="E3512" i="9"/>
  <c r="F3511" i="9"/>
  <c r="E3511" i="9"/>
  <c r="F3510" i="9"/>
  <c r="E3510" i="9"/>
  <c r="F3509" i="9"/>
  <c r="E3509" i="9"/>
  <c r="F3508" i="9"/>
  <c r="E3508" i="9"/>
  <c r="F3507" i="9"/>
  <c r="E3507" i="9"/>
  <c r="F3506" i="9"/>
  <c r="E3506" i="9"/>
  <c r="F3505" i="9"/>
  <c r="E3505" i="9"/>
  <c r="F3504" i="9"/>
  <c r="E3504" i="9"/>
  <c r="F3503" i="9"/>
  <c r="E3503" i="9"/>
  <c r="F3502" i="9"/>
  <c r="E3502" i="9"/>
  <c r="F3501" i="9"/>
  <c r="E3501" i="9"/>
  <c r="F3500" i="9"/>
  <c r="E3500" i="9"/>
  <c r="F3499" i="9"/>
  <c r="E3499" i="9"/>
  <c r="F3498" i="9"/>
  <c r="E3498" i="9"/>
  <c r="F3497" i="9"/>
  <c r="E3497" i="9"/>
  <c r="F3496" i="9"/>
  <c r="E3496" i="9"/>
  <c r="F3495" i="9"/>
  <c r="E3495" i="9"/>
  <c r="F3494" i="9"/>
  <c r="E3494" i="9"/>
  <c r="F3493" i="9"/>
  <c r="E3493" i="9"/>
  <c r="F3492" i="9"/>
  <c r="E3492" i="9"/>
  <c r="F3491" i="9"/>
  <c r="E3491" i="9"/>
  <c r="F3490" i="9"/>
  <c r="E3490" i="9"/>
  <c r="F3489" i="9"/>
  <c r="E3489" i="9"/>
  <c r="F3488" i="9"/>
  <c r="E3488" i="9"/>
  <c r="F3487" i="9"/>
  <c r="E3487" i="9"/>
  <c r="F3486" i="9"/>
  <c r="E3486" i="9"/>
  <c r="F3485" i="9"/>
  <c r="E3485" i="9"/>
  <c r="F3484" i="9"/>
  <c r="E3484" i="9"/>
  <c r="F3483" i="9"/>
  <c r="E3483" i="9"/>
  <c r="F3482" i="9"/>
  <c r="E3482" i="9"/>
  <c r="F3481" i="9"/>
  <c r="E3481" i="9"/>
  <c r="F3480" i="9"/>
  <c r="E3480" i="9"/>
  <c r="F3479" i="9"/>
  <c r="E3479" i="9"/>
  <c r="F3478" i="9"/>
  <c r="E3478" i="9"/>
  <c r="F3477" i="9"/>
  <c r="E3477" i="9"/>
  <c r="F3476" i="9"/>
  <c r="E3476" i="9"/>
  <c r="F3475" i="9"/>
  <c r="E3475" i="9"/>
  <c r="F3474" i="9"/>
  <c r="E3474" i="9"/>
  <c r="F3473" i="9"/>
  <c r="E3473" i="9"/>
  <c r="F3472" i="9"/>
  <c r="E3472" i="9"/>
  <c r="F3471" i="9"/>
  <c r="E3471" i="9"/>
  <c r="F3470" i="9"/>
  <c r="E3470" i="9"/>
  <c r="F3469" i="9"/>
  <c r="E3469" i="9"/>
  <c r="F3468" i="9"/>
  <c r="E3468" i="9"/>
  <c r="F3467" i="9"/>
  <c r="E3467" i="9"/>
  <c r="F3466" i="9"/>
  <c r="E3466" i="9"/>
  <c r="F3465" i="9"/>
  <c r="E3465" i="9"/>
  <c r="F3464" i="9"/>
  <c r="E3464" i="9"/>
  <c r="F3463" i="9"/>
  <c r="E3463" i="9"/>
  <c r="F3462" i="9"/>
  <c r="E3462" i="9"/>
  <c r="F3461" i="9"/>
  <c r="E3461" i="9"/>
  <c r="F3460" i="9"/>
  <c r="E3460" i="9"/>
  <c r="F3459" i="9"/>
  <c r="E3459" i="9"/>
  <c r="F3458" i="9"/>
  <c r="E3458" i="9"/>
  <c r="F3457" i="9"/>
  <c r="E3457" i="9"/>
  <c r="F3456" i="9"/>
  <c r="E3456" i="9"/>
  <c r="F3455" i="9"/>
  <c r="E3455" i="9"/>
  <c r="F3454" i="9"/>
  <c r="E3454" i="9"/>
  <c r="F3453" i="9"/>
  <c r="E3453" i="9"/>
  <c r="F3452" i="9"/>
  <c r="E3452" i="9"/>
  <c r="F3451" i="9"/>
  <c r="E3451" i="9"/>
  <c r="F3450" i="9"/>
  <c r="E3450" i="9"/>
  <c r="F3449" i="9"/>
  <c r="E3449" i="9"/>
  <c r="F3448" i="9"/>
  <c r="E3448" i="9"/>
  <c r="F3447" i="9"/>
  <c r="E3447" i="9"/>
  <c r="F3446" i="9"/>
  <c r="E3446" i="9"/>
  <c r="F3445" i="9"/>
  <c r="E3445" i="9"/>
  <c r="F3444" i="9"/>
  <c r="E3444" i="9"/>
  <c r="F3443" i="9"/>
  <c r="E3443" i="9"/>
  <c r="F3442" i="9"/>
  <c r="E3442" i="9"/>
  <c r="F3441" i="9"/>
  <c r="E3441" i="9"/>
  <c r="F3440" i="9"/>
  <c r="E3440" i="9"/>
  <c r="F3439" i="9"/>
  <c r="E3439" i="9"/>
  <c r="F3438" i="9"/>
  <c r="E3438" i="9"/>
  <c r="F3437" i="9"/>
  <c r="E3437" i="9"/>
  <c r="F3436" i="9"/>
  <c r="E3436" i="9"/>
  <c r="F3435" i="9"/>
  <c r="E3435" i="9"/>
  <c r="F3434" i="9"/>
  <c r="E3434" i="9"/>
  <c r="F3433" i="9"/>
  <c r="E3433" i="9"/>
  <c r="F3432" i="9"/>
  <c r="E3432" i="9"/>
  <c r="F3431" i="9"/>
  <c r="E3431" i="9"/>
  <c r="F3430" i="9"/>
  <c r="E3430" i="9"/>
  <c r="F3429" i="9"/>
  <c r="E3429" i="9"/>
  <c r="F3428" i="9"/>
  <c r="E3428" i="9"/>
  <c r="F3427" i="9"/>
  <c r="E3427" i="9"/>
  <c r="F3426" i="9"/>
  <c r="E3426" i="9"/>
  <c r="F3425" i="9"/>
  <c r="E3425" i="9"/>
  <c r="F3424" i="9"/>
  <c r="E3424" i="9"/>
  <c r="F3423" i="9"/>
  <c r="E3423" i="9"/>
  <c r="F3422" i="9"/>
  <c r="E3422" i="9"/>
  <c r="F3421" i="9"/>
  <c r="E3421" i="9"/>
  <c r="F3420" i="9"/>
  <c r="E3420" i="9"/>
  <c r="F3419" i="9"/>
  <c r="E3419" i="9"/>
  <c r="F3418" i="9"/>
  <c r="E3418" i="9"/>
  <c r="F3417" i="9"/>
  <c r="E3417" i="9"/>
  <c r="F3416" i="9"/>
  <c r="E3416" i="9"/>
  <c r="F3415" i="9"/>
  <c r="E3415" i="9"/>
  <c r="F3414" i="9"/>
  <c r="E3414" i="9"/>
  <c r="F3413" i="9"/>
  <c r="E3413" i="9"/>
  <c r="F3412" i="9"/>
  <c r="E3412" i="9"/>
  <c r="F3411" i="9"/>
  <c r="E3411" i="9"/>
  <c r="F3410" i="9"/>
  <c r="E3410" i="9"/>
  <c r="F3409" i="9"/>
  <c r="E3409" i="9"/>
  <c r="F3408" i="9"/>
  <c r="E3408" i="9"/>
  <c r="F3407" i="9"/>
  <c r="E3407" i="9"/>
  <c r="F3406" i="9"/>
  <c r="E3406" i="9"/>
  <c r="F3405" i="9"/>
  <c r="E3405" i="9"/>
  <c r="F3404" i="9"/>
  <c r="E3404" i="9"/>
  <c r="F3403" i="9"/>
  <c r="E3403" i="9"/>
  <c r="F3402" i="9"/>
  <c r="E3402" i="9"/>
  <c r="F3401" i="9"/>
  <c r="E3401" i="9"/>
  <c r="F3400" i="9"/>
  <c r="E3400" i="9"/>
  <c r="F3399" i="9"/>
  <c r="E3399" i="9"/>
  <c r="F3398" i="9"/>
  <c r="E3398" i="9"/>
  <c r="F3397" i="9"/>
  <c r="E3397" i="9"/>
  <c r="F3396" i="9"/>
  <c r="E3396" i="9"/>
  <c r="F3395" i="9"/>
  <c r="E3395" i="9"/>
  <c r="F3394" i="9"/>
  <c r="E3394" i="9"/>
  <c r="F3393" i="9"/>
  <c r="E3393" i="9"/>
  <c r="F3392" i="9"/>
  <c r="E3392" i="9"/>
  <c r="F3391" i="9"/>
  <c r="E3391" i="9"/>
  <c r="F3390" i="9"/>
  <c r="E3390" i="9"/>
  <c r="F3389" i="9"/>
  <c r="E3389" i="9"/>
  <c r="F3388" i="9"/>
  <c r="E3388" i="9"/>
  <c r="F3387" i="9"/>
  <c r="E3387" i="9"/>
  <c r="F3386" i="9"/>
  <c r="E3386" i="9"/>
  <c r="F3385" i="9"/>
  <c r="E3385" i="9"/>
  <c r="F3384" i="9"/>
  <c r="E3384" i="9"/>
  <c r="F3383" i="9"/>
  <c r="E3383" i="9"/>
  <c r="F3382" i="9"/>
  <c r="E3382" i="9"/>
  <c r="F3381" i="9"/>
  <c r="E3381" i="9"/>
  <c r="F3380" i="9"/>
  <c r="E3380" i="9"/>
  <c r="F3379" i="9"/>
  <c r="E3379" i="9"/>
  <c r="F3378" i="9"/>
  <c r="E3378" i="9"/>
  <c r="F3377" i="9"/>
  <c r="E3377" i="9"/>
  <c r="F3376" i="9"/>
  <c r="E3376" i="9"/>
  <c r="F3375" i="9"/>
  <c r="E3375" i="9"/>
  <c r="F3374" i="9"/>
  <c r="E3374" i="9"/>
  <c r="F3373" i="9"/>
  <c r="E3373" i="9"/>
  <c r="F3372" i="9"/>
  <c r="E3372" i="9"/>
  <c r="F3371" i="9"/>
  <c r="E3371" i="9"/>
  <c r="F3370" i="9"/>
  <c r="E3370" i="9"/>
  <c r="F3369" i="9"/>
  <c r="E3369" i="9"/>
  <c r="F3368" i="9"/>
  <c r="E3368" i="9"/>
  <c r="F3367" i="9"/>
  <c r="E3367" i="9"/>
  <c r="F3366" i="9"/>
  <c r="E3366" i="9"/>
  <c r="F3365" i="9"/>
  <c r="E3365" i="9"/>
  <c r="F3364" i="9"/>
  <c r="E3364" i="9"/>
  <c r="F3363" i="9"/>
  <c r="E3363" i="9"/>
  <c r="F3362" i="9"/>
  <c r="E3362" i="9"/>
  <c r="F3361" i="9"/>
  <c r="E3361" i="9"/>
  <c r="F3360" i="9"/>
  <c r="E3360" i="9"/>
  <c r="F3359" i="9"/>
  <c r="E3359" i="9"/>
  <c r="F3358" i="9"/>
  <c r="E3358" i="9"/>
  <c r="F3357" i="9"/>
  <c r="E3357" i="9"/>
  <c r="F3356" i="9"/>
  <c r="E3356" i="9"/>
  <c r="F3355" i="9"/>
  <c r="E3355" i="9"/>
  <c r="F3354" i="9"/>
  <c r="E3354" i="9"/>
  <c r="F3353" i="9"/>
  <c r="E3353" i="9"/>
  <c r="F3352" i="9"/>
  <c r="E3352" i="9"/>
  <c r="F3351" i="9"/>
  <c r="E3351" i="9"/>
  <c r="F3350" i="9"/>
  <c r="E3350" i="9"/>
  <c r="F3349" i="9"/>
  <c r="E3349" i="9"/>
  <c r="F3348" i="9"/>
  <c r="E3348" i="9"/>
  <c r="F3347" i="9"/>
  <c r="E3347" i="9"/>
  <c r="F3346" i="9"/>
  <c r="E3346" i="9"/>
  <c r="F3345" i="9"/>
  <c r="E3345" i="9"/>
  <c r="F3344" i="9"/>
  <c r="E3344" i="9"/>
  <c r="F3343" i="9"/>
  <c r="E3343" i="9"/>
  <c r="F3342" i="9"/>
  <c r="E3342" i="9"/>
  <c r="F3341" i="9"/>
  <c r="E3341" i="9"/>
  <c r="F3340" i="9"/>
  <c r="E3340" i="9"/>
  <c r="F3339" i="9"/>
  <c r="E3339" i="9"/>
  <c r="F3338" i="9"/>
  <c r="E3338" i="9"/>
  <c r="F3337" i="9"/>
  <c r="E3337" i="9"/>
  <c r="F3336" i="9"/>
  <c r="E3336" i="9"/>
  <c r="F3335" i="9"/>
  <c r="E3335" i="9"/>
  <c r="F3334" i="9"/>
  <c r="E3334" i="9"/>
  <c r="F3333" i="9"/>
  <c r="E3333" i="9"/>
  <c r="F3332" i="9"/>
  <c r="E3332" i="9"/>
  <c r="F3331" i="9"/>
  <c r="E3331" i="9"/>
  <c r="F3330" i="9"/>
  <c r="E3330" i="9"/>
  <c r="F3329" i="9"/>
  <c r="E3329" i="9"/>
  <c r="F3328" i="9"/>
  <c r="E3328" i="9"/>
  <c r="F3327" i="9"/>
  <c r="E3327" i="9"/>
  <c r="F3326" i="9"/>
  <c r="E3326" i="9"/>
  <c r="F3325" i="9"/>
  <c r="E3325" i="9"/>
  <c r="F3324" i="9"/>
  <c r="E3324" i="9"/>
  <c r="F3323" i="9"/>
  <c r="E3323" i="9"/>
  <c r="F3322" i="9"/>
  <c r="E3322" i="9"/>
  <c r="F3321" i="9"/>
  <c r="E3321" i="9"/>
  <c r="F3320" i="9"/>
  <c r="E3320" i="9"/>
  <c r="F3319" i="9"/>
  <c r="E3319" i="9"/>
  <c r="F3318" i="9"/>
  <c r="E3318" i="9"/>
  <c r="F3317" i="9"/>
  <c r="E3317" i="9"/>
  <c r="F3316" i="9"/>
  <c r="E3316" i="9"/>
  <c r="F3315" i="9"/>
  <c r="E3315" i="9"/>
  <c r="F3314" i="9"/>
  <c r="E3314" i="9"/>
  <c r="F3313" i="9"/>
  <c r="E3313" i="9"/>
  <c r="F3312" i="9"/>
  <c r="E3312" i="9"/>
  <c r="F3311" i="9"/>
  <c r="E3311" i="9"/>
  <c r="F3310" i="9"/>
  <c r="E3310" i="9"/>
  <c r="F3309" i="9"/>
  <c r="E3309" i="9"/>
  <c r="F3308" i="9"/>
  <c r="E3308" i="9"/>
  <c r="F3307" i="9"/>
  <c r="E3307" i="9"/>
  <c r="F3306" i="9"/>
  <c r="E3306" i="9"/>
  <c r="F3305" i="9"/>
  <c r="E3305" i="9"/>
  <c r="F3304" i="9"/>
  <c r="E3304" i="9"/>
  <c r="F3303" i="9"/>
  <c r="E3303" i="9"/>
  <c r="F3302" i="9"/>
  <c r="E3302" i="9"/>
  <c r="F3301" i="9"/>
  <c r="E3301" i="9"/>
  <c r="F3300" i="9"/>
  <c r="E3300" i="9"/>
  <c r="F3299" i="9"/>
  <c r="E3299" i="9"/>
  <c r="F3298" i="9"/>
  <c r="E3298" i="9"/>
  <c r="F3297" i="9"/>
  <c r="E3297" i="9"/>
  <c r="F3296" i="9"/>
  <c r="E3296" i="9"/>
  <c r="F3295" i="9"/>
  <c r="E3295" i="9"/>
  <c r="F3294" i="9"/>
  <c r="E3294" i="9"/>
  <c r="F3293" i="9"/>
  <c r="E3293" i="9"/>
  <c r="F3292" i="9"/>
  <c r="E3292" i="9"/>
  <c r="F3291" i="9"/>
  <c r="E3291" i="9"/>
  <c r="F3290" i="9"/>
  <c r="E3290" i="9"/>
  <c r="F3289" i="9"/>
  <c r="E3289" i="9"/>
  <c r="F3288" i="9"/>
  <c r="E3288" i="9"/>
  <c r="F3287" i="9"/>
  <c r="E3287" i="9"/>
  <c r="F3286" i="9"/>
  <c r="E3286" i="9"/>
  <c r="F3285" i="9"/>
  <c r="E3285" i="9"/>
  <c r="F3284" i="9"/>
  <c r="E3284" i="9"/>
  <c r="F3283" i="9"/>
  <c r="E3283" i="9"/>
  <c r="F3282" i="9"/>
  <c r="E3282" i="9"/>
  <c r="F3281" i="9"/>
  <c r="E3281" i="9"/>
  <c r="F3280" i="9"/>
  <c r="E3280" i="9"/>
  <c r="F3279" i="9"/>
  <c r="E3279" i="9"/>
  <c r="F3278" i="9"/>
  <c r="E3278" i="9"/>
  <c r="F3277" i="9"/>
  <c r="E3277" i="9"/>
  <c r="F3276" i="9"/>
  <c r="E3276" i="9"/>
  <c r="F3275" i="9"/>
  <c r="E3275" i="9"/>
  <c r="F3274" i="9"/>
  <c r="E3274" i="9"/>
  <c r="F3273" i="9"/>
  <c r="E3273" i="9"/>
  <c r="F3272" i="9"/>
  <c r="E3272" i="9"/>
  <c r="F3271" i="9"/>
  <c r="E3271" i="9"/>
  <c r="F3270" i="9"/>
  <c r="E3270" i="9"/>
  <c r="F3269" i="9"/>
  <c r="E3269" i="9"/>
  <c r="F3268" i="9"/>
  <c r="E3268" i="9"/>
  <c r="F3267" i="9"/>
  <c r="E3267" i="9"/>
  <c r="F3266" i="9"/>
  <c r="E3266" i="9"/>
  <c r="F3265" i="9"/>
  <c r="E3265" i="9"/>
  <c r="F3264" i="9"/>
  <c r="E3264" i="9"/>
  <c r="F3263" i="9"/>
  <c r="E3263" i="9"/>
  <c r="F3262" i="9"/>
  <c r="E3262" i="9"/>
  <c r="F3261" i="9"/>
  <c r="E3261" i="9"/>
  <c r="F3260" i="9"/>
  <c r="E3260" i="9"/>
  <c r="F3259" i="9"/>
  <c r="E3259" i="9"/>
  <c r="F3258" i="9"/>
  <c r="E3258" i="9"/>
  <c r="F3257" i="9"/>
  <c r="E3257" i="9"/>
  <c r="F3256" i="9"/>
  <c r="E3256" i="9"/>
  <c r="F3255" i="9"/>
  <c r="E3255" i="9"/>
  <c r="F3254" i="9"/>
  <c r="E3254" i="9"/>
  <c r="F3253" i="9"/>
  <c r="E3253" i="9"/>
  <c r="F3252" i="9"/>
  <c r="E3252" i="9"/>
  <c r="F3251" i="9"/>
  <c r="E3251" i="9"/>
  <c r="F3250" i="9"/>
  <c r="E3250" i="9"/>
  <c r="F3249" i="9"/>
  <c r="E3249" i="9"/>
  <c r="F3248" i="9"/>
  <c r="E3248" i="9"/>
  <c r="F3247" i="9"/>
  <c r="E3247" i="9"/>
  <c r="F3246" i="9"/>
  <c r="E3246" i="9"/>
  <c r="F3245" i="9"/>
  <c r="E3245" i="9"/>
  <c r="F3244" i="9"/>
  <c r="E3244" i="9"/>
  <c r="F3243" i="9"/>
  <c r="E3243" i="9"/>
  <c r="F3242" i="9"/>
  <c r="E3242" i="9"/>
  <c r="F3241" i="9"/>
  <c r="E3241" i="9"/>
  <c r="F3240" i="9"/>
  <c r="E3240" i="9"/>
  <c r="F3239" i="9"/>
  <c r="E3239" i="9"/>
  <c r="F3238" i="9"/>
  <c r="E3238" i="9"/>
  <c r="F3237" i="9"/>
  <c r="E3237" i="9"/>
  <c r="F3236" i="9"/>
  <c r="E3236" i="9"/>
  <c r="F3235" i="9"/>
  <c r="E3235" i="9"/>
  <c r="F3234" i="9"/>
  <c r="E3234" i="9"/>
  <c r="F3233" i="9"/>
  <c r="E3233" i="9"/>
  <c r="F3232" i="9"/>
  <c r="E3232" i="9"/>
  <c r="F3231" i="9"/>
  <c r="E3231" i="9"/>
  <c r="F3230" i="9"/>
  <c r="E3230" i="9"/>
  <c r="F3229" i="9"/>
  <c r="E3229" i="9"/>
  <c r="F3228" i="9"/>
  <c r="E3228" i="9"/>
  <c r="F3227" i="9"/>
  <c r="E3227" i="9"/>
  <c r="F3226" i="9"/>
  <c r="E3226" i="9"/>
  <c r="F3225" i="9"/>
  <c r="E3225" i="9"/>
  <c r="F3224" i="9"/>
  <c r="E3224" i="9"/>
  <c r="F3223" i="9"/>
  <c r="E3223" i="9"/>
  <c r="F3222" i="9"/>
  <c r="E3222" i="9"/>
  <c r="F3221" i="9"/>
  <c r="E3221" i="9"/>
  <c r="F3220" i="9"/>
  <c r="E3220" i="9"/>
  <c r="F3219" i="9"/>
  <c r="E3219" i="9"/>
  <c r="F3218" i="9"/>
  <c r="E3218" i="9"/>
  <c r="F3217" i="9"/>
  <c r="E3217" i="9"/>
  <c r="F3216" i="9"/>
  <c r="E3216" i="9"/>
  <c r="F3215" i="9"/>
  <c r="E3215" i="9"/>
  <c r="F3214" i="9"/>
  <c r="E3214" i="9"/>
  <c r="F3213" i="9"/>
  <c r="E3213" i="9"/>
  <c r="F3212" i="9"/>
  <c r="E3212" i="9"/>
  <c r="F3211" i="9"/>
  <c r="E3211" i="9"/>
  <c r="F3210" i="9"/>
  <c r="E3210" i="9"/>
  <c r="F3209" i="9"/>
  <c r="E3209" i="9"/>
  <c r="F3208" i="9"/>
  <c r="E3208" i="9"/>
  <c r="F3207" i="9"/>
  <c r="E3207" i="9"/>
  <c r="F3206" i="9"/>
  <c r="E3206" i="9"/>
  <c r="F3205" i="9"/>
  <c r="E3205" i="9"/>
  <c r="F3204" i="9"/>
  <c r="E3204" i="9"/>
  <c r="F3203" i="9"/>
  <c r="E3203" i="9"/>
  <c r="F3202" i="9"/>
  <c r="E3202" i="9"/>
  <c r="F3201" i="9"/>
  <c r="E3201" i="9"/>
  <c r="F3200" i="9"/>
  <c r="E3200" i="9"/>
  <c r="F3199" i="9"/>
  <c r="E3199" i="9"/>
  <c r="F3198" i="9"/>
  <c r="E3198" i="9"/>
  <c r="F3197" i="9"/>
  <c r="E3197" i="9"/>
  <c r="F3196" i="9"/>
  <c r="E3196" i="9"/>
  <c r="F3195" i="9"/>
  <c r="E3195" i="9"/>
  <c r="F3194" i="9"/>
  <c r="E3194" i="9"/>
  <c r="F3193" i="9"/>
  <c r="E3193" i="9"/>
  <c r="F3192" i="9"/>
  <c r="E3192" i="9"/>
  <c r="F3191" i="9"/>
  <c r="E3191" i="9"/>
  <c r="F3190" i="9"/>
  <c r="E3190" i="9"/>
  <c r="F3189" i="9"/>
  <c r="E3189" i="9"/>
  <c r="F3188" i="9"/>
  <c r="E3188" i="9"/>
  <c r="F3187" i="9"/>
  <c r="E3187" i="9"/>
  <c r="F3186" i="9"/>
  <c r="E3186" i="9"/>
  <c r="F3185" i="9"/>
  <c r="E3185" i="9"/>
  <c r="F3184" i="9"/>
  <c r="E3184" i="9"/>
  <c r="F3183" i="9"/>
  <c r="E3183" i="9"/>
  <c r="F3182" i="9"/>
  <c r="E3182" i="9"/>
  <c r="F3181" i="9"/>
  <c r="E3181" i="9"/>
  <c r="F3180" i="9"/>
  <c r="E3180" i="9"/>
  <c r="F3179" i="9"/>
  <c r="E3179" i="9"/>
  <c r="F3178" i="9"/>
  <c r="E3178" i="9"/>
  <c r="F3177" i="9"/>
  <c r="E3177" i="9"/>
  <c r="F3176" i="9"/>
  <c r="E3176" i="9"/>
  <c r="F3175" i="9"/>
  <c r="E3175" i="9"/>
  <c r="F3174" i="9"/>
  <c r="E3174" i="9"/>
  <c r="F3173" i="9"/>
  <c r="E3173" i="9"/>
  <c r="F3172" i="9"/>
  <c r="E3172" i="9"/>
  <c r="F3171" i="9"/>
  <c r="E3171" i="9"/>
  <c r="F3170" i="9"/>
  <c r="E3170" i="9"/>
  <c r="F3169" i="9"/>
  <c r="E3169" i="9"/>
  <c r="F3168" i="9"/>
  <c r="E3168" i="9"/>
  <c r="F3167" i="9"/>
  <c r="E3167" i="9"/>
  <c r="F3166" i="9"/>
  <c r="E3166" i="9"/>
  <c r="F3165" i="9"/>
  <c r="E3165" i="9"/>
  <c r="F3164" i="9"/>
  <c r="E3164" i="9"/>
  <c r="F3163" i="9"/>
  <c r="E3163" i="9"/>
  <c r="F3162" i="9"/>
  <c r="E3162" i="9"/>
  <c r="F3161" i="9"/>
  <c r="E3161" i="9"/>
  <c r="F3160" i="9"/>
  <c r="E3160" i="9"/>
  <c r="F3159" i="9"/>
  <c r="E3159" i="9"/>
  <c r="F3158" i="9"/>
  <c r="E3158" i="9"/>
  <c r="F3157" i="9"/>
  <c r="E3157" i="9"/>
  <c r="F3156" i="9"/>
  <c r="E3156" i="9"/>
  <c r="F3155" i="9"/>
  <c r="E3155" i="9"/>
  <c r="F3154" i="9"/>
  <c r="E3154" i="9"/>
  <c r="F3153" i="9"/>
  <c r="E3153" i="9"/>
  <c r="F3152" i="9"/>
  <c r="E3152" i="9"/>
  <c r="F3151" i="9"/>
  <c r="E3151" i="9"/>
  <c r="F3150" i="9"/>
  <c r="E3150" i="9"/>
  <c r="F3149" i="9"/>
  <c r="E3149" i="9"/>
  <c r="F3148" i="9"/>
  <c r="E3148" i="9"/>
  <c r="F3147" i="9"/>
  <c r="E3147" i="9"/>
  <c r="F3146" i="9"/>
  <c r="E3146" i="9"/>
  <c r="F3145" i="9"/>
  <c r="E3145" i="9"/>
  <c r="F3144" i="9"/>
  <c r="E3144" i="9"/>
  <c r="F3143" i="9"/>
  <c r="E3143" i="9"/>
  <c r="F3142" i="9"/>
  <c r="E3142" i="9"/>
  <c r="F3141" i="9"/>
  <c r="E3141" i="9"/>
  <c r="F3140" i="9"/>
  <c r="E3140" i="9"/>
  <c r="F3139" i="9"/>
  <c r="E3139" i="9"/>
  <c r="F3138" i="9"/>
  <c r="E3138" i="9"/>
  <c r="F3137" i="9"/>
  <c r="E3137" i="9"/>
  <c r="F3136" i="9"/>
  <c r="E3136" i="9"/>
  <c r="F3135" i="9"/>
  <c r="E3135" i="9"/>
  <c r="F3134" i="9"/>
  <c r="E3134" i="9"/>
  <c r="F3133" i="9"/>
  <c r="E3133" i="9"/>
  <c r="F3132" i="9"/>
  <c r="E3132" i="9"/>
  <c r="F3131" i="9"/>
  <c r="E3131" i="9"/>
  <c r="F3130" i="9"/>
  <c r="E3130" i="9"/>
  <c r="F3129" i="9"/>
  <c r="E3129" i="9"/>
  <c r="F3128" i="9"/>
  <c r="E3128" i="9"/>
  <c r="F3127" i="9"/>
  <c r="E3127" i="9"/>
  <c r="F3126" i="9"/>
  <c r="E3126" i="9"/>
  <c r="F3125" i="9"/>
  <c r="E3125" i="9"/>
  <c r="F3124" i="9"/>
  <c r="E3124" i="9"/>
  <c r="F3123" i="9"/>
  <c r="E3123" i="9"/>
  <c r="F3122" i="9"/>
  <c r="E3122" i="9"/>
  <c r="F3121" i="9"/>
  <c r="E3121" i="9"/>
  <c r="F3120" i="9"/>
  <c r="E3120" i="9"/>
  <c r="F3119" i="9"/>
  <c r="E3119" i="9"/>
  <c r="F3118" i="9"/>
  <c r="E3118" i="9"/>
  <c r="F3117" i="9"/>
  <c r="E3117" i="9"/>
  <c r="F3116" i="9"/>
  <c r="E3116" i="9"/>
  <c r="F3115" i="9"/>
  <c r="E3115" i="9"/>
  <c r="F3114" i="9"/>
  <c r="E3114" i="9"/>
  <c r="F3113" i="9"/>
  <c r="E3113" i="9"/>
  <c r="F3112" i="9"/>
  <c r="E3112" i="9"/>
  <c r="F3111" i="9"/>
  <c r="E3111" i="9"/>
  <c r="F3110" i="9"/>
  <c r="E3110" i="9"/>
  <c r="F3109" i="9"/>
  <c r="E3109" i="9"/>
  <c r="F3108" i="9"/>
  <c r="E3108" i="9"/>
  <c r="F3107" i="9"/>
  <c r="E3107" i="9"/>
  <c r="F3106" i="9"/>
  <c r="E3106" i="9"/>
  <c r="F3105" i="9"/>
  <c r="E3105" i="9"/>
  <c r="F3104" i="9"/>
  <c r="E3104" i="9"/>
  <c r="F3103" i="9"/>
  <c r="E3103" i="9"/>
  <c r="F3102" i="9"/>
  <c r="E3102" i="9"/>
  <c r="F3101" i="9"/>
  <c r="E3101" i="9"/>
  <c r="F3100" i="9"/>
  <c r="E3100" i="9"/>
  <c r="F3099" i="9"/>
  <c r="E3099" i="9"/>
  <c r="F3098" i="9"/>
  <c r="E3098" i="9"/>
  <c r="F3097" i="9"/>
  <c r="E3097" i="9"/>
  <c r="F3096" i="9"/>
  <c r="E3096" i="9"/>
  <c r="F3095" i="9"/>
  <c r="E3095" i="9"/>
  <c r="F3094" i="9"/>
  <c r="E3094" i="9"/>
  <c r="F3093" i="9"/>
  <c r="E3093" i="9"/>
  <c r="F3092" i="9"/>
  <c r="E3092" i="9"/>
  <c r="F3091" i="9"/>
  <c r="E3091" i="9"/>
  <c r="F3090" i="9"/>
  <c r="E3090" i="9"/>
  <c r="F3089" i="9"/>
  <c r="E3089" i="9"/>
  <c r="F3088" i="9"/>
  <c r="E3088" i="9"/>
  <c r="F3087" i="9"/>
  <c r="E3087" i="9"/>
  <c r="F3086" i="9"/>
  <c r="E3086" i="9"/>
  <c r="F3085" i="9"/>
  <c r="E3085" i="9"/>
  <c r="F3084" i="9"/>
  <c r="E3084" i="9"/>
  <c r="F3083" i="9"/>
  <c r="E3083" i="9"/>
  <c r="F3082" i="9"/>
  <c r="E3082" i="9"/>
  <c r="F3081" i="9"/>
  <c r="E3081" i="9"/>
  <c r="F3080" i="9"/>
  <c r="E3080" i="9"/>
  <c r="F3079" i="9"/>
  <c r="E3079" i="9"/>
  <c r="F3078" i="9"/>
  <c r="E3078" i="9"/>
  <c r="F3077" i="9"/>
  <c r="E3077" i="9"/>
  <c r="F3076" i="9"/>
  <c r="E3076" i="9"/>
  <c r="F3075" i="9"/>
  <c r="E3075" i="9"/>
  <c r="F3074" i="9"/>
  <c r="E3074" i="9"/>
  <c r="F3073" i="9"/>
  <c r="E3073" i="9"/>
  <c r="F3072" i="9"/>
  <c r="E3072" i="9"/>
  <c r="F3071" i="9"/>
  <c r="E3071" i="9"/>
  <c r="F3070" i="9"/>
  <c r="E3070" i="9"/>
  <c r="F3069" i="9"/>
  <c r="E3069" i="9"/>
  <c r="F3068" i="9"/>
  <c r="E3068" i="9"/>
  <c r="F3067" i="9"/>
  <c r="E3067" i="9"/>
  <c r="F3066" i="9"/>
  <c r="E3066" i="9"/>
  <c r="F3065" i="9"/>
  <c r="E3065" i="9"/>
  <c r="F3064" i="9"/>
  <c r="E3064" i="9"/>
  <c r="F3063" i="9"/>
  <c r="E3063" i="9"/>
  <c r="F3062" i="9"/>
  <c r="E3062" i="9"/>
  <c r="F3061" i="9"/>
  <c r="E3061" i="9"/>
  <c r="F3060" i="9"/>
  <c r="E3060" i="9"/>
  <c r="F3059" i="9"/>
  <c r="E3059" i="9"/>
  <c r="F3058" i="9"/>
  <c r="E3058" i="9"/>
  <c r="F3057" i="9"/>
  <c r="E3057" i="9"/>
  <c r="F3056" i="9"/>
  <c r="E3056" i="9"/>
  <c r="F3055" i="9"/>
  <c r="E3055" i="9"/>
  <c r="F3054" i="9"/>
  <c r="E3054" i="9"/>
  <c r="F3053" i="9"/>
  <c r="E3053" i="9"/>
  <c r="F3052" i="9"/>
  <c r="E3052" i="9"/>
  <c r="F3051" i="9"/>
  <c r="E3051" i="9"/>
  <c r="F3050" i="9"/>
  <c r="E3050" i="9"/>
  <c r="F3049" i="9"/>
  <c r="E3049" i="9"/>
  <c r="F3048" i="9"/>
  <c r="E3048" i="9"/>
  <c r="F3047" i="9"/>
  <c r="E3047" i="9"/>
  <c r="F3046" i="9"/>
  <c r="E3046" i="9"/>
  <c r="F3045" i="9"/>
  <c r="E3045" i="9"/>
  <c r="F3044" i="9"/>
  <c r="E3044" i="9"/>
  <c r="F3043" i="9"/>
  <c r="E3043" i="9"/>
  <c r="F3042" i="9"/>
  <c r="E3042" i="9"/>
  <c r="F3041" i="9"/>
  <c r="E3041" i="9"/>
  <c r="F3040" i="9"/>
  <c r="E3040" i="9"/>
  <c r="F3039" i="9"/>
  <c r="E3039" i="9"/>
  <c r="F3038" i="9"/>
  <c r="E3038" i="9"/>
  <c r="F3037" i="9"/>
  <c r="E3037" i="9"/>
  <c r="F3036" i="9"/>
  <c r="E3036" i="9"/>
  <c r="F3035" i="9"/>
  <c r="E3035" i="9"/>
  <c r="F3034" i="9"/>
  <c r="E3034" i="9"/>
  <c r="F3033" i="9"/>
  <c r="E3033" i="9"/>
  <c r="F3032" i="9"/>
  <c r="E3032" i="9"/>
  <c r="F3031" i="9"/>
  <c r="E3031" i="9"/>
  <c r="F3030" i="9"/>
  <c r="E3030" i="9"/>
  <c r="F3029" i="9"/>
  <c r="E3029" i="9"/>
  <c r="F3028" i="9"/>
  <c r="E3028" i="9"/>
  <c r="F3027" i="9"/>
  <c r="E3027" i="9"/>
  <c r="F3026" i="9"/>
  <c r="E3026" i="9"/>
  <c r="F3025" i="9"/>
  <c r="E3025" i="9"/>
  <c r="F3024" i="9"/>
  <c r="E3024" i="9"/>
  <c r="F3023" i="9"/>
  <c r="E3023" i="9"/>
  <c r="F3022" i="9"/>
  <c r="E3022" i="9"/>
  <c r="F3021" i="9"/>
  <c r="E3021" i="9"/>
  <c r="F3020" i="9"/>
  <c r="E3020" i="9"/>
  <c r="F3019" i="9"/>
  <c r="E3019" i="9"/>
  <c r="F3018" i="9"/>
  <c r="E3018" i="9"/>
  <c r="F3017" i="9"/>
  <c r="E3017" i="9"/>
  <c r="F3016" i="9"/>
  <c r="E3016" i="9"/>
  <c r="F3015" i="9"/>
  <c r="E3015" i="9"/>
  <c r="F3014" i="9"/>
  <c r="E3014" i="9"/>
  <c r="F3013" i="9"/>
  <c r="E3013" i="9"/>
  <c r="F3012" i="9"/>
  <c r="E3012" i="9"/>
  <c r="F3011" i="9"/>
  <c r="E3011" i="9"/>
  <c r="F3010" i="9"/>
  <c r="E3010" i="9"/>
  <c r="F3009" i="9"/>
  <c r="E3009" i="9"/>
  <c r="F3008" i="9"/>
  <c r="E3008" i="9"/>
  <c r="F3007" i="9"/>
  <c r="E3007" i="9"/>
  <c r="F3006" i="9"/>
  <c r="E3006" i="9"/>
  <c r="F3005" i="9"/>
  <c r="E3005" i="9"/>
  <c r="F3004" i="9"/>
  <c r="E3004" i="9"/>
  <c r="F3003" i="9"/>
  <c r="E3003" i="9"/>
  <c r="F3002" i="9"/>
  <c r="E3002" i="9"/>
  <c r="F3001" i="9"/>
  <c r="E3001" i="9"/>
  <c r="F3000" i="9"/>
  <c r="E3000" i="9"/>
  <c r="F2999" i="9"/>
  <c r="E2999" i="9"/>
  <c r="F2998" i="9"/>
  <c r="E2998" i="9"/>
  <c r="F2997" i="9"/>
  <c r="E2997" i="9"/>
  <c r="F2996" i="9"/>
  <c r="E2996" i="9"/>
  <c r="F2995" i="9"/>
  <c r="E2995" i="9"/>
  <c r="F2994" i="9"/>
  <c r="E2994" i="9"/>
  <c r="F2993" i="9"/>
  <c r="E2993" i="9"/>
  <c r="F2992" i="9"/>
  <c r="E2992" i="9"/>
  <c r="F2991" i="9"/>
  <c r="E2991" i="9"/>
  <c r="F2990" i="9"/>
  <c r="E2990" i="9"/>
  <c r="F2989" i="9"/>
  <c r="E2989" i="9"/>
  <c r="F2988" i="9"/>
  <c r="E2988" i="9"/>
  <c r="F2987" i="9"/>
  <c r="E2987" i="9"/>
  <c r="F2986" i="9"/>
  <c r="E2986" i="9"/>
  <c r="F2985" i="9"/>
  <c r="E2985" i="9"/>
  <c r="F2984" i="9"/>
  <c r="E2984" i="9"/>
  <c r="F2983" i="9"/>
  <c r="E2983" i="9"/>
  <c r="F2982" i="9"/>
  <c r="E2982" i="9"/>
  <c r="F2981" i="9"/>
  <c r="E2981" i="9"/>
  <c r="F2980" i="9"/>
  <c r="E2980" i="9"/>
  <c r="F2979" i="9"/>
  <c r="E2979" i="9"/>
  <c r="F2978" i="9"/>
  <c r="E2978" i="9"/>
  <c r="F2977" i="9"/>
  <c r="E2977" i="9"/>
  <c r="F2976" i="9"/>
  <c r="E2976" i="9"/>
  <c r="F2975" i="9"/>
  <c r="E2975" i="9"/>
  <c r="F2974" i="9"/>
  <c r="E2974" i="9"/>
  <c r="F2973" i="9"/>
  <c r="E2973" i="9"/>
  <c r="F2972" i="9"/>
  <c r="E2972" i="9"/>
  <c r="F2971" i="9"/>
  <c r="E2971" i="9"/>
  <c r="F2970" i="9"/>
  <c r="E2970" i="9"/>
  <c r="F2969" i="9"/>
  <c r="E2969" i="9"/>
  <c r="F2968" i="9"/>
  <c r="E2968" i="9"/>
  <c r="F2967" i="9"/>
  <c r="E2967" i="9"/>
  <c r="F2966" i="9"/>
  <c r="E2966" i="9"/>
  <c r="F2965" i="9"/>
  <c r="E2965" i="9"/>
  <c r="F2964" i="9"/>
  <c r="E2964" i="9"/>
  <c r="F2963" i="9"/>
  <c r="E2963" i="9"/>
  <c r="F2962" i="9"/>
  <c r="E2962" i="9"/>
  <c r="F2961" i="9"/>
  <c r="E2961" i="9"/>
  <c r="F2960" i="9"/>
  <c r="E2960" i="9"/>
  <c r="F2959" i="9"/>
  <c r="E2959" i="9"/>
  <c r="F2958" i="9"/>
  <c r="E2958" i="9"/>
  <c r="F2957" i="9"/>
  <c r="E2957" i="9"/>
  <c r="F2956" i="9"/>
  <c r="E2956" i="9"/>
  <c r="F2955" i="9"/>
  <c r="E2955" i="9"/>
  <c r="F2954" i="9"/>
  <c r="E2954" i="9"/>
  <c r="F2953" i="9"/>
  <c r="E2953" i="9"/>
  <c r="F2952" i="9"/>
  <c r="E2952" i="9"/>
  <c r="F2951" i="9"/>
  <c r="E2951" i="9"/>
  <c r="F2950" i="9"/>
  <c r="E2950" i="9"/>
  <c r="F2949" i="9"/>
  <c r="E2949" i="9"/>
  <c r="F2948" i="9"/>
  <c r="E2948" i="9"/>
  <c r="F2947" i="9"/>
  <c r="E2947" i="9"/>
  <c r="F2946" i="9"/>
  <c r="E2946" i="9"/>
  <c r="F2945" i="9"/>
  <c r="E2945" i="9"/>
  <c r="F2944" i="9"/>
  <c r="E2944" i="9"/>
  <c r="F2943" i="9"/>
  <c r="E2943" i="9"/>
  <c r="F2942" i="9"/>
  <c r="E2942" i="9"/>
  <c r="F2941" i="9"/>
  <c r="E2941" i="9"/>
  <c r="F2940" i="9"/>
  <c r="E2940" i="9"/>
  <c r="F2939" i="9"/>
  <c r="E2939" i="9"/>
  <c r="F2938" i="9"/>
  <c r="E2938" i="9"/>
  <c r="F2937" i="9"/>
  <c r="E2937" i="9"/>
  <c r="F2936" i="9"/>
  <c r="E2936" i="9"/>
  <c r="F2935" i="9"/>
  <c r="E2935" i="9"/>
  <c r="F2934" i="9"/>
  <c r="E2934" i="9"/>
  <c r="F2933" i="9"/>
  <c r="E2933" i="9"/>
  <c r="F2932" i="9"/>
  <c r="E2932" i="9"/>
  <c r="F2931" i="9"/>
  <c r="E2931" i="9"/>
  <c r="F2930" i="9"/>
  <c r="E2930" i="9"/>
  <c r="F2929" i="9"/>
  <c r="E2929" i="9"/>
  <c r="F2928" i="9"/>
  <c r="E2928" i="9"/>
  <c r="F2927" i="9"/>
  <c r="E2927" i="9"/>
  <c r="F2926" i="9"/>
  <c r="E2926" i="9"/>
  <c r="F2925" i="9"/>
  <c r="E2925" i="9"/>
  <c r="F2924" i="9"/>
  <c r="E2924" i="9"/>
  <c r="F2923" i="9"/>
  <c r="E2923" i="9"/>
  <c r="F2922" i="9"/>
  <c r="E2922" i="9"/>
  <c r="F2921" i="9"/>
  <c r="E2921" i="9"/>
  <c r="F2920" i="9"/>
  <c r="E2920" i="9"/>
  <c r="F2919" i="9"/>
  <c r="E2919" i="9"/>
  <c r="F2918" i="9"/>
  <c r="E2918" i="9"/>
  <c r="F2917" i="9"/>
  <c r="E2917" i="9"/>
  <c r="F2916" i="9"/>
  <c r="E2916" i="9"/>
  <c r="F2915" i="9"/>
  <c r="E2915" i="9"/>
  <c r="F2914" i="9"/>
  <c r="E2914" i="9"/>
  <c r="F2913" i="9"/>
  <c r="E2913" i="9"/>
  <c r="F2912" i="9"/>
  <c r="E2912" i="9"/>
  <c r="F2911" i="9"/>
  <c r="E2911" i="9"/>
  <c r="F2910" i="9"/>
  <c r="E2910" i="9"/>
  <c r="F2909" i="9"/>
  <c r="E2909" i="9"/>
  <c r="F2908" i="9"/>
  <c r="E2908" i="9"/>
  <c r="F2907" i="9"/>
  <c r="E2907" i="9"/>
  <c r="F2906" i="9"/>
  <c r="E2906" i="9"/>
  <c r="F2905" i="9"/>
  <c r="E2905" i="9"/>
  <c r="F2904" i="9"/>
  <c r="E2904" i="9"/>
  <c r="F2903" i="9"/>
  <c r="E2903" i="9"/>
  <c r="F2902" i="9"/>
  <c r="E2902" i="9"/>
  <c r="F2901" i="9"/>
  <c r="E2901" i="9"/>
  <c r="F2900" i="9"/>
  <c r="E2900" i="9"/>
  <c r="F2899" i="9"/>
  <c r="E2899" i="9"/>
  <c r="F2898" i="9"/>
  <c r="E2898" i="9"/>
  <c r="F2897" i="9"/>
  <c r="E2897" i="9"/>
  <c r="F2896" i="9"/>
  <c r="E2896" i="9"/>
  <c r="F2895" i="9"/>
  <c r="E2895" i="9"/>
  <c r="F2894" i="9"/>
  <c r="E2894" i="9"/>
  <c r="F2893" i="9"/>
  <c r="E2893" i="9"/>
  <c r="F2892" i="9"/>
  <c r="E2892" i="9"/>
  <c r="F2891" i="9"/>
  <c r="E2891" i="9"/>
  <c r="F2890" i="9"/>
  <c r="E2890" i="9"/>
  <c r="F2889" i="9"/>
  <c r="E2889" i="9"/>
  <c r="F2888" i="9"/>
  <c r="E2888" i="9"/>
  <c r="F2887" i="9"/>
  <c r="E2887" i="9"/>
  <c r="F2886" i="9"/>
  <c r="E2886" i="9"/>
  <c r="F2885" i="9"/>
  <c r="E2885" i="9"/>
  <c r="F2884" i="9"/>
  <c r="E2884" i="9"/>
  <c r="F2883" i="9"/>
  <c r="E2883" i="9"/>
  <c r="F2882" i="9"/>
  <c r="E2882" i="9"/>
  <c r="F2881" i="9"/>
  <c r="E2881" i="9"/>
  <c r="F2880" i="9"/>
  <c r="E2880" i="9"/>
  <c r="F2879" i="9"/>
  <c r="E2879" i="9"/>
  <c r="F2878" i="9"/>
  <c r="E2878" i="9"/>
  <c r="F2877" i="9"/>
  <c r="E2877" i="9"/>
  <c r="F2876" i="9"/>
  <c r="E2876" i="9"/>
  <c r="F2875" i="9"/>
  <c r="E2875" i="9"/>
  <c r="F2874" i="9"/>
  <c r="E2874" i="9"/>
  <c r="F2873" i="9"/>
  <c r="E2873" i="9"/>
  <c r="F2872" i="9"/>
  <c r="E2872" i="9"/>
  <c r="F2871" i="9"/>
  <c r="E2871" i="9"/>
  <c r="F2870" i="9"/>
  <c r="E2870" i="9"/>
  <c r="F2869" i="9"/>
  <c r="E2869" i="9"/>
  <c r="F2868" i="9"/>
  <c r="E2868" i="9"/>
  <c r="F2867" i="9"/>
  <c r="E2867" i="9"/>
  <c r="F2866" i="9"/>
  <c r="E2866" i="9"/>
  <c r="F2865" i="9"/>
  <c r="E2865" i="9"/>
  <c r="F2864" i="9"/>
  <c r="E2864" i="9"/>
  <c r="F2863" i="9"/>
  <c r="E2863" i="9"/>
  <c r="F2862" i="9"/>
  <c r="E2862" i="9"/>
  <c r="F2861" i="9"/>
  <c r="E2861" i="9"/>
  <c r="F2860" i="9"/>
  <c r="E2860" i="9"/>
  <c r="F2859" i="9"/>
  <c r="E2859" i="9"/>
  <c r="F2858" i="9"/>
  <c r="E2858" i="9"/>
  <c r="F2857" i="9"/>
  <c r="E2857" i="9"/>
  <c r="F2856" i="9"/>
  <c r="E2856" i="9"/>
  <c r="F2855" i="9"/>
  <c r="E2855" i="9"/>
  <c r="F2854" i="9"/>
  <c r="E2854" i="9"/>
  <c r="F2853" i="9"/>
  <c r="E2853" i="9"/>
  <c r="F2852" i="9"/>
  <c r="E2852" i="9"/>
  <c r="F2851" i="9"/>
  <c r="E2851" i="9"/>
  <c r="F2850" i="9"/>
  <c r="E2850" i="9"/>
  <c r="F2849" i="9"/>
  <c r="E2849" i="9"/>
  <c r="F2848" i="9"/>
  <c r="E2848" i="9"/>
  <c r="F2847" i="9"/>
  <c r="E2847" i="9"/>
  <c r="F2846" i="9"/>
  <c r="E2846" i="9"/>
  <c r="F2845" i="9"/>
  <c r="E2845" i="9"/>
  <c r="F2844" i="9"/>
  <c r="E2844" i="9"/>
  <c r="F2843" i="9"/>
  <c r="E2843" i="9"/>
  <c r="F2842" i="9"/>
  <c r="E2842" i="9"/>
  <c r="F2841" i="9"/>
  <c r="E2841" i="9"/>
  <c r="F2840" i="9"/>
  <c r="E2840" i="9"/>
  <c r="F2839" i="9"/>
  <c r="E2839" i="9"/>
  <c r="F2838" i="9"/>
  <c r="E2838" i="9"/>
  <c r="F2837" i="9"/>
  <c r="E2837" i="9"/>
  <c r="F2836" i="9"/>
  <c r="E2836" i="9"/>
  <c r="F2835" i="9"/>
  <c r="E2835" i="9"/>
  <c r="F2834" i="9"/>
  <c r="E2834" i="9"/>
  <c r="F2833" i="9"/>
  <c r="E2833" i="9"/>
  <c r="F2832" i="9"/>
  <c r="E2832" i="9"/>
  <c r="F2831" i="9"/>
  <c r="E2831" i="9"/>
  <c r="F2830" i="9"/>
  <c r="E2830" i="9"/>
  <c r="F2829" i="9"/>
  <c r="E2829" i="9"/>
  <c r="F2828" i="9"/>
  <c r="E2828" i="9"/>
  <c r="F2827" i="9"/>
  <c r="E2827" i="9"/>
  <c r="F2826" i="9"/>
  <c r="E2826" i="9"/>
  <c r="F2825" i="9"/>
  <c r="E2825" i="9"/>
  <c r="F2824" i="9"/>
  <c r="E2824" i="9"/>
  <c r="F2823" i="9"/>
  <c r="E2823" i="9"/>
  <c r="F2822" i="9"/>
  <c r="E2822" i="9"/>
  <c r="F2821" i="9"/>
  <c r="E2821" i="9"/>
  <c r="F2820" i="9"/>
  <c r="E2820" i="9"/>
  <c r="F2819" i="9"/>
  <c r="E2819" i="9"/>
  <c r="F2818" i="9"/>
  <c r="E2818" i="9"/>
  <c r="F2817" i="9"/>
  <c r="E2817" i="9"/>
  <c r="F2816" i="9"/>
  <c r="E2816" i="9"/>
  <c r="F2815" i="9"/>
  <c r="E2815" i="9"/>
  <c r="F2814" i="9"/>
  <c r="E2814" i="9"/>
  <c r="F2813" i="9"/>
  <c r="E2813" i="9"/>
  <c r="F2812" i="9"/>
  <c r="E2812" i="9"/>
  <c r="F2811" i="9"/>
  <c r="E2811" i="9"/>
  <c r="F2810" i="9"/>
  <c r="E2810" i="9"/>
  <c r="F2809" i="9"/>
  <c r="E2809" i="9"/>
  <c r="F2808" i="9"/>
  <c r="E2808" i="9"/>
  <c r="F2807" i="9"/>
  <c r="E2807" i="9"/>
  <c r="F2806" i="9"/>
  <c r="E2806" i="9"/>
  <c r="F2805" i="9"/>
  <c r="E2805" i="9"/>
  <c r="F2804" i="9"/>
  <c r="E2804" i="9"/>
  <c r="F2803" i="9"/>
  <c r="E2803" i="9"/>
  <c r="F2802" i="9"/>
  <c r="E2802" i="9"/>
  <c r="F2801" i="9"/>
  <c r="E2801" i="9"/>
  <c r="F2800" i="9"/>
  <c r="E2800" i="9"/>
  <c r="F2799" i="9"/>
  <c r="E2799" i="9"/>
  <c r="F2798" i="9"/>
  <c r="E2798" i="9"/>
  <c r="F2797" i="9"/>
  <c r="E2797" i="9"/>
  <c r="F2796" i="9"/>
  <c r="E2796" i="9"/>
  <c r="F2795" i="9"/>
  <c r="E2795" i="9"/>
  <c r="F2794" i="9"/>
  <c r="E2794" i="9"/>
  <c r="F2793" i="9"/>
  <c r="E2793" i="9"/>
  <c r="F2792" i="9"/>
  <c r="E2792" i="9"/>
  <c r="F2791" i="9"/>
  <c r="E2791" i="9"/>
  <c r="F2790" i="9"/>
  <c r="E2790" i="9"/>
  <c r="F2789" i="9"/>
  <c r="E2789" i="9"/>
  <c r="F2788" i="9"/>
  <c r="E2788" i="9"/>
  <c r="F2787" i="9"/>
  <c r="E2787" i="9"/>
  <c r="F2786" i="9"/>
  <c r="E2786" i="9"/>
  <c r="F2785" i="9"/>
  <c r="E2785" i="9"/>
  <c r="F2784" i="9"/>
  <c r="E2784" i="9"/>
  <c r="F2783" i="9"/>
  <c r="E2783" i="9"/>
  <c r="F2782" i="9"/>
  <c r="E2782" i="9"/>
  <c r="F2781" i="9"/>
  <c r="E2781" i="9"/>
  <c r="F2780" i="9"/>
  <c r="E2780" i="9"/>
  <c r="F2779" i="9"/>
  <c r="E2779" i="9"/>
  <c r="F2778" i="9"/>
  <c r="E2778" i="9"/>
  <c r="F2777" i="9"/>
  <c r="E2777" i="9"/>
  <c r="F2776" i="9"/>
  <c r="E2776" i="9"/>
  <c r="F2775" i="9"/>
  <c r="E2775" i="9"/>
  <c r="F2774" i="9"/>
  <c r="E2774" i="9"/>
  <c r="F2773" i="9"/>
  <c r="E2773" i="9"/>
  <c r="F2772" i="9"/>
  <c r="E2772" i="9"/>
  <c r="F2771" i="9"/>
  <c r="E2771" i="9"/>
  <c r="F2770" i="9"/>
  <c r="E2770" i="9"/>
  <c r="F2769" i="9"/>
  <c r="E2769" i="9"/>
  <c r="F2768" i="9"/>
  <c r="E2768" i="9"/>
  <c r="F2767" i="9"/>
  <c r="E2767" i="9"/>
  <c r="F2766" i="9"/>
  <c r="E2766" i="9"/>
  <c r="F2765" i="9"/>
  <c r="E2765" i="9"/>
  <c r="F2764" i="9"/>
  <c r="E2764" i="9"/>
  <c r="F2763" i="9"/>
  <c r="E2763" i="9"/>
  <c r="F2762" i="9"/>
  <c r="E2762" i="9"/>
  <c r="F2761" i="9"/>
  <c r="E2761" i="9"/>
  <c r="F2760" i="9"/>
  <c r="E2760" i="9"/>
  <c r="F2759" i="9"/>
  <c r="E2759" i="9"/>
  <c r="F2758" i="9"/>
  <c r="E2758" i="9"/>
  <c r="F2757" i="9"/>
  <c r="E2757" i="9"/>
  <c r="F2756" i="9"/>
  <c r="E2756" i="9"/>
  <c r="F2755" i="9"/>
  <c r="E2755" i="9"/>
  <c r="F2754" i="9"/>
  <c r="E2754" i="9"/>
  <c r="F2753" i="9"/>
  <c r="E2753" i="9"/>
  <c r="F2752" i="9"/>
  <c r="E2752" i="9"/>
  <c r="F2751" i="9"/>
  <c r="E2751" i="9"/>
  <c r="F2750" i="9"/>
  <c r="E2750" i="9"/>
  <c r="F2749" i="9"/>
  <c r="E2749" i="9"/>
  <c r="F2748" i="9"/>
  <c r="E2748" i="9"/>
  <c r="F2747" i="9"/>
  <c r="E2747" i="9"/>
  <c r="F2746" i="9"/>
  <c r="E2746" i="9"/>
  <c r="F2745" i="9"/>
  <c r="E2745" i="9"/>
  <c r="F2744" i="9"/>
  <c r="E2744" i="9"/>
  <c r="F2743" i="9"/>
  <c r="E2743" i="9"/>
  <c r="F2742" i="9"/>
  <c r="E2742" i="9"/>
  <c r="F2741" i="9"/>
  <c r="E2741" i="9"/>
  <c r="F2740" i="9"/>
  <c r="E2740" i="9"/>
  <c r="F2739" i="9"/>
  <c r="E2739" i="9"/>
  <c r="F2738" i="9"/>
  <c r="E2738" i="9"/>
  <c r="F2737" i="9"/>
  <c r="E2737" i="9"/>
  <c r="F2736" i="9"/>
  <c r="E2736" i="9"/>
  <c r="F2735" i="9"/>
  <c r="E2735" i="9"/>
  <c r="F2734" i="9"/>
  <c r="E2734" i="9"/>
  <c r="F2733" i="9"/>
  <c r="E2733" i="9"/>
  <c r="F2732" i="9"/>
  <c r="E2732" i="9"/>
  <c r="F2731" i="9"/>
  <c r="E2731" i="9"/>
  <c r="F2730" i="9"/>
  <c r="E2730" i="9"/>
  <c r="F2729" i="9"/>
  <c r="E2729" i="9"/>
  <c r="F2728" i="9"/>
  <c r="E2728" i="9"/>
  <c r="F2727" i="9"/>
  <c r="E2727" i="9"/>
  <c r="F2726" i="9"/>
  <c r="E2726" i="9"/>
  <c r="F2725" i="9"/>
  <c r="E2725" i="9"/>
  <c r="F2724" i="9"/>
  <c r="E2724" i="9"/>
  <c r="F2723" i="9"/>
  <c r="E2723" i="9"/>
  <c r="F2722" i="9"/>
  <c r="E2722" i="9"/>
  <c r="F2721" i="9"/>
  <c r="E2721" i="9"/>
  <c r="F2720" i="9"/>
  <c r="E2720" i="9"/>
  <c r="F2719" i="9"/>
  <c r="E2719" i="9"/>
  <c r="F2718" i="9"/>
  <c r="E2718" i="9"/>
  <c r="F2717" i="9"/>
  <c r="E2717" i="9"/>
  <c r="F2716" i="9"/>
  <c r="E2716" i="9"/>
  <c r="F2715" i="9"/>
  <c r="E2715" i="9"/>
  <c r="F2714" i="9"/>
  <c r="E2714" i="9"/>
  <c r="F2713" i="9"/>
  <c r="E2713" i="9"/>
  <c r="F2712" i="9"/>
  <c r="E2712" i="9"/>
  <c r="F2711" i="9"/>
  <c r="E2711" i="9"/>
  <c r="F2710" i="9"/>
  <c r="E2710" i="9"/>
  <c r="F2709" i="9"/>
  <c r="E2709" i="9"/>
  <c r="F2708" i="9"/>
  <c r="E2708" i="9"/>
  <c r="F2707" i="9"/>
  <c r="E2707" i="9"/>
  <c r="F2706" i="9"/>
  <c r="E2706" i="9"/>
  <c r="F2705" i="9"/>
  <c r="E2705" i="9"/>
  <c r="F2704" i="9"/>
  <c r="E2704" i="9"/>
  <c r="F2703" i="9"/>
  <c r="E2703" i="9"/>
  <c r="F2702" i="9"/>
  <c r="E2702" i="9"/>
  <c r="F2701" i="9"/>
  <c r="E2701" i="9"/>
  <c r="F2700" i="9"/>
  <c r="E2700" i="9"/>
  <c r="F2699" i="9"/>
  <c r="E2699" i="9"/>
  <c r="F2698" i="9"/>
  <c r="E2698" i="9"/>
  <c r="F2697" i="9"/>
  <c r="E2697" i="9"/>
  <c r="F2696" i="9"/>
  <c r="E2696" i="9"/>
  <c r="F2695" i="9"/>
  <c r="E2695" i="9"/>
  <c r="F2694" i="9"/>
  <c r="E2694" i="9"/>
  <c r="F2693" i="9"/>
  <c r="E2693" i="9"/>
  <c r="F2692" i="9"/>
  <c r="E2692" i="9"/>
  <c r="F2691" i="9"/>
  <c r="E2691" i="9"/>
  <c r="F2690" i="9"/>
  <c r="E2690" i="9"/>
  <c r="F2689" i="9"/>
  <c r="E2689" i="9"/>
  <c r="F2688" i="9"/>
  <c r="E2688" i="9"/>
  <c r="F2687" i="9"/>
  <c r="E2687" i="9"/>
  <c r="F2686" i="9"/>
  <c r="E2686" i="9"/>
  <c r="F2685" i="9"/>
  <c r="E2685" i="9"/>
  <c r="F2684" i="9"/>
  <c r="E2684" i="9"/>
  <c r="F2683" i="9"/>
  <c r="E2683" i="9"/>
  <c r="F2682" i="9"/>
  <c r="E2682" i="9"/>
  <c r="F2681" i="9"/>
  <c r="E2681" i="9"/>
  <c r="F2680" i="9"/>
  <c r="E2680" i="9"/>
  <c r="F2679" i="9"/>
  <c r="E2679" i="9"/>
  <c r="F2678" i="9"/>
  <c r="E2678" i="9"/>
  <c r="F2677" i="9"/>
  <c r="E2677" i="9"/>
  <c r="F2676" i="9"/>
  <c r="E2676" i="9"/>
  <c r="F2675" i="9"/>
  <c r="E2675" i="9"/>
  <c r="F2674" i="9"/>
  <c r="E2674" i="9"/>
  <c r="F2673" i="9"/>
  <c r="E2673" i="9"/>
  <c r="F2672" i="9"/>
  <c r="E2672" i="9"/>
  <c r="F2671" i="9"/>
  <c r="E2671" i="9"/>
  <c r="F2670" i="9"/>
  <c r="E2670" i="9"/>
  <c r="F2669" i="9"/>
  <c r="E2669" i="9"/>
  <c r="F2668" i="9"/>
  <c r="E2668" i="9"/>
  <c r="F2667" i="9"/>
  <c r="E2667" i="9"/>
  <c r="F2666" i="9"/>
  <c r="E2666" i="9"/>
  <c r="F2665" i="9"/>
  <c r="E2665" i="9"/>
  <c r="F2664" i="9"/>
  <c r="E2664" i="9"/>
  <c r="F2663" i="9"/>
  <c r="E2663" i="9"/>
  <c r="F2662" i="9"/>
  <c r="E2662" i="9"/>
  <c r="F2661" i="9"/>
  <c r="E2661" i="9"/>
  <c r="F2660" i="9"/>
  <c r="E2660" i="9"/>
  <c r="F2659" i="9"/>
  <c r="E2659" i="9"/>
  <c r="F2658" i="9"/>
  <c r="E2658" i="9"/>
  <c r="F2657" i="9"/>
  <c r="E2657" i="9"/>
  <c r="F2656" i="9"/>
  <c r="E2656" i="9"/>
  <c r="F2655" i="9"/>
  <c r="E2655" i="9"/>
  <c r="F2654" i="9"/>
  <c r="E2654" i="9"/>
  <c r="F2653" i="9"/>
  <c r="E2653" i="9"/>
  <c r="F2652" i="9"/>
  <c r="E2652" i="9"/>
  <c r="F2651" i="9"/>
  <c r="E2651" i="9"/>
  <c r="F2650" i="9"/>
  <c r="E2650" i="9"/>
  <c r="F2649" i="9"/>
  <c r="E2649" i="9"/>
  <c r="F2648" i="9"/>
  <c r="E2648" i="9"/>
  <c r="F2647" i="9"/>
  <c r="E2647" i="9"/>
  <c r="F2646" i="9"/>
  <c r="E2646" i="9"/>
  <c r="F2645" i="9"/>
  <c r="E2645" i="9"/>
  <c r="F2644" i="9"/>
  <c r="E2644" i="9"/>
  <c r="F2643" i="9"/>
  <c r="E2643" i="9"/>
  <c r="F2642" i="9"/>
  <c r="E2642" i="9"/>
  <c r="F2641" i="9"/>
  <c r="E2641" i="9"/>
  <c r="F2640" i="9"/>
  <c r="E2640" i="9"/>
  <c r="F2639" i="9"/>
  <c r="E2639" i="9"/>
  <c r="F2638" i="9"/>
  <c r="E2638" i="9"/>
  <c r="F2637" i="9"/>
  <c r="E2637" i="9"/>
  <c r="F2636" i="9"/>
  <c r="E2636" i="9"/>
  <c r="F2635" i="9"/>
  <c r="E2635" i="9"/>
  <c r="F2634" i="9"/>
  <c r="E2634" i="9"/>
  <c r="F2633" i="9"/>
  <c r="E2633" i="9"/>
  <c r="F2632" i="9"/>
  <c r="E2632" i="9"/>
  <c r="F2631" i="9"/>
  <c r="E2631" i="9"/>
  <c r="F2630" i="9"/>
  <c r="E2630" i="9"/>
  <c r="F2629" i="9"/>
  <c r="E2629" i="9"/>
  <c r="F2628" i="9"/>
  <c r="E2628" i="9"/>
  <c r="F2627" i="9"/>
  <c r="E2627" i="9"/>
  <c r="F2626" i="9"/>
  <c r="E2626" i="9"/>
  <c r="F2625" i="9"/>
  <c r="E2625" i="9"/>
  <c r="F2624" i="9"/>
  <c r="E2624" i="9"/>
  <c r="F2623" i="9"/>
  <c r="E2623" i="9"/>
  <c r="F2622" i="9"/>
  <c r="E2622" i="9"/>
  <c r="F2621" i="9"/>
  <c r="E2621" i="9"/>
  <c r="F2620" i="9"/>
  <c r="E2620" i="9"/>
  <c r="F2619" i="9"/>
  <c r="E2619" i="9"/>
  <c r="F2618" i="9"/>
  <c r="E2618" i="9"/>
  <c r="F2617" i="9"/>
  <c r="E2617" i="9"/>
  <c r="F2616" i="9"/>
  <c r="E2616" i="9"/>
  <c r="F2615" i="9"/>
  <c r="E2615" i="9"/>
  <c r="F2614" i="9"/>
  <c r="E2614" i="9"/>
  <c r="F2613" i="9"/>
  <c r="E2613" i="9"/>
  <c r="F2612" i="9"/>
  <c r="E2612" i="9"/>
  <c r="F2611" i="9"/>
  <c r="E2611" i="9"/>
  <c r="F2610" i="9"/>
  <c r="E2610" i="9"/>
  <c r="F2609" i="9"/>
  <c r="E2609" i="9"/>
  <c r="F2608" i="9"/>
  <c r="E2608" i="9"/>
  <c r="F2607" i="9"/>
  <c r="E2607" i="9"/>
  <c r="F2606" i="9"/>
  <c r="E2606" i="9"/>
  <c r="F2605" i="9"/>
  <c r="E2605" i="9"/>
  <c r="F2604" i="9"/>
  <c r="E2604" i="9"/>
  <c r="F2603" i="9"/>
  <c r="E2603" i="9"/>
  <c r="F2602" i="9"/>
  <c r="E2602" i="9"/>
  <c r="F2601" i="9"/>
  <c r="E2601" i="9"/>
  <c r="F2600" i="9"/>
  <c r="E2600" i="9"/>
  <c r="F2599" i="9"/>
  <c r="E2599" i="9"/>
  <c r="F2598" i="9"/>
  <c r="E2598" i="9"/>
  <c r="F2597" i="9"/>
  <c r="E2597" i="9"/>
  <c r="F2596" i="9"/>
  <c r="E2596" i="9"/>
  <c r="F2595" i="9"/>
  <c r="E2595" i="9"/>
  <c r="F2594" i="9"/>
  <c r="E2594" i="9"/>
  <c r="F2593" i="9"/>
  <c r="E2593" i="9"/>
  <c r="F2592" i="9"/>
  <c r="E2592" i="9"/>
  <c r="F2591" i="9"/>
  <c r="E2591" i="9"/>
  <c r="F2590" i="9"/>
  <c r="E2590" i="9"/>
  <c r="F2589" i="9"/>
  <c r="E2589" i="9"/>
  <c r="F2588" i="9"/>
  <c r="E2588" i="9"/>
  <c r="F2587" i="9"/>
  <c r="E2587" i="9"/>
  <c r="F2586" i="9"/>
  <c r="E2586" i="9"/>
  <c r="F2585" i="9"/>
  <c r="E2585" i="9"/>
  <c r="F2584" i="9"/>
  <c r="E2584" i="9"/>
  <c r="F2583" i="9"/>
  <c r="E2583" i="9"/>
  <c r="F2582" i="9"/>
  <c r="E2582" i="9"/>
  <c r="F2581" i="9"/>
  <c r="E2581" i="9"/>
  <c r="F2580" i="9"/>
  <c r="E2580" i="9"/>
  <c r="F2579" i="9"/>
  <c r="E2579" i="9"/>
  <c r="F2578" i="9"/>
  <c r="E2578" i="9"/>
  <c r="F2577" i="9"/>
  <c r="E2577" i="9"/>
  <c r="F2576" i="9"/>
  <c r="E2576" i="9"/>
  <c r="F2575" i="9"/>
  <c r="E2575" i="9"/>
  <c r="F2574" i="9"/>
  <c r="E2574" i="9"/>
  <c r="F2573" i="9"/>
  <c r="E2573" i="9"/>
  <c r="F2572" i="9"/>
  <c r="E2572" i="9"/>
  <c r="F2571" i="9"/>
  <c r="E2571" i="9"/>
  <c r="F2570" i="9"/>
  <c r="E2570" i="9"/>
  <c r="F2569" i="9"/>
  <c r="E2569" i="9"/>
  <c r="F2568" i="9"/>
  <c r="E2568" i="9"/>
  <c r="F2567" i="9"/>
  <c r="E2567" i="9"/>
  <c r="F2566" i="9"/>
  <c r="E2566" i="9"/>
  <c r="F2565" i="9"/>
  <c r="E2565" i="9"/>
  <c r="F2564" i="9"/>
  <c r="E2564" i="9"/>
  <c r="F2563" i="9"/>
  <c r="E2563" i="9"/>
  <c r="F2562" i="9"/>
  <c r="E2562" i="9"/>
  <c r="F2561" i="9"/>
  <c r="E2561" i="9"/>
  <c r="F2560" i="9"/>
  <c r="E2560" i="9"/>
  <c r="F2559" i="9"/>
  <c r="E2559" i="9"/>
  <c r="F2558" i="9"/>
  <c r="E2558" i="9"/>
  <c r="F2557" i="9"/>
  <c r="E2557" i="9"/>
  <c r="F2556" i="9"/>
  <c r="E2556" i="9"/>
  <c r="F2555" i="9"/>
  <c r="E2555" i="9"/>
  <c r="F2554" i="9"/>
  <c r="E2554" i="9"/>
  <c r="F2553" i="9"/>
  <c r="E2553" i="9"/>
  <c r="F2552" i="9"/>
  <c r="E2552" i="9"/>
  <c r="F2551" i="9"/>
  <c r="E2551" i="9"/>
  <c r="F2550" i="9"/>
  <c r="E2550" i="9"/>
  <c r="F2549" i="9"/>
  <c r="E2549" i="9"/>
  <c r="F2548" i="9"/>
  <c r="E2548" i="9"/>
  <c r="F2547" i="9"/>
  <c r="E2547" i="9"/>
  <c r="F2546" i="9"/>
  <c r="E2546" i="9"/>
  <c r="F2545" i="9"/>
  <c r="E2545" i="9"/>
  <c r="F2544" i="9"/>
  <c r="E2544" i="9"/>
  <c r="F2543" i="9"/>
  <c r="E2543" i="9"/>
  <c r="F2542" i="9"/>
  <c r="E2542" i="9"/>
  <c r="F2541" i="9"/>
  <c r="E2541" i="9"/>
  <c r="F2540" i="9"/>
  <c r="E2540" i="9"/>
  <c r="F2539" i="9"/>
  <c r="E2539" i="9"/>
  <c r="F2538" i="9"/>
  <c r="E2538" i="9"/>
  <c r="F2537" i="9"/>
  <c r="E2537" i="9"/>
  <c r="F2536" i="9"/>
  <c r="E2536" i="9"/>
  <c r="F2535" i="9"/>
  <c r="E2535" i="9"/>
  <c r="F2534" i="9"/>
  <c r="E2534" i="9"/>
  <c r="F2533" i="9"/>
  <c r="E2533" i="9"/>
  <c r="F2532" i="9"/>
  <c r="E2532" i="9"/>
  <c r="F2531" i="9"/>
  <c r="E2531" i="9"/>
  <c r="F2530" i="9"/>
  <c r="E2530" i="9"/>
  <c r="F2529" i="9"/>
  <c r="E2529" i="9"/>
  <c r="F2528" i="9"/>
  <c r="E2528" i="9"/>
  <c r="F2527" i="9"/>
  <c r="E2527" i="9"/>
  <c r="F2526" i="9"/>
  <c r="E2526" i="9"/>
  <c r="F2525" i="9"/>
  <c r="E2525" i="9"/>
  <c r="F2524" i="9"/>
  <c r="E2524" i="9"/>
  <c r="F2523" i="9"/>
  <c r="E2523" i="9"/>
  <c r="F2522" i="9"/>
  <c r="E2522" i="9"/>
  <c r="F2521" i="9"/>
  <c r="E2521" i="9"/>
  <c r="F2520" i="9"/>
  <c r="E2520" i="9"/>
  <c r="F2519" i="9"/>
  <c r="E2519" i="9"/>
  <c r="F2518" i="9"/>
  <c r="E2518" i="9"/>
  <c r="F2517" i="9"/>
  <c r="E2517" i="9"/>
  <c r="F2516" i="9"/>
  <c r="E2516" i="9"/>
  <c r="F2515" i="9"/>
  <c r="E2515" i="9"/>
  <c r="F2514" i="9"/>
  <c r="E2514" i="9"/>
  <c r="F2513" i="9"/>
  <c r="E2513" i="9"/>
  <c r="F2512" i="9"/>
  <c r="E2512" i="9"/>
  <c r="F2511" i="9"/>
  <c r="E2511" i="9"/>
  <c r="F2510" i="9"/>
  <c r="E2510" i="9"/>
  <c r="F2509" i="9"/>
  <c r="E2509" i="9"/>
  <c r="F2508" i="9"/>
  <c r="E2508" i="9"/>
  <c r="F2507" i="9"/>
  <c r="E2507" i="9"/>
  <c r="F2506" i="9"/>
  <c r="E2506" i="9"/>
  <c r="F2505" i="9"/>
  <c r="E2505" i="9"/>
  <c r="F2504" i="9"/>
  <c r="E2504" i="9"/>
  <c r="F2503" i="9"/>
  <c r="E2503" i="9"/>
  <c r="F2502" i="9"/>
  <c r="E2502" i="9"/>
  <c r="F2501" i="9"/>
  <c r="E2501" i="9"/>
  <c r="F2500" i="9"/>
  <c r="E2500" i="9"/>
  <c r="F2499" i="9"/>
  <c r="E2499" i="9"/>
  <c r="F2498" i="9"/>
  <c r="E2498" i="9"/>
  <c r="F2497" i="9"/>
  <c r="E2497" i="9"/>
  <c r="F2496" i="9"/>
  <c r="E2496" i="9"/>
  <c r="F2495" i="9"/>
  <c r="E2495" i="9"/>
  <c r="F2494" i="9"/>
  <c r="E2494" i="9"/>
  <c r="F2493" i="9"/>
  <c r="E2493" i="9"/>
  <c r="F2492" i="9"/>
  <c r="E2492" i="9"/>
  <c r="F2491" i="9"/>
  <c r="E2491" i="9"/>
  <c r="F2490" i="9"/>
  <c r="E2490" i="9"/>
  <c r="F2489" i="9"/>
  <c r="E2489" i="9"/>
  <c r="F2488" i="9"/>
  <c r="E2488" i="9"/>
  <c r="F2487" i="9"/>
  <c r="E2487" i="9"/>
  <c r="F2486" i="9"/>
  <c r="E2486" i="9"/>
  <c r="F2485" i="9"/>
  <c r="E2485" i="9"/>
  <c r="F2484" i="9"/>
  <c r="E2484" i="9"/>
  <c r="F2483" i="9"/>
  <c r="E2483" i="9"/>
  <c r="F2482" i="9"/>
  <c r="E2482" i="9"/>
  <c r="F2481" i="9"/>
  <c r="E2481" i="9"/>
  <c r="F2480" i="9"/>
  <c r="E2480" i="9"/>
  <c r="F2479" i="9"/>
  <c r="E2479" i="9"/>
  <c r="F2478" i="9"/>
  <c r="E2478" i="9"/>
  <c r="F2477" i="9"/>
  <c r="E2477" i="9"/>
  <c r="F2476" i="9"/>
  <c r="E2476" i="9"/>
  <c r="F2475" i="9"/>
  <c r="E2475" i="9"/>
  <c r="F2474" i="9"/>
  <c r="E2474" i="9"/>
  <c r="F2473" i="9"/>
  <c r="E2473" i="9"/>
  <c r="F2472" i="9"/>
  <c r="E2472" i="9"/>
  <c r="F2471" i="9"/>
  <c r="E2471" i="9"/>
  <c r="F2470" i="9"/>
  <c r="E2470" i="9"/>
  <c r="F2469" i="9"/>
  <c r="E2469" i="9"/>
  <c r="F2468" i="9"/>
  <c r="E2468" i="9"/>
  <c r="F2467" i="9"/>
  <c r="E2467" i="9"/>
  <c r="F2466" i="9"/>
  <c r="E2466" i="9"/>
  <c r="F2465" i="9"/>
  <c r="E2465" i="9"/>
  <c r="F2464" i="9"/>
  <c r="E2464" i="9"/>
  <c r="F2463" i="9"/>
  <c r="E2463" i="9"/>
  <c r="F2462" i="9"/>
  <c r="E2462" i="9"/>
  <c r="F2461" i="9"/>
  <c r="E2461" i="9"/>
  <c r="F2460" i="9"/>
  <c r="E2460" i="9"/>
  <c r="F2459" i="9"/>
  <c r="E2459" i="9"/>
  <c r="F2458" i="9"/>
  <c r="E2458" i="9"/>
  <c r="F2457" i="9"/>
  <c r="E2457" i="9"/>
  <c r="F2456" i="9"/>
  <c r="E2456" i="9"/>
  <c r="F2455" i="9"/>
  <c r="E2455" i="9"/>
  <c r="F2454" i="9"/>
  <c r="E2454" i="9"/>
  <c r="F2453" i="9"/>
  <c r="E2453" i="9"/>
  <c r="F2452" i="9"/>
  <c r="E2452" i="9"/>
  <c r="F2451" i="9"/>
  <c r="E2451" i="9"/>
  <c r="F2450" i="9"/>
  <c r="E2450" i="9"/>
  <c r="F2449" i="9"/>
  <c r="E2449" i="9"/>
  <c r="F2448" i="9"/>
  <c r="E2448" i="9"/>
  <c r="F2447" i="9"/>
  <c r="E2447" i="9"/>
  <c r="F2446" i="9"/>
  <c r="E2446" i="9"/>
  <c r="F2445" i="9"/>
  <c r="E2445" i="9"/>
  <c r="F2444" i="9"/>
  <c r="E2444" i="9"/>
  <c r="F2443" i="9"/>
  <c r="E2443" i="9"/>
  <c r="F2442" i="9"/>
  <c r="E2442" i="9"/>
  <c r="F2441" i="9"/>
  <c r="E2441" i="9"/>
  <c r="F2440" i="9"/>
  <c r="E2440" i="9"/>
  <c r="F2439" i="9"/>
  <c r="E2439" i="9"/>
  <c r="F2438" i="9"/>
  <c r="E2438" i="9"/>
  <c r="F2437" i="9"/>
  <c r="E2437" i="9"/>
  <c r="F2436" i="9"/>
  <c r="E2436" i="9"/>
  <c r="F2435" i="9"/>
  <c r="E2435" i="9"/>
  <c r="F2434" i="9"/>
  <c r="E2434" i="9"/>
  <c r="F2433" i="9"/>
  <c r="E2433" i="9"/>
  <c r="F2432" i="9"/>
  <c r="E2432" i="9"/>
  <c r="F2431" i="9"/>
  <c r="E2431" i="9"/>
  <c r="F2430" i="9"/>
  <c r="E2430" i="9"/>
  <c r="F2429" i="9"/>
  <c r="E2429" i="9"/>
  <c r="F2428" i="9"/>
  <c r="E2428" i="9"/>
  <c r="F2427" i="9"/>
  <c r="E2427" i="9"/>
  <c r="F2426" i="9"/>
  <c r="E2426" i="9"/>
  <c r="F2425" i="9"/>
  <c r="E2425" i="9"/>
  <c r="F2424" i="9"/>
  <c r="E2424" i="9"/>
  <c r="F2423" i="9"/>
  <c r="E2423" i="9"/>
  <c r="F2422" i="9"/>
  <c r="E2422" i="9"/>
  <c r="F2421" i="9"/>
  <c r="E2421" i="9"/>
  <c r="F2420" i="9"/>
  <c r="E2420" i="9"/>
  <c r="F2419" i="9"/>
  <c r="E2419" i="9"/>
  <c r="F2418" i="9"/>
  <c r="E2418" i="9"/>
  <c r="F2417" i="9"/>
  <c r="E2417" i="9"/>
  <c r="F2416" i="9"/>
  <c r="E2416" i="9"/>
  <c r="F2415" i="9"/>
  <c r="E2415" i="9"/>
  <c r="F2414" i="9"/>
  <c r="E2414" i="9"/>
  <c r="F2413" i="9"/>
  <c r="E2413" i="9"/>
  <c r="F2412" i="9"/>
  <c r="E2412" i="9"/>
  <c r="F2411" i="9"/>
  <c r="E2411" i="9"/>
  <c r="F2410" i="9"/>
  <c r="E2410" i="9"/>
  <c r="F2409" i="9"/>
  <c r="E2409" i="9"/>
  <c r="F2408" i="9"/>
  <c r="E2408" i="9"/>
  <c r="F2407" i="9"/>
  <c r="E2407" i="9"/>
  <c r="F2406" i="9"/>
  <c r="E2406" i="9"/>
  <c r="F2405" i="9"/>
  <c r="E2405" i="9"/>
  <c r="F2404" i="9"/>
  <c r="E2404" i="9"/>
  <c r="F2403" i="9"/>
  <c r="E2403" i="9"/>
  <c r="F2402" i="9"/>
  <c r="E2402" i="9"/>
  <c r="F2401" i="9"/>
  <c r="E2401" i="9"/>
  <c r="F2400" i="9"/>
  <c r="E2400" i="9"/>
  <c r="F2399" i="9"/>
  <c r="E2399" i="9"/>
  <c r="F2398" i="9"/>
  <c r="E2398" i="9"/>
  <c r="F2397" i="9"/>
  <c r="E2397" i="9"/>
  <c r="F2396" i="9"/>
  <c r="E2396" i="9"/>
  <c r="F2395" i="9"/>
  <c r="E2395" i="9"/>
  <c r="F2394" i="9"/>
  <c r="E2394" i="9"/>
  <c r="F2393" i="9"/>
  <c r="E2393" i="9"/>
  <c r="F2392" i="9"/>
  <c r="E2392" i="9"/>
  <c r="F2391" i="9"/>
  <c r="E2391" i="9"/>
  <c r="F2390" i="9"/>
  <c r="E2390" i="9"/>
  <c r="F2389" i="9"/>
  <c r="E2389" i="9"/>
  <c r="F2388" i="9"/>
  <c r="E2388" i="9"/>
  <c r="F2387" i="9"/>
  <c r="E2387" i="9"/>
  <c r="F2386" i="9"/>
  <c r="E2386" i="9"/>
  <c r="F2385" i="9"/>
  <c r="E2385" i="9"/>
  <c r="F2384" i="9"/>
  <c r="E2384" i="9"/>
  <c r="F2383" i="9"/>
  <c r="E2383" i="9"/>
  <c r="F2382" i="9"/>
  <c r="E2382" i="9"/>
  <c r="F2381" i="9"/>
  <c r="E2381" i="9"/>
  <c r="F2380" i="9"/>
  <c r="E2380" i="9"/>
  <c r="F2379" i="9"/>
  <c r="E2379" i="9"/>
  <c r="F2378" i="9"/>
  <c r="E2378" i="9"/>
  <c r="F2377" i="9"/>
  <c r="E2377" i="9"/>
  <c r="F2376" i="9"/>
  <c r="E2376" i="9"/>
  <c r="F2375" i="9"/>
  <c r="E2375" i="9"/>
  <c r="F2374" i="9"/>
  <c r="E2374" i="9"/>
  <c r="F2373" i="9"/>
  <c r="E2373" i="9"/>
  <c r="F2372" i="9"/>
  <c r="E2372" i="9"/>
  <c r="F2371" i="9"/>
  <c r="E2371" i="9"/>
  <c r="F2370" i="9"/>
  <c r="E2370" i="9"/>
  <c r="F2369" i="9"/>
  <c r="E2369" i="9"/>
  <c r="F2368" i="9"/>
  <c r="E2368" i="9"/>
  <c r="F2367" i="9"/>
  <c r="E2367" i="9"/>
  <c r="F2366" i="9"/>
  <c r="E2366" i="9"/>
  <c r="F2365" i="9"/>
  <c r="E2365" i="9"/>
  <c r="F2364" i="9"/>
  <c r="E2364" i="9"/>
  <c r="F2363" i="9"/>
  <c r="E2363" i="9"/>
  <c r="F2362" i="9"/>
  <c r="E2362" i="9"/>
  <c r="F2361" i="9"/>
  <c r="E2361" i="9"/>
  <c r="F2360" i="9"/>
  <c r="E2360" i="9"/>
  <c r="F2359" i="9"/>
  <c r="E2359" i="9"/>
  <c r="F2358" i="9"/>
  <c r="E2358" i="9"/>
  <c r="F2357" i="9"/>
  <c r="E2357" i="9"/>
  <c r="F2356" i="9"/>
  <c r="E2356" i="9"/>
  <c r="F2355" i="9"/>
  <c r="E2355" i="9"/>
  <c r="F2354" i="9"/>
  <c r="E2354" i="9"/>
  <c r="F2353" i="9"/>
  <c r="E2353" i="9"/>
  <c r="F2352" i="9"/>
  <c r="E2352" i="9"/>
  <c r="F2351" i="9"/>
  <c r="E2351" i="9"/>
  <c r="F2350" i="9"/>
  <c r="E2350" i="9"/>
  <c r="F2349" i="9"/>
  <c r="E2349" i="9"/>
  <c r="F2348" i="9"/>
  <c r="E2348" i="9"/>
  <c r="F2347" i="9"/>
  <c r="E2347" i="9"/>
  <c r="F2346" i="9"/>
  <c r="E2346" i="9"/>
  <c r="F2345" i="9"/>
  <c r="E2345" i="9"/>
  <c r="F2344" i="9"/>
  <c r="E2344" i="9"/>
  <c r="F2343" i="9"/>
  <c r="E2343" i="9"/>
  <c r="F2342" i="9"/>
  <c r="E2342" i="9"/>
  <c r="F2341" i="9"/>
  <c r="E2341" i="9"/>
  <c r="F2340" i="9"/>
  <c r="E2340" i="9"/>
  <c r="F2339" i="9"/>
  <c r="E2339" i="9"/>
  <c r="F2338" i="9"/>
  <c r="E2338" i="9"/>
  <c r="F2337" i="9"/>
  <c r="E2337" i="9"/>
  <c r="F2336" i="9"/>
  <c r="E2336" i="9"/>
  <c r="F2335" i="9"/>
  <c r="E2335" i="9"/>
  <c r="F2334" i="9"/>
  <c r="E2334" i="9"/>
  <c r="F2333" i="9"/>
  <c r="E2333" i="9"/>
  <c r="F2332" i="9"/>
  <c r="E2332" i="9"/>
  <c r="F2331" i="9"/>
  <c r="E2331" i="9"/>
  <c r="F2330" i="9"/>
  <c r="E2330" i="9"/>
  <c r="F2329" i="9"/>
  <c r="E2329" i="9"/>
  <c r="F2328" i="9"/>
  <c r="E2328" i="9"/>
  <c r="F2327" i="9"/>
  <c r="E2327" i="9"/>
  <c r="F2326" i="9"/>
  <c r="E2326" i="9"/>
  <c r="F2325" i="9"/>
  <c r="E2325" i="9"/>
  <c r="F2324" i="9"/>
  <c r="E2324" i="9"/>
  <c r="F2323" i="9"/>
  <c r="E2323" i="9"/>
  <c r="F2322" i="9"/>
  <c r="E2322" i="9"/>
  <c r="F2321" i="9"/>
  <c r="E2321" i="9"/>
  <c r="F2320" i="9"/>
  <c r="E2320" i="9"/>
  <c r="F2319" i="9"/>
  <c r="E2319" i="9"/>
  <c r="F2318" i="9"/>
  <c r="E2318" i="9"/>
  <c r="F2317" i="9"/>
  <c r="E2317" i="9"/>
  <c r="F2316" i="9"/>
  <c r="E2316" i="9"/>
  <c r="F2315" i="9"/>
  <c r="E2315" i="9"/>
  <c r="F2314" i="9"/>
  <c r="E2314" i="9"/>
  <c r="F2313" i="9"/>
  <c r="E2313" i="9"/>
  <c r="F2312" i="9"/>
  <c r="E2312" i="9"/>
  <c r="F2311" i="9"/>
  <c r="E2311" i="9"/>
  <c r="F2310" i="9"/>
  <c r="E2310" i="9"/>
  <c r="F2309" i="9"/>
  <c r="E2309" i="9"/>
  <c r="F2308" i="9"/>
  <c r="E2308" i="9"/>
  <c r="F2307" i="9"/>
  <c r="E2307" i="9"/>
  <c r="F2306" i="9"/>
  <c r="E2306" i="9"/>
  <c r="F2305" i="9"/>
  <c r="E2305" i="9"/>
  <c r="F2304" i="9"/>
  <c r="E2304" i="9"/>
  <c r="F2303" i="9"/>
  <c r="E2303" i="9"/>
  <c r="F2302" i="9"/>
  <c r="E2302" i="9"/>
  <c r="F2301" i="9"/>
  <c r="E2301" i="9"/>
  <c r="F2300" i="9"/>
  <c r="E2300" i="9"/>
  <c r="F2299" i="9"/>
  <c r="E2299" i="9"/>
  <c r="F2298" i="9"/>
  <c r="E2298" i="9"/>
  <c r="F2297" i="9"/>
  <c r="E2297" i="9"/>
  <c r="F2296" i="9"/>
  <c r="E2296" i="9"/>
  <c r="F2295" i="9"/>
  <c r="E2295" i="9"/>
  <c r="F2294" i="9"/>
  <c r="E2294" i="9"/>
  <c r="F2293" i="9"/>
  <c r="E2293" i="9"/>
  <c r="F2292" i="9"/>
  <c r="E2292" i="9"/>
  <c r="F2291" i="9"/>
  <c r="E2291" i="9"/>
  <c r="F2290" i="9"/>
  <c r="E2290" i="9"/>
  <c r="F2289" i="9"/>
  <c r="E2289" i="9"/>
  <c r="F2288" i="9"/>
  <c r="E2288" i="9"/>
  <c r="F2287" i="9"/>
  <c r="E2287" i="9"/>
  <c r="F2286" i="9"/>
  <c r="E2286" i="9"/>
  <c r="F2285" i="9"/>
  <c r="E2285" i="9"/>
  <c r="F2284" i="9"/>
  <c r="E2284" i="9"/>
  <c r="F2283" i="9"/>
  <c r="E2283" i="9"/>
  <c r="F2282" i="9"/>
  <c r="E2282" i="9"/>
  <c r="F2281" i="9"/>
  <c r="E2281" i="9"/>
  <c r="F2280" i="9"/>
  <c r="E2280" i="9"/>
  <c r="F2279" i="9"/>
  <c r="E2279" i="9"/>
  <c r="F2278" i="9"/>
  <c r="E2278" i="9"/>
  <c r="F2277" i="9"/>
  <c r="E2277" i="9"/>
  <c r="F2276" i="9"/>
  <c r="E2276" i="9"/>
  <c r="F2275" i="9"/>
  <c r="E2275" i="9"/>
  <c r="F2274" i="9"/>
  <c r="E2274" i="9"/>
  <c r="F2273" i="9"/>
  <c r="E2273" i="9"/>
  <c r="F2272" i="9"/>
  <c r="E2272" i="9"/>
  <c r="F2271" i="9"/>
  <c r="E2271" i="9"/>
  <c r="F2270" i="9"/>
  <c r="E2270" i="9"/>
  <c r="F2269" i="9"/>
  <c r="E2269" i="9"/>
  <c r="F2268" i="9"/>
  <c r="E2268" i="9"/>
  <c r="F2267" i="9"/>
  <c r="E2267" i="9"/>
  <c r="F2266" i="9"/>
  <c r="E2266" i="9"/>
  <c r="F2265" i="9"/>
  <c r="E2265" i="9"/>
  <c r="F2264" i="9"/>
  <c r="E2264" i="9"/>
  <c r="F2263" i="9"/>
  <c r="E2263" i="9"/>
  <c r="F2262" i="9"/>
  <c r="E2262" i="9"/>
  <c r="F2261" i="9"/>
  <c r="E2261" i="9"/>
  <c r="F2260" i="9"/>
  <c r="E2260" i="9"/>
  <c r="F2259" i="9"/>
  <c r="E2259" i="9"/>
  <c r="F2258" i="9"/>
  <c r="E2258" i="9"/>
  <c r="F2257" i="9"/>
  <c r="E2257" i="9"/>
  <c r="F2256" i="9"/>
  <c r="E2256" i="9"/>
  <c r="F2255" i="9"/>
  <c r="E2255" i="9"/>
  <c r="F2254" i="9"/>
  <c r="E2254" i="9"/>
  <c r="F2253" i="9"/>
  <c r="E2253" i="9"/>
  <c r="F2252" i="9"/>
  <c r="E2252" i="9"/>
  <c r="F2251" i="9"/>
  <c r="E2251" i="9"/>
  <c r="F2250" i="9"/>
  <c r="E2250" i="9"/>
  <c r="F2249" i="9"/>
  <c r="E2249" i="9"/>
  <c r="F2248" i="9"/>
  <c r="E2248" i="9"/>
  <c r="F2247" i="9"/>
  <c r="E2247" i="9"/>
  <c r="F2246" i="9"/>
  <c r="E2246" i="9"/>
  <c r="F2245" i="9"/>
  <c r="E2245" i="9"/>
  <c r="F2244" i="9"/>
  <c r="E2244" i="9"/>
  <c r="F2243" i="9"/>
  <c r="E2243" i="9"/>
  <c r="F2242" i="9"/>
  <c r="E2242" i="9"/>
  <c r="F2241" i="9"/>
  <c r="E2241" i="9"/>
  <c r="F2240" i="9"/>
  <c r="E2240" i="9"/>
  <c r="F2239" i="9"/>
  <c r="E2239" i="9"/>
  <c r="F2238" i="9"/>
  <c r="E2238" i="9"/>
  <c r="F2237" i="9"/>
  <c r="E2237" i="9"/>
  <c r="F2236" i="9"/>
  <c r="E2236" i="9"/>
  <c r="F2235" i="9"/>
  <c r="E2235" i="9"/>
  <c r="F2234" i="9"/>
  <c r="E2234" i="9"/>
  <c r="F2233" i="9"/>
  <c r="E2233" i="9"/>
  <c r="F2232" i="9"/>
  <c r="E2232" i="9"/>
  <c r="F2231" i="9"/>
  <c r="E2231" i="9"/>
  <c r="F2230" i="9"/>
  <c r="E2230" i="9"/>
  <c r="F2229" i="9"/>
  <c r="E2229" i="9"/>
  <c r="F2228" i="9"/>
  <c r="E2228" i="9"/>
  <c r="F2227" i="9"/>
  <c r="E2227" i="9"/>
  <c r="F2226" i="9"/>
  <c r="E2226" i="9"/>
  <c r="F2225" i="9"/>
  <c r="E2225" i="9"/>
  <c r="F2224" i="9"/>
  <c r="E2224" i="9"/>
  <c r="F2223" i="9"/>
  <c r="E2223" i="9"/>
  <c r="F2222" i="9"/>
  <c r="E2222" i="9"/>
  <c r="F2221" i="9"/>
  <c r="E2221" i="9"/>
  <c r="F2220" i="9"/>
  <c r="E2220" i="9"/>
  <c r="F2219" i="9"/>
  <c r="E2219" i="9"/>
  <c r="F2218" i="9"/>
  <c r="E2218" i="9"/>
  <c r="F2217" i="9"/>
  <c r="E2217" i="9"/>
  <c r="F2216" i="9"/>
  <c r="E2216" i="9"/>
  <c r="F2215" i="9"/>
  <c r="E2215" i="9"/>
  <c r="F2214" i="9"/>
  <c r="E2214" i="9"/>
  <c r="F2213" i="9"/>
  <c r="E2213" i="9"/>
  <c r="F2212" i="9"/>
  <c r="E2212" i="9"/>
  <c r="F2211" i="9"/>
  <c r="E2211" i="9"/>
  <c r="F2210" i="9"/>
  <c r="E2210" i="9"/>
  <c r="F2209" i="9"/>
  <c r="E2209" i="9"/>
  <c r="F2208" i="9"/>
  <c r="E2208" i="9"/>
  <c r="F2207" i="9"/>
  <c r="E2207" i="9"/>
  <c r="F2206" i="9"/>
  <c r="E2206" i="9"/>
  <c r="F2205" i="9"/>
  <c r="E2205" i="9"/>
  <c r="F2204" i="9"/>
  <c r="E2204" i="9"/>
  <c r="F2203" i="9"/>
  <c r="E2203" i="9"/>
  <c r="F2202" i="9"/>
  <c r="E2202" i="9"/>
  <c r="F2201" i="9"/>
  <c r="E2201" i="9"/>
  <c r="F2200" i="9"/>
  <c r="E2200" i="9"/>
  <c r="F2199" i="9"/>
  <c r="E2199" i="9"/>
  <c r="F2198" i="9"/>
  <c r="E2198" i="9"/>
  <c r="F2197" i="9"/>
  <c r="E2197" i="9"/>
  <c r="F2196" i="9"/>
  <c r="E2196" i="9"/>
  <c r="F2195" i="9"/>
  <c r="E2195" i="9"/>
  <c r="F2194" i="9"/>
  <c r="E2194" i="9"/>
  <c r="F2193" i="9"/>
  <c r="E2193" i="9"/>
  <c r="F2192" i="9"/>
  <c r="E2192" i="9"/>
  <c r="F2191" i="9"/>
  <c r="E2191" i="9"/>
  <c r="F2190" i="9"/>
  <c r="E2190" i="9"/>
  <c r="F2189" i="9"/>
  <c r="E2189" i="9"/>
  <c r="F2188" i="9"/>
  <c r="E2188" i="9"/>
  <c r="F2187" i="9"/>
  <c r="E2187" i="9"/>
  <c r="F2186" i="9"/>
  <c r="E2186" i="9"/>
  <c r="F2185" i="9"/>
  <c r="E2185" i="9"/>
  <c r="F2184" i="9"/>
  <c r="E2184" i="9"/>
  <c r="F2183" i="9"/>
  <c r="E2183" i="9"/>
  <c r="F2182" i="9"/>
  <c r="E2182" i="9"/>
  <c r="F2181" i="9"/>
  <c r="E2181" i="9"/>
  <c r="F2180" i="9"/>
  <c r="E2180" i="9"/>
  <c r="F2179" i="9"/>
  <c r="E2179" i="9"/>
  <c r="F2178" i="9"/>
  <c r="E2178" i="9"/>
  <c r="F2177" i="9"/>
  <c r="E2177" i="9"/>
  <c r="F2176" i="9"/>
  <c r="E2176" i="9"/>
  <c r="F2175" i="9"/>
  <c r="E2175" i="9"/>
  <c r="F2174" i="9"/>
  <c r="E2174" i="9"/>
  <c r="F2173" i="9"/>
  <c r="E2173" i="9"/>
  <c r="F2172" i="9"/>
  <c r="E2172" i="9"/>
  <c r="F2171" i="9"/>
  <c r="E2171" i="9"/>
  <c r="F2170" i="9"/>
  <c r="E2170" i="9"/>
  <c r="F2169" i="9"/>
  <c r="E2169" i="9"/>
  <c r="F2168" i="9"/>
  <c r="E2168" i="9"/>
  <c r="F2167" i="9"/>
  <c r="E2167" i="9"/>
  <c r="F2166" i="9"/>
  <c r="E2166" i="9"/>
  <c r="F2165" i="9"/>
  <c r="E2165" i="9"/>
  <c r="F2164" i="9"/>
  <c r="E2164" i="9"/>
  <c r="F2163" i="9"/>
  <c r="E2163" i="9"/>
  <c r="F2162" i="9"/>
  <c r="E2162" i="9"/>
  <c r="F2161" i="9"/>
  <c r="E2161" i="9"/>
  <c r="F2160" i="9"/>
  <c r="E2160" i="9"/>
  <c r="F2159" i="9"/>
  <c r="E2159" i="9"/>
  <c r="F2158" i="9"/>
  <c r="E2158" i="9"/>
  <c r="F2157" i="9"/>
  <c r="E2157" i="9"/>
  <c r="F2156" i="9"/>
  <c r="E2156" i="9"/>
  <c r="F2155" i="9"/>
  <c r="E2155" i="9"/>
  <c r="F2154" i="9"/>
  <c r="E2154" i="9"/>
  <c r="F2153" i="9"/>
  <c r="E2153" i="9"/>
  <c r="F2152" i="9"/>
  <c r="E2152" i="9"/>
  <c r="F2151" i="9"/>
  <c r="E2151" i="9"/>
  <c r="F2150" i="9"/>
  <c r="E2150" i="9"/>
  <c r="F2149" i="9"/>
  <c r="E2149" i="9"/>
  <c r="F2148" i="9"/>
  <c r="E2148" i="9"/>
  <c r="F2147" i="9"/>
  <c r="E2147" i="9"/>
  <c r="F2146" i="9"/>
  <c r="E2146" i="9"/>
  <c r="F2145" i="9"/>
  <c r="E2145" i="9"/>
  <c r="F2144" i="9"/>
  <c r="E2144" i="9"/>
  <c r="F2143" i="9"/>
  <c r="E2143" i="9"/>
  <c r="F2142" i="9"/>
  <c r="E2142" i="9"/>
  <c r="F2141" i="9"/>
  <c r="E2141" i="9"/>
  <c r="F2140" i="9"/>
  <c r="E2140" i="9"/>
  <c r="F2139" i="9"/>
  <c r="E2139" i="9"/>
  <c r="F2138" i="9"/>
  <c r="E2138" i="9"/>
  <c r="F2137" i="9"/>
  <c r="E2137" i="9"/>
  <c r="F2136" i="9"/>
  <c r="E2136" i="9"/>
  <c r="F2135" i="9"/>
  <c r="E2135" i="9"/>
  <c r="F2134" i="9"/>
  <c r="E2134" i="9"/>
  <c r="F2133" i="9"/>
  <c r="E2133" i="9"/>
  <c r="F2132" i="9"/>
  <c r="E2132" i="9"/>
  <c r="F2131" i="9"/>
  <c r="E2131" i="9"/>
  <c r="F2130" i="9"/>
  <c r="E2130" i="9"/>
  <c r="F2129" i="9"/>
  <c r="E2129" i="9"/>
  <c r="F2128" i="9"/>
  <c r="E2128" i="9"/>
  <c r="F2127" i="9"/>
  <c r="E2127" i="9"/>
  <c r="F2126" i="9"/>
  <c r="E2126" i="9"/>
  <c r="F2125" i="9"/>
  <c r="E2125" i="9"/>
  <c r="F2124" i="9"/>
  <c r="E2124" i="9"/>
  <c r="F2123" i="9"/>
  <c r="E2123" i="9"/>
  <c r="F2122" i="9"/>
  <c r="E2122" i="9"/>
  <c r="F2121" i="9"/>
  <c r="E2121" i="9"/>
  <c r="F2120" i="9"/>
  <c r="E2120" i="9"/>
  <c r="F2119" i="9"/>
  <c r="E2119" i="9"/>
  <c r="F2118" i="9"/>
  <c r="E2118" i="9"/>
  <c r="F2117" i="9"/>
  <c r="E2117" i="9"/>
  <c r="F2116" i="9"/>
  <c r="E2116" i="9"/>
  <c r="F2115" i="9"/>
  <c r="E2115" i="9"/>
  <c r="F2114" i="9"/>
  <c r="E2114" i="9"/>
  <c r="F2113" i="9"/>
  <c r="E2113" i="9"/>
  <c r="F2112" i="9"/>
  <c r="E2112" i="9"/>
  <c r="F2111" i="9"/>
  <c r="E2111" i="9"/>
  <c r="F2110" i="9"/>
  <c r="E2110" i="9"/>
  <c r="F2109" i="9"/>
  <c r="E2109" i="9"/>
  <c r="F2108" i="9"/>
  <c r="E2108" i="9"/>
  <c r="F2107" i="9"/>
  <c r="E2107" i="9"/>
  <c r="F2106" i="9"/>
  <c r="E2106" i="9"/>
  <c r="F2105" i="9"/>
  <c r="E2105" i="9"/>
  <c r="F2104" i="9"/>
  <c r="E2104" i="9"/>
  <c r="F2103" i="9"/>
  <c r="E2103" i="9"/>
  <c r="F2102" i="9"/>
  <c r="E2102" i="9"/>
  <c r="F2101" i="9"/>
  <c r="E2101" i="9"/>
  <c r="F2100" i="9"/>
  <c r="E2100" i="9"/>
  <c r="F2099" i="9"/>
  <c r="E2099" i="9"/>
  <c r="F2098" i="9"/>
  <c r="E2098" i="9"/>
  <c r="F2097" i="9"/>
  <c r="E2097" i="9"/>
  <c r="F2096" i="9"/>
  <c r="E2096" i="9"/>
  <c r="F2095" i="9"/>
  <c r="E2095" i="9"/>
  <c r="F2094" i="9"/>
  <c r="E2094" i="9"/>
  <c r="F2093" i="9"/>
  <c r="E2093" i="9"/>
  <c r="F2092" i="9"/>
  <c r="E2092" i="9"/>
  <c r="F2091" i="9"/>
  <c r="E2091" i="9"/>
  <c r="F2090" i="9"/>
  <c r="E2090" i="9"/>
  <c r="F2089" i="9"/>
  <c r="E2089" i="9"/>
  <c r="F2088" i="9"/>
  <c r="E2088" i="9"/>
  <c r="F2087" i="9"/>
  <c r="E2087" i="9"/>
  <c r="F2086" i="9"/>
  <c r="E2086" i="9"/>
  <c r="F2085" i="9"/>
  <c r="E2085" i="9"/>
  <c r="F2084" i="9"/>
  <c r="E2084" i="9"/>
  <c r="F2083" i="9"/>
  <c r="E2083" i="9"/>
  <c r="F2082" i="9"/>
  <c r="E2082" i="9"/>
  <c r="F2081" i="9"/>
  <c r="E2081" i="9"/>
  <c r="F2080" i="9"/>
  <c r="E2080" i="9"/>
  <c r="F2079" i="9"/>
  <c r="E2079" i="9"/>
  <c r="F2078" i="9"/>
  <c r="E2078" i="9"/>
  <c r="F2077" i="9"/>
  <c r="E2077" i="9"/>
  <c r="F2076" i="9"/>
  <c r="E2076" i="9"/>
  <c r="F2075" i="9"/>
  <c r="E2075" i="9"/>
  <c r="F2074" i="9"/>
  <c r="E2074" i="9"/>
  <c r="F2073" i="9"/>
  <c r="E2073" i="9"/>
  <c r="F2072" i="9"/>
  <c r="E2072" i="9"/>
  <c r="F2071" i="9"/>
  <c r="E2071" i="9"/>
  <c r="F2070" i="9"/>
  <c r="E2070" i="9"/>
  <c r="F2069" i="9"/>
  <c r="E2069" i="9"/>
  <c r="F2068" i="9"/>
  <c r="E2068" i="9"/>
  <c r="F2067" i="9"/>
  <c r="E2067" i="9"/>
  <c r="F2066" i="9"/>
  <c r="E2066" i="9"/>
  <c r="F2065" i="9"/>
  <c r="E2065" i="9"/>
  <c r="F2064" i="9"/>
  <c r="E2064" i="9"/>
  <c r="F2063" i="9"/>
  <c r="E2063" i="9"/>
  <c r="F2062" i="9"/>
  <c r="E2062" i="9"/>
  <c r="F2061" i="9"/>
  <c r="E2061" i="9"/>
  <c r="F2060" i="9"/>
  <c r="E2060" i="9"/>
  <c r="F2059" i="9"/>
  <c r="E2059" i="9"/>
  <c r="F2058" i="9"/>
  <c r="E2058" i="9"/>
  <c r="F2057" i="9"/>
  <c r="E2057" i="9"/>
  <c r="F2056" i="9"/>
  <c r="E2056" i="9"/>
  <c r="F2055" i="9"/>
  <c r="E2055" i="9"/>
  <c r="F2054" i="9"/>
  <c r="E2054" i="9"/>
  <c r="F2053" i="9"/>
  <c r="E2053" i="9"/>
  <c r="F2052" i="9"/>
  <c r="E2052" i="9"/>
  <c r="F2051" i="9"/>
  <c r="E2051" i="9"/>
  <c r="F2050" i="9"/>
  <c r="E2050" i="9"/>
  <c r="F2049" i="9"/>
  <c r="E2049" i="9"/>
  <c r="F2048" i="9"/>
  <c r="E2048" i="9"/>
  <c r="F2047" i="9"/>
  <c r="E2047" i="9"/>
  <c r="F2046" i="9"/>
  <c r="E2046" i="9"/>
  <c r="F2045" i="9"/>
  <c r="E2045" i="9"/>
  <c r="F2044" i="9"/>
  <c r="E2044" i="9"/>
  <c r="F2043" i="9"/>
  <c r="E2043" i="9"/>
  <c r="F2042" i="9"/>
  <c r="E2042" i="9"/>
  <c r="F2041" i="9"/>
  <c r="E2041" i="9"/>
  <c r="F2040" i="9"/>
  <c r="E2040" i="9"/>
  <c r="F2039" i="9"/>
  <c r="E2039" i="9"/>
  <c r="F2038" i="9"/>
  <c r="E2038" i="9"/>
  <c r="F2037" i="9"/>
  <c r="E2037" i="9"/>
  <c r="F2036" i="9"/>
  <c r="E2036" i="9"/>
  <c r="F2035" i="9"/>
  <c r="E2035" i="9"/>
  <c r="F2034" i="9"/>
  <c r="E2034" i="9"/>
  <c r="F2033" i="9"/>
  <c r="E2033" i="9"/>
  <c r="F2032" i="9"/>
  <c r="E2032" i="9"/>
  <c r="F2031" i="9"/>
  <c r="E2031" i="9"/>
  <c r="F2030" i="9"/>
  <c r="E2030" i="9"/>
  <c r="F2029" i="9"/>
  <c r="E2029" i="9"/>
  <c r="F2028" i="9"/>
  <c r="E2028" i="9"/>
  <c r="F2027" i="9"/>
  <c r="E2027" i="9"/>
  <c r="F2026" i="9"/>
  <c r="E2026" i="9"/>
  <c r="F2025" i="9"/>
  <c r="E2025" i="9"/>
  <c r="F2024" i="9"/>
  <c r="E2024" i="9"/>
  <c r="F2023" i="9"/>
  <c r="E2023" i="9"/>
  <c r="F2022" i="9"/>
  <c r="E2022" i="9"/>
  <c r="F2021" i="9"/>
  <c r="E2021" i="9"/>
  <c r="F2020" i="9"/>
  <c r="E2020" i="9"/>
  <c r="F2019" i="9"/>
  <c r="E2019" i="9"/>
  <c r="F2018" i="9"/>
  <c r="E2018" i="9"/>
  <c r="F2017" i="9"/>
  <c r="E2017" i="9"/>
  <c r="F2016" i="9"/>
  <c r="E2016" i="9"/>
  <c r="F2015" i="9"/>
  <c r="E2015" i="9"/>
  <c r="F2014" i="9"/>
  <c r="E2014" i="9"/>
  <c r="F2013" i="9"/>
  <c r="E2013" i="9"/>
  <c r="F2012" i="9"/>
  <c r="E2012" i="9"/>
  <c r="F2011" i="9"/>
  <c r="E2011" i="9"/>
  <c r="F2010" i="9"/>
  <c r="E2010" i="9"/>
  <c r="F2009" i="9"/>
  <c r="E2009" i="9"/>
  <c r="F2008" i="9"/>
  <c r="E2008" i="9"/>
  <c r="F2007" i="9"/>
  <c r="E2007" i="9"/>
  <c r="F2006" i="9"/>
  <c r="E2006" i="9"/>
  <c r="F2005" i="9"/>
  <c r="E2005" i="9"/>
  <c r="F2004" i="9"/>
  <c r="E2004" i="9"/>
  <c r="F2003" i="9"/>
  <c r="E2003" i="9"/>
  <c r="F2002" i="9"/>
  <c r="E2002" i="9"/>
  <c r="F2001" i="9"/>
  <c r="E2001" i="9"/>
  <c r="F2000" i="9"/>
  <c r="E2000" i="9"/>
  <c r="F1999" i="9"/>
  <c r="E1999" i="9"/>
  <c r="F1998" i="9"/>
  <c r="E1998" i="9"/>
  <c r="F1997" i="9"/>
  <c r="E1997" i="9"/>
  <c r="F1996" i="9"/>
  <c r="E1996" i="9"/>
  <c r="F1995" i="9"/>
  <c r="E1995" i="9"/>
  <c r="F1994" i="9"/>
  <c r="E1994" i="9"/>
  <c r="F1993" i="9"/>
  <c r="E1993" i="9"/>
  <c r="F1992" i="9"/>
  <c r="E1992" i="9"/>
  <c r="F1991" i="9"/>
  <c r="E1991" i="9"/>
  <c r="F1990" i="9"/>
  <c r="E1990" i="9"/>
  <c r="F1989" i="9"/>
  <c r="E1989" i="9"/>
  <c r="F1988" i="9"/>
  <c r="E1988" i="9"/>
  <c r="F1987" i="9"/>
  <c r="E1987" i="9"/>
  <c r="F1986" i="9"/>
  <c r="E1986" i="9"/>
  <c r="F1985" i="9"/>
  <c r="E1985" i="9"/>
  <c r="F1984" i="9"/>
  <c r="E1984" i="9"/>
  <c r="F1983" i="9"/>
  <c r="E1983" i="9"/>
  <c r="F1982" i="9"/>
  <c r="E1982" i="9"/>
  <c r="F1981" i="9"/>
  <c r="E1981" i="9"/>
  <c r="F1980" i="9"/>
  <c r="E1980" i="9"/>
  <c r="F1979" i="9"/>
  <c r="E1979" i="9"/>
  <c r="F1978" i="9"/>
  <c r="E1978" i="9"/>
  <c r="F1977" i="9"/>
  <c r="E1977" i="9"/>
  <c r="F1976" i="9"/>
  <c r="E1976" i="9"/>
  <c r="F1975" i="9"/>
  <c r="E1975" i="9"/>
  <c r="F1974" i="9"/>
  <c r="E1974" i="9"/>
  <c r="F1973" i="9"/>
  <c r="E1973" i="9"/>
  <c r="F1972" i="9"/>
  <c r="E1972" i="9"/>
  <c r="F1971" i="9"/>
  <c r="E1971" i="9"/>
  <c r="F1970" i="9"/>
  <c r="E1970" i="9"/>
  <c r="F1969" i="9"/>
  <c r="E1969" i="9"/>
  <c r="F1968" i="9"/>
  <c r="E1968" i="9"/>
  <c r="F1967" i="9"/>
  <c r="E1967" i="9"/>
  <c r="F1966" i="9"/>
  <c r="E1966" i="9"/>
  <c r="F1965" i="9"/>
  <c r="E1965" i="9"/>
  <c r="F1964" i="9"/>
  <c r="E1964" i="9"/>
  <c r="F1963" i="9"/>
  <c r="E1963" i="9"/>
  <c r="F1962" i="9"/>
  <c r="E1962" i="9"/>
  <c r="F1961" i="9"/>
  <c r="E1961" i="9"/>
  <c r="F1960" i="9"/>
  <c r="E1960" i="9"/>
  <c r="F1959" i="9"/>
  <c r="E1959" i="9"/>
  <c r="F1958" i="9"/>
  <c r="E1958" i="9"/>
  <c r="F1957" i="9"/>
  <c r="E1957" i="9"/>
  <c r="F1956" i="9"/>
  <c r="E1956" i="9"/>
  <c r="F1955" i="9"/>
  <c r="E1955" i="9"/>
  <c r="F1954" i="9"/>
  <c r="E1954" i="9"/>
  <c r="F1953" i="9"/>
  <c r="E1953" i="9"/>
  <c r="F1952" i="9"/>
  <c r="E1952" i="9"/>
  <c r="F1951" i="9"/>
  <c r="E1951" i="9"/>
  <c r="F1950" i="9"/>
  <c r="E1950" i="9"/>
  <c r="F1949" i="9"/>
  <c r="E1949" i="9"/>
  <c r="F1948" i="9"/>
  <c r="E1948" i="9"/>
  <c r="F1947" i="9"/>
  <c r="E1947" i="9"/>
  <c r="F1946" i="9"/>
  <c r="E1946" i="9"/>
  <c r="F1945" i="9"/>
  <c r="E1945" i="9"/>
  <c r="F1944" i="9"/>
  <c r="E1944" i="9"/>
  <c r="F1943" i="9"/>
  <c r="E1943" i="9"/>
  <c r="F1942" i="9"/>
  <c r="E1942" i="9"/>
  <c r="F1941" i="9"/>
  <c r="E1941" i="9"/>
  <c r="F1940" i="9"/>
  <c r="E1940" i="9"/>
  <c r="F1939" i="9"/>
  <c r="E1939" i="9"/>
  <c r="F1938" i="9"/>
  <c r="E1938" i="9"/>
  <c r="F1937" i="9"/>
  <c r="E1937" i="9"/>
  <c r="F1936" i="9"/>
  <c r="E1936" i="9"/>
  <c r="F1935" i="9"/>
  <c r="E1935" i="9"/>
  <c r="F1934" i="9"/>
  <c r="E1934" i="9"/>
  <c r="F1933" i="9"/>
  <c r="E1933" i="9"/>
  <c r="F1932" i="9"/>
  <c r="E1932" i="9"/>
  <c r="F1931" i="9"/>
  <c r="E1931" i="9"/>
  <c r="F1930" i="9"/>
  <c r="E1930" i="9"/>
  <c r="F1929" i="9"/>
  <c r="E1929" i="9"/>
  <c r="F1928" i="9"/>
  <c r="E1928" i="9"/>
  <c r="F1927" i="9"/>
  <c r="E1927" i="9"/>
  <c r="F1926" i="9"/>
  <c r="E1926" i="9"/>
  <c r="F1925" i="9"/>
  <c r="E1925" i="9"/>
  <c r="F1924" i="9"/>
  <c r="E1924" i="9"/>
  <c r="F1923" i="9"/>
  <c r="E1923" i="9"/>
  <c r="F1922" i="9"/>
  <c r="E1922" i="9"/>
  <c r="F1921" i="9"/>
  <c r="E1921" i="9"/>
  <c r="F1920" i="9"/>
  <c r="E1920" i="9"/>
  <c r="F1919" i="9"/>
  <c r="E1919" i="9"/>
  <c r="F1918" i="9"/>
  <c r="E1918" i="9"/>
  <c r="F1917" i="9"/>
  <c r="E1917" i="9"/>
  <c r="F1916" i="9"/>
  <c r="E1916" i="9"/>
  <c r="F1915" i="9"/>
  <c r="E1915" i="9"/>
  <c r="F1914" i="9"/>
  <c r="E1914" i="9"/>
  <c r="F1913" i="9"/>
  <c r="E1913" i="9"/>
  <c r="F1912" i="9"/>
  <c r="E1912" i="9"/>
  <c r="F1911" i="9"/>
  <c r="E1911" i="9"/>
  <c r="F1910" i="9"/>
  <c r="E1910" i="9"/>
  <c r="F1909" i="9"/>
  <c r="E1909" i="9"/>
  <c r="F1908" i="9"/>
  <c r="E1908" i="9"/>
  <c r="F1907" i="9"/>
  <c r="E1907" i="9"/>
  <c r="F1906" i="9"/>
  <c r="E1906" i="9"/>
  <c r="F1905" i="9"/>
  <c r="E1905" i="9"/>
  <c r="F1904" i="9"/>
  <c r="E1904" i="9"/>
  <c r="F1903" i="9"/>
  <c r="E1903" i="9"/>
  <c r="F1902" i="9"/>
  <c r="E1902" i="9"/>
  <c r="F1901" i="9"/>
  <c r="E1901" i="9"/>
  <c r="F1900" i="9"/>
  <c r="E1900" i="9"/>
  <c r="F1899" i="9"/>
  <c r="E1899" i="9"/>
  <c r="F1898" i="9"/>
  <c r="E1898" i="9"/>
  <c r="F1897" i="9"/>
  <c r="E1897" i="9"/>
  <c r="F1896" i="9"/>
  <c r="E1896" i="9"/>
  <c r="F1895" i="9"/>
  <c r="E1895" i="9"/>
  <c r="F1894" i="9"/>
  <c r="E1894" i="9"/>
  <c r="F1893" i="9"/>
  <c r="E1893" i="9"/>
  <c r="F1892" i="9"/>
  <c r="E1892" i="9"/>
  <c r="F1891" i="9"/>
  <c r="E1891" i="9"/>
  <c r="F1890" i="9"/>
  <c r="E1890" i="9"/>
  <c r="F1889" i="9"/>
  <c r="E1889" i="9"/>
  <c r="F1888" i="9"/>
  <c r="E1888" i="9"/>
  <c r="F1887" i="9"/>
  <c r="E1887" i="9"/>
  <c r="F1886" i="9"/>
  <c r="E1886" i="9"/>
  <c r="F1885" i="9"/>
  <c r="E1885" i="9"/>
  <c r="F1884" i="9"/>
  <c r="E1884" i="9"/>
  <c r="F1883" i="9"/>
  <c r="E1883" i="9"/>
  <c r="F1882" i="9"/>
  <c r="E1882" i="9"/>
  <c r="F1881" i="9"/>
  <c r="E1881" i="9"/>
  <c r="F1880" i="9"/>
  <c r="E1880" i="9"/>
  <c r="F1879" i="9"/>
  <c r="E1879" i="9"/>
  <c r="F1878" i="9"/>
  <c r="E1878" i="9"/>
  <c r="F1877" i="9"/>
  <c r="E1877" i="9"/>
  <c r="F1876" i="9"/>
  <c r="E1876" i="9"/>
  <c r="F1875" i="9"/>
  <c r="E1875" i="9"/>
  <c r="F1874" i="9"/>
  <c r="E1874" i="9"/>
  <c r="F1873" i="9"/>
  <c r="E1873" i="9"/>
  <c r="F1872" i="9"/>
  <c r="E1872" i="9"/>
  <c r="F1871" i="9"/>
  <c r="E1871" i="9"/>
  <c r="F1870" i="9"/>
  <c r="E1870" i="9"/>
  <c r="F1869" i="9"/>
  <c r="E1869" i="9"/>
  <c r="F1868" i="9"/>
  <c r="E1868" i="9"/>
  <c r="F1867" i="9"/>
  <c r="E1867" i="9"/>
  <c r="F1866" i="9"/>
  <c r="E1866" i="9"/>
  <c r="F1865" i="9"/>
  <c r="E1865" i="9"/>
  <c r="F1864" i="9"/>
  <c r="E1864" i="9"/>
  <c r="F1863" i="9"/>
  <c r="E1863" i="9"/>
  <c r="F1862" i="9"/>
  <c r="E1862" i="9"/>
  <c r="F1861" i="9"/>
  <c r="E1861" i="9"/>
  <c r="F1860" i="9"/>
  <c r="E1860" i="9"/>
  <c r="F1859" i="9"/>
  <c r="E1859" i="9"/>
  <c r="F1858" i="9"/>
  <c r="E1858" i="9"/>
  <c r="F1857" i="9"/>
  <c r="E1857" i="9"/>
  <c r="F1856" i="9"/>
  <c r="E1856" i="9"/>
  <c r="F1855" i="9"/>
  <c r="E1855" i="9"/>
  <c r="F1854" i="9"/>
  <c r="E1854" i="9"/>
  <c r="F1853" i="9"/>
  <c r="E1853" i="9"/>
  <c r="F1852" i="9"/>
  <c r="E1852" i="9"/>
  <c r="F1851" i="9"/>
  <c r="E1851" i="9"/>
  <c r="F1850" i="9"/>
  <c r="E1850" i="9"/>
  <c r="F1849" i="9"/>
  <c r="E1849" i="9"/>
  <c r="F1848" i="9"/>
  <c r="E1848" i="9"/>
  <c r="F1847" i="9"/>
  <c r="E1847" i="9"/>
  <c r="F1846" i="9"/>
  <c r="E1846" i="9"/>
  <c r="F1845" i="9"/>
  <c r="E1845" i="9"/>
  <c r="F1844" i="9"/>
  <c r="E1844" i="9"/>
  <c r="F1843" i="9"/>
  <c r="E1843" i="9"/>
  <c r="F1842" i="9"/>
  <c r="E1842" i="9"/>
  <c r="F1841" i="9"/>
  <c r="E1841" i="9"/>
  <c r="F1840" i="9"/>
  <c r="E1840" i="9"/>
  <c r="F1839" i="9"/>
  <c r="E1839" i="9"/>
  <c r="F1838" i="9"/>
  <c r="E1838" i="9"/>
  <c r="F1837" i="9"/>
  <c r="E1837" i="9"/>
  <c r="F1836" i="9"/>
  <c r="E1836" i="9"/>
  <c r="F1835" i="9"/>
  <c r="E1835" i="9"/>
  <c r="F1834" i="9"/>
  <c r="E1834" i="9"/>
  <c r="F1833" i="9"/>
  <c r="E1833" i="9"/>
  <c r="F1832" i="9"/>
  <c r="E1832" i="9"/>
  <c r="F1831" i="9"/>
  <c r="E1831" i="9"/>
  <c r="F1830" i="9"/>
  <c r="E1830" i="9"/>
  <c r="F1829" i="9"/>
  <c r="E1829" i="9"/>
  <c r="F1828" i="9"/>
  <c r="E1828" i="9"/>
  <c r="F1827" i="9"/>
  <c r="E1827" i="9"/>
  <c r="F1826" i="9"/>
  <c r="E1826" i="9"/>
  <c r="F1825" i="9"/>
  <c r="E1825" i="9"/>
  <c r="F1824" i="9"/>
  <c r="E1824" i="9"/>
  <c r="F1823" i="9"/>
  <c r="E1823" i="9"/>
  <c r="F1822" i="9"/>
  <c r="E1822" i="9"/>
  <c r="F1821" i="9"/>
  <c r="E1821" i="9"/>
  <c r="F1820" i="9"/>
  <c r="E1820" i="9"/>
  <c r="F1819" i="9"/>
  <c r="E1819" i="9"/>
  <c r="F1818" i="9"/>
  <c r="E1818" i="9"/>
  <c r="F1817" i="9"/>
  <c r="E1817" i="9"/>
  <c r="F1816" i="9"/>
  <c r="E1816" i="9"/>
  <c r="F1815" i="9"/>
  <c r="E1815" i="9"/>
  <c r="F1814" i="9"/>
  <c r="E1814" i="9"/>
  <c r="F1813" i="9"/>
  <c r="E1813" i="9"/>
  <c r="F1812" i="9"/>
  <c r="E1812" i="9"/>
  <c r="F1811" i="9"/>
  <c r="E1811" i="9"/>
  <c r="F1810" i="9"/>
  <c r="E1810" i="9"/>
  <c r="F1809" i="9"/>
  <c r="E1809" i="9"/>
  <c r="F1808" i="9"/>
  <c r="E1808" i="9"/>
  <c r="F1807" i="9"/>
  <c r="E1807" i="9"/>
  <c r="F1806" i="9"/>
  <c r="E1806" i="9"/>
  <c r="F1805" i="9"/>
  <c r="E1805" i="9"/>
  <c r="F1804" i="9"/>
  <c r="E1804" i="9"/>
  <c r="F1803" i="9"/>
  <c r="E1803" i="9"/>
  <c r="F1802" i="9"/>
  <c r="E1802" i="9"/>
  <c r="F1801" i="9"/>
  <c r="E1801" i="9"/>
  <c r="F1800" i="9"/>
  <c r="E1800" i="9"/>
  <c r="F1799" i="9"/>
  <c r="E1799" i="9"/>
  <c r="F1798" i="9"/>
  <c r="E1798" i="9"/>
  <c r="F1797" i="9"/>
  <c r="E1797" i="9"/>
  <c r="F1796" i="9"/>
  <c r="E1796" i="9"/>
  <c r="F1795" i="9"/>
  <c r="E1795" i="9"/>
  <c r="F1794" i="9"/>
  <c r="E1794" i="9"/>
  <c r="F1793" i="9"/>
  <c r="E1793" i="9"/>
  <c r="F1792" i="9"/>
  <c r="E1792" i="9"/>
  <c r="F1791" i="9"/>
  <c r="E1791" i="9"/>
  <c r="F1790" i="9"/>
  <c r="E1790" i="9"/>
  <c r="F1789" i="9"/>
  <c r="E1789" i="9"/>
  <c r="F1788" i="9"/>
  <c r="E1788" i="9"/>
  <c r="F1787" i="9"/>
  <c r="E1787" i="9"/>
  <c r="F1786" i="9"/>
  <c r="E1786" i="9"/>
  <c r="F1785" i="9"/>
  <c r="E1785" i="9"/>
  <c r="F1784" i="9"/>
  <c r="E1784" i="9"/>
  <c r="F1783" i="9"/>
  <c r="E1783" i="9"/>
  <c r="F1782" i="9"/>
  <c r="E1782" i="9"/>
  <c r="F1781" i="9"/>
  <c r="E1781" i="9"/>
  <c r="F1780" i="9"/>
  <c r="E1780" i="9"/>
  <c r="F1779" i="9"/>
  <c r="E1779" i="9"/>
  <c r="F1778" i="9"/>
  <c r="E1778" i="9"/>
  <c r="F1777" i="9"/>
  <c r="E1777" i="9"/>
  <c r="F1776" i="9"/>
  <c r="E1776" i="9"/>
  <c r="F1775" i="9"/>
  <c r="E1775" i="9"/>
  <c r="F1774" i="9"/>
  <c r="E1774" i="9"/>
  <c r="F1773" i="9"/>
  <c r="E1773" i="9"/>
  <c r="F1772" i="9"/>
  <c r="E1772" i="9"/>
  <c r="F1771" i="9"/>
  <c r="E1771" i="9"/>
  <c r="F1770" i="9"/>
  <c r="E1770" i="9"/>
  <c r="F1769" i="9"/>
  <c r="E1769" i="9"/>
  <c r="F1768" i="9"/>
  <c r="E1768" i="9"/>
  <c r="F1767" i="9"/>
  <c r="E1767" i="9"/>
  <c r="F1766" i="9"/>
  <c r="E1766" i="9"/>
  <c r="F1765" i="9"/>
  <c r="E1765" i="9"/>
  <c r="F1764" i="9"/>
  <c r="E1764" i="9"/>
  <c r="F1763" i="9"/>
  <c r="E1763" i="9"/>
  <c r="F1762" i="9"/>
  <c r="E1762" i="9"/>
  <c r="F1761" i="9"/>
  <c r="E1761" i="9"/>
  <c r="F1760" i="9"/>
  <c r="E1760" i="9"/>
  <c r="F1759" i="9"/>
  <c r="E1759" i="9"/>
  <c r="F1758" i="9"/>
  <c r="E1758" i="9"/>
  <c r="F1757" i="9"/>
  <c r="E1757" i="9"/>
  <c r="F1756" i="9"/>
  <c r="E1756" i="9"/>
  <c r="F1755" i="9"/>
  <c r="E1755" i="9"/>
  <c r="F1754" i="9"/>
  <c r="E1754" i="9"/>
  <c r="F1753" i="9"/>
  <c r="E1753" i="9"/>
  <c r="F1752" i="9"/>
  <c r="E1752" i="9"/>
  <c r="F1751" i="9"/>
  <c r="E1751" i="9"/>
  <c r="F1750" i="9"/>
  <c r="E1750" i="9"/>
  <c r="F1749" i="9"/>
  <c r="E1749" i="9"/>
  <c r="F1748" i="9"/>
  <c r="E1748" i="9"/>
  <c r="F1747" i="9"/>
  <c r="E1747" i="9"/>
  <c r="F1746" i="9"/>
  <c r="E1746" i="9"/>
  <c r="F1745" i="9"/>
  <c r="E1745" i="9"/>
  <c r="F1744" i="9"/>
  <c r="E1744" i="9"/>
  <c r="F1743" i="9"/>
  <c r="E1743" i="9"/>
  <c r="F1742" i="9"/>
  <c r="E1742" i="9"/>
  <c r="F1741" i="9"/>
  <c r="E1741" i="9"/>
  <c r="F1740" i="9"/>
  <c r="E1740" i="9"/>
  <c r="F1739" i="9"/>
  <c r="E1739" i="9"/>
  <c r="F1738" i="9"/>
  <c r="E1738" i="9"/>
  <c r="F1737" i="9"/>
  <c r="E1737" i="9"/>
  <c r="F1736" i="9"/>
  <c r="E1736" i="9"/>
  <c r="F1735" i="9"/>
  <c r="E1735" i="9"/>
  <c r="F1734" i="9"/>
  <c r="E1734" i="9"/>
  <c r="F1733" i="9"/>
  <c r="E1733" i="9"/>
  <c r="F1732" i="9"/>
  <c r="E1732" i="9"/>
  <c r="F1731" i="9"/>
  <c r="E1731" i="9"/>
  <c r="F1730" i="9"/>
  <c r="E1730" i="9"/>
  <c r="F1729" i="9"/>
  <c r="E1729" i="9"/>
  <c r="F1728" i="9"/>
  <c r="E1728" i="9"/>
  <c r="F1727" i="9"/>
  <c r="E1727" i="9"/>
  <c r="F1726" i="9"/>
  <c r="E1726" i="9"/>
  <c r="F1725" i="9"/>
  <c r="E1725" i="9"/>
  <c r="F1724" i="9"/>
  <c r="E1724" i="9"/>
  <c r="F1723" i="9"/>
  <c r="E1723" i="9"/>
  <c r="F1722" i="9"/>
  <c r="E1722" i="9"/>
  <c r="F1721" i="9"/>
  <c r="E1721" i="9"/>
  <c r="F1720" i="9"/>
  <c r="E1720" i="9"/>
  <c r="F1719" i="9"/>
  <c r="E1719" i="9"/>
  <c r="F1718" i="9"/>
  <c r="E1718" i="9"/>
  <c r="F1717" i="9"/>
  <c r="E1717" i="9"/>
  <c r="F1716" i="9"/>
  <c r="E1716" i="9"/>
  <c r="F1715" i="9"/>
  <c r="E1715" i="9"/>
  <c r="F1714" i="9"/>
  <c r="E1714" i="9"/>
  <c r="F1713" i="9"/>
  <c r="E1713" i="9"/>
  <c r="F1712" i="9"/>
  <c r="E1712" i="9"/>
  <c r="F1711" i="9"/>
  <c r="E1711" i="9"/>
  <c r="F1710" i="9"/>
  <c r="E1710" i="9"/>
  <c r="F1709" i="9"/>
  <c r="E1709" i="9"/>
  <c r="F1708" i="9"/>
  <c r="E1708" i="9"/>
  <c r="F1707" i="9"/>
  <c r="E1707" i="9"/>
  <c r="F1706" i="9"/>
  <c r="E1706" i="9"/>
  <c r="F1705" i="9"/>
  <c r="E1705" i="9"/>
  <c r="F1704" i="9"/>
  <c r="E1704" i="9"/>
  <c r="F1703" i="9"/>
  <c r="E1703" i="9"/>
  <c r="F1702" i="9"/>
  <c r="E1702" i="9"/>
  <c r="F1701" i="9"/>
  <c r="E1701" i="9"/>
  <c r="F1700" i="9"/>
  <c r="E1700" i="9"/>
  <c r="F1699" i="9"/>
  <c r="E1699" i="9"/>
  <c r="F1698" i="9"/>
  <c r="E1698" i="9"/>
  <c r="F1697" i="9"/>
  <c r="E1697" i="9"/>
  <c r="F1696" i="9"/>
  <c r="E1696" i="9"/>
  <c r="F1695" i="9"/>
  <c r="E1695" i="9"/>
  <c r="F1694" i="9"/>
  <c r="E1694" i="9"/>
  <c r="F1693" i="9"/>
  <c r="E1693" i="9"/>
  <c r="F1692" i="9"/>
  <c r="E1692" i="9"/>
  <c r="F1691" i="9"/>
  <c r="E1691" i="9"/>
  <c r="F1690" i="9"/>
  <c r="E1690" i="9"/>
  <c r="F1689" i="9"/>
  <c r="E1689" i="9"/>
  <c r="F1688" i="9"/>
  <c r="E1688" i="9"/>
  <c r="F1687" i="9"/>
  <c r="E1687" i="9"/>
  <c r="F1686" i="9"/>
  <c r="E1686" i="9"/>
  <c r="F1685" i="9"/>
  <c r="E1685" i="9"/>
  <c r="F1684" i="9"/>
  <c r="E1684" i="9"/>
  <c r="F1683" i="9"/>
  <c r="E1683" i="9"/>
  <c r="F1682" i="9"/>
  <c r="E1682" i="9"/>
  <c r="F1681" i="9"/>
  <c r="E1681" i="9"/>
  <c r="F1680" i="9"/>
  <c r="E1680" i="9"/>
  <c r="F1679" i="9"/>
  <c r="E1679" i="9"/>
  <c r="F1678" i="9"/>
  <c r="E1678" i="9"/>
  <c r="F1677" i="9"/>
  <c r="E1677" i="9"/>
  <c r="F1676" i="9"/>
  <c r="E1676" i="9"/>
  <c r="F1675" i="9"/>
  <c r="E1675" i="9"/>
  <c r="F1674" i="9"/>
  <c r="E1674" i="9"/>
  <c r="F1673" i="9"/>
  <c r="E1673" i="9"/>
  <c r="F1672" i="9"/>
  <c r="E1672" i="9"/>
  <c r="F1671" i="9"/>
  <c r="E1671" i="9"/>
  <c r="F1670" i="9"/>
  <c r="E1670" i="9"/>
  <c r="F1669" i="9"/>
  <c r="E1669" i="9"/>
  <c r="F1668" i="9"/>
  <c r="E1668" i="9"/>
  <c r="F1667" i="9"/>
  <c r="E1667" i="9"/>
  <c r="F1666" i="9"/>
  <c r="E1666" i="9"/>
  <c r="F1665" i="9"/>
  <c r="E1665" i="9"/>
  <c r="F1664" i="9"/>
  <c r="E1664" i="9"/>
  <c r="F1663" i="9"/>
  <c r="E1663" i="9"/>
  <c r="F1662" i="9"/>
  <c r="E1662" i="9"/>
  <c r="F1661" i="9"/>
  <c r="E1661" i="9"/>
  <c r="F1660" i="9"/>
  <c r="E1660" i="9"/>
  <c r="F1659" i="9"/>
  <c r="E1659" i="9"/>
  <c r="F1658" i="9"/>
  <c r="E1658" i="9"/>
  <c r="F1657" i="9"/>
  <c r="E1657" i="9"/>
  <c r="F1656" i="9"/>
  <c r="E1656" i="9"/>
  <c r="F1655" i="9"/>
  <c r="E1655" i="9"/>
  <c r="F1654" i="9"/>
  <c r="E1654" i="9"/>
  <c r="F1653" i="9"/>
  <c r="E1653" i="9"/>
  <c r="F1652" i="9"/>
  <c r="E1652" i="9"/>
  <c r="F1651" i="9"/>
  <c r="E1651" i="9"/>
  <c r="F1650" i="9"/>
  <c r="E1650" i="9"/>
  <c r="F1649" i="9"/>
  <c r="E1649" i="9"/>
  <c r="F1648" i="9"/>
  <c r="E1648" i="9"/>
  <c r="F1647" i="9"/>
  <c r="E1647" i="9"/>
  <c r="F1646" i="9"/>
  <c r="E1646" i="9"/>
  <c r="F1645" i="9"/>
  <c r="E1645" i="9"/>
  <c r="F1644" i="9"/>
  <c r="E1644" i="9"/>
  <c r="F1643" i="9"/>
  <c r="E1643" i="9"/>
  <c r="F1642" i="9"/>
  <c r="E1642" i="9"/>
  <c r="F1641" i="9"/>
  <c r="E1641" i="9"/>
  <c r="F1640" i="9"/>
  <c r="E1640" i="9"/>
  <c r="F1639" i="9"/>
  <c r="E1639" i="9"/>
  <c r="F1638" i="9"/>
  <c r="E1638" i="9"/>
  <c r="F1637" i="9"/>
  <c r="E1637" i="9"/>
  <c r="F1636" i="9"/>
  <c r="E1636" i="9"/>
  <c r="F1635" i="9"/>
  <c r="E1635" i="9"/>
  <c r="F1634" i="9"/>
  <c r="E1634" i="9"/>
  <c r="F1633" i="9"/>
  <c r="E1633" i="9"/>
  <c r="F1632" i="9"/>
  <c r="E1632" i="9"/>
  <c r="F1631" i="9"/>
  <c r="E1631" i="9"/>
  <c r="F1630" i="9"/>
  <c r="E1630" i="9"/>
  <c r="F1629" i="9"/>
  <c r="E1629" i="9"/>
  <c r="F1628" i="9"/>
  <c r="E1628" i="9"/>
  <c r="F1627" i="9"/>
  <c r="E1627" i="9"/>
  <c r="F1626" i="9"/>
  <c r="E1626" i="9"/>
  <c r="F1625" i="9"/>
  <c r="E1625" i="9"/>
  <c r="F1624" i="9"/>
  <c r="E1624" i="9"/>
  <c r="F1623" i="9"/>
  <c r="E1623" i="9"/>
  <c r="F1622" i="9"/>
  <c r="E1622" i="9"/>
  <c r="F1621" i="9"/>
  <c r="E1621" i="9"/>
  <c r="F1620" i="9"/>
  <c r="E1620" i="9"/>
  <c r="F1619" i="9"/>
  <c r="E1619" i="9"/>
  <c r="F1618" i="9"/>
  <c r="E1618" i="9"/>
  <c r="F1617" i="9"/>
  <c r="E1617" i="9"/>
  <c r="F1616" i="9"/>
  <c r="E1616" i="9"/>
  <c r="F1615" i="9"/>
  <c r="E1615" i="9"/>
  <c r="F1614" i="9"/>
  <c r="E1614" i="9"/>
  <c r="F1613" i="9"/>
  <c r="E1613" i="9"/>
  <c r="F1612" i="9"/>
  <c r="E1612" i="9"/>
  <c r="F1611" i="9"/>
  <c r="E1611" i="9"/>
  <c r="F1610" i="9"/>
  <c r="E1610" i="9"/>
  <c r="F1609" i="9"/>
  <c r="E1609" i="9"/>
  <c r="F1608" i="9"/>
  <c r="E1608" i="9"/>
  <c r="F1607" i="9"/>
  <c r="E1607" i="9"/>
  <c r="F1606" i="9"/>
  <c r="E1606" i="9"/>
  <c r="F1605" i="9"/>
  <c r="E1605" i="9"/>
  <c r="F1604" i="9"/>
  <c r="E1604" i="9"/>
  <c r="F1603" i="9"/>
  <c r="E1603" i="9"/>
  <c r="F1602" i="9"/>
  <c r="E1602" i="9"/>
  <c r="F1601" i="9"/>
  <c r="E1601" i="9"/>
  <c r="F1600" i="9"/>
  <c r="E1600" i="9"/>
  <c r="F1599" i="9"/>
  <c r="E1599" i="9"/>
  <c r="F1598" i="9"/>
  <c r="E1598" i="9"/>
  <c r="F1597" i="9"/>
  <c r="E1597" i="9"/>
  <c r="F1596" i="9"/>
  <c r="E1596" i="9"/>
  <c r="F1595" i="9"/>
  <c r="E1595" i="9"/>
  <c r="F1594" i="9"/>
  <c r="E1594" i="9"/>
  <c r="F1593" i="9"/>
  <c r="E1593" i="9"/>
  <c r="F1592" i="9"/>
  <c r="E1592" i="9"/>
  <c r="F1591" i="9"/>
  <c r="E1591" i="9"/>
  <c r="F1590" i="9"/>
  <c r="E1590" i="9"/>
  <c r="F1589" i="9"/>
  <c r="E1589" i="9"/>
  <c r="F1588" i="9"/>
  <c r="E1588" i="9"/>
  <c r="F1587" i="9"/>
  <c r="E1587" i="9"/>
  <c r="F1586" i="9"/>
  <c r="E1586" i="9"/>
  <c r="F1585" i="9"/>
  <c r="E1585" i="9"/>
  <c r="F1584" i="9"/>
  <c r="E1584" i="9"/>
  <c r="F1583" i="9"/>
  <c r="E1583" i="9"/>
  <c r="F1582" i="9"/>
  <c r="E1582" i="9"/>
  <c r="F1581" i="9"/>
  <c r="E1581" i="9"/>
  <c r="F1580" i="9"/>
  <c r="E1580" i="9"/>
  <c r="F1579" i="9"/>
  <c r="E1579" i="9"/>
  <c r="F1578" i="9"/>
  <c r="E1578" i="9"/>
  <c r="F1577" i="9"/>
  <c r="E1577" i="9"/>
  <c r="F1576" i="9"/>
  <c r="E1576" i="9"/>
  <c r="F1575" i="9"/>
  <c r="E1575" i="9"/>
  <c r="F1574" i="9"/>
  <c r="E1574" i="9"/>
  <c r="F1573" i="9"/>
  <c r="E1573" i="9"/>
  <c r="F1572" i="9"/>
  <c r="E1572" i="9"/>
  <c r="F1571" i="9"/>
  <c r="E1571" i="9"/>
  <c r="F1570" i="9"/>
  <c r="E1570" i="9"/>
  <c r="F1569" i="9"/>
  <c r="E1569" i="9"/>
  <c r="F1568" i="9"/>
  <c r="E1568" i="9"/>
  <c r="F1567" i="9"/>
  <c r="E1567" i="9"/>
  <c r="F1566" i="9"/>
  <c r="E1566" i="9"/>
  <c r="F1565" i="9"/>
  <c r="E1565" i="9"/>
  <c r="F1564" i="9"/>
  <c r="E1564" i="9"/>
  <c r="F1563" i="9"/>
  <c r="E1563" i="9"/>
  <c r="F1562" i="9"/>
  <c r="E1562" i="9"/>
  <c r="F1561" i="9"/>
  <c r="E1561" i="9"/>
  <c r="F1560" i="9"/>
  <c r="E1560" i="9"/>
  <c r="F1559" i="9"/>
  <c r="E1559" i="9"/>
  <c r="F1558" i="9"/>
  <c r="E1558" i="9"/>
  <c r="F1557" i="9"/>
  <c r="E1557" i="9"/>
  <c r="F1556" i="9"/>
  <c r="E1556" i="9"/>
  <c r="F1555" i="9"/>
  <c r="E1555" i="9"/>
  <c r="F1554" i="9"/>
  <c r="E1554" i="9"/>
  <c r="F1553" i="9"/>
  <c r="E1553" i="9"/>
  <c r="F1552" i="9"/>
  <c r="E1552" i="9"/>
  <c r="F1551" i="9"/>
  <c r="E1551" i="9"/>
  <c r="F1550" i="9"/>
  <c r="E1550" i="9"/>
  <c r="F1549" i="9"/>
  <c r="E1549" i="9"/>
  <c r="F1548" i="9"/>
  <c r="E1548" i="9"/>
  <c r="F1547" i="9"/>
  <c r="E1547" i="9"/>
  <c r="F1546" i="9"/>
  <c r="E1546" i="9"/>
  <c r="F1545" i="9"/>
  <c r="E1545" i="9"/>
  <c r="F1544" i="9"/>
  <c r="E1544" i="9"/>
  <c r="F1543" i="9"/>
  <c r="E1543" i="9"/>
  <c r="F1542" i="9"/>
  <c r="E1542" i="9"/>
  <c r="F1541" i="9"/>
  <c r="E1541" i="9"/>
  <c r="F1540" i="9"/>
  <c r="E1540" i="9"/>
  <c r="F1539" i="9"/>
  <c r="E1539" i="9"/>
  <c r="F1538" i="9"/>
  <c r="E1538" i="9"/>
  <c r="F1537" i="9"/>
  <c r="E1537" i="9"/>
  <c r="F1536" i="9"/>
  <c r="E1536" i="9"/>
  <c r="F1535" i="9"/>
  <c r="E1535" i="9"/>
  <c r="F1534" i="9"/>
  <c r="E1534" i="9"/>
  <c r="F1533" i="9"/>
  <c r="E1533" i="9"/>
  <c r="F1532" i="9"/>
  <c r="E1532" i="9"/>
  <c r="F1531" i="9"/>
  <c r="E1531" i="9"/>
  <c r="F1530" i="9"/>
  <c r="E1530" i="9"/>
  <c r="F1529" i="9"/>
  <c r="E1529" i="9"/>
  <c r="F1528" i="9"/>
  <c r="E1528" i="9"/>
  <c r="F1527" i="9"/>
  <c r="E1527" i="9"/>
  <c r="F1526" i="9"/>
  <c r="E1526" i="9"/>
  <c r="F1525" i="9"/>
  <c r="E1525" i="9"/>
  <c r="F1524" i="9"/>
  <c r="E1524" i="9"/>
  <c r="F1523" i="9"/>
  <c r="E1523" i="9"/>
  <c r="F1522" i="9"/>
  <c r="E1522" i="9"/>
  <c r="F1521" i="9"/>
  <c r="E1521" i="9"/>
  <c r="F1520" i="9"/>
  <c r="E1520" i="9"/>
  <c r="F1519" i="9"/>
  <c r="E1519" i="9"/>
  <c r="F1518" i="9"/>
  <c r="E1518" i="9"/>
  <c r="F1517" i="9"/>
  <c r="E1517" i="9"/>
  <c r="F1516" i="9"/>
  <c r="E1516" i="9"/>
  <c r="F1515" i="9"/>
  <c r="E1515" i="9"/>
  <c r="F1514" i="9"/>
  <c r="E1514" i="9"/>
  <c r="F1513" i="9"/>
  <c r="E1513" i="9"/>
  <c r="F1512" i="9"/>
  <c r="E1512" i="9"/>
  <c r="F1511" i="9"/>
  <c r="E1511" i="9"/>
  <c r="F1510" i="9"/>
  <c r="E1510" i="9"/>
  <c r="F1509" i="9"/>
  <c r="E1509" i="9"/>
  <c r="F1508" i="9"/>
  <c r="E1508" i="9"/>
  <c r="F1507" i="9"/>
  <c r="E1507" i="9"/>
  <c r="F1506" i="9"/>
  <c r="E1506" i="9"/>
  <c r="F1505" i="9"/>
  <c r="E1505" i="9"/>
  <c r="F1504" i="9"/>
  <c r="E1504" i="9"/>
  <c r="F1503" i="9"/>
  <c r="E1503" i="9"/>
  <c r="F1502" i="9"/>
  <c r="E1502" i="9"/>
  <c r="F1501" i="9"/>
  <c r="E1501" i="9"/>
  <c r="F1500" i="9"/>
  <c r="E1500" i="9"/>
  <c r="F1499" i="9"/>
  <c r="E1499" i="9"/>
  <c r="F1498" i="9"/>
  <c r="E1498" i="9"/>
  <c r="F1497" i="9"/>
  <c r="E1497" i="9"/>
  <c r="F1496" i="9"/>
  <c r="E1496" i="9"/>
  <c r="F1495" i="9"/>
  <c r="E1495" i="9"/>
  <c r="F1494" i="9"/>
  <c r="E1494" i="9"/>
  <c r="F1493" i="9"/>
  <c r="E1493" i="9"/>
  <c r="F1492" i="9"/>
  <c r="E1492" i="9"/>
  <c r="F1491" i="9"/>
  <c r="E1491" i="9"/>
  <c r="F1490" i="9"/>
  <c r="E1490" i="9"/>
  <c r="F1489" i="9"/>
  <c r="E1489" i="9"/>
  <c r="F1488" i="9"/>
  <c r="E1488" i="9"/>
  <c r="F1487" i="9"/>
  <c r="E1487" i="9"/>
  <c r="F1486" i="9"/>
  <c r="E1486" i="9"/>
  <c r="F1485" i="9"/>
  <c r="E1485" i="9"/>
  <c r="F1484" i="9"/>
  <c r="E1484" i="9"/>
  <c r="F1483" i="9"/>
  <c r="E1483" i="9"/>
  <c r="F1482" i="9"/>
  <c r="E1482" i="9"/>
  <c r="F1481" i="9"/>
  <c r="E1481" i="9"/>
  <c r="F1480" i="9"/>
  <c r="E1480" i="9"/>
  <c r="F1479" i="9"/>
  <c r="E1479" i="9"/>
  <c r="F1478" i="9"/>
  <c r="E1478" i="9"/>
  <c r="F1477" i="9"/>
  <c r="E1477" i="9"/>
  <c r="F1476" i="9"/>
  <c r="E1476" i="9"/>
  <c r="F1475" i="9"/>
  <c r="E1475" i="9"/>
  <c r="F1474" i="9"/>
  <c r="E1474" i="9"/>
  <c r="F1473" i="9"/>
  <c r="E1473" i="9"/>
  <c r="F1472" i="9"/>
  <c r="E1472" i="9"/>
  <c r="F1471" i="9"/>
  <c r="E1471" i="9"/>
  <c r="F1470" i="9"/>
  <c r="E1470" i="9"/>
  <c r="F1469" i="9"/>
  <c r="E1469" i="9"/>
  <c r="F1468" i="9"/>
  <c r="E1468" i="9"/>
  <c r="F1467" i="9"/>
  <c r="E1467" i="9"/>
  <c r="F1466" i="9"/>
  <c r="E1466" i="9"/>
  <c r="F1465" i="9"/>
  <c r="E1465" i="9"/>
  <c r="F1464" i="9"/>
  <c r="E1464" i="9"/>
  <c r="F1463" i="9"/>
  <c r="E1463" i="9"/>
  <c r="F1462" i="9"/>
  <c r="E1462" i="9"/>
  <c r="F1461" i="9"/>
  <c r="E1461" i="9"/>
  <c r="F1460" i="9"/>
  <c r="E1460" i="9"/>
  <c r="F1459" i="9"/>
  <c r="E1459" i="9"/>
  <c r="F1458" i="9"/>
  <c r="E1458" i="9"/>
  <c r="F1457" i="9"/>
  <c r="E1457" i="9"/>
  <c r="F1456" i="9"/>
  <c r="E1456" i="9"/>
  <c r="F1455" i="9"/>
  <c r="E1455" i="9"/>
  <c r="F1454" i="9"/>
  <c r="E1454" i="9"/>
  <c r="F1453" i="9"/>
  <c r="E1453" i="9"/>
  <c r="F1452" i="9"/>
  <c r="E1452" i="9"/>
  <c r="F1451" i="9"/>
  <c r="E1451" i="9"/>
  <c r="F1450" i="9"/>
  <c r="E1450" i="9"/>
  <c r="F1449" i="9"/>
  <c r="E1449" i="9"/>
  <c r="F1448" i="9"/>
  <c r="E1448" i="9"/>
  <c r="F1447" i="9"/>
  <c r="E1447" i="9"/>
  <c r="F1446" i="9"/>
  <c r="E1446" i="9"/>
  <c r="F1445" i="9"/>
  <c r="E1445" i="9"/>
  <c r="F1444" i="9"/>
  <c r="E1444" i="9"/>
  <c r="F1443" i="9"/>
  <c r="E1443" i="9"/>
  <c r="F1442" i="9"/>
  <c r="E1442" i="9"/>
  <c r="F1441" i="9"/>
  <c r="E1441" i="9"/>
  <c r="F1440" i="9"/>
  <c r="E1440" i="9"/>
  <c r="F1439" i="9"/>
  <c r="E1439" i="9"/>
  <c r="F1438" i="9"/>
  <c r="E1438" i="9"/>
  <c r="F1437" i="9"/>
  <c r="E1437" i="9"/>
  <c r="F1436" i="9"/>
  <c r="E1436" i="9"/>
  <c r="F1435" i="9"/>
  <c r="E1435" i="9"/>
  <c r="F1434" i="9"/>
  <c r="E1434" i="9"/>
  <c r="F1433" i="9"/>
  <c r="E1433" i="9"/>
  <c r="F1432" i="9"/>
  <c r="E1432" i="9"/>
  <c r="F1431" i="9"/>
  <c r="E1431" i="9"/>
  <c r="F1430" i="9"/>
  <c r="E1430" i="9"/>
  <c r="F1429" i="9"/>
  <c r="E1429" i="9"/>
  <c r="F1428" i="9"/>
  <c r="E1428" i="9"/>
  <c r="F1427" i="9"/>
  <c r="E1427" i="9"/>
  <c r="F1426" i="9"/>
  <c r="E1426" i="9"/>
  <c r="F1425" i="9"/>
  <c r="E1425" i="9"/>
  <c r="F1424" i="9"/>
  <c r="E1424" i="9"/>
  <c r="F1423" i="9"/>
  <c r="E1423" i="9"/>
  <c r="F1422" i="9"/>
  <c r="E1422" i="9"/>
  <c r="F1421" i="9"/>
  <c r="E1421" i="9"/>
  <c r="F1420" i="9"/>
  <c r="E1420" i="9"/>
  <c r="F1419" i="9"/>
  <c r="E1419" i="9"/>
  <c r="F1418" i="9"/>
  <c r="E1418" i="9"/>
  <c r="F1417" i="9"/>
  <c r="E1417" i="9"/>
  <c r="F1416" i="9"/>
  <c r="E1416" i="9"/>
  <c r="F1415" i="9"/>
  <c r="E1415" i="9"/>
  <c r="F1414" i="9"/>
  <c r="E1414" i="9"/>
  <c r="F1413" i="9"/>
  <c r="E1413" i="9"/>
  <c r="F1412" i="9"/>
  <c r="E1412" i="9"/>
  <c r="F1411" i="9"/>
  <c r="E1411" i="9"/>
  <c r="F1410" i="9"/>
  <c r="E1410" i="9"/>
  <c r="F1409" i="9"/>
  <c r="E1409" i="9"/>
  <c r="F1408" i="9"/>
  <c r="E1408" i="9"/>
  <c r="F1407" i="9"/>
  <c r="E1407" i="9"/>
  <c r="F1406" i="9"/>
  <c r="E1406" i="9"/>
  <c r="F1405" i="9"/>
  <c r="E1405" i="9"/>
  <c r="F1404" i="9"/>
  <c r="E1404" i="9"/>
  <c r="F1403" i="9"/>
  <c r="E1403" i="9"/>
  <c r="F1402" i="9"/>
  <c r="E1402" i="9"/>
  <c r="F1401" i="9"/>
  <c r="E1401" i="9"/>
  <c r="F1400" i="9"/>
  <c r="E1400" i="9"/>
  <c r="F1399" i="9"/>
  <c r="E1399" i="9"/>
  <c r="F1398" i="9"/>
  <c r="E1398" i="9"/>
  <c r="F1397" i="9"/>
  <c r="E1397" i="9"/>
  <c r="F1396" i="9"/>
  <c r="E1396" i="9"/>
  <c r="F1395" i="9"/>
  <c r="E1395" i="9"/>
  <c r="F1394" i="9"/>
  <c r="E1394" i="9"/>
  <c r="F1393" i="9"/>
  <c r="E1393" i="9"/>
  <c r="F1392" i="9"/>
  <c r="E1392" i="9"/>
  <c r="F1391" i="9"/>
  <c r="E1391" i="9"/>
  <c r="F1390" i="9"/>
  <c r="E1390" i="9"/>
  <c r="F1389" i="9"/>
  <c r="E1389" i="9"/>
  <c r="F1388" i="9"/>
  <c r="E1388" i="9"/>
  <c r="F1387" i="9"/>
  <c r="E1387" i="9"/>
  <c r="F1386" i="9"/>
  <c r="E1386" i="9"/>
  <c r="F1385" i="9"/>
  <c r="E1385" i="9"/>
  <c r="F1384" i="9"/>
  <c r="E1384" i="9"/>
  <c r="F1383" i="9"/>
  <c r="E1383" i="9"/>
  <c r="F1382" i="9"/>
  <c r="E1382" i="9"/>
  <c r="F1381" i="9"/>
  <c r="E1381" i="9"/>
  <c r="F1380" i="9"/>
  <c r="E1380" i="9"/>
  <c r="F1379" i="9"/>
  <c r="E1379" i="9"/>
  <c r="F1378" i="9"/>
  <c r="E1378" i="9"/>
  <c r="F1377" i="9"/>
  <c r="E1377" i="9"/>
  <c r="F1376" i="9"/>
  <c r="E1376" i="9"/>
  <c r="F1375" i="9"/>
  <c r="E1375" i="9"/>
  <c r="F1374" i="9"/>
  <c r="E1374" i="9"/>
  <c r="F1373" i="9"/>
  <c r="E1373" i="9"/>
  <c r="F1372" i="9"/>
  <c r="E1372" i="9"/>
  <c r="F1371" i="9"/>
  <c r="E1371" i="9"/>
  <c r="F1370" i="9"/>
  <c r="E1370" i="9"/>
  <c r="F1369" i="9"/>
  <c r="E1369" i="9"/>
  <c r="F1368" i="9"/>
  <c r="E1368" i="9"/>
  <c r="F1367" i="9"/>
  <c r="E1367" i="9"/>
  <c r="F1366" i="9"/>
  <c r="E1366" i="9"/>
  <c r="F1365" i="9"/>
  <c r="E1365" i="9"/>
  <c r="F1364" i="9"/>
  <c r="E1364" i="9"/>
  <c r="F1363" i="9"/>
  <c r="E1363" i="9"/>
  <c r="F1362" i="9"/>
  <c r="E1362" i="9"/>
  <c r="F1361" i="9"/>
  <c r="E1361" i="9"/>
  <c r="F1360" i="9"/>
  <c r="E1360" i="9"/>
  <c r="F1359" i="9"/>
  <c r="E1359" i="9"/>
  <c r="F1358" i="9"/>
  <c r="E1358" i="9"/>
  <c r="F1357" i="9"/>
  <c r="E1357" i="9"/>
  <c r="F1356" i="9"/>
  <c r="E1356" i="9"/>
  <c r="F1355" i="9"/>
  <c r="E1355" i="9"/>
  <c r="F1354" i="9"/>
  <c r="E1354" i="9"/>
  <c r="F1353" i="9"/>
  <c r="E1353" i="9"/>
  <c r="F1352" i="9"/>
  <c r="E1352" i="9"/>
  <c r="F1351" i="9"/>
  <c r="E1351" i="9"/>
  <c r="F1350" i="9"/>
  <c r="E1350" i="9"/>
  <c r="F1349" i="9"/>
  <c r="E1349" i="9"/>
  <c r="F1348" i="9"/>
  <c r="E1348" i="9"/>
  <c r="F1347" i="9"/>
  <c r="E1347" i="9"/>
  <c r="F1346" i="9"/>
  <c r="E1346" i="9"/>
  <c r="F1345" i="9"/>
  <c r="E1345" i="9"/>
  <c r="F1344" i="9"/>
  <c r="E1344" i="9"/>
  <c r="F1343" i="9"/>
  <c r="E1343" i="9"/>
  <c r="F1342" i="9"/>
  <c r="E1342" i="9"/>
  <c r="F1341" i="9"/>
  <c r="E1341" i="9"/>
  <c r="F1340" i="9"/>
  <c r="E1340" i="9"/>
  <c r="F1339" i="9"/>
  <c r="E1339" i="9"/>
  <c r="F1338" i="9"/>
  <c r="E1338" i="9"/>
  <c r="F1337" i="9"/>
  <c r="E1337" i="9"/>
  <c r="F1336" i="9"/>
  <c r="E1336" i="9"/>
  <c r="F1335" i="9"/>
  <c r="E1335" i="9"/>
  <c r="F1334" i="9"/>
  <c r="E1334" i="9"/>
  <c r="F1333" i="9"/>
  <c r="E1333" i="9"/>
  <c r="F1332" i="9"/>
  <c r="E1332" i="9"/>
  <c r="F1331" i="9"/>
  <c r="E1331" i="9"/>
  <c r="F1330" i="9"/>
  <c r="E1330" i="9"/>
  <c r="F1329" i="9"/>
  <c r="E1329" i="9"/>
  <c r="F1328" i="9"/>
  <c r="E1328" i="9"/>
  <c r="F1327" i="9"/>
  <c r="E1327" i="9"/>
  <c r="F1326" i="9"/>
  <c r="E1326" i="9"/>
  <c r="F1325" i="9"/>
  <c r="E1325" i="9"/>
  <c r="F1324" i="9"/>
  <c r="E1324" i="9"/>
  <c r="F1323" i="9"/>
  <c r="E1323" i="9"/>
  <c r="F1322" i="9"/>
  <c r="E1322" i="9"/>
  <c r="F1321" i="9"/>
  <c r="E1321" i="9"/>
  <c r="F1320" i="9"/>
  <c r="E1320" i="9"/>
  <c r="F1319" i="9"/>
  <c r="E1319" i="9"/>
  <c r="F1318" i="9"/>
  <c r="E1318" i="9"/>
  <c r="F1317" i="9"/>
  <c r="E1317" i="9"/>
  <c r="F1316" i="9"/>
  <c r="E1316" i="9"/>
  <c r="F1315" i="9"/>
  <c r="E1315" i="9"/>
  <c r="F1314" i="9"/>
  <c r="E1314" i="9"/>
  <c r="F1313" i="9"/>
  <c r="E1313" i="9"/>
  <c r="F1312" i="9"/>
  <c r="E1312" i="9"/>
  <c r="F1311" i="9"/>
  <c r="E1311" i="9"/>
  <c r="F1310" i="9"/>
  <c r="E1310" i="9"/>
  <c r="F1309" i="9"/>
  <c r="E1309" i="9"/>
  <c r="F1308" i="9"/>
  <c r="E1308" i="9"/>
  <c r="F1307" i="9"/>
  <c r="E1307" i="9"/>
  <c r="F1306" i="9"/>
  <c r="E1306" i="9"/>
  <c r="F1305" i="9"/>
  <c r="E1305" i="9"/>
  <c r="F1304" i="9"/>
  <c r="E1304" i="9"/>
  <c r="F1303" i="9"/>
  <c r="E1303" i="9"/>
  <c r="F1302" i="9"/>
  <c r="E1302" i="9"/>
  <c r="F1301" i="9"/>
  <c r="E1301" i="9"/>
  <c r="F1300" i="9"/>
  <c r="E1300" i="9"/>
  <c r="F1299" i="9"/>
  <c r="E1299" i="9"/>
  <c r="F1298" i="9"/>
  <c r="E1298" i="9"/>
  <c r="F1297" i="9"/>
  <c r="E1297" i="9"/>
  <c r="F1296" i="9"/>
  <c r="E1296" i="9"/>
  <c r="F1295" i="9"/>
  <c r="E1295" i="9"/>
  <c r="F1294" i="9"/>
  <c r="E1294" i="9"/>
  <c r="F1293" i="9"/>
  <c r="E1293" i="9"/>
  <c r="F1292" i="9"/>
  <c r="E1292" i="9"/>
  <c r="F1291" i="9"/>
  <c r="E1291" i="9"/>
  <c r="F1290" i="9"/>
  <c r="E1290" i="9"/>
  <c r="F1289" i="9"/>
  <c r="E1289" i="9"/>
  <c r="F1288" i="9"/>
  <c r="E1288" i="9"/>
  <c r="F1287" i="9"/>
  <c r="E1287" i="9"/>
  <c r="F1286" i="9"/>
  <c r="E1286" i="9"/>
  <c r="F1285" i="9"/>
  <c r="E1285" i="9"/>
  <c r="F1284" i="9"/>
  <c r="E1284" i="9"/>
  <c r="F1283" i="9"/>
  <c r="E1283" i="9"/>
  <c r="F1282" i="9"/>
  <c r="E1282" i="9"/>
  <c r="F1281" i="9"/>
  <c r="E1281" i="9"/>
  <c r="F1280" i="9"/>
  <c r="E1280" i="9"/>
  <c r="F1279" i="9"/>
  <c r="E1279" i="9"/>
  <c r="F1278" i="9"/>
  <c r="E1278" i="9"/>
  <c r="F1277" i="9"/>
  <c r="E1277" i="9"/>
  <c r="F1276" i="9"/>
  <c r="E1276" i="9"/>
  <c r="F1275" i="9"/>
  <c r="E1275" i="9"/>
  <c r="F1274" i="9"/>
  <c r="E1274" i="9"/>
  <c r="F1273" i="9"/>
  <c r="E1273" i="9"/>
  <c r="F1272" i="9"/>
  <c r="E1272" i="9"/>
  <c r="F1271" i="9"/>
  <c r="E1271" i="9"/>
  <c r="F1270" i="9"/>
  <c r="E1270" i="9"/>
  <c r="F1269" i="9"/>
  <c r="E1269" i="9"/>
  <c r="F1268" i="9"/>
  <c r="E1268" i="9"/>
  <c r="F1267" i="9"/>
  <c r="E1267" i="9"/>
  <c r="F1266" i="9"/>
  <c r="E1266" i="9"/>
  <c r="F1265" i="9"/>
  <c r="E1265" i="9"/>
  <c r="F1264" i="9"/>
  <c r="E1264" i="9"/>
  <c r="F1263" i="9"/>
  <c r="E1263" i="9"/>
  <c r="F1262" i="9"/>
  <c r="E1262" i="9"/>
  <c r="F1261" i="9"/>
  <c r="E1261" i="9"/>
  <c r="F1260" i="9"/>
  <c r="E1260" i="9"/>
  <c r="F1259" i="9"/>
  <c r="E1259" i="9"/>
  <c r="F1258" i="9"/>
  <c r="E1258" i="9"/>
  <c r="F1257" i="9"/>
  <c r="E1257" i="9"/>
  <c r="F1256" i="9"/>
  <c r="E1256" i="9"/>
  <c r="F1255" i="9"/>
  <c r="E1255" i="9"/>
  <c r="F1254" i="9"/>
  <c r="E1254" i="9"/>
  <c r="F1253" i="9"/>
  <c r="E1253" i="9"/>
  <c r="F1252" i="9"/>
  <c r="E1252" i="9"/>
  <c r="F1251" i="9"/>
  <c r="E1251" i="9"/>
  <c r="F1250" i="9"/>
  <c r="E1250" i="9"/>
  <c r="F1249" i="9"/>
  <c r="E1249" i="9"/>
  <c r="F1248" i="9"/>
  <c r="E1248" i="9"/>
  <c r="F1247" i="9"/>
  <c r="E1247" i="9"/>
  <c r="F1246" i="9"/>
  <c r="E1246" i="9"/>
  <c r="F1245" i="9"/>
  <c r="E1245" i="9"/>
  <c r="F1244" i="9"/>
  <c r="E1244" i="9"/>
  <c r="F1243" i="9"/>
  <c r="E1243" i="9"/>
  <c r="F1242" i="9"/>
  <c r="E1242" i="9"/>
  <c r="F1241" i="9"/>
  <c r="E1241" i="9"/>
  <c r="F1240" i="9"/>
  <c r="E1240" i="9"/>
  <c r="F1239" i="9"/>
  <c r="E1239" i="9"/>
  <c r="F1238" i="9"/>
  <c r="E1238" i="9"/>
  <c r="F1237" i="9"/>
  <c r="E1237" i="9"/>
  <c r="F1236" i="9"/>
  <c r="E1236" i="9"/>
  <c r="F1235" i="9"/>
  <c r="E1235" i="9"/>
  <c r="F1234" i="9"/>
  <c r="E1234" i="9"/>
  <c r="F1233" i="9"/>
  <c r="E1233" i="9"/>
  <c r="F1232" i="9"/>
  <c r="E1232" i="9"/>
  <c r="F1231" i="9"/>
  <c r="E1231" i="9"/>
  <c r="F1230" i="9"/>
  <c r="E1230" i="9"/>
  <c r="F1229" i="9"/>
  <c r="E1229" i="9"/>
  <c r="F1228" i="9"/>
  <c r="E1228" i="9"/>
  <c r="F1227" i="9"/>
  <c r="E1227" i="9"/>
  <c r="F1226" i="9"/>
  <c r="E1226" i="9"/>
  <c r="F1225" i="9"/>
  <c r="E1225" i="9"/>
  <c r="F1224" i="9"/>
  <c r="E1224" i="9"/>
  <c r="F1223" i="9"/>
  <c r="E1223" i="9"/>
  <c r="F1222" i="9"/>
  <c r="E1222" i="9"/>
  <c r="F1221" i="9"/>
  <c r="E1221" i="9"/>
  <c r="F1220" i="9"/>
  <c r="E1220" i="9"/>
  <c r="F1219" i="9"/>
  <c r="E1219" i="9"/>
  <c r="F1218" i="9"/>
  <c r="E1218" i="9"/>
  <c r="F1217" i="9"/>
  <c r="E1217" i="9"/>
  <c r="F1216" i="9"/>
  <c r="E1216" i="9"/>
  <c r="F1215" i="9"/>
  <c r="E1215" i="9"/>
  <c r="F1214" i="9"/>
  <c r="E1214" i="9"/>
  <c r="F1213" i="9"/>
  <c r="E1213" i="9"/>
  <c r="F1212" i="9"/>
  <c r="E1212" i="9"/>
  <c r="F1211" i="9"/>
  <c r="E1211" i="9"/>
  <c r="F1210" i="9"/>
  <c r="E1210" i="9"/>
  <c r="F1209" i="9"/>
  <c r="E1209" i="9"/>
  <c r="F1208" i="9"/>
  <c r="E1208" i="9"/>
  <c r="F1207" i="9"/>
  <c r="E1207" i="9"/>
  <c r="F1206" i="9"/>
  <c r="E1206" i="9"/>
  <c r="F1205" i="9"/>
  <c r="E1205" i="9"/>
  <c r="F1204" i="9"/>
  <c r="E1204" i="9"/>
  <c r="F1203" i="9"/>
  <c r="E1203" i="9"/>
  <c r="F1202" i="9"/>
  <c r="E1202" i="9"/>
  <c r="F1201" i="9"/>
  <c r="E1201" i="9"/>
  <c r="F1200" i="9"/>
  <c r="E1200" i="9"/>
  <c r="F1199" i="9"/>
  <c r="E1199" i="9"/>
  <c r="F1198" i="9"/>
  <c r="E1198" i="9"/>
  <c r="F1197" i="9"/>
  <c r="E1197" i="9"/>
  <c r="F1196" i="9"/>
  <c r="E1196" i="9"/>
  <c r="F1195" i="9"/>
  <c r="E1195" i="9"/>
  <c r="F1194" i="9"/>
  <c r="E1194" i="9"/>
  <c r="F1193" i="9"/>
  <c r="E1193" i="9"/>
  <c r="F1192" i="9"/>
  <c r="E1192" i="9"/>
  <c r="F1191" i="9"/>
  <c r="E1191" i="9"/>
  <c r="F1190" i="9"/>
  <c r="E1190" i="9"/>
  <c r="F1189" i="9"/>
  <c r="E1189" i="9"/>
  <c r="F1188" i="9"/>
  <c r="E1188" i="9"/>
  <c r="F1187" i="9"/>
  <c r="E1187" i="9"/>
  <c r="F1186" i="9"/>
  <c r="E1186" i="9"/>
  <c r="F1185" i="9"/>
  <c r="E1185" i="9"/>
  <c r="F1184" i="9"/>
  <c r="E1184" i="9"/>
  <c r="F1183" i="9"/>
  <c r="E1183" i="9"/>
  <c r="F1182" i="9"/>
  <c r="E1182" i="9"/>
  <c r="F1181" i="9"/>
  <c r="E1181" i="9"/>
  <c r="F1180" i="9"/>
  <c r="E1180" i="9"/>
  <c r="F1179" i="9"/>
  <c r="E1179" i="9"/>
  <c r="F1178" i="9"/>
  <c r="E1178" i="9"/>
  <c r="F1177" i="9"/>
  <c r="E1177" i="9"/>
  <c r="F1176" i="9"/>
  <c r="E1176" i="9"/>
  <c r="F1175" i="9"/>
  <c r="E1175" i="9"/>
  <c r="F1174" i="9"/>
  <c r="E1174" i="9"/>
  <c r="F1173" i="9"/>
  <c r="E1173" i="9"/>
  <c r="F1172" i="9"/>
  <c r="E1172" i="9"/>
  <c r="F1171" i="9"/>
  <c r="E1171" i="9"/>
  <c r="F1170" i="9"/>
  <c r="E1170" i="9"/>
  <c r="F1169" i="9"/>
  <c r="E1169" i="9"/>
  <c r="F1168" i="9"/>
  <c r="E1168" i="9"/>
  <c r="F1167" i="9"/>
  <c r="E1167" i="9"/>
  <c r="F1166" i="9"/>
  <c r="E1166" i="9"/>
  <c r="F1165" i="9"/>
  <c r="E1165" i="9"/>
  <c r="F1164" i="9"/>
  <c r="E1164" i="9"/>
  <c r="F1163" i="9"/>
  <c r="E1163" i="9"/>
  <c r="F1162" i="9"/>
  <c r="E1162" i="9"/>
  <c r="F1161" i="9"/>
  <c r="E1161" i="9"/>
  <c r="F1160" i="9"/>
  <c r="E1160" i="9"/>
  <c r="F1159" i="9"/>
  <c r="E1159" i="9"/>
  <c r="F1158" i="9"/>
  <c r="E1158" i="9"/>
  <c r="F1157" i="9"/>
  <c r="E1157" i="9"/>
  <c r="F1156" i="9"/>
  <c r="E1156" i="9"/>
  <c r="F1155" i="9"/>
  <c r="E1155" i="9"/>
  <c r="F1154" i="9"/>
  <c r="E1154" i="9"/>
  <c r="F1153" i="9"/>
  <c r="E1153" i="9"/>
  <c r="F1152" i="9"/>
  <c r="E1152" i="9"/>
  <c r="F1151" i="9"/>
  <c r="E1151" i="9"/>
  <c r="F1150" i="9"/>
  <c r="E1150" i="9"/>
  <c r="F1149" i="9"/>
  <c r="E1149" i="9"/>
  <c r="F1148" i="9"/>
  <c r="E1148" i="9"/>
  <c r="F1147" i="9"/>
  <c r="E1147" i="9"/>
  <c r="F1146" i="9"/>
  <c r="E1146" i="9"/>
  <c r="F1145" i="9"/>
  <c r="E1145" i="9"/>
  <c r="F1144" i="9"/>
  <c r="E1144" i="9"/>
  <c r="F1143" i="9"/>
  <c r="E1143" i="9"/>
  <c r="F1142" i="9"/>
  <c r="E1142" i="9"/>
  <c r="F1141" i="9"/>
  <c r="E1141" i="9"/>
  <c r="F1140" i="9"/>
  <c r="E1140" i="9"/>
  <c r="F1139" i="9"/>
  <c r="E1139" i="9"/>
  <c r="F1138" i="9"/>
  <c r="E1138" i="9"/>
  <c r="F1137" i="9"/>
  <c r="E1137" i="9"/>
  <c r="F1136" i="9"/>
  <c r="E1136" i="9"/>
  <c r="F1135" i="9"/>
  <c r="E1135" i="9"/>
  <c r="F1134" i="9"/>
  <c r="E1134" i="9"/>
  <c r="F1133" i="9"/>
  <c r="E1133" i="9"/>
  <c r="F1132" i="9"/>
  <c r="E1132" i="9"/>
  <c r="F1131" i="9"/>
  <c r="E1131" i="9"/>
  <c r="F1130" i="9"/>
  <c r="E1130" i="9"/>
  <c r="F1129" i="9"/>
  <c r="E1129" i="9"/>
  <c r="F1128" i="9"/>
  <c r="E1128" i="9"/>
  <c r="F1127" i="9"/>
  <c r="E1127" i="9"/>
  <c r="F1126" i="9"/>
  <c r="E1126" i="9"/>
  <c r="F1125" i="9"/>
  <c r="E1125" i="9"/>
  <c r="F1124" i="9"/>
  <c r="E1124" i="9"/>
  <c r="F1123" i="9"/>
  <c r="E1123" i="9"/>
  <c r="F1122" i="9"/>
  <c r="E1122" i="9"/>
  <c r="F1121" i="9"/>
  <c r="E1121" i="9"/>
  <c r="F1120" i="9"/>
  <c r="E1120" i="9"/>
  <c r="F1119" i="9"/>
  <c r="E1119" i="9"/>
  <c r="F1118" i="9"/>
  <c r="E1118" i="9"/>
  <c r="F1117" i="9"/>
  <c r="E1117" i="9"/>
  <c r="F1116" i="9"/>
  <c r="E1116" i="9"/>
  <c r="F1115" i="9"/>
  <c r="E1115" i="9"/>
  <c r="F1114" i="9"/>
  <c r="E1114" i="9"/>
  <c r="F1113" i="9"/>
  <c r="E1113" i="9"/>
  <c r="F1112" i="9"/>
  <c r="E1112" i="9"/>
  <c r="F1111" i="9"/>
  <c r="E1111" i="9"/>
  <c r="F1110" i="9"/>
  <c r="E1110" i="9"/>
  <c r="F1109" i="9"/>
  <c r="E1109" i="9"/>
  <c r="F1108" i="9"/>
  <c r="E1108" i="9"/>
  <c r="F1107" i="9"/>
  <c r="E1107" i="9"/>
  <c r="F1106" i="9"/>
  <c r="E1106" i="9"/>
  <c r="F1105" i="9"/>
  <c r="E1105" i="9"/>
  <c r="F1104" i="9"/>
  <c r="E1104" i="9"/>
  <c r="F1103" i="9"/>
  <c r="E1103" i="9"/>
  <c r="F1102" i="9"/>
  <c r="E1102" i="9"/>
  <c r="F1101" i="9"/>
  <c r="E1101" i="9"/>
  <c r="F1100" i="9"/>
  <c r="E1100" i="9"/>
  <c r="F1099" i="9"/>
  <c r="E1099" i="9"/>
  <c r="F1098" i="9"/>
  <c r="E1098" i="9"/>
  <c r="F1097" i="9"/>
  <c r="E1097" i="9"/>
  <c r="F1096" i="9"/>
  <c r="E1096" i="9"/>
  <c r="F1095" i="9"/>
  <c r="E1095" i="9"/>
  <c r="F1094" i="9"/>
  <c r="E1094" i="9"/>
  <c r="F1093" i="9"/>
  <c r="E1093" i="9"/>
  <c r="F1092" i="9"/>
  <c r="E1092" i="9"/>
  <c r="F1091" i="9"/>
  <c r="E1091" i="9"/>
  <c r="F1090" i="9"/>
  <c r="E1090" i="9"/>
  <c r="F1089" i="9"/>
  <c r="E1089" i="9"/>
  <c r="F1088" i="9"/>
  <c r="E1088" i="9"/>
  <c r="F1087" i="9"/>
  <c r="E1087" i="9"/>
  <c r="F1086" i="9"/>
  <c r="E1086" i="9"/>
  <c r="F1085" i="9"/>
  <c r="E1085" i="9"/>
  <c r="F1084" i="9"/>
  <c r="E1084" i="9"/>
  <c r="F1083" i="9"/>
  <c r="E1083" i="9"/>
  <c r="F1082" i="9"/>
  <c r="E1082" i="9"/>
  <c r="F1081" i="9"/>
  <c r="E1081" i="9"/>
  <c r="F1080" i="9"/>
  <c r="E1080" i="9"/>
  <c r="F1079" i="9"/>
  <c r="E1079" i="9"/>
  <c r="F1078" i="9"/>
  <c r="E1078" i="9"/>
  <c r="F1077" i="9"/>
  <c r="E1077" i="9"/>
  <c r="F1076" i="9"/>
  <c r="E1076" i="9"/>
  <c r="F1075" i="9"/>
  <c r="E1075" i="9"/>
  <c r="F1074" i="9"/>
  <c r="E1074" i="9"/>
  <c r="F1073" i="9"/>
  <c r="E1073" i="9"/>
  <c r="F1072" i="9"/>
  <c r="E1072" i="9"/>
  <c r="F1071" i="9"/>
  <c r="E1071" i="9"/>
  <c r="F1070" i="9"/>
  <c r="E1070" i="9"/>
  <c r="F1069" i="9"/>
  <c r="E1069" i="9"/>
  <c r="F1068" i="9"/>
  <c r="E1068" i="9"/>
  <c r="F1067" i="9"/>
  <c r="E1067" i="9"/>
  <c r="F1066" i="9"/>
  <c r="E1066" i="9"/>
  <c r="F1065" i="9"/>
  <c r="E1065" i="9"/>
  <c r="F1064" i="9"/>
  <c r="E1064" i="9"/>
  <c r="F1063" i="9"/>
  <c r="E1063" i="9"/>
  <c r="F1062" i="9"/>
  <c r="E1062" i="9"/>
  <c r="F1061" i="9"/>
  <c r="E1061" i="9"/>
  <c r="F1060" i="9"/>
  <c r="E1060" i="9"/>
  <c r="F1059" i="9"/>
  <c r="E1059" i="9"/>
  <c r="F1058" i="9"/>
  <c r="E1058" i="9"/>
  <c r="F1057" i="9"/>
  <c r="E1057" i="9"/>
  <c r="F1056" i="9"/>
  <c r="E1056" i="9"/>
  <c r="F1055" i="9"/>
  <c r="E1055" i="9"/>
  <c r="F1054" i="9"/>
  <c r="E1054" i="9"/>
  <c r="F1053" i="9"/>
  <c r="E1053" i="9"/>
  <c r="F1052" i="9"/>
  <c r="E1052" i="9"/>
  <c r="F1051" i="9"/>
  <c r="E1051" i="9"/>
  <c r="F1050" i="9"/>
  <c r="E1050" i="9"/>
  <c r="F1049" i="9"/>
  <c r="E1049" i="9"/>
  <c r="F1048" i="9"/>
  <c r="E1048" i="9"/>
  <c r="F1047" i="9"/>
  <c r="E1047" i="9"/>
  <c r="F1046" i="9"/>
  <c r="E1046" i="9"/>
  <c r="F1045" i="9"/>
  <c r="E1045" i="9"/>
  <c r="F1044" i="9"/>
  <c r="E1044" i="9"/>
  <c r="F1043" i="9"/>
  <c r="E1043" i="9"/>
  <c r="F1042" i="9"/>
  <c r="E1042" i="9"/>
  <c r="F1041" i="9"/>
  <c r="E1041" i="9"/>
  <c r="F1040" i="9"/>
  <c r="E1040" i="9"/>
  <c r="F1039" i="9"/>
  <c r="E1039" i="9"/>
  <c r="F1038" i="9"/>
  <c r="E1038" i="9"/>
  <c r="F1037" i="9"/>
  <c r="E1037" i="9"/>
  <c r="F1036" i="9"/>
  <c r="E1036" i="9"/>
  <c r="F1035" i="9"/>
  <c r="E1035" i="9"/>
  <c r="F1034" i="9"/>
  <c r="E1034" i="9"/>
  <c r="F1033" i="9"/>
  <c r="E1033" i="9"/>
  <c r="F1032" i="9"/>
  <c r="E1032" i="9"/>
  <c r="F1031" i="9"/>
  <c r="E1031" i="9"/>
  <c r="F1030" i="9"/>
  <c r="E1030" i="9"/>
  <c r="F1029" i="9"/>
  <c r="E1029" i="9"/>
  <c r="F1028" i="9"/>
  <c r="E1028" i="9"/>
  <c r="F1027" i="9"/>
  <c r="E1027" i="9"/>
  <c r="F1026" i="9"/>
  <c r="E1026" i="9"/>
  <c r="F1025" i="9"/>
  <c r="E1025" i="9"/>
  <c r="F1024" i="9"/>
  <c r="E1024" i="9"/>
  <c r="F1023" i="9"/>
  <c r="E1023" i="9"/>
  <c r="F1022" i="9"/>
  <c r="E1022" i="9"/>
  <c r="F1021" i="9"/>
  <c r="E1021" i="9"/>
  <c r="F1020" i="9"/>
  <c r="E1020" i="9"/>
  <c r="F1019" i="9"/>
  <c r="E1019" i="9"/>
  <c r="F1018" i="9"/>
  <c r="E1018" i="9"/>
  <c r="F1017" i="9"/>
  <c r="E1017" i="9"/>
  <c r="F1016" i="9"/>
  <c r="E1016" i="9"/>
  <c r="F1015" i="9"/>
  <c r="E1015" i="9"/>
  <c r="F1014" i="9"/>
  <c r="E1014" i="9"/>
  <c r="F1013" i="9"/>
  <c r="E1013" i="9"/>
  <c r="F1012" i="9"/>
  <c r="E1012" i="9"/>
  <c r="F1011" i="9"/>
  <c r="E1011" i="9"/>
  <c r="F1010" i="9"/>
  <c r="E1010" i="9"/>
  <c r="F1009" i="9"/>
  <c r="E1009" i="9"/>
  <c r="F1008" i="9"/>
  <c r="E1008" i="9"/>
  <c r="F1007" i="9"/>
  <c r="E1007" i="9"/>
  <c r="F1006" i="9"/>
  <c r="E1006" i="9"/>
  <c r="F1005" i="9"/>
  <c r="E1005" i="9"/>
  <c r="F1004" i="9"/>
  <c r="E1004" i="9"/>
  <c r="F1003" i="9"/>
  <c r="E1003" i="9"/>
  <c r="F1002" i="9"/>
  <c r="E1002" i="9"/>
  <c r="F1001" i="9"/>
  <c r="E1001" i="9"/>
  <c r="F1000" i="9"/>
  <c r="E1000" i="9"/>
  <c r="F999" i="9"/>
  <c r="E999" i="9"/>
  <c r="F998" i="9"/>
  <c r="E998" i="9"/>
  <c r="F997" i="9"/>
  <c r="E997" i="9"/>
  <c r="F996" i="9"/>
  <c r="E996" i="9"/>
  <c r="F995" i="9"/>
  <c r="E995" i="9"/>
  <c r="F994" i="9"/>
  <c r="E994" i="9"/>
  <c r="F993" i="9"/>
  <c r="E993" i="9"/>
  <c r="F992" i="9"/>
  <c r="E992" i="9"/>
  <c r="F991" i="9"/>
  <c r="E991" i="9"/>
  <c r="F990" i="9"/>
  <c r="E990" i="9"/>
  <c r="F989" i="9"/>
  <c r="E989" i="9"/>
  <c r="F988" i="9"/>
  <c r="E988" i="9"/>
  <c r="F987" i="9"/>
  <c r="E987" i="9"/>
  <c r="F986" i="9"/>
  <c r="E986" i="9"/>
  <c r="F985" i="9"/>
  <c r="E985" i="9"/>
  <c r="F984" i="9"/>
  <c r="E984" i="9"/>
  <c r="F983" i="9"/>
  <c r="E983" i="9"/>
  <c r="F982" i="9"/>
  <c r="E982" i="9"/>
  <c r="F981" i="9"/>
  <c r="E981" i="9"/>
  <c r="F980" i="9"/>
  <c r="E980" i="9"/>
  <c r="F979" i="9"/>
  <c r="E979" i="9"/>
  <c r="F978" i="9"/>
  <c r="E978" i="9"/>
  <c r="F977" i="9"/>
  <c r="E977" i="9"/>
  <c r="F976" i="9"/>
  <c r="E976" i="9"/>
  <c r="F975" i="9"/>
  <c r="E975" i="9"/>
  <c r="F974" i="9"/>
  <c r="E974" i="9"/>
  <c r="F973" i="9"/>
  <c r="E973" i="9"/>
  <c r="F972" i="9"/>
  <c r="E972" i="9"/>
  <c r="F971" i="9"/>
  <c r="E971" i="9"/>
  <c r="F970" i="9"/>
  <c r="E970" i="9"/>
  <c r="F969" i="9"/>
  <c r="E969" i="9"/>
  <c r="F968" i="9"/>
  <c r="E968" i="9"/>
  <c r="F967" i="9"/>
  <c r="E967" i="9"/>
  <c r="F966" i="9"/>
  <c r="E966" i="9"/>
  <c r="F965" i="9"/>
  <c r="E965" i="9"/>
  <c r="F964" i="9"/>
  <c r="E964" i="9"/>
  <c r="F963" i="9"/>
  <c r="E963" i="9"/>
  <c r="F962" i="9"/>
  <c r="E962" i="9"/>
  <c r="F961" i="9"/>
  <c r="E961" i="9"/>
  <c r="F960" i="9"/>
  <c r="E960" i="9"/>
  <c r="F959" i="9"/>
  <c r="E959" i="9"/>
  <c r="F958" i="9"/>
  <c r="E958" i="9"/>
  <c r="F957" i="9"/>
  <c r="E957" i="9"/>
  <c r="F956" i="9"/>
  <c r="E956" i="9"/>
  <c r="F955" i="9"/>
  <c r="E955" i="9"/>
  <c r="F954" i="9"/>
  <c r="E954" i="9"/>
  <c r="F953" i="9"/>
  <c r="E953" i="9"/>
  <c r="F952" i="9"/>
  <c r="E952" i="9"/>
  <c r="F951" i="9"/>
  <c r="E951" i="9"/>
  <c r="F950" i="9"/>
  <c r="E950" i="9"/>
  <c r="F949" i="9"/>
  <c r="E949" i="9"/>
  <c r="F948" i="9"/>
  <c r="E948" i="9"/>
  <c r="F947" i="9"/>
  <c r="E947" i="9"/>
  <c r="F946" i="9"/>
  <c r="E946" i="9"/>
  <c r="F945" i="9"/>
  <c r="E945" i="9"/>
  <c r="F944" i="9"/>
  <c r="E944" i="9"/>
  <c r="F943" i="9"/>
  <c r="E943" i="9"/>
  <c r="F942" i="9"/>
  <c r="E942" i="9"/>
  <c r="F941" i="9"/>
  <c r="E941" i="9"/>
  <c r="F940" i="9"/>
  <c r="E940" i="9"/>
  <c r="F939" i="9"/>
  <c r="E939" i="9"/>
  <c r="F938" i="9"/>
  <c r="E938" i="9"/>
  <c r="F937" i="9"/>
  <c r="E937" i="9"/>
  <c r="F936" i="9"/>
  <c r="E936" i="9"/>
  <c r="F935" i="9"/>
  <c r="E935" i="9"/>
  <c r="F934" i="9"/>
  <c r="E934" i="9"/>
  <c r="F933" i="9"/>
  <c r="E933" i="9"/>
  <c r="F932" i="9"/>
  <c r="E932" i="9"/>
  <c r="F931" i="9"/>
  <c r="E931" i="9"/>
  <c r="F930" i="9"/>
  <c r="E930" i="9"/>
  <c r="F929" i="9"/>
  <c r="E929" i="9"/>
  <c r="F928" i="9"/>
  <c r="E928" i="9"/>
  <c r="F927" i="9"/>
  <c r="E927" i="9"/>
  <c r="F926" i="9"/>
  <c r="E926" i="9"/>
  <c r="F925" i="9"/>
  <c r="E925" i="9"/>
  <c r="F924" i="9"/>
  <c r="E924" i="9"/>
  <c r="F923" i="9"/>
  <c r="E923" i="9"/>
  <c r="F922" i="9"/>
  <c r="E922" i="9"/>
  <c r="F921" i="9"/>
  <c r="E921" i="9"/>
  <c r="F920" i="9"/>
  <c r="E920" i="9"/>
  <c r="F919" i="9"/>
  <c r="E919" i="9"/>
  <c r="F918" i="9"/>
  <c r="E918" i="9"/>
  <c r="F917" i="9"/>
  <c r="E917" i="9"/>
  <c r="F916" i="9"/>
  <c r="E916" i="9"/>
  <c r="F915" i="9"/>
  <c r="E915" i="9"/>
  <c r="F914" i="9"/>
  <c r="E914" i="9"/>
  <c r="F913" i="9"/>
  <c r="E913" i="9"/>
  <c r="F912" i="9"/>
  <c r="E912" i="9"/>
  <c r="F911" i="9"/>
  <c r="E911" i="9"/>
  <c r="F910" i="9"/>
  <c r="E910" i="9"/>
  <c r="F909" i="9"/>
  <c r="E909" i="9"/>
  <c r="F908" i="9"/>
  <c r="E908" i="9"/>
  <c r="F907" i="9"/>
  <c r="E907" i="9"/>
  <c r="F906" i="9"/>
  <c r="E906" i="9"/>
  <c r="F905" i="9"/>
  <c r="E905" i="9"/>
  <c r="F904" i="9"/>
  <c r="E904" i="9"/>
  <c r="F903" i="9"/>
  <c r="E903" i="9"/>
  <c r="F902" i="9"/>
  <c r="E902" i="9"/>
  <c r="F901" i="9"/>
  <c r="E901" i="9"/>
  <c r="F900" i="9"/>
  <c r="E900" i="9"/>
  <c r="F899" i="9"/>
  <c r="E899" i="9"/>
  <c r="F898" i="9"/>
  <c r="E898" i="9"/>
  <c r="F897" i="9"/>
  <c r="E897" i="9"/>
  <c r="F896" i="9"/>
  <c r="E896" i="9"/>
  <c r="F895" i="9"/>
  <c r="E895" i="9"/>
  <c r="F894" i="9"/>
  <c r="E894" i="9"/>
  <c r="F893" i="9"/>
  <c r="E893" i="9"/>
  <c r="F892" i="9"/>
  <c r="E892" i="9"/>
  <c r="F891" i="9"/>
  <c r="E891" i="9"/>
  <c r="F890" i="9"/>
  <c r="E890" i="9"/>
  <c r="F889" i="9"/>
  <c r="E889" i="9"/>
  <c r="F888" i="9"/>
  <c r="E888" i="9"/>
  <c r="F887" i="9"/>
  <c r="E887" i="9"/>
  <c r="F886" i="9"/>
  <c r="E886" i="9"/>
  <c r="F885" i="9"/>
  <c r="E885" i="9"/>
  <c r="F884" i="9"/>
  <c r="E884" i="9"/>
  <c r="F883" i="9"/>
  <c r="E883" i="9"/>
  <c r="F882" i="9"/>
  <c r="E882" i="9"/>
  <c r="F881" i="9"/>
  <c r="E881" i="9"/>
  <c r="F880" i="9"/>
  <c r="E880" i="9"/>
  <c r="F879" i="9"/>
  <c r="E879" i="9"/>
  <c r="F878" i="9"/>
  <c r="E878" i="9"/>
  <c r="F877" i="9"/>
  <c r="E877" i="9"/>
  <c r="F876" i="9"/>
  <c r="E876" i="9"/>
  <c r="F875" i="9"/>
  <c r="E875" i="9"/>
  <c r="F874" i="9"/>
  <c r="E874" i="9"/>
  <c r="F873" i="9"/>
  <c r="E873" i="9"/>
  <c r="F872" i="9"/>
  <c r="E872" i="9"/>
  <c r="F871" i="9"/>
  <c r="E871" i="9"/>
  <c r="F870" i="9"/>
  <c r="E870" i="9"/>
  <c r="F869" i="9"/>
  <c r="E869" i="9"/>
  <c r="F868" i="9"/>
  <c r="E868" i="9"/>
  <c r="F867" i="9"/>
  <c r="E867" i="9"/>
  <c r="F866" i="9"/>
  <c r="E866" i="9"/>
  <c r="F865" i="9"/>
  <c r="E865" i="9"/>
  <c r="F864" i="9"/>
  <c r="E864" i="9"/>
  <c r="F863" i="9"/>
  <c r="E863" i="9"/>
  <c r="F862" i="9"/>
  <c r="E862" i="9"/>
  <c r="F861" i="9"/>
  <c r="E861" i="9"/>
  <c r="F860" i="9"/>
  <c r="E860" i="9"/>
  <c r="F859" i="9"/>
  <c r="E859" i="9"/>
  <c r="F858" i="9"/>
  <c r="E858" i="9"/>
  <c r="F857" i="9"/>
  <c r="E857" i="9"/>
  <c r="F856" i="9"/>
  <c r="E856" i="9"/>
  <c r="F855" i="9"/>
  <c r="E855" i="9"/>
  <c r="F854" i="9"/>
  <c r="E854" i="9"/>
  <c r="F853" i="9"/>
  <c r="E853" i="9"/>
  <c r="F852" i="9"/>
  <c r="E852" i="9"/>
  <c r="F851" i="9"/>
  <c r="E851" i="9"/>
  <c r="F850" i="9"/>
  <c r="E850" i="9"/>
  <c r="F849" i="9"/>
  <c r="E849" i="9"/>
  <c r="F848" i="9"/>
  <c r="E848" i="9"/>
  <c r="F847" i="9"/>
  <c r="E847" i="9"/>
  <c r="F846" i="9"/>
  <c r="E846" i="9"/>
  <c r="F845" i="9"/>
  <c r="E845" i="9"/>
  <c r="F844" i="9"/>
  <c r="E844" i="9"/>
  <c r="F843" i="9"/>
  <c r="E843" i="9"/>
  <c r="F842" i="9"/>
  <c r="E842" i="9"/>
  <c r="F841" i="9"/>
  <c r="E841" i="9"/>
  <c r="F840" i="9"/>
  <c r="E840" i="9"/>
  <c r="F839" i="9"/>
  <c r="E839" i="9"/>
  <c r="F838" i="9"/>
  <c r="E838" i="9"/>
  <c r="F837" i="9"/>
  <c r="E837" i="9"/>
  <c r="F836" i="9"/>
  <c r="E836" i="9"/>
  <c r="F835" i="9"/>
  <c r="E835" i="9"/>
  <c r="F834" i="9"/>
  <c r="E834" i="9"/>
  <c r="F833" i="9"/>
  <c r="E833" i="9"/>
  <c r="F832" i="9"/>
  <c r="E832" i="9"/>
  <c r="F831" i="9"/>
  <c r="E831" i="9"/>
  <c r="F830" i="9"/>
  <c r="E830" i="9"/>
  <c r="F829" i="9"/>
  <c r="E829" i="9"/>
  <c r="F828" i="9"/>
  <c r="E828" i="9"/>
  <c r="F827" i="9"/>
  <c r="E827" i="9"/>
  <c r="F826" i="9"/>
  <c r="E826" i="9"/>
  <c r="F825" i="9"/>
  <c r="E825" i="9"/>
  <c r="F824" i="9"/>
  <c r="E824" i="9"/>
  <c r="F823" i="9"/>
  <c r="E823" i="9"/>
  <c r="F822" i="9"/>
  <c r="E822" i="9"/>
  <c r="F821" i="9"/>
  <c r="E821" i="9"/>
  <c r="F820" i="9"/>
  <c r="E820" i="9"/>
  <c r="F819" i="9"/>
  <c r="E819" i="9"/>
  <c r="F818" i="9"/>
  <c r="E818" i="9"/>
  <c r="F817" i="9"/>
  <c r="E817" i="9"/>
  <c r="F816" i="9"/>
  <c r="E816" i="9"/>
  <c r="F815" i="9"/>
  <c r="E815" i="9"/>
  <c r="F814" i="9"/>
  <c r="E814" i="9"/>
  <c r="F813" i="9"/>
  <c r="E813" i="9"/>
  <c r="F812" i="9"/>
  <c r="E812" i="9"/>
  <c r="F811" i="9"/>
  <c r="E811" i="9"/>
  <c r="F810" i="9"/>
  <c r="E810" i="9"/>
  <c r="F809" i="9"/>
  <c r="E809" i="9"/>
  <c r="F808" i="9"/>
  <c r="E808" i="9"/>
  <c r="F807" i="9"/>
  <c r="E807" i="9"/>
  <c r="F806" i="9"/>
  <c r="E806" i="9"/>
  <c r="F805" i="9"/>
  <c r="E805" i="9"/>
  <c r="F804" i="9"/>
  <c r="E804" i="9"/>
  <c r="F803" i="9"/>
  <c r="E803" i="9"/>
  <c r="F802" i="9"/>
  <c r="E802" i="9"/>
  <c r="F801" i="9"/>
  <c r="E801" i="9"/>
  <c r="F800" i="9"/>
  <c r="E800" i="9"/>
  <c r="F799" i="9"/>
  <c r="E799" i="9"/>
  <c r="F798" i="9"/>
  <c r="E798" i="9"/>
  <c r="F797" i="9"/>
  <c r="E797" i="9"/>
  <c r="F796" i="9"/>
  <c r="E796" i="9"/>
  <c r="F795" i="9"/>
  <c r="E795" i="9"/>
  <c r="F794" i="9"/>
  <c r="E794" i="9"/>
  <c r="F793" i="9"/>
  <c r="E793" i="9"/>
  <c r="F792" i="9"/>
  <c r="E792" i="9"/>
  <c r="F791" i="9"/>
  <c r="E791" i="9"/>
  <c r="F790" i="9"/>
  <c r="E790" i="9"/>
  <c r="F789" i="9"/>
  <c r="E789" i="9"/>
  <c r="F788" i="9"/>
  <c r="E788" i="9"/>
  <c r="F787" i="9"/>
  <c r="E787" i="9"/>
  <c r="F786" i="9"/>
  <c r="E786" i="9"/>
  <c r="F785" i="9"/>
  <c r="E785" i="9"/>
  <c r="F784" i="9"/>
  <c r="E784" i="9"/>
  <c r="F783" i="9"/>
  <c r="E783" i="9"/>
  <c r="F782" i="9"/>
  <c r="E782" i="9"/>
  <c r="F781" i="9"/>
  <c r="E781" i="9"/>
  <c r="F780" i="9"/>
  <c r="E780" i="9"/>
  <c r="F779" i="9"/>
  <c r="E779" i="9"/>
  <c r="F778" i="9"/>
  <c r="E778" i="9"/>
  <c r="F777" i="9"/>
  <c r="E777" i="9"/>
  <c r="F776" i="9"/>
  <c r="E776" i="9"/>
  <c r="F775" i="9"/>
  <c r="E775" i="9"/>
  <c r="F774" i="9"/>
  <c r="E774" i="9"/>
  <c r="F773" i="9"/>
  <c r="E773" i="9"/>
  <c r="F772" i="9"/>
  <c r="E772" i="9"/>
  <c r="F771" i="9"/>
  <c r="E771" i="9"/>
  <c r="F770" i="9"/>
  <c r="E770" i="9"/>
  <c r="F769" i="9"/>
  <c r="E769" i="9"/>
  <c r="F768" i="9"/>
  <c r="E768" i="9"/>
  <c r="F767" i="9"/>
  <c r="E767" i="9"/>
  <c r="F766" i="9"/>
  <c r="E766" i="9"/>
  <c r="F765" i="9"/>
  <c r="E765" i="9"/>
  <c r="F764" i="9"/>
  <c r="E764" i="9"/>
  <c r="F763" i="9"/>
  <c r="E763" i="9"/>
  <c r="F762" i="9"/>
  <c r="E762" i="9"/>
  <c r="F761" i="9"/>
  <c r="E761" i="9"/>
  <c r="F760" i="9"/>
  <c r="E760" i="9"/>
  <c r="F759" i="9"/>
  <c r="E759" i="9"/>
  <c r="F758" i="9"/>
  <c r="E758" i="9"/>
  <c r="F757" i="9"/>
  <c r="E757" i="9"/>
  <c r="F756" i="9"/>
  <c r="E756" i="9"/>
  <c r="F755" i="9"/>
  <c r="E755" i="9"/>
  <c r="F754" i="9"/>
  <c r="E754" i="9"/>
  <c r="F753" i="9"/>
  <c r="E753" i="9"/>
  <c r="F752" i="9"/>
  <c r="E752" i="9"/>
  <c r="F751" i="9"/>
  <c r="E751" i="9"/>
  <c r="F750" i="9"/>
  <c r="E750" i="9"/>
  <c r="F749" i="9"/>
  <c r="E749" i="9"/>
  <c r="F748" i="9"/>
  <c r="E748" i="9"/>
  <c r="F747" i="9"/>
  <c r="E747" i="9"/>
  <c r="F746" i="9"/>
  <c r="E746" i="9"/>
  <c r="F745" i="9"/>
  <c r="E745" i="9"/>
  <c r="F744" i="9"/>
  <c r="E744" i="9"/>
  <c r="F743" i="9"/>
  <c r="E743" i="9"/>
  <c r="F742" i="9"/>
  <c r="E742" i="9"/>
  <c r="F741" i="9"/>
  <c r="E741" i="9"/>
  <c r="F740" i="9"/>
  <c r="E740" i="9"/>
  <c r="F739" i="9"/>
  <c r="E739" i="9"/>
  <c r="F738" i="9"/>
  <c r="E738" i="9"/>
  <c r="F737" i="9"/>
  <c r="E737" i="9"/>
  <c r="F736" i="9"/>
  <c r="E736" i="9"/>
  <c r="F735" i="9"/>
  <c r="E735" i="9"/>
  <c r="F734" i="9"/>
  <c r="E734" i="9"/>
  <c r="F733" i="9"/>
  <c r="E733" i="9"/>
  <c r="F732" i="9"/>
  <c r="E732" i="9"/>
  <c r="F731" i="9"/>
  <c r="E731" i="9"/>
  <c r="F730" i="9"/>
  <c r="E730" i="9"/>
  <c r="F729" i="9"/>
  <c r="E729" i="9"/>
  <c r="F728" i="9"/>
  <c r="E728" i="9"/>
  <c r="F727" i="9"/>
  <c r="E727" i="9"/>
  <c r="F726" i="9"/>
  <c r="E726" i="9"/>
  <c r="F725" i="9"/>
  <c r="E725" i="9"/>
  <c r="F724" i="9"/>
  <c r="E724" i="9"/>
  <c r="F723" i="9"/>
  <c r="E723" i="9"/>
  <c r="F722" i="9"/>
  <c r="E722" i="9"/>
  <c r="F721" i="9"/>
  <c r="E721" i="9"/>
  <c r="F720" i="9"/>
  <c r="E720" i="9"/>
  <c r="F719" i="9"/>
  <c r="E719" i="9"/>
  <c r="F718" i="9"/>
  <c r="E718" i="9"/>
  <c r="F717" i="9"/>
  <c r="E717" i="9"/>
  <c r="F716" i="9"/>
  <c r="E716" i="9"/>
  <c r="F715" i="9"/>
  <c r="E715" i="9"/>
  <c r="F714" i="9"/>
  <c r="E714" i="9"/>
  <c r="F713" i="9"/>
  <c r="E713" i="9"/>
  <c r="F712" i="9"/>
  <c r="E712" i="9"/>
  <c r="F711" i="9"/>
  <c r="E711" i="9"/>
  <c r="F710" i="9"/>
  <c r="E710" i="9"/>
  <c r="F709" i="9"/>
  <c r="E709" i="9"/>
  <c r="F708" i="9"/>
  <c r="E708" i="9"/>
  <c r="F707" i="9"/>
  <c r="E707" i="9"/>
  <c r="F706" i="9"/>
  <c r="E706" i="9"/>
  <c r="F705" i="9"/>
  <c r="E705" i="9"/>
  <c r="F704" i="9"/>
  <c r="E704" i="9"/>
  <c r="F703" i="9"/>
  <c r="E703" i="9"/>
  <c r="F702" i="9"/>
  <c r="E702" i="9"/>
  <c r="F701" i="9"/>
  <c r="E701" i="9"/>
  <c r="F700" i="9"/>
  <c r="E700" i="9"/>
  <c r="F699" i="9"/>
  <c r="E699" i="9"/>
  <c r="F698" i="9"/>
  <c r="E698" i="9"/>
  <c r="F697" i="9"/>
  <c r="E697" i="9"/>
  <c r="F696" i="9"/>
  <c r="E696" i="9"/>
  <c r="F695" i="9"/>
  <c r="E695" i="9"/>
  <c r="F694" i="9"/>
  <c r="E694" i="9"/>
  <c r="F693" i="9"/>
  <c r="E693" i="9"/>
  <c r="F692" i="9"/>
  <c r="E692" i="9"/>
  <c r="F691" i="9"/>
  <c r="E691" i="9"/>
  <c r="F690" i="9"/>
  <c r="E690" i="9"/>
  <c r="F689" i="9"/>
  <c r="E689" i="9"/>
  <c r="F688" i="9"/>
  <c r="E688" i="9"/>
  <c r="F687" i="9"/>
  <c r="E687" i="9"/>
  <c r="F686" i="9"/>
  <c r="E686" i="9"/>
  <c r="F685" i="9"/>
  <c r="E685" i="9"/>
  <c r="F684" i="9"/>
  <c r="E684" i="9"/>
  <c r="F683" i="9"/>
  <c r="E683" i="9"/>
  <c r="F682" i="9"/>
  <c r="E682" i="9"/>
  <c r="F681" i="9"/>
  <c r="E681" i="9"/>
  <c r="F680" i="9"/>
  <c r="E680" i="9"/>
  <c r="F679" i="9"/>
  <c r="E679" i="9"/>
  <c r="F678" i="9"/>
  <c r="E678" i="9"/>
  <c r="F677" i="9"/>
  <c r="E677" i="9"/>
  <c r="F676" i="9"/>
  <c r="E676" i="9"/>
  <c r="F675" i="9"/>
  <c r="E675" i="9"/>
  <c r="F674" i="9"/>
  <c r="E674" i="9"/>
  <c r="F673" i="9"/>
  <c r="E673" i="9"/>
  <c r="F672" i="9"/>
  <c r="E672" i="9"/>
  <c r="F671" i="9"/>
  <c r="E671" i="9"/>
  <c r="F670" i="9"/>
  <c r="E670" i="9"/>
  <c r="F669" i="9"/>
  <c r="E669" i="9"/>
  <c r="F668" i="9"/>
  <c r="E668" i="9"/>
  <c r="F667" i="9"/>
  <c r="E667" i="9"/>
  <c r="F666" i="9"/>
  <c r="E666" i="9"/>
  <c r="F665" i="9"/>
  <c r="E665" i="9"/>
  <c r="F664" i="9"/>
  <c r="E664" i="9"/>
  <c r="F663" i="9"/>
  <c r="E663" i="9"/>
  <c r="F662" i="9"/>
  <c r="E662" i="9"/>
  <c r="F661" i="9"/>
  <c r="E661" i="9"/>
  <c r="F660" i="9"/>
  <c r="E660" i="9"/>
  <c r="F659" i="9"/>
  <c r="E659" i="9"/>
  <c r="F658" i="9"/>
  <c r="E658" i="9"/>
  <c r="F657" i="9"/>
  <c r="E657" i="9"/>
  <c r="F656" i="9"/>
  <c r="E656" i="9"/>
  <c r="F655" i="9"/>
  <c r="E655" i="9"/>
  <c r="F654" i="9"/>
  <c r="E654" i="9"/>
  <c r="F653" i="9"/>
  <c r="E653" i="9"/>
  <c r="F652" i="9"/>
  <c r="E652" i="9"/>
  <c r="F651" i="9"/>
  <c r="E651" i="9"/>
  <c r="F650" i="9"/>
  <c r="E650" i="9"/>
  <c r="F649" i="9"/>
  <c r="E649" i="9"/>
  <c r="F648" i="9"/>
  <c r="E648" i="9"/>
  <c r="F647" i="9"/>
  <c r="E647" i="9"/>
  <c r="F646" i="9"/>
  <c r="E646" i="9"/>
  <c r="F645" i="9"/>
  <c r="E645" i="9"/>
  <c r="F644" i="9"/>
  <c r="E644" i="9"/>
  <c r="F643" i="9"/>
  <c r="E643" i="9"/>
  <c r="F642" i="9"/>
  <c r="E642" i="9"/>
  <c r="F641" i="9"/>
  <c r="E641" i="9"/>
  <c r="F640" i="9"/>
  <c r="E640" i="9"/>
  <c r="F639" i="9"/>
  <c r="E639" i="9"/>
  <c r="F638" i="9"/>
  <c r="E638" i="9"/>
  <c r="F637" i="9"/>
  <c r="E637" i="9"/>
  <c r="F636" i="9"/>
  <c r="E636" i="9"/>
  <c r="F635" i="9"/>
  <c r="E635" i="9"/>
  <c r="F634" i="9"/>
  <c r="E634" i="9"/>
  <c r="F633" i="9"/>
  <c r="E633" i="9"/>
  <c r="F632" i="9"/>
  <c r="E632" i="9"/>
  <c r="F631" i="9"/>
  <c r="E631" i="9"/>
  <c r="F630" i="9"/>
  <c r="E630" i="9"/>
  <c r="F629" i="9"/>
  <c r="E629" i="9"/>
  <c r="F628" i="9"/>
  <c r="E628" i="9"/>
  <c r="F627" i="9"/>
  <c r="E627" i="9"/>
  <c r="F626" i="9"/>
  <c r="E626" i="9"/>
  <c r="F625" i="9"/>
  <c r="E625" i="9"/>
  <c r="F624" i="9"/>
  <c r="E624" i="9"/>
  <c r="F623" i="9"/>
  <c r="E623" i="9"/>
  <c r="F622" i="9"/>
  <c r="E622" i="9"/>
  <c r="F621" i="9"/>
  <c r="E621" i="9"/>
  <c r="F620" i="9"/>
  <c r="E620" i="9"/>
  <c r="F619" i="9"/>
  <c r="E619" i="9"/>
  <c r="F618" i="9"/>
  <c r="E618" i="9"/>
  <c r="F617" i="9"/>
  <c r="E617" i="9"/>
  <c r="F616" i="9"/>
  <c r="E616" i="9"/>
  <c r="F615" i="9"/>
  <c r="E615" i="9"/>
  <c r="F614" i="9"/>
  <c r="E614" i="9"/>
  <c r="F613" i="9"/>
  <c r="E613" i="9"/>
  <c r="F612" i="9"/>
  <c r="E612" i="9"/>
  <c r="F611" i="9"/>
  <c r="E611" i="9"/>
  <c r="F610" i="9"/>
  <c r="E610" i="9"/>
  <c r="F609" i="9"/>
  <c r="E609" i="9"/>
  <c r="F608" i="9"/>
  <c r="E608" i="9"/>
  <c r="F607" i="9"/>
  <c r="E607" i="9"/>
  <c r="F606" i="9"/>
  <c r="E606" i="9"/>
  <c r="F605" i="9"/>
  <c r="E605" i="9"/>
  <c r="F604" i="9"/>
  <c r="E604" i="9"/>
  <c r="F603" i="9"/>
  <c r="E603" i="9"/>
  <c r="F602" i="9"/>
  <c r="E602" i="9"/>
  <c r="F601" i="9"/>
  <c r="E601" i="9"/>
  <c r="F600" i="9"/>
  <c r="E600" i="9"/>
  <c r="F599" i="9"/>
  <c r="E599" i="9"/>
  <c r="F598" i="9"/>
  <c r="E598" i="9"/>
  <c r="F597" i="9"/>
  <c r="E597" i="9"/>
  <c r="F596" i="9"/>
  <c r="E596" i="9"/>
  <c r="F595" i="9"/>
  <c r="E595" i="9"/>
  <c r="F594" i="9"/>
  <c r="E594" i="9"/>
  <c r="F593" i="9"/>
  <c r="E593" i="9"/>
  <c r="F592" i="9"/>
  <c r="E592" i="9"/>
  <c r="F591" i="9"/>
  <c r="E591" i="9"/>
  <c r="F590" i="9"/>
  <c r="E590" i="9"/>
  <c r="F589" i="9"/>
  <c r="E589" i="9"/>
  <c r="F588" i="9"/>
  <c r="E588" i="9"/>
  <c r="F587" i="9"/>
  <c r="E587" i="9"/>
  <c r="F586" i="9"/>
  <c r="E586" i="9"/>
  <c r="F585" i="9"/>
  <c r="E585" i="9"/>
  <c r="F584" i="9"/>
  <c r="E584" i="9"/>
  <c r="F583" i="9"/>
  <c r="E583" i="9"/>
  <c r="F582" i="9"/>
  <c r="E582" i="9"/>
  <c r="F581" i="9"/>
  <c r="E581" i="9"/>
  <c r="F580" i="9"/>
  <c r="E580" i="9"/>
  <c r="F579" i="9"/>
  <c r="E579" i="9"/>
  <c r="F578" i="9"/>
  <c r="E578" i="9"/>
  <c r="F577" i="9"/>
  <c r="E577" i="9"/>
  <c r="F576" i="9"/>
  <c r="E576" i="9"/>
  <c r="F575" i="9"/>
  <c r="E575" i="9"/>
  <c r="F574" i="9"/>
  <c r="E574" i="9"/>
  <c r="F573" i="9"/>
  <c r="E573" i="9"/>
  <c r="F572" i="9"/>
  <c r="E572" i="9"/>
  <c r="F571" i="9"/>
  <c r="E571" i="9"/>
  <c r="F570" i="9"/>
  <c r="E570" i="9"/>
  <c r="F569" i="9"/>
  <c r="E569" i="9"/>
  <c r="F568" i="9"/>
  <c r="E568" i="9"/>
  <c r="F567" i="9"/>
  <c r="E567" i="9"/>
  <c r="F566" i="9"/>
  <c r="E566" i="9"/>
  <c r="F565" i="9"/>
  <c r="E565" i="9"/>
  <c r="F564" i="9"/>
  <c r="E564" i="9"/>
  <c r="F563" i="9"/>
  <c r="E563" i="9"/>
  <c r="F562" i="9"/>
  <c r="E562" i="9"/>
  <c r="F561" i="9"/>
  <c r="E561" i="9"/>
  <c r="F560" i="9"/>
  <c r="E560" i="9"/>
  <c r="F559" i="9"/>
  <c r="E559" i="9"/>
  <c r="F558" i="9"/>
  <c r="E558" i="9"/>
  <c r="F557" i="9"/>
  <c r="E557" i="9"/>
  <c r="F556" i="9"/>
  <c r="E556" i="9"/>
  <c r="F555" i="9"/>
  <c r="E555" i="9"/>
  <c r="F554" i="9"/>
  <c r="E554" i="9"/>
  <c r="F553" i="9"/>
  <c r="E553" i="9"/>
  <c r="F552" i="9"/>
  <c r="E552" i="9"/>
  <c r="F551" i="9"/>
  <c r="E551" i="9"/>
  <c r="F550" i="9"/>
  <c r="E550" i="9"/>
  <c r="F549" i="9"/>
  <c r="E549" i="9"/>
  <c r="F548" i="9"/>
  <c r="E548" i="9"/>
  <c r="F547" i="9"/>
  <c r="E547" i="9"/>
  <c r="F546" i="9"/>
  <c r="E546" i="9"/>
  <c r="F545" i="9"/>
  <c r="E545" i="9"/>
  <c r="F544" i="9"/>
  <c r="E544" i="9"/>
  <c r="F543" i="9"/>
  <c r="E543" i="9"/>
  <c r="F542" i="9"/>
  <c r="E542" i="9"/>
  <c r="F541" i="9"/>
  <c r="E541" i="9"/>
  <c r="F540" i="9"/>
  <c r="E540" i="9"/>
  <c r="F539" i="9"/>
  <c r="E539" i="9"/>
  <c r="F538" i="9"/>
  <c r="E538" i="9"/>
  <c r="F537" i="9"/>
  <c r="E537" i="9"/>
  <c r="F536" i="9"/>
  <c r="E536" i="9"/>
  <c r="F535" i="9"/>
  <c r="E535" i="9"/>
  <c r="F534" i="9"/>
  <c r="E534" i="9"/>
  <c r="F533" i="9"/>
  <c r="E533" i="9"/>
  <c r="F532" i="9"/>
  <c r="E532" i="9"/>
  <c r="F531" i="9"/>
  <c r="E531" i="9"/>
  <c r="F530" i="9"/>
  <c r="E530" i="9"/>
  <c r="F529" i="9"/>
  <c r="E529" i="9"/>
  <c r="F528" i="9"/>
  <c r="E528" i="9"/>
  <c r="F527" i="9"/>
  <c r="E527" i="9"/>
  <c r="F526" i="9"/>
  <c r="E526" i="9"/>
  <c r="F525" i="9"/>
  <c r="E525" i="9"/>
  <c r="F524" i="9"/>
  <c r="E524" i="9"/>
  <c r="F523" i="9"/>
  <c r="E523" i="9"/>
  <c r="F522" i="9"/>
  <c r="E522" i="9"/>
  <c r="F521" i="9"/>
  <c r="E521" i="9"/>
  <c r="F520" i="9"/>
  <c r="E520" i="9"/>
  <c r="F519" i="9"/>
  <c r="E519" i="9"/>
  <c r="F518" i="9"/>
  <c r="E518" i="9"/>
  <c r="F517" i="9"/>
  <c r="E517" i="9"/>
  <c r="F516" i="9"/>
  <c r="E516" i="9"/>
  <c r="F515" i="9"/>
  <c r="E515" i="9"/>
  <c r="F514" i="9"/>
  <c r="E514" i="9"/>
  <c r="F513" i="9"/>
  <c r="E513" i="9"/>
  <c r="F512" i="9"/>
  <c r="E512" i="9"/>
  <c r="F511" i="9"/>
  <c r="E511" i="9"/>
  <c r="F510" i="9"/>
  <c r="E510" i="9"/>
  <c r="F509" i="9"/>
  <c r="E509" i="9"/>
  <c r="F508" i="9"/>
  <c r="E508" i="9"/>
  <c r="F507" i="9"/>
  <c r="E507" i="9"/>
  <c r="F506" i="9"/>
  <c r="E506" i="9"/>
  <c r="F505" i="9"/>
  <c r="E505" i="9"/>
  <c r="F504" i="9"/>
  <c r="E504" i="9"/>
  <c r="F503" i="9"/>
  <c r="E503" i="9"/>
  <c r="F502" i="9"/>
  <c r="E502" i="9"/>
  <c r="F501" i="9"/>
  <c r="E501" i="9"/>
  <c r="F500" i="9"/>
  <c r="E500" i="9"/>
  <c r="F499" i="9"/>
  <c r="E499" i="9"/>
  <c r="F498" i="9"/>
  <c r="E498" i="9"/>
  <c r="F497" i="9"/>
  <c r="E497" i="9"/>
  <c r="F496" i="9"/>
  <c r="E496" i="9"/>
  <c r="F495" i="9"/>
  <c r="E495" i="9"/>
  <c r="F494" i="9"/>
  <c r="E494" i="9"/>
  <c r="F493" i="9"/>
  <c r="E493" i="9"/>
  <c r="F492" i="9"/>
  <c r="E492" i="9"/>
  <c r="F491" i="9"/>
  <c r="E491" i="9"/>
  <c r="F490" i="9"/>
  <c r="E490" i="9"/>
  <c r="F489" i="9"/>
  <c r="E489" i="9"/>
  <c r="F488" i="9"/>
  <c r="E488" i="9"/>
  <c r="F487" i="9"/>
  <c r="E487" i="9"/>
  <c r="F486" i="9"/>
  <c r="E486" i="9"/>
  <c r="F485" i="9"/>
  <c r="E485" i="9"/>
  <c r="F484" i="9"/>
  <c r="E484" i="9"/>
  <c r="F483" i="9"/>
  <c r="E483" i="9"/>
  <c r="F482" i="9"/>
  <c r="E482" i="9"/>
  <c r="F481" i="9"/>
  <c r="E481" i="9"/>
  <c r="F480" i="9"/>
  <c r="E480" i="9"/>
  <c r="F479" i="9"/>
  <c r="E479" i="9"/>
  <c r="F478" i="9"/>
  <c r="E478" i="9"/>
  <c r="F477" i="9"/>
  <c r="E477" i="9"/>
  <c r="F476" i="9"/>
  <c r="E476" i="9"/>
  <c r="F475" i="9"/>
  <c r="E475" i="9"/>
  <c r="F474" i="9"/>
  <c r="E474" i="9"/>
  <c r="F473" i="9"/>
  <c r="E473" i="9"/>
  <c r="F472" i="9"/>
  <c r="E472" i="9"/>
  <c r="F471" i="9"/>
  <c r="E471" i="9"/>
  <c r="F470" i="9"/>
  <c r="E470" i="9"/>
  <c r="F469" i="9"/>
  <c r="E469" i="9"/>
  <c r="F468" i="9"/>
  <c r="E468" i="9"/>
  <c r="F467" i="9"/>
  <c r="E467" i="9"/>
  <c r="F466" i="9"/>
  <c r="E466" i="9"/>
  <c r="F465" i="9"/>
  <c r="E465" i="9"/>
  <c r="F464" i="9"/>
  <c r="E464" i="9"/>
  <c r="F463" i="9"/>
  <c r="E463" i="9"/>
  <c r="F462" i="9"/>
  <c r="E462" i="9"/>
  <c r="F461" i="9"/>
  <c r="E461" i="9"/>
  <c r="F460" i="9"/>
  <c r="E460" i="9"/>
  <c r="F459" i="9"/>
  <c r="E459" i="9"/>
  <c r="F458" i="9"/>
  <c r="E458" i="9"/>
  <c r="F457" i="9"/>
  <c r="E457" i="9"/>
  <c r="F456" i="9"/>
  <c r="E456" i="9"/>
  <c r="F455" i="9"/>
  <c r="E455" i="9"/>
  <c r="F454" i="9"/>
  <c r="E454" i="9"/>
  <c r="F453" i="9"/>
  <c r="E453" i="9"/>
  <c r="F452" i="9"/>
  <c r="E452" i="9"/>
  <c r="F451" i="9"/>
  <c r="E451" i="9"/>
  <c r="F450" i="9"/>
  <c r="E450" i="9"/>
  <c r="F449" i="9"/>
  <c r="E449" i="9"/>
  <c r="F448" i="9"/>
  <c r="E448" i="9"/>
  <c r="F447" i="9"/>
  <c r="E447" i="9"/>
  <c r="F446" i="9"/>
  <c r="E446" i="9"/>
  <c r="F445" i="9"/>
  <c r="E445" i="9"/>
  <c r="F444" i="9"/>
  <c r="E444" i="9"/>
  <c r="F443" i="9"/>
  <c r="E443" i="9"/>
  <c r="F442" i="9"/>
  <c r="E442" i="9"/>
  <c r="F441" i="9"/>
  <c r="E441" i="9"/>
  <c r="F440" i="9"/>
  <c r="E440" i="9"/>
  <c r="F439" i="9"/>
  <c r="E439" i="9"/>
  <c r="F438" i="9"/>
  <c r="E438" i="9"/>
  <c r="F437" i="9"/>
  <c r="E437" i="9"/>
  <c r="F436" i="9"/>
  <c r="E436" i="9"/>
  <c r="F435" i="9"/>
  <c r="E435" i="9"/>
  <c r="F434" i="9"/>
  <c r="E434" i="9"/>
  <c r="F433" i="9"/>
  <c r="E433" i="9"/>
  <c r="F432" i="9"/>
  <c r="E432" i="9"/>
  <c r="F431" i="9"/>
  <c r="E431" i="9"/>
  <c r="F430" i="9"/>
  <c r="E430" i="9"/>
  <c r="F429" i="9"/>
  <c r="E429" i="9"/>
  <c r="F428" i="9"/>
  <c r="E428" i="9"/>
  <c r="F427" i="9"/>
  <c r="E427" i="9"/>
  <c r="F426" i="9"/>
  <c r="E426" i="9"/>
  <c r="F425" i="9"/>
  <c r="E425" i="9"/>
  <c r="F424" i="9"/>
  <c r="E424" i="9"/>
  <c r="F423" i="9"/>
  <c r="E423" i="9"/>
  <c r="F422" i="9"/>
  <c r="E422" i="9"/>
  <c r="F421" i="9"/>
  <c r="E421" i="9"/>
  <c r="F420" i="9"/>
  <c r="E420" i="9"/>
  <c r="F419" i="9"/>
  <c r="E419" i="9"/>
  <c r="F418" i="9"/>
  <c r="E418" i="9"/>
  <c r="F417" i="9"/>
  <c r="E417" i="9"/>
  <c r="F416" i="9"/>
  <c r="E416" i="9"/>
  <c r="F415" i="9"/>
  <c r="E415" i="9"/>
  <c r="F414" i="9"/>
  <c r="E414" i="9"/>
  <c r="F413" i="9"/>
  <c r="E413" i="9"/>
  <c r="F412" i="9"/>
  <c r="E412" i="9"/>
  <c r="F411" i="9"/>
  <c r="E411" i="9"/>
  <c r="F410" i="9"/>
  <c r="E410" i="9"/>
  <c r="F409" i="9"/>
  <c r="E409" i="9"/>
  <c r="F408" i="9"/>
  <c r="E408" i="9"/>
  <c r="F407" i="9"/>
  <c r="E407" i="9"/>
  <c r="F406" i="9"/>
  <c r="E406" i="9"/>
  <c r="F405" i="9"/>
  <c r="E405" i="9"/>
  <c r="F404" i="9"/>
  <c r="E404" i="9"/>
  <c r="F403" i="9"/>
  <c r="E403" i="9"/>
  <c r="F402" i="9"/>
  <c r="E402" i="9"/>
  <c r="F401" i="9"/>
  <c r="E401" i="9"/>
  <c r="F400" i="9"/>
  <c r="E400" i="9"/>
  <c r="F399" i="9"/>
  <c r="E399" i="9"/>
  <c r="F398" i="9"/>
  <c r="E398" i="9"/>
  <c r="F397" i="9"/>
  <c r="E397" i="9"/>
  <c r="F396" i="9"/>
  <c r="E396" i="9"/>
  <c r="F395" i="9"/>
  <c r="E395" i="9"/>
  <c r="F394" i="9"/>
  <c r="E394" i="9"/>
  <c r="F393" i="9"/>
  <c r="E393" i="9"/>
  <c r="F392" i="9"/>
  <c r="E392" i="9"/>
  <c r="F391" i="9"/>
  <c r="E391" i="9"/>
  <c r="F390" i="9"/>
  <c r="E390" i="9"/>
  <c r="F389" i="9"/>
  <c r="E389" i="9"/>
  <c r="F388" i="9"/>
  <c r="E388" i="9"/>
  <c r="F387" i="9"/>
  <c r="E387" i="9"/>
  <c r="F386" i="9"/>
  <c r="E386" i="9"/>
  <c r="F385" i="9"/>
  <c r="E385" i="9"/>
  <c r="F384" i="9"/>
  <c r="E384" i="9"/>
  <c r="F383" i="9"/>
  <c r="E383" i="9"/>
  <c r="F382" i="9"/>
  <c r="E382" i="9"/>
  <c r="F381" i="9"/>
  <c r="E381" i="9"/>
  <c r="F380" i="9"/>
  <c r="E380" i="9"/>
  <c r="F379" i="9"/>
  <c r="E379" i="9"/>
  <c r="F378" i="9"/>
  <c r="E378" i="9"/>
  <c r="F377" i="9"/>
  <c r="E377" i="9"/>
  <c r="F376" i="9"/>
  <c r="E376" i="9"/>
  <c r="F375" i="9"/>
  <c r="E375" i="9"/>
  <c r="F374" i="9"/>
  <c r="E374" i="9"/>
  <c r="F373" i="9"/>
  <c r="E373" i="9"/>
  <c r="F372" i="9"/>
  <c r="E372" i="9"/>
  <c r="F371" i="9"/>
  <c r="E371" i="9"/>
  <c r="F370" i="9"/>
  <c r="E370" i="9"/>
  <c r="F369" i="9"/>
  <c r="E369" i="9"/>
  <c r="F368" i="9"/>
  <c r="E368" i="9"/>
  <c r="F367" i="9"/>
  <c r="E367" i="9"/>
  <c r="F366" i="9"/>
  <c r="E366" i="9"/>
  <c r="F365" i="9"/>
  <c r="E365" i="9"/>
  <c r="F364" i="9"/>
  <c r="E364" i="9"/>
  <c r="F363" i="9"/>
  <c r="E363" i="9"/>
  <c r="F362" i="9"/>
  <c r="E362" i="9"/>
  <c r="F361" i="9"/>
  <c r="E361" i="9"/>
  <c r="F360" i="9"/>
  <c r="E360" i="9"/>
  <c r="F359" i="9"/>
  <c r="E359" i="9"/>
  <c r="F358" i="9"/>
  <c r="E358" i="9"/>
  <c r="F357" i="9"/>
  <c r="E357" i="9"/>
  <c r="F356" i="9"/>
  <c r="E356" i="9"/>
  <c r="F355" i="9"/>
  <c r="E355" i="9"/>
  <c r="F354" i="9"/>
  <c r="E354" i="9"/>
  <c r="F353" i="9"/>
  <c r="E353" i="9"/>
  <c r="F352" i="9"/>
  <c r="E352" i="9"/>
  <c r="F351" i="9"/>
  <c r="E351" i="9"/>
  <c r="F350" i="9"/>
  <c r="E350" i="9"/>
  <c r="F349" i="9"/>
  <c r="E349" i="9"/>
  <c r="F348" i="9"/>
  <c r="E348" i="9"/>
  <c r="F347" i="9"/>
  <c r="E347" i="9"/>
  <c r="F346" i="9"/>
  <c r="E346" i="9"/>
  <c r="F345" i="9"/>
  <c r="E345" i="9"/>
  <c r="F344" i="9"/>
  <c r="E344" i="9"/>
  <c r="F343" i="9"/>
  <c r="E343" i="9"/>
  <c r="F342" i="9"/>
  <c r="E342" i="9"/>
  <c r="F341" i="9"/>
  <c r="E341" i="9"/>
  <c r="F340" i="9"/>
  <c r="E340" i="9"/>
  <c r="F339" i="9"/>
  <c r="E339" i="9"/>
  <c r="F338" i="9"/>
  <c r="E338" i="9"/>
  <c r="F337" i="9"/>
  <c r="E337" i="9"/>
  <c r="F336" i="9"/>
  <c r="E336" i="9"/>
  <c r="F335" i="9"/>
  <c r="E335" i="9"/>
  <c r="F334" i="9"/>
  <c r="E334" i="9"/>
  <c r="F333" i="9"/>
  <c r="E333" i="9"/>
  <c r="F332" i="9"/>
  <c r="E332" i="9"/>
  <c r="F331" i="9"/>
  <c r="E331" i="9"/>
  <c r="F330" i="9"/>
  <c r="E330" i="9"/>
  <c r="F329" i="9"/>
  <c r="E329" i="9"/>
  <c r="F328" i="9"/>
  <c r="E328" i="9"/>
  <c r="F327" i="9"/>
  <c r="E327" i="9"/>
  <c r="F326" i="9"/>
  <c r="E326" i="9"/>
  <c r="F325" i="9"/>
  <c r="E325" i="9"/>
  <c r="F324" i="9"/>
  <c r="E324" i="9"/>
  <c r="F323" i="9"/>
  <c r="E323" i="9"/>
  <c r="F322" i="9"/>
  <c r="E322" i="9"/>
  <c r="F321" i="9"/>
  <c r="E321" i="9"/>
  <c r="F320" i="9"/>
  <c r="E320" i="9"/>
  <c r="F319" i="9"/>
  <c r="E319" i="9"/>
  <c r="F318" i="9"/>
  <c r="E318" i="9"/>
  <c r="F317" i="9"/>
  <c r="E317" i="9"/>
  <c r="F316" i="9"/>
  <c r="E316" i="9"/>
  <c r="F315" i="9"/>
  <c r="E315" i="9"/>
  <c r="F314" i="9"/>
  <c r="E314" i="9"/>
  <c r="F313" i="9"/>
  <c r="E313" i="9"/>
  <c r="F312" i="9"/>
  <c r="E312" i="9"/>
  <c r="F311" i="9"/>
  <c r="E311" i="9"/>
  <c r="F310" i="9"/>
  <c r="E310" i="9"/>
  <c r="F309" i="9"/>
  <c r="E309" i="9"/>
  <c r="F308" i="9"/>
  <c r="E308" i="9"/>
  <c r="F307" i="9"/>
  <c r="E307" i="9"/>
  <c r="F306" i="9"/>
  <c r="E306" i="9"/>
  <c r="F305" i="9"/>
  <c r="E305" i="9"/>
  <c r="F304" i="9"/>
  <c r="E304" i="9"/>
  <c r="F303" i="9"/>
  <c r="E303" i="9"/>
  <c r="F302" i="9"/>
  <c r="E302" i="9"/>
  <c r="F301" i="9"/>
  <c r="E301" i="9"/>
  <c r="F300" i="9"/>
  <c r="E300" i="9"/>
  <c r="F299" i="9"/>
  <c r="E299" i="9"/>
  <c r="F298" i="9"/>
  <c r="E298" i="9"/>
  <c r="F297" i="9"/>
  <c r="E297" i="9"/>
  <c r="F296" i="9"/>
  <c r="E296" i="9"/>
  <c r="F295" i="9"/>
  <c r="E295" i="9"/>
  <c r="F294" i="9"/>
  <c r="E294" i="9"/>
  <c r="F293" i="9"/>
  <c r="E293" i="9"/>
  <c r="F292" i="9"/>
  <c r="E292" i="9"/>
  <c r="F291" i="9"/>
  <c r="E291" i="9"/>
  <c r="F290" i="9"/>
  <c r="E290" i="9"/>
  <c r="F289" i="9"/>
  <c r="E289" i="9"/>
  <c r="F288" i="9"/>
  <c r="E288" i="9"/>
  <c r="F287" i="9"/>
  <c r="E287" i="9"/>
  <c r="F286" i="9"/>
  <c r="E286" i="9"/>
  <c r="F285" i="9"/>
  <c r="E285" i="9"/>
  <c r="F284" i="9"/>
  <c r="E284" i="9"/>
  <c r="F283" i="9"/>
  <c r="E283" i="9"/>
  <c r="F282" i="9"/>
  <c r="E282" i="9"/>
  <c r="F281" i="9"/>
  <c r="E281" i="9"/>
  <c r="F280" i="9"/>
  <c r="E280" i="9"/>
  <c r="F279" i="9"/>
  <c r="E279" i="9"/>
  <c r="F278" i="9"/>
  <c r="E278" i="9"/>
  <c r="F277" i="9"/>
  <c r="E277" i="9"/>
  <c r="F276" i="9"/>
  <c r="E276" i="9"/>
  <c r="F275" i="9"/>
  <c r="E275" i="9"/>
  <c r="F274" i="9"/>
  <c r="E274" i="9"/>
  <c r="F273" i="9"/>
  <c r="E273" i="9"/>
  <c r="F272" i="9"/>
  <c r="E272" i="9"/>
  <c r="F271" i="9"/>
  <c r="E271" i="9"/>
  <c r="F270" i="9"/>
  <c r="E270" i="9"/>
  <c r="F269" i="9"/>
  <c r="E269" i="9"/>
  <c r="F268" i="9"/>
  <c r="E268" i="9"/>
  <c r="F267" i="9"/>
  <c r="E267" i="9"/>
  <c r="F266" i="9"/>
  <c r="E266" i="9"/>
  <c r="F265" i="9"/>
  <c r="E265" i="9"/>
  <c r="F264" i="9"/>
  <c r="E264" i="9"/>
  <c r="F263" i="9"/>
  <c r="E263" i="9"/>
  <c r="F262" i="9"/>
  <c r="E262" i="9"/>
  <c r="F261" i="9"/>
  <c r="E261" i="9"/>
  <c r="F260" i="9"/>
  <c r="E260" i="9"/>
  <c r="F259" i="9"/>
  <c r="E259" i="9"/>
  <c r="F258" i="9"/>
  <c r="E258" i="9"/>
  <c r="F257" i="9"/>
  <c r="E257" i="9"/>
  <c r="F256" i="9"/>
  <c r="E256" i="9"/>
  <c r="F255" i="9"/>
  <c r="E255" i="9"/>
  <c r="F254" i="9"/>
  <c r="E254" i="9"/>
  <c r="F253" i="9"/>
  <c r="E253" i="9"/>
  <c r="F252" i="9"/>
  <c r="E252" i="9"/>
  <c r="F251" i="9"/>
  <c r="E251" i="9"/>
  <c r="F250" i="9"/>
  <c r="E250" i="9"/>
  <c r="F249" i="9"/>
  <c r="E249" i="9"/>
  <c r="F248" i="9"/>
  <c r="E248" i="9"/>
  <c r="F247" i="9"/>
  <c r="E247" i="9"/>
  <c r="F246" i="9"/>
  <c r="E246" i="9"/>
  <c r="F245" i="9"/>
  <c r="E245" i="9"/>
  <c r="F244" i="9"/>
  <c r="E244" i="9"/>
  <c r="F243" i="9"/>
  <c r="E243" i="9"/>
  <c r="F242" i="9"/>
  <c r="E242" i="9"/>
  <c r="F241" i="9"/>
  <c r="E241" i="9"/>
  <c r="F240" i="9"/>
  <c r="E240" i="9"/>
  <c r="F239" i="9"/>
  <c r="E239" i="9"/>
  <c r="F238" i="9"/>
  <c r="E238" i="9"/>
  <c r="F237" i="9"/>
  <c r="E237" i="9"/>
  <c r="F236" i="9"/>
  <c r="E236" i="9"/>
  <c r="F235" i="9"/>
  <c r="E235" i="9"/>
  <c r="F234" i="9"/>
  <c r="E234" i="9"/>
  <c r="F233" i="9"/>
  <c r="E233" i="9"/>
  <c r="F232" i="9"/>
  <c r="E232" i="9"/>
  <c r="F231" i="9"/>
  <c r="E231" i="9"/>
  <c r="F230" i="9"/>
  <c r="E230" i="9"/>
  <c r="F229" i="9"/>
  <c r="E229" i="9"/>
  <c r="F228" i="9"/>
  <c r="E228" i="9"/>
  <c r="F227" i="9"/>
  <c r="E227" i="9"/>
  <c r="F226" i="9"/>
  <c r="E226" i="9"/>
  <c r="F225" i="9"/>
  <c r="E225" i="9"/>
  <c r="F224" i="9"/>
  <c r="E224" i="9"/>
  <c r="F223" i="9"/>
  <c r="E223" i="9"/>
  <c r="F222" i="9"/>
  <c r="E222" i="9"/>
  <c r="F221" i="9"/>
  <c r="E221" i="9"/>
  <c r="F220" i="9"/>
  <c r="E220" i="9"/>
  <c r="F219" i="9"/>
  <c r="E219" i="9"/>
  <c r="F218" i="9"/>
  <c r="E218" i="9"/>
  <c r="F217" i="9"/>
  <c r="E217" i="9"/>
  <c r="F216" i="9"/>
  <c r="E216" i="9"/>
  <c r="F215" i="9"/>
  <c r="E215" i="9"/>
  <c r="F214" i="9"/>
  <c r="E214" i="9"/>
  <c r="F213" i="9"/>
  <c r="E213" i="9"/>
  <c r="F212" i="9"/>
  <c r="E212" i="9"/>
  <c r="F211" i="9"/>
  <c r="E211" i="9"/>
  <c r="F210" i="9"/>
  <c r="E210" i="9"/>
  <c r="F209" i="9"/>
  <c r="E209" i="9"/>
  <c r="F208" i="9"/>
  <c r="E208" i="9"/>
  <c r="F207" i="9"/>
  <c r="E207" i="9"/>
  <c r="F206" i="9"/>
  <c r="E206" i="9"/>
  <c r="F205" i="9"/>
  <c r="E205" i="9"/>
  <c r="F204" i="9"/>
  <c r="E204" i="9"/>
  <c r="F203" i="9"/>
  <c r="E203" i="9"/>
  <c r="F202" i="9"/>
  <c r="E202" i="9"/>
  <c r="F201" i="9"/>
  <c r="E201" i="9"/>
  <c r="F200" i="9"/>
  <c r="E200" i="9"/>
  <c r="F199" i="9"/>
  <c r="E199" i="9"/>
  <c r="F198" i="9"/>
  <c r="E198" i="9"/>
  <c r="F197" i="9"/>
  <c r="E197" i="9"/>
  <c r="F196" i="9"/>
  <c r="E196" i="9"/>
  <c r="F195" i="9"/>
  <c r="E195" i="9"/>
  <c r="F194" i="9"/>
  <c r="E194" i="9"/>
  <c r="F193" i="9"/>
  <c r="E193" i="9"/>
  <c r="F192" i="9"/>
  <c r="E192" i="9"/>
  <c r="F191" i="9"/>
  <c r="E191" i="9"/>
  <c r="F190" i="9"/>
  <c r="E190" i="9"/>
  <c r="F189" i="9"/>
  <c r="E189" i="9"/>
  <c r="F188" i="9"/>
  <c r="E188" i="9"/>
  <c r="F187" i="9"/>
  <c r="E187" i="9"/>
  <c r="F186" i="9"/>
  <c r="E186" i="9"/>
  <c r="F185" i="9"/>
  <c r="E185" i="9"/>
  <c r="F184" i="9"/>
  <c r="E184" i="9"/>
  <c r="F183" i="9"/>
  <c r="E183" i="9"/>
  <c r="F182" i="9"/>
  <c r="E182" i="9"/>
  <c r="F181" i="9"/>
  <c r="E181" i="9"/>
  <c r="F180" i="9"/>
  <c r="E180" i="9"/>
  <c r="F179" i="9"/>
  <c r="E179" i="9"/>
  <c r="F178" i="9"/>
  <c r="E178" i="9"/>
  <c r="F177" i="9"/>
  <c r="E177" i="9"/>
  <c r="F176" i="9"/>
  <c r="E176" i="9"/>
  <c r="F175" i="9"/>
  <c r="E175" i="9"/>
  <c r="F174" i="9"/>
  <c r="E174" i="9"/>
  <c r="F173" i="9"/>
  <c r="E173" i="9"/>
  <c r="F172" i="9"/>
  <c r="E172" i="9"/>
  <c r="F171" i="9"/>
  <c r="E171" i="9"/>
  <c r="F170" i="9"/>
  <c r="E170" i="9"/>
  <c r="F169" i="9"/>
  <c r="E169" i="9"/>
  <c r="F168" i="9"/>
  <c r="E168" i="9"/>
  <c r="F167" i="9"/>
  <c r="E167" i="9"/>
  <c r="F166" i="9"/>
  <c r="E166" i="9"/>
  <c r="F165" i="9"/>
  <c r="E165" i="9"/>
  <c r="F164" i="9"/>
  <c r="E164" i="9"/>
  <c r="F163" i="9"/>
  <c r="E163" i="9"/>
  <c r="F162" i="9"/>
  <c r="E162" i="9"/>
  <c r="F161" i="9"/>
  <c r="E161" i="9"/>
  <c r="F160" i="9"/>
  <c r="E160" i="9"/>
  <c r="F159" i="9"/>
  <c r="E159" i="9"/>
  <c r="F158" i="9"/>
  <c r="E158" i="9"/>
  <c r="F157" i="9"/>
  <c r="E157" i="9"/>
  <c r="F156" i="9"/>
  <c r="E156" i="9"/>
  <c r="F155" i="9"/>
  <c r="E155" i="9"/>
  <c r="F154" i="9"/>
  <c r="E154" i="9"/>
  <c r="F153" i="9"/>
  <c r="E153" i="9"/>
  <c r="F152" i="9"/>
  <c r="E152" i="9"/>
  <c r="F151" i="9"/>
  <c r="E151" i="9"/>
  <c r="F150" i="9"/>
  <c r="E150" i="9"/>
  <c r="F149" i="9"/>
  <c r="E149" i="9"/>
  <c r="F148" i="9"/>
  <c r="E148" i="9"/>
  <c r="F147" i="9"/>
  <c r="E147" i="9"/>
  <c r="F146" i="9"/>
  <c r="E146" i="9"/>
  <c r="F145" i="9"/>
  <c r="E145" i="9"/>
  <c r="F144" i="9"/>
  <c r="E144" i="9"/>
  <c r="F143" i="9"/>
  <c r="E143" i="9"/>
  <c r="F142" i="9"/>
  <c r="E142" i="9"/>
  <c r="F141" i="9"/>
  <c r="E141" i="9"/>
  <c r="F140" i="9"/>
  <c r="E140" i="9"/>
  <c r="F139" i="9"/>
  <c r="E139" i="9"/>
  <c r="F138" i="9"/>
  <c r="E138" i="9"/>
  <c r="F137" i="9"/>
  <c r="E137" i="9"/>
  <c r="F136" i="9"/>
  <c r="E136" i="9"/>
  <c r="F135" i="9"/>
  <c r="E135" i="9"/>
  <c r="F134" i="9"/>
  <c r="E134" i="9"/>
  <c r="F133" i="9"/>
  <c r="E133" i="9"/>
  <c r="F132" i="9"/>
  <c r="E132" i="9"/>
  <c r="F131" i="9"/>
  <c r="E131" i="9"/>
  <c r="F130" i="9"/>
  <c r="E130" i="9"/>
  <c r="F129" i="9"/>
  <c r="E129" i="9"/>
  <c r="F128" i="9"/>
  <c r="E128" i="9"/>
  <c r="F127" i="9"/>
  <c r="E127" i="9"/>
  <c r="F126" i="9"/>
  <c r="E126" i="9"/>
  <c r="F125" i="9"/>
  <c r="E125" i="9"/>
  <c r="F124" i="9"/>
  <c r="E124" i="9"/>
  <c r="F123" i="9"/>
  <c r="E123" i="9"/>
  <c r="F122" i="9"/>
  <c r="E122" i="9"/>
  <c r="F121" i="9"/>
  <c r="E121" i="9"/>
  <c r="F120" i="9"/>
  <c r="E120" i="9"/>
  <c r="F119" i="9"/>
  <c r="E119" i="9"/>
  <c r="F118" i="9"/>
  <c r="E118" i="9"/>
  <c r="F117" i="9"/>
  <c r="E117" i="9"/>
  <c r="F116" i="9"/>
  <c r="E116" i="9"/>
  <c r="F115" i="9"/>
  <c r="E115" i="9"/>
  <c r="F114" i="9"/>
  <c r="E114" i="9"/>
  <c r="F113" i="9"/>
  <c r="E113" i="9"/>
  <c r="F112" i="9"/>
  <c r="E112" i="9"/>
  <c r="F111" i="9"/>
  <c r="E111" i="9"/>
  <c r="F110" i="9"/>
  <c r="E110" i="9"/>
  <c r="F109" i="9"/>
  <c r="E109" i="9"/>
  <c r="F108" i="9"/>
  <c r="E108" i="9"/>
  <c r="F107" i="9"/>
  <c r="E107" i="9"/>
  <c r="F106" i="9"/>
  <c r="E106" i="9"/>
  <c r="F105" i="9"/>
  <c r="E105" i="9"/>
  <c r="F104" i="9"/>
  <c r="E104" i="9"/>
  <c r="F103" i="9"/>
  <c r="E103" i="9"/>
  <c r="F102" i="9"/>
  <c r="E102" i="9"/>
  <c r="F101" i="9"/>
  <c r="E101" i="9"/>
  <c r="F100" i="9"/>
  <c r="E100" i="9"/>
  <c r="F99" i="9"/>
  <c r="E99" i="9"/>
  <c r="F98" i="9"/>
  <c r="E98" i="9"/>
  <c r="F97" i="9"/>
  <c r="E97" i="9"/>
  <c r="F96" i="9"/>
  <c r="E96" i="9"/>
  <c r="F95" i="9"/>
  <c r="E95" i="9"/>
  <c r="F94" i="9"/>
  <c r="E94" i="9"/>
  <c r="F93" i="9"/>
  <c r="E93" i="9"/>
  <c r="F92" i="9"/>
  <c r="E92" i="9"/>
  <c r="F91" i="9"/>
  <c r="E91" i="9"/>
  <c r="F90" i="9"/>
  <c r="E90" i="9"/>
  <c r="F89" i="9"/>
  <c r="E89" i="9"/>
  <c r="F88" i="9"/>
  <c r="E88" i="9"/>
  <c r="F87" i="9"/>
  <c r="E87" i="9"/>
  <c r="F86" i="9"/>
  <c r="E86" i="9"/>
  <c r="F85" i="9"/>
  <c r="E85" i="9"/>
  <c r="F84" i="9"/>
  <c r="E84" i="9"/>
  <c r="F83" i="9"/>
  <c r="E83" i="9"/>
  <c r="F82" i="9"/>
  <c r="E82" i="9"/>
  <c r="F81" i="9"/>
  <c r="E81" i="9"/>
  <c r="F80" i="9"/>
  <c r="E80" i="9"/>
  <c r="F79" i="9"/>
  <c r="E79" i="9"/>
  <c r="F78" i="9"/>
  <c r="E78" i="9"/>
  <c r="F77" i="9"/>
  <c r="E77" i="9"/>
  <c r="F76" i="9"/>
  <c r="E76" i="9"/>
  <c r="F75" i="9"/>
  <c r="E75" i="9"/>
  <c r="F74" i="9"/>
  <c r="E74" i="9"/>
  <c r="F73" i="9"/>
  <c r="E73" i="9"/>
  <c r="F72" i="9"/>
  <c r="E72" i="9"/>
  <c r="F71" i="9"/>
  <c r="E71" i="9"/>
  <c r="F70" i="9"/>
  <c r="E70" i="9"/>
  <c r="F69" i="9"/>
  <c r="E69" i="9"/>
  <c r="F68" i="9"/>
  <c r="E68" i="9"/>
  <c r="F67" i="9"/>
  <c r="E67" i="9"/>
  <c r="F66" i="9"/>
  <c r="E66" i="9"/>
  <c r="F65" i="9"/>
  <c r="E65" i="9"/>
  <c r="F64" i="9"/>
  <c r="E64" i="9"/>
  <c r="F63" i="9"/>
  <c r="E63" i="9"/>
  <c r="F62" i="9"/>
  <c r="E62" i="9"/>
  <c r="F61" i="9"/>
  <c r="E61" i="9"/>
  <c r="F60" i="9"/>
  <c r="E60" i="9"/>
  <c r="F59" i="9"/>
  <c r="E59" i="9"/>
  <c r="F58" i="9"/>
  <c r="E58" i="9"/>
  <c r="F57" i="9"/>
  <c r="E57" i="9"/>
  <c r="F56" i="9"/>
  <c r="E56" i="9"/>
  <c r="F55" i="9"/>
  <c r="E55" i="9"/>
  <c r="F54" i="9"/>
  <c r="E54" i="9"/>
  <c r="F53" i="9"/>
  <c r="E53" i="9"/>
  <c r="F52" i="9"/>
  <c r="E52" i="9"/>
  <c r="F51" i="9"/>
  <c r="E51" i="9"/>
  <c r="F50" i="9"/>
  <c r="E50" i="9"/>
  <c r="F49" i="9"/>
  <c r="E49" i="9"/>
  <c r="F48" i="9"/>
  <c r="E48" i="9"/>
  <c r="F47" i="9"/>
  <c r="E47" i="9"/>
  <c r="F46" i="9"/>
  <c r="E46" i="9"/>
  <c r="F45" i="9"/>
  <c r="E45" i="9"/>
  <c r="F44" i="9"/>
  <c r="E44" i="9"/>
  <c r="F43" i="9"/>
  <c r="E43" i="9"/>
  <c r="F42" i="9"/>
  <c r="E42" i="9"/>
  <c r="F41" i="9"/>
  <c r="E41" i="9"/>
  <c r="F40" i="9"/>
  <c r="E40" i="9"/>
  <c r="F39" i="9"/>
  <c r="E39" i="9"/>
  <c r="F38" i="9"/>
  <c r="E38" i="9"/>
  <c r="F37" i="9"/>
  <c r="E37" i="9"/>
  <c r="F36" i="9"/>
  <c r="E36" i="9"/>
  <c r="F35" i="9"/>
  <c r="E35" i="9"/>
  <c r="F34" i="9"/>
  <c r="E34" i="9"/>
  <c r="F33" i="9"/>
  <c r="E33" i="9"/>
  <c r="F32" i="9"/>
  <c r="E32" i="9"/>
  <c r="F31" i="9"/>
  <c r="E31" i="9"/>
  <c r="F30" i="9"/>
  <c r="E30" i="9"/>
  <c r="F29" i="9"/>
  <c r="E29" i="9"/>
  <c r="F28" i="9"/>
  <c r="E28" i="9"/>
  <c r="F27" i="9"/>
  <c r="E27" i="9"/>
  <c r="F26" i="9"/>
  <c r="E26" i="9"/>
  <c r="F25" i="9"/>
  <c r="E25" i="9"/>
  <c r="F24" i="9"/>
  <c r="E24" i="9"/>
  <c r="F23" i="9"/>
  <c r="E23" i="9"/>
  <c r="F22" i="9"/>
  <c r="E22" i="9"/>
  <c r="F21" i="9"/>
  <c r="E21" i="9"/>
  <c r="F20" i="9"/>
  <c r="E20" i="9"/>
  <c r="F19" i="9"/>
  <c r="E19" i="9"/>
  <c r="F18" i="9"/>
  <c r="E18" i="9"/>
  <c r="F17" i="9"/>
  <c r="E17" i="9"/>
  <c r="F16" i="9"/>
  <c r="E16" i="9"/>
  <c r="F15" i="9"/>
  <c r="E15" i="9"/>
  <c r="F14" i="9"/>
  <c r="E14" i="9"/>
  <c r="F13" i="9"/>
  <c r="E13" i="9"/>
  <c r="F12" i="9"/>
  <c r="E12" i="9"/>
  <c r="F11" i="9"/>
  <c r="E11" i="9"/>
  <c r="F10" i="9"/>
  <c r="E10" i="9"/>
  <c r="F9" i="9"/>
  <c r="E9" i="9"/>
  <c r="F8" i="9"/>
  <c r="E8" i="9"/>
  <c r="F7" i="9"/>
  <c r="E7" i="9"/>
  <c r="F6" i="9"/>
  <c r="E6" i="9"/>
  <c r="F5" i="9"/>
  <c r="E5" i="9"/>
  <c r="F4" i="9"/>
  <c r="E4" i="9"/>
  <c r="F3" i="9"/>
  <c r="E3" i="9"/>
  <c r="F2" i="9"/>
  <c r="E2" i="9"/>
  <c r="L4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F4065" i="8"/>
  <c r="F4066" i="8"/>
  <c r="F4067" i="8"/>
  <c r="F4068" i="8"/>
  <c r="F4069" i="8"/>
  <c r="F4070" i="8"/>
  <c r="F4071" i="8"/>
  <c r="F4072" i="8"/>
  <c r="F4073" i="8"/>
  <c r="F4074" i="8"/>
  <c r="F4075" i="8"/>
  <c r="F4076" i="8"/>
  <c r="F4077" i="8"/>
  <c r="F4078" i="8"/>
  <c r="F4079" i="8"/>
  <c r="F4080" i="8"/>
  <c r="F4081" i="8"/>
  <c r="F4082" i="8"/>
  <c r="F4083" i="8"/>
  <c r="F4084" i="8"/>
  <c r="F4085" i="8"/>
  <c r="F4086" i="8"/>
  <c r="F4087" i="8"/>
  <c r="F4088" i="8"/>
  <c r="F4089" i="8"/>
  <c r="F4090" i="8"/>
  <c r="F4091" i="8"/>
  <c r="F4092" i="8"/>
  <c r="F4093" i="8"/>
  <c r="F4094" i="8"/>
  <c r="F4095" i="8"/>
  <c r="F4096" i="8"/>
  <c r="F4097" i="8"/>
  <c r="F4098" i="8"/>
  <c r="F4099" i="8"/>
  <c r="F4100" i="8"/>
  <c r="F4101" i="8"/>
  <c r="F4102" i="8"/>
  <c r="F4103" i="8"/>
  <c r="F4104" i="8"/>
  <c r="F4105" i="8"/>
  <c r="F4106" i="8"/>
  <c r="F4107" i="8"/>
  <c r="F4108" i="8"/>
  <c r="F4109" i="8"/>
  <c r="F4110" i="8"/>
  <c r="F4111" i="8"/>
  <c r="F4112" i="8"/>
  <c r="F4113" i="8"/>
  <c r="F4114" i="8"/>
  <c r="F4115" i="8"/>
  <c r="F4116" i="8"/>
  <c r="F4117" i="8"/>
  <c r="F4118" i="8"/>
  <c r="F4119" i="8"/>
  <c r="F4120" i="8"/>
  <c r="F4121" i="8"/>
  <c r="F4122" i="8"/>
  <c r="F4123" i="8"/>
  <c r="F4124" i="8"/>
  <c r="F4125" i="8"/>
  <c r="F4126" i="8"/>
  <c r="F4127" i="8"/>
  <c r="F4128" i="8"/>
  <c r="F4129" i="8"/>
  <c r="F4130" i="8"/>
  <c r="F4131" i="8"/>
  <c r="F4132" i="8"/>
  <c r="F4133" i="8"/>
  <c r="F4134" i="8"/>
  <c r="F4135" i="8"/>
  <c r="F4136" i="8"/>
  <c r="F4137" i="8"/>
  <c r="F4138" i="8"/>
  <c r="F4139" i="8"/>
  <c r="F4140" i="8"/>
  <c r="F4141" i="8"/>
  <c r="F4142" i="8"/>
  <c r="F4143" i="8"/>
  <c r="F4144" i="8"/>
  <c r="F4145" i="8"/>
  <c r="F4146" i="8"/>
  <c r="F4147" i="8"/>
  <c r="F4148" i="8"/>
  <c r="F4149" i="8"/>
  <c r="F4150" i="8"/>
  <c r="F4151" i="8"/>
  <c r="F4152" i="8"/>
  <c r="F4153" i="8"/>
  <c r="F4154" i="8"/>
  <c r="F4155" i="8"/>
  <c r="F4156" i="8"/>
  <c r="F4157" i="8"/>
  <c r="F4158" i="8"/>
  <c r="F4159" i="8"/>
  <c r="F4160" i="8"/>
  <c r="F4161" i="8"/>
  <c r="F4162" i="8"/>
  <c r="F4163" i="8"/>
  <c r="F4164" i="8"/>
  <c r="F4165" i="8"/>
  <c r="F4166" i="8"/>
  <c r="F4167" i="8"/>
  <c r="F4168" i="8"/>
  <c r="F4169" i="8"/>
  <c r="F4170" i="8"/>
  <c r="F4171" i="8"/>
  <c r="F4172" i="8"/>
  <c r="F4173" i="8"/>
  <c r="F4174" i="8"/>
  <c r="F4175" i="8"/>
  <c r="F4176" i="8"/>
  <c r="F4177" i="8"/>
  <c r="F4178" i="8"/>
  <c r="F4179" i="8"/>
  <c r="F4180" i="8"/>
  <c r="F4181" i="8"/>
  <c r="F4182" i="8"/>
  <c r="F4183" i="8"/>
  <c r="F4184" i="8"/>
  <c r="F4185" i="8"/>
  <c r="F4186" i="8"/>
  <c r="F4187" i="8"/>
  <c r="F4188" i="8"/>
  <c r="F4189" i="8"/>
  <c r="F4190" i="8"/>
  <c r="F4191" i="8"/>
  <c r="F4192" i="8"/>
  <c r="F4193" i="8"/>
  <c r="F4194" i="8"/>
  <c r="F4195" i="8"/>
  <c r="F4196" i="8"/>
  <c r="F4197" i="8"/>
  <c r="F4198" i="8"/>
  <c r="F4199" i="8"/>
  <c r="F4200" i="8"/>
  <c r="F4201" i="8"/>
  <c r="F4202" i="8"/>
  <c r="F4203" i="8"/>
  <c r="F4204" i="8"/>
  <c r="F4205" i="8"/>
  <c r="F4206" i="8"/>
  <c r="F4207" i="8"/>
  <c r="F4208" i="8"/>
  <c r="F4209" i="8"/>
  <c r="F4210" i="8"/>
  <c r="F4211" i="8"/>
  <c r="F4212" i="8"/>
  <c r="F4213" i="8"/>
  <c r="F4214" i="8"/>
  <c r="F4215" i="8"/>
  <c r="F4216" i="8"/>
  <c r="F4217" i="8"/>
  <c r="F4218" i="8"/>
  <c r="F4219" i="8"/>
  <c r="F4220" i="8"/>
  <c r="F4221" i="8"/>
  <c r="F4222" i="8"/>
  <c r="F4223" i="8"/>
  <c r="F4224" i="8"/>
  <c r="F4225" i="8"/>
  <c r="F4226" i="8"/>
  <c r="F4227" i="8"/>
  <c r="F4228" i="8"/>
  <c r="F4229" i="8"/>
  <c r="F4230" i="8"/>
  <c r="F4231" i="8"/>
  <c r="F4232" i="8"/>
  <c r="F4233" i="8"/>
  <c r="F4234" i="8"/>
  <c r="F4235" i="8"/>
  <c r="F4236" i="8"/>
  <c r="F4237" i="8"/>
  <c r="F4238" i="8"/>
  <c r="F4239" i="8"/>
  <c r="F4240" i="8"/>
  <c r="F4241" i="8"/>
  <c r="F4242" i="8"/>
  <c r="F4243" i="8"/>
  <c r="F4244" i="8"/>
  <c r="F4245" i="8"/>
  <c r="F4246" i="8"/>
  <c r="F4247" i="8"/>
  <c r="F4248" i="8"/>
  <c r="F4249" i="8"/>
  <c r="F4250" i="8"/>
  <c r="F4251" i="8"/>
  <c r="F4252" i="8"/>
  <c r="F4253" i="8"/>
  <c r="F4254" i="8"/>
  <c r="F4255" i="8"/>
  <c r="F4256" i="8"/>
  <c r="F4257" i="8"/>
  <c r="F4258" i="8"/>
  <c r="F4259" i="8"/>
  <c r="F4260" i="8"/>
  <c r="F4261" i="8"/>
  <c r="F4262" i="8"/>
  <c r="F4263" i="8"/>
  <c r="F4264" i="8"/>
  <c r="F4265" i="8"/>
  <c r="F4266" i="8"/>
  <c r="F4267" i="8"/>
  <c r="F4268" i="8"/>
  <c r="F4269" i="8"/>
  <c r="F4270" i="8"/>
  <c r="F4271" i="8"/>
  <c r="F4272" i="8"/>
  <c r="F4273" i="8"/>
  <c r="F4274" i="8"/>
  <c r="F4275" i="8"/>
  <c r="F4276" i="8"/>
  <c r="F4277" i="8"/>
  <c r="F4278" i="8"/>
  <c r="F4279" i="8"/>
  <c r="F4280" i="8"/>
  <c r="F4281" i="8"/>
  <c r="F4282" i="8"/>
  <c r="F4283" i="8"/>
  <c r="F4284" i="8"/>
  <c r="F4285" i="8"/>
  <c r="F4286" i="8"/>
  <c r="F4287" i="8"/>
  <c r="F4288" i="8"/>
  <c r="F4289" i="8"/>
  <c r="F4290" i="8"/>
  <c r="F4291" i="8"/>
  <c r="F4292" i="8"/>
  <c r="F4293" i="8"/>
  <c r="F4294" i="8"/>
  <c r="F4295" i="8"/>
  <c r="F4296" i="8"/>
  <c r="F4297" i="8"/>
  <c r="F4298" i="8"/>
  <c r="F4299" i="8"/>
  <c r="F4300" i="8"/>
  <c r="F4301" i="8"/>
  <c r="F4302" i="8"/>
  <c r="F4303" i="8"/>
  <c r="F4304" i="8"/>
  <c r="F4305" i="8"/>
  <c r="F4306" i="8"/>
  <c r="F4307" i="8"/>
  <c r="F4308" i="8"/>
  <c r="F4309" i="8"/>
  <c r="F4310" i="8"/>
  <c r="F4311" i="8"/>
  <c r="F4312" i="8"/>
  <c r="F4313" i="8"/>
  <c r="F4314" i="8"/>
  <c r="F4315" i="8"/>
  <c r="F4316" i="8"/>
  <c r="F4317" i="8"/>
  <c r="F4318" i="8"/>
  <c r="F4319" i="8"/>
  <c r="F4320" i="8"/>
  <c r="F4321" i="8"/>
  <c r="F4322" i="8"/>
  <c r="F4323" i="8"/>
  <c r="F4324" i="8"/>
  <c r="F4325" i="8"/>
  <c r="F4326" i="8"/>
  <c r="F4327" i="8"/>
  <c r="F4328" i="8"/>
  <c r="F4329" i="8"/>
  <c r="F4330" i="8"/>
  <c r="F4331" i="8"/>
  <c r="F4332" i="8"/>
  <c r="F4333" i="8"/>
  <c r="F4334" i="8"/>
  <c r="F4335" i="8"/>
  <c r="F4336" i="8"/>
  <c r="F4337" i="8"/>
  <c r="F4338" i="8"/>
  <c r="F4339" i="8"/>
  <c r="F4340" i="8"/>
  <c r="F4341" i="8"/>
  <c r="F4342" i="8"/>
  <c r="F4343" i="8"/>
  <c r="F4344" i="8"/>
  <c r="F4345" i="8"/>
  <c r="F4346" i="8"/>
  <c r="F4347" i="8"/>
  <c r="F4348" i="8"/>
  <c r="F4349" i="8"/>
  <c r="F4350" i="8"/>
  <c r="F4351" i="8"/>
  <c r="F4352" i="8"/>
  <c r="F4353" i="8"/>
  <c r="F4354" i="8"/>
  <c r="F4355" i="8"/>
  <c r="F4356" i="8"/>
  <c r="F4357" i="8"/>
  <c r="F4358" i="8"/>
  <c r="F4359" i="8"/>
  <c r="F4360" i="8"/>
  <c r="F4361" i="8"/>
  <c r="F4362" i="8"/>
  <c r="F4363" i="8"/>
  <c r="F4364" i="8"/>
  <c r="F4365" i="8"/>
  <c r="F4366" i="8"/>
  <c r="F4367" i="8"/>
  <c r="F4368" i="8"/>
  <c r="F4369" i="8"/>
  <c r="F4370" i="8"/>
  <c r="F4371" i="8"/>
  <c r="F4372" i="8"/>
  <c r="F4373" i="8"/>
  <c r="F4374" i="8"/>
  <c r="F4375" i="8"/>
  <c r="F4376" i="8"/>
  <c r="F4377" i="8"/>
  <c r="F4378" i="8"/>
  <c r="F4379" i="8"/>
  <c r="F4380" i="8"/>
  <c r="F4381" i="8"/>
  <c r="F4382" i="8"/>
  <c r="F4383" i="8"/>
  <c r="F4384" i="8"/>
  <c r="F4385" i="8"/>
  <c r="F4386" i="8"/>
  <c r="F4387" i="8"/>
  <c r="F4388" i="8"/>
  <c r="F4389" i="8"/>
  <c r="F4390" i="8"/>
  <c r="F4391" i="8"/>
  <c r="F4392" i="8"/>
  <c r="F4393" i="8"/>
  <c r="F4394" i="8"/>
  <c r="F4395" i="8"/>
  <c r="F4396" i="8"/>
  <c r="F4397" i="8"/>
  <c r="F4398" i="8"/>
  <c r="F4399" i="8"/>
  <c r="F4400" i="8"/>
  <c r="F4401" i="8"/>
  <c r="F4402" i="8"/>
  <c r="F4403" i="8"/>
  <c r="F4404" i="8"/>
  <c r="F4405" i="8"/>
  <c r="F4406" i="8"/>
  <c r="F4407" i="8"/>
  <c r="F4408" i="8"/>
  <c r="F4409" i="8"/>
  <c r="F4410" i="8"/>
  <c r="F4411" i="8"/>
  <c r="F4412" i="8"/>
  <c r="F4413" i="8"/>
  <c r="F4414" i="8"/>
  <c r="F4415" i="8"/>
  <c r="F4416" i="8"/>
  <c r="F4417" i="8"/>
  <c r="F4418" i="8"/>
  <c r="F4419" i="8"/>
  <c r="F4420" i="8"/>
  <c r="F4421" i="8"/>
  <c r="F4422" i="8"/>
  <c r="F4423" i="8"/>
  <c r="F4424" i="8"/>
  <c r="F4425" i="8"/>
  <c r="F4426" i="8"/>
  <c r="F4427" i="8"/>
  <c r="F4428" i="8"/>
  <c r="F4429" i="8"/>
  <c r="F4430" i="8"/>
  <c r="F4431" i="8"/>
  <c r="F4432" i="8"/>
  <c r="F4433" i="8"/>
  <c r="F4434" i="8"/>
  <c r="F4435" i="8"/>
  <c r="F4436" i="8"/>
  <c r="F4437" i="8"/>
  <c r="F4438" i="8"/>
  <c r="F4439" i="8"/>
  <c r="F4440" i="8"/>
  <c r="F4441" i="8"/>
  <c r="F4442" i="8"/>
  <c r="F4443" i="8"/>
  <c r="F4444" i="8"/>
  <c r="F4445" i="8"/>
  <c r="F4446" i="8"/>
  <c r="F4447" i="8"/>
  <c r="F4448" i="8"/>
  <c r="F4449" i="8"/>
  <c r="F4450" i="8"/>
  <c r="F4451" i="8"/>
  <c r="F4452" i="8"/>
  <c r="F4453" i="8"/>
  <c r="F4454" i="8"/>
  <c r="F4455" i="8"/>
  <c r="F4456" i="8"/>
  <c r="F4457" i="8"/>
  <c r="F4458" i="8"/>
  <c r="F4459" i="8"/>
  <c r="F4460" i="8"/>
  <c r="F4461" i="8"/>
  <c r="F4462" i="8"/>
  <c r="F4463" i="8"/>
  <c r="F4464" i="8"/>
  <c r="F4465" i="8"/>
  <c r="F4466" i="8"/>
  <c r="F4467" i="8"/>
  <c r="F4468" i="8"/>
  <c r="F4469" i="8"/>
  <c r="F4470" i="8"/>
  <c r="F4471" i="8"/>
  <c r="F4472" i="8"/>
  <c r="F4473" i="8"/>
  <c r="F4474" i="8"/>
  <c r="F4475" i="8"/>
  <c r="F4476" i="8"/>
  <c r="F4477" i="8"/>
  <c r="F4478" i="8"/>
  <c r="F4479" i="8"/>
  <c r="F4480" i="8"/>
  <c r="F4481" i="8"/>
  <c r="F4482" i="8"/>
  <c r="F4483" i="8"/>
  <c r="F4484" i="8"/>
  <c r="F4485" i="8"/>
  <c r="F4486" i="8"/>
  <c r="F4487" i="8"/>
  <c r="F4488" i="8"/>
  <c r="F4489" i="8"/>
  <c r="F4490" i="8"/>
  <c r="F4491" i="8"/>
  <c r="F4492" i="8"/>
  <c r="F4493" i="8"/>
  <c r="F4494" i="8"/>
  <c r="F4495" i="8"/>
  <c r="F4496" i="8"/>
  <c r="F4497" i="8"/>
  <c r="F4498" i="8"/>
  <c r="F4499" i="8"/>
  <c r="F4500" i="8"/>
  <c r="F4501" i="8"/>
  <c r="F4502" i="8"/>
  <c r="F4503" i="8"/>
  <c r="F4504" i="8"/>
  <c r="F4505" i="8"/>
  <c r="F4506" i="8"/>
  <c r="F4507" i="8"/>
  <c r="F4508" i="8"/>
  <c r="F4509" i="8"/>
  <c r="F4510" i="8"/>
  <c r="F4511" i="8"/>
  <c r="F4512" i="8"/>
  <c r="F4513" i="8"/>
  <c r="F4514" i="8"/>
  <c r="F4515" i="8"/>
  <c r="F4516" i="8"/>
  <c r="F4517" i="8"/>
  <c r="F4518" i="8"/>
  <c r="F4519" i="8"/>
  <c r="F4520" i="8"/>
  <c r="F4521" i="8"/>
  <c r="F4522" i="8"/>
  <c r="F4523" i="8"/>
  <c r="F4524" i="8"/>
  <c r="F4525" i="8"/>
  <c r="F4526" i="8"/>
  <c r="F4527" i="8"/>
  <c r="F4528" i="8"/>
  <c r="F4529" i="8"/>
  <c r="F4530" i="8"/>
  <c r="F4531" i="8"/>
  <c r="F4532" i="8"/>
  <c r="F4533" i="8"/>
  <c r="F4534" i="8"/>
  <c r="F4535" i="8"/>
  <c r="F4536" i="8"/>
  <c r="F4537" i="8"/>
  <c r="F4538" i="8"/>
  <c r="F4539" i="8"/>
  <c r="F4540" i="8"/>
  <c r="F4541" i="8"/>
  <c r="F4542" i="8"/>
  <c r="F4543" i="8"/>
  <c r="F4544" i="8"/>
  <c r="F4545" i="8"/>
  <c r="F4546" i="8"/>
  <c r="F4547" i="8"/>
  <c r="F4548" i="8"/>
  <c r="F4549" i="8"/>
  <c r="F4550" i="8"/>
  <c r="F4551" i="8"/>
  <c r="F4552" i="8"/>
  <c r="F4553" i="8"/>
  <c r="F4554" i="8"/>
  <c r="F4555" i="8"/>
  <c r="F4556" i="8"/>
  <c r="F4557" i="8"/>
  <c r="F4558" i="8"/>
  <c r="F4559" i="8"/>
  <c r="F4560" i="8"/>
  <c r="F4561" i="8"/>
  <c r="F4562" i="8"/>
  <c r="F4563" i="8"/>
  <c r="F4564" i="8"/>
  <c r="F4565" i="8"/>
  <c r="F4566" i="8"/>
  <c r="F4567" i="8"/>
  <c r="F4568" i="8"/>
  <c r="F4569" i="8"/>
  <c r="F4570" i="8"/>
  <c r="F4571" i="8"/>
  <c r="F4572" i="8"/>
  <c r="F4573" i="8"/>
  <c r="F4574" i="8"/>
  <c r="F4575" i="8"/>
  <c r="F4576" i="8"/>
  <c r="F4577" i="8"/>
  <c r="F4578" i="8"/>
  <c r="F4579" i="8"/>
  <c r="F4580" i="8"/>
  <c r="F4581" i="8"/>
  <c r="F4582" i="8"/>
  <c r="F4583" i="8"/>
  <c r="F4584" i="8"/>
  <c r="F4585" i="8"/>
  <c r="F4586" i="8"/>
  <c r="F4587" i="8"/>
  <c r="F4588" i="8"/>
  <c r="F4589" i="8"/>
  <c r="F4590" i="8"/>
  <c r="F4591" i="8"/>
  <c r="F4592" i="8"/>
  <c r="F4593" i="8"/>
  <c r="F4594" i="8"/>
  <c r="F4595" i="8"/>
  <c r="F4596" i="8"/>
  <c r="F4597" i="8"/>
  <c r="F4598" i="8"/>
  <c r="F4599" i="8"/>
  <c r="F4600" i="8"/>
  <c r="F4601" i="8"/>
  <c r="F4602" i="8"/>
  <c r="F4603" i="8"/>
  <c r="F4604" i="8"/>
  <c r="F4605" i="8"/>
  <c r="F4606" i="8"/>
  <c r="F4607" i="8"/>
  <c r="F4608" i="8"/>
  <c r="F4609" i="8"/>
  <c r="F4610" i="8"/>
  <c r="F4611" i="8"/>
  <c r="F4612" i="8"/>
  <c r="F4613" i="8"/>
  <c r="F4614" i="8"/>
  <c r="F4615" i="8"/>
  <c r="F4616" i="8"/>
  <c r="F4617" i="8"/>
  <c r="F4618" i="8"/>
  <c r="F4619" i="8"/>
  <c r="F4620" i="8"/>
  <c r="F4621" i="8"/>
  <c r="F4622" i="8"/>
  <c r="F4623" i="8"/>
  <c r="F4624" i="8"/>
  <c r="F4625" i="8"/>
  <c r="F4626" i="8"/>
  <c r="F4627" i="8"/>
  <c r="F4628" i="8"/>
  <c r="F4629" i="8"/>
  <c r="F4630" i="8"/>
  <c r="F4631" i="8"/>
  <c r="F4632" i="8"/>
  <c r="F4633" i="8"/>
  <c r="F4634" i="8"/>
  <c r="F4635" i="8"/>
  <c r="F4636" i="8"/>
  <c r="F4637" i="8"/>
  <c r="F4638" i="8"/>
  <c r="F4639" i="8"/>
  <c r="F4640" i="8"/>
  <c r="F4641" i="8"/>
  <c r="F4642" i="8"/>
  <c r="F4643" i="8"/>
  <c r="F4644" i="8"/>
  <c r="F4645" i="8"/>
  <c r="F4646" i="8"/>
  <c r="F4647" i="8"/>
  <c r="F4648" i="8"/>
  <c r="F4649" i="8"/>
  <c r="F4650" i="8"/>
  <c r="F4651" i="8"/>
  <c r="F4652" i="8"/>
  <c r="F4653" i="8"/>
  <c r="F4654" i="8"/>
  <c r="F4655" i="8"/>
  <c r="F4656" i="8"/>
  <c r="F4657" i="8"/>
  <c r="F4658" i="8"/>
  <c r="F4659" i="8"/>
  <c r="F4660" i="8"/>
  <c r="F4661" i="8"/>
  <c r="F4662" i="8"/>
  <c r="F4663" i="8"/>
  <c r="F4664" i="8"/>
  <c r="F4665" i="8"/>
  <c r="F4666" i="8"/>
  <c r="F4667" i="8"/>
  <c r="F4668" i="8"/>
  <c r="F4669" i="8"/>
  <c r="F4670" i="8"/>
  <c r="F4671" i="8"/>
  <c r="F4672" i="8"/>
  <c r="F4673" i="8"/>
  <c r="F4674" i="8"/>
  <c r="F4675" i="8"/>
  <c r="F4676" i="8"/>
  <c r="F4677" i="8"/>
  <c r="F4678" i="8"/>
  <c r="F4679" i="8"/>
  <c r="F4680" i="8"/>
  <c r="F4681" i="8"/>
  <c r="F4682" i="8"/>
  <c r="F4683" i="8"/>
  <c r="F4684" i="8"/>
  <c r="F4685" i="8"/>
  <c r="F4686" i="8"/>
  <c r="F4687" i="8"/>
  <c r="F4688" i="8"/>
  <c r="F4689" i="8"/>
  <c r="F4690" i="8"/>
  <c r="F4691" i="8"/>
  <c r="F4692" i="8"/>
  <c r="F4693" i="8"/>
  <c r="F4694" i="8"/>
  <c r="F4695" i="8"/>
  <c r="F4696" i="8"/>
  <c r="F4697" i="8"/>
  <c r="F4698" i="8"/>
  <c r="F4699" i="8"/>
  <c r="F4700" i="8"/>
  <c r="F4701" i="8"/>
  <c r="F4702" i="8"/>
  <c r="F4703" i="8"/>
  <c r="F4704" i="8"/>
  <c r="F4705" i="8"/>
  <c r="F4706" i="8"/>
  <c r="F4707" i="8"/>
  <c r="F4708" i="8"/>
  <c r="F4709" i="8"/>
  <c r="F4710" i="8"/>
  <c r="F4711" i="8"/>
  <c r="F4712" i="8"/>
  <c r="F4713" i="8"/>
  <c r="F4714" i="8"/>
  <c r="F4715" i="8"/>
  <c r="F4716" i="8"/>
  <c r="F4717" i="8"/>
  <c r="F4718" i="8"/>
  <c r="F4719" i="8"/>
  <c r="F4720" i="8"/>
  <c r="F4721" i="8"/>
  <c r="F4722" i="8"/>
  <c r="F4723" i="8"/>
  <c r="F4724" i="8"/>
  <c r="F4725" i="8"/>
  <c r="F4726" i="8"/>
  <c r="F4727" i="8"/>
  <c r="F4728" i="8"/>
  <c r="F4729" i="8"/>
  <c r="F4730" i="8"/>
  <c r="F4731" i="8"/>
  <c r="F4732" i="8"/>
  <c r="F4733" i="8"/>
  <c r="F4734" i="8"/>
  <c r="F4735" i="8"/>
  <c r="F4736" i="8"/>
  <c r="F4737" i="8"/>
  <c r="F4738" i="8"/>
  <c r="F4739" i="8"/>
  <c r="F4740" i="8"/>
  <c r="F4741" i="8"/>
  <c r="F4742" i="8"/>
  <c r="F4743" i="8"/>
  <c r="F4744" i="8"/>
  <c r="F4745" i="8"/>
  <c r="F4746" i="8"/>
  <c r="F4747" i="8"/>
  <c r="F4748" i="8"/>
  <c r="F4749" i="8"/>
  <c r="F4750" i="8"/>
  <c r="F4751" i="8"/>
  <c r="F4752" i="8"/>
  <c r="F4753" i="8"/>
  <c r="F4754" i="8"/>
  <c r="F4755" i="8"/>
  <c r="F4756" i="8"/>
  <c r="F4757" i="8"/>
  <c r="F4758" i="8"/>
  <c r="F4759" i="8"/>
  <c r="F4760" i="8"/>
  <c r="F4761" i="8"/>
  <c r="F4762" i="8"/>
  <c r="F4763" i="8"/>
  <c r="F4764" i="8"/>
  <c r="F4765" i="8"/>
  <c r="F4766" i="8"/>
  <c r="F4767" i="8"/>
  <c r="F4768" i="8"/>
  <c r="F4769" i="8"/>
  <c r="F4770" i="8"/>
  <c r="F4771" i="8"/>
  <c r="F4772" i="8"/>
  <c r="F4773" i="8"/>
  <c r="F4774" i="8"/>
  <c r="F4775" i="8"/>
  <c r="F4776" i="8"/>
  <c r="F4777" i="8"/>
  <c r="F4778" i="8"/>
  <c r="F4779" i="8"/>
  <c r="F4780" i="8"/>
  <c r="F4781" i="8"/>
  <c r="F4782" i="8"/>
  <c r="F4783" i="8"/>
  <c r="F4784" i="8"/>
  <c r="F4785" i="8"/>
  <c r="F4786" i="8"/>
  <c r="F4787" i="8"/>
  <c r="F4788" i="8"/>
  <c r="F4789" i="8"/>
  <c r="F4790" i="8"/>
  <c r="F4791" i="8"/>
  <c r="F4792" i="8"/>
  <c r="F4793" i="8"/>
  <c r="F4794" i="8"/>
  <c r="F4795" i="8"/>
  <c r="F4796" i="8"/>
  <c r="F4797" i="8"/>
  <c r="F4798" i="8"/>
  <c r="F4799" i="8"/>
  <c r="F4800" i="8"/>
  <c r="F4801" i="8"/>
  <c r="F4802" i="8"/>
  <c r="F4803" i="8"/>
  <c r="F4804" i="8"/>
  <c r="F4805" i="8"/>
  <c r="F4806" i="8"/>
  <c r="F4807" i="8"/>
  <c r="F4808" i="8"/>
  <c r="F4809" i="8"/>
  <c r="F4810" i="8"/>
  <c r="F4811" i="8"/>
  <c r="F4812" i="8"/>
  <c r="F4813" i="8"/>
  <c r="F4814" i="8"/>
  <c r="F4815" i="8"/>
  <c r="F4816" i="8"/>
  <c r="F4817" i="8"/>
  <c r="F4818" i="8"/>
  <c r="F4819" i="8"/>
  <c r="F4820" i="8"/>
  <c r="F4821" i="8"/>
  <c r="F4822" i="8"/>
  <c r="F4823" i="8"/>
  <c r="F4824" i="8"/>
  <c r="F4825" i="8"/>
  <c r="F4826" i="8"/>
  <c r="F4827" i="8"/>
  <c r="F4828" i="8"/>
  <c r="F4829" i="8"/>
  <c r="F4830" i="8"/>
  <c r="F4831" i="8"/>
  <c r="F4832" i="8"/>
  <c r="F4833" i="8"/>
  <c r="F4834" i="8"/>
  <c r="F4835" i="8"/>
  <c r="F4836" i="8"/>
  <c r="F4837" i="8"/>
  <c r="F4838" i="8"/>
  <c r="F4839" i="8"/>
  <c r="F4840" i="8"/>
  <c r="F4841" i="8"/>
  <c r="F4842" i="8"/>
  <c r="F4843" i="8"/>
  <c r="F4844" i="8"/>
  <c r="F4845" i="8"/>
  <c r="F4846" i="8"/>
  <c r="F4847" i="8"/>
  <c r="F4848" i="8"/>
  <c r="F4849" i="8"/>
  <c r="F4850" i="8"/>
  <c r="F4851" i="8"/>
  <c r="F4852" i="8"/>
  <c r="F4853" i="8"/>
  <c r="F4854" i="8"/>
  <c r="F4855" i="8"/>
  <c r="F4856" i="8"/>
  <c r="F4857" i="8"/>
  <c r="F4858" i="8"/>
  <c r="F4859" i="8"/>
  <c r="F4860" i="8"/>
  <c r="F4861" i="8"/>
  <c r="F4862" i="8"/>
  <c r="F4863" i="8"/>
  <c r="F4864" i="8"/>
  <c r="F4865" i="8"/>
  <c r="F4866" i="8"/>
  <c r="F4867" i="8"/>
  <c r="F4868" i="8"/>
  <c r="F4869" i="8"/>
  <c r="F4870" i="8"/>
  <c r="F4871" i="8"/>
  <c r="F4872" i="8"/>
  <c r="F4873" i="8"/>
  <c r="F4874" i="8"/>
  <c r="F4875" i="8"/>
  <c r="F4876" i="8"/>
  <c r="F4877" i="8"/>
  <c r="F4878" i="8"/>
  <c r="F4879" i="8"/>
  <c r="F4880" i="8"/>
  <c r="F4881" i="8"/>
  <c r="F4882" i="8"/>
  <c r="F4883" i="8"/>
  <c r="F4884" i="8"/>
  <c r="F4885" i="8"/>
  <c r="F4886" i="8"/>
  <c r="F4887" i="8"/>
  <c r="F4888" i="8"/>
  <c r="F4889" i="8"/>
  <c r="F4890" i="8"/>
  <c r="F4891" i="8"/>
  <c r="F4892" i="8"/>
  <c r="F4893" i="8"/>
  <c r="F4894" i="8"/>
  <c r="F4895" i="8"/>
  <c r="F4896" i="8"/>
  <c r="F4897" i="8"/>
  <c r="F4898" i="8"/>
  <c r="F4899" i="8"/>
  <c r="F4900" i="8"/>
  <c r="F4901" i="8"/>
  <c r="F4902" i="8"/>
  <c r="F4903" i="8"/>
  <c r="F4904" i="8"/>
  <c r="F4905" i="8"/>
  <c r="F4906" i="8"/>
  <c r="F4907" i="8"/>
  <c r="F4908" i="8"/>
  <c r="F4909" i="8"/>
  <c r="F4910" i="8"/>
  <c r="F4911" i="8"/>
  <c r="F4912" i="8"/>
  <c r="F4913" i="8"/>
  <c r="F4914" i="8"/>
  <c r="F4915" i="8"/>
  <c r="F4916" i="8"/>
  <c r="F4917" i="8"/>
  <c r="F4918" i="8"/>
  <c r="F4919" i="8"/>
  <c r="F4920" i="8"/>
  <c r="F4921" i="8"/>
  <c r="F4922" i="8"/>
  <c r="F4923" i="8"/>
  <c r="F4924" i="8"/>
  <c r="F4925" i="8"/>
  <c r="F4926" i="8"/>
  <c r="F4927" i="8"/>
  <c r="F4928" i="8"/>
  <c r="F4929" i="8"/>
  <c r="F4930" i="8"/>
  <c r="F4931" i="8"/>
  <c r="F4932" i="8"/>
  <c r="F4933" i="8"/>
  <c r="F4934" i="8"/>
  <c r="F4935" i="8"/>
  <c r="F4936" i="8"/>
  <c r="F4937" i="8"/>
  <c r="F4938" i="8"/>
  <c r="F4939" i="8"/>
  <c r="F4940" i="8"/>
  <c r="F4941" i="8"/>
  <c r="F4942" i="8"/>
  <c r="F4943" i="8"/>
  <c r="F4944" i="8"/>
  <c r="F4945" i="8"/>
  <c r="F4946" i="8"/>
  <c r="F4947" i="8"/>
  <c r="F4948" i="8"/>
  <c r="F4949" i="8"/>
  <c r="F4950" i="8"/>
  <c r="F4951" i="8"/>
  <c r="F4952" i="8"/>
  <c r="F4953" i="8"/>
  <c r="F4954" i="8"/>
  <c r="F4955" i="8"/>
  <c r="F4956" i="8"/>
  <c r="F4957" i="8"/>
  <c r="F4958" i="8"/>
  <c r="F4959" i="8"/>
  <c r="F4960" i="8"/>
  <c r="F4961" i="8"/>
  <c r="F4962" i="8"/>
  <c r="F4963" i="8"/>
  <c r="F4964" i="8"/>
  <c r="F4965" i="8"/>
  <c r="F4966" i="8"/>
  <c r="F4967" i="8"/>
  <c r="F4968" i="8"/>
  <c r="F4969" i="8"/>
  <c r="F4970" i="8"/>
  <c r="F4971" i="8"/>
  <c r="F4972" i="8"/>
  <c r="F4973" i="8"/>
  <c r="F4974" i="8"/>
  <c r="F4975" i="8"/>
  <c r="F4976" i="8"/>
  <c r="F4977" i="8"/>
  <c r="F4978" i="8"/>
  <c r="F4979" i="8"/>
  <c r="F4980" i="8"/>
  <c r="F4981" i="8"/>
  <c r="F4982" i="8"/>
  <c r="F4983" i="8"/>
  <c r="F4984" i="8"/>
  <c r="F4985" i="8"/>
  <c r="F4986" i="8"/>
  <c r="F4987" i="8"/>
  <c r="F4988" i="8"/>
  <c r="F4989" i="8"/>
  <c r="F4990" i="8"/>
  <c r="F4991" i="8"/>
  <c r="F4992" i="8"/>
  <c r="F4993" i="8"/>
  <c r="F4994" i="8"/>
  <c r="F4995" i="8"/>
  <c r="F4996" i="8"/>
  <c r="F4997" i="8"/>
  <c r="F4998" i="8"/>
  <c r="F4999" i="8"/>
  <c r="F5000" i="8"/>
  <c r="F5001" i="8"/>
  <c r="F5002" i="8"/>
  <c r="F5003" i="8"/>
  <c r="F5004" i="8"/>
  <c r="F5005" i="8"/>
  <c r="F5006" i="8"/>
  <c r="F5007" i="8"/>
  <c r="F5008" i="8"/>
  <c r="F5009" i="8"/>
  <c r="F5010" i="8"/>
  <c r="F5011" i="8"/>
  <c r="F5012" i="8"/>
  <c r="F5013" i="8"/>
  <c r="F5014" i="8"/>
  <c r="F5015" i="8"/>
  <c r="F5016" i="8"/>
  <c r="F5017" i="8"/>
  <c r="F5018" i="8"/>
  <c r="F5019" i="8"/>
  <c r="F5020" i="8"/>
  <c r="F5021" i="8"/>
  <c r="F5022" i="8"/>
  <c r="F5023" i="8"/>
  <c r="F5024" i="8"/>
  <c r="F5025" i="8"/>
  <c r="F5026" i="8"/>
  <c r="F5027" i="8"/>
  <c r="F5028" i="8"/>
  <c r="F5029" i="8"/>
  <c r="F5030" i="8"/>
  <c r="F5031" i="8"/>
  <c r="F5032" i="8"/>
  <c r="F5033" i="8"/>
  <c r="F5034" i="8"/>
  <c r="F5035" i="8"/>
  <c r="F5036" i="8"/>
  <c r="F5037" i="8"/>
  <c r="F5038" i="8"/>
  <c r="F5039" i="8"/>
  <c r="F5040" i="8"/>
  <c r="F5041" i="8"/>
  <c r="F5042" i="8"/>
  <c r="F5043" i="8"/>
  <c r="F5044" i="8"/>
  <c r="F5045" i="8"/>
  <c r="F5046" i="8"/>
  <c r="F5047" i="8"/>
  <c r="F5048" i="8"/>
  <c r="F5049" i="8"/>
  <c r="F5050" i="8"/>
  <c r="F5051" i="8"/>
  <c r="F5052" i="8"/>
  <c r="F5053" i="8"/>
  <c r="F5054" i="8"/>
  <c r="F5055" i="8"/>
  <c r="F5056" i="8"/>
  <c r="F5057" i="8"/>
  <c r="F5058" i="8"/>
  <c r="F5059" i="8"/>
  <c r="F5060" i="8"/>
  <c r="F5061" i="8"/>
  <c r="F5062" i="8"/>
  <c r="F5063" i="8"/>
  <c r="F5064" i="8"/>
  <c r="F5065" i="8"/>
  <c r="F5066" i="8"/>
  <c r="F5067" i="8"/>
  <c r="F5068" i="8"/>
  <c r="F5069" i="8"/>
  <c r="F5070" i="8"/>
  <c r="F5071" i="8"/>
  <c r="F5072" i="8"/>
  <c r="F5073" i="8"/>
  <c r="F5074" i="8"/>
  <c r="F5075" i="8"/>
  <c r="F5076" i="8"/>
  <c r="F5077" i="8"/>
  <c r="F5078" i="8"/>
  <c r="F5079" i="8"/>
  <c r="F5080" i="8"/>
  <c r="F5081" i="8"/>
  <c r="F5082" i="8"/>
  <c r="F5083" i="8"/>
  <c r="F5084" i="8"/>
  <c r="F5085" i="8"/>
  <c r="F5086" i="8"/>
  <c r="F5087" i="8"/>
  <c r="F5088" i="8"/>
  <c r="F5089" i="8"/>
  <c r="F5090" i="8"/>
  <c r="F5091" i="8"/>
  <c r="F5092" i="8"/>
  <c r="F5093" i="8"/>
  <c r="F5094" i="8"/>
  <c r="F5095" i="8"/>
  <c r="F5096" i="8"/>
  <c r="F5097" i="8"/>
  <c r="F5098" i="8"/>
  <c r="F5099" i="8"/>
  <c r="F5100" i="8"/>
  <c r="F5101" i="8"/>
  <c r="F5102" i="8"/>
  <c r="F5103" i="8"/>
  <c r="F5104" i="8"/>
  <c r="F5105" i="8"/>
  <c r="F5106" i="8"/>
  <c r="F5107" i="8"/>
  <c r="F5108" i="8"/>
  <c r="F5109" i="8"/>
  <c r="F5110" i="8"/>
  <c r="F5111" i="8"/>
  <c r="F5112" i="8"/>
  <c r="F5113" i="8"/>
  <c r="F5114" i="8"/>
  <c r="F5115" i="8"/>
  <c r="F5116" i="8"/>
  <c r="F5117" i="8"/>
  <c r="F5118" i="8"/>
  <c r="F5119" i="8"/>
  <c r="F5120" i="8"/>
  <c r="F5121" i="8"/>
  <c r="F5122" i="8"/>
  <c r="F5123" i="8"/>
  <c r="F5124" i="8"/>
  <c r="F5125" i="8"/>
  <c r="F5126" i="8"/>
  <c r="F5127" i="8"/>
  <c r="F5128" i="8"/>
  <c r="F5129" i="8"/>
  <c r="F5130" i="8"/>
  <c r="F5131" i="8"/>
  <c r="F5132" i="8"/>
  <c r="F5133" i="8"/>
  <c r="F5134" i="8"/>
  <c r="F5135" i="8"/>
  <c r="F5136" i="8"/>
  <c r="F5137" i="8"/>
  <c r="F5138" i="8"/>
  <c r="F5139" i="8"/>
  <c r="F5140" i="8"/>
  <c r="F5141" i="8"/>
  <c r="F5142" i="8"/>
  <c r="F5143" i="8"/>
  <c r="F5144" i="8"/>
  <c r="F5145" i="8"/>
  <c r="F5146" i="8"/>
  <c r="F5147" i="8"/>
  <c r="F5148" i="8"/>
  <c r="F5149" i="8"/>
  <c r="F5150" i="8"/>
  <c r="F5151" i="8"/>
  <c r="F5152" i="8"/>
  <c r="F5153" i="8"/>
  <c r="F5154" i="8"/>
  <c r="F5155" i="8"/>
  <c r="F5156" i="8"/>
  <c r="F5157" i="8"/>
  <c r="F5158" i="8"/>
  <c r="F5159" i="8"/>
  <c r="F5160" i="8"/>
  <c r="F5161" i="8"/>
  <c r="F5162" i="8"/>
  <c r="F5163" i="8"/>
  <c r="F5164" i="8"/>
  <c r="F5165" i="8"/>
  <c r="F5166" i="8"/>
  <c r="F5167" i="8"/>
  <c r="F5168" i="8"/>
  <c r="F5169" i="8"/>
  <c r="F5170" i="8"/>
  <c r="F5171" i="8"/>
  <c r="F5172" i="8"/>
  <c r="F5173" i="8"/>
  <c r="F5174" i="8"/>
  <c r="F5175" i="8"/>
  <c r="F5176" i="8"/>
  <c r="F5177" i="8"/>
  <c r="F5178" i="8"/>
  <c r="F5179" i="8"/>
  <c r="F5180" i="8"/>
  <c r="F5181" i="8"/>
  <c r="F5182" i="8"/>
  <c r="F5183" i="8"/>
  <c r="F5184" i="8"/>
  <c r="F5185" i="8"/>
  <c r="F5186" i="8"/>
  <c r="F5187" i="8"/>
  <c r="F5188" i="8"/>
  <c r="F5189" i="8"/>
  <c r="F5190" i="8"/>
  <c r="F5191" i="8"/>
  <c r="F5192" i="8"/>
  <c r="F5193" i="8"/>
  <c r="F5194" i="8"/>
  <c r="F5195" i="8"/>
  <c r="F5196" i="8"/>
  <c r="F5197" i="8"/>
  <c r="F5198" i="8"/>
  <c r="F5199" i="8"/>
  <c r="F5200" i="8"/>
  <c r="F5201" i="8"/>
  <c r="F5202" i="8"/>
  <c r="F5203" i="8"/>
  <c r="F5204" i="8"/>
  <c r="F5205" i="8"/>
  <c r="F5206" i="8"/>
  <c r="F5207" i="8"/>
  <c r="F5208" i="8"/>
  <c r="F5209" i="8"/>
  <c r="F5210" i="8"/>
  <c r="F5211" i="8"/>
  <c r="F5212" i="8"/>
  <c r="F5213" i="8"/>
  <c r="F5214" i="8"/>
  <c r="F5215" i="8"/>
  <c r="F5216" i="8"/>
  <c r="F5217" i="8"/>
  <c r="F5218" i="8"/>
  <c r="F5219" i="8"/>
  <c r="F5220" i="8"/>
  <c r="F5221" i="8"/>
  <c r="F5222" i="8"/>
  <c r="F5223" i="8"/>
  <c r="F5224" i="8"/>
  <c r="F5225" i="8"/>
  <c r="F5226" i="8"/>
  <c r="F5227" i="8"/>
  <c r="F5228" i="8"/>
  <c r="F5229" i="8"/>
  <c r="F5230" i="8"/>
  <c r="F5231" i="8"/>
  <c r="F5232" i="8"/>
  <c r="F5233" i="8"/>
  <c r="F5234" i="8"/>
  <c r="F5235" i="8"/>
  <c r="F5236" i="8"/>
  <c r="F5237" i="8"/>
  <c r="F5238" i="8"/>
  <c r="F5239" i="8"/>
  <c r="F5240" i="8"/>
  <c r="F5241" i="8"/>
  <c r="F5242" i="8"/>
  <c r="F5243" i="8"/>
  <c r="F5244" i="8"/>
  <c r="F5245" i="8"/>
  <c r="F5246" i="8"/>
  <c r="F5247" i="8"/>
  <c r="F5248" i="8"/>
  <c r="F5249" i="8"/>
  <c r="F5250" i="8"/>
  <c r="F5251" i="8"/>
  <c r="F5252" i="8"/>
  <c r="F5253" i="8"/>
  <c r="F5254" i="8"/>
  <c r="F5255" i="8"/>
  <c r="F5256" i="8"/>
  <c r="F5257" i="8"/>
  <c r="F5258" i="8"/>
  <c r="F5259" i="8"/>
  <c r="F5260" i="8"/>
  <c r="F5261" i="8"/>
  <c r="F5262" i="8"/>
  <c r="F5263" i="8"/>
  <c r="F5264" i="8"/>
  <c r="F5265" i="8"/>
  <c r="F5266" i="8"/>
  <c r="F5267" i="8"/>
  <c r="F5268" i="8"/>
  <c r="F5269" i="8"/>
  <c r="F5270" i="8"/>
  <c r="F5271" i="8"/>
  <c r="F5272" i="8"/>
  <c r="F5273" i="8"/>
  <c r="F5274" i="8"/>
  <c r="F5275" i="8"/>
  <c r="F5276" i="8"/>
  <c r="F5277" i="8"/>
  <c r="F5278" i="8"/>
  <c r="F5279" i="8"/>
  <c r="F5280" i="8"/>
  <c r="F5281" i="8"/>
  <c r="F5282" i="8"/>
  <c r="F5283" i="8"/>
  <c r="F5284" i="8"/>
  <c r="F5285" i="8"/>
  <c r="F5286" i="8"/>
  <c r="F5287" i="8"/>
  <c r="F5288" i="8"/>
  <c r="F5289" i="8"/>
  <c r="F5290" i="8"/>
  <c r="F5291" i="8"/>
  <c r="F5292" i="8"/>
  <c r="F5293" i="8"/>
  <c r="F5294" i="8"/>
  <c r="F5295" i="8"/>
  <c r="F5296" i="8"/>
  <c r="F5297" i="8"/>
  <c r="F5298" i="8"/>
  <c r="F5299" i="8"/>
  <c r="F5300" i="8"/>
  <c r="F5301" i="8"/>
  <c r="F5302" i="8"/>
  <c r="F5303" i="8"/>
  <c r="F5304" i="8"/>
  <c r="F5305" i="8"/>
  <c r="F5306" i="8"/>
  <c r="F5307" i="8"/>
  <c r="F5308" i="8"/>
  <c r="F5309" i="8"/>
  <c r="F5310" i="8"/>
  <c r="F5311" i="8"/>
  <c r="F5312" i="8"/>
  <c r="F5313" i="8"/>
  <c r="F5314" i="8"/>
  <c r="F5315" i="8"/>
  <c r="F5316" i="8"/>
  <c r="F5317" i="8"/>
  <c r="F5318" i="8"/>
  <c r="F5319" i="8"/>
  <c r="F5320" i="8"/>
  <c r="F5321" i="8"/>
  <c r="F5322" i="8"/>
  <c r="F5323" i="8"/>
  <c r="F5324" i="8"/>
  <c r="F5325" i="8"/>
  <c r="F5326" i="8"/>
  <c r="F5327" i="8"/>
  <c r="F5328" i="8"/>
  <c r="F5329" i="8"/>
  <c r="F5330" i="8"/>
  <c r="F5331" i="8"/>
  <c r="F5332" i="8"/>
  <c r="F5333" i="8"/>
  <c r="F5334" i="8"/>
  <c r="F5335" i="8"/>
  <c r="F5336" i="8"/>
  <c r="F5337" i="8"/>
  <c r="F5338" i="8"/>
  <c r="F5339" i="8"/>
  <c r="F5340" i="8"/>
  <c r="F5341" i="8"/>
  <c r="F5342" i="8"/>
  <c r="F5343" i="8"/>
  <c r="F5344" i="8"/>
  <c r="F5345" i="8"/>
  <c r="F5346" i="8"/>
  <c r="F5347" i="8"/>
  <c r="F5348" i="8"/>
  <c r="F5349" i="8"/>
  <c r="F5350" i="8"/>
  <c r="F5351" i="8"/>
  <c r="F5352" i="8"/>
  <c r="F5353" i="8"/>
  <c r="F5354" i="8"/>
  <c r="F5355" i="8"/>
  <c r="F5356" i="8"/>
  <c r="F5357" i="8"/>
  <c r="F5358" i="8"/>
  <c r="F5359" i="8"/>
  <c r="F5360" i="8"/>
  <c r="F5361" i="8"/>
  <c r="F5362" i="8"/>
  <c r="F5363" i="8"/>
  <c r="F5364" i="8"/>
  <c r="F5365" i="8"/>
  <c r="F5366" i="8"/>
  <c r="F5367" i="8"/>
  <c r="F5368" i="8"/>
  <c r="F5369" i="8"/>
  <c r="F5370" i="8"/>
  <c r="F5371" i="8"/>
  <c r="F5372" i="8"/>
  <c r="F5373" i="8"/>
  <c r="F5374" i="8"/>
  <c r="F5375" i="8"/>
  <c r="F5376" i="8"/>
  <c r="F5377" i="8"/>
  <c r="F5378" i="8"/>
  <c r="F5379" i="8"/>
  <c r="F5380" i="8"/>
  <c r="F5381" i="8"/>
  <c r="F5382" i="8"/>
  <c r="F5383" i="8"/>
  <c r="F5384" i="8"/>
  <c r="F5385" i="8"/>
  <c r="F5386" i="8"/>
  <c r="F5387" i="8"/>
  <c r="F5388" i="8"/>
  <c r="F5389" i="8"/>
  <c r="F5390" i="8"/>
  <c r="F5391" i="8"/>
  <c r="F5392" i="8"/>
  <c r="F5393" i="8"/>
  <c r="F5394" i="8"/>
  <c r="F5395" i="8"/>
  <c r="F5396" i="8"/>
  <c r="F5397" i="8"/>
  <c r="F5398" i="8"/>
  <c r="F5399" i="8"/>
  <c r="F5400" i="8"/>
  <c r="F5401" i="8"/>
  <c r="F5402" i="8"/>
  <c r="F5403" i="8"/>
  <c r="F5404" i="8"/>
  <c r="F5405" i="8"/>
  <c r="F5406" i="8"/>
  <c r="F5407" i="8"/>
  <c r="F5408" i="8"/>
  <c r="F5409" i="8"/>
  <c r="F5410" i="8"/>
  <c r="F5411" i="8"/>
  <c r="F5412" i="8"/>
  <c r="F5413" i="8"/>
  <c r="F5414" i="8"/>
  <c r="F5415" i="8"/>
  <c r="F5416" i="8"/>
  <c r="F5417" i="8"/>
  <c r="F5418" i="8"/>
  <c r="F5419" i="8"/>
  <c r="F5420" i="8"/>
  <c r="F5421" i="8"/>
  <c r="F5422" i="8"/>
  <c r="F5423" i="8"/>
  <c r="F5424" i="8"/>
  <c r="F5425" i="8"/>
  <c r="F5426" i="8"/>
  <c r="F5427" i="8"/>
  <c r="F5428" i="8"/>
  <c r="F5429" i="8"/>
  <c r="F5430" i="8"/>
  <c r="F5431" i="8"/>
  <c r="F5432" i="8"/>
  <c r="F5433" i="8"/>
  <c r="F5434" i="8"/>
  <c r="F5435" i="8"/>
  <c r="F5436" i="8"/>
  <c r="F5437" i="8"/>
  <c r="F5438" i="8"/>
  <c r="F5439" i="8"/>
  <c r="F5440" i="8"/>
  <c r="F5441" i="8"/>
  <c r="F5442" i="8"/>
  <c r="F5443" i="8"/>
  <c r="F5444" i="8"/>
  <c r="F5445" i="8"/>
  <c r="F5446" i="8"/>
  <c r="F5447" i="8"/>
  <c r="F5448" i="8"/>
  <c r="F5449" i="8"/>
  <c r="F5450" i="8"/>
  <c r="F5451" i="8"/>
  <c r="F5452" i="8"/>
  <c r="F5453" i="8"/>
  <c r="F5454" i="8"/>
  <c r="F5455" i="8"/>
  <c r="F5456" i="8"/>
  <c r="F5457" i="8"/>
  <c r="F5458" i="8"/>
  <c r="F5459" i="8"/>
  <c r="F5460" i="8"/>
  <c r="F5461" i="8"/>
  <c r="F5462" i="8"/>
  <c r="F5463" i="8"/>
  <c r="F5464" i="8"/>
  <c r="F5465" i="8"/>
  <c r="F5466" i="8"/>
  <c r="F5467" i="8"/>
  <c r="F5468" i="8"/>
  <c r="F5469" i="8"/>
  <c r="F5470" i="8"/>
  <c r="F5471" i="8"/>
  <c r="F5472" i="8"/>
  <c r="F5473" i="8"/>
  <c r="F5474" i="8"/>
  <c r="F5475" i="8"/>
  <c r="F5476" i="8"/>
  <c r="F5477" i="8"/>
  <c r="F5478" i="8"/>
  <c r="F5479" i="8"/>
  <c r="F5480" i="8"/>
  <c r="F5481" i="8"/>
  <c r="F5482" i="8"/>
  <c r="F5483" i="8"/>
  <c r="F5484" i="8"/>
  <c r="F5485" i="8"/>
  <c r="F5486" i="8"/>
  <c r="F5487" i="8"/>
  <c r="F5488" i="8"/>
  <c r="F5489" i="8"/>
  <c r="F5490" i="8"/>
  <c r="F5491" i="8"/>
  <c r="F5492" i="8"/>
  <c r="F5493" i="8"/>
  <c r="F5494" i="8"/>
  <c r="F5495" i="8"/>
  <c r="F5496" i="8"/>
  <c r="F5497" i="8"/>
  <c r="F5498" i="8"/>
  <c r="F5499" i="8"/>
  <c r="F5500" i="8"/>
  <c r="F5501" i="8"/>
  <c r="F5502" i="8"/>
  <c r="F5503" i="8"/>
  <c r="F5504" i="8"/>
  <c r="F5505" i="8"/>
  <c r="F5506" i="8"/>
  <c r="F5507" i="8"/>
  <c r="F5508" i="8"/>
  <c r="F5509" i="8"/>
  <c r="F5510" i="8"/>
  <c r="F5511" i="8"/>
  <c r="F5512" i="8"/>
  <c r="F5513" i="8"/>
  <c r="F5514" i="8"/>
  <c r="F5515" i="8"/>
  <c r="F5516" i="8"/>
  <c r="F5517" i="8"/>
  <c r="F5518" i="8"/>
  <c r="F5519" i="8"/>
  <c r="F5520" i="8"/>
  <c r="F5521" i="8"/>
  <c r="F5522" i="8"/>
  <c r="F5523" i="8"/>
  <c r="F5524" i="8"/>
  <c r="F5525" i="8"/>
  <c r="F5526" i="8"/>
  <c r="F5527" i="8"/>
  <c r="F5528" i="8"/>
  <c r="F5529" i="8"/>
  <c r="F5530" i="8"/>
  <c r="F5531" i="8"/>
  <c r="F5532" i="8"/>
  <c r="F5533" i="8"/>
  <c r="F5534" i="8"/>
  <c r="F5535" i="8"/>
  <c r="F5536" i="8"/>
  <c r="F5537" i="8"/>
  <c r="F5538" i="8"/>
  <c r="F5539" i="8"/>
  <c r="F5540" i="8"/>
  <c r="F5541" i="8"/>
  <c r="F5542" i="8"/>
  <c r="F5543" i="8"/>
  <c r="F5544" i="8"/>
  <c r="F5545" i="8"/>
  <c r="F5546" i="8"/>
  <c r="F5547" i="8"/>
  <c r="F5548" i="8"/>
  <c r="F5549" i="8"/>
  <c r="F5550" i="8"/>
  <c r="F5551" i="8"/>
  <c r="F5552" i="8"/>
  <c r="F5553" i="8"/>
  <c r="F5554" i="8"/>
  <c r="F5555" i="8"/>
  <c r="F5556" i="8"/>
  <c r="F5557" i="8"/>
  <c r="F5558" i="8"/>
  <c r="F5559" i="8"/>
  <c r="F5560" i="8"/>
  <c r="F5561" i="8"/>
  <c r="F5562" i="8"/>
  <c r="F5563" i="8"/>
  <c r="F5564" i="8"/>
  <c r="F5565" i="8"/>
  <c r="F5566" i="8"/>
  <c r="F5567" i="8"/>
  <c r="F5568" i="8"/>
  <c r="F5569" i="8"/>
  <c r="F5570" i="8"/>
  <c r="F5571" i="8"/>
  <c r="F5572" i="8"/>
  <c r="F5573" i="8"/>
  <c r="F5574" i="8"/>
  <c r="F5575" i="8"/>
  <c r="F5576" i="8"/>
  <c r="F5577" i="8"/>
  <c r="F5578" i="8"/>
  <c r="F5579" i="8"/>
  <c r="F5580" i="8"/>
  <c r="F5581" i="8"/>
  <c r="F5582" i="8"/>
  <c r="F5583" i="8"/>
  <c r="F5584" i="8"/>
  <c r="F5585" i="8"/>
  <c r="F5586" i="8"/>
  <c r="F5587" i="8"/>
  <c r="F5588" i="8"/>
  <c r="F5589" i="8"/>
  <c r="F5590" i="8"/>
  <c r="F5591" i="8"/>
  <c r="F5592" i="8"/>
  <c r="F5593" i="8"/>
  <c r="F5594" i="8"/>
  <c r="F5595" i="8"/>
  <c r="F5596" i="8"/>
  <c r="F5597" i="8"/>
  <c r="F5598" i="8"/>
  <c r="F5599" i="8"/>
  <c r="F5600" i="8"/>
  <c r="F5601" i="8"/>
  <c r="F5602" i="8"/>
  <c r="F5603" i="8"/>
  <c r="F5604" i="8"/>
  <c r="F5605" i="8"/>
  <c r="F5606" i="8"/>
  <c r="F5607" i="8"/>
  <c r="F5608" i="8"/>
  <c r="F5609" i="8"/>
  <c r="F5610" i="8"/>
  <c r="F5611" i="8"/>
  <c r="F5612" i="8"/>
  <c r="F5613" i="8"/>
  <c r="F5614" i="8"/>
  <c r="F5615" i="8"/>
  <c r="F5616" i="8"/>
  <c r="F5617" i="8"/>
  <c r="F5618" i="8"/>
  <c r="F5619" i="8"/>
  <c r="F5620" i="8"/>
  <c r="F5621" i="8"/>
  <c r="F5622" i="8"/>
  <c r="F5623" i="8"/>
  <c r="F5624" i="8"/>
  <c r="F5625" i="8"/>
  <c r="F5626" i="8"/>
  <c r="F5627" i="8"/>
  <c r="F5628" i="8"/>
  <c r="F5629" i="8"/>
  <c r="F5630" i="8"/>
  <c r="F5631" i="8"/>
  <c r="F5632" i="8"/>
  <c r="F5633" i="8"/>
  <c r="F5634" i="8"/>
  <c r="F5635" i="8"/>
  <c r="F5636" i="8"/>
  <c r="F5637" i="8"/>
  <c r="F5638" i="8"/>
  <c r="F5639" i="8"/>
  <c r="F5640" i="8"/>
  <c r="F5641" i="8"/>
  <c r="F5642" i="8"/>
  <c r="F5643" i="8"/>
  <c r="F5644" i="8"/>
  <c r="F5645" i="8"/>
  <c r="F5646" i="8"/>
  <c r="F5647" i="8"/>
  <c r="F5648" i="8"/>
  <c r="F5649" i="8"/>
  <c r="F5650" i="8"/>
  <c r="F5651" i="8"/>
  <c r="F5652" i="8"/>
  <c r="F5653" i="8"/>
  <c r="F5654" i="8"/>
  <c r="F5655" i="8"/>
  <c r="F5656" i="8"/>
  <c r="F5657" i="8"/>
  <c r="F5658" i="8"/>
  <c r="F5659" i="8"/>
  <c r="F5660" i="8"/>
  <c r="F5661" i="8"/>
  <c r="F5662" i="8"/>
  <c r="F5663" i="8"/>
  <c r="F5664" i="8"/>
  <c r="F5665" i="8"/>
  <c r="F5666" i="8"/>
  <c r="F5667" i="8"/>
  <c r="F5668" i="8"/>
  <c r="F5669" i="8"/>
  <c r="F5670" i="8"/>
  <c r="F5671" i="8"/>
  <c r="F5672" i="8"/>
  <c r="F5673" i="8"/>
  <c r="F5674" i="8"/>
  <c r="F5675" i="8"/>
  <c r="F5676" i="8"/>
  <c r="F5677" i="8"/>
  <c r="F5678" i="8"/>
  <c r="F5679" i="8"/>
  <c r="F5680" i="8"/>
  <c r="F5681" i="8"/>
  <c r="F5682" i="8"/>
  <c r="F5683" i="8"/>
  <c r="F5684" i="8"/>
  <c r="F5685" i="8"/>
  <c r="F5686" i="8"/>
  <c r="F5687" i="8"/>
  <c r="F5688" i="8"/>
  <c r="F5689" i="8"/>
  <c r="F5690" i="8"/>
  <c r="F5691" i="8"/>
  <c r="F5692" i="8"/>
  <c r="F5693" i="8"/>
  <c r="F5694" i="8"/>
  <c r="F5695" i="8"/>
  <c r="F5696" i="8"/>
  <c r="F5697" i="8"/>
  <c r="F5698" i="8"/>
  <c r="F5699" i="8"/>
  <c r="F5700" i="8"/>
  <c r="F5701" i="8"/>
  <c r="F5702" i="8"/>
  <c r="F5703" i="8"/>
  <c r="F5704" i="8"/>
  <c r="F5705" i="8"/>
  <c r="F5706" i="8"/>
  <c r="F5707" i="8"/>
  <c r="F5708" i="8"/>
  <c r="F5709" i="8"/>
  <c r="F5710" i="8"/>
  <c r="F5711" i="8"/>
  <c r="F5712" i="8"/>
  <c r="F5713" i="8"/>
  <c r="F5714" i="8"/>
  <c r="F5715" i="8"/>
  <c r="F5716" i="8"/>
  <c r="F5717" i="8"/>
  <c r="F5718" i="8"/>
  <c r="F5719" i="8"/>
  <c r="F5720" i="8"/>
  <c r="F5721" i="8"/>
  <c r="F5722" i="8"/>
  <c r="F5723" i="8"/>
  <c r="F5724" i="8"/>
  <c r="F5725" i="8"/>
  <c r="F5726" i="8"/>
  <c r="F5727" i="8"/>
  <c r="F5728" i="8"/>
  <c r="F5729" i="8"/>
  <c r="F5730" i="8"/>
  <c r="F5731" i="8"/>
  <c r="F5732" i="8"/>
  <c r="F5733" i="8"/>
  <c r="F5734" i="8"/>
  <c r="F5735" i="8"/>
  <c r="F5736" i="8"/>
  <c r="F5737" i="8"/>
  <c r="F5738" i="8"/>
  <c r="F5739" i="8"/>
  <c r="F5740" i="8"/>
  <c r="F5741" i="8"/>
  <c r="F5742" i="8"/>
  <c r="F5743" i="8"/>
  <c r="F5744" i="8"/>
  <c r="F5745" i="8"/>
  <c r="F5746" i="8"/>
  <c r="F5747" i="8"/>
  <c r="F5748" i="8"/>
  <c r="F5749" i="8"/>
  <c r="F5750" i="8"/>
  <c r="F5751" i="8"/>
  <c r="F5752" i="8"/>
  <c r="F5753" i="8"/>
  <c r="F5754" i="8"/>
  <c r="F5755" i="8"/>
  <c r="F5756" i="8"/>
  <c r="F5757" i="8"/>
  <c r="F5758" i="8"/>
  <c r="F5759" i="8"/>
  <c r="F5760" i="8"/>
  <c r="F5761" i="8"/>
  <c r="F5762" i="8"/>
  <c r="F5763" i="8"/>
  <c r="F5764" i="8"/>
  <c r="F5765" i="8"/>
  <c r="F5766" i="8"/>
  <c r="F5767" i="8"/>
  <c r="F5768" i="8"/>
  <c r="F5769" i="8"/>
  <c r="F5770" i="8"/>
  <c r="F5771" i="8"/>
  <c r="F5772" i="8"/>
  <c r="F5773" i="8"/>
  <c r="F5774" i="8"/>
  <c r="F5775" i="8"/>
  <c r="F5776" i="8"/>
  <c r="F5777" i="8"/>
  <c r="F5778" i="8"/>
  <c r="F5779" i="8"/>
  <c r="F5780" i="8"/>
  <c r="F5781" i="8"/>
  <c r="F5782" i="8"/>
  <c r="F5783" i="8"/>
  <c r="F5784" i="8"/>
  <c r="F5785" i="8"/>
  <c r="F5786" i="8"/>
  <c r="F5787" i="8"/>
  <c r="F5788" i="8"/>
  <c r="F5789" i="8"/>
  <c r="F5790" i="8"/>
  <c r="F5791" i="8"/>
  <c r="F5792" i="8"/>
  <c r="F5793" i="8"/>
  <c r="F5794" i="8"/>
  <c r="F5795" i="8"/>
  <c r="F5796" i="8"/>
  <c r="F5797" i="8"/>
  <c r="F5798" i="8"/>
  <c r="F5799" i="8"/>
  <c r="F5800" i="8"/>
  <c r="F5801" i="8"/>
  <c r="F5802" i="8"/>
  <c r="F5803" i="8"/>
  <c r="F5804" i="8"/>
  <c r="F5805" i="8"/>
  <c r="F5806" i="8"/>
  <c r="F5807" i="8"/>
  <c r="F5808" i="8"/>
  <c r="F5809" i="8"/>
  <c r="F5810" i="8"/>
  <c r="F5811" i="8"/>
  <c r="F5812" i="8"/>
  <c r="F5813" i="8"/>
  <c r="F5814" i="8"/>
  <c r="F5815" i="8"/>
  <c r="F5816" i="8"/>
  <c r="F5817" i="8"/>
  <c r="F5818" i="8"/>
  <c r="F5819" i="8"/>
  <c r="F5820" i="8"/>
  <c r="F5821" i="8"/>
  <c r="F5822" i="8"/>
  <c r="F5823" i="8"/>
  <c r="F5824" i="8"/>
  <c r="F5825" i="8"/>
  <c r="F5826" i="8"/>
  <c r="F5827" i="8"/>
  <c r="F5828" i="8"/>
  <c r="F5829" i="8"/>
  <c r="F5830" i="8"/>
  <c r="F5831" i="8"/>
  <c r="F5832" i="8"/>
  <c r="F5833" i="8"/>
  <c r="F5834" i="8"/>
  <c r="F5835" i="8"/>
  <c r="F5836" i="8"/>
  <c r="F5837" i="8"/>
  <c r="F5838" i="8"/>
  <c r="F5839" i="8"/>
  <c r="F5840" i="8"/>
  <c r="F5841" i="8"/>
  <c r="F5842" i="8"/>
  <c r="F5843" i="8"/>
  <c r="F5844" i="8"/>
  <c r="F5845" i="8"/>
  <c r="F5846" i="8"/>
  <c r="F5847" i="8"/>
  <c r="F5848" i="8"/>
  <c r="F5849" i="8"/>
  <c r="F5850" i="8"/>
  <c r="F5851" i="8"/>
  <c r="F5852" i="8"/>
  <c r="F5853" i="8"/>
  <c r="F5854" i="8"/>
  <c r="F5855" i="8"/>
  <c r="F5856" i="8"/>
  <c r="F5857" i="8"/>
  <c r="F5858" i="8"/>
  <c r="F5859" i="8"/>
  <c r="F5860" i="8"/>
  <c r="F5861" i="8"/>
  <c r="F5862" i="8"/>
  <c r="F5863" i="8"/>
  <c r="F5864" i="8"/>
  <c r="F5865" i="8"/>
  <c r="F5866" i="8"/>
  <c r="F5867" i="8"/>
  <c r="F5868" i="8"/>
  <c r="F5869" i="8"/>
  <c r="F5870" i="8"/>
  <c r="F5871" i="8"/>
  <c r="F5872" i="8"/>
  <c r="F5873" i="8"/>
  <c r="F5874" i="8"/>
  <c r="F5875" i="8"/>
  <c r="F5876" i="8"/>
  <c r="F5877" i="8"/>
  <c r="F5878" i="8"/>
  <c r="F5879" i="8"/>
  <c r="F5880" i="8"/>
  <c r="F5881" i="8"/>
  <c r="F5882" i="8"/>
  <c r="F5883" i="8"/>
  <c r="F5884" i="8"/>
  <c r="F5885" i="8"/>
  <c r="F5886" i="8"/>
  <c r="F5887" i="8"/>
  <c r="F5888" i="8"/>
  <c r="F5889" i="8"/>
  <c r="F5890" i="8"/>
  <c r="F5891" i="8"/>
  <c r="F5892" i="8"/>
  <c r="F5893" i="8"/>
  <c r="F5894" i="8"/>
  <c r="F5895" i="8"/>
  <c r="F5896" i="8"/>
  <c r="F5897" i="8"/>
  <c r="F5898" i="8"/>
  <c r="F5899" i="8"/>
  <c r="F5900" i="8"/>
  <c r="F5901" i="8"/>
  <c r="F5902" i="8"/>
  <c r="F5903" i="8"/>
  <c r="F5904" i="8"/>
  <c r="F5905" i="8"/>
  <c r="F5906" i="8"/>
  <c r="F5907" i="8"/>
  <c r="F5908" i="8"/>
  <c r="F5909" i="8"/>
  <c r="F5910" i="8"/>
  <c r="F5911" i="8"/>
  <c r="F5912" i="8"/>
  <c r="F5913" i="8"/>
  <c r="F5914" i="8"/>
  <c r="F5915" i="8"/>
  <c r="F5916" i="8"/>
  <c r="F5917" i="8"/>
  <c r="F5918" i="8"/>
  <c r="F5919" i="8"/>
  <c r="F5920" i="8"/>
  <c r="F5921" i="8"/>
  <c r="F5922" i="8"/>
  <c r="F5923" i="8"/>
  <c r="F5924" i="8"/>
  <c r="F5925" i="8"/>
  <c r="F5926" i="8"/>
  <c r="F5927" i="8"/>
  <c r="F5928" i="8"/>
  <c r="F5929" i="8"/>
  <c r="F5930" i="8"/>
  <c r="F5931" i="8"/>
  <c r="F5932" i="8"/>
  <c r="F5933" i="8"/>
  <c r="F5934" i="8"/>
  <c r="F5935" i="8"/>
  <c r="F5936" i="8"/>
  <c r="F5937" i="8"/>
  <c r="F5938" i="8"/>
  <c r="F5939" i="8"/>
  <c r="F5940" i="8"/>
  <c r="F5941" i="8"/>
  <c r="F5942" i="8"/>
  <c r="F5943" i="8"/>
  <c r="F5944" i="8"/>
  <c r="F5945" i="8"/>
  <c r="F5946" i="8"/>
  <c r="F5947" i="8"/>
  <c r="F5948" i="8"/>
  <c r="F5949" i="8"/>
  <c r="F5950" i="8"/>
  <c r="F5951" i="8"/>
  <c r="F5952" i="8"/>
  <c r="F5953" i="8"/>
  <c r="F5954" i="8"/>
  <c r="F5955" i="8"/>
  <c r="F5956" i="8"/>
  <c r="F5957" i="8"/>
  <c r="F5958" i="8"/>
  <c r="F5959" i="8"/>
  <c r="F5960" i="8"/>
  <c r="F5961" i="8"/>
  <c r="F5962" i="8"/>
  <c r="F5963" i="8"/>
  <c r="F5964" i="8"/>
  <c r="F5965" i="8"/>
  <c r="F5966" i="8"/>
  <c r="F5967" i="8"/>
  <c r="F5968" i="8"/>
  <c r="F5969" i="8"/>
  <c r="F5970" i="8"/>
  <c r="F5971" i="8"/>
  <c r="F5972" i="8"/>
  <c r="F5973" i="8"/>
  <c r="F5974" i="8"/>
  <c r="F5975" i="8"/>
  <c r="F5976" i="8"/>
  <c r="F5977" i="8"/>
  <c r="F5978" i="8"/>
  <c r="F5979" i="8"/>
  <c r="F5980" i="8"/>
  <c r="F5981" i="8"/>
  <c r="F5982" i="8"/>
  <c r="F5983" i="8"/>
  <c r="F5984" i="8"/>
  <c r="F5985" i="8"/>
  <c r="F5986" i="8"/>
  <c r="F5987" i="8"/>
  <c r="F5988" i="8"/>
  <c r="F5989" i="8"/>
  <c r="F5990" i="8"/>
  <c r="F5991" i="8"/>
  <c r="F5992" i="8"/>
  <c r="F5993" i="8"/>
  <c r="F5994" i="8"/>
  <c r="F5995" i="8"/>
  <c r="F5996" i="8"/>
  <c r="F5997" i="8"/>
  <c r="F5998" i="8"/>
  <c r="F5999" i="8"/>
  <c r="F6000" i="8"/>
  <c r="F6001" i="8"/>
  <c r="F6002" i="8"/>
  <c r="F6003" i="8"/>
  <c r="F6004" i="8"/>
  <c r="F6005" i="8"/>
  <c r="F6006" i="8"/>
  <c r="F6007" i="8"/>
  <c r="F6008" i="8"/>
  <c r="F6009" i="8"/>
  <c r="F6010" i="8"/>
  <c r="F6011" i="8"/>
  <c r="F6012" i="8"/>
  <c r="F6013" i="8"/>
  <c r="F6014" i="8"/>
  <c r="F6015" i="8"/>
  <c r="F6016" i="8"/>
  <c r="F6017" i="8"/>
  <c r="F6018" i="8"/>
  <c r="F6019" i="8"/>
  <c r="F6020" i="8"/>
  <c r="F6021" i="8"/>
  <c r="F6022" i="8"/>
  <c r="F6023" i="8"/>
  <c r="F6024" i="8"/>
  <c r="F6025" i="8"/>
  <c r="F6026" i="8"/>
  <c r="F6027" i="8"/>
  <c r="F6028" i="8"/>
  <c r="F6029" i="8"/>
  <c r="F6030" i="8"/>
  <c r="F6031" i="8"/>
  <c r="F6032" i="8"/>
  <c r="F6033" i="8"/>
  <c r="F6034" i="8"/>
  <c r="F6035" i="8"/>
  <c r="F6036" i="8"/>
  <c r="F6037" i="8"/>
  <c r="F6038" i="8"/>
  <c r="F6039" i="8"/>
  <c r="F6040" i="8"/>
  <c r="F6041" i="8"/>
  <c r="F6042" i="8"/>
  <c r="F6043" i="8"/>
  <c r="F6044" i="8"/>
  <c r="F6045" i="8"/>
  <c r="F6046" i="8"/>
  <c r="F6047" i="8"/>
  <c r="F6048" i="8"/>
  <c r="F6049" i="8"/>
  <c r="F6050" i="8"/>
  <c r="F6051" i="8"/>
  <c r="F6052" i="8"/>
  <c r="F6053" i="8"/>
  <c r="F6054" i="8"/>
  <c r="F6055" i="8"/>
  <c r="F6056" i="8"/>
  <c r="F6057" i="8"/>
  <c r="F6058" i="8"/>
  <c r="F6059" i="8"/>
  <c r="F6060" i="8"/>
  <c r="F6061" i="8"/>
  <c r="F6062" i="8"/>
  <c r="F6063" i="8"/>
  <c r="F6064" i="8"/>
  <c r="F6065" i="8"/>
  <c r="F6066" i="8"/>
  <c r="F6067" i="8"/>
  <c r="F6068" i="8"/>
  <c r="F6069" i="8"/>
  <c r="F6070" i="8"/>
  <c r="F6071" i="8"/>
  <c r="F6072" i="8"/>
  <c r="F6073" i="8"/>
  <c r="F6074" i="8"/>
  <c r="F6075" i="8"/>
  <c r="F6076" i="8"/>
  <c r="F6077" i="8"/>
  <c r="F6078" i="8"/>
  <c r="F6079" i="8"/>
  <c r="F6080" i="8"/>
  <c r="F6081" i="8"/>
  <c r="F6082" i="8"/>
  <c r="F6083" i="8"/>
  <c r="F6084" i="8"/>
  <c r="F6085" i="8"/>
  <c r="F6086" i="8"/>
  <c r="F6087" i="8"/>
  <c r="F6088" i="8"/>
  <c r="F6089" i="8"/>
  <c r="F6090" i="8"/>
  <c r="F6091" i="8"/>
  <c r="F6092" i="8"/>
  <c r="F6093" i="8"/>
  <c r="F6094" i="8"/>
  <c r="F6095" i="8"/>
  <c r="F6096" i="8"/>
  <c r="F6097" i="8"/>
  <c r="F6098" i="8"/>
  <c r="F6099" i="8"/>
  <c r="F6100" i="8"/>
  <c r="F6101" i="8"/>
  <c r="F6102" i="8"/>
  <c r="F6103" i="8"/>
  <c r="F6104" i="8"/>
  <c r="F6105" i="8"/>
  <c r="F6106" i="8"/>
  <c r="F6107" i="8"/>
  <c r="F6108" i="8"/>
  <c r="F6109" i="8"/>
  <c r="F6110" i="8"/>
  <c r="F6111" i="8"/>
  <c r="F6112" i="8"/>
  <c r="F6113" i="8"/>
  <c r="F6114" i="8"/>
  <c r="F6115" i="8"/>
  <c r="F6116" i="8"/>
  <c r="F6117" i="8"/>
  <c r="F6118" i="8"/>
  <c r="F6119" i="8"/>
  <c r="F6120" i="8"/>
  <c r="F6121" i="8"/>
  <c r="F6122" i="8"/>
  <c r="F6123" i="8"/>
  <c r="F6124" i="8"/>
  <c r="F6125" i="8"/>
  <c r="F6126" i="8"/>
  <c r="F6127" i="8"/>
  <c r="F6128" i="8"/>
  <c r="F6129" i="8"/>
  <c r="F6130" i="8"/>
  <c r="F6131" i="8"/>
  <c r="F6132" i="8"/>
  <c r="F6133" i="8"/>
  <c r="F6134" i="8"/>
  <c r="F6135" i="8"/>
  <c r="F6136" i="8"/>
  <c r="F6137" i="8"/>
  <c r="F6138" i="8"/>
  <c r="F6139" i="8"/>
  <c r="F6140" i="8"/>
  <c r="F6141" i="8"/>
  <c r="F6142" i="8"/>
  <c r="F6143" i="8"/>
  <c r="F6144" i="8"/>
  <c r="F6145" i="8"/>
  <c r="F6146" i="8"/>
  <c r="F6147" i="8"/>
  <c r="F6148" i="8"/>
  <c r="F6149" i="8"/>
  <c r="F6150" i="8"/>
  <c r="F6151" i="8"/>
  <c r="F6152" i="8"/>
  <c r="F6153" i="8"/>
  <c r="F6154" i="8"/>
  <c r="F6155" i="8"/>
  <c r="F6156" i="8"/>
  <c r="F6157" i="8"/>
  <c r="F6158" i="8"/>
  <c r="F6159" i="8"/>
  <c r="F6160" i="8"/>
  <c r="F6161" i="8"/>
  <c r="F6162" i="8"/>
  <c r="F6163" i="8"/>
  <c r="F6164" i="8"/>
  <c r="F6165" i="8"/>
  <c r="F6166" i="8"/>
  <c r="F6167" i="8"/>
  <c r="F6168" i="8"/>
  <c r="F6169" i="8"/>
  <c r="F6170" i="8"/>
  <c r="F6171" i="8"/>
  <c r="F6172" i="8"/>
  <c r="F6173" i="8"/>
  <c r="F6174" i="8"/>
  <c r="F6175" i="8"/>
  <c r="F6176" i="8"/>
  <c r="F6177" i="8"/>
  <c r="F6178" i="8"/>
  <c r="F6179" i="8"/>
  <c r="F6180" i="8"/>
  <c r="F6181" i="8"/>
  <c r="F6182" i="8"/>
  <c r="F6183" i="8"/>
  <c r="F6184" i="8"/>
  <c r="F6185" i="8"/>
  <c r="F6186" i="8"/>
  <c r="F6187" i="8"/>
  <c r="F6188" i="8"/>
  <c r="F6189" i="8"/>
  <c r="F6190" i="8"/>
  <c r="F6191" i="8"/>
  <c r="F6192" i="8"/>
  <c r="F6193" i="8"/>
  <c r="F6194" i="8"/>
  <c r="F6195" i="8"/>
  <c r="F6196" i="8"/>
  <c r="F6197" i="8"/>
  <c r="F6198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E2473" i="8"/>
  <c r="E2474" i="8"/>
  <c r="E2475" i="8"/>
  <c r="E2476" i="8"/>
  <c r="E2477" i="8"/>
  <c r="E2478" i="8"/>
  <c r="E2479" i="8"/>
  <c r="E2480" i="8"/>
  <c r="E2481" i="8"/>
  <c r="E2482" i="8"/>
  <c r="E2483" i="8"/>
  <c r="E2484" i="8"/>
  <c r="E2485" i="8"/>
  <c r="E2486" i="8"/>
  <c r="E2487" i="8"/>
  <c r="E2488" i="8"/>
  <c r="E2489" i="8"/>
  <c r="E2490" i="8"/>
  <c r="E2491" i="8"/>
  <c r="E2492" i="8"/>
  <c r="E2493" i="8"/>
  <c r="E2494" i="8"/>
  <c r="E2495" i="8"/>
  <c r="E2496" i="8"/>
  <c r="E2497" i="8"/>
  <c r="E2498" i="8"/>
  <c r="E2499" i="8"/>
  <c r="E2500" i="8"/>
  <c r="E2501" i="8"/>
  <c r="E2502" i="8"/>
  <c r="E2503" i="8"/>
  <c r="E2504" i="8"/>
  <c r="E2505" i="8"/>
  <c r="E2506" i="8"/>
  <c r="E2507" i="8"/>
  <c r="E2508" i="8"/>
  <c r="E2509" i="8"/>
  <c r="E2510" i="8"/>
  <c r="E2511" i="8"/>
  <c r="E2512" i="8"/>
  <c r="E2513" i="8"/>
  <c r="E2514" i="8"/>
  <c r="E2515" i="8"/>
  <c r="E2516" i="8"/>
  <c r="E2517" i="8"/>
  <c r="E2518" i="8"/>
  <c r="E2519" i="8"/>
  <c r="E2520" i="8"/>
  <c r="E2521" i="8"/>
  <c r="E2522" i="8"/>
  <c r="E2523" i="8"/>
  <c r="E2524" i="8"/>
  <c r="E2525" i="8"/>
  <c r="E2526" i="8"/>
  <c r="E2527" i="8"/>
  <c r="E2528" i="8"/>
  <c r="E2529" i="8"/>
  <c r="E2530" i="8"/>
  <c r="E2531" i="8"/>
  <c r="E2532" i="8"/>
  <c r="E2533" i="8"/>
  <c r="E2534" i="8"/>
  <c r="E2535" i="8"/>
  <c r="E2536" i="8"/>
  <c r="E2537" i="8"/>
  <c r="E2538" i="8"/>
  <c r="E2539" i="8"/>
  <c r="E2540" i="8"/>
  <c r="E2541" i="8"/>
  <c r="E2542" i="8"/>
  <c r="E2543" i="8"/>
  <c r="E2544" i="8"/>
  <c r="E2545" i="8"/>
  <c r="E2546" i="8"/>
  <c r="E2547" i="8"/>
  <c r="E2548" i="8"/>
  <c r="E2549" i="8"/>
  <c r="E2550" i="8"/>
  <c r="E2551" i="8"/>
  <c r="E2552" i="8"/>
  <c r="E2553" i="8"/>
  <c r="E2554" i="8"/>
  <c r="E2555" i="8"/>
  <c r="E2556" i="8"/>
  <c r="E2557" i="8"/>
  <c r="E2558" i="8"/>
  <c r="E2559" i="8"/>
  <c r="E2560" i="8"/>
  <c r="E2561" i="8"/>
  <c r="E2562" i="8"/>
  <c r="E2563" i="8"/>
  <c r="E2564" i="8"/>
  <c r="E2565" i="8"/>
  <c r="E2566" i="8"/>
  <c r="E2567" i="8"/>
  <c r="E2568" i="8"/>
  <c r="E2569" i="8"/>
  <c r="E2570" i="8"/>
  <c r="E2571" i="8"/>
  <c r="E2572" i="8"/>
  <c r="E2573" i="8"/>
  <c r="E2574" i="8"/>
  <c r="E2575" i="8"/>
  <c r="E2576" i="8"/>
  <c r="E2577" i="8"/>
  <c r="E2578" i="8"/>
  <c r="E2579" i="8"/>
  <c r="E2580" i="8"/>
  <c r="E2581" i="8"/>
  <c r="E2582" i="8"/>
  <c r="E2583" i="8"/>
  <c r="E2584" i="8"/>
  <c r="E2585" i="8"/>
  <c r="E2586" i="8"/>
  <c r="E2587" i="8"/>
  <c r="E2588" i="8"/>
  <c r="E2589" i="8"/>
  <c r="E2590" i="8"/>
  <c r="E2591" i="8"/>
  <c r="E2592" i="8"/>
  <c r="E2593" i="8"/>
  <c r="E2594" i="8"/>
  <c r="E2595" i="8"/>
  <c r="E2596" i="8"/>
  <c r="E2597" i="8"/>
  <c r="E2598" i="8"/>
  <c r="E2599" i="8"/>
  <c r="E2600" i="8"/>
  <c r="E2601" i="8"/>
  <c r="E2602" i="8"/>
  <c r="E2603" i="8"/>
  <c r="E2604" i="8"/>
  <c r="E2605" i="8"/>
  <c r="E2606" i="8"/>
  <c r="E2607" i="8"/>
  <c r="E2608" i="8"/>
  <c r="E2609" i="8"/>
  <c r="E2610" i="8"/>
  <c r="E2611" i="8"/>
  <c r="E2612" i="8"/>
  <c r="E2613" i="8"/>
  <c r="E2614" i="8"/>
  <c r="E2615" i="8"/>
  <c r="E2616" i="8"/>
  <c r="E2617" i="8"/>
  <c r="E2618" i="8"/>
  <c r="E2619" i="8"/>
  <c r="E2620" i="8"/>
  <c r="E2621" i="8"/>
  <c r="E2622" i="8"/>
  <c r="E2623" i="8"/>
  <c r="E2624" i="8"/>
  <c r="E2625" i="8"/>
  <c r="E2626" i="8"/>
  <c r="E2627" i="8"/>
  <c r="E2628" i="8"/>
  <c r="E2629" i="8"/>
  <c r="E2630" i="8"/>
  <c r="E2631" i="8"/>
  <c r="E2632" i="8"/>
  <c r="E2633" i="8"/>
  <c r="E2634" i="8"/>
  <c r="E2635" i="8"/>
  <c r="E2636" i="8"/>
  <c r="E2637" i="8"/>
  <c r="E2638" i="8"/>
  <c r="E2639" i="8"/>
  <c r="E2640" i="8"/>
  <c r="E2641" i="8"/>
  <c r="E2642" i="8"/>
  <c r="E2643" i="8"/>
  <c r="E2644" i="8"/>
  <c r="E2645" i="8"/>
  <c r="E2646" i="8"/>
  <c r="E2647" i="8"/>
  <c r="E2648" i="8"/>
  <c r="E2649" i="8"/>
  <c r="E2650" i="8"/>
  <c r="E2651" i="8"/>
  <c r="E2652" i="8"/>
  <c r="E2653" i="8"/>
  <c r="E2654" i="8"/>
  <c r="E2655" i="8"/>
  <c r="E2656" i="8"/>
  <c r="E2657" i="8"/>
  <c r="E2658" i="8"/>
  <c r="E2659" i="8"/>
  <c r="E2660" i="8"/>
  <c r="E2661" i="8"/>
  <c r="E2662" i="8"/>
  <c r="E2663" i="8"/>
  <c r="E2664" i="8"/>
  <c r="E2665" i="8"/>
  <c r="E2666" i="8"/>
  <c r="E2667" i="8"/>
  <c r="E2668" i="8"/>
  <c r="E2669" i="8"/>
  <c r="E2670" i="8"/>
  <c r="E2671" i="8"/>
  <c r="E2672" i="8"/>
  <c r="E2673" i="8"/>
  <c r="E2674" i="8"/>
  <c r="E2675" i="8"/>
  <c r="E2676" i="8"/>
  <c r="E2677" i="8"/>
  <c r="E2678" i="8"/>
  <c r="E2679" i="8"/>
  <c r="E2680" i="8"/>
  <c r="E2681" i="8"/>
  <c r="E2682" i="8"/>
  <c r="E2683" i="8"/>
  <c r="E2684" i="8"/>
  <c r="E2685" i="8"/>
  <c r="E2686" i="8"/>
  <c r="E2687" i="8"/>
  <c r="E2688" i="8"/>
  <c r="E2689" i="8"/>
  <c r="E2690" i="8"/>
  <c r="E2691" i="8"/>
  <c r="E2692" i="8"/>
  <c r="E2693" i="8"/>
  <c r="E2694" i="8"/>
  <c r="E2695" i="8"/>
  <c r="E2696" i="8"/>
  <c r="E2697" i="8"/>
  <c r="E2698" i="8"/>
  <c r="E2699" i="8"/>
  <c r="E2700" i="8"/>
  <c r="E2701" i="8"/>
  <c r="E2702" i="8"/>
  <c r="E2703" i="8"/>
  <c r="E2704" i="8"/>
  <c r="E2705" i="8"/>
  <c r="E2706" i="8"/>
  <c r="E2707" i="8"/>
  <c r="E2708" i="8"/>
  <c r="E2709" i="8"/>
  <c r="E2710" i="8"/>
  <c r="E2711" i="8"/>
  <c r="E2712" i="8"/>
  <c r="E2713" i="8"/>
  <c r="E2714" i="8"/>
  <c r="E2715" i="8"/>
  <c r="E2716" i="8"/>
  <c r="E2717" i="8"/>
  <c r="E2718" i="8"/>
  <c r="E2719" i="8"/>
  <c r="E2720" i="8"/>
  <c r="E2721" i="8"/>
  <c r="E2722" i="8"/>
  <c r="E2723" i="8"/>
  <c r="E2724" i="8"/>
  <c r="E2725" i="8"/>
  <c r="E2726" i="8"/>
  <c r="E2727" i="8"/>
  <c r="E2728" i="8"/>
  <c r="E2729" i="8"/>
  <c r="E2730" i="8"/>
  <c r="E2731" i="8"/>
  <c r="E2732" i="8"/>
  <c r="E2733" i="8"/>
  <c r="E2734" i="8"/>
  <c r="E2735" i="8"/>
  <c r="E2736" i="8"/>
  <c r="E2737" i="8"/>
  <c r="E2738" i="8"/>
  <c r="E2739" i="8"/>
  <c r="E2740" i="8"/>
  <c r="E2741" i="8"/>
  <c r="E2742" i="8"/>
  <c r="E2743" i="8"/>
  <c r="E2744" i="8"/>
  <c r="E2745" i="8"/>
  <c r="E2746" i="8"/>
  <c r="E2747" i="8"/>
  <c r="E2748" i="8"/>
  <c r="E2749" i="8"/>
  <c r="E2750" i="8"/>
  <c r="E2751" i="8"/>
  <c r="E2752" i="8"/>
  <c r="E2753" i="8"/>
  <c r="E2754" i="8"/>
  <c r="E2755" i="8"/>
  <c r="E2756" i="8"/>
  <c r="E2757" i="8"/>
  <c r="E2758" i="8"/>
  <c r="E2759" i="8"/>
  <c r="E2760" i="8"/>
  <c r="E2761" i="8"/>
  <c r="E2762" i="8"/>
  <c r="E2763" i="8"/>
  <c r="E2764" i="8"/>
  <c r="E2765" i="8"/>
  <c r="E2766" i="8"/>
  <c r="E2767" i="8"/>
  <c r="E2768" i="8"/>
  <c r="E2769" i="8"/>
  <c r="E2770" i="8"/>
  <c r="E2771" i="8"/>
  <c r="E2772" i="8"/>
  <c r="E2773" i="8"/>
  <c r="E2774" i="8"/>
  <c r="E2775" i="8"/>
  <c r="E2776" i="8"/>
  <c r="E2777" i="8"/>
  <c r="E2778" i="8"/>
  <c r="E2779" i="8"/>
  <c r="E2780" i="8"/>
  <c r="E2781" i="8"/>
  <c r="E2782" i="8"/>
  <c r="E2783" i="8"/>
  <c r="E2784" i="8"/>
  <c r="E2785" i="8"/>
  <c r="E2786" i="8"/>
  <c r="E2787" i="8"/>
  <c r="E2788" i="8"/>
  <c r="E2789" i="8"/>
  <c r="E2790" i="8"/>
  <c r="E2791" i="8"/>
  <c r="E2792" i="8"/>
  <c r="E2793" i="8"/>
  <c r="E2794" i="8"/>
  <c r="E2795" i="8"/>
  <c r="E2796" i="8"/>
  <c r="E2797" i="8"/>
  <c r="E2798" i="8"/>
  <c r="E2799" i="8"/>
  <c r="E2800" i="8"/>
  <c r="E2801" i="8"/>
  <c r="E2802" i="8"/>
  <c r="E2803" i="8"/>
  <c r="E2804" i="8"/>
  <c r="E2805" i="8"/>
  <c r="E2806" i="8"/>
  <c r="E2807" i="8"/>
  <c r="E2808" i="8"/>
  <c r="E2809" i="8"/>
  <c r="E2810" i="8"/>
  <c r="E2811" i="8"/>
  <c r="E2812" i="8"/>
  <c r="E2813" i="8"/>
  <c r="E2814" i="8"/>
  <c r="E2815" i="8"/>
  <c r="E2816" i="8"/>
  <c r="E2817" i="8"/>
  <c r="E2818" i="8"/>
  <c r="E2819" i="8"/>
  <c r="E2820" i="8"/>
  <c r="E2821" i="8"/>
  <c r="E2822" i="8"/>
  <c r="E2823" i="8"/>
  <c r="E2824" i="8"/>
  <c r="E2825" i="8"/>
  <c r="E2826" i="8"/>
  <c r="E2827" i="8"/>
  <c r="E2828" i="8"/>
  <c r="E2829" i="8"/>
  <c r="E2830" i="8"/>
  <c r="E2831" i="8"/>
  <c r="E2832" i="8"/>
  <c r="E2833" i="8"/>
  <c r="E2834" i="8"/>
  <c r="E2835" i="8"/>
  <c r="E2836" i="8"/>
  <c r="E2837" i="8"/>
  <c r="E2838" i="8"/>
  <c r="E2839" i="8"/>
  <c r="E2840" i="8"/>
  <c r="E2841" i="8"/>
  <c r="E2842" i="8"/>
  <c r="E2843" i="8"/>
  <c r="E2844" i="8"/>
  <c r="E2845" i="8"/>
  <c r="E2846" i="8"/>
  <c r="E2847" i="8"/>
  <c r="E2848" i="8"/>
  <c r="E2849" i="8"/>
  <c r="E2850" i="8"/>
  <c r="E2851" i="8"/>
  <c r="E2852" i="8"/>
  <c r="E2853" i="8"/>
  <c r="E2854" i="8"/>
  <c r="E2855" i="8"/>
  <c r="E2856" i="8"/>
  <c r="E2857" i="8"/>
  <c r="E2858" i="8"/>
  <c r="E2859" i="8"/>
  <c r="E2860" i="8"/>
  <c r="E2861" i="8"/>
  <c r="E2862" i="8"/>
  <c r="E2863" i="8"/>
  <c r="E2864" i="8"/>
  <c r="E2865" i="8"/>
  <c r="E2866" i="8"/>
  <c r="E2867" i="8"/>
  <c r="E2868" i="8"/>
  <c r="E2869" i="8"/>
  <c r="E2870" i="8"/>
  <c r="E2871" i="8"/>
  <c r="E2872" i="8"/>
  <c r="E2873" i="8"/>
  <c r="E2874" i="8"/>
  <c r="E2875" i="8"/>
  <c r="E2876" i="8"/>
  <c r="E2877" i="8"/>
  <c r="E2878" i="8"/>
  <c r="E2879" i="8"/>
  <c r="E2880" i="8"/>
  <c r="E2881" i="8"/>
  <c r="E2882" i="8"/>
  <c r="E2883" i="8"/>
  <c r="E2884" i="8"/>
  <c r="E2885" i="8"/>
  <c r="E2886" i="8"/>
  <c r="E2887" i="8"/>
  <c r="E2888" i="8"/>
  <c r="E2889" i="8"/>
  <c r="E2890" i="8"/>
  <c r="E2891" i="8"/>
  <c r="E2892" i="8"/>
  <c r="E2893" i="8"/>
  <c r="E2894" i="8"/>
  <c r="E2895" i="8"/>
  <c r="E2896" i="8"/>
  <c r="E2897" i="8"/>
  <c r="E2898" i="8"/>
  <c r="E2899" i="8"/>
  <c r="E2900" i="8"/>
  <c r="E2901" i="8"/>
  <c r="E2902" i="8"/>
  <c r="E2903" i="8"/>
  <c r="E2904" i="8"/>
  <c r="E2905" i="8"/>
  <c r="E2906" i="8"/>
  <c r="E2907" i="8"/>
  <c r="E2908" i="8"/>
  <c r="E2909" i="8"/>
  <c r="E2910" i="8"/>
  <c r="E2911" i="8"/>
  <c r="E2912" i="8"/>
  <c r="E2913" i="8"/>
  <c r="E2914" i="8"/>
  <c r="E2915" i="8"/>
  <c r="E2916" i="8"/>
  <c r="E2917" i="8"/>
  <c r="E2918" i="8"/>
  <c r="E2919" i="8"/>
  <c r="E2920" i="8"/>
  <c r="E2921" i="8"/>
  <c r="E2922" i="8"/>
  <c r="E2923" i="8"/>
  <c r="E2924" i="8"/>
  <c r="E2925" i="8"/>
  <c r="E2926" i="8"/>
  <c r="E2927" i="8"/>
  <c r="E2928" i="8"/>
  <c r="E2929" i="8"/>
  <c r="E2930" i="8"/>
  <c r="E2931" i="8"/>
  <c r="E2932" i="8"/>
  <c r="E2933" i="8"/>
  <c r="E2934" i="8"/>
  <c r="E2935" i="8"/>
  <c r="E2936" i="8"/>
  <c r="E2937" i="8"/>
  <c r="E2938" i="8"/>
  <c r="E2939" i="8"/>
  <c r="E2940" i="8"/>
  <c r="E2941" i="8"/>
  <c r="E2942" i="8"/>
  <c r="E2943" i="8"/>
  <c r="E2944" i="8"/>
  <c r="E2945" i="8"/>
  <c r="E2946" i="8"/>
  <c r="E2947" i="8"/>
  <c r="E2948" i="8"/>
  <c r="E2949" i="8"/>
  <c r="E2950" i="8"/>
  <c r="E2951" i="8"/>
  <c r="E2952" i="8"/>
  <c r="E2953" i="8"/>
  <c r="E2954" i="8"/>
  <c r="E2955" i="8"/>
  <c r="E2956" i="8"/>
  <c r="E2957" i="8"/>
  <c r="E2958" i="8"/>
  <c r="E2959" i="8"/>
  <c r="E2960" i="8"/>
  <c r="E2961" i="8"/>
  <c r="E2962" i="8"/>
  <c r="E2963" i="8"/>
  <c r="E2964" i="8"/>
  <c r="E2965" i="8"/>
  <c r="E2966" i="8"/>
  <c r="E2967" i="8"/>
  <c r="E2968" i="8"/>
  <c r="E2969" i="8"/>
  <c r="E2970" i="8"/>
  <c r="E2971" i="8"/>
  <c r="E2972" i="8"/>
  <c r="E2973" i="8"/>
  <c r="E2974" i="8"/>
  <c r="E2975" i="8"/>
  <c r="E2976" i="8"/>
  <c r="E2977" i="8"/>
  <c r="E2978" i="8"/>
  <c r="E2979" i="8"/>
  <c r="E2980" i="8"/>
  <c r="E2981" i="8"/>
  <c r="E2982" i="8"/>
  <c r="E2983" i="8"/>
  <c r="E2984" i="8"/>
  <c r="E2985" i="8"/>
  <c r="E2986" i="8"/>
  <c r="E2987" i="8"/>
  <c r="E2988" i="8"/>
  <c r="E2989" i="8"/>
  <c r="E2990" i="8"/>
  <c r="E2991" i="8"/>
  <c r="E2992" i="8"/>
  <c r="E2993" i="8"/>
  <c r="E2994" i="8"/>
  <c r="E2995" i="8"/>
  <c r="E2996" i="8"/>
  <c r="E2997" i="8"/>
  <c r="E2998" i="8"/>
  <c r="E2999" i="8"/>
  <c r="E3000" i="8"/>
  <c r="E3001" i="8"/>
  <c r="E3002" i="8"/>
  <c r="E3003" i="8"/>
  <c r="E3004" i="8"/>
  <c r="E3005" i="8"/>
  <c r="E3006" i="8"/>
  <c r="E3007" i="8"/>
  <c r="E3008" i="8"/>
  <c r="E3009" i="8"/>
  <c r="E3010" i="8"/>
  <c r="E3011" i="8"/>
  <c r="E3012" i="8"/>
  <c r="E3013" i="8"/>
  <c r="E3014" i="8"/>
  <c r="E3015" i="8"/>
  <c r="E3016" i="8"/>
  <c r="E3017" i="8"/>
  <c r="E3018" i="8"/>
  <c r="E3019" i="8"/>
  <c r="E3020" i="8"/>
  <c r="E3021" i="8"/>
  <c r="E3022" i="8"/>
  <c r="E3023" i="8"/>
  <c r="E3024" i="8"/>
  <c r="E3025" i="8"/>
  <c r="E3026" i="8"/>
  <c r="E3027" i="8"/>
  <c r="E3028" i="8"/>
  <c r="E3029" i="8"/>
  <c r="E3030" i="8"/>
  <c r="E3031" i="8"/>
  <c r="E3032" i="8"/>
  <c r="E3033" i="8"/>
  <c r="E3034" i="8"/>
  <c r="E3035" i="8"/>
  <c r="E3036" i="8"/>
  <c r="E3037" i="8"/>
  <c r="E3038" i="8"/>
  <c r="E3039" i="8"/>
  <c r="E3040" i="8"/>
  <c r="E3041" i="8"/>
  <c r="E3042" i="8"/>
  <c r="E3043" i="8"/>
  <c r="E3044" i="8"/>
  <c r="E3045" i="8"/>
  <c r="E3046" i="8"/>
  <c r="E3047" i="8"/>
  <c r="E3048" i="8"/>
  <c r="E3049" i="8"/>
  <c r="E3050" i="8"/>
  <c r="E3051" i="8"/>
  <c r="E3052" i="8"/>
  <c r="E3053" i="8"/>
  <c r="E3054" i="8"/>
  <c r="E3055" i="8"/>
  <c r="E3056" i="8"/>
  <c r="E3057" i="8"/>
  <c r="E3058" i="8"/>
  <c r="E3059" i="8"/>
  <c r="E3060" i="8"/>
  <c r="E3061" i="8"/>
  <c r="E3062" i="8"/>
  <c r="E3063" i="8"/>
  <c r="E3064" i="8"/>
  <c r="E3065" i="8"/>
  <c r="E3066" i="8"/>
  <c r="E3067" i="8"/>
  <c r="E3068" i="8"/>
  <c r="E3069" i="8"/>
  <c r="E3070" i="8"/>
  <c r="E3071" i="8"/>
  <c r="E3072" i="8"/>
  <c r="E3073" i="8"/>
  <c r="E3074" i="8"/>
  <c r="E3075" i="8"/>
  <c r="E3076" i="8"/>
  <c r="E3077" i="8"/>
  <c r="E3078" i="8"/>
  <c r="E3079" i="8"/>
  <c r="E3080" i="8"/>
  <c r="E3081" i="8"/>
  <c r="E3082" i="8"/>
  <c r="E3083" i="8"/>
  <c r="E3084" i="8"/>
  <c r="E3085" i="8"/>
  <c r="E3086" i="8"/>
  <c r="E3087" i="8"/>
  <c r="E3088" i="8"/>
  <c r="E3089" i="8"/>
  <c r="E3090" i="8"/>
  <c r="E3091" i="8"/>
  <c r="E3092" i="8"/>
  <c r="E3093" i="8"/>
  <c r="E3094" i="8"/>
  <c r="E3095" i="8"/>
  <c r="E3096" i="8"/>
  <c r="E3097" i="8"/>
  <c r="E3098" i="8"/>
  <c r="E3099" i="8"/>
  <c r="E3100" i="8"/>
  <c r="E3101" i="8"/>
  <c r="E3102" i="8"/>
  <c r="E3103" i="8"/>
  <c r="E3104" i="8"/>
  <c r="E3105" i="8"/>
  <c r="E3106" i="8"/>
  <c r="E3107" i="8"/>
  <c r="E3108" i="8"/>
  <c r="E3109" i="8"/>
  <c r="E3110" i="8"/>
  <c r="E3111" i="8"/>
  <c r="E3112" i="8"/>
  <c r="E3113" i="8"/>
  <c r="E3114" i="8"/>
  <c r="E3115" i="8"/>
  <c r="E3116" i="8"/>
  <c r="E3117" i="8"/>
  <c r="E3118" i="8"/>
  <c r="E3119" i="8"/>
  <c r="E3120" i="8"/>
  <c r="E3121" i="8"/>
  <c r="E3122" i="8"/>
  <c r="E3123" i="8"/>
  <c r="E3124" i="8"/>
  <c r="E3125" i="8"/>
  <c r="E3126" i="8"/>
  <c r="E3127" i="8"/>
  <c r="E3128" i="8"/>
  <c r="E3129" i="8"/>
  <c r="E3130" i="8"/>
  <c r="E3131" i="8"/>
  <c r="E3132" i="8"/>
  <c r="E3133" i="8"/>
  <c r="E3134" i="8"/>
  <c r="E3135" i="8"/>
  <c r="E3136" i="8"/>
  <c r="E3137" i="8"/>
  <c r="E3138" i="8"/>
  <c r="E3139" i="8"/>
  <c r="E3140" i="8"/>
  <c r="E3141" i="8"/>
  <c r="E3142" i="8"/>
  <c r="E3143" i="8"/>
  <c r="E3144" i="8"/>
  <c r="E3145" i="8"/>
  <c r="E3146" i="8"/>
  <c r="E3147" i="8"/>
  <c r="E3148" i="8"/>
  <c r="E3149" i="8"/>
  <c r="E3150" i="8"/>
  <c r="E3151" i="8"/>
  <c r="E3152" i="8"/>
  <c r="E3153" i="8"/>
  <c r="E3154" i="8"/>
  <c r="E3155" i="8"/>
  <c r="E3156" i="8"/>
  <c r="E3157" i="8"/>
  <c r="E3158" i="8"/>
  <c r="E3159" i="8"/>
  <c r="E3160" i="8"/>
  <c r="E3161" i="8"/>
  <c r="E3162" i="8"/>
  <c r="E3163" i="8"/>
  <c r="E3164" i="8"/>
  <c r="E3165" i="8"/>
  <c r="E3166" i="8"/>
  <c r="E3167" i="8"/>
  <c r="E3168" i="8"/>
  <c r="E3169" i="8"/>
  <c r="E3170" i="8"/>
  <c r="E3171" i="8"/>
  <c r="E3172" i="8"/>
  <c r="E3173" i="8"/>
  <c r="E3174" i="8"/>
  <c r="E3175" i="8"/>
  <c r="E3176" i="8"/>
  <c r="E3177" i="8"/>
  <c r="E3178" i="8"/>
  <c r="E3179" i="8"/>
  <c r="E3180" i="8"/>
  <c r="E3181" i="8"/>
  <c r="E3182" i="8"/>
  <c r="E3183" i="8"/>
  <c r="E3184" i="8"/>
  <c r="E3185" i="8"/>
  <c r="E3186" i="8"/>
  <c r="E3187" i="8"/>
  <c r="E3188" i="8"/>
  <c r="E3189" i="8"/>
  <c r="E3190" i="8"/>
  <c r="E3191" i="8"/>
  <c r="E3192" i="8"/>
  <c r="E3193" i="8"/>
  <c r="E3194" i="8"/>
  <c r="E3195" i="8"/>
  <c r="E3196" i="8"/>
  <c r="E3197" i="8"/>
  <c r="E3198" i="8"/>
  <c r="E3199" i="8"/>
  <c r="E3200" i="8"/>
  <c r="E3201" i="8"/>
  <c r="E3202" i="8"/>
  <c r="E3203" i="8"/>
  <c r="E3204" i="8"/>
  <c r="E3205" i="8"/>
  <c r="E3206" i="8"/>
  <c r="E3207" i="8"/>
  <c r="E3208" i="8"/>
  <c r="E3209" i="8"/>
  <c r="E3210" i="8"/>
  <c r="E3211" i="8"/>
  <c r="E3212" i="8"/>
  <c r="E3213" i="8"/>
  <c r="E3214" i="8"/>
  <c r="E3215" i="8"/>
  <c r="E3216" i="8"/>
  <c r="E3217" i="8"/>
  <c r="E3218" i="8"/>
  <c r="E3219" i="8"/>
  <c r="E3220" i="8"/>
  <c r="E3221" i="8"/>
  <c r="E3222" i="8"/>
  <c r="E3223" i="8"/>
  <c r="E3224" i="8"/>
  <c r="E3225" i="8"/>
  <c r="E3226" i="8"/>
  <c r="E3227" i="8"/>
  <c r="E3228" i="8"/>
  <c r="E3229" i="8"/>
  <c r="E3230" i="8"/>
  <c r="E3231" i="8"/>
  <c r="E3232" i="8"/>
  <c r="E3233" i="8"/>
  <c r="E3234" i="8"/>
  <c r="E3235" i="8"/>
  <c r="E3236" i="8"/>
  <c r="E3237" i="8"/>
  <c r="E3238" i="8"/>
  <c r="E3239" i="8"/>
  <c r="E3240" i="8"/>
  <c r="E3241" i="8"/>
  <c r="E3242" i="8"/>
  <c r="E3243" i="8"/>
  <c r="E3244" i="8"/>
  <c r="E3245" i="8"/>
  <c r="E3246" i="8"/>
  <c r="E3247" i="8"/>
  <c r="E3248" i="8"/>
  <c r="E3249" i="8"/>
  <c r="E3250" i="8"/>
  <c r="E3251" i="8"/>
  <c r="E3252" i="8"/>
  <c r="E3253" i="8"/>
  <c r="E3254" i="8"/>
  <c r="E3255" i="8"/>
  <c r="E3256" i="8"/>
  <c r="E3257" i="8"/>
  <c r="E3258" i="8"/>
  <c r="E3259" i="8"/>
  <c r="E3260" i="8"/>
  <c r="E3261" i="8"/>
  <c r="E3262" i="8"/>
  <c r="E3263" i="8"/>
  <c r="E3264" i="8"/>
  <c r="E3265" i="8"/>
  <c r="E3266" i="8"/>
  <c r="E3267" i="8"/>
  <c r="E3268" i="8"/>
  <c r="E3269" i="8"/>
  <c r="E3270" i="8"/>
  <c r="E3271" i="8"/>
  <c r="E3272" i="8"/>
  <c r="E3273" i="8"/>
  <c r="E3274" i="8"/>
  <c r="E3275" i="8"/>
  <c r="E3276" i="8"/>
  <c r="E3277" i="8"/>
  <c r="E3278" i="8"/>
  <c r="E3279" i="8"/>
  <c r="E3280" i="8"/>
  <c r="E3281" i="8"/>
  <c r="E3282" i="8"/>
  <c r="E3283" i="8"/>
  <c r="E3284" i="8"/>
  <c r="E3285" i="8"/>
  <c r="E3286" i="8"/>
  <c r="E3287" i="8"/>
  <c r="E3288" i="8"/>
  <c r="E3289" i="8"/>
  <c r="E3290" i="8"/>
  <c r="E3291" i="8"/>
  <c r="E3292" i="8"/>
  <c r="E3293" i="8"/>
  <c r="E3294" i="8"/>
  <c r="E3295" i="8"/>
  <c r="E3296" i="8"/>
  <c r="E3297" i="8"/>
  <c r="E3298" i="8"/>
  <c r="E3299" i="8"/>
  <c r="E3300" i="8"/>
  <c r="E3301" i="8"/>
  <c r="E3302" i="8"/>
  <c r="E3303" i="8"/>
  <c r="E3304" i="8"/>
  <c r="E3305" i="8"/>
  <c r="E3306" i="8"/>
  <c r="E3307" i="8"/>
  <c r="E3308" i="8"/>
  <c r="E3309" i="8"/>
  <c r="E3310" i="8"/>
  <c r="E3311" i="8"/>
  <c r="E3312" i="8"/>
  <c r="E3313" i="8"/>
  <c r="E3314" i="8"/>
  <c r="E3315" i="8"/>
  <c r="E3316" i="8"/>
  <c r="E3317" i="8"/>
  <c r="E3318" i="8"/>
  <c r="E3319" i="8"/>
  <c r="E3320" i="8"/>
  <c r="E3321" i="8"/>
  <c r="E3322" i="8"/>
  <c r="E3323" i="8"/>
  <c r="E3324" i="8"/>
  <c r="E3325" i="8"/>
  <c r="E3326" i="8"/>
  <c r="E3327" i="8"/>
  <c r="E3328" i="8"/>
  <c r="E3329" i="8"/>
  <c r="E3330" i="8"/>
  <c r="E3331" i="8"/>
  <c r="E3332" i="8"/>
  <c r="E3333" i="8"/>
  <c r="E3334" i="8"/>
  <c r="E3335" i="8"/>
  <c r="E3336" i="8"/>
  <c r="E3337" i="8"/>
  <c r="E3338" i="8"/>
  <c r="E3339" i="8"/>
  <c r="E3340" i="8"/>
  <c r="E3341" i="8"/>
  <c r="E3342" i="8"/>
  <c r="E3343" i="8"/>
  <c r="E3344" i="8"/>
  <c r="E3345" i="8"/>
  <c r="E3346" i="8"/>
  <c r="E3347" i="8"/>
  <c r="E3348" i="8"/>
  <c r="E3349" i="8"/>
  <c r="E3350" i="8"/>
  <c r="E3351" i="8"/>
  <c r="E3352" i="8"/>
  <c r="E3353" i="8"/>
  <c r="E3354" i="8"/>
  <c r="E3355" i="8"/>
  <c r="E3356" i="8"/>
  <c r="E3357" i="8"/>
  <c r="E3358" i="8"/>
  <c r="E3359" i="8"/>
  <c r="E3360" i="8"/>
  <c r="E3361" i="8"/>
  <c r="E3362" i="8"/>
  <c r="E3363" i="8"/>
  <c r="E3364" i="8"/>
  <c r="E3365" i="8"/>
  <c r="E3366" i="8"/>
  <c r="E3367" i="8"/>
  <c r="E3368" i="8"/>
  <c r="E3369" i="8"/>
  <c r="E3370" i="8"/>
  <c r="E3371" i="8"/>
  <c r="E3372" i="8"/>
  <c r="E3373" i="8"/>
  <c r="E3374" i="8"/>
  <c r="E3375" i="8"/>
  <c r="E3376" i="8"/>
  <c r="E3377" i="8"/>
  <c r="E3378" i="8"/>
  <c r="E3379" i="8"/>
  <c r="E3380" i="8"/>
  <c r="E3381" i="8"/>
  <c r="E3382" i="8"/>
  <c r="E3383" i="8"/>
  <c r="E3384" i="8"/>
  <c r="E3385" i="8"/>
  <c r="E3386" i="8"/>
  <c r="E3387" i="8"/>
  <c r="E3388" i="8"/>
  <c r="E3389" i="8"/>
  <c r="E3390" i="8"/>
  <c r="E3391" i="8"/>
  <c r="E3392" i="8"/>
  <c r="E3393" i="8"/>
  <c r="E3394" i="8"/>
  <c r="E3395" i="8"/>
  <c r="E3396" i="8"/>
  <c r="E3397" i="8"/>
  <c r="E3398" i="8"/>
  <c r="E3399" i="8"/>
  <c r="E3400" i="8"/>
  <c r="E3401" i="8"/>
  <c r="E3402" i="8"/>
  <c r="E3403" i="8"/>
  <c r="E3404" i="8"/>
  <c r="E3405" i="8"/>
  <c r="E3406" i="8"/>
  <c r="E3407" i="8"/>
  <c r="E3408" i="8"/>
  <c r="E3409" i="8"/>
  <c r="E3410" i="8"/>
  <c r="E3411" i="8"/>
  <c r="E3412" i="8"/>
  <c r="E3413" i="8"/>
  <c r="E3414" i="8"/>
  <c r="E3415" i="8"/>
  <c r="E3416" i="8"/>
  <c r="E3417" i="8"/>
  <c r="E3418" i="8"/>
  <c r="E3419" i="8"/>
  <c r="E3420" i="8"/>
  <c r="E3421" i="8"/>
  <c r="E3422" i="8"/>
  <c r="E3423" i="8"/>
  <c r="E3424" i="8"/>
  <c r="E3425" i="8"/>
  <c r="E3426" i="8"/>
  <c r="E3427" i="8"/>
  <c r="E3428" i="8"/>
  <c r="E3429" i="8"/>
  <c r="E3430" i="8"/>
  <c r="E3431" i="8"/>
  <c r="E3432" i="8"/>
  <c r="E3433" i="8"/>
  <c r="E3434" i="8"/>
  <c r="E3435" i="8"/>
  <c r="E3436" i="8"/>
  <c r="E3437" i="8"/>
  <c r="E3438" i="8"/>
  <c r="E3439" i="8"/>
  <c r="E3440" i="8"/>
  <c r="E3441" i="8"/>
  <c r="E3442" i="8"/>
  <c r="E3443" i="8"/>
  <c r="E3444" i="8"/>
  <c r="E3445" i="8"/>
  <c r="E3446" i="8"/>
  <c r="E3447" i="8"/>
  <c r="E3448" i="8"/>
  <c r="E3449" i="8"/>
  <c r="E3450" i="8"/>
  <c r="E3451" i="8"/>
  <c r="E3452" i="8"/>
  <c r="E3453" i="8"/>
  <c r="E3454" i="8"/>
  <c r="E3455" i="8"/>
  <c r="E3456" i="8"/>
  <c r="E3457" i="8"/>
  <c r="E3458" i="8"/>
  <c r="E3459" i="8"/>
  <c r="E3460" i="8"/>
  <c r="E3461" i="8"/>
  <c r="E3462" i="8"/>
  <c r="E3463" i="8"/>
  <c r="E3464" i="8"/>
  <c r="E3465" i="8"/>
  <c r="E3466" i="8"/>
  <c r="E3467" i="8"/>
  <c r="E3468" i="8"/>
  <c r="E3469" i="8"/>
  <c r="E3470" i="8"/>
  <c r="E3471" i="8"/>
  <c r="E3472" i="8"/>
  <c r="E3473" i="8"/>
  <c r="E3474" i="8"/>
  <c r="E3475" i="8"/>
  <c r="E3476" i="8"/>
  <c r="E3477" i="8"/>
  <c r="E3478" i="8"/>
  <c r="E3479" i="8"/>
  <c r="E3480" i="8"/>
  <c r="E3481" i="8"/>
  <c r="E3482" i="8"/>
  <c r="E3483" i="8"/>
  <c r="E3484" i="8"/>
  <c r="E3485" i="8"/>
  <c r="E3486" i="8"/>
  <c r="E3487" i="8"/>
  <c r="E3488" i="8"/>
  <c r="E3489" i="8"/>
  <c r="E3490" i="8"/>
  <c r="E3491" i="8"/>
  <c r="E3492" i="8"/>
  <c r="E3493" i="8"/>
  <c r="E3494" i="8"/>
  <c r="E3495" i="8"/>
  <c r="E3496" i="8"/>
  <c r="E3497" i="8"/>
  <c r="E3498" i="8"/>
  <c r="E3499" i="8"/>
  <c r="E3500" i="8"/>
  <c r="E3501" i="8"/>
  <c r="E3502" i="8"/>
  <c r="E3503" i="8"/>
  <c r="E3504" i="8"/>
  <c r="E3505" i="8"/>
  <c r="E3506" i="8"/>
  <c r="E3507" i="8"/>
  <c r="E3508" i="8"/>
  <c r="E3509" i="8"/>
  <c r="E3510" i="8"/>
  <c r="E3511" i="8"/>
  <c r="E3512" i="8"/>
  <c r="E3513" i="8"/>
  <c r="E3514" i="8"/>
  <c r="E3515" i="8"/>
  <c r="E3516" i="8"/>
  <c r="E3517" i="8"/>
  <c r="E3518" i="8"/>
  <c r="E3519" i="8"/>
  <c r="E3520" i="8"/>
  <c r="E3521" i="8"/>
  <c r="E3522" i="8"/>
  <c r="E3523" i="8"/>
  <c r="E3524" i="8"/>
  <c r="E3525" i="8"/>
  <c r="E3526" i="8"/>
  <c r="E3527" i="8"/>
  <c r="E3528" i="8"/>
  <c r="E3529" i="8"/>
  <c r="E3530" i="8"/>
  <c r="E3531" i="8"/>
  <c r="E3532" i="8"/>
  <c r="E3533" i="8"/>
  <c r="E3534" i="8"/>
  <c r="E3535" i="8"/>
  <c r="E3536" i="8"/>
  <c r="E3537" i="8"/>
  <c r="E3538" i="8"/>
  <c r="E3539" i="8"/>
  <c r="E3540" i="8"/>
  <c r="E3541" i="8"/>
  <c r="E3542" i="8"/>
  <c r="E3543" i="8"/>
  <c r="E3544" i="8"/>
  <c r="E3545" i="8"/>
  <c r="E3546" i="8"/>
  <c r="E3547" i="8"/>
  <c r="E3548" i="8"/>
  <c r="E3549" i="8"/>
  <c r="E3550" i="8"/>
  <c r="E3551" i="8"/>
  <c r="E3552" i="8"/>
  <c r="E3553" i="8"/>
  <c r="E3554" i="8"/>
  <c r="E3555" i="8"/>
  <c r="E3556" i="8"/>
  <c r="E3557" i="8"/>
  <c r="E3558" i="8"/>
  <c r="E3559" i="8"/>
  <c r="E3560" i="8"/>
  <c r="E3561" i="8"/>
  <c r="E3562" i="8"/>
  <c r="E3563" i="8"/>
  <c r="E3564" i="8"/>
  <c r="E3565" i="8"/>
  <c r="E3566" i="8"/>
  <c r="E3567" i="8"/>
  <c r="E3568" i="8"/>
  <c r="E3569" i="8"/>
  <c r="E3570" i="8"/>
  <c r="E3571" i="8"/>
  <c r="E3572" i="8"/>
  <c r="E3573" i="8"/>
  <c r="E3574" i="8"/>
  <c r="E3575" i="8"/>
  <c r="E3576" i="8"/>
  <c r="E3577" i="8"/>
  <c r="E3578" i="8"/>
  <c r="E3579" i="8"/>
  <c r="E3580" i="8"/>
  <c r="E3581" i="8"/>
  <c r="E3582" i="8"/>
  <c r="E3583" i="8"/>
  <c r="E3584" i="8"/>
  <c r="E3585" i="8"/>
  <c r="E3586" i="8"/>
  <c r="E3587" i="8"/>
  <c r="E3588" i="8"/>
  <c r="E3589" i="8"/>
  <c r="E3590" i="8"/>
  <c r="E3591" i="8"/>
  <c r="E3592" i="8"/>
  <c r="E3593" i="8"/>
  <c r="E3594" i="8"/>
  <c r="E3595" i="8"/>
  <c r="E3596" i="8"/>
  <c r="E3597" i="8"/>
  <c r="E3598" i="8"/>
  <c r="E3599" i="8"/>
  <c r="E3600" i="8"/>
  <c r="E3601" i="8"/>
  <c r="E3602" i="8"/>
  <c r="E3603" i="8"/>
  <c r="E3604" i="8"/>
  <c r="E3605" i="8"/>
  <c r="E3606" i="8"/>
  <c r="E3607" i="8"/>
  <c r="E3608" i="8"/>
  <c r="E3609" i="8"/>
  <c r="E3610" i="8"/>
  <c r="E3611" i="8"/>
  <c r="E3612" i="8"/>
  <c r="E3613" i="8"/>
  <c r="E3614" i="8"/>
  <c r="E3615" i="8"/>
  <c r="E3616" i="8"/>
  <c r="E3617" i="8"/>
  <c r="E3618" i="8"/>
  <c r="E3619" i="8"/>
  <c r="E3620" i="8"/>
  <c r="E3621" i="8"/>
  <c r="E3622" i="8"/>
  <c r="E3623" i="8"/>
  <c r="E3624" i="8"/>
  <c r="E3625" i="8"/>
  <c r="E3626" i="8"/>
  <c r="E3627" i="8"/>
  <c r="E3628" i="8"/>
  <c r="E3629" i="8"/>
  <c r="E3630" i="8"/>
  <c r="E3631" i="8"/>
  <c r="E3632" i="8"/>
  <c r="E3633" i="8"/>
  <c r="E3634" i="8"/>
  <c r="E3635" i="8"/>
  <c r="E3636" i="8"/>
  <c r="E3637" i="8"/>
  <c r="E3638" i="8"/>
  <c r="E3639" i="8"/>
  <c r="E3640" i="8"/>
  <c r="E3641" i="8"/>
  <c r="E3642" i="8"/>
  <c r="E3643" i="8"/>
  <c r="E3644" i="8"/>
  <c r="E3645" i="8"/>
  <c r="E3646" i="8"/>
  <c r="E3647" i="8"/>
  <c r="E3648" i="8"/>
  <c r="E3649" i="8"/>
  <c r="E3650" i="8"/>
  <c r="E3651" i="8"/>
  <c r="E3652" i="8"/>
  <c r="E3653" i="8"/>
  <c r="E3654" i="8"/>
  <c r="E3655" i="8"/>
  <c r="E3656" i="8"/>
  <c r="E3657" i="8"/>
  <c r="E3658" i="8"/>
  <c r="E3659" i="8"/>
  <c r="E3660" i="8"/>
  <c r="E3661" i="8"/>
  <c r="E3662" i="8"/>
  <c r="E3663" i="8"/>
  <c r="E3664" i="8"/>
  <c r="E3665" i="8"/>
  <c r="E3666" i="8"/>
  <c r="E3667" i="8"/>
  <c r="E3668" i="8"/>
  <c r="E3669" i="8"/>
  <c r="E3670" i="8"/>
  <c r="E3671" i="8"/>
  <c r="E3672" i="8"/>
  <c r="E3673" i="8"/>
  <c r="E3674" i="8"/>
  <c r="E3675" i="8"/>
  <c r="E3676" i="8"/>
  <c r="E3677" i="8"/>
  <c r="E3678" i="8"/>
  <c r="E3679" i="8"/>
  <c r="E3680" i="8"/>
  <c r="E3681" i="8"/>
  <c r="E3682" i="8"/>
  <c r="E3683" i="8"/>
  <c r="E3684" i="8"/>
  <c r="E3685" i="8"/>
  <c r="E3686" i="8"/>
  <c r="E3687" i="8"/>
  <c r="E3688" i="8"/>
  <c r="E3689" i="8"/>
  <c r="E3690" i="8"/>
  <c r="E3691" i="8"/>
  <c r="E3692" i="8"/>
  <c r="E3693" i="8"/>
  <c r="E3694" i="8"/>
  <c r="E3695" i="8"/>
  <c r="E3696" i="8"/>
  <c r="E3697" i="8"/>
  <c r="E3698" i="8"/>
  <c r="E3699" i="8"/>
  <c r="E3700" i="8"/>
  <c r="E3701" i="8"/>
  <c r="E3702" i="8"/>
  <c r="E3703" i="8"/>
  <c r="E3704" i="8"/>
  <c r="E3705" i="8"/>
  <c r="E3706" i="8"/>
  <c r="E3707" i="8"/>
  <c r="E3708" i="8"/>
  <c r="E3709" i="8"/>
  <c r="E3710" i="8"/>
  <c r="E3711" i="8"/>
  <c r="E3712" i="8"/>
  <c r="E3713" i="8"/>
  <c r="E3714" i="8"/>
  <c r="E3715" i="8"/>
  <c r="E3716" i="8"/>
  <c r="E3717" i="8"/>
  <c r="E3718" i="8"/>
  <c r="E3719" i="8"/>
  <c r="E3720" i="8"/>
  <c r="E3721" i="8"/>
  <c r="E3722" i="8"/>
  <c r="E3723" i="8"/>
  <c r="E3724" i="8"/>
  <c r="E3725" i="8"/>
  <c r="E3726" i="8"/>
  <c r="E3727" i="8"/>
  <c r="E3728" i="8"/>
  <c r="E3729" i="8"/>
  <c r="E3730" i="8"/>
  <c r="E3731" i="8"/>
  <c r="E3732" i="8"/>
  <c r="E3733" i="8"/>
  <c r="E3734" i="8"/>
  <c r="E3735" i="8"/>
  <c r="E3736" i="8"/>
  <c r="E3737" i="8"/>
  <c r="E3738" i="8"/>
  <c r="E3739" i="8"/>
  <c r="E3740" i="8"/>
  <c r="E3741" i="8"/>
  <c r="E3742" i="8"/>
  <c r="E3743" i="8"/>
  <c r="E3744" i="8"/>
  <c r="E3745" i="8"/>
  <c r="E3746" i="8"/>
  <c r="E3747" i="8"/>
  <c r="E3748" i="8"/>
  <c r="E3749" i="8"/>
  <c r="E3750" i="8"/>
  <c r="E3751" i="8"/>
  <c r="E3752" i="8"/>
  <c r="E3753" i="8"/>
  <c r="E3754" i="8"/>
  <c r="E3755" i="8"/>
  <c r="E3756" i="8"/>
  <c r="E3757" i="8"/>
  <c r="E3758" i="8"/>
  <c r="E3759" i="8"/>
  <c r="E3760" i="8"/>
  <c r="E3761" i="8"/>
  <c r="E3762" i="8"/>
  <c r="E3763" i="8"/>
  <c r="E3764" i="8"/>
  <c r="E3765" i="8"/>
  <c r="E3766" i="8"/>
  <c r="E3767" i="8"/>
  <c r="E3768" i="8"/>
  <c r="E3769" i="8"/>
  <c r="E3770" i="8"/>
  <c r="E3771" i="8"/>
  <c r="E3772" i="8"/>
  <c r="E3773" i="8"/>
  <c r="E3774" i="8"/>
  <c r="E3775" i="8"/>
  <c r="E3776" i="8"/>
  <c r="E3777" i="8"/>
  <c r="E3778" i="8"/>
  <c r="E3779" i="8"/>
  <c r="E3780" i="8"/>
  <c r="E3781" i="8"/>
  <c r="E3782" i="8"/>
  <c r="E3783" i="8"/>
  <c r="E3784" i="8"/>
  <c r="E3785" i="8"/>
  <c r="E3786" i="8"/>
  <c r="E3787" i="8"/>
  <c r="E3788" i="8"/>
  <c r="E3789" i="8"/>
  <c r="E3790" i="8"/>
  <c r="E3791" i="8"/>
  <c r="E3792" i="8"/>
  <c r="E3793" i="8"/>
  <c r="E3794" i="8"/>
  <c r="E3795" i="8"/>
  <c r="E3796" i="8"/>
  <c r="E3797" i="8"/>
  <c r="E3798" i="8"/>
  <c r="E3799" i="8"/>
  <c r="E3800" i="8"/>
  <c r="E3801" i="8"/>
  <c r="E3802" i="8"/>
  <c r="E3803" i="8"/>
  <c r="E3804" i="8"/>
  <c r="E3805" i="8"/>
  <c r="E3806" i="8"/>
  <c r="E3807" i="8"/>
  <c r="E3808" i="8"/>
  <c r="E3809" i="8"/>
  <c r="E3810" i="8"/>
  <c r="E3811" i="8"/>
  <c r="E3812" i="8"/>
  <c r="E3813" i="8"/>
  <c r="E3814" i="8"/>
  <c r="E3815" i="8"/>
  <c r="E3816" i="8"/>
  <c r="E3817" i="8"/>
  <c r="E3818" i="8"/>
  <c r="E3819" i="8"/>
  <c r="E3820" i="8"/>
  <c r="E3821" i="8"/>
  <c r="E3822" i="8"/>
  <c r="E3823" i="8"/>
  <c r="E3824" i="8"/>
  <c r="E3825" i="8"/>
  <c r="E3826" i="8"/>
  <c r="E3827" i="8"/>
  <c r="E3828" i="8"/>
  <c r="E3829" i="8"/>
  <c r="E3830" i="8"/>
  <c r="E3831" i="8"/>
  <c r="E3832" i="8"/>
  <c r="E3833" i="8"/>
  <c r="E3834" i="8"/>
  <c r="E3835" i="8"/>
  <c r="E3836" i="8"/>
  <c r="E3837" i="8"/>
  <c r="E3838" i="8"/>
  <c r="E3839" i="8"/>
  <c r="E3840" i="8"/>
  <c r="E3841" i="8"/>
  <c r="E3842" i="8"/>
  <c r="E3843" i="8"/>
  <c r="E3844" i="8"/>
  <c r="E3845" i="8"/>
  <c r="E3846" i="8"/>
  <c r="E3847" i="8"/>
  <c r="E3848" i="8"/>
  <c r="E3849" i="8"/>
  <c r="E3850" i="8"/>
  <c r="E3851" i="8"/>
  <c r="E3852" i="8"/>
  <c r="E3853" i="8"/>
  <c r="E3854" i="8"/>
  <c r="E3855" i="8"/>
  <c r="E3856" i="8"/>
  <c r="E3857" i="8"/>
  <c r="E3858" i="8"/>
  <c r="E3859" i="8"/>
  <c r="E3860" i="8"/>
  <c r="E3861" i="8"/>
  <c r="E3862" i="8"/>
  <c r="E3863" i="8"/>
  <c r="E3864" i="8"/>
  <c r="E3865" i="8"/>
  <c r="E3866" i="8"/>
  <c r="E3867" i="8"/>
  <c r="E3868" i="8"/>
  <c r="E3869" i="8"/>
  <c r="E3870" i="8"/>
  <c r="E3871" i="8"/>
  <c r="E3872" i="8"/>
  <c r="E3873" i="8"/>
  <c r="E3874" i="8"/>
  <c r="E3875" i="8"/>
  <c r="E3876" i="8"/>
  <c r="E3877" i="8"/>
  <c r="E3878" i="8"/>
  <c r="E3879" i="8"/>
  <c r="E3880" i="8"/>
  <c r="E3881" i="8"/>
  <c r="E3882" i="8"/>
  <c r="E3883" i="8"/>
  <c r="E3884" i="8"/>
  <c r="E3885" i="8"/>
  <c r="E3886" i="8"/>
  <c r="E3887" i="8"/>
  <c r="E3888" i="8"/>
  <c r="E3889" i="8"/>
  <c r="E3890" i="8"/>
  <c r="E3891" i="8"/>
  <c r="E3892" i="8"/>
  <c r="E3893" i="8"/>
  <c r="E3894" i="8"/>
  <c r="E3895" i="8"/>
  <c r="E3896" i="8"/>
  <c r="E3897" i="8"/>
  <c r="E3898" i="8"/>
  <c r="E3899" i="8"/>
  <c r="E3900" i="8"/>
  <c r="E3901" i="8"/>
  <c r="E3902" i="8"/>
  <c r="E3903" i="8"/>
  <c r="E3904" i="8"/>
  <c r="E3905" i="8"/>
  <c r="E3906" i="8"/>
  <c r="E3907" i="8"/>
  <c r="E3908" i="8"/>
  <c r="E3909" i="8"/>
  <c r="E3910" i="8"/>
  <c r="E3911" i="8"/>
  <c r="E3912" i="8"/>
  <c r="E3913" i="8"/>
  <c r="E3914" i="8"/>
  <c r="E3915" i="8"/>
  <c r="E3916" i="8"/>
  <c r="E3917" i="8"/>
  <c r="E3918" i="8"/>
  <c r="E3919" i="8"/>
  <c r="E3920" i="8"/>
  <c r="E3921" i="8"/>
  <c r="E3922" i="8"/>
  <c r="E3923" i="8"/>
  <c r="E3924" i="8"/>
  <c r="E3925" i="8"/>
  <c r="E3926" i="8"/>
  <c r="E3927" i="8"/>
  <c r="E3928" i="8"/>
  <c r="E3929" i="8"/>
  <c r="E3930" i="8"/>
  <c r="E3931" i="8"/>
  <c r="E3932" i="8"/>
  <c r="E3933" i="8"/>
  <c r="E3934" i="8"/>
  <c r="E3935" i="8"/>
  <c r="E3936" i="8"/>
  <c r="E3937" i="8"/>
  <c r="E3938" i="8"/>
  <c r="E3939" i="8"/>
  <c r="E3940" i="8"/>
  <c r="E3941" i="8"/>
  <c r="E3942" i="8"/>
  <c r="E3943" i="8"/>
  <c r="E3944" i="8"/>
  <c r="E3945" i="8"/>
  <c r="E3946" i="8"/>
  <c r="E3947" i="8"/>
  <c r="E3948" i="8"/>
  <c r="E3949" i="8"/>
  <c r="E3950" i="8"/>
  <c r="E3951" i="8"/>
  <c r="E3952" i="8"/>
  <c r="E3953" i="8"/>
  <c r="E3954" i="8"/>
  <c r="E3955" i="8"/>
  <c r="E3956" i="8"/>
  <c r="E3957" i="8"/>
  <c r="E3958" i="8"/>
  <c r="E3959" i="8"/>
  <c r="E3960" i="8"/>
  <c r="E3961" i="8"/>
  <c r="E3962" i="8"/>
  <c r="E3963" i="8"/>
  <c r="E3964" i="8"/>
  <c r="E3965" i="8"/>
  <c r="E3966" i="8"/>
  <c r="E3967" i="8"/>
  <c r="E3968" i="8"/>
  <c r="E3969" i="8"/>
  <c r="E3970" i="8"/>
  <c r="E3971" i="8"/>
  <c r="E3972" i="8"/>
  <c r="E3973" i="8"/>
  <c r="E3974" i="8"/>
  <c r="E3975" i="8"/>
  <c r="E3976" i="8"/>
  <c r="E3977" i="8"/>
  <c r="E3978" i="8"/>
  <c r="E3979" i="8"/>
  <c r="E3980" i="8"/>
  <c r="E3981" i="8"/>
  <c r="E3982" i="8"/>
  <c r="E3983" i="8"/>
  <c r="E3984" i="8"/>
  <c r="E3985" i="8"/>
  <c r="E3986" i="8"/>
  <c r="E3987" i="8"/>
  <c r="E3988" i="8"/>
  <c r="E3989" i="8"/>
  <c r="E3990" i="8"/>
  <c r="E3991" i="8"/>
  <c r="E3992" i="8"/>
  <c r="E3993" i="8"/>
  <c r="E3994" i="8"/>
  <c r="E3995" i="8"/>
  <c r="E3996" i="8"/>
  <c r="E3997" i="8"/>
  <c r="E3998" i="8"/>
  <c r="E3999" i="8"/>
  <c r="E4000" i="8"/>
  <c r="E4001" i="8"/>
  <c r="E4002" i="8"/>
  <c r="E4003" i="8"/>
  <c r="E4004" i="8"/>
  <c r="E4005" i="8"/>
  <c r="E4006" i="8"/>
  <c r="E4007" i="8"/>
  <c r="E4008" i="8"/>
  <c r="E4009" i="8"/>
  <c r="E4010" i="8"/>
  <c r="E4011" i="8"/>
  <c r="E4012" i="8"/>
  <c r="E4013" i="8"/>
  <c r="E4014" i="8"/>
  <c r="E4015" i="8"/>
  <c r="E4016" i="8"/>
  <c r="E4017" i="8"/>
  <c r="E4018" i="8"/>
  <c r="E4019" i="8"/>
  <c r="E4020" i="8"/>
  <c r="E4021" i="8"/>
  <c r="E4022" i="8"/>
  <c r="E4023" i="8"/>
  <c r="E4024" i="8"/>
  <c r="E4025" i="8"/>
  <c r="E4026" i="8"/>
  <c r="E4027" i="8"/>
  <c r="E4028" i="8"/>
  <c r="E4029" i="8"/>
  <c r="E4030" i="8"/>
  <c r="E4031" i="8"/>
  <c r="E4032" i="8"/>
  <c r="E4033" i="8"/>
  <c r="E4034" i="8"/>
  <c r="E4035" i="8"/>
  <c r="E4036" i="8"/>
  <c r="E4037" i="8"/>
  <c r="E4038" i="8"/>
  <c r="E4039" i="8"/>
  <c r="E4040" i="8"/>
  <c r="E4041" i="8"/>
  <c r="E4042" i="8"/>
  <c r="E4043" i="8"/>
  <c r="E4044" i="8"/>
  <c r="E4045" i="8"/>
  <c r="E4046" i="8"/>
  <c r="E4047" i="8"/>
  <c r="E4048" i="8"/>
  <c r="E4049" i="8"/>
  <c r="E4050" i="8"/>
  <c r="E4051" i="8"/>
  <c r="E4052" i="8"/>
  <c r="E4053" i="8"/>
  <c r="E4054" i="8"/>
  <c r="E4055" i="8"/>
  <c r="E4056" i="8"/>
  <c r="E4057" i="8"/>
  <c r="E4058" i="8"/>
  <c r="E4059" i="8"/>
  <c r="E4060" i="8"/>
  <c r="E4061" i="8"/>
  <c r="E4062" i="8"/>
  <c r="E4063" i="8"/>
  <c r="E4064" i="8"/>
  <c r="E4065" i="8"/>
  <c r="E4066" i="8"/>
  <c r="E4067" i="8"/>
  <c r="E4068" i="8"/>
  <c r="E4069" i="8"/>
  <c r="E4070" i="8"/>
  <c r="E4071" i="8"/>
  <c r="E4072" i="8"/>
  <c r="E4073" i="8"/>
  <c r="E4074" i="8"/>
  <c r="E4075" i="8"/>
  <c r="E4076" i="8"/>
  <c r="E4077" i="8"/>
  <c r="E4078" i="8"/>
  <c r="E4079" i="8"/>
  <c r="E4080" i="8"/>
  <c r="E4081" i="8"/>
  <c r="E4082" i="8"/>
  <c r="E4083" i="8"/>
  <c r="E4084" i="8"/>
  <c r="E4085" i="8"/>
  <c r="E4086" i="8"/>
  <c r="E4087" i="8"/>
  <c r="E4088" i="8"/>
  <c r="E4089" i="8"/>
  <c r="E4090" i="8"/>
  <c r="E4091" i="8"/>
  <c r="E4092" i="8"/>
  <c r="E4093" i="8"/>
  <c r="E4094" i="8"/>
  <c r="E4095" i="8"/>
  <c r="E4096" i="8"/>
  <c r="E4097" i="8"/>
  <c r="E4098" i="8"/>
  <c r="E4099" i="8"/>
  <c r="E4100" i="8"/>
  <c r="E4101" i="8"/>
  <c r="E4102" i="8"/>
  <c r="E4103" i="8"/>
  <c r="E4104" i="8"/>
  <c r="E4105" i="8"/>
  <c r="E4106" i="8"/>
  <c r="E4107" i="8"/>
  <c r="E4108" i="8"/>
  <c r="E4109" i="8"/>
  <c r="E4110" i="8"/>
  <c r="E4111" i="8"/>
  <c r="E4112" i="8"/>
  <c r="E4113" i="8"/>
  <c r="E4114" i="8"/>
  <c r="E4115" i="8"/>
  <c r="E4116" i="8"/>
  <c r="E4117" i="8"/>
  <c r="E4118" i="8"/>
  <c r="E4119" i="8"/>
  <c r="E4120" i="8"/>
  <c r="E4121" i="8"/>
  <c r="E4122" i="8"/>
  <c r="E4123" i="8"/>
  <c r="E4124" i="8"/>
  <c r="E4125" i="8"/>
  <c r="E4126" i="8"/>
  <c r="E4127" i="8"/>
  <c r="E4128" i="8"/>
  <c r="E4129" i="8"/>
  <c r="E4130" i="8"/>
  <c r="E4131" i="8"/>
  <c r="E4132" i="8"/>
  <c r="E4133" i="8"/>
  <c r="E4134" i="8"/>
  <c r="E4135" i="8"/>
  <c r="E4136" i="8"/>
  <c r="E4137" i="8"/>
  <c r="E4138" i="8"/>
  <c r="E4139" i="8"/>
  <c r="E4140" i="8"/>
  <c r="E4141" i="8"/>
  <c r="E4142" i="8"/>
  <c r="E4143" i="8"/>
  <c r="E4144" i="8"/>
  <c r="E4145" i="8"/>
  <c r="E4146" i="8"/>
  <c r="E4147" i="8"/>
  <c r="E4148" i="8"/>
  <c r="E4149" i="8"/>
  <c r="E4150" i="8"/>
  <c r="E4151" i="8"/>
  <c r="E4152" i="8"/>
  <c r="E4153" i="8"/>
  <c r="E4154" i="8"/>
  <c r="E4155" i="8"/>
  <c r="E4156" i="8"/>
  <c r="E4157" i="8"/>
  <c r="E4158" i="8"/>
  <c r="E4159" i="8"/>
  <c r="E4160" i="8"/>
  <c r="E4161" i="8"/>
  <c r="E4162" i="8"/>
  <c r="E4163" i="8"/>
  <c r="E4164" i="8"/>
  <c r="E4165" i="8"/>
  <c r="E4166" i="8"/>
  <c r="E4167" i="8"/>
  <c r="E4168" i="8"/>
  <c r="E4169" i="8"/>
  <c r="E4170" i="8"/>
  <c r="E4171" i="8"/>
  <c r="E4172" i="8"/>
  <c r="E4173" i="8"/>
  <c r="E4174" i="8"/>
  <c r="E4175" i="8"/>
  <c r="E4176" i="8"/>
  <c r="E4177" i="8"/>
  <c r="E4178" i="8"/>
  <c r="E4179" i="8"/>
  <c r="E4180" i="8"/>
  <c r="E4181" i="8"/>
  <c r="E4182" i="8"/>
  <c r="E4183" i="8"/>
  <c r="E4184" i="8"/>
  <c r="E4185" i="8"/>
  <c r="E4186" i="8"/>
  <c r="E4187" i="8"/>
  <c r="E4188" i="8"/>
  <c r="E4189" i="8"/>
  <c r="E4190" i="8"/>
  <c r="E4191" i="8"/>
  <c r="E4192" i="8"/>
  <c r="E4193" i="8"/>
  <c r="E4194" i="8"/>
  <c r="E4195" i="8"/>
  <c r="E4196" i="8"/>
  <c r="E4197" i="8"/>
  <c r="E4198" i="8"/>
  <c r="E4199" i="8"/>
  <c r="E4200" i="8"/>
  <c r="E4201" i="8"/>
  <c r="E4202" i="8"/>
  <c r="E4203" i="8"/>
  <c r="E4204" i="8"/>
  <c r="E4205" i="8"/>
  <c r="E4206" i="8"/>
  <c r="E4207" i="8"/>
  <c r="E4208" i="8"/>
  <c r="E4209" i="8"/>
  <c r="E4210" i="8"/>
  <c r="E4211" i="8"/>
  <c r="E4212" i="8"/>
  <c r="E4213" i="8"/>
  <c r="E4214" i="8"/>
  <c r="E4215" i="8"/>
  <c r="E4216" i="8"/>
  <c r="E4217" i="8"/>
  <c r="E4218" i="8"/>
  <c r="E4219" i="8"/>
  <c r="E4220" i="8"/>
  <c r="E4221" i="8"/>
  <c r="E4222" i="8"/>
  <c r="E4223" i="8"/>
  <c r="E4224" i="8"/>
  <c r="E4225" i="8"/>
  <c r="E4226" i="8"/>
  <c r="E4227" i="8"/>
  <c r="E4228" i="8"/>
  <c r="E4229" i="8"/>
  <c r="E4230" i="8"/>
  <c r="E4231" i="8"/>
  <c r="E4232" i="8"/>
  <c r="E4233" i="8"/>
  <c r="E4234" i="8"/>
  <c r="E4235" i="8"/>
  <c r="E4236" i="8"/>
  <c r="E4237" i="8"/>
  <c r="E4238" i="8"/>
  <c r="E4239" i="8"/>
  <c r="E4240" i="8"/>
  <c r="E4241" i="8"/>
  <c r="E4242" i="8"/>
  <c r="E4243" i="8"/>
  <c r="E4244" i="8"/>
  <c r="E4245" i="8"/>
  <c r="E4246" i="8"/>
  <c r="E4247" i="8"/>
  <c r="E4248" i="8"/>
  <c r="E4249" i="8"/>
  <c r="E4250" i="8"/>
  <c r="E4251" i="8"/>
  <c r="E4252" i="8"/>
  <c r="E4253" i="8"/>
  <c r="E4254" i="8"/>
  <c r="E4255" i="8"/>
  <c r="E4256" i="8"/>
  <c r="E4257" i="8"/>
  <c r="E4258" i="8"/>
  <c r="E4259" i="8"/>
  <c r="E4260" i="8"/>
  <c r="E4261" i="8"/>
  <c r="E4262" i="8"/>
  <c r="E4263" i="8"/>
  <c r="E4264" i="8"/>
  <c r="E4265" i="8"/>
  <c r="E4266" i="8"/>
  <c r="E4267" i="8"/>
  <c r="E4268" i="8"/>
  <c r="E4269" i="8"/>
  <c r="E4270" i="8"/>
  <c r="E4271" i="8"/>
  <c r="E4272" i="8"/>
  <c r="E4273" i="8"/>
  <c r="E4274" i="8"/>
  <c r="E4275" i="8"/>
  <c r="E4276" i="8"/>
  <c r="E4277" i="8"/>
  <c r="E4278" i="8"/>
  <c r="E4279" i="8"/>
  <c r="E4280" i="8"/>
  <c r="E4281" i="8"/>
  <c r="E4282" i="8"/>
  <c r="E4283" i="8"/>
  <c r="E4284" i="8"/>
  <c r="E4285" i="8"/>
  <c r="E4286" i="8"/>
  <c r="E4287" i="8"/>
  <c r="E4288" i="8"/>
  <c r="E4289" i="8"/>
  <c r="E4290" i="8"/>
  <c r="E4291" i="8"/>
  <c r="E4292" i="8"/>
  <c r="E4293" i="8"/>
  <c r="E4294" i="8"/>
  <c r="E4295" i="8"/>
  <c r="E4296" i="8"/>
  <c r="E4297" i="8"/>
  <c r="E4298" i="8"/>
  <c r="E4299" i="8"/>
  <c r="E4300" i="8"/>
  <c r="E4301" i="8"/>
  <c r="E4302" i="8"/>
  <c r="E4303" i="8"/>
  <c r="E4304" i="8"/>
  <c r="E4305" i="8"/>
  <c r="E4306" i="8"/>
  <c r="E4307" i="8"/>
  <c r="E4308" i="8"/>
  <c r="E4309" i="8"/>
  <c r="E4310" i="8"/>
  <c r="E4311" i="8"/>
  <c r="E4312" i="8"/>
  <c r="E4313" i="8"/>
  <c r="E4314" i="8"/>
  <c r="E4315" i="8"/>
  <c r="E4316" i="8"/>
  <c r="E4317" i="8"/>
  <c r="E4318" i="8"/>
  <c r="E4319" i="8"/>
  <c r="E4320" i="8"/>
  <c r="E4321" i="8"/>
  <c r="E4322" i="8"/>
  <c r="E4323" i="8"/>
  <c r="E4324" i="8"/>
  <c r="E4325" i="8"/>
  <c r="E4326" i="8"/>
  <c r="E4327" i="8"/>
  <c r="E4328" i="8"/>
  <c r="E4329" i="8"/>
  <c r="E4330" i="8"/>
  <c r="E4331" i="8"/>
  <c r="E4332" i="8"/>
  <c r="E4333" i="8"/>
  <c r="E4334" i="8"/>
  <c r="E4335" i="8"/>
  <c r="E4336" i="8"/>
  <c r="E4337" i="8"/>
  <c r="E4338" i="8"/>
  <c r="E4339" i="8"/>
  <c r="E4340" i="8"/>
  <c r="E4341" i="8"/>
  <c r="E4342" i="8"/>
  <c r="E4343" i="8"/>
  <c r="E4344" i="8"/>
  <c r="E4345" i="8"/>
  <c r="E4346" i="8"/>
  <c r="E4347" i="8"/>
  <c r="E4348" i="8"/>
  <c r="E4349" i="8"/>
  <c r="E4350" i="8"/>
  <c r="E4351" i="8"/>
  <c r="E4352" i="8"/>
  <c r="E4353" i="8"/>
  <c r="E4354" i="8"/>
  <c r="E4355" i="8"/>
  <c r="E4356" i="8"/>
  <c r="E4357" i="8"/>
  <c r="E4358" i="8"/>
  <c r="E4359" i="8"/>
  <c r="E4360" i="8"/>
  <c r="E4361" i="8"/>
  <c r="E4362" i="8"/>
  <c r="E4363" i="8"/>
  <c r="E4364" i="8"/>
  <c r="E4365" i="8"/>
  <c r="E4366" i="8"/>
  <c r="E4367" i="8"/>
  <c r="E4368" i="8"/>
  <c r="E4369" i="8"/>
  <c r="E4370" i="8"/>
  <c r="E4371" i="8"/>
  <c r="E4372" i="8"/>
  <c r="E4373" i="8"/>
  <c r="E4374" i="8"/>
  <c r="E4375" i="8"/>
  <c r="E4376" i="8"/>
  <c r="E4377" i="8"/>
  <c r="E4378" i="8"/>
  <c r="E4379" i="8"/>
  <c r="E4380" i="8"/>
  <c r="E4381" i="8"/>
  <c r="E4382" i="8"/>
  <c r="E4383" i="8"/>
  <c r="E4384" i="8"/>
  <c r="E4385" i="8"/>
  <c r="E4386" i="8"/>
  <c r="E4387" i="8"/>
  <c r="E4388" i="8"/>
  <c r="E4389" i="8"/>
  <c r="E4390" i="8"/>
  <c r="E4391" i="8"/>
  <c r="E4392" i="8"/>
  <c r="E4393" i="8"/>
  <c r="E4394" i="8"/>
  <c r="E4395" i="8"/>
  <c r="E4396" i="8"/>
  <c r="E4397" i="8"/>
  <c r="E4398" i="8"/>
  <c r="E4399" i="8"/>
  <c r="E4400" i="8"/>
  <c r="E4401" i="8"/>
  <c r="E4402" i="8"/>
  <c r="E4403" i="8"/>
  <c r="E4404" i="8"/>
  <c r="E4405" i="8"/>
  <c r="E4406" i="8"/>
  <c r="E4407" i="8"/>
  <c r="E4408" i="8"/>
  <c r="E4409" i="8"/>
  <c r="E4410" i="8"/>
  <c r="E4411" i="8"/>
  <c r="E4412" i="8"/>
  <c r="E4413" i="8"/>
  <c r="E4414" i="8"/>
  <c r="E4415" i="8"/>
  <c r="E4416" i="8"/>
  <c r="E4417" i="8"/>
  <c r="E4418" i="8"/>
  <c r="E4419" i="8"/>
  <c r="E4420" i="8"/>
  <c r="E4421" i="8"/>
  <c r="E4422" i="8"/>
  <c r="E4423" i="8"/>
  <c r="E4424" i="8"/>
  <c r="E4425" i="8"/>
  <c r="E4426" i="8"/>
  <c r="E4427" i="8"/>
  <c r="E4428" i="8"/>
  <c r="E4429" i="8"/>
  <c r="E4430" i="8"/>
  <c r="E4431" i="8"/>
  <c r="E4432" i="8"/>
  <c r="E4433" i="8"/>
  <c r="E4434" i="8"/>
  <c r="E4435" i="8"/>
  <c r="E4436" i="8"/>
  <c r="E4437" i="8"/>
  <c r="E4438" i="8"/>
  <c r="E4439" i="8"/>
  <c r="E4440" i="8"/>
  <c r="E4441" i="8"/>
  <c r="E4442" i="8"/>
  <c r="E4443" i="8"/>
  <c r="E4444" i="8"/>
  <c r="E4445" i="8"/>
  <c r="E4446" i="8"/>
  <c r="E4447" i="8"/>
  <c r="E4448" i="8"/>
  <c r="E4449" i="8"/>
  <c r="E4450" i="8"/>
  <c r="E4451" i="8"/>
  <c r="E4452" i="8"/>
  <c r="E4453" i="8"/>
  <c r="E4454" i="8"/>
  <c r="E4455" i="8"/>
  <c r="E4456" i="8"/>
  <c r="E4457" i="8"/>
  <c r="E4458" i="8"/>
  <c r="E4459" i="8"/>
  <c r="E4460" i="8"/>
  <c r="E4461" i="8"/>
  <c r="E4462" i="8"/>
  <c r="E4463" i="8"/>
  <c r="E4464" i="8"/>
  <c r="E4465" i="8"/>
  <c r="E4466" i="8"/>
  <c r="E4467" i="8"/>
  <c r="E4468" i="8"/>
  <c r="E4469" i="8"/>
  <c r="E4470" i="8"/>
  <c r="E4471" i="8"/>
  <c r="E4472" i="8"/>
  <c r="E4473" i="8"/>
  <c r="E4474" i="8"/>
  <c r="E4475" i="8"/>
  <c r="E4476" i="8"/>
  <c r="E4477" i="8"/>
  <c r="E4478" i="8"/>
  <c r="E4479" i="8"/>
  <c r="E4480" i="8"/>
  <c r="E4481" i="8"/>
  <c r="E4482" i="8"/>
  <c r="E4483" i="8"/>
  <c r="E4484" i="8"/>
  <c r="E4485" i="8"/>
  <c r="E4486" i="8"/>
  <c r="E4487" i="8"/>
  <c r="E4488" i="8"/>
  <c r="E4489" i="8"/>
  <c r="E4490" i="8"/>
  <c r="E4491" i="8"/>
  <c r="E4492" i="8"/>
  <c r="E4493" i="8"/>
  <c r="E4494" i="8"/>
  <c r="E4495" i="8"/>
  <c r="E4496" i="8"/>
  <c r="E4497" i="8"/>
  <c r="E4498" i="8"/>
  <c r="E4499" i="8"/>
  <c r="E4500" i="8"/>
  <c r="E4501" i="8"/>
  <c r="E4502" i="8"/>
  <c r="E4503" i="8"/>
  <c r="E4504" i="8"/>
  <c r="E4505" i="8"/>
  <c r="E4506" i="8"/>
  <c r="E4507" i="8"/>
  <c r="E4508" i="8"/>
  <c r="E4509" i="8"/>
  <c r="E4510" i="8"/>
  <c r="E4511" i="8"/>
  <c r="E4512" i="8"/>
  <c r="E4513" i="8"/>
  <c r="E4514" i="8"/>
  <c r="E4515" i="8"/>
  <c r="E4516" i="8"/>
  <c r="E4517" i="8"/>
  <c r="E4518" i="8"/>
  <c r="E4519" i="8"/>
  <c r="E4520" i="8"/>
  <c r="E4521" i="8"/>
  <c r="E4522" i="8"/>
  <c r="E4523" i="8"/>
  <c r="E4524" i="8"/>
  <c r="E4525" i="8"/>
  <c r="E4526" i="8"/>
  <c r="E4527" i="8"/>
  <c r="E4528" i="8"/>
  <c r="E4529" i="8"/>
  <c r="E4530" i="8"/>
  <c r="E4531" i="8"/>
  <c r="E4532" i="8"/>
  <c r="E4533" i="8"/>
  <c r="E4534" i="8"/>
  <c r="E4535" i="8"/>
  <c r="E4536" i="8"/>
  <c r="E4537" i="8"/>
  <c r="E4538" i="8"/>
  <c r="E4539" i="8"/>
  <c r="E4540" i="8"/>
  <c r="E4541" i="8"/>
  <c r="E4542" i="8"/>
  <c r="E4543" i="8"/>
  <c r="E4544" i="8"/>
  <c r="E4545" i="8"/>
  <c r="E4546" i="8"/>
  <c r="E4547" i="8"/>
  <c r="E4548" i="8"/>
  <c r="E4549" i="8"/>
  <c r="E4550" i="8"/>
  <c r="E4551" i="8"/>
  <c r="E4552" i="8"/>
  <c r="E4553" i="8"/>
  <c r="E4554" i="8"/>
  <c r="E4555" i="8"/>
  <c r="E4556" i="8"/>
  <c r="E4557" i="8"/>
  <c r="E4558" i="8"/>
  <c r="E4559" i="8"/>
  <c r="E4560" i="8"/>
  <c r="E4561" i="8"/>
  <c r="E4562" i="8"/>
  <c r="E4563" i="8"/>
  <c r="E4564" i="8"/>
  <c r="E4565" i="8"/>
  <c r="E4566" i="8"/>
  <c r="E4567" i="8"/>
  <c r="E4568" i="8"/>
  <c r="E4569" i="8"/>
  <c r="E4570" i="8"/>
  <c r="E4571" i="8"/>
  <c r="E4572" i="8"/>
  <c r="E4573" i="8"/>
  <c r="E4574" i="8"/>
  <c r="E4575" i="8"/>
  <c r="E4576" i="8"/>
  <c r="E4577" i="8"/>
  <c r="E4578" i="8"/>
  <c r="E4579" i="8"/>
  <c r="E4580" i="8"/>
  <c r="E4581" i="8"/>
  <c r="E4582" i="8"/>
  <c r="E4583" i="8"/>
  <c r="E4584" i="8"/>
  <c r="E4585" i="8"/>
  <c r="E4586" i="8"/>
  <c r="E4587" i="8"/>
  <c r="E4588" i="8"/>
  <c r="E4589" i="8"/>
  <c r="E4590" i="8"/>
  <c r="E4591" i="8"/>
  <c r="E4592" i="8"/>
  <c r="E4593" i="8"/>
  <c r="E4594" i="8"/>
  <c r="E4595" i="8"/>
  <c r="E4596" i="8"/>
  <c r="E4597" i="8"/>
  <c r="E4598" i="8"/>
  <c r="E4599" i="8"/>
  <c r="E4600" i="8"/>
  <c r="E4601" i="8"/>
  <c r="E4602" i="8"/>
  <c r="E4603" i="8"/>
  <c r="E4604" i="8"/>
  <c r="E4605" i="8"/>
  <c r="E4606" i="8"/>
  <c r="E4607" i="8"/>
  <c r="E4608" i="8"/>
  <c r="E4609" i="8"/>
  <c r="E4610" i="8"/>
  <c r="E4611" i="8"/>
  <c r="E4612" i="8"/>
  <c r="E4613" i="8"/>
  <c r="E4614" i="8"/>
  <c r="E4615" i="8"/>
  <c r="E4616" i="8"/>
  <c r="E4617" i="8"/>
  <c r="E4618" i="8"/>
  <c r="E4619" i="8"/>
  <c r="E4620" i="8"/>
  <c r="E4621" i="8"/>
  <c r="E4622" i="8"/>
  <c r="E4623" i="8"/>
  <c r="E4624" i="8"/>
  <c r="E4625" i="8"/>
  <c r="E4626" i="8"/>
  <c r="E4627" i="8"/>
  <c r="E4628" i="8"/>
  <c r="E4629" i="8"/>
  <c r="E4630" i="8"/>
  <c r="E4631" i="8"/>
  <c r="E4632" i="8"/>
  <c r="E4633" i="8"/>
  <c r="E4634" i="8"/>
  <c r="E4635" i="8"/>
  <c r="E4636" i="8"/>
  <c r="E4637" i="8"/>
  <c r="E4638" i="8"/>
  <c r="E4639" i="8"/>
  <c r="E4640" i="8"/>
  <c r="E4641" i="8"/>
  <c r="E4642" i="8"/>
  <c r="E4643" i="8"/>
  <c r="E4644" i="8"/>
  <c r="E4645" i="8"/>
  <c r="E4646" i="8"/>
  <c r="E4647" i="8"/>
  <c r="E4648" i="8"/>
  <c r="E4649" i="8"/>
  <c r="E4650" i="8"/>
  <c r="E4651" i="8"/>
  <c r="E4652" i="8"/>
  <c r="E4653" i="8"/>
  <c r="E4654" i="8"/>
  <c r="E4655" i="8"/>
  <c r="E4656" i="8"/>
  <c r="E4657" i="8"/>
  <c r="E4658" i="8"/>
  <c r="E4659" i="8"/>
  <c r="E4660" i="8"/>
  <c r="E4661" i="8"/>
  <c r="E4662" i="8"/>
  <c r="E4663" i="8"/>
  <c r="E4664" i="8"/>
  <c r="E4665" i="8"/>
  <c r="E4666" i="8"/>
  <c r="E4667" i="8"/>
  <c r="E4668" i="8"/>
  <c r="E4669" i="8"/>
  <c r="E4670" i="8"/>
  <c r="E4671" i="8"/>
  <c r="E4672" i="8"/>
  <c r="E4673" i="8"/>
  <c r="E4674" i="8"/>
  <c r="E4675" i="8"/>
  <c r="E4676" i="8"/>
  <c r="E4677" i="8"/>
  <c r="E4678" i="8"/>
  <c r="E4679" i="8"/>
  <c r="E4680" i="8"/>
  <c r="E4681" i="8"/>
  <c r="E4682" i="8"/>
  <c r="E4683" i="8"/>
  <c r="E4684" i="8"/>
  <c r="E4685" i="8"/>
  <c r="E4686" i="8"/>
  <c r="E4687" i="8"/>
  <c r="E4688" i="8"/>
  <c r="E4689" i="8"/>
  <c r="E4690" i="8"/>
  <c r="E4691" i="8"/>
  <c r="E4692" i="8"/>
  <c r="E4693" i="8"/>
  <c r="E4694" i="8"/>
  <c r="E4695" i="8"/>
  <c r="E4696" i="8"/>
  <c r="E4697" i="8"/>
  <c r="E4698" i="8"/>
  <c r="E4699" i="8"/>
  <c r="E4700" i="8"/>
  <c r="E4701" i="8"/>
  <c r="E4702" i="8"/>
  <c r="E4703" i="8"/>
  <c r="E4704" i="8"/>
  <c r="E4705" i="8"/>
  <c r="E4706" i="8"/>
  <c r="E4707" i="8"/>
  <c r="E4708" i="8"/>
  <c r="E4709" i="8"/>
  <c r="E4710" i="8"/>
  <c r="E4711" i="8"/>
  <c r="E4712" i="8"/>
  <c r="E4713" i="8"/>
  <c r="E4714" i="8"/>
  <c r="E4715" i="8"/>
  <c r="E4716" i="8"/>
  <c r="E4717" i="8"/>
  <c r="E4718" i="8"/>
  <c r="E4719" i="8"/>
  <c r="E4720" i="8"/>
  <c r="E4721" i="8"/>
  <c r="E4722" i="8"/>
  <c r="E4723" i="8"/>
  <c r="E4724" i="8"/>
  <c r="E4725" i="8"/>
  <c r="E4726" i="8"/>
  <c r="E4727" i="8"/>
  <c r="E4728" i="8"/>
  <c r="E4729" i="8"/>
  <c r="E4730" i="8"/>
  <c r="E4731" i="8"/>
  <c r="E4732" i="8"/>
  <c r="E4733" i="8"/>
  <c r="E4734" i="8"/>
  <c r="E4735" i="8"/>
  <c r="E4736" i="8"/>
  <c r="E4737" i="8"/>
  <c r="E4738" i="8"/>
  <c r="E4739" i="8"/>
  <c r="E4740" i="8"/>
  <c r="E4741" i="8"/>
  <c r="E4742" i="8"/>
  <c r="E4743" i="8"/>
  <c r="E4744" i="8"/>
  <c r="E4745" i="8"/>
  <c r="E4746" i="8"/>
  <c r="E4747" i="8"/>
  <c r="E4748" i="8"/>
  <c r="E4749" i="8"/>
  <c r="E4750" i="8"/>
  <c r="E4751" i="8"/>
  <c r="E4752" i="8"/>
  <c r="E4753" i="8"/>
  <c r="E4754" i="8"/>
  <c r="E4755" i="8"/>
  <c r="E4756" i="8"/>
  <c r="E4757" i="8"/>
  <c r="E4758" i="8"/>
  <c r="E4759" i="8"/>
  <c r="E4760" i="8"/>
  <c r="E4761" i="8"/>
  <c r="E4762" i="8"/>
  <c r="E4763" i="8"/>
  <c r="E4764" i="8"/>
  <c r="E4765" i="8"/>
  <c r="E4766" i="8"/>
  <c r="E4767" i="8"/>
  <c r="E4768" i="8"/>
  <c r="E4769" i="8"/>
  <c r="E4770" i="8"/>
  <c r="E4771" i="8"/>
  <c r="E4772" i="8"/>
  <c r="E4773" i="8"/>
  <c r="E4774" i="8"/>
  <c r="E4775" i="8"/>
  <c r="E4776" i="8"/>
  <c r="E4777" i="8"/>
  <c r="E4778" i="8"/>
  <c r="E4779" i="8"/>
  <c r="E4780" i="8"/>
  <c r="E4781" i="8"/>
  <c r="E4782" i="8"/>
  <c r="E4783" i="8"/>
  <c r="E4784" i="8"/>
  <c r="E4785" i="8"/>
  <c r="E4786" i="8"/>
  <c r="E4787" i="8"/>
  <c r="E4788" i="8"/>
  <c r="E4789" i="8"/>
  <c r="E4790" i="8"/>
  <c r="E4791" i="8"/>
  <c r="E4792" i="8"/>
  <c r="E4793" i="8"/>
  <c r="E4794" i="8"/>
  <c r="E4795" i="8"/>
  <c r="E4796" i="8"/>
  <c r="E4797" i="8"/>
  <c r="E4798" i="8"/>
  <c r="E4799" i="8"/>
  <c r="E4800" i="8"/>
  <c r="E4801" i="8"/>
  <c r="E4802" i="8"/>
  <c r="E4803" i="8"/>
  <c r="E4804" i="8"/>
  <c r="E4805" i="8"/>
  <c r="E4806" i="8"/>
  <c r="E4807" i="8"/>
  <c r="E4808" i="8"/>
  <c r="E4809" i="8"/>
  <c r="E4810" i="8"/>
  <c r="E4811" i="8"/>
  <c r="E4812" i="8"/>
  <c r="E4813" i="8"/>
  <c r="E4814" i="8"/>
  <c r="E4815" i="8"/>
  <c r="E4816" i="8"/>
  <c r="E4817" i="8"/>
  <c r="E4818" i="8"/>
  <c r="E4819" i="8"/>
  <c r="E4820" i="8"/>
  <c r="E4821" i="8"/>
  <c r="E4822" i="8"/>
  <c r="E4823" i="8"/>
  <c r="E4824" i="8"/>
  <c r="E4825" i="8"/>
  <c r="E4826" i="8"/>
  <c r="E4827" i="8"/>
  <c r="E4828" i="8"/>
  <c r="E4829" i="8"/>
  <c r="E4830" i="8"/>
  <c r="E4831" i="8"/>
  <c r="E4832" i="8"/>
  <c r="E4833" i="8"/>
  <c r="E4834" i="8"/>
  <c r="E4835" i="8"/>
  <c r="E4836" i="8"/>
  <c r="E4837" i="8"/>
  <c r="E4838" i="8"/>
  <c r="E4839" i="8"/>
  <c r="E4840" i="8"/>
  <c r="E4841" i="8"/>
  <c r="E4842" i="8"/>
  <c r="E4843" i="8"/>
  <c r="E4844" i="8"/>
  <c r="E4845" i="8"/>
  <c r="E4846" i="8"/>
  <c r="E4847" i="8"/>
  <c r="E4848" i="8"/>
  <c r="E4849" i="8"/>
  <c r="E4850" i="8"/>
  <c r="E4851" i="8"/>
  <c r="E4852" i="8"/>
  <c r="E4853" i="8"/>
  <c r="E4854" i="8"/>
  <c r="E4855" i="8"/>
  <c r="E4856" i="8"/>
  <c r="E4857" i="8"/>
  <c r="E4858" i="8"/>
  <c r="E4859" i="8"/>
  <c r="E4860" i="8"/>
  <c r="E4861" i="8"/>
  <c r="E4862" i="8"/>
  <c r="E4863" i="8"/>
  <c r="E4864" i="8"/>
  <c r="E4865" i="8"/>
  <c r="E4866" i="8"/>
  <c r="E4867" i="8"/>
  <c r="E4868" i="8"/>
  <c r="E4869" i="8"/>
  <c r="E4870" i="8"/>
  <c r="E4871" i="8"/>
  <c r="E4872" i="8"/>
  <c r="E4873" i="8"/>
  <c r="E4874" i="8"/>
  <c r="E4875" i="8"/>
  <c r="E4876" i="8"/>
  <c r="E4877" i="8"/>
  <c r="E4878" i="8"/>
  <c r="E4879" i="8"/>
  <c r="E4880" i="8"/>
  <c r="E4881" i="8"/>
  <c r="E4882" i="8"/>
  <c r="E4883" i="8"/>
  <c r="E4884" i="8"/>
  <c r="E4885" i="8"/>
  <c r="E4886" i="8"/>
  <c r="E4887" i="8"/>
  <c r="E4888" i="8"/>
  <c r="E4889" i="8"/>
  <c r="E4890" i="8"/>
  <c r="E4891" i="8"/>
  <c r="E4892" i="8"/>
  <c r="E4893" i="8"/>
  <c r="E4894" i="8"/>
  <c r="E4895" i="8"/>
  <c r="E4896" i="8"/>
  <c r="E4897" i="8"/>
  <c r="E4898" i="8"/>
  <c r="E4899" i="8"/>
  <c r="E4900" i="8"/>
  <c r="E4901" i="8"/>
  <c r="E4902" i="8"/>
  <c r="E4903" i="8"/>
  <c r="E4904" i="8"/>
  <c r="E4905" i="8"/>
  <c r="E4906" i="8"/>
  <c r="E4907" i="8"/>
  <c r="E4908" i="8"/>
  <c r="E4909" i="8"/>
  <c r="E4910" i="8"/>
  <c r="E4911" i="8"/>
  <c r="E4912" i="8"/>
  <c r="E4913" i="8"/>
  <c r="E4914" i="8"/>
  <c r="E4915" i="8"/>
  <c r="E4916" i="8"/>
  <c r="E4917" i="8"/>
  <c r="E4918" i="8"/>
  <c r="E4919" i="8"/>
  <c r="E4920" i="8"/>
  <c r="E4921" i="8"/>
  <c r="E4922" i="8"/>
  <c r="E4923" i="8"/>
  <c r="E4924" i="8"/>
  <c r="E4925" i="8"/>
  <c r="E4926" i="8"/>
  <c r="E4927" i="8"/>
  <c r="E4928" i="8"/>
  <c r="E4929" i="8"/>
  <c r="E4930" i="8"/>
  <c r="E4931" i="8"/>
  <c r="E4932" i="8"/>
  <c r="E4933" i="8"/>
  <c r="E4934" i="8"/>
  <c r="E4935" i="8"/>
  <c r="E4936" i="8"/>
  <c r="E4937" i="8"/>
  <c r="E4938" i="8"/>
  <c r="E4939" i="8"/>
  <c r="E4940" i="8"/>
  <c r="E4941" i="8"/>
  <c r="E4942" i="8"/>
  <c r="E4943" i="8"/>
  <c r="E4944" i="8"/>
  <c r="E4945" i="8"/>
  <c r="E4946" i="8"/>
  <c r="E4947" i="8"/>
  <c r="E4948" i="8"/>
  <c r="E4949" i="8"/>
  <c r="E4950" i="8"/>
  <c r="E4951" i="8"/>
  <c r="E4952" i="8"/>
  <c r="E4953" i="8"/>
  <c r="E4954" i="8"/>
  <c r="E4955" i="8"/>
  <c r="E4956" i="8"/>
  <c r="E4957" i="8"/>
  <c r="E4958" i="8"/>
  <c r="E4959" i="8"/>
  <c r="E4960" i="8"/>
  <c r="E4961" i="8"/>
  <c r="E4962" i="8"/>
  <c r="E4963" i="8"/>
  <c r="E4964" i="8"/>
  <c r="E4965" i="8"/>
  <c r="E4966" i="8"/>
  <c r="E4967" i="8"/>
  <c r="E4968" i="8"/>
  <c r="E4969" i="8"/>
  <c r="E4970" i="8"/>
  <c r="E4971" i="8"/>
  <c r="E4972" i="8"/>
  <c r="E4973" i="8"/>
  <c r="E4974" i="8"/>
  <c r="E4975" i="8"/>
  <c r="E4976" i="8"/>
  <c r="E4977" i="8"/>
  <c r="E4978" i="8"/>
  <c r="E4979" i="8"/>
  <c r="E4980" i="8"/>
  <c r="E4981" i="8"/>
  <c r="E4982" i="8"/>
  <c r="E4983" i="8"/>
  <c r="E4984" i="8"/>
  <c r="E4985" i="8"/>
  <c r="E4986" i="8"/>
  <c r="E4987" i="8"/>
  <c r="E4988" i="8"/>
  <c r="E4989" i="8"/>
  <c r="E4990" i="8"/>
  <c r="E4991" i="8"/>
  <c r="E4992" i="8"/>
  <c r="E4993" i="8"/>
  <c r="E4994" i="8"/>
  <c r="E4995" i="8"/>
  <c r="E4996" i="8"/>
  <c r="E4997" i="8"/>
  <c r="E4998" i="8"/>
  <c r="E4999" i="8"/>
  <c r="E5000" i="8"/>
  <c r="E5001" i="8"/>
  <c r="E5002" i="8"/>
  <c r="E5003" i="8"/>
  <c r="E5004" i="8"/>
  <c r="E5005" i="8"/>
  <c r="E5006" i="8"/>
  <c r="E5007" i="8"/>
  <c r="E5008" i="8"/>
  <c r="E5009" i="8"/>
  <c r="E5010" i="8"/>
  <c r="E5011" i="8"/>
  <c r="E5012" i="8"/>
  <c r="E5013" i="8"/>
  <c r="E5014" i="8"/>
  <c r="E5015" i="8"/>
  <c r="E5016" i="8"/>
  <c r="E5017" i="8"/>
  <c r="E5018" i="8"/>
  <c r="E5019" i="8"/>
  <c r="E5020" i="8"/>
  <c r="E5021" i="8"/>
  <c r="E5022" i="8"/>
  <c r="E5023" i="8"/>
  <c r="E5024" i="8"/>
  <c r="E5025" i="8"/>
  <c r="E5026" i="8"/>
  <c r="E5027" i="8"/>
  <c r="E5028" i="8"/>
  <c r="E5029" i="8"/>
  <c r="E5030" i="8"/>
  <c r="E5031" i="8"/>
  <c r="E5032" i="8"/>
  <c r="E5033" i="8"/>
  <c r="E5034" i="8"/>
  <c r="E5035" i="8"/>
  <c r="E5036" i="8"/>
  <c r="E5037" i="8"/>
  <c r="E5038" i="8"/>
  <c r="E5039" i="8"/>
  <c r="E5040" i="8"/>
  <c r="E5041" i="8"/>
  <c r="E5042" i="8"/>
  <c r="E5043" i="8"/>
  <c r="E5044" i="8"/>
  <c r="E5045" i="8"/>
  <c r="E5046" i="8"/>
  <c r="E5047" i="8"/>
  <c r="E5048" i="8"/>
  <c r="E5049" i="8"/>
  <c r="E5050" i="8"/>
  <c r="E5051" i="8"/>
  <c r="E5052" i="8"/>
  <c r="E5053" i="8"/>
  <c r="E5054" i="8"/>
  <c r="E5055" i="8"/>
  <c r="E5056" i="8"/>
  <c r="E5057" i="8"/>
  <c r="E5058" i="8"/>
  <c r="E5059" i="8"/>
  <c r="E5060" i="8"/>
  <c r="E5061" i="8"/>
  <c r="E5062" i="8"/>
  <c r="E5063" i="8"/>
  <c r="E5064" i="8"/>
  <c r="E5065" i="8"/>
  <c r="E5066" i="8"/>
  <c r="E5067" i="8"/>
  <c r="E5068" i="8"/>
  <c r="E5069" i="8"/>
  <c r="E5070" i="8"/>
  <c r="E5071" i="8"/>
  <c r="E5072" i="8"/>
  <c r="E5073" i="8"/>
  <c r="E5074" i="8"/>
  <c r="E5075" i="8"/>
  <c r="E5076" i="8"/>
  <c r="E5077" i="8"/>
  <c r="E5078" i="8"/>
  <c r="E5079" i="8"/>
  <c r="E5080" i="8"/>
  <c r="E5081" i="8"/>
  <c r="E5082" i="8"/>
  <c r="E5083" i="8"/>
  <c r="E5084" i="8"/>
  <c r="E5085" i="8"/>
  <c r="E5086" i="8"/>
  <c r="E5087" i="8"/>
  <c r="E5088" i="8"/>
  <c r="E5089" i="8"/>
  <c r="E5090" i="8"/>
  <c r="E5091" i="8"/>
  <c r="E5092" i="8"/>
  <c r="E5093" i="8"/>
  <c r="E5094" i="8"/>
  <c r="E5095" i="8"/>
  <c r="E5096" i="8"/>
  <c r="E5097" i="8"/>
  <c r="E5098" i="8"/>
  <c r="E5099" i="8"/>
  <c r="E5100" i="8"/>
  <c r="E5101" i="8"/>
  <c r="E5102" i="8"/>
  <c r="E5103" i="8"/>
  <c r="E5104" i="8"/>
  <c r="E5105" i="8"/>
  <c r="E5106" i="8"/>
  <c r="E5107" i="8"/>
  <c r="E5108" i="8"/>
  <c r="E5109" i="8"/>
  <c r="E5110" i="8"/>
  <c r="E5111" i="8"/>
  <c r="E5112" i="8"/>
  <c r="E5113" i="8"/>
  <c r="E5114" i="8"/>
  <c r="E5115" i="8"/>
  <c r="E5116" i="8"/>
  <c r="E5117" i="8"/>
  <c r="E5118" i="8"/>
  <c r="E5119" i="8"/>
  <c r="E5120" i="8"/>
  <c r="E5121" i="8"/>
  <c r="E5122" i="8"/>
  <c r="E5123" i="8"/>
  <c r="E5124" i="8"/>
  <c r="E5125" i="8"/>
  <c r="E5126" i="8"/>
  <c r="E5127" i="8"/>
  <c r="E5128" i="8"/>
  <c r="E5129" i="8"/>
  <c r="E5130" i="8"/>
  <c r="E5131" i="8"/>
  <c r="E5132" i="8"/>
  <c r="E5133" i="8"/>
  <c r="E5134" i="8"/>
  <c r="E5135" i="8"/>
  <c r="E5136" i="8"/>
  <c r="E5137" i="8"/>
  <c r="E5138" i="8"/>
  <c r="E5139" i="8"/>
  <c r="E5140" i="8"/>
  <c r="E5141" i="8"/>
  <c r="E5142" i="8"/>
  <c r="E5143" i="8"/>
  <c r="E5144" i="8"/>
  <c r="E5145" i="8"/>
  <c r="E5146" i="8"/>
  <c r="E5147" i="8"/>
  <c r="E5148" i="8"/>
  <c r="E5149" i="8"/>
  <c r="E5150" i="8"/>
  <c r="E5151" i="8"/>
  <c r="E5152" i="8"/>
  <c r="E5153" i="8"/>
  <c r="E5154" i="8"/>
  <c r="E5155" i="8"/>
  <c r="E5156" i="8"/>
  <c r="E5157" i="8"/>
  <c r="E5158" i="8"/>
  <c r="E5159" i="8"/>
  <c r="E5160" i="8"/>
  <c r="E5161" i="8"/>
  <c r="E5162" i="8"/>
  <c r="E5163" i="8"/>
  <c r="E5164" i="8"/>
  <c r="E5165" i="8"/>
  <c r="E5166" i="8"/>
  <c r="E5167" i="8"/>
  <c r="E5168" i="8"/>
  <c r="E5169" i="8"/>
  <c r="E5170" i="8"/>
  <c r="E5171" i="8"/>
  <c r="E5172" i="8"/>
  <c r="E5173" i="8"/>
  <c r="E5174" i="8"/>
  <c r="E5175" i="8"/>
  <c r="E5176" i="8"/>
  <c r="E5177" i="8"/>
  <c r="E5178" i="8"/>
  <c r="E5179" i="8"/>
  <c r="E5180" i="8"/>
  <c r="E5181" i="8"/>
  <c r="E5182" i="8"/>
  <c r="E5183" i="8"/>
  <c r="E5184" i="8"/>
  <c r="E5185" i="8"/>
  <c r="E5186" i="8"/>
  <c r="E5187" i="8"/>
  <c r="E5188" i="8"/>
  <c r="E5189" i="8"/>
  <c r="E5190" i="8"/>
  <c r="E5191" i="8"/>
  <c r="E5192" i="8"/>
  <c r="E5193" i="8"/>
  <c r="E5194" i="8"/>
  <c r="E5195" i="8"/>
  <c r="E5196" i="8"/>
  <c r="E5197" i="8"/>
  <c r="E5198" i="8"/>
  <c r="E5199" i="8"/>
  <c r="E5200" i="8"/>
  <c r="E5201" i="8"/>
  <c r="E5202" i="8"/>
  <c r="E5203" i="8"/>
  <c r="E5204" i="8"/>
  <c r="E5205" i="8"/>
  <c r="E5206" i="8"/>
  <c r="E5207" i="8"/>
  <c r="E5208" i="8"/>
  <c r="E5209" i="8"/>
  <c r="E5210" i="8"/>
  <c r="E5211" i="8"/>
  <c r="E5212" i="8"/>
  <c r="E5213" i="8"/>
  <c r="E5214" i="8"/>
  <c r="E5215" i="8"/>
  <c r="E5216" i="8"/>
  <c r="E5217" i="8"/>
  <c r="E5218" i="8"/>
  <c r="E5219" i="8"/>
  <c r="E5220" i="8"/>
  <c r="E5221" i="8"/>
  <c r="E5222" i="8"/>
  <c r="E5223" i="8"/>
  <c r="E5224" i="8"/>
  <c r="E5225" i="8"/>
  <c r="E5226" i="8"/>
  <c r="E5227" i="8"/>
  <c r="E5228" i="8"/>
  <c r="E5229" i="8"/>
  <c r="E5230" i="8"/>
  <c r="E5231" i="8"/>
  <c r="E5232" i="8"/>
  <c r="E5233" i="8"/>
  <c r="E5234" i="8"/>
  <c r="E5235" i="8"/>
  <c r="E5236" i="8"/>
  <c r="E5237" i="8"/>
  <c r="E5238" i="8"/>
  <c r="E5239" i="8"/>
  <c r="E5240" i="8"/>
  <c r="E5241" i="8"/>
  <c r="E5242" i="8"/>
  <c r="E5243" i="8"/>
  <c r="E5244" i="8"/>
  <c r="E5245" i="8"/>
  <c r="E5246" i="8"/>
  <c r="E5247" i="8"/>
  <c r="E5248" i="8"/>
  <c r="E5249" i="8"/>
  <c r="E5250" i="8"/>
  <c r="E5251" i="8"/>
  <c r="E5252" i="8"/>
  <c r="E5253" i="8"/>
  <c r="E5254" i="8"/>
  <c r="E5255" i="8"/>
  <c r="E5256" i="8"/>
  <c r="E5257" i="8"/>
  <c r="E5258" i="8"/>
  <c r="E5259" i="8"/>
  <c r="E5260" i="8"/>
  <c r="E5261" i="8"/>
  <c r="E5262" i="8"/>
  <c r="E5263" i="8"/>
  <c r="E5264" i="8"/>
  <c r="E5265" i="8"/>
  <c r="E5266" i="8"/>
  <c r="E5267" i="8"/>
  <c r="E5268" i="8"/>
  <c r="E5269" i="8"/>
  <c r="E5270" i="8"/>
  <c r="E5271" i="8"/>
  <c r="E5272" i="8"/>
  <c r="E5273" i="8"/>
  <c r="E5274" i="8"/>
  <c r="E5275" i="8"/>
  <c r="E5276" i="8"/>
  <c r="E5277" i="8"/>
  <c r="E5278" i="8"/>
  <c r="E5279" i="8"/>
  <c r="E5280" i="8"/>
  <c r="E5281" i="8"/>
  <c r="E5282" i="8"/>
  <c r="E5283" i="8"/>
  <c r="E5284" i="8"/>
  <c r="E5285" i="8"/>
  <c r="E5286" i="8"/>
  <c r="E5287" i="8"/>
  <c r="E5288" i="8"/>
  <c r="E5289" i="8"/>
  <c r="E5290" i="8"/>
  <c r="E5291" i="8"/>
  <c r="E5292" i="8"/>
  <c r="E5293" i="8"/>
  <c r="E5294" i="8"/>
  <c r="E5295" i="8"/>
  <c r="E5296" i="8"/>
  <c r="E5297" i="8"/>
  <c r="E5298" i="8"/>
  <c r="E5299" i="8"/>
  <c r="E5300" i="8"/>
  <c r="E5301" i="8"/>
  <c r="E5302" i="8"/>
  <c r="E5303" i="8"/>
  <c r="E5304" i="8"/>
  <c r="E5305" i="8"/>
  <c r="E5306" i="8"/>
  <c r="E5307" i="8"/>
  <c r="E5308" i="8"/>
  <c r="E5309" i="8"/>
  <c r="E5310" i="8"/>
  <c r="E5311" i="8"/>
  <c r="E5312" i="8"/>
  <c r="E5313" i="8"/>
  <c r="E5314" i="8"/>
  <c r="E5315" i="8"/>
  <c r="E5316" i="8"/>
  <c r="E5317" i="8"/>
  <c r="E5318" i="8"/>
  <c r="E5319" i="8"/>
  <c r="E5320" i="8"/>
  <c r="E5321" i="8"/>
  <c r="E5322" i="8"/>
  <c r="E5323" i="8"/>
  <c r="E5324" i="8"/>
  <c r="E5325" i="8"/>
  <c r="E5326" i="8"/>
  <c r="E5327" i="8"/>
  <c r="E5328" i="8"/>
  <c r="E5329" i="8"/>
  <c r="E5330" i="8"/>
  <c r="E5331" i="8"/>
  <c r="E5332" i="8"/>
  <c r="E5333" i="8"/>
  <c r="E5334" i="8"/>
  <c r="E5335" i="8"/>
  <c r="E5336" i="8"/>
  <c r="E5337" i="8"/>
  <c r="E5338" i="8"/>
  <c r="E5339" i="8"/>
  <c r="E5340" i="8"/>
  <c r="E5341" i="8"/>
  <c r="E5342" i="8"/>
  <c r="E5343" i="8"/>
  <c r="E5344" i="8"/>
  <c r="E5345" i="8"/>
  <c r="E5346" i="8"/>
  <c r="E5347" i="8"/>
  <c r="E5348" i="8"/>
  <c r="E5349" i="8"/>
  <c r="E5350" i="8"/>
  <c r="E5351" i="8"/>
  <c r="E5352" i="8"/>
  <c r="E5353" i="8"/>
  <c r="E5354" i="8"/>
  <c r="E5355" i="8"/>
  <c r="E5356" i="8"/>
  <c r="E5357" i="8"/>
  <c r="E5358" i="8"/>
  <c r="E5359" i="8"/>
  <c r="E5360" i="8"/>
  <c r="E5361" i="8"/>
  <c r="E5362" i="8"/>
  <c r="E5363" i="8"/>
  <c r="E5364" i="8"/>
  <c r="E5365" i="8"/>
  <c r="E5366" i="8"/>
  <c r="E5367" i="8"/>
  <c r="E5368" i="8"/>
  <c r="E5369" i="8"/>
  <c r="E5370" i="8"/>
  <c r="E5371" i="8"/>
  <c r="E5372" i="8"/>
  <c r="E5373" i="8"/>
  <c r="E5374" i="8"/>
  <c r="E5375" i="8"/>
  <c r="E5376" i="8"/>
  <c r="E5377" i="8"/>
  <c r="E5378" i="8"/>
  <c r="E5379" i="8"/>
  <c r="E5380" i="8"/>
  <c r="E5381" i="8"/>
  <c r="E5382" i="8"/>
  <c r="E5383" i="8"/>
  <c r="E5384" i="8"/>
  <c r="E5385" i="8"/>
  <c r="E5386" i="8"/>
  <c r="E5387" i="8"/>
  <c r="E5388" i="8"/>
  <c r="E5389" i="8"/>
  <c r="E5390" i="8"/>
  <c r="E5391" i="8"/>
  <c r="E5392" i="8"/>
  <c r="E5393" i="8"/>
  <c r="E5394" i="8"/>
  <c r="E5395" i="8"/>
  <c r="E5396" i="8"/>
  <c r="E5397" i="8"/>
  <c r="E5398" i="8"/>
  <c r="E5399" i="8"/>
  <c r="E5400" i="8"/>
  <c r="E5401" i="8"/>
  <c r="E5402" i="8"/>
  <c r="E5403" i="8"/>
  <c r="E5404" i="8"/>
  <c r="E5405" i="8"/>
  <c r="E5406" i="8"/>
  <c r="E5407" i="8"/>
  <c r="E5408" i="8"/>
  <c r="E5409" i="8"/>
  <c r="E5410" i="8"/>
  <c r="E5411" i="8"/>
  <c r="E5412" i="8"/>
  <c r="E5413" i="8"/>
  <c r="E5414" i="8"/>
  <c r="E5415" i="8"/>
  <c r="E5416" i="8"/>
  <c r="E5417" i="8"/>
  <c r="E5418" i="8"/>
  <c r="E5419" i="8"/>
  <c r="E5420" i="8"/>
  <c r="E5421" i="8"/>
  <c r="E5422" i="8"/>
  <c r="E5423" i="8"/>
  <c r="E5424" i="8"/>
  <c r="E5425" i="8"/>
  <c r="E5426" i="8"/>
  <c r="E5427" i="8"/>
  <c r="E5428" i="8"/>
  <c r="E5429" i="8"/>
  <c r="E5430" i="8"/>
  <c r="E5431" i="8"/>
  <c r="E5432" i="8"/>
  <c r="E5433" i="8"/>
  <c r="E5434" i="8"/>
  <c r="E5435" i="8"/>
  <c r="E5436" i="8"/>
  <c r="E5437" i="8"/>
  <c r="E5438" i="8"/>
  <c r="E5439" i="8"/>
  <c r="E5440" i="8"/>
  <c r="E5441" i="8"/>
  <c r="E5442" i="8"/>
  <c r="E5443" i="8"/>
  <c r="E5444" i="8"/>
  <c r="E5445" i="8"/>
  <c r="E5446" i="8"/>
  <c r="E5447" i="8"/>
  <c r="E5448" i="8"/>
  <c r="E5449" i="8"/>
  <c r="E5450" i="8"/>
  <c r="E5451" i="8"/>
  <c r="E5452" i="8"/>
  <c r="E5453" i="8"/>
  <c r="E5454" i="8"/>
  <c r="E5455" i="8"/>
  <c r="E5456" i="8"/>
  <c r="E5457" i="8"/>
  <c r="E5458" i="8"/>
  <c r="E5459" i="8"/>
  <c r="E5460" i="8"/>
  <c r="E5461" i="8"/>
  <c r="E5462" i="8"/>
  <c r="E5463" i="8"/>
  <c r="E5464" i="8"/>
  <c r="E5465" i="8"/>
  <c r="E5466" i="8"/>
  <c r="E5467" i="8"/>
  <c r="E5468" i="8"/>
  <c r="E5469" i="8"/>
  <c r="E5470" i="8"/>
  <c r="E5471" i="8"/>
  <c r="E5472" i="8"/>
  <c r="E5473" i="8"/>
  <c r="E5474" i="8"/>
  <c r="E5475" i="8"/>
  <c r="E5476" i="8"/>
  <c r="E5477" i="8"/>
  <c r="E5478" i="8"/>
  <c r="E5479" i="8"/>
  <c r="E5480" i="8"/>
  <c r="E5481" i="8"/>
  <c r="E5482" i="8"/>
  <c r="E5483" i="8"/>
  <c r="E5484" i="8"/>
  <c r="E5485" i="8"/>
  <c r="E5486" i="8"/>
  <c r="E5487" i="8"/>
  <c r="E5488" i="8"/>
  <c r="E5489" i="8"/>
  <c r="E5490" i="8"/>
  <c r="E5491" i="8"/>
  <c r="E5492" i="8"/>
  <c r="E5493" i="8"/>
  <c r="E5494" i="8"/>
  <c r="E5495" i="8"/>
  <c r="E5496" i="8"/>
  <c r="E5497" i="8"/>
  <c r="E5498" i="8"/>
  <c r="E5499" i="8"/>
  <c r="E5500" i="8"/>
  <c r="E5501" i="8"/>
  <c r="E5502" i="8"/>
  <c r="E5503" i="8"/>
  <c r="E5504" i="8"/>
  <c r="E5505" i="8"/>
  <c r="E5506" i="8"/>
  <c r="E5507" i="8"/>
  <c r="E5508" i="8"/>
  <c r="E5509" i="8"/>
  <c r="E5510" i="8"/>
  <c r="E5511" i="8"/>
  <c r="E5512" i="8"/>
  <c r="E5513" i="8"/>
  <c r="E5514" i="8"/>
  <c r="E5515" i="8"/>
  <c r="E5516" i="8"/>
  <c r="E5517" i="8"/>
  <c r="E5518" i="8"/>
  <c r="E5519" i="8"/>
  <c r="E5520" i="8"/>
  <c r="E5521" i="8"/>
  <c r="E5522" i="8"/>
  <c r="E5523" i="8"/>
  <c r="E5524" i="8"/>
  <c r="E5525" i="8"/>
  <c r="E5526" i="8"/>
  <c r="E5527" i="8"/>
  <c r="E5528" i="8"/>
  <c r="E5529" i="8"/>
  <c r="E5530" i="8"/>
  <c r="E5531" i="8"/>
  <c r="E5532" i="8"/>
  <c r="E5533" i="8"/>
  <c r="E5534" i="8"/>
  <c r="E5535" i="8"/>
  <c r="E5536" i="8"/>
  <c r="E5537" i="8"/>
  <c r="E5538" i="8"/>
  <c r="E5539" i="8"/>
  <c r="E5540" i="8"/>
  <c r="E5541" i="8"/>
  <c r="E5542" i="8"/>
  <c r="E5543" i="8"/>
  <c r="E5544" i="8"/>
  <c r="E5545" i="8"/>
  <c r="E5546" i="8"/>
  <c r="E5547" i="8"/>
  <c r="E5548" i="8"/>
  <c r="E5549" i="8"/>
  <c r="E5550" i="8"/>
  <c r="E5551" i="8"/>
  <c r="E5552" i="8"/>
  <c r="E5553" i="8"/>
  <c r="E5554" i="8"/>
  <c r="E5555" i="8"/>
  <c r="E5556" i="8"/>
  <c r="E5557" i="8"/>
  <c r="E5558" i="8"/>
  <c r="E5559" i="8"/>
  <c r="E5560" i="8"/>
  <c r="E5561" i="8"/>
  <c r="E5562" i="8"/>
  <c r="E5563" i="8"/>
  <c r="E5564" i="8"/>
  <c r="E5565" i="8"/>
  <c r="E5566" i="8"/>
  <c r="E5567" i="8"/>
  <c r="E5568" i="8"/>
  <c r="E5569" i="8"/>
  <c r="E5570" i="8"/>
  <c r="E5571" i="8"/>
  <c r="E5572" i="8"/>
  <c r="E5573" i="8"/>
  <c r="E5574" i="8"/>
  <c r="E5575" i="8"/>
  <c r="E5576" i="8"/>
  <c r="E5577" i="8"/>
  <c r="E5578" i="8"/>
  <c r="E5579" i="8"/>
  <c r="E5580" i="8"/>
  <c r="E5581" i="8"/>
  <c r="E5582" i="8"/>
  <c r="E5583" i="8"/>
  <c r="E5584" i="8"/>
  <c r="E5585" i="8"/>
  <c r="E5586" i="8"/>
  <c r="E5587" i="8"/>
  <c r="E5588" i="8"/>
  <c r="E5589" i="8"/>
  <c r="E5590" i="8"/>
  <c r="E5591" i="8"/>
  <c r="E5592" i="8"/>
  <c r="E5593" i="8"/>
  <c r="E5594" i="8"/>
  <c r="E5595" i="8"/>
  <c r="E5596" i="8"/>
  <c r="E5597" i="8"/>
  <c r="E5598" i="8"/>
  <c r="E5599" i="8"/>
  <c r="E5600" i="8"/>
  <c r="E5601" i="8"/>
  <c r="E5602" i="8"/>
  <c r="E5603" i="8"/>
  <c r="E5604" i="8"/>
  <c r="E5605" i="8"/>
  <c r="E5606" i="8"/>
  <c r="E5607" i="8"/>
  <c r="E5608" i="8"/>
  <c r="E5609" i="8"/>
  <c r="E5610" i="8"/>
  <c r="E5611" i="8"/>
  <c r="E5612" i="8"/>
  <c r="E5613" i="8"/>
  <c r="E5614" i="8"/>
  <c r="E5615" i="8"/>
  <c r="E5616" i="8"/>
  <c r="E5617" i="8"/>
  <c r="E5618" i="8"/>
  <c r="E5619" i="8"/>
  <c r="E5620" i="8"/>
  <c r="E5621" i="8"/>
  <c r="E5622" i="8"/>
  <c r="E5623" i="8"/>
  <c r="E5624" i="8"/>
  <c r="E5625" i="8"/>
  <c r="E5626" i="8"/>
  <c r="E5627" i="8"/>
  <c r="E5628" i="8"/>
  <c r="E5629" i="8"/>
  <c r="E5630" i="8"/>
  <c r="E5631" i="8"/>
  <c r="E5632" i="8"/>
  <c r="E5633" i="8"/>
  <c r="E5634" i="8"/>
  <c r="E5635" i="8"/>
  <c r="E5636" i="8"/>
  <c r="E5637" i="8"/>
  <c r="E5638" i="8"/>
  <c r="E5639" i="8"/>
  <c r="E5640" i="8"/>
  <c r="E5641" i="8"/>
  <c r="E5642" i="8"/>
  <c r="E5643" i="8"/>
  <c r="E5644" i="8"/>
  <c r="E5645" i="8"/>
  <c r="E5646" i="8"/>
  <c r="E5647" i="8"/>
  <c r="E5648" i="8"/>
  <c r="E5649" i="8"/>
  <c r="E5650" i="8"/>
  <c r="E5651" i="8"/>
  <c r="E5652" i="8"/>
  <c r="E5653" i="8"/>
  <c r="E5654" i="8"/>
  <c r="E5655" i="8"/>
  <c r="E5656" i="8"/>
  <c r="E5657" i="8"/>
  <c r="E5658" i="8"/>
  <c r="E5659" i="8"/>
  <c r="E5660" i="8"/>
  <c r="E5661" i="8"/>
  <c r="E5662" i="8"/>
  <c r="E5663" i="8"/>
  <c r="E5664" i="8"/>
  <c r="E5665" i="8"/>
  <c r="E5666" i="8"/>
  <c r="E5667" i="8"/>
  <c r="E5668" i="8"/>
  <c r="E5669" i="8"/>
  <c r="E5670" i="8"/>
  <c r="E5671" i="8"/>
  <c r="E5672" i="8"/>
  <c r="E5673" i="8"/>
  <c r="E5674" i="8"/>
  <c r="E5675" i="8"/>
  <c r="E5676" i="8"/>
  <c r="E5677" i="8"/>
  <c r="E5678" i="8"/>
  <c r="E5679" i="8"/>
  <c r="E5680" i="8"/>
  <c r="E5681" i="8"/>
  <c r="E5682" i="8"/>
  <c r="E5683" i="8"/>
  <c r="E5684" i="8"/>
  <c r="E5685" i="8"/>
  <c r="E5686" i="8"/>
  <c r="E5687" i="8"/>
  <c r="E5688" i="8"/>
  <c r="E5689" i="8"/>
  <c r="E5690" i="8"/>
  <c r="E5691" i="8"/>
  <c r="E5692" i="8"/>
  <c r="E5693" i="8"/>
  <c r="E5694" i="8"/>
  <c r="E5695" i="8"/>
  <c r="E5696" i="8"/>
  <c r="E5697" i="8"/>
  <c r="E5698" i="8"/>
  <c r="E5699" i="8"/>
  <c r="E5700" i="8"/>
  <c r="E5701" i="8"/>
  <c r="E5702" i="8"/>
  <c r="E5703" i="8"/>
  <c r="E5704" i="8"/>
  <c r="E5705" i="8"/>
  <c r="E5706" i="8"/>
  <c r="E5707" i="8"/>
  <c r="E5708" i="8"/>
  <c r="E5709" i="8"/>
  <c r="E5710" i="8"/>
  <c r="E5711" i="8"/>
  <c r="E5712" i="8"/>
  <c r="E5713" i="8"/>
  <c r="E5714" i="8"/>
  <c r="E5715" i="8"/>
  <c r="E5716" i="8"/>
  <c r="E5717" i="8"/>
  <c r="E5718" i="8"/>
  <c r="E5719" i="8"/>
  <c r="E5720" i="8"/>
  <c r="E5721" i="8"/>
  <c r="E5722" i="8"/>
  <c r="E5723" i="8"/>
  <c r="E5724" i="8"/>
  <c r="E5725" i="8"/>
  <c r="E5726" i="8"/>
  <c r="E5727" i="8"/>
  <c r="E5728" i="8"/>
  <c r="E5729" i="8"/>
  <c r="E5730" i="8"/>
  <c r="E5731" i="8"/>
  <c r="E5732" i="8"/>
  <c r="E5733" i="8"/>
  <c r="E5734" i="8"/>
  <c r="E5735" i="8"/>
  <c r="E5736" i="8"/>
  <c r="E5737" i="8"/>
  <c r="E5738" i="8"/>
  <c r="E5739" i="8"/>
  <c r="E5740" i="8"/>
  <c r="E5741" i="8"/>
  <c r="E5742" i="8"/>
  <c r="E5743" i="8"/>
  <c r="E5744" i="8"/>
  <c r="E5745" i="8"/>
  <c r="E5746" i="8"/>
  <c r="E5747" i="8"/>
  <c r="E5748" i="8"/>
  <c r="E5749" i="8"/>
  <c r="E5750" i="8"/>
  <c r="E5751" i="8"/>
  <c r="E5752" i="8"/>
  <c r="E5753" i="8"/>
  <c r="E5754" i="8"/>
  <c r="E5755" i="8"/>
  <c r="E5756" i="8"/>
  <c r="E5757" i="8"/>
  <c r="E5758" i="8"/>
  <c r="E5759" i="8"/>
  <c r="E5760" i="8"/>
  <c r="E5761" i="8"/>
  <c r="E5762" i="8"/>
  <c r="E5763" i="8"/>
  <c r="E5764" i="8"/>
  <c r="E5765" i="8"/>
  <c r="E5766" i="8"/>
  <c r="E5767" i="8"/>
  <c r="E5768" i="8"/>
  <c r="E5769" i="8"/>
  <c r="E5770" i="8"/>
  <c r="E5771" i="8"/>
  <c r="E5772" i="8"/>
  <c r="E5773" i="8"/>
  <c r="E5774" i="8"/>
  <c r="E5775" i="8"/>
  <c r="E5776" i="8"/>
  <c r="E5777" i="8"/>
  <c r="E5778" i="8"/>
  <c r="E5779" i="8"/>
  <c r="E5780" i="8"/>
  <c r="E5781" i="8"/>
  <c r="E5782" i="8"/>
  <c r="E5783" i="8"/>
  <c r="E5784" i="8"/>
  <c r="E5785" i="8"/>
  <c r="E5786" i="8"/>
  <c r="E5787" i="8"/>
  <c r="E5788" i="8"/>
  <c r="E5789" i="8"/>
  <c r="E5790" i="8"/>
  <c r="E5791" i="8"/>
  <c r="E5792" i="8"/>
  <c r="E5793" i="8"/>
  <c r="E5794" i="8"/>
  <c r="E5795" i="8"/>
  <c r="E5796" i="8"/>
  <c r="E5797" i="8"/>
  <c r="E5798" i="8"/>
  <c r="E5799" i="8"/>
  <c r="E5800" i="8"/>
  <c r="E5801" i="8"/>
  <c r="E5802" i="8"/>
  <c r="E5803" i="8"/>
  <c r="E5804" i="8"/>
  <c r="E5805" i="8"/>
  <c r="E5806" i="8"/>
  <c r="E5807" i="8"/>
  <c r="E5808" i="8"/>
  <c r="E5809" i="8"/>
  <c r="E5810" i="8"/>
  <c r="E5811" i="8"/>
  <c r="E5812" i="8"/>
  <c r="E5813" i="8"/>
  <c r="E5814" i="8"/>
  <c r="E5815" i="8"/>
  <c r="E5816" i="8"/>
  <c r="E5817" i="8"/>
  <c r="E5818" i="8"/>
  <c r="E5819" i="8"/>
  <c r="E5820" i="8"/>
  <c r="E5821" i="8"/>
  <c r="E5822" i="8"/>
  <c r="E5823" i="8"/>
  <c r="E5824" i="8"/>
  <c r="E5825" i="8"/>
  <c r="E5826" i="8"/>
  <c r="E5827" i="8"/>
  <c r="E5828" i="8"/>
  <c r="E5829" i="8"/>
  <c r="E5830" i="8"/>
  <c r="E5831" i="8"/>
  <c r="E5832" i="8"/>
  <c r="E5833" i="8"/>
  <c r="E5834" i="8"/>
  <c r="E5835" i="8"/>
  <c r="E5836" i="8"/>
  <c r="E5837" i="8"/>
  <c r="E5838" i="8"/>
  <c r="E5839" i="8"/>
  <c r="E5840" i="8"/>
  <c r="E5841" i="8"/>
  <c r="E5842" i="8"/>
  <c r="E5843" i="8"/>
  <c r="E5844" i="8"/>
  <c r="E5845" i="8"/>
  <c r="E5846" i="8"/>
  <c r="E5847" i="8"/>
  <c r="E5848" i="8"/>
  <c r="E5849" i="8"/>
  <c r="E5850" i="8"/>
  <c r="E5851" i="8"/>
  <c r="E5852" i="8"/>
  <c r="E5853" i="8"/>
  <c r="E5854" i="8"/>
  <c r="E5855" i="8"/>
  <c r="E5856" i="8"/>
  <c r="E5857" i="8"/>
  <c r="E5858" i="8"/>
  <c r="E5859" i="8"/>
  <c r="E5860" i="8"/>
  <c r="E5861" i="8"/>
  <c r="E5862" i="8"/>
  <c r="E5863" i="8"/>
  <c r="E5864" i="8"/>
  <c r="E5865" i="8"/>
  <c r="E5866" i="8"/>
  <c r="E5867" i="8"/>
  <c r="E5868" i="8"/>
  <c r="E5869" i="8"/>
  <c r="E5870" i="8"/>
  <c r="E5871" i="8"/>
  <c r="E5872" i="8"/>
  <c r="E5873" i="8"/>
  <c r="E5874" i="8"/>
  <c r="E5875" i="8"/>
  <c r="E5876" i="8"/>
  <c r="E5877" i="8"/>
  <c r="E5878" i="8"/>
  <c r="E5879" i="8"/>
  <c r="E5880" i="8"/>
  <c r="E5881" i="8"/>
  <c r="E5882" i="8"/>
  <c r="E5883" i="8"/>
  <c r="E5884" i="8"/>
  <c r="E5885" i="8"/>
  <c r="E5886" i="8"/>
  <c r="E5887" i="8"/>
  <c r="E5888" i="8"/>
  <c r="E5889" i="8"/>
  <c r="E5890" i="8"/>
  <c r="E5891" i="8"/>
  <c r="E5892" i="8"/>
  <c r="E5893" i="8"/>
  <c r="E5894" i="8"/>
  <c r="E5895" i="8"/>
  <c r="E5896" i="8"/>
  <c r="E5897" i="8"/>
  <c r="E5898" i="8"/>
  <c r="E5899" i="8"/>
  <c r="E5900" i="8"/>
  <c r="E5901" i="8"/>
  <c r="E5902" i="8"/>
  <c r="E5903" i="8"/>
  <c r="E5904" i="8"/>
  <c r="E5905" i="8"/>
  <c r="E5906" i="8"/>
  <c r="E5907" i="8"/>
  <c r="E5908" i="8"/>
  <c r="E5909" i="8"/>
  <c r="E5910" i="8"/>
  <c r="E5911" i="8"/>
  <c r="E5912" i="8"/>
  <c r="E5913" i="8"/>
  <c r="E5914" i="8"/>
  <c r="E5915" i="8"/>
  <c r="E5916" i="8"/>
  <c r="E5917" i="8"/>
  <c r="E5918" i="8"/>
  <c r="E5919" i="8"/>
  <c r="E5920" i="8"/>
  <c r="E5921" i="8"/>
  <c r="E5922" i="8"/>
  <c r="E5923" i="8"/>
  <c r="E5924" i="8"/>
  <c r="E5925" i="8"/>
  <c r="E5926" i="8"/>
  <c r="E5927" i="8"/>
  <c r="E5928" i="8"/>
  <c r="E5929" i="8"/>
  <c r="E5930" i="8"/>
  <c r="E5931" i="8"/>
  <c r="E5932" i="8"/>
  <c r="E5933" i="8"/>
  <c r="E5934" i="8"/>
  <c r="E5935" i="8"/>
  <c r="E5936" i="8"/>
  <c r="E5937" i="8"/>
  <c r="E5938" i="8"/>
  <c r="E5939" i="8"/>
  <c r="E5940" i="8"/>
  <c r="E5941" i="8"/>
  <c r="E5942" i="8"/>
  <c r="E5943" i="8"/>
  <c r="E5944" i="8"/>
  <c r="E5945" i="8"/>
  <c r="E5946" i="8"/>
  <c r="E5947" i="8"/>
  <c r="E5948" i="8"/>
  <c r="E5949" i="8"/>
  <c r="E5950" i="8"/>
  <c r="E5951" i="8"/>
  <c r="E5952" i="8"/>
  <c r="E5953" i="8"/>
  <c r="E5954" i="8"/>
  <c r="E5955" i="8"/>
  <c r="E5956" i="8"/>
  <c r="E5957" i="8"/>
  <c r="E5958" i="8"/>
  <c r="E5959" i="8"/>
  <c r="E5960" i="8"/>
  <c r="E5961" i="8"/>
  <c r="E5962" i="8"/>
  <c r="E5963" i="8"/>
  <c r="E5964" i="8"/>
  <c r="E5965" i="8"/>
  <c r="E5966" i="8"/>
  <c r="E5967" i="8"/>
  <c r="E5968" i="8"/>
  <c r="E5969" i="8"/>
  <c r="E5970" i="8"/>
  <c r="E5971" i="8"/>
  <c r="E5972" i="8"/>
  <c r="E5973" i="8"/>
  <c r="E5974" i="8"/>
  <c r="E5975" i="8"/>
  <c r="E5976" i="8"/>
  <c r="E5977" i="8"/>
  <c r="E5978" i="8"/>
  <c r="E5979" i="8"/>
  <c r="E5980" i="8"/>
  <c r="E5981" i="8"/>
  <c r="E5982" i="8"/>
  <c r="E5983" i="8"/>
  <c r="E5984" i="8"/>
  <c r="E5985" i="8"/>
  <c r="E5986" i="8"/>
  <c r="E5987" i="8"/>
  <c r="E5988" i="8"/>
  <c r="E5989" i="8"/>
  <c r="E5990" i="8"/>
  <c r="E5991" i="8"/>
  <c r="E5992" i="8"/>
  <c r="E5993" i="8"/>
  <c r="E5994" i="8"/>
  <c r="E5995" i="8"/>
  <c r="E5996" i="8"/>
  <c r="E5997" i="8"/>
  <c r="E5998" i="8"/>
  <c r="E5999" i="8"/>
  <c r="E6000" i="8"/>
  <c r="E6001" i="8"/>
  <c r="E6002" i="8"/>
  <c r="E6003" i="8"/>
  <c r="E6004" i="8"/>
  <c r="E6005" i="8"/>
  <c r="E6006" i="8"/>
  <c r="E6007" i="8"/>
  <c r="E6008" i="8"/>
  <c r="E6009" i="8"/>
  <c r="E6010" i="8"/>
  <c r="E6011" i="8"/>
  <c r="E6012" i="8"/>
  <c r="E6013" i="8"/>
  <c r="E6014" i="8"/>
  <c r="E6015" i="8"/>
  <c r="E6016" i="8"/>
  <c r="E6017" i="8"/>
  <c r="E6018" i="8"/>
  <c r="E6019" i="8"/>
  <c r="E6020" i="8"/>
  <c r="E6021" i="8"/>
  <c r="E6022" i="8"/>
  <c r="E6023" i="8"/>
  <c r="E6024" i="8"/>
  <c r="E6025" i="8"/>
  <c r="E6026" i="8"/>
  <c r="E6027" i="8"/>
  <c r="E6028" i="8"/>
  <c r="E6029" i="8"/>
  <c r="E6030" i="8"/>
  <c r="E6031" i="8"/>
  <c r="E6032" i="8"/>
  <c r="E6033" i="8"/>
  <c r="E6034" i="8"/>
  <c r="E6035" i="8"/>
  <c r="E6036" i="8"/>
  <c r="E6037" i="8"/>
  <c r="E6038" i="8"/>
  <c r="E6039" i="8"/>
  <c r="E6040" i="8"/>
  <c r="E6041" i="8"/>
  <c r="E6042" i="8"/>
  <c r="E6043" i="8"/>
  <c r="E6044" i="8"/>
  <c r="E6045" i="8"/>
  <c r="E6046" i="8"/>
  <c r="E6047" i="8"/>
  <c r="E6048" i="8"/>
  <c r="E6049" i="8"/>
  <c r="E6050" i="8"/>
  <c r="E6051" i="8"/>
  <c r="E6052" i="8"/>
  <c r="E6053" i="8"/>
  <c r="E6054" i="8"/>
  <c r="E6055" i="8"/>
  <c r="E6056" i="8"/>
  <c r="E6057" i="8"/>
  <c r="E6058" i="8"/>
  <c r="E6059" i="8"/>
  <c r="E6060" i="8"/>
  <c r="E6061" i="8"/>
  <c r="E6062" i="8"/>
  <c r="E6063" i="8"/>
  <c r="E6064" i="8"/>
  <c r="E6065" i="8"/>
  <c r="E6066" i="8"/>
  <c r="E6067" i="8"/>
  <c r="E6068" i="8"/>
  <c r="E6069" i="8"/>
  <c r="E6070" i="8"/>
  <c r="E6071" i="8"/>
  <c r="E6072" i="8"/>
  <c r="E6073" i="8"/>
  <c r="E6074" i="8"/>
  <c r="E6075" i="8"/>
  <c r="E6076" i="8"/>
  <c r="E6077" i="8"/>
  <c r="E6078" i="8"/>
  <c r="E6079" i="8"/>
  <c r="E6080" i="8"/>
  <c r="E6081" i="8"/>
  <c r="E6082" i="8"/>
  <c r="E6083" i="8"/>
  <c r="E6084" i="8"/>
  <c r="E6085" i="8"/>
  <c r="E6086" i="8"/>
  <c r="E6087" i="8"/>
  <c r="E6088" i="8"/>
  <c r="E6089" i="8"/>
  <c r="E6090" i="8"/>
  <c r="E6091" i="8"/>
  <c r="E6092" i="8"/>
  <c r="E6093" i="8"/>
  <c r="E6094" i="8"/>
  <c r="E6095" i="8"/>
  <c r="E6096" i="8"/>
  <c r="E6097" i="8"/>
  <c r="E6098" i="8"/>
  <c r="E6099" i="8"/>
  <c r="E6100" i="8"/>
  <c r="E6101" i="8"/>
  <c r="E6102" i="8"/>
  <c r="E6103" i="8"/>
  <c r="E6104" i="8"/>
  <c r="E6105" i="8"/>
  <c r="E6106" i="8"/>
  <c r="E6107" i="8"/>
  <c r="E6108" i="8"/>
  <c r="E6109" i="8"/>
  <c r="E6110" i="8"/>
  <c r="E6111" i="8"/>
  <c r="E6112" i="8"/>
  <c r="E6113" i="8"/>
  <c r="E6114" i="8"/>
  <c r="E6115" i="8"/>
  <c r="E6116" i="8"/>
  <c r="E6117" i="8"/>
  <c r="E6118" i="8"/>
  <c r="E6119" i="8"/>
  <c r="E6120" i="8"/>
  <c r="E6121" i="8"/>
  <c r="E6122" i="8"/>
  <c r="E6123" i="8"/>
  <c r="E6124" i="8"/>
  <c r="E6125" i="8"/>
  <c r="E6126" i="8"/>
  <c r="E6127" i="8"/>
  <c r="E6128" i="8"/>
  <c r="E6129" i="8"/>
  <c r="E6130" i="8"/>
  <c r="E6131" i="8"/>
  <c r="E6132" i="8"/>
  <c r="E6133" i="8"/>
  <c r="E6134" i="8"/>
  <c r="E6135" i="8"/>
  <c r="E6136" i="8"/>
  <c r="E6137" i="8"/>
  <c r="E6138" i="8"/>
  <c r="E6139" i="8"/>
  <c r="E6140" i="8"/>
  <c r="E6141" i="8"/>
  <c r="E6142" i="8"/>
  <c r="E6143" i="8"/>
  <c r="E6144" i="8"/>
  <c r="E6145" i="8"/>
  <c r="E6146" i="8"/>
  <c r="E6147" i="8"/>
  <c r="E6148" i="8"/>
  <c r="E6149" i="8"/>
  <c r="E6150" i="8"/>
  <c r="E6151" i="8"/>
  <c r="E6152" i="8"/>
  <c r="E6153" i="8"/>
  <c r="E6154" i="8"/>
  <c r="E6155" i="8"/>
  <c r="E6156" i="8"/>
  <c r="E6157" i="8"/>
  <c r="E6158" i="8"/>
  <c r="E6159" i="8"/>
  <c r="E6160" i="8"/>
  <c r="E6161" i="8"/>
  <c r="E6162" i="8"/>
  <c r="E6163" i="8"/>
  <c r="E6164" i="8"/>
  <c r="E6165" i="8"/>
  <c r="E6166" i="8"/>
  <c r="E6167" i="8"/>
  <c r="E6168" i="8"/>
  <c r="E6169" i="8"/>
  <c r="E6170" i="8"/>
  <c r="E6171" i="8"/>
  <c r="E6172" i="8"/>
  <c r="E6173" i="8"/>
  <c r="E6174" i="8"/>
  <c r="E6175" i="8"/>
  <c r="E6176" i="8"/>
  <c r="E6177" i="8"/>
  <c r="E6178" i="8"/>
  <c r="E6179" i="8"/>
  <c r="E6180" i="8"/>
  <c r="E6181" i="8"/>
  <c r="E6182" i="8"/>
  <c r="E6183" i="8"/>
  <c r="E6184" i="8"/>
  <c r="E6185" i="8"/>
  <c r="E6186" i="8"/>
  <c r="E6187" i="8"/>
  <c r="E6188" i="8"/>
  <c r="E6189" i="8"/>
  <c r="E6190" i="8"/>
  <c r="E6191" i="8"/>
  <c r="E6192" i="8"/>
  <c r="E6193" i="8"/>
  <c r="E6194" i="8"/>
  <c r="E6195" i="8"/>
  <c r="E6196" i="8"/>
  <c r="E6197" i="8"/>
  <c r="E6198" i="8"/>
  <c r="AE35" i="6" l="1"/>
  <c r="X3" i="7" l="1"/>
  <c r="BH2" i="7" l="1"/>
  <c r="D6" i="7" l="1"/>
  <c r="D4" i="7"/>
  <c r="BE3" i="7"/>
  <c r="BE2" i="7"/>
  <c r="Z2" i="6" l="1"/>
  <c r="AT4" i="7" l="1"/>
  <c r="AT5" i="7" s="1"/>
  <c r="AT6" i="7" s="1"/>
  <c r="AT7" i="7" s="1"/>
  <c r="AT8" i="7" s="1"/>
  <c r="AT9" i="7" s="1"/>
  <c r="AT10" i="7" s="1"/>
  <c r="AT11" i="7" s="1"/>
  <c r="AT12" i="7" s="1"/>
  <c r="AT13" i="7" s="1"/>
  <c r="AT14" i="7" s="1"/>
  <c r="AT15" i="7" s="1"/>
  <c r="AT16" i="7" s="1"/>
  <c r="AT17" i="7" s="1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AA35" i="6"/>
  <c r="AE3" i="7" l="1"/>
  <c r="AE4" i="7" l="1"/>
  <c r="Z3" i="7"/>
  <c r="Z10" i="6"/>
  <c r="AE5" i="7" l="1"/>
  <c r="Z4" i="7"/>
  <c r="AE9" i="6"/>
  <c r="AE6" i="7" l="1"/>
  <c r="Z5" i="7"/>
  <c r="B3" i="7"/>
  <c r="G3" i="7" s="1"/>
  <c r="AA33" i="6" s="1"/>
  <c r="D3" i="7"/>
  <c r="I5" i="6"/>
  <c r="I6" i="6"/>
  <c r="I7" i="6"/>
  <c r="I8" i="6"/>
  <c r="I9" i="6"/>
  <c r="I10" i="6"/>
  <c r="I11" i="6"/>
  <c r="I12" i="6"/>
  <c r="I13" i="6"/>
  <c r="I14" i="6"/>
  <c r="I15" i="6"/>
  <c r="I16" i="6"/>
  <c r="AE7" i="7" l="1"/>
  <c r="Z6" i="7"/>
  <c r="H3" i="7"/>
  <c r="I3" i="7"/>
  <c r="AA8" i="6"/>
  <c r="J16" i="6"/>
  <c r="J15" i="6"/>
  <c r="J14" i="6"/>
  <c r="J13" i="6"/>
  <c r="J12" i="6"/>
  <c r="J11" i="6"/>
  <c r="J10" i="6"/>
  <c r="J9" i="6"/>
  <c r="J8" i="6"/>
  <c r="J7" i="6"/>
  <c r="J6" i="6"/>
  <c r="J5" i="6"/>
  <c r="AI3" i="7"/>
  <c r="AJ3" i="7"/>
  <c r="AE8" i="7" l="1"/>
  <c r="Z7" i="7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S3" i="7"/>
  <c r="T367" i="7"/>
  <c r="W367" i="7" s="1"/>
  <c r="T366" i="7"/>
  <c r="W366" i="7" s="1"/>
  <c r="T365" i="7"/>
  <c r="W365" i="7" s="1"/>
  <c r="T364" i="7"/>
  <c r="W364" i="7" s="1"/>
  <c r="T363" i="7"/>
  <c r="W363" i="7" s="1"/>
  <c r="T362" i="7"/>
  <c r="W362" i="7" s="1"/>
  <c r="T361" i="7"/>
  <c r="W361" i="7" s="1"/>
  <c r="T360" i="7"/>
  <c r="W360" i="7" s="1"/>
  <c r="T359" i="7"/>
  <c r="W359" i="7" s="1"/>
  <c r="T358" i="7"/>
  <c r="W358" i="7" s="1"/>
  <c r="T357" i="7"/>
  <c r="W357" i="7" s="1"/>
  <c r="T356" i="7"/>
  <c r="W356" i="7" s="1"/>
  <c r="T355" i="7"/>
  <c r="W355" i="7" s="1"/>
  <c r="T354" i="7"/>
  <c r="W354" i="7" s="1"/>
  <c r="T353" i="7"/>
  <c r="W353" i="7" s="1"/>
  <c r="T352" i="7"/>
  <c r="W352" i="7" s="1"/>
  <c r="T351" i="7"/>
  <c r="W351" i="7" s="1"/>
  <c r="T350" i="7"/>
  <c r="W350" i="7" s="1"/>
  <c r="T349" i="7"/>
  <c r="W349" i="7" s="1"/>
  <c r="T348" i="7"/>
  <c r="W348" i="7" s="1"/>
  <c r="T347" i="7"/>
  <c r="W347" i="7" s="1"/>
  <c r="T346" i="7"/>
  <c r="W346" i="7" s="1"/>
  <c r="T345" i="7"/>
  <c r="W345" i="7" s="1"/>
  <c r="T344" i="7"/>
  <c r="W344" i="7" s="1"/>
  <c r="T343" i="7"/>
  <c r="W343" i="7" s="1"/>
  <c r="T342" i="7"/>
  <c r="W342" i="7" s="1"/>
  <c r="T341" i="7"/>
  <c r="W341" i="7" s="1"/>
  <c r="T340" i="7"/>
  <c r="W340" i="7" s="1"/>
  <c r="T339" i="7"/>
  <c r="W339" i="7" s="1"/>
  <c r="T338" i="7"/>
  <c r="W338" i="7" s="1"/>
  <c r="T337" i="7"/>
  <c r="W337" i="7" s="1"/>
  <c r="T336" i="7"/>
  <c r="W336" i="7" s="1"/>
  <c r="T335" i="7"/>
  <c r="W335" i="7" s="1"/>
  <c r="T334" i="7"/>
  <c r="W334" i="7" s="1"/>
  <c r="T333" i="7"/>
  <c r="W333" i="7" s="1"/>
  <c r="T332" i="7"/>
  <c r="W332" i="7" s="1"/>
  <c r="T331" i="7"/>
  <c r="W331" i="7" s="1"/>
  <c r="T330" i="7"/>
  <c r="W330" i="7" s="1"/>
  <c r="T329" i="7"/>
  <c r="W329" i="7" s="1"/>
  <c r="T328" i="7"/>
  <c r="W328" i="7" s="1"/>
  <c r="T327" i="7"/>
  <c r="W327" i="7" s="1"/>
  <c r="T326" i="7"/>
  <c r="W326" i="7" s="1"/>
  <c r="T325" i="7"/>
  <c r="W325" i="7" s="1"/>
  <c r="T324" i="7"/>
  <c r="W324" i="7" s="1"/>
  <c r="T323" i="7"/>
  <c r="W323" i="7" s="1"/>
  <c r="T322" i="7"/>
  <c r="W322" i="7" s="1"/>
  <c r="T321" i="7"/>
  <c r="W321" i="7" s="1"/>
  <c r="T320" i="7"/>
  <c r="W320" i="7" s="1"/>
  <c r="T319" i="7"/>
  <c r="W319" i="7" s="1"/>
  <c r="T318" i="7"/>
  <c r="W318" i="7" s="1"/>
  <c r="T317" i="7"/>
  <c r="W317" i="7" s="1"/>
  <c r="T316" i="7"/>
  <c r="W316" i="7" s="1"/>
  <c r="T315" i="7"/>
  <c r="W315" i="7" s="1"/>
  <c r="T314" i="7"/>
  <c r="W314" i="7" s="1"/>
  <c r="T313" i="7"/>
  <c r="W313" i="7" s="1"/>
  <c r="T312" i="7"/>
  <c r="W312" i="7" s="1"/>
  <c r="T311" i="7"/>
  <c r="W311" i="7" s="1"/>
  <c r="T310" i="7"/>
  <c r="W310" i="7" s="1"/>
  <c r="T309" i="7"/>
  <c r="W309" i="7" s="1"/>
  <c r="T308" i="7"/>
  <c r="W308" i="7" s="1"/>
  <c r="T307" i="7"/>
  <c r="W307" i="7" s="1"/>
  <c r="T306" i="7"/>
  <c r="W306" i="7" s="1"/>
  <c r="T305" i="7"/>
  <c r="W305" i="7" s="1"/>
  <c r="T304" i="7"/>
  <c r="W304" i="7" s="1"/>
  <c r="T303" i="7"/>
  <c r="W303" i="7" s="1"/>
  <c r="T302" i="7"/>
  <c r="W302" i="7" s="1"/>
  <c r="T301" i="7"/>
  <c r="W301" i="7" s="1"/>
  <c r="T300" i="7"/>
  <c r="W300" i="7" s="1"/>
  <c r="T299" i="7"/>
  <c r="W299" i="7" s="1"/>
  <c r="T298" i="7"/>
  <c r="W298" i="7" s="1"/>
  <c r="T297" i="7"/>
  <c r="W297" i="7" s="1"/>
  <c r="T296" i="7"/>
  <c r="W296" i="7" s="1"/>
  <c r="T295" i="7"/>
  <c r="W295" i="7" s="1"/>
  <c r="T294" i="7"/>
  <c r="W294" i="7" s="1"/>
  <c r="T293" i="7"/>
  <c r="W293" i="7" s="1"/>
  <c r="T292" i="7"/>
  <c r="W292" i="7" s="1"/>
  <c r="T291" i="7"/>
  <c r="W291" i="7" s="1"/>
  <c r="T290" i="7"/>
  <c r="W290" i="7" s="1"/>
  <c r="T289" i="7"/>
  <c r="W289" i="7" s="1"/>
  <c r="T288" i="7"/>
  <c r="W288" i="7" s="1"/>
  <c r="T287" i="7"/>
  <c r="W287" i="7" s="1"/>
  <c r="T286" i="7"/>
  <c r="W286" i="7" s="1"/>
  <c r="T285" i="7"/>
  <c r="W285" i="7" s="1"/>
  <c r="T284" i="7"/>
  <c r="W284" i="7" s="1"/>
  <c r="T283" i="7"/>
  <c r="W283" i="7" s="1"/>
  <c r="T282" i="7"/>
  <c r="W282" i="7" s="1"/>
  <c r="T281" i="7"/>
  <c r="W281" i="7" s="1"/>
  <c r="T280" i="7"/>
  <c r="W280" i="7" s="1"/>
  <c r="T279" i="7"/>
  <c r="W279" i="7" s="1"/>
  <c r="T278" i="7"/>
  <c r="W278" i="7" s="1"/>
  <c r="T277" i="7"/>
  <c r="W277" i="7" s="1"/>
  <c r="T276" i="7"/>
  <c r="W276" i="7" s="1"/>
  <c r="T275" i="7"/>
  <c r="W275" i="7" s="1"/>
  <c r="T274" i="7"/>
  <c r="W274" i="7" s="1"/>
  <c r="T273" i="7"/>
  <c r="W273" i="7" s="1"/>
  <c r="T272" i="7"/>
  <c r="W272" i="7" s="1"/>
  <c r="T271" i="7"/>
  <c r="W271" i="7" s="1"/>
  <c r="T270" i="7"/>
  <c r="W270" i="7" s="1"/>
  <c r="T269" i="7"/>
  <c r="W269" i="7" s="1"/>
  <c r="T268" i="7"/>
  <c r="W268" i="7" s="1"/>
  <c r="T267" i="7"/>
  <c r="W267" i="7" s="1"/>
  <c r="T266" i="7"/>
  <c r="W266" i="7" s="1"/>
  <c r="T265" i="7"/>
  <c r="W265" i="7" s="1"/>
  <c r="T264" i="7"/>
  <c r="W264" i="7" s="1"/>
  <c r="T263" i="7"/>
  <c r="W263" i="7" s="1"/>
  <c r="T262" i="7"/>
  <c r="W262" i="7" s="1"/>
  <c r="T261" i="7"/>
  <c r="W261" i="7" s="1"/>
  <c r="T260" i="7"/>
  <c r="W260" i="7" s="1"/>
  <c r="T259" i="7"/>
  <c r="W259" i="7" s="1"/>
  <c r="T258" i="7"/>
  <c r="W258" i="7" s="1"/>
  <c r="T257" i="7"/>
  <c r="W257" i="7" s="1"/>
  <c r="T256" i="7"/>
  <c r="W256" i="7" s="1"/>
  <c r="T255" i="7"/>
  <c r="W255" i="7" s="1"/>
  <c r="T254" i="7"/>
  <c r="W254" i="7" s="1"/>
  <c r="T253" i="7"/>
  <c r="W253" i="7" s="1"/>
  <c r="T252" i="7"/>
  <c r="W252" i="7" s="1"/>
  <c r="T251" i="7"/>
  <c r="W251" i="7" s="1"/>
  <c r="T250" i="7"/>
  <c r="W250" i="7" s="1"/>
  <c r="T249" i="7"/>
  <c r="W249" i="7" s="1"/>
  <c r="T248" i="7"/>
  <c r="W248" i="7" s="1"/>
  <c r="T247" i="7"/>
  <c r="W247" i="7" s="1"/>
  <c r="T246" i="7"/>
  <c r="W246" i="7" s="1"/>
  <c r="T245" i="7"/>
  <c r="W245" i="7" s="1"/>
  <c r="T244" i="7"/>
  <c r="W244" i="7" s="1"/>
  <c r="T243" i="7"/>
  <c r="W243" i="7" s="1"/>
  <c r="T242" i="7"/>
  <c r="W242" i="7" s="1"/>
  <c r="T241" i="7"/>
  <c r="W241" i="7" s="1"/>
  <c r="T240" i="7"/>
  <c r="W240" i="7" s="1"/>
  <c r="T239" i="7"/>
  <c r="W239" i="7" s="1"/>
  <c r="T238" i="7"/>
  <c r="W238" i="7" s="1"/>
  <c r="T237" i="7"/>
  <c r="W237" i="7" s="1"/>
  <c r="T236" i="7"/>
  <c r="W236" i="7" s="1"/>
  <c r="T235" i="7"/>
  <c r="W235" i="7" s="1"/>
  <c r="T234" i="7"/>
  <c r="W234" i="7" s="1"/>
  <c r="T233" i="7"/>
  <c r="W233" i="7" s="1"/>
  <c r="T232" i="7"/>
  <c r="W232" i="7" s="1"/>
  <c r="T231" i="7"/>
  <c r="W231" i="7" s="1"/>
  <c r="T230" i="7"/>
  <c r="W230" i="7" s="1"/>
  <c r="T229" i="7"/>
  <c r="W229" i="7" s="1"/>
  <c r="T228" i="7"/>
  <c r="W228" i="7" s="1"/>
  <c r="T227" i="7"/>
  <c r="W227" i="7" s="1"/>
  <c r="T226" i="7"/>
  <c r="W226" i="7" s="1"/>
  <c r="T225" i="7"/>
  <c r="W225" i="7" s="1"/>
  <c r="T224" i="7"/>
  <c r="W224" i="7" s="1"/>
  <c r="T223" i="7"/>
  <c r="W223" i="7" s="1"/>
  <c r="T222" i="7"/>
  <c r="W222" i="7" s="1"/>
  <c r="T221" i="7"/>
  <c r="W221" i="7" s="1"/>
  <c r="T220" i="7"/>
  <c r="W220" i="7" s="1"/>
  <c r="T219" i="7"/>
  <c r="W219" i="7" s="1"/>
  <c r="T218" i="7"/>
  <c r="W218" i="7" s="1"/>
  <c r="T217" i="7"/>
  <c r="W217" i="7" s="1"/>
  <c r="T216" i="7"/>
  <c r="W216" i="7" s="1"/>
  <c r="T215" i="7"/>
  <c r="W215" i="7" s="1"/>
  <c r="T214" i="7"/>
  <c r="W214" i="7" s="1"/>
  <c r="T213" i="7"/>
  <c r="W213" i="7" s="1"/>
  <c r="T212" i="7"/>
  <c r="W212" i="7" s="1"/>
  <c r="T211" i="7"/>
  <c r="W211" i="7" s="1"/>
  <c r="T210" i="7"/>
  <c r="W210" i="7" s="1"/>
  <c r="T209" i="7"/>
  <c r="W209" i="7" s="1"/>
  <c r="T208" i="7"/>
  <c r="W208" i="7" s="1"/>
  <c r="T207" i="7"/>
  <c r="W207" i="7" s="1"/>
  <c r="T206" i="7"/>
  <c r="W206" i="7" s="1"/>
  <c r="T205" i="7"/>
  <c r="W205" i="7" s="1"/>
  <c r="T204" i="7"/>
  <c r="W204" i="7" s="1"/>
  <c r="T203" i="7"/>
  <c r="W203" i="7" s="1"/>
  <c r="T202" i="7"/>
  <c r="W202" i="7" s="1"/>
  <c r="T201" i="7"/>
  <c r="W201" i="7" s="1"/>
  <c r="T200" i="7"/>
  <c r="W200" i="7" s="1"/>
  <c r="T199" i="7"/>
  <c r="W199" i="7" s="1"/>
  <c r="T198" i="7"/>
  <c r="W198" i="7" s="1"/>
  <c r="T197" i="7"/>
  <c r="W197" i="7" s="1"/>
  <c r="T196" i="7"/>
  <c r="W196" i="7" s="1"/>
  <c r="T195" i="7"/>
  <c r="W195" i="7" s="1"/>
  <c r="T194" i="7"/>
  <c r="W194" i="7" s="1"/>
  <c r="T193" i="7"/>
  <c r="W193" i="7" s="1"/>
  <c r="T192" i="7"/>
  <c r="W192" i="7" s="1"/>
  <c r="T191" i="7"/>
  <c r="W191" i="7" s="1"/>
  <c r="T190" i="7"/>
  <c r="W190" i="7" s="1"/>
  <c r="T189" i="7"/>
  <c r="W189" i="7" s="1"/>
  <c r="T188" i="7"/>
  <c r="W188" i="7" s="1"/>
  <c r="T187" i="7"/>
  <c r="W187" i="7" s="1"/>
  <c r="T186" i="7"/>
  <c r="W186" i="7" s="1"/>
  <c r="T185" i="7"/>
  <c r="W185" i="7" s="1"/>
  <c r="T184" i="7"/>
  <c r="W184" i="7" s="1"/>
  <c r="T183" i="7"/>
  <c r="W183" i="7" s="1"/>
  <c r="T182" i="7"/>
  <c r="W182" i="7" s="1"/>
  <c r="T181" i="7"/>
  <c r="W181" i="7" s="1"/>
  <c r="T180" i="7"/>
  <c r="W180" i="7" s="1"/>
  <c r="T179" i="7"/>
  <c r="W179" i="7" s="1"/>
  <c r="T178" i="7"/>
  <c r="W178" i="7" s="1"/>
  <c r="T177" i="7"/>
  <c r="W177" i="7" s="1"/>
  <c r="T176" i="7"/>
  <c r="W176" i="7" s="1"/>
  <c r="T175" i="7"/>
  <c r="W175" i="7" s="1"/>
  <c r="T174" i="7"/>
  <c r="W174" i="7" s="1"/>
  <c r="T173" i="7"/>
  <c r="W173" i="7" s="1"/>
  <c r="T172" i="7"/>
  <c r="W172" i="7" s="1"/>
  <c r="T171" i="7"/>
  <c r="W171" i="7" s="1"/>
  <c r="T170" i="7"/>
  <c r="W170" i="7" s="1"/>
  <c r="T169" i="7"/>
  <c r="W169" i="7" s="1"/>
  <c r="T168" i="7"/>
  <c r="W168" i="7" s="1"/>
  <c r="T167" i="7"/>
  <c r="W167" i="7" s="1"/>
  <c r="T166" i="7"/>
  <c r="W166" i="7" s="1"/>
  <c r="T165" i="7"/>
  <c r="W165" i="7" s="1"/>
  <c r="T164" i="7"/>
  <c r="W164" i="7" s="1"/>
  <c r="T163" i="7"/>
  <c r="W163" i="7" s="1"/>
  <c r="T162" i="7"/>
  <c r="W162" i="7" s="1"/>
  <c r="T161" i="7"/>
  <c r="W161" i="7" s="1"/>
  <c r="T160" i="7"/>
  <c r="W160" i="7" s="1"/>
  <c r="T159" i="7"/>
  <c r="W159" i="7" s="1"/>
  <c r="T158" i="7"/>
  <c r="W158" i="7" s="1"/>
  <c r="T157" i="7"/>
  <c r="W157" i="7" s="1"/>
  <c r="T156" i="7"/>
  <c r="W156" i="7" s="1"/>
  <c r="T155" i="7"/>
  <c r="W155" i="7" s="1"/>
  <c r="T154" i="7"/>
  <c r="W154" i="7" s="1"/>
  <c r="T153" i="7"/>
  <c r="W153" i="7" s="1"/>
  <c r="T152" i="7"/>
  <c r="W152" i="7" s="1"/>
  <c r="T151" i="7"/>
  <c r="W151" i="7" s="1"/>
  <c r="T150" i="7"/>
  <c r="W150" i="7" s="1"/>
  <c r="T149" i="7"/>
  <c r="W149" i="7" s="1"/>
  <c r="T148" i="7"/>
  <c r="W148" i="7" s="1"/>
  <c r="T147" i="7"/>
  <c r="W147" i="7" s="1"/>
  <c r="T146" i="7"/>
  <c r="W146" i="7" s="1"/>
  <c r="T145" i="7"/>
  <c r="W145" i="7" s="1"/>
  <c r="T144" i="7"/>
  <c r="W144" i="7" s="1"/>
  <c r="T143" i="7"/>
  <c r="W143" i="7" s="1"/>
  <c r="T142" i="7"/>
  <c r="W142" i="7" s="1"/>
  <c r="T141" i="7"/>
  <c r="W141" i="7" s="1"/>
  <c r="T140" i="7"/>
  <c r="W140" i="7" s="1"/>
  <c r="T139" i="7"/>
  <c r="W139" i="7" s="1"/>
  <c r="T138" i="7"/>
  <c r="W138" i="7" s="1"/>
  <c r="T137" i="7"/>
  <c r="W137" i="7" s="1"/>
  <c r="T136" i="7"/>
  <c r="W136" i="7" s="1"/>
  <c r="T135" i="7"/>
  <c r="W135" i="7" s="1"/>
  <c r="T134" i="7"/>
  <c r="W134" i="7" s="1"/>
  <c r="T133" i="7"/>
  <c r="W133" i="7" s="1"/>
  <c r="T132" i="7"/>
  <c r="W132" i="7" s="1"/>
  <c r="T131" i="7"/>
  <c r="W131" i="7" s="1"/>
  <c r="T130" i="7"/>
  <c r="W130" i="7" s="1"/>
  <c r="T129" i="7"/>
  <c r="W129" i="7" s="1"/>
  <c r="T128" i="7"/>
  <c r="W128" i="7" s="1"/>
  <c r="T127" i="7"/>
  <c r="W127" i="7" s="1"/>
  <c r="T126" i="7"/>
  <c r="W126" i="7" s="1"/>
  <c r="T125" i="7"/>
  <c r="W125" i="7" s="1"/>
  <c r="T124" i="7"/>
  <c r="W124" i="7" s="1"/>
  <c r="T123" i="7"/>
  <c r="W123" i="7" s="1"/>
  <c r="T122" i="7"/>
  <c r="W122" i="7" s="1"/>
  <c r="T121" i="7"/>
  <c r="W121" i="7" s="1"/>
  <c r="T120" i="7"/>
  <c r="W120" i="7" s="1"/>
  <c r="T119" i="7"/>
  <c r="W119" i="7" s="1"/>
  <c r="T118" i="7"/>
  <c r="W118" i="7" s="1"/>
  <c r="T117" i="7"/>
  <c r="W117" i="7" s="1"/>
  <c r="T116" i="7"/>
  <c r="W116" i="7" s="1"/>
  <c r="T115" i="7"/>
  <c r="W115" i="7" s="1"/>
  <c r="T114" i="7"/>
  <c r="W114" i="7" s="1"/>
  <c r="T113" i="7"/>
  <c r="W113" i="7" s="1"/>
  <c r="T112" i="7"/>
  <c r="W112" i="7" s="1"/>
  <c r="T111" i="7"/>
  <c r="W111" i="7" s="1"/>
  <c r="T110" i="7"/>
  <c r="W110" i="7" s="1"/>
  <c r="T109" i="7"/>
  <c r="W109" i="7" s="1"/>
  <c r="T108" i="7"/>
  <c r="W108" i="7" s="1"/>
  <c r="T107" i="7"/>
  <c r="W107" i="7" s="1"/>
  <c r="T106" i="7"/>
  <c r="W106" i="7" s="1"/>
  <c r="T105" i="7"/>
  <c r="W105" i="7" s="1"/>
  <c r="T104" i="7"/>
  <c r="W104" i="7" s="1"/>
  <c r="T103" i="7"/>
  <c r="W103" i="7" s="1"/>
  <c r="T102" i="7"/>
  <c r="W102" i="7" s="1"/>
  <c r="T101" i="7"/>
  <c r="W101" i="7" s="1"/>
  <c r="T100" i="7"/>
  <c r="W100" i="7" s="1"/>
  <c r="T99" i="7"/>
  <c r="W99" i="7" s="1"/>
  <c r="T98" i="7"/>
  <c r="W98" i="7" s="1"/>
  <c r="T97" i="7"/>
  <c r="W97" i="7" s="1"/>
  <c r="T96" i="7"/>
  <c r="W96" i="7" s="1"/>
  <c r="T95" i="7"/>
  <c r="W95" i="7" s="1"/>
  <c r="T94" i="7"/>
  <c r="W94" i="7" s="1"/>
  <c r="T93" i="7"/>
  <c r="W93" i="7" s="1"/>
  <c r="T92" i="7"/>
  <c r="W92" i="7" s="1"/>
  <c r="T91" i="7"/>
  <c r="W91" i="7" s="1"/>
  <c r="T90" i="7"/>
  <c r="W90" i="7" s="1"/>
  <c r="T89" i="7"/>
  <c r="W89" i="7" s="1"/>
  <c r="T88" i="7"/>
  <c r="W88" i="7" s="1"/>
  <c r="T87" i="7"/>
  <c r="W87" i="7" s="1"/>
  <c r="T86" i="7"/>
  <c r="W86" i="7" s="1"/>
  <c r="T85" i="7"/>
  <c r="W85" i="7" s="1"/>
  <c r="T84" i="7"/>
  <c r="W84" i="7" s="1"/>
  <c r="T83" i="7"/>
  <c r="W83" i="7" s="1"/>
  <c r="T82" i="7"/>
  <c r="W82" i="7" s="1"/>
  <c r="T81" i="7"/>
  <c r="W81" i="7" s="1"/>
  <c r="T80" i="7"/>
  <c r="W80" i="7" s="1"/>
  <c r="T79" i="7"/>
  <c r="W79" i="7" s="1"/>
  <c r="T78" i="7"/>
  <c r="W78" i="7" s="1"/>
  <c r="T77" i="7"/>
  <c r="W77" i="7" s="1"/>
  <c r="T76" i="7"/>
  <c r="W76" i="7" s="1"/>
  <c r="T75" i="7"/>
  <c r="W75" i="7" s="1"/>
  <c r="T74" i="7"/>
  <c r="W74" i="7" s="1"/>
  <c r="T73" i="7"/>
  <c r="W73" i="7" s="1"/>
  <c r="T72" i="7"/>
  <c r="W72" i="7" s="1"/>
  <c r="T71" i="7"/>
  <c r="W71" i="7" s="1"/>
  <c r="T70" i="7"/>
  <c r="W70" i="7" s="1"/>
  <c r="T69" i="7"/>
  <c r="W69" i="7" s="1"/>
  <c r="T68" i="7"/>
  <c r="W68" i="7" s="1"/>
  <c r="T67" i="7"/>
  <c r="W67" i="7" s="1"/>
  <c r="T66" i="7"/>
  <c r="W66" i="7" s="1"/>
  <c r="T65" i="7"/>
  <c r="W65" i="7" s="1"/>
  <c r="T64" i="7"/>
  <c r="W64" i="7" s="1"/>
  <c r="T63" i="7"/>
  <c r="W63" i="7" s="1"/>
  <c r="T62" i="7"/>
  <c r="W62" i="7" s="1"/>
  <c r="T61" i="7"/>
  <c r="W61" i="7" s="1"/>
  <c r="T60" i="7"/>
  <c r="W60" i="7" s="1"/>
  <c r="T59" i="7"/>
  <c r="W59" i="7" s="1"/>
  <c r="T58" i="7"/>
  <c r="W58" i="7" s="1"/>
  <c r="T57" i="7"/>
  <c r="W57" i="7" s="1"/>
  <c r="T56" i="7"/>
  <c r="W56" i="7" s="1"/>
  <c r="T55" i="7"/>
  <c r="W55" i="7" s="1"/>
  <c r="T54" i="7"/>
  <c r="W54" i="7" s="1"/>
  <c r="T53" i="7"/>
  <c r="W53" i="7" s="1"/>
  <c r="T52" i="7"/>
  <c r="W52" i="7" s="1"/>
  <c r="T51" i="7"/>
  <c r="W51" i="7" s="1"/>
  <c r="T50" i="7"/>
  <c r="W50" i="7" s="1"/>
  <c r="T49" i="7"/>
  <c r="W49" i="7" s="1"/>
  <c r="T48" i="7"/>
  <c r="W48" i="7" s="1"/>
  <c r="T47" i="7"/>
  <c r="W47" i="7" s="1"/>
  <c r="T46" i="7"/>
  <c r="W46" i="7" s="1"/>
  <c r="T45" i="7"/>
  <c r="W45" i="7" s="1"/>
  <c r="T44" i="7"/>
  <c r="W44" i="7" s="1"/>
  <c r="T43" i="7"/>
  <c r="W43" i="7" s="1"/>
  <c r="T42" i="7"/>
  <c r="W42" i="7" s="1"/>
  <c r="T41" i="7"/>
  <c r="W41" i="7" s="1"/>
  <c r="T40" i="7"/>
  <c r="W40" i="7" s="1"/>
  <c r="T39" i="7"/>
  <c r="W39" i="7" s="1"/>
  <c r="T38" i="7"/>
  <c r="W38" i="7" s="1"/>
  <c r="T37" i="7"/>
  <c r="W37" i="7" s="1"/>
  <c r="T36" i="7"/>
  <c r="W36" i="7" s="1"/>
  <c r="T35" i="7"/>
  <c r="W35" i="7" s="1"/>
  <c r="T34" i="7"/>
  <c r="W34" i="7" s="1"/>
  <c r="T33" i="7"/>
  <c r="W33" i="7" s="1"/>
  <c r="T32" i="7"/>
  <c r="W32" i="7" s="1"/>
  <c r="T31" i="7"/>
  <c r="W31" i="7" s="1"/>
  <c r="T30" i="7"/>
  <c r="W30" i="7" s="1"/>
  <c r="T29" i="7"/>
  <c r="W29" i="7" s="1"/>
  <c r="T28" i="7"/>
  <c r="W28" i="7" s="1"/>
  <c r="T27" i="7"/>
  <c r="W27" i="7" s="1"/>
  <c r="T26" i="7"/>
  <c r="W26" i="7" s="1"/>
  <c r="T25" i="7"/>
  <c r="W25" i="7" s="1"/>
  <c r="T24" i="7"/>
  <c r="W24" i="7" s="1"/>
  <c r="T23" i="7"/>
  <c r="W23" i="7" s="1"/>
  <c r="T22" i="7"/>
  <c r="W22" i="7" s="1"/>
  <c r="T21" i="7"/>
  <c r="W21" i="7" s="1"/>
  <c r="T20" i="7"/>
  <c r="W20" i="7" s="1"/>
  <c r="T19" i="7"/>
  <c r="W19" i="7" s="1"/>
  <c r="T18" i="7"/>
  <c r="W18" i="7" s="1"/>
  <c r="T17" i="7"/>
  <c r="W17" i="7" s="1"/>
  <c r="T16" i="7"/>
  <c r="W16" i="7" s="1"/>
  <c r="T15" i="7"/>
  <c r="W15" i="7" s="1"/>
  <c r="T14" i="7"/>
  <c r="W14" i="7" s="1"/>
  <c r="T13" i="7"/>
  <c r="W13" i="7" s="1"/>
  <c r="T12" i="7"/>
  <c r="W12" i="7" s="1"/>
  <c r="T11" i="7"/>
  <c r="W11" i="7" s="1"/>
  <c r="T10" i="7"/>
  <c r="W10" i="7" s="1"/>
  <c r="T9" i="7"/>
  <c r="W9" i="7" s="1"/>
  <c r="T8" i="7"/>
  <c r="W8" i="7" s="1"/>
  <c r="T7" i="7"/>
  <c r="W7" i="7" s="1"/>
  <c r="T6" i="7"/>
  <c r="W6" i="7" s="1"/>
  <c r="T5" i="7"/>
  <c r="W5" i="7" s="1"/>
  <c r="T4" i="7"/>
  <c r="W4" i="7" s="1"/>
  <c r="S4" i="7" s="1"/>
  <c r="X4" i="7" s="1"/>
  <c r="T3" i="7"/>
  <c r="X153" i="6" l="1"/>
  <c r="X149" i="6"/>
  <c r="X145" i="6"/>
  <c r="X141" i="6"/>
  <c r="X137" i="6"/>
  <c r="X133" i="6"/>
  <c r="X129" i="6"/>
  <c r="X125" i="6"/>
  <c r="X121" i="6"/>
  <c r="X117" i="6"/>
  <c r="X113" i="6"/>
  <c r="X109" i="6"/>
  <c r="X105" i="6"/>
  <c r="X101" i="6"/>
  <c r="X97" i="6"/>
  <c r="X93" i="6"/>
  <c r="X89" i="6"/>
  <c r="X85" i="6"/>
  <c r="X81" i="6"/>
  <c r="X77" i="6"/>
  <c r="X73" i="6"/>
  <c r="X69" i="6"/>
  <c r="X65" i="6"/>
  <c r="X61" i="6"/>
  <c r="X57" i="6"/>
  <c r="X53" i="6"/>
  <c r="X49" i="6"/>
  <c r="X45" i="6"/>
  <c r="X41" i="6"/>
  <c r="X37" i="6"/>
  <c r="X33" i="6"/>
  <c r="X29" i="6"/>
  <c r="X25" i="6"/>
  <c r="X21" i="6"/>
  <c r="X152" i="6"/>
  <c r="X148" i="6"/>
  <c r="X144" i="6"/>
  <c r="X140" i="6"/>
  <c r="X136" i="6"/>
  <c r="X132" i="6"/>
  <c r="X128" i="6"/>
  <c r="X124" i="6"/>
  <c r="X120" i="6"/>
  <c r="X116" i="6"/>
  <c r="X112" i="6"/>
  <c r="X108" i="6"/>
  <c r="X104" i="6"/>
  <c r="X100" i="6"/>
  <c r="X96" i="6"/>
  <c r="X92" i="6"/>
  <c r="X88" i="6"/>
  <c r="X84" i="6"/>
  <c r="X80" i="6"/>
  <c r="X76" i="6"/>
  <c r="X72" i="6"/>
  <c r="X68" i="6"/>
  <c r="X64" i="6"/>
  <c r="X60" i="6"/>
  <c r="X56" i="6"/>
  <c r="X52" i="6"/>
  <c r="X48" i="6"/>
  <c r="X44" i="6"/>
  <c r="X40" i="6"/>
  <c r="X36" i="6"/>
  <c r="X32" i="6"/>
  <c r="X28" i="6"/>
  <c r="X24" i="6"/>
  <c r="X20" i="6"/>
  <c r="X8" i="6"/>
  <c r="X151" i="6"/>
  <c r="X143" i="6"/>
  <c r="X135" i="6"/>
  <c r="X127" i="6"/>
  <c r="X119" i="6"/>
  <c r="X111" i="6"/>
  <c r="X103" i="6"/>
  <c r="X95" i="6"/>
  <c r="X87" i="6"/>
  <c r="X79" i="6"/>
  <c r="X71" i="6"/>
  <c r="X63" i="6"/>
  <c r="X55" i="6"/>
  <c r="X47" i="6"/>
  <c r="X39" i="6"/>
  <c r="X31" i="6"/>
  <c r="X23" i="6"/>
  <c r="X7" i="6"/>
  <c r="X150" i="6"/>
  <c r="X139" i="6"/>
  <c r="X130" i="6"/>
  <c r="X118" i="6"/>
  <c r="X107" i="6"/>
  <c r="X98" i="6"/>
  <c r="X86" i="6"/>
  <c r="X75" i="6"/>
  <c r="X66" i="6"/>
  <c r="X54" i="6"/>
  <c r="X43" i="6"/>
  <c r="X34" i="6"/>
  <c r="X22" i="6"/>
  <c r="X142" i="6"/>
  <c r="X131" i="6"/>
  <c r="X122" i="6"/>
  <c r="X110" i="6"/>
  <c r="X99" i="6"/>
  <c r="X90" i="6"/>
  <c r="X78" i="6"/>
  <c r="X67" i="6"/>
  <c r="X58" i="6"/>
  <c r="X46" i="6"/>
  <c r="X35" i="6"/>
  <c r="X26" i="6"/>
  <c r="X147" i="6"/>
  <c r="X126" i="6"/>
  <c r="X106" i="6"/>
  <c r="X83" i="6"/>
  <c r="X62" i="6"/>
  <c r="X42" i="6"/>
  <c r="X19" i="6"/>
  <c r="X138" i="6"/>
  <c r="X74" i="6"/>
  <c r="X30" i="6"/>
  <c r="X114" i="6"/>
  <c r="X70" i="6"/>
  <c r="X50" i="6"/>
  <c r="X6" i="6"/>
  <c r="X146" i="6"/>
  <c r="X123" i="6"/>
  <c r="X102" i="6"/>
  <c r="X82" i="6"/>
  <c r="X59" i="6"/>
  <c r="X38" i="6"/>
  <c r="X115" i="6"/>
  <c r="X94" i="6"/>
  <c r="X51" i="6"/>
  <c r="X134" i="6"/>
  <c r="X91" i="6"/>
  <c r="X27" i="6"/>
  <c r="AA3" i="7"/>
  <c r="AE9" i="7"/>
  <c r="Z8" i="7"/>
  <c r="S5" i="7"/>
  <c r="W3" i="7"/>
  <c r="F5" i="6"/>
  <c r="E8" i="6"/>
  <c r="E9" i="6" s="1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S6" i="7" l="1"/>
  <c r="X5" i="7"/>
  <c r="F6" i="6"/>
  <c r="AM4" i="7" s="1"/>
  <c r="AN4" i="7" s="1"/>
  <c r="AE10" i="7"/>
  <c r="Z9" i="7"/>
  <c r="AM3" i="7"/>
  <c r="E10" i="6"/>
  <c r="F7" i="6"/>
  <c r="AM5" i="7" s="1"/>
  <c r="AN5" i="7" s="1"/>
  <c r="S7" i="7" l="1"/>
  <c r="X6" i="7"/>
  <c r="AE11" i="7"/>
  <c r="Z10" i="7"/>
  <c r="AN3" i="7"/>
  <c r="AO3" i="7" s="1"/>
  <c r="AO4" i="7" s="1"/>
  <c r="AO5" i="7" s="1"/>
  <c r="AD3" i="7"/>
  <c r="E11" i="6"/>
  <c r="F8" i="6"/>
  <c r="AM6" i="7" s="1"/>
  <c r="AN6" i="7" s="1"/>
  <c r="S8" i="7" l="1"/>
  <c r="X7" i="7"/>
  <c r="AE12" i="7"/>
  <c r="Z11" i="7"/>
  <c r="AO6" i="7"/>
  <c r="E12" i="6"/>
  <c r="F9" i="6"/>
  <c r="S9" i="7" l="1"/>
  <c r="X8" i="7"/>
  <c r="AE13" i="7"/>
  <c r="Z12" i="7"/>
  <c r="AM7" i="7"/>
  <c r="E13" i="6"/>
  <c r="F10" i="6"/>
  <c r="AM8" i="7" s="1"/>
  <c r="S10" i="7" l="1"/>
  <c r="AA4" i="7" s="1"/>
  <c r="X9" i="7"/>
  <c r="AE14" i="7"/>
  <c r="Z13" i="7"/>
  <c r="AN7" i="7"/>
  <c r="AO7" i="7" s="1"/>
  <c r="AN8" i="7"/>
  <c r="E14" i="6"/>
  <c r="F11" i="6"/>
  <c r="AM9" i="7" s="1"/>
  <c r="AB3" i="7" l="1"/>
  <c r="AC3" i="7" s="1"/>
  <c r="AD4" i="7"/>
  <c r="S11" i="7"/>
  <c r="X10" i="7"/>
  <c r="AE15" i="7"/>
  <c r="Z14" i="7"/>
  <c r="AO8" i="7"/>
  <c r="AN9" i="7"/>
  <c r="E15" i="6"/>
  <c r="F12" i="6"/>
  <c r="AM10" i="7" s="1"/>
  <c r="S12" i="7" l="1"/>
  <c r="X11" i="7"/>
  <c r="AO9" i="7"/>
  <c r="AE16" i="7"/>
  <c r="Z15" i="7"/>
  <c r="AN10" i="7"/>
  <c r="E16" i="6"/>
  <c r="F13" i="6"/>
  <c r="AM11" i="7" s="1"/>
  <c r="AO10" i="7" l="1"/>
  <c r="S13" i="7"/>
  <c r="X12" i="7"/>
  <c r="AE17" i="7"/>
  <c r="Z16" i="7"/>
  <c r="AN11" i="7"/>
  <c r="E17" i="6"/>
  <c r="F14" i="6"/>
  <c r="AM12" i="7" s="1"/>
  <c r="AO11" i="7" l="1"/>
  <c r="S14" i="7"/>
  <c r="X13" i="7"/>
  <c r="AE18" i="7"/>
  <c r="Z17" i="7"/>
  <c r="AN12" i="7"/>
  <c r="E18" i="6"/>
  <c r="F16" i="6" s="1"/>
  <c r="F15" i="6"/>
  <c r="AM13" i="7" s="1"/>
  <c r="AO12" i="7" l="1"/>
  <c r="S15" i="7"/>
  <c r="X14" i="7"/>
  <c r="AE19" i="7"/>
  <c r="Z18" i="7"/>
  <c r="AN13" i="7"/>
  <c r="AO13" i="7" s="1"/>
  <c r="AM14" i="7"/>
  <c r="S16" i="7" l="1"/>
  <c r="X15" i="7"/>
  <c r="AE20" i="7"/>
  <c r="Z19" i="7"/>
  <c r="AN14" i="7"/>
  <c r="AO14" i="7" s="1"/>
  <c r="S17" i="7" l="1"/>
  <c r="X16" i="7"/>
  <c r="AE21" i="7"/>
  <c r="Z20" i="7"/>
  <c r="S18" i="7" l="1"/>
  <c r="X17" i="7"/>
  <c r="AE22" i="7"/>
  <c r="Z21" i="7"/>
  <c r="S19" i="7" l="1"/>
  <c r="X18" i="7"/>
  <c r="AE23" i="7"/>
  <c r="Z22" i="7"/>
  <c r="S20" i="7" l="1"/>
  <c r="X19" i="7"/>
  <c r="AE24" i="7"/>
  <c r="Z23" i="7"/>
  <c r="S21" i="7" l="1"/>
  <c r="X20" i="7"/>
  <c r="AE25" i="7"/>
  <c r="Z24" i="7"/>
  <c r="S22" i="7" l="1"/>
  <c r="X21" i="7"/>
  <c r="AE26" i="7"/>
  <c r="Z25" i="7"/>
  <c r="S23" i="7" l="1"/>
  <c r="X22" i="7"/>
  <c r="AE27" i="7"/>
  <c r="Z26" i="7"/>
  <c r="S24" i="7" l="1"/>
  <c r="X23" i="7"/>
  <c r="AE28" i="7"/>
  <c r="Z27" i="7"/>
  <c r="S25" i="7" l="1"/>
  <c r="X24" i="7"/>
  <c r="AE29" i="7"/>
  <c r="Z28" i="7"/>
  <c r="S26" i="7" l="1"/>
  <c r="X25" i="7"/>
  <c r="AE30" i="7"/>
  <c r="Z29" i="7"/>
  <c r="S27" i="7" l="1"/>
  <c r="X26" i="7"/>
  <c r="AE31" i="7"/>
  <c r="Z30" i="7"/>
  <c r="S28" i="7" l="1"/>
  <c r="X27" i="7"/>
  <c r="AE32" i="7"/>
  <c r="Z31" i="7"/>
  <c r="S29" i="7" l="1"/>
  <c r="X28" i="7"/>
  <c r="AE33" i="7"/>
  <c r="Z32" i="7"/>
  <c r="S30" i="7" l="1"/>
  <c r="X29" i="7"/>
  <c r="AE34" i="7"/>
  <c r="Z33" i="7"/>
  <c r="S31" i="7" l="1"/>
  <c r="X30" i="7"/>
  <c r="AE35" i="7"/>
  <c r="Z34" i="7"/>
  <c r="S32" i="7" l="1"/>
  <c r="X31" i="7"/>
  <c r="AE36" i="7"/>
  <c r="Z35" i="7"/>
  <c r="S33" i="7" l="1"/>
  <c r="X32" i="7"/>
  <c r="AE37" i="7"/>
  <c r="Z36" i="7"/>
  <c r="S34" i="7" l="1"/>
  <c r="X33" i="7"/>
  <c r="AE38" i="7"/>
  <c r="Z37" i="7"/>
  <c r="S35" i="7" l="1"/>
  <c r="X34" i="7"/>
  <c r="AE39" i="7"/>
  <c r="Z38" i="7"/>
  <c r="S36" i="7" l="1"/>
  <c r="X35" i="7"/>
  <c r="AE40" i="7"/>
  <c r="Z39" i="7"/>
  <c r="S37" i="7" l="1"/>
  <c r="X36" i="7"/>
  <c r="AE41" i="7"/>
  <c r="Z40" i="7"/>
  <c r="S38" i="7" l="1"/>
  <c r="X37" i="7"/>
  <c r="AE42" i="7"/>
  <c r="Z41" i="7"/>
  <c r="S39" i="7" l="1"/>
  <c r="X38" i="7"/>
  <c r="X5" i="6" s="1"/>
  <c r="AE43" i="7"/>
  <c r="Z42" i="7"/>
  <c r="S40" i="7" l="1"/>
  <c r="X39" i="7"/>
  <c r="AE44" i="7"/>
  <c r="Z43" i="7"/>
  <c r="S41" i="7" l="1"/>
  <c r="X40" i="7"/>
  <c r="AE45" i="7"/>
  <c r="Z44" i="7"/>
  <c r="S42" i="7" l="1"/>
  <c r="X41" i="7"/>
  <c r="AE46" i="7"/>
  <c r="Z45" i="7"/>
  <c r="S43" i="7" l="1"/>
  <c r="X42" i="7"/>
  <c r="AE47" i="7"/>
  <c r="Z46" i="7"/>
  <c r="S44" i="7" l="1"/>
  <c r="X43" i="7"/>
  <c r="AE48" i="7"/>
  <c r="Z47" i="7"/>
  <c r="S45" i="7" l="1"/>
  <c r="X44" i="7"/>
  <c r="AE49" i="7"/>
  <c r="Z48" i="7"/>
  <c r="S46" i="7" l="1"/>
  <c r="X45" i="7"/>
  <c r="AE50" i="7"/>
  <c r="Z49" i="7"/>
  <c r="S47" i="7" l="1"/>
  <c r="X46" i="7"/>
  <c r="AE51" i="7"/>
  <c r="Z50" i="7"/>
  <c r="S48" i="7" l="1"/>
  <c r="X47" i="7"/>
  <c r="AE52" i="7"/>
  <c r="Z51" i="7"/>
  <c r="S49" i="7" l="1"/>
  <c r="X48" i="7"/>
  <c r="AE53" i="7"/>
  <c r="Z52" i="7"/>
  <c r="S50" i="7" l="1"/>
  <c r="X49" i="7"/>
  <c r="AE54" i="7"/>
  <c r="Z53" i="7"/>
  <c r="S51" i="7" l="1"/>
  <c r="X50" i="7"/>
  <c r="AE55" i="7"/>
  <c r="Z54" i="7"/>
  <c r="S52" i="7" l="1"/>
  <c r="X51" i="7"/>
  <c r="Z55" i="7"/>
  <c r="S53" i="7" l="1"/>
  <c r="X52" i="7"/>
  <c r="S54" i="7" l="1"/>
  <c r="X53" i="7"/>
  <c r="S55" i="7" l="1"/>
  <c r="X54" i="7"/>
  <c r="S56" i="7" l="1"/>
  <c r="X55" i="7"/>
  <c r="X13" i="6" s="1"/>
  <c r="S57" i="7" l="1"/>
  <c r="X56" i="7"/>
  <c r="X14" i="6" l="1"/>
  <c r="X16" i="6"/>
  <c r="S58" i="7"/>
  <c r="X57" i="7"/>
  <c r="S59" i="7" l="1"/>
  <c r="X58" i="7"/>
  <c r="X9" i="6" s="1"/>
  <c r="S60" i="7" l="1"/>
  <c r="X59" i="7"/>
  <c r="X17" i="6" s="1"/>
  <c r="S61" i="7" l="1"/>
  <c r="X60" i="7"/>
  <c r="X10" i="6" s="1"/>
  <c r="S62" i="7" l="1"/>
  <c r="X61" i="7"/>
  <c r="X12" i="6" l="1"/>
  <c r="X11" i="6"/>
  <c r="X15" i="6"/>
  <c r="X18" i="6"/>
  <c r="S63" i="7"/>
  <c r="X62" i="7"/>
  <c r="AU46" i="7" l="1"/>
  <c r="AU37" i="7"/>
  <c r="AU24" i="7"/>
  <c r="AU12" i="7"/>
  <c r="AU14" i="7"/>
  <c r="AU43" i="7"/>
  <c r="AU20" i="7"/>
  <c r="AU50" i="7"/>
  <c r="AU15" i="7"/>
  <c r="AU17" i="7"/>
  <c r="AU5" i="7"/>
  <c r="AU36" i="7"/>
  <c r="AU11" i="7"/>
  <c r="AU13" i="7"/>
  <c r="AU53" i="7"/>
  <c r="AU45" i="7"/>
  <c r="AU54" i="7"/>
  <c r="AU10" i="7"/>
  <c r="AU25" i="7"/>
  <c r="AU18" i="7"/>
  <c r="AU21" i="7"/>
  <c r="AU3" i="7"/>
  <c r="AV3" i="7" s="1"/>
  <c r="AU22" i="7"/>
  <c r="AU48" i="7"/>
  <c r="AU27" i="7"/>
  <c r="AU47" i="7"/>
  <c r="AU26" i="7"/>
  <c r="AU30" i="7"/>
  <c r="AU16" i="7"/>
  <c r="AU33" i="7"/>
  <c r="AU9" i="7"/>
  <c r="AU28" i="7"/>
  <c r="AU52" i="7"/>
  <c r="AU4" i="7"/>
  <c r="AV4" i="7" s="1"/>
  <c r="AV5" i="7" s="1"/>
  <c r="AU6" i="7"/>
  <c r="AU32" i="7"/>
  <c r="AU29" i="7"/>
  <c r="AU34" i="7"/>
  <c r="AU39" i="7"/>
  <c r="AU42" i="7"/>
  <c r="AU7" i="7"/>
  <c r="AU8" i="7"/>
  <c r="AU23" i="7"/>
  <c r="AU40" i="7"/>
  <c r="AU31" i="7"/>
  <c r="AU51" i="7"/>
  <c r="AU35" i="7"/>
  <c r="AU19" i="7"/>
  <c r="AU38" i="7"/>
  <c r="AU49" i="7"/>
  <c r="AU55" i="7"/>
  <c r="AU44" i="7"/>
  <c r="AU41" i="7"/>
  <c r="S64" i="7"/>
  <c r="X63" i="7"/>
  <c r="AV6" i="7" l="1"/>
  <c r="AV7" i="7" s="1"/>
  <c r="AV8" i="7" s="1"/>
  <c r="AV9" i="7" s="1"/>
  <c r="AV10" i="7" s="1"/>
  <c r="AV11" i="7" s="1"/>
  <c r="AV12" i="7" s="1"/>
  <c r="AV13" i="7" s="1"/>
  <c r="AV14" i="7" s="1"/>
  <c r="AV15" i="7" s="1"/>
  <c r="AV16" i="7" s="1"/>
  <c r="AV17" i="7" s="1"/>
  <c r="AV18" i="7" s="1"/>
  <c r="AV19" i="7" s="1"/>
  <c r="AV20" i="7" s="1"/>
  <c r="AV21" i="7" s="1"/>
  <c r="AV22" i="7" s="1"/>
  <c r="AV23" i="7" s="1"/>
  <c r="AV24" i="7" s="1"/>
  <c r="AV25" i="7" s="1"/>
  <c r="AV26" i="7" s="1"/>
  <c r="AV27" i="7" s="1"/>
  <c r="AV28" i="7" s="1"/>
  <c r="AV29" i="7" s="1"/>
  <c r="AV30" i="7" s="1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S65" i="7"/>
  <c r="X64" i="7"/>
  <c r="S66" i="7" l="1"/>
  <c r="X65" i="7"/>
  <c r="S67" i="7" l="1"/>
  <c r="X66" i="7"/>
  <c r="S68" i="7" l="1"/>
  <c r="X67" i="7"/>
  <c r="S69" i="7" l="1"/>
  <c r="X68" i="7"/>
  <c r="S70" i="7" l="1"/>
  <c r="X69" i="7"/>
  <c r="S71" i="7" l="1"/>
  <c r="X70" i="7"/>
  <c r="S72" i="7" l="1"/>
  <c r="X71" i="7"/>
  <c r="S73" i="7" l="1"/>
  <c r="X72" i="7"/>
  <c r="S74" i="7" l="1"/>
  <c r="X73" i="7"/>
  <c r="S75" i="7" l="1"/>
  <c r="X74" i="7"/>
  <c r="S76" i="7" l="1"/>
  <c r="X75" i="7"/>
  <c r="S77" i="7" l="1"/>
  <c r="X76" i="7"/>
  <c r="S78" i="7" l="1"/>
  <c r="X77" i="7"/>
  <c r="S79" i="7" l="1"/>
  <c r="X78" i="7"/>
  <c r="S80" i="7" l="1"/>
  <c r="X79" i="7"/>
  <c r="S81" i="7" l="1"/>
  <c r="X80" i="7"/>
  <c r="S82" i="7" l="1"/>
  <c r="X81" i="7"/>
  <c r="S83" i="7" l="1"/>
  <c r="X82" i="7"/>
  <c r="S84" i="7" l="1"/>
  <c r="X83" i="7"/>
  <c r="S85" i="7" l="1"/>
  <c r="X84" i="7"/>
  <c r="S86" i="7" l="1"/>
  <c r="X85" i="7"/>
  <c r="S87" i="7" l="1"/>
  <c r="X86" i="7"/>
  <c r="S88" i="7" l="1"/>
  <c r="X87" i="7"/>
  <c r="S89" i="7" l="1"/>
  <c r="X88" i="7"/>
  <c r="S90" i="7" l="1"/>
  <c r="X89" i="7"/>
  <c r="S91" i="7" l="1"/>
  <c r="X90" i="7"/>
  <c r="S92" i="7" l="1"/>
  <c r="X91" i="7"/>
  <c r="S93" i="7" l="1"/>
  <c r="X92" i="7"/>
  <c r="S94" i="7" l="1"/>
  <c r="X93" i="7"/>
  <c r="S95" i="7" l="1"/>
  <c r="X94" i="7"/>
  <c r="S96" i="7" l="1"/>
  <c r="X95" i="7"/>
  <c r="S97" i="7" l="1"/>
  <c r="X96" i="7"/>
  <c r="S98" i="7" l="1"/>
  <c r="X97" i="7"/>
  <c r="S99" i="7" l="1"/>
  <c r="X98" i="7"/>
  <c r="S100" i="7" l="1"/>
  <c r="X99" i="7"/>
  <c r="S101" i="7" l="1"/>
  <c r="X100" i="7"/>
  <c r="S102" i="7" l="1"/>
  <c r="X101" i="7"/>
  <c r="S103" i="7" l="1"/>
  <c r="X102" i="7"/>
  <c r="S104" i="7" l="1"/>
  <c r="X103" i="7"/>
  <c r="S105" i="7" l="1"/>
  <c r="X104" i="7"/>
  <c r="S106" i="7" l="1"/>
  <c r="X105" i="7"/>
  <c r="S107" i="7" l="1"/>
  <c r="X106" i="7"/>
  <c r="S108" i="7" l="1"/>
  <c r="X107" i="7"/>
  <c r="S109" i="7" l="1"/>
  <c r="X108" i="7"/>
  <c r="S110" i="7" l="1"/>
  <c r="X109" i="7"/>
  <c r="S111" i="7" l="1"/>
  <c r="X110" i="7"/>
  <c r="S112" i="7" l="1"/>
  <c r="X111" i="7"/>
  <c r="S113" i="7" l="1"/>
  <c r="X112" i="7"/>
  <c r="S114" i="7" l="1"/>
  <c r="X113" i="7"/>
  <c r="S115" i="7" l="1"/>
  <c r="X114" i="7"/>
  <c r="S116" i="7" l="1"/>
  <c r="X115" i="7"/>
  <c r="S117" i="7" l="1"/>
  <c r="X116" i="7"/>
  <c r="S118" i="7" l="1"/>
  <c r="X117" i="7"/>
  <c r="S119" i="7" l="1"/>
  <c r="X118" i="7"/>
  <c r="S120" i="7" l="1"/>
  <c r="X119" i="7"/>
  <c r="S121" i="7" l="1"/>
  <c r="X120" i="7"/>
  <c r="S122" i="7" l="1"/>
  <c r="X121" i="7"/>
  <c r="S123" i="7" l="1"/>
  <c r="X122" i="7"/>
  <c r="S124" i="7" l="1"/>
  <c r="X123" i="7"/>
  <c r="S125" i="7" l="1"/>
  <c r="X124" i="7"/>
  <c r="S126" i="7" l="1"/>
  <c r="X125" i="7"/>
  <c r="S127" i="7" l="1"/>
  <c r="X126" i="7"/>
  <c r="S128" i="7" l="1"/>
  <c r="X127" i="7"/>
  <c r="S129" i="7" l="1"/>
  <c r="X128" i="7"/>
  <c r="S130" i="7" l="1"/>
  <c r="X129" i="7"/>
  <c r="S131" i="7" l="1"/>
  <c r="X130" i="7"/>
  <c r="S132" i="7" l="1"/>
  <c r="X131" i="7"/>
  <c r="S133" i="7" l="1"/>
  <c r="X132" i="7"/>
  <c r="S134" i="7" l="1"/>
  <c r="X133" i="7"/>
  <c r="S135" i="7" l="1"/>
  <c r="X134" i="7"/>
  <c r="S136" i="7" l="1"/>
  <c r="X135" i="7"/>
  <c r="S137" i="7" l="1"/>
  <c r="X136" i="7"/>
  <c r="S138" i="7" l="1"/>
  <c r="X137" i="7"/>
  <c r="S139" i="7" l="1"/>
  <c r="X138" i="7"/>
  <c r="S140" i="7" l="1"/>
  <c r="X139" i="7"/>
  <c r="S141" i="7" l="1"/>
  <c r="X140" i="7"/>
  <c r="S142" i="7" l="1"/>
  <c r="X141" i="7"/>
  <c r="S143" i="7" l="1"/>
  <c r="X142" i="7"/>
  <c r="S144" i="7" l="1"/>
  <c r="X143" i="7"/>
  <c r="S145" i="7" l="1"/>
  <c r="X144" i="7"/>
  <c r="S146" i="7" l="1"/>
  <c r="X145" i="7"/>
  <c r="S147" i="7" l="1"/>
  <c r="X146" i="7"/>
  <c r="S148" i="7" l="1"/>
  <c r="X147" i="7"/>
  <c r="S149" i="7" l="1"/>
  <c r="X148" i="7"/>
  <c r="S150" i="7" l="1"/>
  <c r="X149" i="7"/>
  <c r="S151" i="7" l="1"/>
  <c r="X150" i="7"/>
  <c r="S152" i="7" l="1"/>
  <c r="X151" i="7"/>
  <c r="S153" i="7" l="1"/>
  <c r="X152" i="7"/>
  <c r="S154" i="7" l="1"/>
  <c r="X153" i="7"/>
  <c r="S155" i="7" l="1"/>
  <c r="X154" i="7"/>
  <c r="S156" i="7" l="1"/>
  <c r="X155" i="7"/>
  <c r="S157" i="7" l="1"/>
  <c r="X156" i="7"/>
  <c r="S158" i="7" l="1"/>
  <c r="X157" i="7"/>
  <c r="S159" i="7" l="1"/>
  <c r="X158" i="7"/>
  <c r="S160" i="7" l="1"/>
  <c r="X159" i="7"/>
  <c r="S161" i="7" l="1"/>
  <c r="X160" i="7"/>
  <c r="S162" i="7" l="1"/>
  <c r="X161" i="7"/>
  <c r="S163" i="7" l="1"/>
  <c r="X162" i="7"/>
  <c r="S164" i="7" l="1"/>
  <c r="X163" i="7"/>
  <c r="S165" i="7" l="1"/>
  <c r="X164" i="7"/>
  <c r="S166" i="7" l="1"/>
  <c r="X165" i="7"/>
  <c r="S167" i="7" l="1"/>
  <c r="X166" i="7"/>
  <c r="S168" i="7" l="1"/>
  <c r="X167" i="7"/>
  <c r="S169" i="7" l="1"/>
  <c r="X168" i="7"/>
  <c r="S170" i="7" l="1"/>
  <c r="X169" i="7"/>
  <c r="S171" i="7" l="1"/>
  <c r="X170" i="7"/>
  <c r="S172" i="7" l="1"/>
  <c r="X171" i="7"/>
  <c r="S173" i="7" l="1"/>
  <c r="X172" i="7"/>
  <c r="S174" i="7" l="1"/>
  <c r="X173" i="7"/>
  <c r="S175" i="7" l="1"/>
  <c r="X174" i="7"/>
  <c r="S176" i="7" l="1"/>
  <c r="X175" i="7"/>
  <c r="S177" i="7" l="1"/>
  <c r="X176" i="7"/>
  <c r="S178" i="7" l="1"/>
  <c r="X177" i="7"/>
  <c r="S179" i="7" l="1"/>
  <c r="X178" i="7"/>
  <c r="S180" i="7" l="1"/>
  <c r="X179" i="7"/>
  <c r="S181" i="7" l="1"/>
  <c r="X180" i="7"/>
  <c r="S182" i="7" l="1"/>
  <c r="X181" i="7"/>
  <c r="S183" i="7" l="1"/>
  <c r="X182" i="7"/>
  <c r="S184" i="7" l="1"/>
  <c r="X183" i="7"/>
  <c r="S185" i="7" l="1"/>
  <c r="X184" i="7"/>
  <c r="S186" i="7" l="1"/>
  <c r="X185" i="7"/>
  <c r="S187" i="7" l="1"/>
  <c r="X186" i="7"/>
  <c r="S188" i="7" l="1"/>
  <c r="X187" i="7"/>
  <c r="S189" i="7" l="1"/>
  <c r="X188" i="7"/>
  <c r="S190" i="7" l="1"/>
  <c r="X189" i="7"/>
  <c r="S191" i="7" l="1"/>
  <c r="X190" i="7"/>
  <c r="S192" i="7" l="1"/>
  <c r="X191" i="7"/>
  <c r="S193" i="7" l="1"/>
  <c r="X192" i="7"/>
  <c r="S194" i="7" l="1"/>
  <c r="X193" i="7"/>
  <c r="S195" i="7" l="1"/>
  <c r="X194" i="7"/>
  <c r="S196" i="7" l="1"/>
  <c r="X195" i="7"/>
  <c r="S197" i="7" l="1"/>
  <c r="X196" i="7"/>
  <c r="S198" i="7" l="1"/>
  <c r="X197" i="7"/>
  <c r="S199" i="7" l="1"/>
  <c r="X198" i="7"/>
  <c r="S200" i="7" l="1"/>
  <c r="X199" i="7"/>
  <c r="S201" i="7" l="1"/>
  <c r="X200" i="7"/>
  <c r="S202" i="7" l="1"/>
  <c r="X201" i="7"/>
  <c r="S203" i="7" l="1"/>
  <c r="X202" i="7"/>
  <c r="S204" i="7" l="1"/>
  <c r="X203" i="7"/>
  <c r="S205" i="7" l="1"/>
  <c r="X204" i="7"/>
  <c r="S206" i="7" l="1"/>
  <c r="X205" i="7"/>
  <c r="S207" i="7" l="1"/>
  <c r="X206" i="7"/>
  <c r="S208" i="7" l="1"/>
  <c r="X207" i="7"/>
  <c r="S209" i="7" l="1"/>
  <c r="X208" i="7"/>
  <c r="S210" i="7" l="1"/>
  <c r="X209" i="7"/>
  <c r="S211" i="7" l="1"/>
  <c r="X210" i="7"/>
  <c r="S212" i="7" l="1"/>
  <c r="X211" i="7"/>
  <c r="S213" i="7" l="1"/>
  <c r="X212" i="7"/>
  <c r="S214" i="7" l="1"/>
  <c r="X213" i="7"/>
  <c r="S215" i="7" l="1"/>
  <c r="X214" i="7"/>
  <c r="S216" i="7" l="1"/>
  <c r="X215" i="7"/>
  <c r="S217" i="7" l="1"/>
  <c r="X216" i="7"/>
  <c r="S218" i="7" l="1"/>
  <c r="X217" i="7"/>
  <c r="S219" i="7" l="1"/>
  <c r="X218" i="7"/>
  <c r="S220" i="7" l="1"/>
  <c r="X219" i="7"/>
  <c r="S221" i="7" l="1"/>
  <c r="X220" i="7"/>
  <c r="S222" i="7" l="1"/>
  <c r="X221" i="7"/>
  <c r="S223" i="7" l="1"/>
  <c r="X222" i="7"/>
  <c r="S224" i="7" l="1"/>
  <c r="X223" i="7"/>
  <c r="S225" i="7" l="1"/>
  <c r="X224" i="7"/>
  <c r="S226" i="7" l="1"/>
  <c r="X225" i="7"/>
  <c r="S227" i="7" l="1"/>
  <c r="X226" i="7"/>
  <c r="S228" i="7" l="1"/>
  <c r="X227" i="7"/>
  <c r="S229" i="7" l="1"/>
  <c r="X228" i="7"/>
  <c r="S230" i="7" l="1"/>
  <c r="X229" i="7"/>
  <c r="S231" i="7" l="1"/>
  <c r="X230" i="7"/>
  <c r="S232" i="7" l="1"/>
  <c r="X231" i="7"/>
  <c r="S233" i="7" l="1"/>
  <c r="X232" i="7"/>
  <c r="S234" i="7" l="1"/>
  <c r="X233" i="7"/>
  <c r="S235" i="7" l="1"/>
  <c r="X234" i="7"/>
  <c r="S236" i="7" l="1"/>
  <c r="X235" i="7"/>
  <c r="S237" i="7" l="1"/>
  <c r="X236" i="7"/>
  <c r="S238" i="7" l="1"/>
  <c r="X237" i="7"/>
  <c r="S239" i="7" l="1"/>
  <c r="X238" i="7"/>
  <c r="S240" i="7" l="1"/>
  <c r="X239" i="7"/>
  <c r="S241" i="7" l="1"/>
  <c r="X240" i="7"/>
  <c r="S242" i="7" l="1"/>
  <c r="X241" i="7"/>
  <c r="S243" i="7" l="1"/>
  <c r="X242" i="7"/>
  <c r="S244" i="7" l="1"/>
  <c r="X243" i="7"/>
  <c r="S245" i="7" l="1"/>
  <c r="X244" i="7"/>
  <c r="S246" i="7" l="1"/>
  <c r="X245" i="7"/>
  <c r="S247" i="7" l="1"/>
  <c r="X246" i="7"/>
  <c r="S248" i="7" l="1"/>
  <c r="X247" i="7"/>
  <c r="S249" i="7" l="1"/>
  <c r="X248" i="7"/>
  <c r="S250" i="7" l="1"/>
  <c r="X249" i="7"/>
  <c r="S251" i="7" l="1"/>
  <c r="X250" i="7"/>
  <c r="S252" i="7" l="1"/>
  <c r="X251" i="7"/>
  <c r="S253" i="7" l="1"/>
  <c r="X252" i="7"/>
  <c r="S254" i="7" l="1"/>
  <c r="X253" i="7"/>
  <c r="S255" i="7" l="1"/>
  <c r="X254" i="7"/>
  <c r="S256" i="7" l="1"/>
  <c r="X255" i="7"/>
  <c r="S257" i="7" l="1"/>
  <c r="X256" i="7"/>
  <c r="S258" i="7" l="1"/>
  <c r="X257" i="7"/>
  <c r="S259" i="7" l="1"/>
  <c r="X258" i="7"/>
  <c r="S260" i="7" l="1"/>
  <c r="X259" i="7"/>
  <c r="S261" i="7" l="1"/>
  <c r="X260" i="7"/>
  <c r="S262" i="7" l="1"/>
  <c r="X261" i="7"/>
  <c r="S263" i="7" l="1"/>
  <c r="X262" i="7"/>
  <c r="S264" i="7" l="1"/>
  <c r="X263" i="7"/>
  <c r="S265" i="7" l="1"/>
  <c r="X264" i="7"/>
  <c r="S266" i="7" l="1"/>
  <c r="X265" i="7"/>
  <c r="S267" i="7" l="1"/>
  <c r="X266" i="7"/>
  <c r="S268" i="7" l="1"/>
  <c r="X267" i="7"/>
  <c r="S269" i="7" l="1"/>
  <c r="X268" i="7"/>
  <c r="S270" i="7" l="1"/>
  <c r="X269" i="7"/>
  <c r="S271" i="7" l="1"/>
  <c r="X270" i="7"/>
  <c r="S272" i="7" l="1"/>
  <c r="X271" i="7"/>
  <c r="S273" i="7" l="1"/>
  <c r="X272" i="7"/>
  <c r="S274" i="7" l="1"/>
  <c r="X273" i="7"/>
  <c r="S275" i="7" l="1"/>
  <c r="X274" i="7"/>
  <c r="S276" i="7" l="1"/>
  <c r="X275" i="7"/>
  <c r="S277" i="7" l="1"/>
  <c r="X276" i="7"/>
  <c r="S278" i="7" l="1"/>
  <c r="X277" i="7"/>
  <c r="S279" i="7" l="1"/>
  <c r="X278" i="7"/>
  <c r="S280" i="7" l="1"/>
  <c r="X279" i="7"/>
  <c r="S281" i="7" l="1"/>
  <c r="X280" i="7"/>
  <c r="S282" i="7" l="1"/>
  <c r="X281" i="7"/>
  <c r="S283" i="7" l="1"/>
  <c r="X282" i="7"/>
  <c r="S284" i="7" l="1"/>
  <c r="X283" i="7"/>
  <c r="S285" i="7" l="1"/>
  <c r="X284" i="7"/>
  <c r="S286" i="7" l="1"/>
  <c r="X285" i="7"/>
  <c r="S287" i="7" l="1"/>
  <c r="X286" i="7"/>
  <c r="S288" i="7" l="1"/>
  <c r="X287" i="7"/>
  <c r="S289" i="7" l="1"/>
  <c r="X288" i="7"/>
  <c r="S290" i="7" l="1"/>
  <c r="X289" i="7"/>
  <c r="S291" i="7" l="1"/>
  <c r="X290" i="7"/>
  <c r="S292" i="7" l="1"/>
  <c r="X291" i="7"/>
  <c r="S293" i="7" l="1"/>
  <c r="X292" i="7"/>
  <c r="S294" i="7" l="1"/>
  <c r="X293" i="7"/>
  <c r="S295" i="7" l="1"/>
  <c r="X294" i="7"/>
  <c r="S296" i="7" l="1"/>
  <c r="X295" i="7"/>
  <c r="S297" i="7" l="1"/>
  <c r="X296" i="7"/>
  <c r="S298" i="7" l="1"/>
  <c r="X297" i="7"/>
  <c r="S299" i="7" l="1"/>
  <c r="X298" i="7"/>
  <c r="S300" i="7" l="1"/>
  <c r="X299" i="7"/>
  <c r="S301" i="7" l="1"/>
  <c r="X300" i="7"/>
  <c r="S302" i="7" l="1"/>
  <c r="X301" i="7"/>
  <c r="S303" i="7" l="1"/>
  <c r="X302" i="7"/>
  <c r="S304" i="7" l="1"/>
  <c r="X303" i="7"/>
  <c r="S305" i="7" l="1"/>
  <c r="X304" i="7"/>
  <c r="S306" i="7" l="1"/>
  <c r="X305" i="7"/>
  <c r="S307" i="7" l="1"/>
  <c r="X306" i="7"/>
  <c r="S308" i="7" l="1"/>
  <c r="X307" i="7"/>
  <c r="S309" i="7" l="1"/>
  <c r="X308" i="7"/>
  <c r="S310" i="7" l="1"/>
  <c r="X309" i="7"/>
  <c r="S311" i="7" l="1"/>
  <c r="X310" i="7"/>
  <c r="S312" i="7" l="1"/>
  <c r="X311" i="7"/>
  <c r="S313" i="7" l="1"/>
  <c r="X312" i="7"/>
  <c r="S314" i="7" l="1"/>
  <c r="X313" i="7"/>
  <c r="S315" i="7" l="1"/>
  <c r="X314" i="7"/>
  <c r="S316" i="7" l="1"/>
  <c r="X315" i="7"/>
  <c r="S317" i="7" l="1"/>
  <c r="X316" i="7"/>
  <c r="S318" i="7" l="1"/>
  <c r="X317" i="7"/>
  <c r="S319" i="7" l="1"/>
  <c r="X318" i="7"/>
  <c r="S320" i="7" l="1"/>
  <c r="X319" i="7"/>
  <c r="S321" i="7" l="1"/>
  <c r="X320" i="7"/>
  <c r="S322" i="7" l="1"/>
  <c r="X321" i="7"/>
  <c r="S323" i="7" l="1"/>
  <c r="X322" i="7"/>
  <c r="S324" i="7" l="1"/>
  <c r="X323" i="7"/>
  <c r="S325" i="7" l="1"/>
  <c r="X324" i="7"/>
  <c r="S326" i="7" l="1"/>
  <c r="X325" i="7"/>
  <c r="S327" i="7" l="1"/>
  <c r="X326" i="7"/>
  <c r="S328" i="7" l="1"/>
  <c r="X327" i="7"/>
  <c r="S329" i="7" l="1"/>
  <c r="X328" i="7"/>
  <c r="S330" i="7" l="1"/>
  <c r="X329" i="7"/>
  <c r="S331" i="7" l="1"/>
  <c r="X330" i="7"/>
  <c r="S332" i="7" l="1"/>
  <c r="X331" i="7"/>
  <c r="S333" i="7" l="1"/>
  <c r="X332" i="7"/>
  <c r="S334" i="7" l="1"/>
  <c r="X333" i="7"/>
  <c r="S335" i="7" l="1"/>
  <c r="X334" i="7"/>
  <c r="S336" i="7" l="1"/>
  <c r="X335" i="7"/>
  <c r="S337" i="7" l="1"/>
  <c r="X336" i="7"/>
  <c r="S338" i="7" l="1"/>
  <c r="X337" i="7"/>
  <c r="S339" i="7" l="1"/>
  <c r="X338" i="7"/>
  <c r="S340" i="7" l="1"/>
  <c r="X339" i="7"/>
  <c r="S341" i="7" l="1"/>
  <c r="X340" i="7"/>
  <c r="S342" i="7" l="1"/>
  <c r="X341" i="7"/>
  <c r="S343" i="7" l="1"/>
  <c r="X342" i="7"/>
  <c r="S344" i="7" l="1"/>
  <c r="X343" i="7"/>
  <c r="S345" i="7" l="1"/>
  <c r="X344" i="7"/>
  <c r="S346" i="7" l="1"/>
  <c r="X345" i="7"/>
  <c r="S347" i="7" l="1"/>
  <c r="X346" i="7"/>
  <c r="S348" i="7" l="1"/>
  <c r="X347" i="7"/>
  <c r="S349" i="7" l="1"/>
  <c r="X348" i="7"/>
  <c r="S350" i="7" l="1"/>
  <c r="X349" i="7"/>
  <c r="S351" i="7" l="1"/>
  <c r="X350" i="7"/>
  <c r="S352" i="7" l="1"/>
  <c r="X351" i="7"/>
  <c r="S353" i="7" l="1"/>
  <c r="X352" i="7"/>
  <c r="S354" i="7" l="1"/>
  <c r="X353" i="7"/>
  <c r="S355" i="7" l="1"/>
  <c r="X354" i="7"/>
  <c r="S356" i="7" l="1"/>
  <c r="X355" i="7"/>
  <c r="S357" i="7" l="1"/>
  <c r="X356" i="7"/>
  <c r="S358" i="7" l="1"/>
  <c r="X357" i="7"/>
  <c r="S359" i="7" l="1"/>
  <c r="X358" i="7"/>
  <c r="S360" i="7" l="1"/>
  <c r="X359" i="7"/>
  <c r="S361" i="7" l="1"/>
  <c r="X360" i="7"/>
  <c r="S362" i="7" l="1"/>
  <c r="X361" i="7"/>
  <c r="S363" i="7" l="1"/>
  <c r="X362" i="7"/>
  <c r="S364" i="7" l="1"/>
  <c r="X363" i="7"/>
  <c r="S365" i="7" l="1"/>
  <c r="X364" i="7"/>
  <c r="S366" i="7" l="1"/>
  <c r="X365" i="7"/>
  <c r="S367" i="7" l="1"/>
  <c r="X366" i="7"/>
  <c r="X367" i="7" l="1"/>
  <c r="AA5" i="7"/>
  <c r="AA10" i="7"/>
  <c r="AA7" i="7"/>
  <c r="AA8" i="7"/>
  <c r="AA11" i="7"/>
  <c r="AA6" i="7"/>
  <c r="AA12" i="7"/>
  <c r="AA9" i="7"/>
  <c r="AA13" i="7"/>
  <c r="AA14" i="7"/>
  <c r="AA15" i="7"/>
  <c r="AA17" i="7"/>
  <c r="AA18" i="7"/>
  <c r="AA16" i="7"/>
  <c r="AA19" i="7"/>
  <c r="AA20" i="7"/>
  <c r="AA21" i="7"/>
  <c r="AA22" i="7"/>
  <c r="AA24" i="7"/>
  <c r="AA23" i="7"/>
  <c r="AA25" i="7"/>
  <c r="AA26" i="7"/>
  <c r="AA28" i="7"/>
  <c r="AA27" i="7"/>
  <c r="AA29" i="7"/>
  <c r="AA30" i="7"/>
  <c r="AA31" i="7"/>
  <c r="AA32" i="7"/>
  <c r="AA36" i="7"/>
  <c r="AA34" i="7"/>
  <c r="AA33" i="7"/>
  <c r="AA38" i="7"/>
  <c r="AA35" i="7"/>
  <c r="AA37" i="7"/>
  <c r="AA39" i="7"/>
  <c r="AA42" i="7"/>
  <c r="AA44" i="7"/>
  <c r="AA40" i="7"/>
  <c r="AA41" i="7"/>
  <c r="AA46" i="7"/>
  <c r="AA43" i="7"/>
  <c r="AA45" i="7"/>
  <c r="AA50" i="7"/>
  <c r="AA47" i="7"/>
  <c r="AA48" i="7"/>
  <c r="AA52" i="7"/>
  <c r="AA49" i="7"/>
  <c r="AA51" i="7"/>
  <c r="AA53" i="7"/>
  <c r="AA54" i="7"/>
  <c r="AA55" i="7"/>
  <c r="AB54" i="7" l="1"/>
  <c r="AD55" i="7"/>
  <c r="AD41" i="7"/>
  <c r="AB40" i="7"/>
  <c r="AC40" i="7" s="1"/>
  <c r="AB30" i="7"/>
  <c r="AC30" i="7" s="1"/>
  <c r="AD31" i="7"/>
  <c r="AD54" i="7"/>
  <c r="AB53" i="7"/>
  <c r="AC53" i="7" s="1"/>
  <c r="AD52" i="7"/>
  <c r="AB51" i="7"/>
  <c r="AC51" i="7" s="1"/>
  <c r="AD45" i="7"/>
  <c r="AB44" i="7"/>
  <c r="AC44" i="7" s="1"/>
  <c r="AD40" i="7"/>
  <c r="AB39" i="7"/>
  <c r="AC39" i="7" s="1"/>
  <c r="AB36" i="7"/>
  <c r="AC36" i="7" s="1"/>
  <c r="AD37" i="7"/>
  <c r="AB33" i="7"/>
  <c r="AC33" i="7" s="1"/>
  <c r="AD34" i="7"/>
  <c r="AD30" i="7"/>
  <c r="AB29" i="7"/>
  <c r="AC29" i="7" s="1"/>
  <c r="AB25" i="7"/>
  <c r="AC25" i="7" s="1"/>
  <c r="AD26" i="7"/>
  <c r="AB21" i="7"/>
  <c r="AC21" i="7" s="1"/>
  <c r="AD22" i="7"/>
  <c r="AB15" i="7"/>
  <c r="AC15" i="7" s="1"/>
  <c r="AD16" i="7"/>
  <c r="AD14" i="7"/>
  <c r="AB13" i="7"/>
  <c r="AC13" i="7" s="1"/>
  <c r="AB5" i="7"/>
  <c r="AC5" i="7" s="1"/>
  <c r="AD6" i="7"/>
  <c r="AD10" i="7"/>
  <c r="AB9" i="7"/>
  <c r="AC9" i="7" s="1"/>
  <c r="AD49" i="7"/>
  <c r="AB48" i="7"/>
  <c r="AC48" i="7" s="1"/>
  <c r="AB38" i="7"/>
  <c r="AC38" i="7" s="1"/>
  <c r="AD39" i="7"/>
  <c r="AD28" i="7"/>
  <c r="AB27" i="7"/>
  <c r="AC27" i="7" s="1"/>
  <c r="AB18" i="7"/>
  <c r="AC18" i="7" s="1"/>
  <c r="AD19" i="7"/>
  <c r="AB11" i="7"/>
  <c r="AC11" i="7" s="1"/>
  <c r="AD12" i="7"/>
  <c r="AD53" i="7"/>
  <c r="AB52" i="7"/>
  <c r="AC52" i="7" s="1"/>
  <c r="AD48" i="7"/>
  <c r="AB47" i="7"/>
  <c r="AC47" i="7" s="1"/>
  <c r="AD43" i="7"/>
  <c r="AB42" i="7"/>
  <c r="AC42" i="7" s="1"/>
  <c r="AD44" i="7"/>
  <c r="AB43" i="7"/>
  <c r="AC43" i="7" s="1"/>
  <c r="AB34" i="7"/>
  <c r="AC34" i="7" s="1"/>
  <c r="AD35" i="7"/>
  <c r="AB35" i="7"/>
  <c r="AC35" i="7" s="1"/>
  <c r="AD36" i="7"/>
  <c r="AD29" i="7"/>
  <c r="AB28" i="7"/>
  <c r="AC28" i="7" s="1"/>
  <c r="AB24" i="7"/>
  <c r="AC24" i="7" s="1"/>
  <c r="AD25" i="7"/>
  <c r="AD21" i="7"/>
  <c r="AB20" i="7"/>
  <c r="AC20" i="7" s="1"/>
  <c r="AB17" i="7"/>
  <c r="AC17" i="7" s="1"/>
  <c r="AD18" i="7"/>
  <c r="AB12" i="7"/>
  <c r="AC12" i="7" s="1"/>
  <c r="AD13" i="7"/>
  <c r="AB10" i="7"/>
  <c r="AC10" i="7" s="1"/>
  <c r="AD11" i="7"/>
  <c r="AB4" i="7"/>
  <c r="AC4" i="7" s="1"/>
  <c r="AD5" i="7"/>
  <c r="AB49" i="7"/>
  <c r="AC49" i="7" s="1"/>
  <c r="AD50" i="7"/>
  <c r="AB32" i="7"/>
  <c r="AC32" i="7" s="1"/>
  <c r="AD33" i="7"/>
  <c r="AB23" i="7"/>
  <c r="AC23" i="7" s="1"/>
  <c r="AD24" i="7"/>
  <c r="AD15" i="7"/>
  <c r="AB14" i="7"/>
  <c r="AC14" i="7" s="1"/>
  <c r="AD7" i="7"/>
  <c r="AB6" i="7"/>
  <c r="AC6" i="7" s="1"/>
  <c r="AB50" i="7"/>
  <c r="AC50" i="7" s="1"/>
  <c r="AD51" i="7"/>
  <c r="AB46" i="7"/>
  <c r="AC46" i="7" s="1"/>
  <c r="AD47" i="7"/>
  <c r="AD46" i="7"/>
  <c r="AB45" i="7"/>
  <c r="AC45" i="7" s="1"/>
  <c r="AD42" i="7"/>
  <c r="AB41" i="7"/>
  <c r="AC41" i="7" s="1"/>
  <c r="AB37" i="7"/>
  <c r="AC37" i="7" s="1"/>
  <c r="AD38" i="7"/>
  <c r="AB31" i="7"/>
  <c r="AC31" i="7" s="1"/>
  <c r="AD32" i="7"/>
  <c r="AD27" i="7"/>
  <c r="AB26" i="7"/>
  <c r="AC26" i="7" s="1"/>
  <c r="AD23" i="7"/>
  <c r="AB22" i="7"/>
  <c r="AC22" i="7" s="1"/>
  <c r="AB19" i="7"/>
  <c r="AC19" i="7" s="1"/>
  <c r="AD20" i="7"/>
  <c r="AD17" i="7"/>
  <c r="AB16" i="7"/>
  <c r="AC16" i="7" s="1"/>
  <c r="AD9" i="7"/>
  <c r="AB8" i="7"/>
  <c r="AC8" i="7" s="1"/>
  <c r="AB7" i="7"/>
  <c r="AC7" i="7" s="1"/>
  <c r="AD8" i="7"/>
  <c r="AC54" i="7" l="1"/>
  <c r="AB55" i="7"/>
  <c r="AC55" i="7" s="1"/>
  <c r="AG3" i="7" l="1"/>
  <c r="AR2" i="7" s="1"/>
  <c r="AG6" i="7"/>
  <c r="AR3" i="7" l="1"/>
  <c r="AR4" i="7" s="1"/>
  <c r="AR6" i="7" s="1"/>
  <c r="M12" i="6"/>
  <c r="M11" i="6" s="1"/>
  <c r="AR5" i="7" l="1"/>
  <c r="Z6" i="6" s="1"/>
  <c r="M10" i="6"/>
  <c r="M9" i="6" s="1"/>
  <c r="M8" i="6" s="1"/>
  <c r="M7" i="6" s="1"/>
  <c r="M6" i="6" s="1"/>
  <c r="M5" i="6" s="1"/>
  <c r="AX3" i="7" s="1"/>
  <c r="AY3" i="7" s="1"/>
  <c r="AX9" i="7"/>
  <c r="AY9" i="7" s="1"/>
  <c r="L11" i="6"/>
  <c r="AX10" i="7"/>
  <c r="AY10" i="7" s="1"/>
  <c r="L12" i="6"/>
  <c r="L9" i="6"/>
  <c r="AX6" i="7" l="1"/>
  <c r="AY6" i="7" s="1"/>
  <c r="L7" i="6"/>
  <c r="L6" i="6"/>
  <c r="BB3" i="7"/>
  <c r="BB2" i="7"/>
  <c r="L5" i="6"/>
  <c r="AX7" i="7"/>
  <c r="AY7" i="7" s="1"/>
  <c r="L8" i="6"/>
  <c r="AX5" i="7"/>
  <c r="AY5" i="7" s="1"/>
  <c r="AX4" i="7"/>
  <c r="AY4" i="7" s="1"/>
  <c r="AX8" i="7"/>
  <c r="AY8" i="7" s="1"/>
  <c r="L10" i="6"/>
  <c r="BB4" i="7" l="1"/>
  <c r="BB6" i="7" s="1"/>
  <c r="BB5" i="7" l="1"/>
  <c r="Z3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Braga Machado</author>
  </authors>
  <commentList>
    <comment ref="S19" authorId="0" shapeId="0" xr:uid="{903744F2-70E0-48F9-A148-A0858E2C8F35}">
      <text>
        <r>
          <rPr>
            <b/>
            <sz val="9"/>
            <color indexed="81"/>
            <rFont val="Segoe UI"/>
            <family val="2"/>
          </rPr>
          <t>Kleber Maragnoni:</t>
        </r>
        <r>
          <rPr>
            <sz val="9"/>
            <color indexed="81"/>
            <rFont val="Segoe UI"/>
            <family val="2"/>
          </rPr>
          <t xml:space="preserve">
Estou prestes a finalizar.</t>
        </r>
      </text>
    </comment>
  </commentList>
</comments>
</file>

<file path=xl/sharedStrings.xml><?xml version="1.0" encoding="utf-8"?>
<sst xmlns="http://schemas.openxmlformats.org/spreadsheetml/2006/main" count="9318" uniqueCount="118">
  <si>
    <t>INDICADOR</t>
  </si>
  <si>
    <t>Nome:</t>
  </si>
  <si>
    <t>Racional de Cálculo:</t>
  </si>
  <si>
    <t>Unidade de Medida:</t>
  </si>
  <si>
    <t>MÊS</t>
  </si>
  <si>
    <t>REAL</t>
  </si>
  <si>
    <t>META</t>
  </si>
  <si>
    <t>GERAL</t>
  </si>
  <si>
    <t>Ano:</t>
  </si>
  <si>
    <t>ANO</t>
  </si>
  <si>
    <t>SIM / NÃO</t>
  </si>
  <si>
    <t>MENSAL / SEMANAL</t>
  </si>
  <si>
    <t>Sim</t>
  </si>
  <si>
    <t>Não</t>
  </si>
  <si>
    <t>Semanal</t>
  </si>
  <si>
    <t>Mensal</t>
  </si>
  <si>
    <t>BASE DE DADOS: GRÁFICO MENSAL</t>
  </si>
  <si>
    <t>AUXILIAR</t>
  </si>
  <si>
    <t>BASE DE DADOS: GRÁFICO SEMANAL</t>
  </si>
  <si>
    <t>SEMANA</t>
  </si>
  <si>
    <t>BASE DE DADOS: PLANO DE AÇÃO</t>
  </si>
  <si>
    <t>O QUE?</t>
  </si>
  <si>
    <t>QUEM?</t>
  </si>
  <si>
    <t>QUANDO?</t>
  </si>
  <si>
    <t>DATA CONCLUSÃO</t>
  </si>
  <si>
    <t>DIA</t>
  </si>
  <si>
    <t>DATA</t>
  </si>
  <si>
    <t>DIA DA SEMANA</t>
  </si>
  <si>
    <t>GRÁFICO MENSAL</t>
  </si>
  <si>
    <t>GRÁFICO SEMANAL</t>
  </si>
  <si>
    <t>%</t>
  </si>
  <si>
    <t>Melhor Para:</t>
  </si>
  <si>
    <t>CIMA / BAIXO</t>
  </si>
  <si>
    <t>Cima</t>
  </si>
  <si>
    <t>Baixo</t>
  </si>
  <si>
    <t>VERDE</t>
  </si>
  <si>
    <t>VERMELHO</t>
  </si>
  <si>
    <t>MÊS CONCLUSÃO</t>
  </si>
  <si>
    <t>SEMANA CONCLUSÃO</t>
  </si>
  <si>
    <t>UNIDADE</t>
  </si>
  <si>
    <t>UNIDADE REF.</t>
  </si>
  <si>
    <t>#</t>
  </si>
  <si>
    <t>R$</t>
  </si>
  <si>
    <t>US$</t>
  </si>
  <si>
    <t>[$USD] #.##</t>
  </si>
  <si>
    <t>R$ #.##0,0</t>
  </si>
  <si>
    <t>[$USD] #.##0,0</t>
  </si>
  <si>
    <t>% ,0</t>
  </si>
  <si>
    <t># ,0</t>
  </si>
  <si>
    <t>R$ ,0</t>
  </si>
  <si>
    <t>US$ ,0</t>
  </si>
  <si>
    <t>UNIDADE GRAF.</t>
  </si>
  <si>
    <t>0%;"";""</t>
  </si>
  <si>
    <t>UNIDADE RÓT. IND.</t>
  </si>
  <si>
    <t># AÇÕES CONCLUÍDAS</t>
  </si>
  <si>
    <t># AÇÕES CONCLUÍDAS ACUM.</t>
  </si>
  <si>
    <t>Realizado:</t>
  </si>
  <si>
    <t>Meta:</t>
  </si>
  <si>
    <t>Desvio:</t>
  </si>
  <si>
    <t>Tipo:</t>
  </si>
  <si>
    <t>Desvio Absoluto:</t>
  </si>
  <si>
    <t>SEMANA  APRESENTAÇÃO</t>
  </si>
  <si>
    <t>DATA INÍCIO</t>
  </si>
  <si>
    <t>DATA FIM</t>
  </si>
  <si>
    <t>Resultados da Semana:</t>
  </si>
  <si>
    <t>MÊS APRESENTAÇÃO</t>
  </si>
  <si>
    <t>NÚM. MÊS</t>
  </si>
  <si>
    <t>SEMANA ABREVIADO</t>
  </si>
  <si>
    <t>NÚM. SEMANA</t>
  </si>
  <si>
    <t>Núm. E-mails Cadastrados:</t>
  </si>
  <si>
    <t>"Para" Consolidado:</t>
  </si>
  <si>
    <t>R$ #.##</t>
  </si>
  <si>
    <t>[$USD] #.##0;"";""</t>
  </si>
  <si>
    <t>[$USD] #.##0,0;"";""</t>
  </si>
  <si>
    <t>[$R$] #.##0;"";""</t>
  </si>
  <si>
    <t>[$R$] #.##0,0;"";""</t>
  </si>
  <si>
    <t>0,0%;"";""</t>
  </si>
  <si>
    <t>#.##</t>
  </si>
  <si>
    <t>#.##0;"";""</t>
  </si>
  <si>
    <t>#.##0,0;"";""</t>
  </si>
  <si>
    <t>Núm. Ações Cadastradas:</t>
  </si>
  <si>
    <t>Semana 5: de 28/jan/2035 a 03/fev/2035</t>
  </si>
  <si>
    <t>Data Petição</t>
  </si>
  <si>
    <t>Contagem de Data Desligamento</t>
  </si>
  <si>
    <t>Data Desligamento</t>
  </si>
  <si>
    <t>PIS/PASEP</t>
  </si>
  <si>
    <t>Filial ID</t>
  </si>
  <si>
    <t/>
  </si>
  <si>
    <t>Ano-Mês Desligamento</t>
  </si>
  <si>
    <t>Ano-Mês Petição</t>
  </si>
  <si>
    <t>2035-01</t>
  </si>
  <si>
    <t>Contagem de Ano-Mês Petição</t>
  </si>
  <si>
    <t>Entrada de Processos Trabalhistas</t>
  </si>
  <si>
    <t>Núm. Processos Trabalhistas Recebidos / Núm. Funcionários em Loja Desligados</t>
  </si>
  <si>
    <t>João Ribas (Gerente)</t>
  </si>
  <si>
    <t>Treinar o Davi (coordenador) em PDCA (Análises e Planos de Ação).</t>
  </si>
  <si>
    <t>Davi Andrade (Coordenador)</t>
  </si>
  <si>
    <t>Samara Nogueira (Analista)</t>
  </si>
  <si>
    <t>Kelly Silva (Advogada)</t>
  </si>
  <si>
    <t>Kleber Maragnone (Assistente)</t>
  </si>
  <si>
    <t>2035-02</t>
  </si>
  <si>
    <t>RS: Obter o desligamento imediato do Fabrício (gerente geral da regional 03) junto ao João (ger. jurídico) e ao Márcio (dir. operações), com base nos Ishikawas levantados pela equipe.</t>
  </si>
  <si>
    <t>RS: Obter a substituição imediata dos gerentes das lojas 125, 10, 182, 279, 77, 262, 40, 114, 22, 9, 195, 32 e 130 junto ao João (ger. jurídico) e ao Márcio (dir. operações), com base nos Ishikawas levantados.</t>
  </si>
  <si>
    <t>RS: Montar junto ao Márcio (dir. operações) um e-mail para explicar os desligamentos propostos, de forma a contextualizar todos os gerentes gerais e os gerentes de loja sobre a priorização da companhia por habilidades comportamentais como esforço para redução do Indicador de Entrada de Processos Trabalhistas.</t>
  </si>
  <si>
    <t>RS: Repassar o treinamento, a Política Corporativa e o "mini manual" a todos os gerentes regionais, instruindo-os a como repassarem os conteúdos aos seus gerentes de loja.</t>
  </si>
  <si>
    <t>RS: Encaminhar a versão final (dos e-mails de boas práticas comportamentais e reuniões de desligamento) para todos os gerentes de loja, contextualizando-os sobre o esforço de redução de Entrada de Processos Trabalhistas e solicitando confirmação de leitura.</t>
  </si>
  <si>
    <t>RS: Revisar junto à Raphaela e à Karina (analistas RH) a rotina de montagem de escalas e apontamento de liderança de turno para as lojas, especialmente para fins de semana e feriados.</t>
  </si>
  <si>
    <t>RS: Montar junto à Joyce (ger. RH) um treinamento específico sobre como conduzir reuniões de desligamento, para os gerentes de loja.</t>
  </si>
  <si>
    <t>BC: Revisar junto à Joyce (ger. RH) o processo de contratação de gerentes de loja, para iluminar as etapas e o perfil desejado também sob a ótica do dpto. jurídico (visando a reduzir a entrada de processos trabalhistas).</t>
  </si>
  <si>
    <t>BC: Revisar junto à Joyce (ger. RH) o processo de avaliação e promoção de gerentes de loja, para iluminar as etapas e o perfil desejado também sob a ótica do dpto. jurídico (visando a reduzir a entrada de processos trabalhistas) e para incluir a pesquisa de clima nos critérios de avaliação e promoção dos gerentes de loja.</t>
  </si>
  <si>
    <t>RS: Alinhar as datas e prazos de treinamento nos novos Padrões criados (Padrões para montagem de escalas), para que os gerentes gerais treinem os gerentes de loja.</t>
  </si>
  <si>
    <t>RS: Revisar as pesquisas de clima do primeiro semestre de 2033 e incorporar pontos críticos à redução de Entrada de Processos Trabalhistas aos treinamentos, Políticas e Padrões de processo que serão criados junto ao RH.</t>
  </si>
  <si>
    <t>RS: Revisar as pesquisas de clima do segundo semestre de 2033 e incorporar pontos críticos à redução de Entrada de Processos Trabalhistas aos treinamentos, Políticas e Padrões de processo que serão criados junto ao RH.</t>
  </si>
  <si>
    <t>RS: Revisar as pesquisas de clima do primeiro semestre de 2034 e incorporar pontos críticos à redução de Entrada de Processos Trabalhistas aos treinamentos, Políticas e Padrões de processo que serão criados junto ao RH.</t>
  </si>
  <si>
    <t>RS: Revisar as pesquisas de clima do segundo semestre de 2034 e incorporar pontos críticos à redução de Entrada de Processos Trabalhistas aos treinamentos, Políticas e Padrões de processo que serão criados junto ao RH.</t>
  </si>
  <si>
    <t>RS: Fazer orçamento e junto à Machado para potencial consultoria de Método Gerencial voltado às soft skills para os gerentes gerais das regionais e replicação aos gerentes de loja.</t>
  </si>
  <si>
    <t>RS: Obter o desligamento imediato do Fabrício (gerente geral da regional 03) junto ao Márcio (dir. operações), com base nos Ishikawas levantados pela equipe.</t>
  </si>
  <si>
    <t>RS: Obter a substituição imediata dos gerentes das lojas 125, 10, 182, 279, 77, 262, 40, 114, 22, 9, 195, 32 e 130 junto ao Márcio (dir. operações), com base nos Ishikawas levantados.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</si>
</sst>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mmm\-yy;@"/>
    <numFmt numFmtId="165" formatCode="[$-416]mmmyy"/>
    <numFmt numFmtId="166" formatCode="[$-416]dd/mmm/yyyy"/>
    <numFmt numFmtId="167" formatCode="0.0%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Wingdings 3"/>
      <family val="1"/>
      <charset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trike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41034"/>
        <bgColor indexed="64"/>
      </patternFill>
    </fill>
    <fill>
      <patternFill patternType="solid">
        <fgColor rgb="FF4A081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top"/>
    </xf>
    <xf numFmtId="166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/>
    <xf numFmtId="0" fontId="0" fillId="0" borderId="1" xfId="0" quotePrefix="1" applyBorder="1"/>
    <xf numFmtId="1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7" fontId="6" fillId="0" borderId="0" xfId="1" applyNumberFormat="1" applyFill="1" applyBorder="1" applyAlignment="1">
      <alignment horizontal="center"/>
    </xf>
    <xf numFmtId="0" fontId="0" fillId="0" borderId="0" xfId="0" pivotButton="1"/>
    <xf numFmtId="0" fontId="1" fillId="5" borderId="7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0" fontId="0" fillId="0" borderId="0" xfId="2" applyNumberFormat="1" applyFont="1"/>
    <xf numFmtId="10" fontId="0" fillId="2" borderId="1" xfId="2" applyNumberFormat="1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0" fillId="2" borderId="1" xfId="0" applyFill="1" applyBorder="1"/>
    <xf numFmtId="0" fontId="0" fillId="0" borderId="10" xfId="0" applyBorder="1" applyAlignment="1">
      <alignment horizontal="center"/>
    </xf>
    <xf numFmtId="15" fontId="0" fillId="0" borderId="10" xfId="0" applyNumberFormat="1" applyBorder="1" applyAlignment="1">
      <alignment horizontal="center"/>
    </xf>
    <xf numFmtId="167" fontId="0" fillId="0" borderId="0" xfId="2" applyNumberFormat="1" applyFont="1"/>
    <xf numFmtId="166" fontId="9" fillId="2" borderId="1" xfId="0" applyNumberFormat="1" applyFont="1" applyFill="1" applyBorder="1" applyAlignment="1">
      <alignment horizontal="center"/>
    </xf>
    <xf numFmtId="0" fontId="12" fillId="6" borderId="1" xfId="0" applyFont="1" applyFill="1" applyBorder="1"/>
    <xf numFmtId="0" fontId="0" fillId="6" borderId="1" xfId="0" applyFill="1" applyBorder="1"/>
    <xf numFmtId="166" fontId="0" fillId="6" borderId="1" xfId="0" applyNumberFormat="1" applyFill="1" applyBorder="1" applyAlignment="1">
      <alignment horizontal="center"/>
    </xf>
    <xf numFmtId="166" fontId="12" fillId="6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top"/>
    </xf>
    <xf numFmtId="0" fontId="1" fillId="0" borderId="0" xfId="0" applyFont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0"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rgb="FF000000"/>
        </top>
      </border>
    </dxf>
    <dxf>
      <border diagonalUp="0" diagonalDown="0">
        <left style="hair">
          <color rgb="FF000000"/>
        </left>
        <right style="hair">
          <color rgb="FF000000"/>
        </right>
        <top style="hair">
          <color rgb="FF000000"/>
        </top>
        <bottom style="hair">
          <color rgb="FF000000"/>
        </bottom>
      </border>
    </dxf>
    <dxf>
      <border>
        <bottom style="hair">
          <color rgb="FF000000"/>
        </bottom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Light16"/>
  <colors>
    <mruColors>
      <color rgb="FF4A0816"/>
      <color rgb="FFFDE9EE"/>
      <color rgb="FFFACAD5"/>
      <color rgb="FFA41034"/>
      <color rgb="FF6A9B8A"/>
      <color rgb="FF417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31345351840901309"/>
          <c:w val="0.90529456004774345"/>
          <c:h val="0.456227111927214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dLbl>
              <c:idx val="1"/>
              <c:layout>
                <c:manualLayout>
                  <c:x val="-1.743377748576239E-17"/>
                  <c:y val="0.2268520318980854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C8-4B57-9C5D-30900F6F5640}"/>
                </c:ext>
              </c:extLst>
            </c:dLbl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Resultados'!$I$5:$I$16</c:f>
              <c:numCache>
                <c:formatCode>0</c:formatCode>
                <c:ptCount val="12"/>
                <c:pt idx="0">
                  <c:v>0</c:v>
                </c:pt>
                <c:pt idx="1">
                  <c:v>0.20399999999999999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421-8BDA-B3A99312AA51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Resultados'!$J$5:$J$16</c:f>
              <c:numCache>
                <c:formatCode>0</c:formatCode>
                <c:ptCount val="12"/>
                <c:pt idx="0">
                  <c:v>0.22222222222222221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Resultados'!$H$5:$H$16</c:f>
              <c:numCache>
                <c:formatCode>0.00%</c:formatCode>
                <c:ptCount val="12"/>
                <c:pt idx="0">
                  <c:v>0.21184929971664709</c:v>
                </c:pt>
                <c:pt idx="1">
                  <c:v>0.20994524337937476</c:v>
                </c:pt>
                <c:pt idx="2">
                  <c:v>0.20804118704210242</c:v>
                </c:pt>
                <c:pt idx="3">
                  <c:v>0.20613713070483011</c:v>
                </c:pt>
                <c:pt idx="4">
                  <c:v>0.20423307436755778</c:v>
                </c:pt>
                <c:pt idx="5">
                  <c:v>0.20232901803028544</c:v>
                </c:pt>
                <c:pt idx="6">
                  <c:v>0.20042496169301313</c:v>
                </c:pt>
                <c:pt idx="7">
                  <c:v>0.1985209053557408</c:v>
                </c:pt>
                <c:pt idx="8">
                  <c:v>0.19661684901846849</c:v>
                </c:pt>
                <c:pt idx="9">
                  <c:v>0.19471279268119615</c:v>
                </c:pt>
                <c:pt idx="10">
                  <c:v>0.19280873634392381</c:v>
                </c:pt>
                <c:pt idx="11">
                  <c:v>0.19153936545240893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1.9142284180195444E-2"/>
                  <c:y val="5.06837637417767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EC8-4B57-9C5D-30900F6F56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Auxiliar!$AO$3:$AO$14</c:f>
              <c:numCache>
                <c:formatCode>General</c:formatCode>
                <c:ptCount val="12"/>
                <c:pt idx="0">
                  <c:v>0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dateAx>
        <c:axId val="229447168"/>
        <c:scaling>
          <c:orientation val="minMax"/>
        </c:scaling>
        <c:delete val="0"/>
        <c:axPos val="b"/>
        <c:numFmt formatCode="[$-416]mmm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Offset val="100"/>
        <c:baseTimeUnit val="months"/>
      </c:date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330065544"/>
        <c:scaling>
          <c:orientation val="minMax"/>
          <c:max val="3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0068824"/>
        <c:crosses val="max"/>
        <c:crossBetween val="between"/>
      </c:valAx>
      <c:dateAx>
        <c:axId val="330068824"/>
        <c:scaling>
          <c:orientation val="minMax"/>
        </c:scaling>
        <c:delete val="1"/>
        <c:axPos val="b"/>
        <c:numFmt formatCode="[$-416]mmmyy" sourceLinked="1"/>
        <c:majorTickMark val="out"/>
        <c:minorTickMark val="none"/>
        <c:tickLblPos val="nextTo"/>
        <c:crossAx val="330065544"/>
        <c:crossesAt val="0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46205322107013846"/>
          <c:w val="0.90529456004774345"/>
          <c:h val="0.307627400535329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Resultados'!$P$5:$P$12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895-B13A-E771EC5E4309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Resultados'!$Q$5:$Q$12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Resultados'!$O$5:$O$12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Auxiliar!$AY$3:$AY$10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92208"/>
        <c:axId val="277339984"/>
      </c:lineChart>
      <c:catAx>
        <c:axId val="22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Algn val="ctr"/>
        <c:lblOffset val="100"/>
        <c:noMultiLvlLbl val="0"/>
      </c:cat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27733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592208"/>
        <c:crosses val="max"/>
        <c:crossBetween val="between"/>
      </c:valAx>
      <c:catAx>
        <c:axId val="167592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33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</xdr:colOff>
      <xdr:row>6</xdr:row>
      <xdr:rowOff>106680</xdr:rowOff>
    </xdr:from>
    <xdr:to>
      <xdr:col>30</xdr:col>
      <xdr:colOff>563880</xdr:colOff>
      <xdr:row>27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292100</xdr:colOff>
          <xdr:row>4</xdr:row>
          <xdr:rowOff>50800</xdr:rowOff>
        </xdr:from>
        <xdr:to>
          <xdr:col>33</xdr:col>
          <xdr:colOff>444500</xdr:colOff>
          <xdr:row>7</xdr:row>
          <xdr:rowOff>31750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396240</xdr:colOff>
      <xdr:row>7</xdr:row>
      <xdr:rowOff>54092</xdr:rowOff>
    </xdr:from>
    <xdr:to>
      <xdr:col>30</xdr:col>
      <xdr:colOff>392896</xdr:colOff>
      <xdr:row>8</xdr:row>
      <xdr:rowOff>88772</xdr:rowOff>
    </xdr:to>
    <xdr:sp macro="" textlink="">
      <xdr:nvSpPr>
        <xdr:cNvPr id="9" name="CaixaDeTexto 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3329880" y="60273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7</xdr:row>
      <xdr:rowOff>1</xdr:rowOff>
    </xdr:from>
    <xdr:to>
      <xdr:col>30</xdr:col>
      <xdr:colOff>289560</xdr:colOff>
      <xdr:row>9</xdr:row>
      <xdr:rowOff>7621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3421320" y="73152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30</xdr:col>
      <xdr:colOff>533400</xdr:colOff>
      <xdr:row>49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396240</xdr:colOff>
      <xdr:row>33</xdr:row>
      <xdr:rowOff>54092</xdr:rowOff>
    </xdr:from>
    <xdr:to>
      <xdr:col>30</xdr:col>
      <xdr:colOff>392896</xdr:colOff>
      <xdr:row>34</xdr:row>
      <xdr:rowOff>88772</xdr:rowOff>
    </xdr:to>
    <xdr:sp macro="" textlink="">
      <xdr:nvSpPr>
        <xdr:cNvPr id="13" name="CaixaDeTexto 2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320480" y="96849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33</xdr:row>
      <xdr:rowOff>1</xdr:rowOff>
    </xdr:from>
    <xdr:to>
      <xdr:col>30</xdr:col>
      <xdr:colOff>289560</xdr:colOff>
      <xdr:row>35</xdr:row>
      <xdr:rowOff>7621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411920" y="91440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3" Type="http://schemas.microsoft.com/office/2019/04/relationships/externalLinkLongPath" Target="ESTUDO%20DE%20CASO%2006%20-%20GR&#193;FICO%20CONTROLE%20DE%20RESULTADOS%202035-01%20(ENTRADA%20DE%20PROCESSOS%20TRABALHISTAS)%20-%20Copia%20(2).xlsm?14423949" TargetMode="External"/><Relationship Id="rId2" Type="http://schemas.openxmlformats.org/officeDocument/2006/relationships/externalLinkPath" Target="file:///\\14423949\ESTUDO%20DE%20CASO%2006%20-%20GR&#193;FICO%20CONTROLE%20DE%20RESULTADOS%202035-01%20(ENTRADA%20DE%20PROCESSOS%20TRABALHISTAS)%20-%20Copia%20(2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3" Type="http://schemas.microsoft.com/office/2019/04/relationships/externalLinkLongPath" Target="ESTUDO%20DE%20CASO%2006%20-%20GR&#193;FICO%20CONTROLE%20DE%20RESULTADOS%202035-02%20(ENTRADA%20DE%20PROCESSOS%20TRABALHISTAS)%20-%20Copia%20(2).xlsm?14423949" TargetMode="External"/><Relationship Id="rId2" Type="http://schemas.openxmlformats.org/officeDocument/2006/relationships/externalLinkPath" Target="file:///\\14423949\ESTUDO%20DE%20CASO%2006%20-%20GR&#193;FICO%20CONTROLE%20DE%20RESULTADOS%202035-02%20(ENTRADA%20DE%20PROCESSOS%20TRABALHISTAS)%20-%20Copia%20(2)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Braga Machado" refreshedDate="45894.601766087966" createdVersion="8" refreshedVersion="8" minRefreshableVersion="3" recordCount="6197" xr:uid="{C57287E7-29A7-4B5B-A22A-7BFE47757B7F}">
  <cacheSource type="worksheet">
    <worksheetSource name="Tabela1" r:id="rId2"/>
  </cacheSource>
  <cacheFields count="6">
    <cacheField name="PIS/PASEP" numFmtId="0">
      <sharedItems containsSemiMixedTypes="0" containsString="0" containsNumber="1" containsInteger="1" minValue="11124873907" maxValue="99982715860"/>
    </cacheField>
    <cacheField name="Filial ID" numFmtId="0">
      <sharedItems containsSemiMixedTypes="0" containsString="0" containsNumber="1" containsInteger="1" minValue="0" maxValue="340"/>
    </cacheField>
    <cacheField name="Data Desligamento" numFmtId="15">
      <sharedItems containsSemiMixedTypes="0" containsNonDate="0" containsDate="1" containsString="0" minDate="2034-06-01T00:00:00" maxDate="2035-02-02T00:00:00"/>
    </cacheField>
    <cacheField name="Data Petição" numFmtId="15">
      <sharedItems containsDate="1" containsBlank="1" containsMixedTypes="1" minDate="2034-06-11T00:00:00" maxDate="2035-02-02T00:00:00"/>
    </cacheField>
    <cacheField name="Ano-Mês Desligamento" numFmtId="0">
      <sharedItems count="9">
        <s v="2034-06"/>
        <s v="2034-07"/>
        <s v="2034-08"/>
        <s v="2034-09"/>
        <s v="2034-10"/>
        <s v="2034-11"/>
        <s v="2034-12"/>
        <s v="2035-01"/>
        <s v="2035-02"/>
      </sharedItems>
    </cacheField>
    <cacheField name="Ano-Mês Petição" numFmtId="0">
      <sharedItems count="10">
        <s v=""/>
        <s v="2034-06"/>
        <s v="2034-07"/>
        <s v="2034-09"/>
        <s v="2034-08"/>
        <s v="2034-10"/>
        <s v="2034-11"/>
        <s v="2034-12"/>
        <s v="2035-01"/>
        <s v="2035-0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Braga Machado" refreshedDate="45905.401614467592" createdVersion="8" refreshedVersion="8" minRefreshableVersion="3" recordCount="7005" xr:uid="{CFF93B8B-87F6-4ADB-A9CC-F210A4EC2DF2}">
  <cacheSource type="worksheet">
    <worksheetSource name="Tabela2" r:id="rId2"/>
  </cacheSource>
  <cacheFields count="9">
    <cacheField name="PIS/PASEP" numFmtId="0">
      <sharedItems containsSemiMixedTypes="0" containsString="0" containsNumber="1" containsInteger="1" minValue="11124873907" maxValue="99982715860"/>
    </cacheField>
    <cacheField name="Filial ID" numFmtId="0">
      <sharedItems containsSemiMixedTypes="0" containsString="0" containsNumber="1" containsInteger="1" minValue="0" maxValue="340"/>
    </cacheField>
    <cacheField name="Data Desligamento" numFmtId="15">
      <sharedItems containsSemiMixedTypes="0" containsNonDate="0" containsDate="1" containsString="0" minDate="2034-06-01T00:00:00" maxDate="2035-03-01T00:00:00" count="273">
        <d v="2034-06-01T00:00:00"/>
        <d v="2034-06-02T00:00:00"/>
        <d v="2034-06-03T00:00:00"/>
        <d v="2034-06-04T00:00:00"/>
        <d v="2034-06-05T00:00:00"/>
        <d v="2034-06-06T00:00:00"/>
        <d v="2034-06-07T00:00:00"/>
        <d v="2034-06-08T00:00:00"/>
        <d v="2034-06-09T00:00:00"/>
        <d v="2034-06-10T00:00:00"/>
        <d v="2034-06-11T00:00:00"/>
        <d v="2034-06-12T00:00:00"/>
        <d v="2034-06-13T00:00:00"/>
        <d v="2034-06-14T00:00:00"/>
        <d v="2034-06-15T00:00:00"/>
        <d v="2034-06-16T00:00:00"/>
        <d v="2034-06-17T00:00:00"/>
        <d v="2034-06-18T00:00:00"/>
        <d v="2034-06-19T00:00:00"/>
        <d v="2034-06-20T00:00:00"/>
        <d v="2034-06-21T00:00:00"/>
        <d v="2034-06-22T00:00:00"/>
        <d v="2034-06-23T00:00:00"/>
        <d v="2034-06-24T00:00:00"/>
        <d v="2034-06-25T00:00:00"/>
        <d v="2034-06-26T00:00:00"/>
        <d v="2034-06-27T00:00:00"/>
        <d v="2034-06-28T00:00:00"/>
        <d v="2034-06-29T00:00:00"/>
        <d v="2034-06-30T00:00:00"/>
        <d v="2034-07-01T00:00:00"/>
        <d v="2034-07-02T00:00:00"/>
        <d v="2034-07-03T00:00:00"/>
        <d v="2034-07-04T00:00:00"/>
        <d v="2034-07-05T00:00:00"/>
        <d v="2034-07-06T00:00:00"/>
        <d v="2034-07-07T00:00:00"/>
        <d v="2034-07-08T00:00:00"/>
        <d v="2034-07-09T00:00:00"/>
        <d v="2034-07-10T00:00:00"/>
        <d v="2034-07-11T00:00:00"/>
        <d v="2034-07-12T00:00:00"/>
        <d v="2034-07-13T00:00:00"/>
        <d v="2034-07-14T00:00:00"/>
        <d v="2034-07-15T00:00:00"/>
        <d v="2034-07-16T00:00:00"/>
        <d v="2034-07-17T00:00:00"/>
        <d v="2034-07-18T00:00:00"/>
        <d v="2034-07-19T00:00:00"/>
        <d v="2034-07-20T00:00:00"/>
        <d v="2034-07-21T00:00:00"/>
        <d v="2034-07-22T00:00:00"/>
        <d v="2034-07-23T00:00:00"/>
        <d v="2034-07-24T00:00:00"/>
        <d v="2034-07-25T00:00:00"/>
        <d v="2034-07-26T00:00:00"/>
        <d v="2034-07-27T00:00:00"/>
        <d v="2034-07-28T00:00:00"/>
        <d v="2034-07-29T00:00:00"/>
        <d v="2034-07-30T00:00:00"/>
        <d v="2034-07-31T00:00:00"/>
        <d v="2034-08-01T00:00:00"/>
        <d v="2034-08-02T00:00:00"/>
        <d v="2034-08-03T00:00:00"/>
        <d v="2034-08-04T00:00:00"/>
        <d v="2034-08-05T00:00:00"/>
        <d v="2034-08-06T00:00:00"/>
        <d v="2034-08-07T00:00:00"/>
        <d v="2034-08-08T00:00:00"/>
        <d v="2034-08-09T00:00:00"/>
        <d v="2034-08-10T00:00:00"/>
        <d v="2034-08-11T00:00:00"/>
        <d v="2034-08-12T00:00:00"/>
        <d v="2034-08-13T00:00:00"/>
        <d v="2034-08-14T00:00:00"/>
        <d v="2034-08-15T00:00:00"/>
        <d v="2034-08-16T00:00:00"/>
        <d v="2034-08-17T00:00:00"/>
        <d v="2034-08-18T00:00:00"/>
        <d v="2034-08-19T00:00:00"/>
        <d v="2034-08-20T00:00:00"/>
        <d v="2034-08-21T00:00:00"/>
        <d v="2034-08-22T00:00:00"/>
        <d v="2034-08-23T00:00:00"/>
        <d v="2034-08-24T00:00:00"/>
        <d v="2034-08-25T00:00:00"/>
        <d v="2034-08-26T00:00:00"/>
        <d v="2034-08-27T00:00:00"/>
        <d v="2034-08-28T00:00:00"/>
        <d v="2034-08-29T00:00:00"/>
        <d v="2034-08-30T00:00:00"/>
        <d v="2034-08-31T00:00:00"/>
        <d v="2034-09-01T00:00:00"/>
        <d v="2034-09-02T00:00:00"/>
        <d v="2034-09-03T00:00:00"/>
        <d v="2034-09-04T00:00:00"/>
        <d v="2034-09-05T00:00:00"/>
        <d v="2034-09-06T00:00:00"/>
        <d v="2034-09-07T00:00:00"/>
        <d v="2034-09-08T00:00:00"/>
        <d v="2034-09-09T00:00:00"/>
        <d v="2034-09-10T00:00:00"/>
        <d v="2034-09-11T00:00:00"/>
        <d v="2034-09-12T00:00:00"/>
        <d v="2034-09-13T00:00:00"/>
        <d v="2034-09-14T00:00:00"/>
        <d v="2034-09-15T00:00:00"/>
        <d v="2034-09-16T00:00:00"/>
        <d v="2034-09-17T00:00:00"/>
        <d v="2034-09-18T00:00:00"/>
        <d v="2034-09-19T00:00:00"/>
        <d v="2034-09-20T00:00:00"/>
        <d v="2034-09-21T00:00:00"/>
        <d v="2034-09-22T00:00:00"/>
        <d v="2034-09-23T00:00:00"/>
        <d v="2034-09-24T00:00:00"/>
        <d v="2034-09-25T00:00:00"/>
        <d v="2034-09-26T00:00:00"/>
        <d v="2034-09-27T00:00:00"/>
        <d v="2034-09-28T00:00:00"/>
        <d v="2034-09-29T00:00:00"/>
        <d v="2034-09-30T00:00:00"/>
        <d v="2034-10-01T00:00:00"/>
        <d v="2034-10-02T00:00:00"/>
        <d v="2034-10-03T00:00:00"/>
        <d v="2034-10-04T00:00:00"/>
        <d v="2034-10-05T00:00:00"/>
        <d v="2034-10-06T00:00:00"/>
        <d v="2034-10-07T00:00:00"/>
        <d v="2034-10-08T00:00:00"/>
        <d v="2034-10-09T00:00:00"/>
        <d v="2034-10-10T00:00:00"/>
        <d v="2034-10-11T00:00:00"/>
        <d v="2034-10-12T00:00:00"/>
        <d v="2034-10-13T00:00:00"/>
        <d v="2034-10-14T00:00:00"/>
        <d v="2034-10-15T00:00:00"/>
        <d v="2034-10-16T00:00:00"/>
        <d v="2034-10-17T00:00:00"/>
        <d v="2034-10-18T00:00:00"/>
        <d v="2034-10-19T00:00:00"/>
        <d v="2034-10-20T00:00:00"/>
        <d v="2034-10-21T00:00:00"/>
        <d v="2034-10-22T00:00:00"/>
        <d v="2034-10-23T00:00:00"/>
        <d v="2034-10-24T00:00:00"/>
        <d v="2034-10-25T00:00:00"/>
        <d v="2034-10-26T00:00:00"/>
        <d v="2034-10-27T00:00:00"/>
        <d v="2034-10-28T00:00:00"/>
        <d v="2034-10-29T00:00:00"/>
        <d v="2034-10-30T00:00:00"/>
        <d v="2034-10-31T00:00:00"/>
        <d v="2034-11-01T00:00:00"/>
        <d v="2034-11-02T00:00:00"/>
        <d v="2034-11-03T00:00:00"/>
        <d v="2034-11-04T00:00:00"/>
        <d v="2034-11-05T00:00:00"/>
        <d v="2034-11-06T00:00:00"/>
        <d v="2034-11-07T00:00:00"/>
        <d v="2034-11-08T00:00:00"/>
        <d v="2034-11-09T00:00:00"/>
        <d v="2034-11-10T00:00:00"/>
        <d v="2034-11-11T00:00:00"/>
        <d v="2034-11-12T00:00:00"/>
        <d v="2034-11-13T00:00:00"/>
        <d v="2034-11-14T00:00:00"/>
        <d v="2034-11-15T00:00:00"/>
        <d v="2034-11-16T00:00:00"/>
        <d v="2034-11-17T00:00:00"/>
        <d v="2034-11-18T00:00:00"/>
        <d v="2034-11-19T00:00:00"/>
        <d v="2034-11-20T00:00:00"/>
        <d v="2034-11-21T00:00:00"/>
        <d v="2034-11-22T00:00:00"/>
        <d v="2034-11-23T00:00:00"/>
        <d v="2034-11-24T00:00:00"/>
        <d v="2034-11-25T00:00:00"/>
        <d v="2034-11-26T00:00:00"/>
        <d v="2034-11-27T00:00:00"/>
        <d v="2034-11-28T00:00:00"/>
        <d v="2034-11-29T00:00:00"/>
        <d v="2034-11-30T00:00:00"/>
        <d v="2034-12-01T00:00:00"/>
        <d v="2034-12-02T00:00:00"/>
        <d v="2034-12-03T00:00:00"/>
        <d v="2034-12-04T00:00:00"/>
        <d v="2034-12-05T00:00:00"/>
        <d v="2034-12-06T00:00:00"/>
        <d v="2034-12-07T00:00:00"/>
        <d v="2034-12-08T00:00:00"/>
        <d v="2034-12-09T00:00:00"/>
        <d v="2034-12-10T00:00:00"/>
        <d v="2034-12-11T00:00:00"/>
        <d v="2034-12-12T00:00:00"/>
        <d v="2034-12-13T00:00:00"/>
        <d v="2034-12-14T00:00:00"/>
        <d v="2034-12-15T00:00:00"/>
        <d v="2034-12-16T00:00:00"/>
        <d v="2034-12-17T00:00:00"/>
        <d v="2034-12-18T00:00:00"/>
        <d v="2034-12-19T00:00:00"/>
        <d v="2034-12-20T00:00:00"/>
        <d v="2034-12-21T00:00:00"/>
        <d v="2034-12-22T00:00:00"/>
        <d v="2034-12-23T00:00:00"/>
        <d v="2034-12-24T00:00:00"/>
        <d v="2034-12-25T00:00:00"/>
        <d v="2034-12-26T00:00:00"/>
        <d v="2034-12-27T00:00:00"/>
        <d v="2034-12-28T00:00:00"/>
        <d v="2034-12-29T00:00:00"/>
        <d v="2034-12-30T00:00:00"/>
        <d v="2034-12-31T00:00:00"/>
        <d v="2035-01-01T00:00:00"/>
        <d v="2035-01-02T00:00:00"/>
        <d v="2035-01-03T00:00:00"/>
        <d v="2035-01-04T00:00:00"/>
        <d v="2035-01-05T00:00:00"/>
        <d v="2035-01-06T00:00:00"/>
        <d v="2035-01-07T00:00:00"/>
        <d v="2035-01-08T00:00:00"/>
        <d v="2035-01-09T00:00:00"/>
        <d v="2035-01-10T00:00:00"/>
        <d v="2035-01-11T00:00:00"/>
        <d v="2035-01-12T00:00:00"/>
        <d v="2035-01-13T00:00:00"/>
        <d v="2035-01-14T00:00:00"/>
        <d v="2035-01-15T00:00:00"/>
        <d v="2035-01-16T00:00:00"/>
        <d v="2035-01-17T00:00:00"/>
        <d v="2035-01-18T00:00:00"/>
        <d v="2035-01-19T00:00:00"/>
        <d v="2035-01-20T00:00:00"/>
        <d v="2035-01-21T00:00:00"/>
        <d v="2035-01-22T00:00:00"/>
        <d v="2035-01-23T00:00:00"/>
        <d v="2035-01-24T00:00:00"/>
        <d v="2035-01-25T00:00:00"/>
        <d v="2035-01-26T00:00:00"/>
        <d v="2035-01-27T00:00:00"/>
        <d v="2035-01-28T00:00:00"/>
        <d v="2035-01-29T00:00:00"/>
        <d v="2035-01-30T00:00:00"/>
        <d v="2035-01-31T00:00:00"/>
        <d v="2035-02-01T00:00:00"/>
        <d v="2035-02-02T00:00:00"/>
        <d v="2035-02-03T00:00:00"/>
        <d v="2035-02-04T00:00:00"/>
        <d v="2035-02-05T00:00:00"/>
        <d v="2035-02-06T00:00:00"/>
        <d v="2035-02-07T00:00:00"/>
        <d v="2035-02-08T00:00:00"/>
        <d v="2035-02-09T00:00:00"/>
        <d v="2035-02-10T00:00:00"/>
        <d v="2035-02-11T00:00:00"/>
        <d v="2035-02-12T00:00:00"/>
        <d v="2035-02-13T00:00:00"/>
        <d v="2035-02-14T00:00:00"/>
        <d v="2035-02-15T00:00:00"/>
        <d v="2035-02-16T00:00:00"/>
        <d v="2035-02-17T00:00:00"/>
        <d v="2035-02-18T00:00:00"/>
        <d v="2035-02-19T00:00:00"/>
        <d v="2035-02-20T00:00:00"/>
        <d v="2035-02-21T00:00:00"/>
        <d v="2035-02-22T00:00:00"/>
        <d v="2035-02-23T00:00:00"/>
        <d v="2035-02-24T00:00:00"/>
        <d v="2035-02-25T00:00:00"/>
        <d v="2035-02-26T00:00:00"/>
        <d v="2035-02-27T00:00:00"/>
        <d v="2035-02-28T00:00:00"/>
      </sharedItems>
      <fieldGroup par="8"/>
    </cacheField>
    <cacheField name="Data Petição" numFmtId="15">
      <sharedItems containsDate="1" containsBlank="1" containsMixedTypes="1" minDate="2034-06-11T00:00:00" maxDate="2035-03-01T00:00:00"/>
    </cacheField>
    <cacheField name="Ano-Mês Desligamento" numFmtId="0">
      <sharedItems count="9">
        <s v="2034-06"/>
        <s v="2034-07"/>
        <s v="2034-08"/>
        <s v="2034-09"/>
        <s v="2034-10"/>
        <s v="2034-11"/>
        <s v="2034-12"/>
        <s v="2035-01"/>
        <s v="2035-02"/>
      </sharedItems>
    </cacheField>
    <cacheField name="Ano-Mês Petição" numFmtId="0">
      <sharedItems count="10">
        <s v=""/>
        <s v="2034-06"/>
        <s v="2034-07"/>
        <s v="2034-09"/>
        <s v="2034-08"/>
        <s v="2034-10"/>
        <s v="2034-11"/>
        <s v="2034-12"/>
        <s v="2035-01"/>
        <s v="2035-02"/>
      </sharedItems>
    </cacheField>
    <cacheField name="Meses (Data Desligamento)" numFmtId="0" databaseField="0">
      <fieldGroup base="2">
        <rangePr groupBy="months" startDate="2034-06-01T00:00:00" endDate="2035-03-01T00:00:00"/>
        <groupItems count="14">
          <s v="&lt;01/06/203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3/2035"/>
        </groupItems>
      </fieldGroup>
    </cacheField>
    <cacheField name="Trimestres (Data Desligamento)" numFmtId="0" databaseField="0">
      <fieldGroup base="2">
        <rangePr groupBy="quarters" startDate="2034-06-01T00:00:00" endDate="2035-03-01T00:00:00"/>
        <groupItems count="6">
          <s v="&lt;01/06/2034"/>
          <s v="Trim1"/>
          <s v="Trim2"/>
          <s v="Trim3"/>
          <s v="Trim4"/>
          <s v="&gt;01/03/2035"/>
        </groupItems>
      </fieldGroup>
    </cacheField>
    <cacheField name="Anos (Data Desligamento)" numFmtId="0" databaseField="0">
      <fieldGroup base="2">
        <rangePr groupBy="years" startDate="2034-06-01T00:00:00" endDate="2035-03-01T00:00:00"/>
        <groupItems count="4">
          <s v="&lt;01/06/2034"/>
          <s v="2034"/>
          <s v="2035"/>
          <s v="&gt;01/03/203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97">
  <r>
    <n v="19797464187"/>
    <n v="9"/>
    <d v="2034-06-01T00:00:00"/>
    <m/>
    <x v="0"/>
    <x v="0"/>
  </r>
  <r>
    <n v="54808625754"/>
    <n v="10"/>
    <d v="2034-06-01T00:00:00"/>
    <s v=""/>
    <x v="0"/>
    <x v="0"/>
  </r>
  <r>
    <n v="61978720710"/>
    <n v="37"/>
    <d v="2034-06-01T00:00:00"/>
    <m/>
    <x v="0"/>
    <x v="0"/>
  </r>
  <r>
    <n v="28403151297"/>
    <n v="43"/>
    <d v="2034-06-01T00:00:00"/>
    <m/>
    <x v="0"/>
    <x v="0"/>
  </r>
  <r>
    <n v="51475771178"/>
    <n v="49"/>
    <d v="2034-06-01T00:00:00"/>
    <s v=""/>
    <x v="0"/>
    <x v="0"/>
  </r>
  <r>
    <n v="58526540691"/>
    <n v="54"/>
    <d v="2034-06-01T00:00:00"/>
    <m/>
    <x v="0"/>
    <x v="0"/>
  </r>
  <r>
    <n v="75179825599"/>
    <n v="63"/>
    <d v="2034-06-01T00:00:00"/>
    <s v=""/>
    <x v="0"/>
    <x v="0"/>
  </r>
  <r>
    <n v="79575596607"/>
    <n v="66"/>
    <d v="2034-06-01T00:00:00"/>
    <s v=""/>
    <x v="0"/>
    <x v="0"/>
  </r>
  <r>
    <n v="94593467641"/>
    <n v="67"/>
    <d v="2034-06-01T00:00:00"/>
    <s v=""/>
    <x v="0"/>
    <x v="0"/>
  </r>
  <r>
    <n v="85706999212"/>
    <n v="92"/>
    <d v="2034-06-01T00:00:00"/>
    <s v=""/>
    <x v="0"/>
    <x v="0"/>
  </r>
  <r>
    <n v="68622980113"/>
    <n v="132"/>
    <d v="2034-06-01T00:00:00"/>
    <s v=""/>
    <x v="0"/>
    <x v="0"/>
  </r>
  <r>
    <n v="80253330439"/>
    <n v="139"/>
    <d v="2034-06-01T00:00:00"/>
    <s v=""/>
    <x v="0"/>
    <x v="0"/>
  </r>
  <r>
    <n v="55485643970"/>
    <n v="163"/>
    <d v="2034-06-01T00:00:00"/>
    <s v=""/>
    <x v="0"/>
    <x v="0"/>
  </r>
  <r>
    <n v="64500920291"/>
    <n v="174"/>
    <d v="2034-06-01T00:00:00"/>
    <d v="2034-06-16T00:00:00"/>
    <x v="0"/>
    <x v="1"/>
  </r>
  <r>
    <n v="72912456724"/>
    <n v="179"/>
    <d v="2034-06-01T00:00:00"/>
    <s v=""/>
    <x v="0"/>
    <x v="0"/>
  </r>
  <r>
    <n v="65667728917"/>
    <n v="192"/>
    <d v="2034-06-01T00:00:00"/>
    <s v=""/>
    <x v="0"/>
    <x v="0"/>
  </r>
  <r>
    <n v="29498829985"/>
    <n v="207"/>
    <d v="2034-06-01T00:00:00"/>
    <d v="2034-06-22T00:00:00"/>
    <x v="0"/>
    <x v="1"/>
  </r>
  <r>
    <n v="99947995195"/>
    <n v="220"/>
    <d v="2034-06-01T00:00:00"/>
    <s v=""/>
    <x v="0"/>
    <x v="0"/>
  </r>
  <r>
    <n v="75048331084"/>
    <n v="233"/>
    <d v="2034-06-01T00:00:00"/>
    <s v=""/>
    <x v="0"/>
    <x v="0"/>
  </r>
  <r>
    <n v="22030167053"/>
    <n v="244"/>
    <d v="2034-06-01T00:00:00"/>
    <s v=""/>
    <x v="0"/>
    <x v="0"/>
  </r>
  <r>
    <n v="97313214546"/>
    <n v="257"/>
    <d v="2034-06-01T00:00:00"/>
    <s v=""/>
    <x v="0"/>
    <x v="0"/>
  </r>
  <r>
    <n v="62808703889"/>
    <n v="269"/>
    <d v="2034-06-01T00:00:00"/>
    <d v="2034-06-13T00:00:00"/>
    <x v="0"/>
    <x v="1"/>
  </r>
  <r>
    <n v="16738043104"/>
    <n v="276"/>
    <d v="2034-06-01T00:00:00"/>
    <s v=""/>
    <x v="0"/>
    <x v="0"/>
  </r>
  <r>
    <n v="83595093631"/>
    <n v="313"/>
    <d v="2034-06-01T00:00:00"/>
    <s v=""/>
    <x v="0"/>
    <x v="0"/>
  </r>
  <r>
    <n v="78385067201"/>
    <n v="317"/>
    <d v="2034-06-01T00:00:00"/>
    <m/>
    <x v="0"/>
    <x v="0"/>
  </r>
  <r>
    <n v="44306405916"/>
    <n v="3"/>
    <d v="2034-06-02T00:00:00"/>
    <s v=""/>
    <x v="0"/>
    <x v="0"/>
  </r>
  <r>
    <n v="97553312828"/>
    <n v="20"/>
    <d v="2034-06-02T00:00:00"/>
    <s v=""/>
    <x v="0"/>
    <x v="0"/>
  </r>
  <r>
    <n v="63312272052"/>
    <n v="21"/>
    <d v="2034-06-02T00:00:00"/>
    <m/>
    <x v="0"/>
    <x v="0"/>
  </r>
  <r>
    <n v="84675285827"/>
    <n v="24"/>
    <d v="2034-06-02T00:00:00"/>
    <s v=""/>
    <x v="0"/>
    <x v="0"/>
  </r>
  <r>
    <n v="89067755842"/>
    <n v="38"/>
    <d v="2034-06-02T00:00:00"/>
    <s v=""/>
    <x v="0"/>
    <x v="0"/>
  </r>
  <r>
    <n v="97661729319"/>
    <n v="79"/>
    <d v="2034-06-02T00:00:00"/>
    <s v=""/>
    <x v="0"/>
    <x v="0"/>
  </r>
  <r>
    <n v="71078196504"/>
    <n v="80"/>
    <d v="2034-06-02T00:00:00"/>
    <d v="2034-07-12T00:00:00"/>
    <x v="0"/>
    <x v="2"/>
  </r>
  <r>
    <n v="68859493800"/>
    <n v="103"/>
    <d v="2034-06-02T00:00:00"/>
    <s v=""/>
    <x v="0"/>
    <x v="0"/>
  </r>
  <r>
    <n v="51310937610"/>
    <n v="113"/>
    <d v="2034-06-02T00:00:00"/>
    <m/>
    <x v="0"/>
    <x v="0"/>
  </r>
  <r>
    <n v="17985992575"/>
    <n v="149"/>
    <d v="2034-06-02T00:00:00"/>
    <d v="2034-07-22T00:00:00"/>
    <x v="0"/>
    <x v="2"/>
  </r>
  <r>
    <n v="92344335927"/>
    <n v="175"/>
    <d v="2034-06-02T00:00:00"/>
    <s v=""/>
    <x v="0"/>
    <x v="0"/>
  </r>
  <r>
    <n v="40151593663"/>
    <n v="180"/>
    <d v="2034-06-02T00:00:00"/>
    <s v=""/>
    <x v="0"/>
    <x v="0"/>
  </r>
  <r>
    <n v="38720666306"/>
    <n v="185"/>
    <d v="2034-06-02T00:00:00"/>
    <s v=""/>
    <x v="0"/>
    <x v="0"/>
  </r>
  <r>
    <n v="48231569074"/>
    <n v="196"/>
    <d v="2034-06-02T00:00:00"/>
    <m/>
    <x v="0"/>
    <x v="0"/>
  </r>
  <r>
    <n v="24684376290"/>
    <n v="204"/>
    <d v="2034-06-02T00:00:00"/>
    <d v="2034-09-29T00:00:00"/>
    <x v="0"/>
    <x v="3"/>
  </r>
  <r>
    <n v="25864935346"/>
    <n v="206"/>
    <d v="2034-06-02T00:00:00"/>
    <d v="2034-07-07T00:00:00"/>
    <x v="0"/>
    <x v="2"/>
  </r>
  <r>
    <n v="33817417258"/>
    <n v="212"/>
    <d v="2034-06-02T00:00:00"/>
    <s v=""/>
    <x v="0"/>
    <x v="0"/>
  </r>
  <r>
    <n v="52148869418"/>
    <n v="220"/>
    <d v="2034-06-02T00:00:00"/>
    <s v=""/>
    <x v="0"/>
    <x v="0"/>
  </r>
  <r>
    <n v="25693723998"/>
    <n v="226"/>
    <d v="2034-06-02T00:00:00"/>
    <s v=""/>
    <x v="0"/>
    <x v="0"/>
  </r>
  <r>
    <n v="68518364725"/>
    <n v="229"/>
    <d v="2034-06-02T00:00:00"/>
    <m/>
    <x v="0"/>
    <x v="0"/>
  </r>
  <r>
    <n v="41121975012"/>
    <n v="237"/>
    <d v="2034-06-02T00:00:00"/>
    <s v=""/>
    <x v="0"/>
    <x v="0"/>
  </r>
  <r>
    <n v="67666228453"/>
    <n v="256"/>
    <d v="2034-06-02T00:00:00"/>
    <s v=""/>
    <x v="0"/>
    <x v="0"/>
  </r>
  <r>
    <n v="53285055591"/>
    <n v="288"/>
    <d v="2034-06-02T00:00:00"/>
    <s v=""/>
    <x v="0"/>
    <x v="0"/>
  </r>
  <r>
    <n v="13563146093"/>
    <n v="300"/>
    <d v="2034-06-02T00:00:00"/>
    <s v=""/>
    <x v="0"/>
    <x v="0"/>
  </r>
  <r>
    <n v="54332366001"/>
    <n v="335"/>
    <d v="2034-06-02T00:00:00"/>
    <s v=""/>
    <x v="0"/>
    <x v="0"/>
  </r>
  <r>
    <n v="62461148056"/>
    <n v="336"/>
    <d v="2034-06-02T00:00:00"/>
    <s v=""/>
    <x v="0"/>
    <x v="0"/>
  </r>
  <r>
    <n v="14298161081"/>
    <n v="7"/>
    <d v="2034-06-03T00:00:00"/>
    <s v=""/>
    <x v="0"/>
    <x v="0"/>
  </r>
  <r>
    <n v="98317258880"/>
    <n v="25"/>
    <d v="2034-06-03T00:00:00"/>
    <s v=""/>
    <x v="0"/>
    <x v="0"/>
  </r>
  <r>
    <n v="34650918733"/>
    <n v="27"/>
    <d v="2034-06-03T00:00:00"/>
    <d v="2034-08-19T00:00:00"/>
    <x v="0"/>
    <x v="4"/>
  </r>
  <r>
    <n v="48937844432"/>
    <n v="31"/>
    <d v="2034-06-03T00:00:00"/>
    <s v=""/>
    <x v="0"/>
    <x v="0"/>
  </r>
  <r>
    <n v="84099720954"/>
    <n v="37"/>
    <d v="2034-06-03T00:00:00"/>
    <s v=""/>
    <x v="0"/>
    <x v="0"/>
  </r>
  <r>
    <n v="23523628914"/>
    <n v="70"/>
    <d v="2034-06-03T00:00:00"/>
    <s v=""/>
    <x v="0"/>
    <x v="0"/>
  </r>
  <r>
    <n v="93089735190"/>
    <n v="76"/>
    <d v="2034-06-03T00:00:00"/>
    <s v=""/>
    <x v="0"/>
    <x v="0"/>
  </r>
  <r>
    <n v="83496259240"/>
    <n v="84"/>
    <d v="2034-06-03T00:00:00"/>
    <d v="2034-08-01T00:00:00"/>
    <x v="0"/>
    <x v="4"/>
  </r>
  <r>
    <n v="81452980476"/>
    <n v="113"/>
    <d v="2034-06-03T00:00:00"/>
    <d v="2034-07-13T00:00:00"/>
    <x v="0"/>
    <x v="2"/>
  </r>
  <r>
    <n v="44433988919"/>
    <n v="132"/>
    <d v="2034-06-03T00:00:00"/>
    <s v=""/>
    <x v="0"/>
    <x v="0"/>
  </r>
  <r>
    <n v="14657560532"/>
    <n v="149"/>
    <d v="2034-06-03T00:00:00"/>
    <s v=""/>
    <x v="0"/>
    <x v="0"/>
  </r>
  <r>
    <n v="25782504693"/>
    <n v="149"/>
    <d v="2034-06-03T00:00:00"/>
    <s v=""/>
    <x v="0"/>
    <x v="0"/>
  </r>
  <r>
    <n v="45552920259"/>
    <n v="160"/>
    <d v="2034-06-03T00:00:00"/>
    <s v=""/>
    <x v="0"/>
    <x v="0"/>
  </r>
  <r>
    <n v="63073437128"/>
    <n v="163"/>
    <d v="2034-06-03T00:00:00"/>
    <m/>
    <x v="0"/>
    <x v="0"/>
  </r>
  <r>
    <n v="98371504645"/>
    <n v="173"/>
    <d v="2034-06-03T00:00:00"/>
    <s v=""/>
    <x v="0"/>
    <x v="0"/>
  </r>
  <r>
    <n v="92833192216"/>
    <n v="178"/>
    <d v="2034-06-03T00:00:00"/>
    <s v=""/>
    <x v="0"/>
    <x v="0"/>
  </r>
  <r>
    <n v="83773601754"/>
    <n v="195"/>
    <d v="2034-06-03T00:00:00"/>
    <s v=""/>
    <x v="0"/>
    <x v="0"/>
  </r>
  <r>
    <n v="16532160760"/>
    <n v="197"/>
    <d v="2034-06-03T00:00:00"/>
    <s v=""/>
    <x v="0"/>
    <x v="0"/>
  </r>
  <r>
    <n v="91925411950"/>
    <n v="197"/>
    <d v="2034-06-03T00:00:00"/>
    <m/>
    <x v="0"/>
    <x v="0"/>
  </r>
  <r>
    <n v="61727785217"/>
    <n v="211"/>
    <d v="2034-06-03T00:00:00"/>
    <s v=""/>
    <x v="0"/>
    <x v="0"/>
  </r>
  <r>
    <n v="51877094484"/>
    <n v="237"/>
    <d v="2034-06-03T00:00:00"/>
    <d v="2034-06-27T00:00:00"/>
    <x v="0"/>
    <x v="1"/>
  </r>
  <r>
    <n v="23445980733"/>
    <n v="243"/>
    <d v="2034-06-03T00:00:00"/>
    <d v="2034-06-29T00:00:00"/>
    <x v="0"/>
    <x v="1"/>
  </r>
  <r>
    <n v="20736724237"/>
    <n v="262"/>
    <d v="2034-06-03T00:00:00"/>
    <m/>
    <x v="0"/>
    <x v="0"/>
  </r>
  <r>
    <n v="66401252331"/>
    <n v="271"/>
    <d v="2034-06-03T00:00:00"/>
    <s v=""/>
    <x v="0"/>
    <x v="0"/>
  </r>
  <r>
    <n v="67929085408"/>
    <n v="286"/>
    <d v="2034-06-03T00:00:00"/>
    <d v="2034-07-04T00:00:00"/>
    <x v="0"/>
    <x v="2"/>
  </r>
  <r>
    <n v="61167481842"/>
    <n v="292"/>
    <d v="2034-06-03T00:00:00"/>
    <s v=""/>
    <x v="0"/>
    <x v="0"/>
  </r>
  <r>
    <n v="94171582845"/>
    <n v="304"/>
    <d v="2034-06-03T00:00:00"/>
    <s v=""/>
    <x v="0"/>
    <x v="0"/>
  </r>
  <r>
    <n v="62817224430"/>
    <n v="327"/>
    <d v="2034-06-03T00:00:00"/>
    <d v="2034-07-12T00:00:00"/>
    <x v="0"/>
    <x v="2"/>
  </r>
  <r>
    <n v="76777025578"/>
    <n v="17"/>
    <d v="2034-06-04T00:00:00"/>
    <s v=""/>
    <x v="0"/>
    <x v="0"/>
  </r>
  <r>
    <n v="87829283804"/>
    <n v="29"/>
    <d v="2034-06-04T00:00:00"/>
    <d v="2034-06-11T00:00:00"/>
    <x v="0"/>
    <x v="1"/>
  </r>
  <r>
    <n v="36811208391"/>
    <n v="35"/>
    <d v="2034-06-04T00:00:00"/>
    <s v=""/>
    <x v="0"/>
    <x v="0"/>
  </r>
  <r>
    <n v="11440065075"/>
    <n v="45"/>
    <d v="2034-06-04T00:00:00"/>
    <m/>
    <x v="0"/>
    <x v="0"/>
  </r>
  <r>
    <n v="11447295009"/>
    <n v="47"/>
    <d v="2034-06-04T00:00:00"/>
    <s v=""/>
    <x v="0"/>
    <x v="0"/>
  </r>
  <r>
    <n v="65695665079"/>
    <n v="53"/>
    <d v="2034-06-04T00:00:00"/>
    <s v=""/>
    <x v="0"/>
    <x v="0"/>
  </r>
  <r>
    <n v="17861885355"/>
    <n v="55"/>
    <d v="2034-06-04T00:00:00"/>
    <s v=""/>
    <x v="0"/>
    <x v="0"/>
  </r>
  <r>
    <n v="32710064720"/>
    <n v="56"/>
    <d v="2034-06-04T00:00:00"/>
    <s v=""/>
    <x v="0"/>
    <x v="0"/>
  </r>
  <r>
    <n v="18099518603"/>
    <n v="64"/>
    <d v="2034-06-04T00:00:00"/>
    <s v=""/>
    <x v="0"/>
    <x v="0"/>
  </r>
  <r>
    <n v="80467421792"/>
    <n v="73"/>
    <d v="2034-06-04T00:00:00"/>
    <d v="2034-10-01T00:00:00"/>
    <x v="0"/>
    <x v="5"/>
  </r>
  <r>
    <n v="91970535678"/>
    <n v="96"/>
    <d v="2034-06-04T00:00:00"/>
    <s v=""/>
    <x v="0"/>
    <x v="0"/>
  </r>
  <r>
    <n v="83470857628"/>
    <n v="105"/>
    <d v="2034-06-04T00:00:00"/>
    <m/>
    <x v="0"/>
    <x v="0"/>
  </r>
  <r>
    <n v="68344179710"/>
    <n v="148"/>
    <d v="2034-06-04T00:00:00"/>
    <s v=""/>
    <x v="0"/>
    <x v="0"/>
  </r>
  <r>
    <n v="84562390951"/>
    <n v="177"/>
    <d v="2034-06-04T00:00:00"/>
    <s v=""/>
    <x v="0"/>
    <x v="0"/>
  </r>
  <r>
    <n v="11139592028"/>
    <n v="189"/>
    <d v="2034-06-04T00:00:00"/>
    <s v=""/>
    <x v="0"/>
    <x v="0"/>
  </r>
  <r>
    <n v="30282900450"/>
    <n v="195"/>
    <d v="2034-06-04T00:00:00"/>
    <d v="2034-09-03T00:00:00"/>
    <x v="0"/>
    <x v="3"/>
  </r>
  <r>
    <n v="59335004798"/>
    <n v="206"/>
    <d v="2034-06-04T00:00:00"/>
    <s v=""/>
    <x v="0"/>
    <x v="0"/>
  </r>
  <r>
    <n v="61958741227"/>
    <n v="208"/>
    <d v="2034-06-04T00:00:00"/>
    <d v="2034-07-14T00:00:00"/>
    <x v="0"/>
    <x v="2"/>
  </r>
  <r>
    <n v="37278200645"/>
    <n v="220"/>
    <d v="2034-06-04T00:00:00"/>
    <s v=""/>
    <x v="0"/>
    <x v="0"/>
  </r>
  <r>
    <n v="11539782471"/>
    <n v="225"/>
    <d v="2034-06-04T00:00:00"/>
    <m/>
    <x v="0"/>
    <x v="0"/>
  </r>
  <r>
    <n v="17570785395"/>
    <n v="236"/>
    <d v="2034-06-04T00:00:00"/>
    <d v="2034-09-29T00:00:00"/>
    <x v="0"/>
    <x v="3"/>
  </r>
  <r>
    <n v="27500417384"/>
    <n v="236"/>
    <d v="2034-06-04T00:00:00"/>
    <s v=""/>
    <x v="0"/>
    <x v="0"/>
  </r>
  <r>
    <n v="30681810272"/>
    <n v="256"/>
    <d v="2034-06-04T00:00:00"/>
    <s v=""/>
    <x v="0"/>
    <x v="0"/>
  </r>
  <r>
    <n v="87748308974"/>
    <n v="259"/>
    <d v="2034-06-04T00:00:00"/>
    <s v=""/>
    <x v="0"/>
    <x v="0"/>
  </r>
  <r>
    <n v="37660936317"/>
    <n v="273"/>
    <d v="2034-06-04T00:00:00"/>
    <s v=""/>
    <x v="0"/>
    <x v="0"/>
  </r>
  <r>
    <n v="80913597524"/>
    <n v="283"/>
    <d v="2034-06-04T00:00:00"/>
    <m/>
    <x v="0"/>
    <x v="0"/>
  </r>
  <r>
    <n v="33493522229"/>
    <n v="285"/>
    <d v="2034-06-04T00:00:00"/>
    <m/>
    <x v="0"/>
    <x v="0"/>
  </r>
  <r>
    <n v="89588647459"/>
    <n v="312"/>
    <d v="2034-06-04T00:00:00"/>
    <s v=""/>
    <x v="0"/>
    <x v="0"/>
  </r>
  <r>
    <n v="47102724651"/>
    <n v="319"/>
    <d v="2034-06-04T00:00:00"/>
    <d v="2034-07-04T00:00:00"/>
    <x v="0"/>
    <x v="2"/>
  </r>
  <r>
    <n v="85494213717"/>
    <n v="328"/>
    <d v="2034-06-04T00:00:00"/>
    <s v=""/>
    <x v="0"/>
    <x v="0"/>
  </r>
  <r>
    <n v="42518879407"/>
    <n v="331"/>
    <d v="2034-06-04T00:00:00"/>
    <s v=""/>
    <x v="0"/>
    <x v="0"/>
  </r>
  <r>
    <n v="13658254445"/>
    <n v="336"/>
    <d v="2034-06-04T00:00:00"/>
    <m/>
    <x v="0"/>
    <x v="0"/>
  </r>
  <r>
    <n v="24098776063"/>
    <n v="337"/>
    <d v="2034-06-04T00:00:00"/>
    <d v="2034-09-26T00:00:00"/>
    <x v="0"/>
    <x v="3"/>
  </r>
  <r>
    <n v="45480594740"/>
    <n v="19"/>
    <d v="2034-06-05T00:00:00"/>
    <s v=""/>
    <x v="0"/>
    <x v="0"/>
  </r>
  <r>
    <n v="56389259269"/>
    <n v="44"/>
    <d v="2034-06-05T00:00:00"/>
    <s v=""/>
    <x v="0"/>
    <x v="0"/>
  </r>
  <r>
    <n v="54044939110"/>
    <n v="62"/>
    <d v="2034-06-05T00:00:00"/>
    <s v=""/>
    <x v="0"/>
    <x v="0"/>
  </r>
  <r>
    <n v="74413770691"/>
    <n v="66"/>
    <d v="2034-06-05T00:00:00"/>
    <d v="2034-08-31T00:00:00"/>
    <x v="0"/>
    <x v="4"/>
  </r>
  <r>
    <n v="52349663305"/>
    <n v="100"/>
    <d v="2034-06-05T00:00:00"/>
    <s v=""/>
    <x v="0"/>
    <x v="0"/>
  </r>
  <r>
    <n v="82737217828"/>
    <n v="119"/>
    <d v="2034-06-05T00:00:00"/>
    <d v="2034-07-17T00:00:00"/>
    <x v="0"/>
    <x v="2"/>
  </r>
  <r>
    <n v="81894593644"/>
    <n v="123"/>
    <d v="2034-06-05T00:00:00"/>
    <s v=""/>
    <x v="0"/>
    <x v="0"/>
  </r>
  <r>
    <n v="68663986578"/>
    <n v="131"/>
    <d v="2034-06-05T00:00:00"/>
    <s v=""/>
    <x v="0"/>
    <x v="0"/>
  </r>
  <r>
    <n v="96603048332"/>
    <n v="161"/>
    <d v="2034-06-05T00:00:00"/>
    <s v=""/>
    <x v="0"/>
    <x v="0"/>
  </r>
  <r>
    <n v="68442251362"/>
    <n v="175"/>
    <d v="2034-06-05T00:00:00"/>
    <s v=""/>
    <x v="0"/>
    <x v="0"/>
  </r>
  <r>
    <n v="31403660181"/>
    <n v="198"/>
    <d v="2034-06-05T00:00:00"/>
    <d v="2034-09-29T00:00:00"/>
    <x v="0"/>
    <x v="3"/>
  </r>
  <r>
    <n v="30408027907"/>
    <n v="244"/>
    <d v="2034-06-05T00:00:00"/>
    <d v="2034-08-26T00:00:00"/>
    <x v="0"/>
    <x v="4"/>
  </r>
  <r>
    <n v="40262893439"/>
    <n v="245"/>
    <d v="2034-06-05T00:00:00"/>
    <s v=""/>
    <x v="0"/>
    <x v="0"/>
  </r>
  <r>
    <n v="49000195592"/>
    <n v="255"/>
    <d v="2034-06-05T00:00:00"/>
    <s v=""/>
    <x v="0"/>
    <x v="0"/>
  </r>
  <r>
    <n v="52940949514"/>
    <n v="264"/>
    <d v="2034-06-05T00:00:00"/>
    <s v=""/>
    <x v="0"/>
    <x v="0"/>
  </r>
  <r>
    <n v="92198983293"/>
    <n v="267"/>
    <d v="2034-06-05T00:00:00"/>
    <s v=""/>
    <x v="0"/>
    <x v="0"/>
  </r>
  <r>
    <n v="54220913514"/>
    <n v="292"/>
    <d v="2034-06-05T00:00:00"/>
    <s v=""/>
    <x v="0"/>
    <x v="0"/>
  </r>
  <r>
    <n v="79159356875"/>
    <n v="303"/>
    <d v="2034-06-05T00:00:00"/>
    <s v=""/>
    <x v="0"/>
    <x v="0"/>
  </r>
  <r>
    <n v="89002165412"/>
    <n v="305"/>
    <d v="2034-06-05T00:00:00"/>
    <d v="2034-08-25T00:00:00"/>
    <x v="0"/>
    <x v="4"/>
  </r>
  <r>
    <n v="52193465909"/>
    <n v="316"/>
    <d v="2034-06-05T00:00:00"/>
    <d v="2034-07-12T00:00:00"/>
    <x v="0"/>
    <x v="2"/>
  </r>
  <r>
    <n v="29638421062"/>
    <n v="321"/>
    <d v="2034-06-05T00:00:00"/>
    <s v=""/>
    <x v="0"/>
    <x v="0"/>
  </r>
  <r>
    <n v="54415848313"/>
    <n v="321"/>
    <d v="2034-06-05T00:00:00"/>
    <m/>
    <x v="0"/>
    <x v="0"/>
  </r>
  <r>
    <n v="30452376622"/>
    <n v="0"/>
    <d v="2034-06-06T00:00:00"/>
    <s v=""/>
    <x v="0"/>
    <x v="0"/>
  </r>
  <r>
    <n v="49602868371"/>
    <n v="12"/>
    <d v="2034-06-06T00:00:00"/>
    <d v="2034-08-16T00:00:00"/>
    <x v="0"/>
    <x v="4"/>
  </r>
  <r>
    <n v="68981738704"/>
    <n v="32"/>
    <d v="2034-06-06T00:00:00"/>
    <s v=""/>
    <x v="0"/>
    <x v="0"/>
  </r>
  <r>
    <n v="28505290381"/>
    <n v="36"/>
    <d v="2034-06-06T00:00:00"/>
    <s v=""/>
    <x v="0"/>
    <x v="0"/>
  </r>
  <r>
    <n v="22595611907"/>
    <n v="53"/>
    <d v="2034-06-06T00:00:00"/>
    <d v="2034-07-06T00:00:00"/>
    <x v="0"/>
    <x v="2"/>
  </r>
  <r>
    <n v="33489958569"/>
    <n v="80"/>
    <d v="2034-06-06T00:00:00"/>
    <s v=""/>
    <x v="0"/>
    <x v="0"/>
  </r>
  <r>
    <n v="64424388113"/>
    <n v="80"/>
    <d v="2034-06-06T00:00:00"/>
    <s v=""/>
    <x v="0"/>
    <x v="0"/>
  </r>
  <r>
    <n v="25692838458"/>
    <n v="82"/>
    <d v="2034-06-06T00:00:00"/>
    <s v=""/>
    <x v="0"/>
    <x v="0"/>
  </r>
  <r>
    <n v="19130622628"/>
    <n v="91"/>
    <d v="2034-06-06T00:00:00"/>
    <d v="2034-06-21T00:00:00"/>
    <x v="0"/>
    <x v="1"/>
  </r>
  <r>
    <n v="73786944731"/>
    <n v="100"/>
    <d v="2034-06-06T00:00:00"/>
    <s v=""/>
    <x v="0"/>
    <x v="0"/>
  </r>
  <r>
    <n v="45608462359"/>
    <n v="104"/>
    <d v="2034-06-06T00:00:00"/>
    <m/>
    <x v="0"/>
    <x v="0"/>
  </r>
  <r>
    <n v="73872394443"/>
    <n v="108"/>
    <d v="2034-06-06T00:00:00"/>
    <d v="2034-09-22T00:00:00"/>
    <x v="0"/>
    <x v="3"/>
  </r>
  <r>
    <n v="48119834370"/>
    <n v="159"/>
    <d v="2034-06-06T00:00:00"/>
    <s v=""/>
    <x v="0"/>
    <x v="0"/>
  </r>
  <r>
    <n v="12083000103"/>
    <n v="162"/>
    <d v="2034-06-06T00:00:00"/>
    <s v=""/>
    <x v="0"/>
    <x v="0"/>
  </r>
  <r>
    <n v="57812898537"/>
    <n v="169"/>
    <d v="2034-06-06T00:00:00"/>
    <s v=""/>
    <x v="0"/>
    <x v="0"/>
  </r>
  <r>
    <n v="96574786861"/>
    <n v="184"/>
    <d v="2034-06-06T00:00:00"/>
    <s v=""/>
    <x v="0"/>
    <x v="0"/>
  </r>
  <r>
    <n v="90352683215"/>
    <n v="185"/>
    <d v="2034-06-06T00:00:00"/>
    <s v=""/>
    <x v="0"/>
    <x v="0"/>
  </r>
  <r>
    <n v="67390836972"/>
    <n v="185"/>
    <d v="2034-06-06T00:00:00"/>
    <m/>
    <x v="0"/>
    <x v="0"/>
  </r>
  <r>
    <n v="23856397500"/>
    <n v="190"/>
    <d v="2034-06-06T00:00:00"/>
    <s v=""/>
    <x v="0"/>
    <x v="0"/>
  </r>
  <r>
    <n v="98900253453"/>
    <n v="217"/>
    <d v="2034-06-06T00:00:00"/>
    <d v="2034-06-20T00:00:00"/>
    <x v="0"/>
    <x v="1"/>
  </r>
  <r>
    <n v="89518193257"/>
    <n v="263"/>
    <d v="2034-06-06T00:00:00"/>
    <d v="2034-08-14T00:00:00"/>
    <x v="0"/>
    <x v="4"/>
  </r>
  <r>
    <n v="75824928246"/>
    <n v="269"/>
    <d v="2034-06-06T00:00:00"/>
    <s v=""/>
    <x v="0"/>
    <x v="0"/>
  </r>
  <r>
    <n v="49977649326"/>
    <n v="287"/>
    <d v="2034-06-06T00:00:00"/>
    <s v=""/>
    <x v="0"/>
    <x v="0"/>
  </r>
  <r>
    <n v="21705381983"/>
    <n v="295"/>
    <d v="2034-06-06T00:00:00"/>
    <m/>
    <x v="0"/>
    <x v="0"/>
  </r>
  <r>
    <n v="68124840363"/>
    <n v="308"/>
    <d v="2034-06-06T00:00:00"/>
    <m/>
    <x v="0"/>
    <x v="0"/>
  </r>
  <r>
    <n v="95503056289"/>
    <n v="330"/>
    <d v="2034-06-06T00:00:00"/>
    <s v=""/>
    <x v="0"/>
    <x v="0"/>
  </r>
  <r>
    <n v="26355558319"/>
    <n v="340"/>
    <d v="2034-06-06T00:00:00"/>
    <d v="2034-09-03T00:00:00"/>
    <x v="0"/>
    <x v="3"/>
  </r>
  <r>
    <n v="49061723505"/>
    <n v="4"/>
    <d v="2034-06-07T00:00:00"/>
    <d v="2034-09-09T00:00:00"/>
    <x v="0"/>
    <x v="3"/>
  </r>
  <r>
    <n v="53546490102"/>
    <n v="11"/>
    <d v="2034-06-07T00:00:00"/>
    <s v=""/>
    <x v="0"/>
    <x v="0"/>
  </r>
  <r>
    <n v="87157023141"/>
    <n v="40"/>
    <d v="2034-06-07T00:00:00"/>
    <s v=""/>
    <x v="0"/>
    <x v="0"/>
  </r>
  <r>
    <n v="90969142315"/>
    <n v="41"/>
    <d v="2034-06-07T00:00:00"/>
    <s v=""/>
    <x v="0"/>
    <x v="0"/>
  </r>
  <r>
    <n v="56817868837"/>
    <n v="41"/>
    <d v="2034-06-07T00:00:00"/>
    <s v=""/>
    <x v="0"/>
    <x v="0"/>
  </r>
  <r>
    <n v="99410324373"/>
    <n v="66"/>
    <d v="2034-06-07T00:00:00"/>
    <d v="2034-06-11T00:00:00"/>
    <x v="0"/>
    <x v="1"/>
  </r>
  <r>
    <n v="35716934981"/>
    <n v="78"/>
    <d v="2034-06-07T00:00:00"/>
    <s v=""/>
    <x v="0"/>
    <x v="0"/>
  </r>
  <r>
    <n v="56804120393"/>
    <n v="104"/>
    <d v="2034-06-07T00:00:00"/>
    <s v=""/>
    <x v="0"/>
    <x v="0"/>
  </r>
  <r>
    <n v="50727772213"/>
    <n v="105"/>
    <d v="2034-06-07T00:00:00"/>
    <s v=""/>
    <x v="0"/>
    <x v="0"/>
  </r>
  <r>
    <n v="89874883804"/>
    <n v="109"/>
    <d v="2034-06-07T00:00:00"/>
    <s v=""/>
    <x v="0"/>
    <x v="0"/>
  </r>
  <r>
    <n v="30526619105"/>
    <n v="113"/>
    <d v="2034-06-07T00:00:00"/>
    <m/>
    <x v="0"/>
    <x v="0"/>
  </r>
  <r>
    <n v="39757848097"/>
    <n v="138"/>
    <d v="2034-06-07T00:00:00"/>
    <s v=""/>
    <x v="0"/>
    <x v="0"/>
  </r>
  <r>
    <n v="39714125450"/>
    <n v="141"/>
    <d v="2034-06-07T00:00:00"/>
    <s v=""/>
    <x v="0"/>
    <x v="0"/>
  </r>
  <r>
    <n v="40288599322"/>
    <n v="143"/>
    <d v="2034-06-07T00:00:00"/>
    <s v=""/>
    <x v="0"/>
    <x v="0"/>
  </r>
  <r>
    <n v="30780679395"/>
    <n v="164"/>
    <d v="2034-06-07T00:00:00"/>
    <s v=""/>
    <x v="0"/>
    <x v="0"/>
  </r>
  <r>
    <n v="51525174613"/>
    <n v="172"/>
    <d v="2034-06-07T00:00:00"/>
    <d v="2034-08-06T00:00:00"/>
    <x v="0"/>
    <x v="4"/>
  </r>
  <r>
    <n v="28168515100"/>
    <n v="180"/>
    <d v="2034-06-07T00:00:00"/>
    <s v=""/>
    <x v="0"/>
    <x v="0"/>
  </r>
  <r>
    <n v="97899299443"/>
    <n v="189"/>
    <d v="2034-06-07T00:00:00"/>
    <s v=""/>
    <x v="0"/>
    <x v="0"/>
  </r>
  <r>
    <n v="39149675165"/>
    <n v="236"/>
    <d v="2034-06-07T00:00:00"/>
    <s v=""/>
    <x v="0"/>
    <x v="0"/>
  </r>
  <r>
    <n v="12283340089"/>
    <n v="253"/>
    <d v="2034-06-07T00:00:00"/>
    <s v=""/>
    <x v="0"/>
    <x v="0"/>
  </r>
  <r>
    <n v="69004613131"/>
    <n v="257"/>
    <d v="2034-06-07T00:00:00"/>
    <d v="2034-08-24T00:00:00"/>
    <x v="0"/>
    <x v="4"/>
  </r>
  <r>
    <n v="65566296177"/>
    <n v="262"/>
    <d v="2034-06-07T00:00:00"/>
    <s v=""/>
    <x v="0"/>
    <x v="0"/>
  </r>
  <r>
    <n v="28733099641"/>
    <n v="269"/>
    <d v="2034-06-07T00:00:00"/>
    <s v=""/>
    <x v="0"/>
    <x v="0"/>
  </r>
  <r>
    <n v="51978844204"/>
    <n v="295"/>
    <d v="2034-06-07T00:00:00"/>
    <s v=""/>
    <x v="0"/>
    <x v="0"/>
  </r>
  <r>
    <n v="64103501680"/>
    <n v="317"/>
    <d v="2034-06-07T00:00:00"/>
    <d v="2034-07-28T00:00:00"/>
    <x v="0"/>
    <x v="2"/>
  </r>
  <r>
    <n v="60895409923"/>
    <n v="332"/>
    <d v="2034-06-07T00:00:00"/>
    <d v="2034-06-24T00:00:00"/>
    <x v="0"/>
    <x v="1"/>
  </r>
  <r>
    <n v="86036356620"/>
    <n v="335"/>
    <d v="2034-06-07T00:00:00"/>
    <m/>
    <x v="0"/>
    <x v="0"/>
  </r>
  <r>
    <n v="42326882307"/>
    <n v="4"/>
    <d v="2034-06-08T00:00:00"/>
    <d v="2034-09-15T00:00:00"/>
    <x v="0"/>
    <x v="3"/>
  </r>
  <r>
    <n v="52600355957"/>
    <n v="8"/>
    <d v="2034-06-08T00:00:00"/>
    <m/>
    <x v="0"/>
    <x v="0"/>
  </r>
  <r>
    <n v="44408803140"/>
    <n v="22"/>
    <d v="2034-06-08T00:00:00"/>
    <s v=""/>
    <x v="0"/>
    <x v="0"/>
  </r>
  <r>
    <n v="86997567522"/>
    <n v="23"/>
    <d v="2034-06-08T00:00:00"/>
    <s v=""/>
    <x v="0"/>
    <x v="0"/>
  </r>
  <r>
    <n v="48962964851"/>
    <n v="31"/>
    <d v="2034-06-08T00:00:00"/>
    <s v=""/>
    <x v="0"/>
    <x v="0"/>
  </r>
  <r>
    <n v="83760591201"/>
    <n v="35"/>
    <d v="2034-06-08T00:00:00"/>
    <m/>
    <x v="0"/>
    <x v="0"/>
  </r>
  <r>
    <n v="79918640037"/>
    <n v="58"/>
    <d v="2034-06-08T00:00:00"/>
    <d v="2034-07-03T00:00:00"/>
    <x v="0"/>
    <x v="2"/>
  </r>
  <r>
    <n v="12017329141"/>
    <n v="75"/>
    <d v="2034-06-08T00:00:00"/>
    <m/>
    <x v="0"/>
    <x v="0"/>
  </r>
  <r>
    <n v="29950026033"/>
    <n v="103"/>
    <d v="2034-06-08T00:00:00"/>
    <s v=""/>
    <x v="0"/>
    <x v="0"/>
  </r>
  <r>
    <n v="72611004481"/>
    <n v="113"/>
    <d v="2034-06-08T00:00:00"/>
    <s v=""/>
    <x v="0"/>
    <x v="0"/>
  </r>
  <r>
    <n v="88822766623"/>
    <n v="120"/>
    <d v="2034-06-08T00:00:00"/>
    <s v=""/>
    <x v="0"/>
    <x v="0"/>
  </r>
  <r>
    <n v="58982870897"/>
    <n v="135"/>
    <d v="2034-06-08T00:00:00"/>
    <d v="2034-10-02T00:00:00"/>
    <x v="0"/>
    <x v="5"/>
  </r>
  <r>
    <n v="72595637444"/>
    <n v="144"/>
    <d v="2034-06-08T00:00:00"/>
    <m/>
    <x v="0"/>
    <x v="0"/>
  </r>
  <r>
    <n v="74479231337"/>
    <n v="179"/>
    <d v="2034-06-08T00:00:00"/>
    <s v=""/>
    <x v="0"/>
    <x v="0"/>
  </r>
  <r>
    <n v="20291302859"/>
    <n v="182"/>
    <d v="2034-06-08T00:00:00"/>
    <s v=""/>
    <x v="0"/>
    <x v="0"/>
  </r>
  <r>
    <n v="66486145377"/>
    <n v="183"/>
    <d v="2034-06-08T00:00:00"/>
    <d v="2034-09-25T00:00:00"/>
    <x v="0"/>
    <x v="3"/>
  </r>
  <r>
    <n v="90500713123"/>
    <n v="203"/>
    <d v="2034-06-08T00:00:00"/>
    <s v=""/>
    <x v="0"/>
    <x v="0"/>
  </r>
  <r>
    <n v="70635010707"/>
    <n v="212"/>
    <d v="2034-06-08T00:00:00"/>
    <s v=""/>
    <x v="0"/>
    <x v="0"/>
  </r>
  <r>
    <n v="11397739114"/>
    <n v="224"/>
    <d v="2034-06-08T00:00:00"/>
    <d v="2034-10-03T00:00:00"/>
    <x v="0"/>
    <x v="5"/>
  </r>
  <r>
    <n v="52759008905"/>
    <n v="227"/>
    <d v="2034-06-08T00:00:00"/>
    <s v=""/>
    <x v="0"/>
    <x v="0"/>
  </r>
  <r>
    <n v="37827348854"/>
    <n v="282"/>
    <d v="2034-06-08T00:00:00"/>
    <d v="2034-08-10T00:00:00"/>
    <x v="0"/>
    <x v="4"/>
  </r>
  <r>
    <n v="97933346811"/>
    <n v="287"/>
    <d v="2034-06-08T00:00:00"/>
    <s v=""/>
    <x v="0"/>
    <x v="0"/>
  </r>
  <r>
    <n v="16339287787"/>
    <n v="291"/>
    <d v="2034-06-08T00:00:00"/>
    <s v=""/>
    <x v="0"/>
    <x v="0"/>
  </r>
  <r>
    <n v="21456037287"/>
    <n v="296"/>
    <d v="2034-06-08T00:00:00"/>
    <d v="2034-10-03T00:00:00"/>
    <x v="0"/>
    <x v="5"/>
  </r>
  <r>
    <n v="89396160996"/>
    <n v="303"/>
    <d v="2034-06-08T00:00:00"/>
    <s v=""/>
    <x v="0"/>
    <x v="0"/>
  </r>
  <r>
    <n v="47739418607"/>
    <n v="313"/>
    <d v="2034-06-08T00:00:00"/>
    <s v=""/>
    <x v="0"/>
    <x v="0"/>
  </r>
  <r>
    <n v="91831207751"/>
    <n v="340"/>
    <d v="2034-06-08T00:00:00"/>
    <m/>
    <x v="0"/>
    <x v="0"/>
  </r>
  <r>
    <n v="56724322673"/>
    <n v="88"/>
    <d v="2034-06-09T00:00:00"/>
    <m/>
    <x v="0"/>
    <x v="0"/>
  </r>
  <r>
    <n v="57102947971"/>
    <n v="99"/>
    <d v="2034-06-09T00:00:00"/>
    <s v=""/>
    <x v="0"/>
    <x v="0"/>
  </r>
  <r>
    <n v="64086056554"/>
    <n v="109"/>
    <d v="2034-06-09T00:00:00"/>
    <s v=""/>
    <x v="0"/>
    <x v="0"/>
  </r>
  <r>
    <n v="90783347673"/>
    <n v="117"/>
    <d v="2034-06-09T00:00:00"/>
    <m/>
    <x v="0"/>
    <x v="0"/>
  </r>
  <r>
    <n v="91398539092"/>
    <n v="129"/>
    <d v="2034-06-09T00:00:00"/>
    <s v=""/>
    <x v="0"/>
    <x v="0"/>
  </r>
  <r>
    <n v="51401320452"/>
    <n v="134"/>
    <d v="2034-06-09T00:00:00"/>
    <m/>
    <x v="0"/>
    <x v="0"/>
  </r>
  <r>
    <n v="51888848323"/>
    <n v="147"/>
    <d v="2034-06-09T00:00:00"/>
    <s v=""/>
    <x v="0"/>
    <x v="0"/>
  </r>
  <r>
    <n v="86375490438"/>
    <n v="168"/>
    <d v="2034-06-09T00:00:00"/>
    <m/>
    <x v="0"/>
    <x v="0"/>
  </r>
  <r>
    <n v="97298033943"/>
    <n v="185"/>
    <d v="2034-06-09T00:00:00"/>
    <s v=""/>
    <x v="0"/>
    <x v="0"/>
  </r>
  <r>
    <n v="32086957056"/>
    <n v="208"/>
    <d v="2034-06-09T00:00:00"/>
    <m/>
    <x v="0"/>
    <x v="0"/>
  </r>
  <r>
    <n v="98609012350"/>
    <n v="221"/>
    <d v="2034-06-09T00:00:00"/>
    <d v="2034-07-17T00:00:00"/>
    <x v="0"/>
    <x v="2"/>
  </r>
  <r>
    <n v="60571799869"/>
    <n v="265"/>
    <d v="2034-06-09T00:00:00"/>
    <s v=""/>
    <x v="0"/>
    <x v="0"/>
  </r>
  <r>
    <n v="97070945189"/>
    <n v="290"/>
    <d v="2034-06-09T00:00:00"/>
    <s v=""/>
    <x v="0"/>
    <x v="0"/>
  </r>
  <r>
    <n v="53740076255"/>
    <n v="295"/>
    <d v="2034-06-09T00:00:00"/>
    <s v=""/>
    <x v="0"/>
    <x v="0"/>
  </r>
  <r>
    <n v="81445821967"/>
    <n v="295"/>
    <d v="2034-06-09T00:00:00"/>
    <s v=""/>
    <x v="0"/>
    <x v="0"/>
  </r>
  <r>
    <n v="50334320844"/>
    <n v="309"/>
    <d v="2034-06-09T00:00:00"/>
    <d v="2034-09-03T00:00:00"/>
    <x v="0"/>
    <x v="3"/>
  </r>
  <r>
    <n v="92912775291"/>
    <n v="332"/>
    <d v="2034-06-09T00:00:00"/>
    <m/>
    <x v="0"/>
    <x v="0"/>
  </r>
  <r>
    <n v="42730388755"/>
    <n v="336"/>
    <d v="2034-06-09T00:00:00"/>
    <s v=""/>
    <x v="0"/>
    <x v="0"/>
  </r>
  <r>
    <n v="48439991630"/>
    <n v="22"/>
    <d v="2034-06-10T00:00:00"/>
    <s v=""/>
    <x v="0"/>
    <x v="0"/>
  </r>
  <r>
    <n v="62025203193"/>
    <n v="33"/>
    <d v="2034-06-10T00:00:00"/>
    <s v=""/>
    <x v="0"/>
    <x v="0"/>
  </r>
  <r>
    <n v="35771925753"/>
    <n v="35"/>
    <d v="2034-06-10T00:00:00"/>
    <s v=""/>
    <x v="0"/>
    <x v="0"/>
  </r>
  <r>
    <n v="33925931179"/>
    <n v="42"/>
    <d v="2034-06-10T00:00:00"/>
    <s v=""/>
    <x v="0"/>
    <x v="0"/>
  </r>
  <r>
    <n v="54432237912"/>
    <n v="75"/>
    <d v="2034-06-10T00:00:00"/>
    <m/>
    <x v="0"/>
    <x v="0"/>
  </r>
  <r>
    <n v="51946754709"/>
    <n v="90"/>
    <d v="2034-06-10T00:00:00"/>
    <d v="2034-07-13T00:00:00"/>
    <x v="0"/>
    <x v="2"/>
  </r>
  <r>
    <n v="97100992462"/>
    <n v="97"/>
    <d v="2034-06-10T00:00:00"/>
    <s v=""/>
    <x v="0"/>
    <x v="0"/>
  </r>
  <r>
    <n v="45927201699"/>
    <n v="129"/>
    <d v="2034-06-10T00:00:00"/>
    <d v="2034-07-05T00:00:00"/>
    <x v="0"/>
    <x v="2"/>
  </r>
  <r>
    <n v="40876987569"/>
    <n v="134"/>
    <d v="2034-06-10T00:00:00"/>
    <s v=""/>
    <x v="0"/>
    <x v="0"/>
  </r>
  <r>
    <n v="36629457271"/>
    <n v="160"/>
    <d v="2034-06-10T00:00:00"/>
    <s v=""/>
    <x v="0"/>
    <x v="0"/>
  </r>
  <r>
    <n v="74043418930"/>
    <n v="182"/>
    <d v="2034-06-10T00:00:00"/>
    <m/>
    <x v="0"/>
    <x v="0"/>
  </r>
  <r>
    <n v="82450210670"/>
    <n v="200"/>
    <d v="2034-06-10T00:00:00"/>
    <d v="2034-09-02T00:00:00"/>
    <x v="0"/>
    <x v="3"/>
  </r>
  <r>
    <n v="91044587618"/>
    <n v="224"/>
    <d v="2034-06-10T00:00:00"/>
    <s v=""/>
    <x v="0"/>
    <x v="0"/>
  </r>
  <r>
    <n v="72116914058"/>
    <n v="229"/>
    <d v="2034-06-10T00:00:00"/>
    <s v=""/>
    <x v="0"/>
    <x v="0"/>
  </r>
  <r>
    <n v="55048652983"/>
    <n v="237"/>
    <d v="2034-06-10T00:00:00"/>
    <d v="2034-07-04T00:00:00"/>
    <x v="0"/>
    <x v="2"/>
  </r>
  <r>
    <n v="95716476838"/>
    <n v="242"/>
    <d v="2034-06-10T00:00:00"/>
    <s v=""/>
    <x v="0"/>
    <x v="0"/>
  </r>
  <r>
    <n v="49947679400"/>
    <n v="243"/>
    <d v="2034-06-10T00:00:00"/>
    <s v=""/>
    <x v="0"/>
    <x v="0"/>
  </r>
  <r>
    <n v="47936913634"/>
    <n v="255"/>
    <d v="2034-06-10T00:00:00"/>
    <s v=""/>
    <x v="0"/>
    <x v="0"/>
  </r>
  <r>
    <n v="15795772622"/>
    <n v="262"/>
    <d v="2034-06-10T00:00:00"/>
    <s v=""/>
    <x v="0"/>
    <x v="0"/>
  </r>
  <r>
    <n v="47887251756"/>
    <n v="266"/>
    <d v="2034-06-10T00:00:00"/>
    <s v=""/>
    <x v="0"/>
    <x v="0"/>
  </r>
  <r>
    <n v="95408740402"/>
    <n v="285"/>
    <d v="2034-06-10T00:00:00"/>
    <s v=""/>
    <x v="0"/>
    <x v="0"/>
  </r>
  <r>
    <n v="73122446750"/>
    <n v="312"/>
    <d v="2034-06-10T00:00:00"/>
    <m/>
    <x v="0"/>
    <x v="0"/>
  </r>
  <r>
    <n v="16564247599"/>
    <n v="10"/>
    <d v="2034-06-11T00:00:00"/>
    <s v=""/>
    <x v="0"/>
    <x v="0"/>
  </r>
  <r>
    <n v="79294948101"/>
    <n v="26"/>
    <d v="2034-06-11T00:00:00"/>
    <s v=""/>
    <x v="0"/>
    <x v="0"/>
  </r>
  <r>
    <n v="57130124164"/>
    <n v="34"/>
    <d v="2034-06-11T00:00:00"/>
    <d v="2034-06-16T00:00:00"/>
    <x v="0"/>
    <x v="1"/>
  </r>
  <r>
    <n v="12507516163"/>
    <n v="39"/>
    <d v="2034-06-11T00:00:00"/>
    <s v=""/>
    <x v="0"/>
    <x v="0"/>
  </r>
  <r>
    <n v="62119762787"/>
    <n v="57"/>
    <d v="2034-06-11T00:00:00"/>
    <d v="2034-06-28T00:00:00"/>
    <x v="0"/>
    <x v="1"/>
  </r>
  <r>
    <n v="51929060073"/>
    <n v="81"/>
    <d v="2034-06-11T00:00:00"/>
    <s v=""/>
    <x v="0"/>
    <x v="0"/>
  </r>
  <r>
    <n v="62302915341"/>
    <n v="112"/>
    <d v="2034-06-11T00:00:00"/>
    <s v=""/>
    <x v="0"/>
    <x v="0"/>
  </r>
  <r>
    <n v="68532993017"/>
    <n v="139"/>
    <d v="2034-06-11T00:00:00"/>
    <s v=""/>
    <x v="0"/>
    <x v="0"/>
  </r>
  <r>
    <n v="31808204510"/>
    <n v="148"/>
    <d v="2034-06-11T00:00:00"/>
    <m/>
    <x v="0"/>
    <x v="0"/>
  </r>
  <r>
    <n v="20299178851"/>
    <n v="164"/>
    <d v="2034-06-11T00:00:00"/>
    <d v="2034-06-16T00:00:00"/>
    <x v="0"/>
    <x v="1"/>
  </r>
  <r>
    <n v="78475663404"/>
    <n v="165"/>
    <d v="2034-06-11T00:00:00"/>
    <s v=""/>
    <x v="0"/>
    <x v="0"/>
  </r>
  <r>
    <n v="71650831543"/>
    <n v="185"/>
    <d v="2034-06-11T00:00:00"/>
    <d v="2034-09-27T00:00:00"/>
    <x v="0"/>
    <x v="3"/>
  </r>
  <r>
    <n v="25522572738"/>
    <n v="187"/>
    <d v="2034-06-11T00:00:00"/>
    <s v=""/>
    <x v="0"/>
    <x v="0"/>
  </r>
  <r>
    <n v="64339211163"/>
    <n v="198"/>
    <d v="2034-06-11T00:00:00"/>
    <s v=""/>
    <x v="0"/>
    <x v="0"/>
  </r>
  <r>
    <n v="54384481287"/>
    <n v="228"/>
    <d v="2034-06-11T00:00:00"/>
    <m/>
    <x v="0"/>
    <x v="0"/>
  </r>
  <r>
    <n v="11875592074"/>
    <n v="230"/>
    <d v="2034-06-11T00:00:00"/>
    <s v=""/>
    <x v="0"/>
    <x v="0"/>
  </r>
  <r>
    <n v="18696150076"/>
    <n v="234"/>
    <d v="2034-06-11T00:00:00"/>
    <s v=""/>
    <x v="0"/>
    <x v="0"/>
  </r>
  <r>
    <n v="29987371915"/>
    <n v="238"/>
    <d v="2034-06-11T00:00:00"/>
    <s v=""/>
    <x v="0"/>
    <x v="0"/>
  </r>
  <r>
    <n v="60107041099"/>
    <n v="248"/>
    <d v="2034-06-11T00:00:00"/>
    <s v=""/>
    <x v="0"/>
    <x v="0"/>
  </r>
  <r>
    <n v="54901049151"/>
    <n v="255"/>
    <d v="2034-06-11T00:00:00"/>
    <s v=""/>
    <x v="0"/>
    <x v="0"/>
  </r>
  <r>
    <n v="87504251864"/>
    <n v="255"/>
    <d v="2034-06-11T00:00:00"/>
    <s v=""/>
    <x v="0"/>
    <x v="0"/>
  </r>
  <r>
    <n v="52744432224"/>
    <n v="258"/>
    <d v="2034-06-11T00:00:00"/>
    <d v="2034-08-18T00:00:00"/>
    <x v="0"/>
    <x v="4"/>
  </r>
  <r>
    <n v="23827158582"/>
    <n v="264"/>
    <d v="2034-06-11T00:00:00"/>
    <s v=""/>
    <x v="0"/>
    <x v="0"/>
  </r>
  <r>
    <n v="42986304076"/>
    <n v="264"/>
    <d v="2034-06-11T00:00:00"/>
    <s v=""/>
    <x v="0"/>
    <x v="0"/>
  </r>
  <r>
    <n v="50706529576"/>
    <n v="266"/>
    <d v="2034-06-11T00:00:00"/>
    <d v="2034-08-26T00:00:00"/>
    <x v="0"/>
    <x v="4"/>
  </r>
  <r>
    <n v="63651035533"/>
    <n v="273"/>
    <d v="2034-06-11T00:00:00"/>
    <m/>
    <x v="0"/>
    <x v="0"/>
  </r>
  <r>
    <n v="21441655286"/>
    <n v="274"/>
    <d v="2034-06-11T00:00:00"/>
    <m/>
    <x v="0"/>
    <x v="0"/>
  </r>
  <r>
    <n v="64793623057"/>
    <n v="284"/>
    <d v="2034-06-11T00:00:00"/>
    <s v=""/>
    <x v="0"/>
    <x v="0"/>
  </r>
  <r>
    <n v="20444974273"/>
    <n v="287"/>
    <d v="2034-06-11T00:00:00"/>
    <s v=""/>
    <x v="0"/>
    <x v="0"/>
  </r>
  <r>
    <n v="22396256593"/>
    <n v="294"/>
    <d v="2034-06-11T00:00:00"/>
    <s v=""/>
    <x v="0"/>
    <x v="0"/>
  </r>
  <r>
    <n v="72670921426"/>
    <n v="309"/>
    <d v="2034-06-11T00:00:00"/>
    <s v=""/>
    <x v="0"/>
    <x v="0"/>
  </r>
  <r>
    <n v="23130222873"/>
    <n v="313"/>
    <d v="2034-06-11T00:00:00"/>
    <d v="2034-09-17T00:00:00"/>
    <x v="0"/>
    <x v="3"/>
  </r>
  <r>
    <n v="89753082790"/>
    <n v="324"/>
    <d v="2034-06-11T00:00:00"/>
    <s v=""/>
    <x v="0"/>
    <x v="0"/>
  </r>
  <r>
    <n v="13779621960"/>
    <n v="327"/>
    <d v="2034-06-11T00:00:00"/>
    <s v=""/>
    <x v="0"/>
    <x v="0"/>
  </r>
  <r>
    <n v="74929221210"/>
    <n v="331"/>
    <d v="2034-06-11T00:00:00"/>
    <s v=""/>
    <x v="0"/>
    <x v="0"/>
  </r>
  <r>
    <n v="71379982756"/>
    <n v="333"/>
    <d v="2034-06-11T00:00:00"/>
    <s v=""/>
    <x v="0"/>
    <x v="0"/>
  </r>
  <r>
    <n v="54012934457"/>
    <n v="334"/>
    <d v="2034-06-11T00:00:00"/>
    <m/>
    <x v="0"/>
    <x v="0"/>
  </r>
  <r>
    <n v="71248709513"/>
    <n v="9"/>
    <d v="2034-06-12T00:00:00"/>
    <d v="2034-08-21T00:00:00"/>
    <x v="0"/>
    <x v="4"/>
  </r>
  <r>
    <n v="80053456136"/>
    <n v="19"/>
    <d v="2034-06-12T00:00:00"/>
    <d v="2034-07-22T00:00:00"/>
    <x v="0"/>
    <x v="2"/>
  </r>
  <r>
    <n v="23528450909"/>
    <n v="25"/>
    <d v="2034-06-12T00:00:00"/>
    <d v="2034-09-06T00:00:00"/>
    <x v="0"/>
    <x v="3"/>
  </r>
  <r>
    <n v="86370204609"/>
    <n v="37"/>
    <d v="2034-06-12T00:00:00"/>
    <s v=""/>
    <x v="0"/>
    <x v="0"/>
  </r>
  <r>
    <n v="68809070776"/>
    <n v="41"/>
    <d v="2034-06-12T00:00:00"/>
    <s v=""/>
    <x v="0"/>
    <x v="0"/>
  </r>
  <r>
    <n v="14724004635"/>
    <n v="51"/>
    <d v="2034-06-12T00:00:00"/>
    <s v=""/>
    <x v="0"/>
    <x v="0"/>
  </r>
  <r>
    <n v="29627021626"/>
    <n v="65"/>
    <d v="2034-06-12T00:00:00"/>
    <s v=""/>
    <x v="0"/>
    <x v="0"/>
  </r>
  <r>
    <n v="63003892022"/>
    <n v="73"/>
    <d v="2034-06-12T00:00:00"/>
    <s v=""/>
    <x v="0"/>
    <x v="0"/>
  </r>
  <r>
    <n v="61187601147"/>
    <n v="99"/>
    <d v="2034-06-12T00:00:00"/>
    <s v=""/>
    <x v="0"/>
    <x v="0"/>
  </r>
  <r>
    <n v="29289358803"/>
    <n v="109"/>
    <d v="2034-06-12T00:00:00"/>
    <s v=""/>
    <x v="0"/>
    <x v="0"/>
  </r>
  <r>
    <n v="92879270225"/>
    <n v="114"/>
    <d v="2034-06-12T00:00:00"/>
    <s v=""/>
    <x v="0"/>
    <x v="0"/>
  </r>
  <r>
    <n v="76887312493"/>
    <n v="116"/>
    <d v="2034-06-12T00:00:00"/>
    <s v=""/>
    <x v="0"/>
    <x v="0"/>
  </r>
  <r>
    <n v="96374996541"/>
    <n v="126"/>
    <d v="2034-06-12T00:00:00"/>
    <s v=""/>
    <x v="0"/>
    <x v="0"/>
  </r>
  <r>
    <n v="89295718128"/>
    <n v="127"/>
    <d v="2034-06-12T00:00:00"/>
    <s v=""/>
    <x v="0"/>
    <x v="0"/>
  </r>
  <r>
    <n v="47668846734"/>
    <n v="144"/>
    <d v="2034-06-12T00:00:00"/>
    <m/>
    <x v="0"/>
    <x v="0"/>
  </r>
  <r>
    <n v="23408438681"/>
    <n v="150"/>
    <d v="2034-06-12T00:00:00"/>
    <s v=""/>
    <x v="0"/>
    <x v="0"/>
  </r>
  <r>
    <n v="61855864468"/>
    <n v="153"/>
    <d v="2034-06-12T00:00:00"/>
    <s v=""/>
    <x v="0"/>
    <x v="0"/>
  </r>
  <r>
    <n v="44102314047"/>
    <n v="169"/>
    <d v="2034-06-12T00:00:00"/>
    <d v="2034-08-13T00:00:00"/>
    <x v="0"/>
    <x v="4"/>
  </r>
  <r>
    <n v="55212951693"/>
    <n v="194"/>
    <d v="2034-06-12T00:00:00"/>
    <s v=""/>
    <x v="0"/>
    <x v="0"/>
  </r>
  <r>
    <n v="80604742850"/>
    <n v="203"/>
    <d v="2034-06-12T00:00:00"/>
    <m/>
    <x v="0"/>
    <x v="0"/>
  </r>
  <r>
    <n v="85754299905"/>
    <n v="203"/>
    <d v="2034-06-12T00:00:00"/>
    <s v=""/>
    <x v="0"/>
    <x v="0"/>
  </r>
  <r>
    <n v="44156032294"/>
    <n v="206"/>
    <d v="2034-06-12T00:00:00"/>
    <m/>
    <x v="0"/>
    <x v="0"/>
  </r>
  <r>
    <n v="37909125073"/>
    <n v="223"/>
    <d v="2034-06-12T00:00:00"/>
    <d v="2034-07-02T00:00:00"/>
    <x v="0"/>
    <x v="2"/>
  </r>
  <r>
    <n v="50037942469"/>
    <n v="233"/>
    <d v="2034-06-12T00:00:00"/>
    <d v="2034-08-20T00:00:00"/>
    <x v="0"/>
    <x v="4"/>
  </r>
  <r>
    <n v="99319862523"/>
    <n v="238"/>
    <d v="2034-06-12T00:00:00"/>
    <d v="2034-07-28T00:00:00"/>
    <x v="0"/>
    <x v="2"/>
  </r>
  <r>
    <n v="36205925517"/>
    <n v="244"/>
    <d v="2034-06-12T00:00:00"/>
    <s v=""/>
    <x v="0"/>
    <x v="0"/>
  </r>
  <r>
    <n v="90061200054"/>
    <n v="272"/>
    <d v="2034-06-12T00:00:00"/>
    <s v=""/>
    <x v="0"/>
    <x v="0"/>
  </r>
  <r>
    <n v="46435354222"/>
    <n v="293"/>
    <d v="2034-06-12T00:00:00"/>
    <m/>
    <x v="0"/>
    <x v="0"/>
  </r>
  <r>
    <n v="54735404832"/>
    <n v="321"/>
    <d v="2034-06-12T00:00:00"/>
    <s v=""/>
    <x v="0"/>
    <x v="0"/>
  </r>
  <r>
    <n v="99434737070"/>
    <n v="2"/>
    <d v="2034-06-13T00:00:00"/>
    <s v=""/>
    <x v="0"/>
    <x v="0"/>
  </r>
  <r>
    <n v="56199743596"/>
    <n v="4"/>
    <d v="2034-06-13T00:00:00"/>
    <m/>
    <x v="0"/>
    <x v="0"/>
  </r>
  <r>
    <n v="14652678590"/>
    <n v="9"/>
    <d v="2034-06-13T00:00:00"/>
    <s v=""/>
    <x v="0"/>
    <x v="0"/>
  </r>
  <r>
    <n v="69663441531"/>
    <n v="16"/>
    <d v="2034-06-13T00:00:00"/>
    <d v="2034-07-21T00:00:00"/>
    <x v="0"/>
    <x v="2"/>
  </r>
  <r>
    <n v="63241550524"/>
    <n v="27"/>
    <d v="2034-06-13T00:00:00"/>
    <d v="2034-09-22T00:00:00"/>
    <x v="0"/>
    <x v="3"/>
  </r>
  <r>
    <n v="12645608327"/>
    <n v="29"/>
    <d v="2034-06-13T00:00:00"/>
    <s v=""/>
    <x v="0"/>
    <x v="0"/>
  </r>
  <r>
    <n v="74191410219"/>
    <n v="39"/>
    <d v="2034-06-13T00:00:00"/>
    <s v=""/>
    <x v="0"/>
    <x v="0"/>
  </r>
  <r>
    <n v="79308144066"/>
    <n v="42"/>
    <d v="2034-06-13T00:00:00"/>
    <d v="2034-06-13T00:00:00"/>
    <x v="0"/>
    <x v="1"/>
  </r>
  <r>
    <n v="51502044299"/>
    <n v="43"/>
    <d v="2034-06-13T00:00:00"/>
    <s v=""/>
    <x v="0"/>
    <x v="0"/>
  </r>
  <r>
    <n v="35974939224"/>
    <n v="43"/>
    <d v="2034-06-13T00:00:00"/>
    <s v=""/>
    <x v="0"/>
    <x v="0"/>
  </r>
  <r>
    <n v="23375685091"/>
    <n v="48"/>
    <d v="2034-06-13T00:00:00"/>
    <d v="2034-06-15T00:00:00"/>
    <x v="0"/>
    <x v="1"/>
  </r>
  <r>
    <n v="55798151606"/>
    <n v="68"/>
    <d v="2034-06-13T00:00:00"/>
    <d v="2034-10-07T00:00:00"/>
    <x v="0"/>
    <x v="5"/>
  </r>
  <r>
    <n v="23595702622"/>
    <n v="71"/>
    <d v="2034-06-13T00:00:00"/>
    <s v=""/>
    <x v="0"/>
    <x v="0"/>
  </r>
  <r>
    <n v="31876912454"/>
    <n v="74"/>
    <d v="2034-06-13T00:00:00"/>
    <s v=""/>
    <x v="0"/>
    <x v="0"/>
  </r>
  <r>
    <n v="23648505513"/>
    <n v="77"/>
    <d v="2034-06-13T00:00:00"/>
    <s v=""/>
    <x v="0"/>
    <x v="0"/>
  </r>
  <r>
    <n v="56984563106"/>
    <n v="104"/>
    <d v="2034-06-13T00:00:00"/>
    <d v="2034-08-31T00:00:00"/>
    <x v="0"/>
    <x v="4"/>
  </r>
  <r>
    <n v="25743018934"/>
    <n v="139"/>
    <d v="2034-06-13T00:00:00"/>
    <s v=""/>
    <x v="0"/>
    <x v="0"/>
  </r>
  <r>
    <n v="44424098610"/>
    <n v="194"/>
    <d v="2034-06-13T00:00:00"/>
    <m/>
    <x v="0"/>
    <x v="0"/>
  </r>
  <r>
    <n v="79701537110"/>
    <n v="210"/>
    <d v="2034-06-13T00:00:00"/>
    <s v=""/>
    <x v="0"/>
    <x v="0"/>
  </r>
  <r>
    <n v="62247581713"/>
    <n v="211"/>
    <d v="2034-06-13T00:00:00"/>
    <m/>
    <x v="0"/>
    <x v="0"/>
  </r>
  <r>
    <n v="77528382923"/>
    <n v="221"/>
    <d v="2034-06-13T00:00:00"/>
    <s v=""/>
    <x v="0"/>
    <x v="0"/>
  </r>
  <r>
    <n v="89674575384"/>
    <n v="225"/>
    <d v="2034-06-13T00:00:00"/>
    <d v="2034-09-24T00:00:00"/>
    <x v="0"/>
    <x v="3"/>
  </r>
  <r>
    <n v="74014145400"/>
    <n v="256"/>
    <d v="2034-06-13T00:00:00"/>
    <s v=""/>
    <x v="0"/>
    <x v="0"/>
  </r>
  <r>
    <n v="13388823949"/>
    <n v="266"/>
    <d v="2034-06-13T00:00:00"/>
    <s v=""/>
    <x v="0"/>
    <x v="0"/>
  </r>
  <r>
    <n v="97174943406"/>
    <n v="280"/>
    <d v="2034-06-13T00:00:00"/>
    <m/>
    <x v="0"/>
    <x v="0"/>
  </r>
  <r>
    <n v="28210188923"/>
    <n v="282"/>
    <d v="2034-06-13T00:00:00"/>
    <d v="2034-08-03T00:00:00"/>
    <x v="0"/>
    <x v="4"/>
  </r>
  <r>
    <n v="49217432457"/>
    <n v="287"/>
    <d v="2034-06-13T00:00:00"/>
    <s v=""/>
    <x v="0"/>
    <x v="0"/>
  </r>
  <r>
    <n v="64432348990"/>
    <n v="290"/>
    <d v="2034-06-13T00:00:00"/>
    <d v="2034-08-01T00:00:00"/>
    <x v="0"/>
    <x v="4"/>
  </r>
  <r>
    <n v="55985341230"/>
    <n v="291"/>
    <d v="2034-06-13T00:00:00"/>
    <s v=""/>
    <x v="0"/>
    <x v="0"/>
  </r>
  <r>
    <n v="85658632145"/>
    <n v="307"/>
    <d v="2034-06-13T00:00:00"/>
    <d v="2034-08-17T00:00:00"/>
    <x v="0"/>
    <x v="4"/>
  </r>
  <r>
    <n v="73542394783"/>
    <n v="308"/>
    <d v="2034-06-13T00:00:00"/>
    <s v=""/>
    <x v="0"/>
    <x v="0"/>
  </r>
  <r>
    <n v="96618384212"/>
    <n v="311"/>
    <d v="2034-06-13T00:00:00"/>
    <d v="2034-08-21T00:00:00"/>
    <x v="0"/>
    <x v="4"/>
  </r>
  <r>
    <n v="95816975387"/>
    <n v="327"/>
    <d v="2034-06-13T00:00:00"/>
    <d v="2034-07-04T00:00:00"/>
    <x v="0"/>
    <x v="2"/>
  </r>
  <r>
    <n v="21995673548"/>
    <n v="330"/>
    <d v="2034-06-13T00:00:00"/>
    <s v=""/>
    <x v="0"/>
    <x v="0"/>
  </r>
  <r>
    <n v="23049620330"/>
    <n v="333"/>
    <d v="2034-06-13T00:00:00"/>
    <d v="2034-08-02T00:00:00"/>
    <x v="0"/>
    <x v="4"/>
  </r>
  <r>
    <n v="59177031739"/>
    <n v="337"/>
    <d v="2034-06-13T00:00:00"/>
    <s v=""/>
    <x v="0"/>
    <x v="0"/>
  </r>
  <r>
    <n v="37463165377"/>
    <n v="338"/>
    <d v="2034-06-13T00:00:00"/>
    <s v=""/>
    <x v="0"/>
    <x v="0"/>
  </r>
  <r>
    <n v="46977566214"/>
    <n v="4"/>
    <d v="2034-06-14T00:00:00"/>
    <s v=""/>
    <x v="0"/>
    <x v="0"/>
  </r>
  <r>
    <n v="77214004957"/>
    <n v="9"/>
    <d v="2034-06-14T00:00:00"/>
    <d v="2034-06-15T00:00:00"/>
    <x v="0"/>
    <x v="1"/>
  </r>
  <r>
    <n v="56731754552"/>
    <n v="10"/>
    <d v="2034-06-14T00:00:00"/>
    <d v="2034-08-31T00:00:00"/>
    <x v="0"/>
    <x v="4"/>
  </r>
  <r>
    <n v="17349583026"/>
    <n v="17"/>
    <d v="2034-06-14T00:00:00"/>
    <s v=""/>
    <x v="0"/>
    <x v="0"/>
  </r>
  <r>
    <n v="13005534210"/>
    <n v="39"/>
    <d v="2034-06-14T00:00:00"/>
    <s v=""/>
    <x v="0"/>
    <x v="0"/>
  </r>
  <r>
    <n v="95067966187"/>
    <n v="73"/>
    <d v="2034-06-14T00:00:00"/>
    <s v=""/>
    <x v="0"/>
    <x v="0"/>
  </r>
  <r>
    <n v="54934918776"/>
    <n v="85"/>
    <d v="2034-06-14T00:00:00"/>
    <d v="2034-07-30T00:00:00"/>
    <x v="0"/>
    <x v="2"/>
  </r>
  <r>
    <n v="74265856160"/>
    <n v="89"/>
    <d v="2034-06-14T00:00:00"/>
    <s v=""/>
    <x v="0"/>
    <x v="0"/>
  </r>
  <r>
    <n v="26800396801"/>
    <n v="90"/>
    <d v="2034-06-14T00:00:00"/>
    <s v=""/>
    <x v="0"/>
    <x v="0"/>
  </r>
  <r>
    <n v="53254240436"/>
    <n v="92"/>
    <d v="2034-06-14T00:00:00"/>
    <s v=""/>
    <x v="0"/>
    <x v="0"/>
  </r>
  <r>
    <n v="66482380537"/>
    <n v="104"/>
    <d v="2034-06-14T00:00:00"/>
    <d v="2034-09-26T00:00:00"/>
    <x v="0"/>
    <x v="3"/>
  </r>
  <r>
    <n v="41700883500"/>
    <n v="119"/>
    <d v="2034-06-14T00:00:00"/>
    <s v=""/>
    <x v="0"/>
    <x v="0"/>
  </r>
  <r>
    <n v="43000911141"/>
    <n v="123"/>
    <d v="2034-06-14T00:00:00"/>
    <s v=""/>
    <x v="0"/>
    <x v="0"/>
  </r>
  <r>
    <n v="71538271240"/>
    <n v="126"/>
    <d v="2034-06-14T00:00:00"/>
    <d v="2034-09-09T00:00:00"/>
    <x v="0"/>
    <x v="3"/>
  </r>
  <r>
    <n v="45492605380"/>
    <n v="143"/>
    <d v="2034-06-14T00:00:00"/>
    <d v="2034-07-30T00:00:00"/>
    <x v="0"/>
    <x v="2"/>
  </r>
  <r>
    <n v="14510996826"/>
    <n v="152"/>
    <d v="2034-06-14T00:00:00"/>
    <m/>
    <x v="0"/>
    <x v="0"/>
  </r>
  <r>
    <n v="26545423302"/>
    <n v="153"/>
    <d v="2034-06-14T00:00:00"/>
    <d v="2034-09-27T00:00:00"/>
    <x v="0"/>
    <x v="3"/>
  </r>
  <r>
    <n v="27940418301"/>
    <n v="154"/>
    <d v="2034-06-14T00:00:00"/>
    <s v=""/>
    <x v="0"/>
    <x v="0"/>
  </r>
  <r>
    <n v="61881076924"/>
    <n v="175"/>
    <d v="2034-06-14T00:00:00"/>
    <s v=""/>
    <x v="0"/>
    <x v="0"/>
  </r>
  <r>
    <n v="44981582888"/>
    <n v="179"/>
    <d v="2034-06-14T00:00:00"/>
    <s v=""/>
    <x v="0"/>
    <x v="0"/>
  </r>
  <r>
    <n v="82336399318"/>
    <n v="199"/>
    <d v="2034-06-14T00:00:00"/>
    <s v=""/>
    <x v="0"/>
    <x v="0"/>
  </r>
  <r>
    <n v="20571376693"/>
    <n v="222"/>
    <d v="2034-06-14T00:00:00"/>
    <m/>
    <x v="0"/>
    <x v="0"/>
  </r>
  <r>
    <n v="20207529693"/>
    <n v="244"/>
    <d v="2034-06-14T00:00:00"/>
    <m/>
    <x v="0"/>
    <x v="0"/>
  </r>
  <r>
    <n v="24034384134"/>
    <n v="251"/>
    <d v="2034-06-14T00:00:00"/>
    <s v=""/>
    <x v="0"/>
    <x v="0"/>
  </r>
  <r>
    <n v="80261510585"/>
    <n v="269"/>
    <d v="2034-06-14T00:00:00"/>
    <s v=""/>
    <x v="0"/>
    <x v="0"/>
  </r>
  <r>
    <n v="83001100691"/>
    <n v="277"/>
    <d v="2034-06-14T00:00:00"/>
    <s v=""/>
    <x v="0"/>
    <x v="0"/>
  </r>
  <r>
    <n v="55564130029"/>
    <n v="296"/>
    <d v="2034-06-14T00:00:00"/>
    <d v="2034-08-22T00:00:00"/>
    <x v="0"/>
    <x v="4"/>
  </r>
  <r>
    <n v="96282111210"/>
    <n v="307"/>
    <d v="2034-06-14T00:00:00"/>
    <m/>
    <x v="0"/>
    <x v="0"/>
  </r>
  <r>
    <n v="25691686090"/>
    <n v="331"/>
    <d v="2034-06-14T00:00:00"/>
    <m/>
    <x v="0"/>
    <x v="0"/>
  </r>
  <r>
    <n v="78909491626"/>
    <n v="15"/>
    <d v="2034-06-15T00:00:00"/>
    <d v="2034-08-16T00:00:00"/>
    <x v="0"/>
    <x v="4"/>
  </r>
  <r>
    <n v="91531659593"/>
    <n v="16"/>
    <d v="2034-06-15T00:00:00"/>
    <s v=""/>
    <x v="0"/>
    <x v="0"/>
  </r>
  <r>
    <n v="68094302684"/>
    <n v="18"/>
    <d v="2034-06-15T00:00:00"/>
    <s v=""/>
    <x v="0"/>
    <x v="0"/>
  </r>
  <r>
    <n v="79240853865"/>
    <n v="20"/>
    <d v="2034-06-15T00:00:00"/>
    <m/>
    <x v="0"/>
    <x v="0"/>
  </r>
  <r>
    <n v="93041615697"/>
    <n v="24"/>
    <d v="2034-06-15T00:00:00"/>
    <s v=""/>
    <x v="0"/>
    <x v="0"/>
  </r>
  <r>
    <n v="54983901861"/>
    <n v="38"/>
    <d v="2034-06-15T00:00:00"/>
    <s v=""/>
    <x v="0"/>
    <x v="0"/>
  </r>
  <r>
    <n v="65583645786"/>
    <n v="45"/>
    <d v="2034-06-15T00:00:00"/>
    <s v=""/>
    <x v="0"/>
    <x v="0"/>
  </r>
  <r>
    <n v="11332500827"/>
    <n v="54"/>
    <d v="2034-06-15T00:00:00"/>
    <d v="2034-07-13T00:00:00"/>
    <x v="0"/>
    <x v="2"/>
  </r>
  <r>
    <n v="91226465058"/>
    <n v="54"/>
    <d v="2034-06-15T00:00:00"/>
    <m/>
    <x v="0"/>
    <x v="0"/>
  </r>
  <r>
    <n v="44492911862"/>
    <n v="81"/>
    <d v="2034-06-15T00:00:00"/>
    <s v=""/>
    <x v="0"/>
    <x v="0"/>
  </r>
  <r>
    <n v="78938622655"/>
    <n v="112"/>
    <d v="2034-06-15T00:00:00"/>
    <s v=""/>
    <x v="0"/>
    <x v="0"/>
  </r>
  <r>
    <n v="37215243064"/>
    <n v="116"/>
    <d v="2034-06-15T00:00:00"/>
    <s v=""/>
    <x v="0"/>
    <x v="0"/>
  </r>
  <r>
    <n v="94831446933"/>
    <n v="136"/>
    <d v="2034-06-15T00:00:00"/>
    <s v=""/>
    <x v="0"/>
    <x v="0"/>
  </r>
  <r>
    <n v="47836579701"/>
    <n v="144"/>
    <d v="2034-06-15T00:00:00"/>
    <s v=""/>
    <x v="0"/>
    <x v="0"/>
  </r>
  <r>
    <n v="14631487643"/>
    <n v="191"/>
    <d v="2034-06-15T00:00:00"/>
    <s v=""/>
    <x v="0"/>
    <x v="0"/>
  </r>
  <r>
    <n v="30470294987"/>
    <n v="205"/>
    <d v="2034-06-15T00:00:00"/>
    <s v=""/>
    <x v="0"/>
    <x v="0"/>
  </r>
  <r>
    <n v="39045300938"/>
    <n v="210"/>
    <d v="2034-06-15T00:00:00"/>
    <s v=""/>
    <x v="0"/>
    <x v="0"/>
  </r>
  <r>
    <n v="90043903556"/>
    <n v="214"/>
    <d v="2034-06-15T00:00:00"/>
    <d v="2034-08-15T00:00:00"/>
    <x v="0"/>
    <x v="4"/>
  </r>
  <r>
    <n v="46652462939"/>
    <n v="217"/>
    <d v="2034-06-15T00:00:00"/>
    <s v=""/>
    <x v="0"/>
    <x v="0"/>
  </r>
  <r>
    <n v="76860732303"/>
    <n v="223"/>
    <d v="2034-06-15T00:00:00"/>
    <s v=""/>
    <x v="0"/>
    <x v="0"/>
  </r>
  <r>
    <n v="31167769367"/>
    <n v="223"/>
    <d v="2034-06-15T00:00:00"/>
    <d v="2034-08-02T00:00:00"/>
    <x v="0"/>
    <x v="4"/>
  </r>
  <r>
    <n v="73960456202"/>
    <n v="238"/>
    <d v="2034-06-15T00:00:00"/>
    <s v=""/>
    <x v="0"/>
    <x v="0"/>
  </r>
  <r>
    <n v="19435287831"/>
    <n v="248"/>
    <d v="2034-06-15T00:00:00"/>
    <d v="2034-08-25T00:00:00"/>
    <x v="0"/>
    <x v="4"/>
  </r>
  <r>
    <n v="25637261358"/>
    <n v="251"/>
    <d v="2034-06-15T00:00:00"/>
    <s v=""/>
    <x v="0"/>
    <x v="0"/>
  </r>
  <r>
    <n v="43367328675"/>
    <n v="258"/>
    <d v="2034-06-15T00:00:00"/>
    <s v=""/>
    <x v="0"/>
    <x v="0"/>
  </r>
  <r>
    <n v="40528961571"/>
    <n v="264"/>
    <d v="2034-06-15T00:00:00"/>
    <s v=""/>
    <x v="0"/>
    <x v="0"/>
  </r>
  <r>
    <n v="42698807077"/>
    <n v="266"/>
    <d v="2034-06-15T00:00:00"/>
    <d v="2034-06-22T00:00:00"/>
    <x v="0"/>
    <x v="1"/>
  </r>
  <r>
    <n v="45577878463"/>
    <n v="281"/>
    <d v="2034-06-15T00:00:00"/>
    <s v=""/>
    <x v="0"/>
    <x v="0"/>
  </r>
  <r>
    <n v="88573831822"/>
    <n v="288"/>
    <d v="2034-06-15T00:00:00"/>
    <s v=""/>
    <x v="0"/>
    <x v="0"/>
  </r>
  <r>
    <n v="76401997823"/>
    <n v="294"/>
    <d v="2034-06-15T00:00:00"/>
    <m/>
    <x v="0"/>
    <x v="0"/>
  </r>
  <r>
    <n v="71800294026"/>
    <n v="296"/>
    <d v="2034-06-15T00:00:00"/>
    <s v=""/>
    <x v="0"/>
    <x v="0"/>
  </r>
  <r>
    <n v="38232664367"/>
    <n v="302"/>
    <d v="2034-06-15T00:00:00"/>
    <s v=""/>
    <x v="0"/>
    <x v="0"/>
  </r>
  <r>
    <n v="28245004359"/>
    <n v="309"/>
    <d v="2034-06-15T00:00:00"/>
    <d v="2034-06-19T00:00:00"/>
    <x v="0"/>
    <x v="1"/>
  </r>
  <r>
    <n v="94582652645"/>
    <n v="312"/>
    <d v="2034-06-15T00:00:00"/>
    <s v=""/>
    <x v="0"/>
    <x v="0"/>
  </r>
  <r>
    <n v="90594514381"/>
    <n v="329"/>
    <d v="2034-06-15T00:00:00"/>
    <s v=""/>
    <x v="0"/>
    <x v="0"/>
  </r>
  <r>
    <n v="42177960497"/>
    <n v="0"/>
    <d v="2034-06-16T00:00:00"/>
    <s v=""/>
    <x v="0"/>
    <x v="0"/>
  </r>
  <r>
    <n v="90172708129"/>
    <n v="1"/>
    <d v="2034-06-16T00:00:00"/>
    <s v=""/>
    <x v="0"/>
    <x v="0"/>
  </r>
  <r>
    <n v="82823223669"/>
    <n v="14"/>
    <d v="2034-06-16T00:00:00"/>
    <s v=""/>
    <x v="0"/>
    <x v="0"/>
  </r>
  <r>
    <n v="91635176733"/>
    <n v="17"/>
    <d v="2034-06-16T00:00:00"/>
    <d v="2034-10-09T00:00:00"/>
    <x v="0"/>
    <x v="5"/>
  </r>
  <r>
    <n v="59578824729"/>
    <n v="27"/>
    <d v="2034-06-16T00:00:00"/>
    <d v="2034-06-19T00:00:00"/>
    <x v="0"/>
    <x v="1"/>
  </r>
  <r>
    <n v="72844856800"/>
    <n v="31"/>
    <d v="2034-06-16T00:00:00"/>
    <s v=""/>
    <x v="0"/>
    <x v="0"/>
  </r>
  <r>
    <n v="33374171050"/>
    <n v="38"/>
    <d v="2034-06-16T00:00:00"/>
    <s v=""/>
    <x v="0"/>
    <x v="0"/>
  </r>
  <r>
    <n v="92609295034"/>
    <n v="59"/>
    <d v="2034-06-16T00:00:00"/>
    <s v=""/>
    <x v="0"/>
    <x v="0"/>
  </r>
  <r>
    <n v="71637818176"/>
    <n v="82"/>
    <d v="2034-06-16T00:00:00"/>
    <d v="2034-07-28T00:00:00"/>
    <x v="0"/>
    <x v="2"/>
  </r>
  <r>
    <n v="55516996293"/>
    <n v="85"/>
    <d v="2034-06-16T00:00:00"/>
    <m/>
    <x v="0"/>
    <x v="0"/>
  </r>
  <r>
    <n v="68357200302"/>
    <n v="93"/>
    <d v="2034-06-16T00:00:00"/>
    <m/>
    <x v="0"/>
    <x v="0"/>
  </r>
  <r>
    <n v="45877587505"/>
    <n v="97"/>
    <d v="2034-06-16T00:00:00"/>
    <s v=""/>
    <x v="0"/>
    <x v="0"/>
  </r>
  <r>
    <n v="40373828439"/>
    <n v="100"/>
    <d v="2034-06-16T00:00:00"/>
    <m/>
    <x v="0"/>
    <x v="0"/>
  </r>
  <r>
    <n v="43313905300"/>
    <n v="101"/>
    <d v="2034-06-16T00:00:00"/>
    <s v=""/>
    <x v="0"/>
    <x v="0"/>
  </r>
  <r>
    <n v="30261884560"/>
    <n v="112"/>
    <d v="2034-06-16T00:00:00"/>
    <s v=""/>
    <x v="0"/>
    <x v="0"/>
  </r>
  <r>
    <n v="28228148696"/>
    <n v="117"/>
    <d v="2034-06-16T00:00:00"/>
    <s v=""/>
    <x v="0"/>
    <x v="0"/>
  </r>
  <r>
    <n v="70914499125"/>
    <n v="123"/>
    <d v="2034-06-16T00:00:00"/>
    <s v=""/>
    <x v="0"/>
    <x v="0"/>
  </r>
  <r>
    <n v="13837900546"/>
    <n v="145"/>
    <d v="2034-06-16T00:00:00"/>
    <s v=""/>
    <x v="0"/>
    <x v="0"/>
  </r>
  <r>
    <n v="67861617550"/>
    <n v="163"/>
    <d v="2034-06-16T00:00:00"/>
    <s v=""/>
    <x v="0"/>
    <x v="0"/>
  </r>
  <r>
    <n v="20617472291"/>
    <n v="170"/>
    <d v="2034-06-16T00:00:00"/>
    <s v=""/>
    <x v="0"/>
    <x v="0"/>
  </r>
  <r>
    <n v="98904237154"/>
    <n v="171"/>
    <d v="2034-06-16T00:00:00"/>
    <m/>
    <x v="0"/>
    <x v="0"/>
  </r>
  <r>
    <n v="15147549330"/>
    <n v="182"/>
    <d v="2034-06-16T00:00:00"/>
    <s v=""/>
    <x v="0"/>
    <x v="0"/>
  </r>
  <r>
    <n v="82677957921"/>
    <n v="188"/>
    <d v="2034-06-16T00:00:00"/>
    <d v="2034-07-21T00:00:00"/>
    <x v="0"/>
    <x v="2"/>
  </r>
  <r>
    <n v="48392889827"/>
    <n v="211"/>
    <d v="2034-06-16T00:00:00"/>
    <s v=""/>
    <x v="0"/>
    <x v="0"/>
  </r>
  <r>
    <n v="60367710787"/>
    <n v="216"/>
    <d v="2034-06-16T00:00:00"/>
    <m/>
    <x v="0"/>
    <x v="0"/>
  </r>
  <r>
    <n v="84564344704"/>
    <n v="227"/>
    <d v="2034-06-16T00:00:00"/>
    <m/>
    <x v="0"/>
    <x v="0"/>
  </r>
  <r>
    <n v="56534338989"/>
    <n v="234"/>
    <d v="2034-06-16T00:00:00"/>
    <d v="2034-09-29T00:00:00"/>
    <x v="0"/>
    <x v="3"/>
  </r>
  <r>
    <n v="33895669976"/>
    <n v="260"/>
    <d v="2034-06-16T00:00:00"/>
    <d v="2034-06-23T00:00:00"/>
    <x v="0"/>
    <x v="1"/>
  </r>
  <r>
    <n v="99259593938"/>
    <n v="283"/>
    <d v="2034-06-16T00:00:00"/>
    <s v=""/>
    <x v="0"/>
    <x v="0"/>
  </r>
  <r>
    <n v="14886303279"/>
    <n v="288"/>
    <d v="2034-06-16T00:00:00"/>
    <s v=""/>
    <x v="0"/>
    <x v="0"/>
  </r>
  <r>
    <n v="25868700504"/>
    <n v="289"/>
    <d v="2034-06-16T00:00:00"/>
    <s v=""/>
    <x v="0"/>
    <x v="0"/>
  </r>
  <r>
    <n v="96741561672"/>
    <n v="293"/>
    <d v="2034-06-16T00:00:00"/>
    <s v=""/>
    <x v="0"/>
    <x v="0"/>
  </r>
  <r>
    <n v="76015109882"/>
    <n v="302"/>
    <d v="2034-06-16T00:00:00"/>
    <s v=""/>
    <x v="0"/>
    <x v="0"/>
  </r>
  <r>
    <n v="32896332847"/>
    <n v="314"/>
    <d v="2034-06-16T00:00:00"/>
    <s v=""/>
    <x v="0"/>
    <x v="0"/>
  </r>
  <r>
    <n v="22287226570"/>
    <n v="319"/>
    <d v="2034-06-16T00:00:00"/>
    <s v=""/>
    <x v="0"/>
    <x v="0"/>
  </r>
  <r>
    <n v="55805365270"/>
    <n v="336"/>
    <d v="2034-06-16T00:00:00"/>
    <s v=""/>
    <x v="0"/>
    <x v="0"/>
  </r>
  <r>
    <n v="29053710284"/>
    <n v="2"/>
    <d v="2034-06-17T00:00:00"/>
    <d v="2034-07-18T00:00:00"/>
    <x v="0"/>
    <x v="2"/>
  </r>
  <r>
    <n v="26937759469"/>
    <n v="19"/>
    <d v="2034-06-17T00:00:00"/>
    <s v=""/>
    <x v="0"/>
    <x v="0"/>
  </r>
  <r>
    <n v="80666822686"/>
    <n v="46"/>
    <d v="2034-06-17T00:00:00"/>
    <s v=""/>
    <x v="0"/>
    <x v="0"/>
  </r>
  <r>
    <n v="79951220624"/>
    <n v="59"/>
    <d v="2034-06-17T00:00:00"/>
    <m/>
    <x v="0"/>
    <x v="0"/>
  </r>
  <r>
    <n v="79518651477"/>
    <n v="68"/>
    <d v="2034-06-17T00:00:00"/>
    <d v="2034-08-03T00:00:00"/>
    <x v="0"/>
    <x v="4"/>
  </r>
  <r>
    <n v="39063667492"/>
    <n v="72"/>
    <d v="2034-06-17T00:00:00"/>
    <s v=""/>
    <x v="0"/>
    <x v="0"/>
  </r>
  <r>
    <n v="96408294656"/>
    <n v="75"/>
    <d v="2034-06-17T00:00:00"/>
    <m/>
    <x v="0"/>
    <x v="0"/>
  </r>
  <r>
    <n v="26541229834"/>
    <n v="78"/>
    <d v="2034-06-17T00:00:00"/>
    <m/>
    <x v="0"/>
    <x v="0"/>
  </r>
  <r>
    <n v="64342206206"/>
    <n v="99"/>
    <d v="2034-06-17T00:00:00"/>
    <s v=""/>
    <x v="0"/>
    <x v="0"/>
  </r>
  <r>
    <n v="19457902114"/>
    <n v="101"/>
    <d v="2034-06-17T00:00:00"/>
    <s v=""/>
    <x v="0"/>
    <x v="0"/>
  </r>
  <r>
    <n v="19709471953"/>
    <n v="115"/>
    <d v="2034-06-17T00:00:00"/>
    <d v="2034-09-07T00:00:00"/>
    <x v="0"/>
    <x v="3"/>
  </r>
  <r>
    <n v="95384100713"/>
    <n v="117"/>
    <d v="2034-06-17T00:00:00"/>
    <d v="2034-08-20T00:00:00"/>
    <x v="0"/>
    <x v="4"/>
  </r>
  <r>
    <n v="60562837550"/>
    <n v="126"/>
    <d v="2034-06-17T00:00:00"/>
    <s v=""/>
    <x v="0"/>
    <x v="0"/>
  </r>
  <r>
    <n v="98328218258"/>
    <n v="133"/>
    <d v="2034-06-17T00:00:00"/>
    <s v=""/>
    <x v="0"/>
    <x v="0"/>
  </r>
  <r>
    <n v="20391415814"/>
    <n v="164"/>
    <d v="2034-06-17T00:00:00"/>
    <m/>
    <x v="0"/>
    <x v="0"/>
  </r>
  <r>
    <n v="57811364146"/>
    <n v="166"/>
    <d v="2034-06-17T00:00:00"/>
    <s v=""/>
    <x v="0"/>
    <x v="0"/>
  </r>
  <r>
    <n v="15584073123"/>
    <n v="167"/>
    <d v="2034-06-17T00:00:00"/>
    <d v="2034-09-07T00:00:00"/>
    <x v="0"/>
    <x v="3"/>
  </r>
  <r>
    <n v="71790035042"/>
    <n v="182"/>
    <d v="2034-06-17T00:00:00"/>
    <d v="2034-09-10T00:00:00"/>
    <x v="0"/>
    <x v="3"/>
  </r>
  <r>
    <n v="14496157112"/>
    <n v="212"/>
    <d v="2034-06-17T00:00:00"/>
    <s v=""/>
    <x v="0"/>
    <x v="0"/>
  </r>
  <r>
    <n v="82375358875"/>
    <n v="242"/>
    <d v="2034-06-17T00:00:00"/>
    <m/>
    <x v="0"/>
    <x v="0"/>
  </r>
  <r>
    <n v="37615059784"/>
    <n v="254"/>
    <d v="2034-06-17T00:00:00"/>
    <s v=""/>
    <x v="0"/>
    <x v="0"/>
  </r>
  <r>
    <n v="50111933896"/>
    <n v="261"/>
    <d v="2034-06-17T00:00:00"/>
    <s v=""/>
    <x v="0"/>
    <x v="0"/>
  </r>
  <r>
    <n v="89659478147"/>
    <n v="263"/>
    <d v="2034-06-17T00:00:00"/>
    <s v=""/>
    <x v="0"/>
    <x v="0"/>
  </r>
  <r>
    <n v="57478701962"/>
    <n v="267"/>
    <d v="2034-06-17T00:00:00"/>
    <m/>
    <x v="0"/>
    <x v="0"/>
  </r>
  <r>
    <n v="33924049001"/>
    <n v="287"/>
    <d v="2034-06-17T00:00:00"/>
    <s v=""/>
    <x v="0"/>
    <x v="0"/>
  </r>
  <r>
    <n v="79890296508"/>
    <n v="318"/>
    <d v="2034-06-17T00:00:00"/>
    <m/>
    <x v="0"/>
    <x v="0"/>
  </r>
  <r>
    <n v="66637127658"/>
    <n v="323"/>
    <d v="2034-06-17T00:00:00"/>
    <s v=""/>
    <x v="0"/>
    <x v="0"/>
  </r>
  <r>
    <n v="55744140421"/>
    <n v="336"/>
    <d v="2034-06-17T00:00:00"/>
    <d v="2034-07-20T00:00:00"/>
    <x v="0"/>
    <x v="2"/>
  </r>
  <r>
    <n v="32186038644"/>
    <n v="338"/>
    <d v="2034-06-17T00:00:00"/>
    <s v=""/>
    <x v="0"/>
    <x v="0"/>
  </r>
  <r>
    <n v="51571927888"/>
    <n v="6"/>
    <d v="2034-06-18T00:00:00"/>
    <s v=""/>
    <x v="0"/>
    <x v="0"/>
  </r>
  <r>
    <n v="54943287429"/>
    <n v="6"/>
    <d v="2034-06-18T00:00:00"/>
    <s v=""/>
    <x v="0"/>
    <x v="0"/>
  </r>
  <r>
    <n v="26076092469"/>
    <n v="12"/>
    <d v="2034-06-18T00:00:00"/>
    <s v=""/>
    <x v="0"/>
    <x v="0"/>
  </r>
  <r>
    <n v="27319559740"/>
    <n v="25"/>
    <d v="2034-06-18T00:00:00"/>
    <s v=""/>
    <x v="0"/>
    <x v="0"/>
  </r>
  <r>
    <n v="53972951404"/>
    <n v="32"/>
    <d v="2034-06-18T00:00:00"/>
    <s v=""/>
    <x v="0"/>
    <x v="0"/>
  </r>
  <r>
    <n v="59313825847"/>
    <n v="34"/>
    <d v="2034-06-18T00:00:00"/>
    <d v="2034-10-09T00:00:00"/>
    <x v="0"/>
    <x v="5"/>
  </r>
  <r>
    <n v="16310796902"/>
    <n v="37"/>
    <d v="2034-06-18T00:00:00"/>
    <s v=""/>
    <x v="0"/>
    <x v="0"/>
  </r>
  <r>
    <n v="31133701444"/>
    <n v="41"/>
    <d v="2034-06-18T00:00:00"/>
    <s v=""/>
    <x v="0"/>
    <x v="0"/>
  </r>
  <r>
    <n v="92939296722"/>
    <n v="49"/>
    <d v="2034-06-18T00:00:00"/>
    <s v=""/>
    <x v="0"/>
    <x v="0"/>
  </r>
  <r>
    <n v="93570663098"/>
    <n v="66"/>
    <d v="2034-06-18T00:00:00"/>
    <d v="2034-09-15T00:00:00"/>
    <x v="0"/>
    <x v="3"/>
  </r>
  <r>
    <n v="27012250743"/>
    <n v="70"/>
    <d v="2034-06-18T00:00:00"/>
    <s v=""/>
    <x v="0"/>
    <x v="0"/>
  </r>
  <r>
    <n v="68579618516"/>
    <n v="74"/>
    <d v="2034-06-18T00:00:00"/>
    <s v=""/>
    <x v="0"/>
    <x v="0"/>
  </r>
  <r>
    <n v="41270542524"/>
    <n v="82"/>
    <d v="2034-06-18T00:00:00"/>
    <d v="2034-06-22T00:00:00"/>
    <x v="0"/>
    <x v="1"/>
  </r>
  <r>
    <n v="57522391455"/>
    <n v="111"/>
    <d v="2034-06-18T00:00:00"/>
    <s v=""/>
    <x v="0"/>
    <x v="0"/>
  </r>
  <r>
    <n v="19552202403"/>
    <n v="115"/>
    <d v="2034-06-18T00:00:00"/>
    <s v=""/>
    <x v="0"/>
    <x v="0"/>
  </r>
  <r>
    <n v="54958394059"/>
    <n v="119"/>
    <d v="2034-06-18T00:00:00"/>
    <s v=""/>
    <x v="0"/>
    <x v="0"/>
  </r>
  <r>
    <n v="47422543382"/>
    <n v="136"/>
    <d v="2034-06-18T00:00:00"/>
    <s v=""/>
    <x v="0"/>
    <x v="0"/>
  </r>
  <r>
    <n v="17330372728"/>
    <n v="139"/>
    <d v="2034-06-18T00:00:00"/>
    <m/>
    <x v="0"/>
    <x v="0"/>
  </r>
  <r>
    <n v="26364072676"/>
    <n v="152"/>
    <d v="2034-06-18T00:00:00"/>
    <d v="2034-06-20T00:00:00"/>
    <x v="0"/>
    <x v="1"/>
  </r>
  <r>
    <n v="97453667148"/>
    <n v="160"/>
    <d v="2034-06-18T00:00:00"/>
    <d v="2034-08-05T00:00:00"/>
    <x v="0"/>
    <x v="4"/>
  </r>
  <r>
    <n v="52156239337"/>
    <n v="172"/>
    <d v="2034-06-18T00:00:00"/>
    <s v=""/>
    <x v="0"/>
    <x v="0"/>
  </r>
  <r>
    <n v="94172228074"/>
    <n v="175"/>
    <d v="2034-06-18T00:00:00"/>
    <s v=""/>
    <x v="0"/>
    <x v="0"/>
  </r>
  <r>
    <n v="70422717645"/>
    <n v="182"/>
    <d v="2034-06-18T00:00:00"/>
    <s v=""/>
    <x v="0"/>
    <x v="0"/>
  </r>
  <r>
    <n v="82975611764"/>
    <n v="184"/>
    <d v="2034-06-18T00:00:00"/>
    <d v="2034-08-19T00:00:00"/>
    <x v="0"/>
    <x v="4"/>
  </r>
  <r>
    <n v="84420140412"/>
    <n v="201"/>
    <d v="2034-06-18T00:00:00"/>
    <s v=""/>
    <x v="0"/>
    <x v="0"/>
  </r>
  <r>
    <n v="46686471524"/>
    <n v="205"/>
    <d v="2034-06-18T00:00:00"/>
    <s v=""/>
    <x v="0"/>
    <x v="0"/>
  </r>
  <r>
    <n v="89788551641"/>
    <n v="211"/>
    <d v="2034-06-18T00:00:00"/>
    <d v="2034-10-11T00:00:00"/>
    <x v="0"/>
    <x v="5"/>
  </r>
  <r>
    <n v="55717030250"/>
    <n v="242"/>
    <d v="2034-06-18T00:00:00"/>
    <s v=""/>
    <x v="0"/>
    <x v="0"/>
  </r>
  <r>
    <n v="18131363500"/>
    <n v="253"/>
    <d v="2034-06-18T00:00:00"/>
    <s v=""/>
    <x v="0"/>
    <x v="0"/>
  </r>
  <r>
    <n v="32529627066"/>
    <n v="315"/>
    <d v="2034-06-18T00:00:00"/>
    <d v="2034-09-01T00:00:00"/>
    <x v="0"/>
    <x v="3"/>
  </r>
  <r>
    <n v="45475720449"/>
    <n v="315"/>
    <d v="2034-06-18T00:00:00"/>
    <s v=""/>
    <x v="0"/>
    <x v="0"/>
  </r>
  <r>
    <n v="99946487496"/>
    <n v="326"/>
    <d v="2034-06-18T00:00:00"/>
    <m/>
    <x v="0"/>
    <x v="0"/>
  </r>
  <r>
    <n v="81791155637"/>
    <n v="334"/>
    <d v="2034-06-18T00:00:00"/>
    <s v=""/>
    <x v="0"/>
    <x v="0"/>
  </r>
  <r>
    <n v="32537063791"/>
    <n v="339"/>
    <d v="2034-06-18T00:00:00"/>
    <s v=""/>
    <x v="0"/>
    <x v="0"/>
  </r>
  <r>
    <n v="96334428002"/>
    <n v="26"/>
    <d v="2034-06-19T00:00:00"/>
    <s v=""/>
    <x v="0"/>
    <x v="0"/>
  </r>
  <r>
    <n v="52641553572"/>
    <n v="30"/>
    <d v="2034-06-19T00:00:00"/>
    <s v=""/>
    <x v="0"/>
    <x v="0"/>
  </r>
  <r>
    <n v="18606397329"/>
    <n v="39"/>
    <d v="2034-06-19T00:00:00"/>
    <s v=""/>
    <x v="0"/>
    <x v="0"/>
  </r>
  <r>
    <n v="65724771311"/>
    <n v="56"/>
    <d v="2034-06-19T00:00:00"/>
    <d v="2034-09-18T00:00:00"/>
    <x v="0"/>
    <x v="3"/>
  </r>
  <r>
    <n v="81993628410"/>
    <n v="89"/>
    <d v="2034-06-19T00:00:00"/>
    <m/>
    <x v="0"/>
    <x v="0"/>
  </r>
  <r>
    <n v="72580366602"/>
    <n v="91"/>
    <d v="2034-06-19T00:00:00"/>
    <m/>
    <x v="0"/>
    <x v="0"/>
  </r>
  <r>
    <n v="62731185872"/>
    <n v="94"/>
    <d v="2034-06-19T00:00:00"/>
    <d v="2034-09-10T00:00:00"/>
    <x v="0"/>
    <x v="3"/>
  </r>
  <r>
    <n v="17255612685"/>
    <n v="95"/>
    <d v="2034-06-19T00:00:00"/>
    <d v="2034-06-25T00:00:00"/>
    <x v="0"/>
    <x v="1"/>
  </r>
  <r>
    <n v="42338124468"/>
    <n v="105"/>
    <d v="2034-06-19T00:00:00"/>
    <m/>
    <x v="0"/>
    <x v="0"/>
  </r>
  <r>
    <n v="56800821837"/>
    <n v="106"/>
    <d v="2034-06-19T00:00:00"/>
    <s v=""/>
    <x v="0"/>
    <x v="0"/>
  </r>
  <r>
    <n v="51668627840"/>
    <n v="107"/>
    <d v="2034-06-19T00:00:00"/>
    <s v=""/>
    <x v="0"/>
    <x v="0"/>
  </r>
  <r>
    <n v="11566683365"/>
    <n v="113"/>
    <d v="2034-06-19T00:00:00"/>
    <d v="2034-07-08T00:00:00"/>
    <x v="0"/>
    <x v="2"/>
  </r>
  <r>
    <n v="80614638749"/>
    <n v="115"/>
    <d v="2034-06-19T00:00:00"/>
    <m/>
    <x v="0"/>
    <x v="0"/>
  </r>
  <r>
    <n v="47030316689"/>
    <n v="128"/>
    <d v="2034-06-19T00:00:00"/>
    <s v=""/>
    <x v="0"/>
    <x v="0"/>
  </r>
  <r>
    <n v="40762659999"/>
    <n v="136"/>
    <d v="2034-06-19T00:00:00"/>
    <d v="2034-09-23T00:00:00"/>
    <x v="0"/>
    <x v="3"/>
  </r>
  <r>
    <n v="30462124470"/>
    <n v="168"/>
    <d v="2034-06-19T00:00:00"/>
    <s v=""/>
    <x v="0"/>
    <x v="0"/>
  </r>
  <r>
    <n v="76901500760"/>
    <n v="170"/>
    <d v="2034-06-19T00:00:00"/>
    <d v="2034-08-27T00:00:00"/>
    <x v="0"/>
    <x v="4"/>
  </r>
  <r>
    <n v="28981326032"/>
    <n v="178"/>
    <d v="2034-06-19T00:00:00"/>
    <d v="2034-09-15T00:00:00"/>
    <x v="0"/>
    <x v="3"/>
  </r>
  <r>
    <n v="36287905745"/>
    <n v="202"/>
    <d v="2034-06-19T00:00:00"/>
    <m/>
    <x v="0"/>
    <x v="0"/>
  </r>
  <r>
    <n v="47569024479"/>
    <n v="218"/>
    <d v="2034-06-19T00:00:00"/>
    <s v=""/>
    <x v="0"/>
    <x v="0"/>
  </r>
  <r>
    <n v="28959069513"/>
    <n v="229"/>
    <d v="2034-06-19T00:00:00"/>
    <d v="2034-07-25T00:00:00"/>
    <x v="0"/>
    <x v="2"/>
  </r>
  <r>
    <n v="18816690077"/>
    <n v="235"/>
    <d v="2034-06-19T00:00:00"/>
    <s v=""/>
    <x v="0"/>
    <x v="0"/>
  </r>
  <r>
    <n v="38798644576"/>
    <n v="246"/>
    <d v="2034-06-19T00:00:00"/>
    <s v=""/>
    <x v="0"/>
    <x v="0"/>
  </r>
  <r>
    <n v="53400804477"/>
    <n v="266"/>
    <d v="2034-06-19T00:00:00"/>
    <s v=""/>
    <x v="0"/>
    <x v="0"/>
  </r>
  <r>
    <n v="36591959460"/>
    <n v="267"/>
    <d v="2034-06-19T00:00:00"/>
    <s v=""/>
    <x v="0"/>
    <x v="0"/>
  </r>
  <r>
    <n v="88235747253"/>
    <n v="283"/>
    <d v="2034-06-19T00:00:00"/>
    <m/>
    <x v="0"/>
    <x v="0"/>
  </r>
  <r>
    <n v="87658544110"/>
    <n v="292"/>
    <d v="2034-06-19T00:00:00"/>
    <s v=""/>
    <x v="0"/>
    <x v="0"/>
  </r>
  <r>
    <n v="70866150095"/>
    <n v="310"/>
    <d v="2034-06-19T00:00:00"/>
    <s v=""/>
    <x v="0"/>
    <x v="0"/>
  </r>
  <r>
    <n v="39947883773"/>
    <n v="314"/>
    <d v="2034-06-19T00:00:00"/>
    <m/>
    <x v="0"/>
    <x v="0"/>
  </r>
  <r>
    <n v="66639587660"/>
    <n v="324"/>
    <d v="2034-06-19T00:00:00"/>
    <d v="2034-09-25T00:00:00"/>
    <x v="0"/>
    <x v="3"/>
  </r>
  <r>
    <n v="86085918906"/>
    <n v="337"/>
    <d v="2034-06-19T00:00:00"/>
    <d v="2034-08-05T00:00:00"/>
    <x v="0"/>
    <x v="4"/>
  </r>
  <r>
    <n v="85337613206"/>
    <n v="7"/>
    <d v="2034-06-20T00:00:00"/>
    <d v="2034-10-04T00:00:00"/>
    <x v="0"/>
    <x v="5"/>
  </r>
  <r>
    <n v="52856554284"/>
    <n v="12"/>
    <d v="2034-06-20T00:00:00"/>
    <s v=""/>
    <x v="0"/>
    <x v="0"/>
  </r>
  <r>
    <n v="11142816321"/>
    <n v="13"/>
    <d v="2034-06-20T00:00:00"/>
    <d v="2034-06-26T00:00:00"/>
    <x v="0"/>
    <x v="1"/>
  </r>
  <r>
    <n v="46323510362"/>
    <n v="24"/>
    <d v="2034-06-20T00:00:00"/>
    <s v=""/>
    <x v="0"/>
    <x v="0"/>
  </r>
  <r>
    <n v="12071908303"/>
    <n v="28"/>
    <d v="2034-06-20T00:00:00"/>
    <d v="2034-08-16T00:00:00"/>
    <x v="0"/>
    <x v="4"/>
  </r>
  <r>
    <n v="78991489127"/>
    <n v="38"/>
    <d v="2034-06-20T00:00:00"/>
    <m/>
    <x v="0"/>
    <x v="0"/>
  </r>
  <r>
    <n v="34121521151"/>
    <n v="47"/>
    <d v="2034-06-20T00:00:00"/>
    <s v=""/>
    <x v="0"/>
    <x v="0"/>
  </r>
  <r>
    <n v="64584641256"/>
    <n v="48"/>
    <d v="2034-06-20T00:00:00"/>
    <d v="2034-07-11T00:00:00"/>
    <x v="0"/>
    <x v="2"/>
  </r>
  <r>
    <n v="30774026730"/>
    <n v="51"/>
    <d v="2034-06-20T00:00:00"/>
    <d v="2034-07-06T00:00:00"/>
    <x v="0"/>
    <x v="2"/>
  </r>
  <r>
    <n v="31351325437"/>
    <n v="77"/>
    <d v="2034-06-20T00:00:00"/>
    <s v=""/>
    <x v="0"/>
    <x v="0"/>
  </r>
  <r>
    <n v="49421511530"/>
    <n v="82"/>
    <d v="2034-06-20T00:00:00"/>
    <d v="2034-09-06T00:00:00"/>
    <x v="0"/>
    <x v="3"/>
  </r>
  <r>
    <n v="64125500138"/>
    <n v="89"/>
    <d v="2034-06-20T00:00:00"/>
    <d v="2034-06-26T00:00:00"/>
    <x v="0"/>
    <x v="1"/>
  </r>
  <r>
    <n v="16914923484"/>
    <n v="97"/>
    <d v="2034-06-20T00:00:00"/>
    <m/>
    <x v="0"/>
    <x v="0"/>
  </r>
  <r>
    <n v="75911092481"/>
    <n v="102"/>
    <d v="2034-06-20T00:00:00"/>
    <s v=""/>
    <x v="0"/>
    <x v="0"/>
  </r>
  <r>
    <n v="27684302130"/>
    <n v="116"/>
    <d v="2034-06-20T00:00:00"/>
    <s v=""/>
    <x v="0"/>
    <x v="0"/>
  </r>
  <r>
    <n v="68634812540"/>
    <n v="141"/>
    <d v="2034-06-20T00:00:00"/>
    <s v=""/>
    <x v="0"/>
    <x v="0"/>
  </r>
  <r>
    <n v="72694318739"/>
    <n v="153"/>
    <d v="2034-06-20T00:00:00"/>
    <s v=""/>
    <x v="0"/>
    <x v="0"/>
  </r>
  <r>
    <n v="62212263512"/>
    <n v="153"/>
    <d v="2034-06-20T00:00:00"/>
    <s v=""/>
    <x v="0"/>
    <x v="0"/>
  </r>
  <r>
    <n v="95249480560"/>
    <n v="159"/>
    <d v="2034-06-20T00:00:00"/>
    <d v="2034-07-04T00:00:00"/>
    <x v="0"/>
    <x v="2"/>
  </r>
  <r>
    <n v="89613149274"/>
    <n v="163"/>
    <d v="2034-06-20T00:00:00"/>
    <m/>
    <x v="0"/>
    <x v="0"/>
  </r>
  <r>
    <n v="49408922679"/>
    <n v="170"/>
    <d v="2034-06-20T00:00:00"/>
    <s v=""/>
    <x v="0"/>
    <x v="0"/>
  </r>
  <r>
    <n v="99506373294"/>
    <n v="174"/>
    <d v="2034-06-20T00:00:00"/>
    <s v=""/>
    <x v="0"/>
    <x v="0"/>
  </r>
  <r>
    <n v="71520203627"/>
    <n v="177"/>
    <d v="2034-06-20T00:00:00"/>
    <d v="2034-09-12T00:00:00"/>
    <x v="0"/>
    <x v="3"/>
  </r>
  <r>
    <n v="92293197080"/>
    <n v="182"/>
    <d v="2034-06-20T00:00:00"/>
    <s v=""/>
    <x v="0"/>
    <x v="0"/>
  </r>
  <r>
    <n v="21604756572"/>
    <n v="188"/>
    <d v="2034-06-20T00:00:00"/>
    <s v=""/>
    <x v="0"/>
    <x v="0"/>
  </r>
  <r>
    <n v="82512947308"/>
    <n v="195"/>
    <d v="2034-06-20T00:00:00"/>
    <d v="2034-10-02T00:00:00"/>
    <x v="0"/>
    <x v="5"/>
  </r>
  <r>
    <n v="67726237221"/>
    <n v="202"/>
    <d v="2034-06-20T00:00:00"/>
    <s v=""/>
    <x v="0"/>
    <x v="0"/>
  </r>
  <r>
    <n v="11420464250"/>
    <n v="216"/>
    <d v="2034-06-20T00:00:00"/>
    <d v="2034-06-26T00:00:00"/>
    <x v="0"/>
    <x v="1"/>
  </r>
  <r>
    <n v="78737983933"/>
    <n v="222"/>
    <d v="2034-06-20T00:00:00"/>
    <m/>
    <x v="0"/>
    <x v="0"/>
  </r>
  <r>
    <n v="99768877460"/>
    <n v="238"/>
    <d v="2034-06-20T00:00:00"/>
    <s v=""/>
    <x v="0"/>
    <x v="0"/>
  </r>
  <r>
    <n v="71718883524"/>
    <n v="251"/>
    <d v="2034-06-20T00:00:00"/>
    <s v=""/>
    <x v="0"/>
    <x v="0"/>
  </r>
  <r>
    <n v="89989440154"/>
    <n v="287"/>
    <d v="2034-06-20T00:00:00"/>
    <s v=""/>
    <x v="0"/>
    <x v="0"/>
  </r>
  <r>
    <n v="67743901880"/>
    <n v="293"/>
    <d v="2034-06-20T00:00:00"/>
    <d v="2034-10-09T00:00:00"/>
    <x v="0"/>
    <x v="5"/>
  </r>
  <r>
    <n v="12861010424"/>
    <n v="297"/>
    <d v="2034-06-20T00:00:00"/>
    <s v=""/>
    <x v="0"/>
    <x v="0"/>
  </r>
  <r>
    <n v="68642315941"/>
    <n v="298"/>
    <d v="2034-06-20T00:00:00"/>
    <m/>
    <x v="0"/>
    <x v="0"/>
  </r>
  <r>
    <n v="14343386135"/>
    <n v="28"/>
    <d v="2034-06-21T00:00:00"/>
    <s v=""/>
    <x v="0"/>
    <x v="0"/>
  </r>
  <r>
    <n v="49145493045"/>
    <n v="28"/>
    <d v="2034-06-21T00:00:00"/>
    <s v=""/>
    <x v="0"/>
    <x v="0"/>
  </r>
  <r>
    <n v="21045497400"/>
    <n v="43"/>
    <d v="2034-06-21T00:00:00"/>
    <s v=""/>
    <x v="0"/>
    <x v="0"/>
  </r>
  <r>
    <n v="78564476950"/>
    <n v="69"/>
    <d v="2034-06-21T00:00:00"/>
    <s v=""/>
    <x v="0"/>
    <x v="0"/>
  </r>
  <r>
    <n v="42454454681"/>
    <n v="87"/>
    <d v="2034-06-21T00:00:00"/>
    <s v=""/>
    <x v="0"/>
    <x v="0"/>
  </r>
  <r>
    <n v="88773722932"/>
    <n v="110"/>
    <d v="2034-06-21T00:00:00"/>
    <s v=""/>
    <x v="0"/>
    <x v="0"/>
  </r>
  <r>
    <n v="36278216957"/>
    <n v="119"/>
    <d v="2034-06-21T00:00:00"/>
    <s v=""/>
    <x v="0"/>
    <x v="0"/>
  </r>
  <r>
    <n v="75083743224"/>
    <n v="132"/>
    <d v="2034-06-21T00:00:00"/>
    <d v="2034-08-15T00:00:00"/>
    <x v="0"/>
    <x v="4"/>
  </r>
  <r>
    <n v="51523930309"/>
    <n v="137"/>
    <d v="2034-06-21T00:00:00"/>
    <d v="2034-07-26T00:00:00"/>
    <x v="0"/>
    <x v="2"/>
  </r>
  <r>
    <n v="45525747369"/>
    <n v="149"/>
    <d v="2034-06-21T00:00:00"/>
    <s v=""/>
    <x v="0"/>
    <x v="0"/>
  </r>
  <r>
    <n v="29910895242"/>
    <n v="154"/>
    <d v="2034-06-21T00:00:00"/>
    <s v=""/>
    <x v="0"/>
    <x v="0"/>
  </r>
  <r>
    <n v="62498982726"/>
    <n v="155"/>
    <d v="2034-06-21T00:00:00"/>
    <m/>
    <x v="0"/>
    <x v="0"/>
  </r>
  <r>
    <n v="89114890366"/>
    <n v="156"/>
    <d v="2034-06-21T00:00:00"/>
    <m/>
    <x v="0"/>
    <x v="0"/>
  </r>
  <r>
    <n v="60775003858"/>
    <n v="170"/>
    <d v="2034-06-21T00:00:00"/>
    <s v=""/>
    <x v="0"/>
    <x v="0"/>
  </r>
  <r>
    <n v="66330386371"/>
    <n v="220"/>
    <d v="2034-06-21T00:00:00"/>
    <s v=""/>
    <x v="0"/>
    <x v="0"/>
  </r>
  <r>
    <n v="88833096912"/>
    <n v="254"/>
    <d v="2034-06-21T00:00:00"/>
    <s v=""/>
    <x v="0"/>
    <x v="0"/>
  </r>
  <r>
    <n v="89781336327"/>
    <n v="263"/>
    <d v="2034-06-21T00:00:00"/>
    <s v=""/>
    <x v="0"/>
    <x v="0"/>
  </r>
  <r>
    <n v="26912080818"/>
    <n v="263"/>
    <d v="2034-06-21T00:00:00"/>
    <s v=""/>
    <x v="0"/>
    <x v="0"/>
  </r>
  <r>
    <n v="68471959274"/>
    <n v="298"/>
    <d v="2034-06-21T00:00:00"/>
    <d v="2034-07-09T00:00:00"/>
    <x v="0"/>
    <x v="2"/>
  </r>
  <r>
    <n v="22712987119"/>
    <n v="308"/>
    <d v="2034-06-21T00:00:00"/>
    <d v="2034-06-25T00:00:00"/>
    <x v="0"/>
    <x v="1"/>
  </r>
  <r>
    <n v="24313203890"/>
    <n v="311"/>
    <d v="2034-06-21T00:00:00"/>
    <s v=""/>
    <x v="0"/>
    <x v="0"/>
  </r>
  <r>
    <n v="99514845211"/>
    <n v="320"/>
    <d v="2034-06-21T00:00:00"/>
    <s v=""/>
    <x v="0"/>
    <x v="0"/>
  </r>
  <r>
    <n v="76816895285"/>
    <n v="321"/>
    <d v="2034-06-21T00:00:00"/>
    <s v=""/>
    <x v="0"/>
    <x v="0"/>
  </r>
  <r>
    <n v="87600971847"/>
    <n v="327"/>
    <d v="2034-06-21T00:00:00"/>
    <m/>
    <x v="0"/>
    <x v="0"/>
  </r>
  <r>
    <n v="30877105272"/>
    <n v="335"/>
    <d v="2034-06-21T00:00:00"/>
    <s v=""/>
    <x v="0"/>
    <x v="0"/>
  </r>
  <r>
    <n v="84427127702"/>
    <n v="340"/>
    <d v="2034-06-21T00:00:00"/>
    <s v=""/>
    <x v="0"/>
    <x v="0"/>
  </r>
  <r>
    <n v="46434112476"/>
    <n v="10"/>
    <d v="2034-06-22T00:00:00"/>
    <s v=""/>
    <x v="0"/>
    <x v="0"/>
  </r>
  <r>
    <n v="47755595174"/>
    <n v="43"/>
    <d v="2034-06-22T00:00:00"/>
    <s v=""/>
    <x v="0"/>
    <x v="0"/>
  </r>
  <r>
    <n v="76862096653"/>
    <n v="63"/>
    <d v="2034-06-22T00:00:00"/>
    <m/>
    <x v="0"/>
    <x v="0"/>
  </r>
  <r>
    <n v="99449830056"/>
    <n v="77"/>
    <d v="2034-06-22T00:00:00"/>
    <m/>
    <x v="0"/>
    <x v="0"/>
  </r>
  <r>
    <n v="30521065395"/>
    <n v="86"/>
    <d v="2034-06-22T00:00:00"/>
    <s v=""/>
    <x v="0"/>
    <x v="0"/>
  </r>
  <r>
    <n v="73077704740"/>
    <n v="94"/>
    <d v="2034-06-22T00:00:00"/>
    <s v=""/>
    <x v="0"/>
    <x v="0"/>
  </r>
  <r>
    <n v="24213589086"/>
    <n v="108"/>
    <d v="2034-06-22T00:00:00"/>
    <s v=""/>
    <x v="0"/>
    <x v="0"/>
  </r>
  <r>
    <n v="98214939779"/>
    <n v="132"/>
    <d v="2034-06-22T00:00:00"/>
    <s v=""/>
    <x v="0"/>
    <x v="0"/>
  </r>
  <r>
    <n v="89599258784"/>
    <n v="140"/>
    <d v="2034-06-22T00:00:00"/>
    <d v="2034-09-27T00:00:00"/>
    <x v="0"/>
    <x v="3"/>
  </r>
  <r>
    <n v="37296258557"/>
    <n v="143"/>
    <d v="2034-06-22T00:00:00"/>
    <s v=""/>
    <x v="0"/>
    <x v="0"/>
  </r>
  <r>
    <n v="50424887906"/>
    <n v="148"/>
    <d v="2034-06-22T00:00:00"/>
    <m/>
    <x v="0"/>
    <x v="0"/>
  </r>
  <r>
    <n v="22308672622"/>
    <n v="152"/>
    <d v="2034-06-22T00:00:00"/>
    <m/>
    <x v="0"/>
    <x v="0"/>
  </r>
  <r>
    <n v="33659269406"/>
    <n v="156"/>
    <d v="2034-06-22T00:00:00"/>
    <s v=""/>
    <x v="0"/>
    <x v="0"/>
  </r>
  <r>
    <n v="42592269239"/>
    <n v="163"/>
    <d v="2034-06-22T00:00:00"/>
    <m/>
    <x v="0"/>
    <x v="0"/>
  </r>
  <r>
    <n v="29832085295"/>
    <n v="182"/>
    <d v="2034-06-22T00:00:00"/>
    <d v="2034-10-11T00:00:00"/>
    <x v="0"/>
    <x v="5"/>
  </r>
  <r>
    <n v="72820664733"/>
    <n v="188"/>
    <d v="2034-06-22T00:00:00"/>
    <s v=""/>
    <x v="0"/>
    <x v="0"/>
  </r>
  <r>
    <n v="77073468873"/>
    <n v="192"/>
    <d v="2034-06-22T00:00:00"/>
    <s v=""/>
    <x v="0"/>
    <x v="0"/>
  </r>
  <r>
    <n v="31353927368"/>
    <n v="196"/>
    <d v="2034-06-22T00:00:00"/>
    <s v=""/>
    <x v="0"/>
    <x v="0"/>
  </r>
  <r>
    <n v="96321883066"/>
    <n v="198"/>
    <d v="2034-06-22T00:00:00"/>
    <s v=""/>
    <x v="0"/>
    <x v="0"/>
  </r>
  <r>
    <n v="48497190026"/>
    <n v="208"/>
    <d v="2034-06-22T00:00:00"/>
    <d v="2034-09-28T00:00:00"/>
    <x v="0"/>
    <x v="3"/>
  </r>
  <r>
    <n v="98215622961"/>
    <n v="215"/>
    <d v="2034-06-22T00:00:00"/>
    <m/>
    <x v="0"/>
    <x v="0"/>
  </r>
  <r>
    <n v="39575027006"/>
    <n v="217"/>
    <d v="2034-06-22T00:00:00"/>
    <s v=""/>
    <x v="0"/>
    <x v="0"/>
  </r>
  <r>
    <n v="51425792346"/>
    <n v="217"/>
    <d v="2034-06-22T00:00:00"/>
    <d v="2034-07-16T00:00:00"/>
    <x v="0"/>
    <x v="2"/>
  </r>
  <r>
    <n v="80221538036"/>
    <n v="222"/>
    <d v="2034-06-22T00:00:00"/>
    <s v=""/>
    <x v="0"/>
    <x v="0"/>
  </r>
  <r>
    <n v="28293372655"/>
    <n v="248"/>
    <d v="2034-06-22T00:00:00"/>
    <s v=""/>
    <x v="0"/>
    <x v="0"/>
  </r>
  <r>
    <n v="56026837863"/>
    <n v="269"/>
    <d v="2034-06-22T00:00:00"/>
    <s v=""/>
    <x v="0"/>
    <x v="0"/>
  </r>
  <r>
    <n v="85168319185"/>
    <n v="314"/>
    <d v="2034-06-22T00:00:00"/>
    <s v=""/>
    <x v="0"/>
    <x v="0"/>
  </r>
  <r>
    <n v="85089520717"/>
    <n v="315"/>
    <d v="2034-06-22T00:00:00"/>
    <s v=""/>
    <x v="0"/>
    <x v="0"/>
  </r>
  <r>
    <n v="80997651016"/>
    <n v="319"/>
    <d v="2034-06-22T00:00:00"/>
    <s v=""/>
    <x v="0"/>
    <x v="0"/>
  </r>
  <r>
    <n v="49344286814"/>
    <n v="331"/>
    <d v="2034-06-22T00:00:00"/>
    <m/>
    <x v="0"/>
    <x v="0"/>
  </r>
  <r>
    <n v="94653395468"/>
    <n v="9"/>
    <d v="2034-06-23T00:00:00"/>
    <s v=""/>
    <x v="0"/>
    <x v="0"/>
  </r>
  <r>
    <n v="48736025960"/>
    <n v="9"/>
    <d v="2034-06-23T00:00:00"/>
    <s v=""/>
    <x v="0"/>
    <x v="0"/>
  </r>
  <r>
    <n v="23328446864"/>
    <n v="12"/>
    <d v="2034-06-23T00:00:00"/>
    <s v=""/>
    <x v="0"/>
    <x v="0"/>
  </r>
  <r>
    <n v="58160735927"/>
    <n v="21"/>
    <d v="2034-06-23T00:00:00"/>
    <s v=""/>
    <x v="0"/>
    <x v="0"/>
  </r>
  <r>
    <n v="41766472122"/>
    <n v="24"/>
    <d v="2034-06-23T00:00:00"/>
    <s v=""/>
    <x v="0"/>
    <x v="0"/>
  </r>
  <r>
    <n v="99957451170"/>
    <n v="35"/>
    <d v="2034-06-23T00:00:00"/>
    <s v=""/>
    <x v="0"/>
    <x v="0"/>
  </r>
  <r>
    <n v="31270787993"/>
    <n v="38"/>
    <d v="2034-06-23T00:00:00"/>
    <s v=""/>
    <x v="0"/>
    <x v="0"/>
  </r>
  <r>
    <n v="67931877588"/>
    <n v="38"/>
    <d v="2034-06-23T00:00:00"/>
    <s v=""/>
    <x v="0"/>
    <x v="0"/>
  </r>
  <r>
    <n v="74558848345"/>
    <n v="38"/>
    <d v="2034-06-23T00:00:00"/>
    <s v=""/>
    <x v="0"/>
    <x v="0"/>
  </r>
  <r>
    <n v="41309531750"/>
    <n v="51"/>
    <d v="2034-06-23T00:00:00"/>
    <m/>
    <x v="0"/>
    <x v="0"/>
  </r>
  <r>
    <n v="34978879554"/>
    <n v="58"/>
    <d v="2034-06-23T00:00:00"/>
    <s v=""/>
    <x v="0"/>
    <x v="0"/>
  </r>
  <r>
    <n v="95814467719"/>
    <n v="91"/>
    <d v="2034-06-23T00:00:00"/>
    <s v=""/>
    <x v="0"/>
    <x v="0"/>
  </r>
  <r>
    <n v="87314472981"/>
    <n v="107"/>
    <d v="2034-06-23T00:00:00"/>
    <s v=""/>
    <x v="0"/>
    <x v="0"/>
  </r>
  <r>
    <n v="42273895445"/>
    <n v="108"/>
    <d v="2034-06-23T00:00:00"/>
    <s v=""/>
    <x v="0"/>
    <x v="0"/>
  </r>
  <r>
    <n v="63250797404"/>
    <n v="111"/>
    <d v="2034-06-23T00:00:00"/>
    <s v=""/>
    <x v="0"/>
    <x v="0"/>
  </r>
  <r>
    <n v="73388622688"/>
    <n v="126"/>
    <d v="2034-06-23T00:00:00"/>
    <s v=""/>
    <x v="0"/>
    <x v="0"/>
  </r>
  <r>
    <n v="25429853324"/>
    <n v="148"/>
    <d v="2034-06-23T00:00:00"/>
    <s v=""/>
    <x v="0"/>
    <x v="0"/>
  </r>
  <r>
    <n v="71920956504"/>
    <n v="155"/>
    <d v="2034-06-23T00:00:00"/>
    <m/>
    <x v="0"/>
    <x v="0"/>
  </r>
  <r>
    <n v="35002577285"/>
    <n v="187"/>
    <d v="2034-06-23T00:00:00"/>
    <d v="2034-07-29T00:00:00"/>
    <x v="0"/>
    <x v="2"/>
  </r>
  <r>
    <n v="60029401074"/>
    <n v="208"/>
    <d v="2034-06-23T00:00:00"/>
    <s v=""/>
    <x v="0"/>
    <x v="0"/>
  </r>
  <r>
    <n v="42464936292"/>
    <n v="242"/>
    <d v="2034-06-23T00:00:00"/>
    <m/>
    <x v="0"/>
    <x v="0"/>
  </r>
  <r>
    <n v="69286287719"/>
    <n v="244"/>
    <d v="2034-06-23T00:00:00"/>
    <m/>
    <x v="0"/>
    <x v="0"/>
  </r>
  <r>
    <n v="54067931243"/>
    <n v="258"/>
    <d v="2034-06-23T00:00:00"/>
    <s v=""/>
    <x v="0"/>
    <x v="0"/>
  </r>
  <r>
    <n v="42749943635"/>
    <n v="308"/>
    <d v="2034-06-23T00:00:00"/>
    <s v=""/>
    <x v="0"/>
    <x v="0"/>
  </r>
  <r>
    <n v="45144142743"/>
    <n v="314"/>
    <d v="2034-06-23T00:00:00"/>
    <s v=""/>
    <x v="0"/>
    <x v="0"/>
  </r>
  <r>
    <n v="25309721332"/>
    <n v="333"/>
    <d v="2034-06-23T00:00:00"/>
    <s v=""/>
    <x v="0"/>
    <x v="0"/>
  </r>
  <r>
    <n v="16361497688"/>
    <n v="8"/>
    <d v="2034-06-24T00:00:00"/>
    <s v=""/>
    <x v="0"/>
    <x v="0"/>
  </r>
  <r>
    <n v="30034189700"/>
    <n v="23"/>
    <d v="2034-06-24T00:00:00"/>
    <s v=""/>
    <x v="0"/>
    <x v="0"/>
  </r>
  <r>
    <n v="74318531486"/>
    <n v="26"/>
    <d v="2034-06-24T00:00:00"/>
    <s v=""/>
    <x v="0"/>
    <x v="0"/>
  </r>
  <r>
    <n v="41938184580"/>
    <n v="41"/>
    <d v="2034-06-24T00:00:00"/>
    <s v=""/>
    <x v="0"/>
    <x v="0"/>
  </r>
  <r>
    <n v="88732019715"/>
    <n v="43"/>
    <d v="2034-06-24T00:00:00"/>
    <s v=""/>
    <x v="0"/>
    <x v="0"/>
  </r>
  <r>
    <n v="19525675770"/>
    <n v="65"/>
    <d v="2034-06-24T00:00:00"/>
    <s v=""/>
    <x v="0"/>
    <x v="0"/>
  </r>
  <r>
    <n v="52941894383"/>
    <n v="76"/>
    <d v="2034-06-24T00:00:00"/>
    <s v=""/>
    <x v="0"/>
    <x v="0"/>
  </r>
  <r>
    <n v="42321415990"/>
    <n v="78"/>
    <d v="2034-06-24T00:00:00"/>
    <m/>
    <x v="0"/>
    <x v="0"/>
  </r>
  <r>
    <n v="12065646048"/>
    <n v="80"/>
    <d v="2034-06-24T00:00:00"/>
    <s v=""/>
    <x v="0"/>
    <x v="0"/>
  </r>
  <r>
    <n v="76559094489"/>
    <n v="105"/>
    <d v="2034-06-24T00:00:00"/>
    <s v=""/>
    <x v="0"/>
    <x v="0"/>
  </r>
  <r>
    <n v="13210988579"/>
    <n v="107"/>
    <d v="2034-06-24T00:00:00"/>
    <s v=""/>
    <x v="0"/>
    <x v="0"/>
  </r>
  <r>
    <n v="73267379211"/>
    <n v="121"/>
    <d v="2034-06-24T00:00:00"/>
    <m/>
    <x v="0"/>
    <x v="0"/>
  </r>
  <r>
    <n v="64618713469"/>
    <n v="131"/>
    <d v="2034-06-24T00:00:00"/>
    <s v=""/>
    <x v="0"/>
    <x v="0"/>
  </r>
  <r>
    <n v="32389305260"/>
    <n v="147"/>
    <d v="2034-06-24T00:00:00"/>
    <m/>
    <x v="0"/>
    <x v="0"/>
  </r>
  <r>
    <n v="66739952156"/>
    <n v="172"/>
    <d v="2034-06-24T00:00:00"/>
    <d v="2034-10-09T00:00:00"/>
    <x v="0"/>
    <x v="5"/>
  </r>
  <r>
    <n v="34101970722"/>
    <n v="202"/>
    <d v="2034-06-24T00:00:00"/>
    <s v=""/>
    <x v="0"/>
    <x v="0"/>
  </r>
  <r>
    <n v="82877382576"/>
    <n v="206"/>
    <d v="2034-06-24T00:00:00"/>
    <m/>
    <x v="0"/>
    <x v="0"/>
  </r>
  <r>
    <n v="25430753940"/>
    <n v="206"/>
    <d v="2034-06-24T00:00:00"/>
    <d v="2034-08-24T00:00:00"/>
    <x v="0"/>
    <x v="4"/>
  </r>
  <r>
    <n v="82565916808"/>
    <n v="212"/>
    <d v="2034-06-24T00:00:00"/>
    <m/>
    <x v="0"/>
    <x v="0"/>
  </r>
  <r>
    <n v="27561695060"/>
    <n v="220"/>
    <d v="2034-06-24T00:00:00"/>
    <m/>
    <x v="0"/>
    <x v="0"/>
  </r>
  <r>
    <n v="83071441370"/>
    <n v="230"/>
    <d v="2034-06-24T00:00:00"/>
    <m/>
    <x v="0"/>
    <x v="0"/>
  </r>
  <r>
    <n v="68913181997"/>
    <n v="241"/>
    <d v="2034-06-24T00:00:00"/>
    <s v=""/>
    <x v="0"/>
    <x v="0"/>
  </r>
  <r>
    <n v="93881537658"/>
    <n v="243"/>
    <d v="2034-06-24T00:00:00"/>
    <m/>
    <x v="0"/>
    <x v="0"/>
  </r>
  <r>
    <n v="11686497228"/>
    <n v="253"/>
    <d v="2034-06-24T00:00:00"/>
    <d v="2034-07-15T00:00:00"/>
    <x v="0"/>
    <x v="2"/>
  </r>
  <r>
    <n v="50724858788"/>
    <n v="255"/>
    <d v="2034-06-24T00:00:00"/>
    <s v=""/>
    <x v="0"/>
    <x v="0"/>
  </r>
  <r>
    <n v="13240826394"/>
    <n v="257"/>
    <d v="2034-06-24T00:00:00"/>
    <d v="2034-10-05T00:00:00"/>
    <x v="0"/>
    <x v="5"/>
  </r>
  <r>
    <n v="32963137068"/>
    <n v="271"/>
    <d v="2034-06-24T00:00:00"/>
    <m/>
    <x v="0"/>
    <x v="0"/>
  </r>
  <r>
    <n v="43936653484"/>
    <n v="274"/>
    <d v="2034-06-24T00:00:00"/>
    <d v="2034-07-18T00:00:00"/>
    <x v="0"/>
    <x v="2"/>
  </r>
  <r>
    <n v="84945659161"/>
    <n v="277"/>
    <d v="2034-06-24T00:00:00"/>
    <s v=""/>
    <x v="0"/>
    <x v="0"/>
  </r>
  <r>
    <n v="43548639626"/>
    <n v="300"/>
    <d v="2034-06-24T00:00:00"/>
    <s v=""/>
    <x v="0"/>
    <x v="0"/>
  </r>
  <r>
    <n v="99962298514"/>
    <n v="304"/>
    <d v="2034-06-24T00:00:00"/>
    <s v=""/>
    <x v="0"/>
    <x v="0"/>
  </r>
  <r>
    <n v="69615886139"/>
    <n v="314"/>
    <d v="2034-06-24T00:00:00"/>
    <s v=""/>
    <x v="0"/>
    <x v="0"/>
  </r>
  <r>
    <n v="39773169370"/>
    <n v="322"/>
    <d v="2034-06-24T00:00:00"/>
    <s v=""/>
    <x v="0"/>
    <x v="0"/>
  </r>
  <r>
    <n v="98521990045"/>
    <n v="10"/>
    <d v="2034-06-25T00:00:00"/>
    <s v=""/>
    <x v="0"/>
    <x v="0"/>
  </r>
  <r>
    <n v="70368318300"/>
    <n v="35"/>
    <d v="2034-06-25T00:00:00"/>
    <s v=""/>
    <x v="0"/>
    <x v="0"/>
  </r>
  <r>
    <n v="40037850256"/>
    <n v="36"/>
    <d v="2034-06-25T00:00:00"/>
    <s v=""/>
    <x v="0"/>
    <x v="0"/>
  </r>
  <r>
    <n v="66819335113"/>
    <n v="74"/>
    <d v="2034-06-25T00:00:00"/>
    <s v=""/>
    <x v="0"/>
    <x v="0"/>
  </r>
  <r>
    <n v="92135679735"/>
    <n v="84"/>
    <d v="2034-06-25T00:00:00"/>
    <d v="2034-08-19T00:00:00"/>
    <x v="0"/>
    <x v="4"/>
  </r>
  <r>
    <n v="56258163125"/>
    <n v="84"/>
    <d v="2034-06-25T00:00:00"/>
    <s v=""/>
    <x v="0"/>
    <x v="0"/>
  </r>
  <r>
    <n v="99718226466"/>
    <n v="93"/>
    <d v="2034-06-25T00:00:00"/>
    <s v=""/>
    <x v="0"/>
    <x v="0"/>
  </r>
  <r>
    <n v="33483290206"/>
    <n v="98"/>
    <d v="2034-06-25T00:00:00"/>
    <s v=""/>
    <x v="0"/>
    <x v="0"/>
  </r>
  <r>
    <n v="93199434455"/>
    <n v="103"/>
    <d v="2034-06-25T00:00:00"/>
    <s v=""/>
    <x v="0"/>
    <x v="0"/>
  </r>
  <r>
    <n v="58107069339"/>
    <n v="136"/>
    <d v="2034-06-25T00:00:00"/>
    <m/>
    <x v="0"/>
    <x v="0"/>
  </r>
  <r>
    <n v="84259711458"/>
    <n v="137"/>
    <d v="2034-06-25T00:00:00"/>
    <s v=""/>
    <x v="0"/>
    <x v="0"/>
  </r>
  <r>
    <n v="68216442714"/>
    <n v="140"/>
    <d v="2034-06-25T00:00:00"/>
    <d v="2034-06-26T00:00:00"/>
    <x v="0"/>
    <x v="1"/>
  </r>
  <r>
    <n v="46815094050"/>
    <n v="165"/>
    <d v="2034-06-25T00:00:00"/>
    <s v=""/>
    <x v="0"/>
    <x v="0"/>
  </r>
  <r>
    <n v="14635710714"/>
    <n v="176"/>
    <d v="2034-06-25T00:00:00"/>
    <d v="2034-07-02T00:00:00"/>
    <x v="0"/>
    <x v="2"/>
  </r>
  <r>
    <n v="58174807191"/>
    <n v="193"/>
    <d v="2034-06-25T00:00:00"/>
    <d v="2034-09-28T00:00:00"/>
    <x v="0"/>
    <x v="3"/>
  </r>
  <r>
    <n v="20787693597"/>
    <n v="199"/>
    <d v="2034-06-25T00:00:00"/>
    <s v=""/>
    <x v="0"/>
    <x v="0"/>
  </r>
  <r>
    <n v="11885609273"/>
    <n v="232"/>
    <d v="2034-06-25T00:00:00"/>
    <s v=""/>
    <x v="0"/>
    <x v="0"/>
  </r>
  <r>
    <n v="69966644391"/>
    <n v="240"/>
    <d v="2034-06-25T00:00:00"/>
    <s v=""/>
    <x v="0"/>
    <x v="0"/>
  </r>
  <r>
    <n v="60974202230"/>
    <n v="241"/>
    <d v="2034-06-25T00:00:00"/>
    <s v=""/>
    <x v="0"/>
    <x v="0"/>
  </r>
  <r>
    <n v="55001368140"/>
    <n v="246"/>
    <d v="2034-06-25T00:00:00"/>
    <s v=""/>
    <x v="0"/>
    <x v="0"/>
  </r>
  <r>
    <n v="66457957384"/>
    <n v="247"/>
    <d v="2034-06-25T00:00:00"/>
    <s v=""/>
    <x v="0"/>
    <x v="0"/>
  </r>
  <r>
    <n v="59547522286"/>
    <n v="268"/>
    <d v="2034-06-25T00:00:00"/>
    <s v=""/>
    <x v="0"/>
    <x v="0"/>
  </r>
  <r>
    <n v="71758383126"/>
    <n v="273"/>
    <d v="2034-06-25T00:00:00"/>
    <s v=""/>
    <x v="0"/>
    <x v="0"/>
  </r>
  <r>
    <n v="48466343173"/>
    <n v="320"/>
    <d v="2034-06-25T00:00:00"/>
    <s v=""/>
    <x v="0"/>
    <x v="0"/>
  </r>
  <r>
    <n v="95441523261"/>
    <n v="34"/>
    <d v="2034-06-26T00:00:00"/>
    <m/>
    <x v="0"/>
    <x v="0"/>
  </r>
  <r>
    <n v="42949245134"/>
    <n v="34"/>
    <d v="2034-06-26T00:00:00"/>
    <s v=""/>
    <x v="0"/>
    <x v="0"/>
  </r>
  <r>
    <n v="81159111037"/>
    <n v="50"/>
    <d v="2034-06-26T00:00:00"/>
    <d v="2034-10-03T00:00:00"/>
    <x v="0"/>
    <x v="5"/>
  </r>
  <r>
    <n v="86546372920"/>
    <n v="53"/>
    <d v="2034-06-26T00:00:00"/>
    <s v=""/>
    <x v="0"/>
    <x v="0"/>
  </r>
  <r>
    <n v="18144477384"/>
    <n v="84"/>
    <d v="2034-06-26T00:00:00"/>
    <d v="2034-09-05T00:00:00"/>
    <x v="0"/>
    <x v="3"/>
  </r>
  <r>
    <n v="62331595011"/>
    <n v="98"/>
    <d v="2034-06-26T00:00:00"/>
    <d v="2034-09-17T00:00:00"/>
    <x v="0"/>
    <x v="3"/>
  </r>
  <r>
    <n v="38736908132"/>
    <n v="105"/>
    <d v="2034-06-26T00:00:00"/>
    <s v=""/>
    <x v="0"/>
    <x v="0"/>
  </r>
  <r>
    <n v="87354219247"/>
    <n v="113"/>
    <d v="2034-06-26T00:00:00"/>
    <s v=""/>
    <x v="0"/>
    <x v="0"/>
  </r>
  <r>
    <n v="34609547704"/>
    <n v="124"/>
    <d v="2034-06-26T00:00:00"/>
    <d v="2034-10-03T00:00:00"/>
    <x v="0"/>
    <x v="5"/>
  </r>
  <r>
    <n v="65793398297"/>
    <n v="132"/>
    <d v="2034-06-26T00:00:00"/>
    <s v=""/>
    <x v="0"/>
    <x v="0"/>
  </r>
  <r>
    <n v="95587144776"/>
    <n v="136"/>
    <d v="2034-06-26T00:00:00"/>
    <s v=""/>
    <x v="0"/>
    <x v="0"/>
  </r>
  <r>
    <n v="63173321861"/>
    <n v="142"/>
    <d v="2034-06-26T00:00:00"/>
    <m/>
    <x v="0"/>
    <x v="0"/>
  </r>
  <r>
    <n v="82115273741"/>
    <n v="169"/>
    <d v="2034-06-26T00:00:00"/>
    <s v=""/>
    <x v="0"/>
    <x v="0"/>
  </r>
  <r>
    <n v="11590486350"/>
    <n v="174"/>
    <d v="2034-06-26T00:00:00"/>
    <d v="2034-09-07T00:00:00"/>
    <x v="0"/>
    <x v="3"/>
  </r>
  <r>
    <n v="84910823894"/>
    <n v="185"/>
    <d v="2034-06-26T00:00:00"/>
    <d v="2034-10-15T00:00:00"/>
    <x v="0"/>
    <x v="5"/>
  </r>
  <r>
    <n v="92981096369"/>
    <n v="202"/>
    <d v="2034-06-26T00:00:00"/>
    <d v="2034-07-27T00:00:00"/>
    <x v="0"/>
    <x v="2"/>
  </r>
  <r>
    <n v="39793931625"/>
    <n v="206"/>
    <d v="2034-06-26T00:00:00"/>
    <s v=""/>
    <x v="0"/>
    <x v="0"/>
  </r>
  <r>
    <n v="94169318658"/>
    <n v="210"/>
    <d v="2034-06-26T00:00:00"/>
    <s v=""/>
    <x v="0"/>
    <x v="0"/>
  </r>
  <r>
    <n v="47476874820"/>
    <n v="223"/>
    <d v="2034-06-26T00:00:00"/>
    <s v=""/>
    <x v="0"/>
    <x v="0"/>
  </r>
  <r>
    <n v="56247334117"/>
    <n v="237"/>
    <d v="2034-06-26T00:00:00"/>
    <s v=""/>
    <x v="0"/>
    <x v="0"/>
  </r>
  <r>
    <n v="24957627792"/>
    <n v="277"/>
    <d v="2034-06-26T00:00:00"/>
    <s v=""/>
    <x v="0"/>
    <x v="0"/>
  </r>
  <r>
    <n v="20535771562"/>
    <n v="283"/>
    <d v="2034-06-26T00:00:00"/>
    <s v=""/>
    <x v="0"/>
    <x v="0"/>
  </r>
  <r>
    <n v="73280621696"/>
    <n v="293"/>
    <d v="2034-06-26T00:00:00"/>
    <s v=""/>
    <x v="0"/>
    <x v="0"/>
  </r>
  <r>
    <n v="99913725386"/>
    <n v="303"/>
    <d v="2034-06-26T00:00:00"/>
    <s v=""/>
    <x v="0"/>
    <x v="0"/>
  </r>
  <r>
    <n v="57415942424"/>
    <n v="304"/>
    <d v="2034-06-26T00:00:00"/>
    <s v=""/>
    <x v="0"/>
    <x v="0"/>
  </r>
  <r>
    <n v="43047990447"/>
    <n v="322"/>
    <d v="2034-06-26T00:00:00"/>
    <s v=""/>
    <x v="0"/>
    <x v="0"/>
  </r>
  <r>
    <n v="47699480470"/>
    <n v="14"/>
    <d v="2034-06-27T00:00:00"/>
    <d v="2034-07-29T00:00:00"/>
    <x v="0"/>
    <x v="2"/>
  </r>
  <r>
    <n v="79054538341"/>
    <n v="14"/>
    <d v="2034-06-27T00:00:00"/>
    <d v="2034-10-02T00:00:00"/>
    <x v="0"/>
    <x v="5"/>
  </r>
  <r>
    <n v="70616557469"/>
    <n v="19"/>
    <d v="2034-06-27T00:00:00"/>
    <s v=""/>
    <x v="0"/>
    <x v="0"/>
  </r>
  <r>
    <n v="44404908329"/>
    <n v="26"/>
    <d v="2034-06-27T00:00:00"/>
    <m/>
    <x v="0"/>
    <x v="0"/>
  </r>
  <r>
    <n v="53356730104"/>
    <n v="27"/>
    <d v="2034-06-27T00:00:00"/>
    <m/>
    <x v="0"/>
    <x v="0"/>
  </r>
  <r>
    <n v="45539195308"/>
    <n v="55"/>
    <d v="2034-06-27T00:00:00"/>
    <s v=""/>
    <x v="0"/>
    <x v="0"/>
  </r>
  <r>
    <n v="27812806974"/>
    <n v="58"/>
    <d v="2034-06-27T00:00:00"/>
    <m/>
    <x v="0"/>
    <x v="0"/>
  </r>
  <r>
    <n v="98403130680"/>
    <n v="75"/>
    <d v="2034-06-27T00:00:00"/>
    <d v="2034-09-10T00:00:00"/>
    <x v="0"/>
    <x v="3"/>
  </r>
  <r>
    <n v="81838135784"/>
    <n v="81"/>
    <d v="2034-06-27T00:00:00"/>
    <d v="2034-10-10T00:00:00"/>
    <x v="0"/>
    <x v="5"/>
  </r>
  <r>
    <n v="33325467724"/>
    <n v="87"/>
    <d v="2034-06-27T00:00:00"/>
    <m/>
    <x v="0"/>
    <x v="0"/>
  </r>
  <r>
    <n v="16132224538"/>
    <n v="99"/>
    <d v="2034-06-27T00:00:00"/>
    <s v=""/>
    <x v="0"/>
    <x v="0"/>
  </r>
  <r>
    <n v="80604899826"/>
    <n v="124"/>
    <d v="2034-06-27T00:00:00"/>
    <s v=""/>
    <x v="0"/>
    <x v="0"/>
  </r>
  <r>
    <n v="53433268697"/>
    <n v="133"/>
    <d v="2034-06-27T00:00:00"/>
    <d v="2034-09-12T00:00:00"/>
    <x v="0"/>
    <x v="3"/>
  </r>
  <r>
    <n v="77687226541"/>
    <n v="155"/>
    <d v="2034-06-27T00:00:00"/>
    <s v=""/>
    <x v="0"/>
    <x v="0"/>
  </r>
  <r>
    <n v="26513159795"/>
    <n v="162"/>
    <d v="2034-06-27T00:00:00"/>
    <s v=""/>
    <x v="0"/>
    <x v="0"/>
  </r>
  <r>
    <n v="48724441539"/>
    <n v="163"/>
    <d v="2034-06-27T00:00:00"/>
    <s v=""/>
    <x v="0"/>
    <x v="0"/>
  </r>
  <r>
    <n v="34399707292"/>
    <n v="164"/>
    <d v="2034-06-27T00:00:00"/>
    <s v=""/>
    <x v="0"/>
    <x v="0"/>
  </r>
  <r>
    <n v="11443957938"/>
    <n v="164"/>
    <d v="2034-06-27T00:00:00"/>
    <s v=""/>
    <x v="0"/>
    <x v="0"/>
  </r>
  <r>
    <n v="32079262178"/>
    <n v="177"/>
    <d v="2034-06-27T00:00:00"/>
    <m/>
    <x v="0"/>
    <x v="0"/>
  </r>
  <r>
    <n v="36034081109"/>
    <n v="177"/>
    <d v="2034-06-27T00:00:00"/>
    <s v=""/>
    <x v="0"/>
    <x v="0"/>
  </r>
  <r>
    <n v="54121901961"/>
    <n v="187"/>
    <d v="2034-06-27T00:00:00"/>
    <d v="2034-09-13T00:00:00"/>
    <x v="0"/>
    <x v="3"/>
  </r>
  <r>
    <n v="42469886221"/>
    <n v="216"/>
    <d v="2034-06-27T00:00:00"/>
    <s v=""/>
    <x v="0"/>
    <x v="0"/>
  </r>
  <r>
    <n v="39417898936"/>
    <n v="218"/>
    <d v="2034-06-27T00:00:00"/>
    <d v="2034-08-27T00:00:00"/>
    <x v="0"/>
    <x v="4"/>
  </r>
  <r>
    <n v="39970754683"/>
    <n v="273"/>
    <d v="2034-06-27T00:00:00"/>
    <m/>
    <x v="0"/>
    <x v="0"/>
  </r>
  <r>
    <n v="46600302138"/>
    <n v="275"/>
    <d v="2034-06-27T00:00:00"/>
    <m/>
    <x v="0"/>
    <x v="0"/>
  </r>
  <r>
    <n v="38875344270"/>
    <n v="277"/>
    <d v="2034-06-27T00:00:00"/>
    <s v=""/>
    <x v="0"/>
    <x v="0"/>
  </r>
  <r>
    <n v="90104868272"/>
    <n v="278"/>
    <d v="2034-06-27T00:00:00"/>
    <m/>
    <x v="0"/>
    <x v="0"/>
  </r>
  <r>
    <n v="47881138746"/>
    <n v="307"/>
    <d v="2034-06-27T00:00:00"/>
    <s v=""/>
    <x v="0"/>
    <x v="0"/>
  </r>
  <r>
    <n v="61065302537"/>
    <n v="322"/>
    <d v="2034-06-27T00:00:00"/>
    <s v=""/>
    <x v="0"/>
    <x v="0"/>
  </r>
  <r>
    <n v="42828927693"/>
    <n v="325"/>
    <d v="2034-06-27T00:00:00"/>
    <d v="2034-08-12T00:00:00"/>
    <x v="0"/>
    <x v="4"/>
  </r>
  <r>
    <n v="81924306760"/>
    <n v="34"/>
    <d v="2034-06-28T00:00:00"/>
    <s v=""/>
    <x v="0"/>
    <x v="0"/>
  </r>
  <r>
    <n v="58116034858"/>
    <n v="38"/>
    <d v="2034-06-28T00:00:00"/>
    <d v="2034-08-27T00:00:00"/>
    <x v="0"/>
    <x v="4"/>
  </r>
  <r>
    <n v="92562281322"/>
    <n v="41"/>
    <d v="2034-06-28T00:00:00"/>
    <s v=""/>
    <x v="0"/>
    <x v="0"/>
  </r>
  <r>
    <n v="45536164253"/>
    <n v="49"/>
    <d v="2034-06-28T00:00:00"/>
    <m/>
    <x v="0"/>
    <x v="0"/>
  </r>
  <r>
    <n v="48706504819"/>
    <n v="65"/>
    <d v="2034-06-28T00:00:00"/>
    <s v=""/>
    <x v="0"/>
    <x v="0"/>
  </r>
  <r>
    <n v="74309087993"/>
    <n v="79"/>
    <d v="2034-06-28T00:00:00"/>
    <d v="2034-07-26T00:00:00"/>
    <x v="0"/>
    <x v="2"/>
  </r>
  <r>
    <n v="46553557203"/>
    <n v="81"/>
    <d v="2034-06-28T00:00:00"/>
    <s v=""/>
    <x v="0"/>
    <x v="0"/>
  </r>
  <r>
    <n v="32924117087"/>
    <n v="85"/>
    <d v="2034-06-28T00:00:00"/>
    <s v=""/>
    <x v="0"/>
    <x v="0"/>
  </r>
  <r>
    <n v="21711116675"/>
    <n v="87"/>
    <d v="2034-06-28T00:00:00"/>
    <s v=""/>
    <x v="0"/>
    <x v="0"/>
  </r>
  <r>
    <n v="45770135809"/>
    <n v="127"/>
    <d v="2034-06-28T00:00:00"/>
    <s v=""/>
    <x v="0"/>
    <x v="0"/>
  </r>
  <r>
    <n v="89149096085"/>
    <n v="211"/>
    <d v="2034-06-28T00:00:00"/>
    <d v="2034-08-03T00:00:00"/>
    <x v="0"/>
    <x v="4"/>
  </r>
  <r>
    <n v="12865599957"/>
    <n v="213"/>
    <d v="2034-06-28T00:00:00"/>
    <d v="2034-07-06T00:00:00"/>
    <x v="0"/>
    <x v="2"/>
  </r>
  <r>
    <n v="48399733342"/>
    <n v="224"/>
    <d v="2034-06-28T00:00:00"/>
    <m/>
    <x v="0"/>
    <x v="0"/>
  </r>
  <r>
    <n v="67247070705"/>
    <n v="241"/>
    <d v="2034-06-28T00:00:00"/>
    <s v=""/>
    <x v="0"/>
    <x v="0"/>
  </r>
  <r>
    <n v="14547197633"/>
    <n v="253"/>
    <d v="2034-06-28T00:00:00"/>
    <s v=""/>
    <x v="0"/>
    <x v="0"/>
  </r>
  <r>
    <n v="48403463231"/>
    <n v="257"/>
    <d v="2034-06-28T00:00:00"/>
    <s v=""/>
    <x v="0"/>
    <x v="0"/>
  </r>
  <r>
    <n v="83272360691"/>
    <n v="270"/>
    <d v="2034-06-28T00:00:00"/>
    <s v=""/>
    <x v="0"/>
    <x v="0"/>
  </r>
  <r>
    <n v="33154790361"/>
    <n v="299"/>
    <d v="2034-06-28T00:00:00"/>
    <s v=""/>
    <x v="0"/>
    <x v="0"/>
  </r>
  <r>
    <n v="23971017017"/>
    <n v="301"/>
    <d v="2034-06-28T00:00:00"/>
    <s v=""/>
    <x v="0"/>
    <x v="0"/>
  </r>
  <r>
    <n v="66139149065"/>
    <n v="321"/>
    <d v="2034-06-28T00:00:00"/>
    <s v=""/>
    <x v="0"/>
    <x v="0"/>
  </r>
  <r>
    <n v="56811261634"/>
    <n v="324"/>
    <d v="2034-06-28T00:00:00"/>
    <m/>
    <x v="0"/>
    <x v="0"/>
  </r>
  <r>
    <n v="91557912533"/>
    <n v="326"/>
    <d v="2034-06-28T00:00:00"/>
    <m/>
    <x v="0"/>
    <x v="0"/>
  </r>
  <r>
    <n v="63741923021"/>
    <n v="333"/>
    <d v="2034-06-28T00:00:00"/>
    <s v=""/>
    <x v="0"/>
    <x v="0"/>
  </r>
  <r>
    <n v="87504700820"/>
    <n v="5"/>
    <d v="2034-06-29T00:00:00"/>
    <s v=""/>
    <x v="0"/>
    <x v="0"/>
  </r>
  <r>
    <n v="61973555842"/>
    <n v="31"/>
    <d v="2034-06-29T00:00:00"/>
    <d v="2034-09-02T00:00:00"/>
    <x v="0"/>
    <x v="3"/>
  </r>
  <r>
    <n v="93944570468"/>
    <n v="46"/>
    <d v="2034-06-29T00:00:00"/>
    <s v=""/>
    <x v="0"/>
    <x v="0"/>
  </r>
  <r>
    <n v="81419666440"/>
    <n v="54"/>
    <d v="2034-06-29T00:00:00"/>
    <s v=""/>
    <x v="0"/>
    <x v="0"/>
  </r>
  <r>
    <n v="29436738076"/>
    <n v="63"/>
    <d v="2034-06-29T00:00:00"/>
    <s v=""/>
    <x v="0"/>
    <x v="0"/>
  </r>
  <r>
    <n v="27060404735"/>
    <n v="67"/>
    <d v="2034-06-29T00:00:00"/>
    <s v=""/>
    <x v="0"/>
    <x v="0"/>
  </r>
  <r>
    <n v="45884479832"/>
    <n v="74"/>
    <d v="2034-06-29T00:00:00"/>
    <s v=""/>
    <x v="0"/>
    <x v="0"/>
  </r>
  <r>
    <n v="88232186588"/>
    <n v="76"/>
    <d v="2034-06-29T00:00:00"/>
    <s v=""/>
    <x v="0"/>
    <x v="0"/>
  </r>
  <r>
    <n v="27137406885"/>
    <n v="80"/>
    <d v="2034-06-29T00:00:00"/>
    <s v=""/>
    <x v="0"/>
    <x v="0"/>
  </r>
  <r>
    <n v="18735526676"/>
    <n v="106"/>
    <d v="2034-06-29T00:00:00"/>
    <s v=""/>
    <x v="0"/>
    <x v="0"/>
  </r>
  <r>
    <n v="18389132051"/>
    <n v="131"/>
    <d v="2034-06-29T00:00:00"/>
    <s v=""/>
    <x v="0"/>
    <x v="0"/>
  </r>
  <r>
    <n v="26675958214"/>
    <n v="132"/>
    <d v="2034-06-29T00:00:00"/>
    <s v=""/>
    <x v="0"/>
    <x v="0"/>
  </r>
  <r>
    <n v="53207430505"/>
    <n v="156"/>
    <d v="2034-06-29T00:00:00"/>
    <d v="2034-09-19T00:00:00"/>
    <x v="0"/>
    <x v="3"/>
  </r>
  <r>
    <n v="58164715539"/>
    <n v="167"/>
    <d v="2034-06-29T00:00:00"/>
    <s v=""/>
    <x v="0"/>
    <x v="0"/>
  </r>
  <r>
    <n v="82939861040"/>
    <n v="170"/>
    <d v="2034-06-29T00:00:00"/>
    <s v=""/>
    <x v="0"/>
    <x v="0"/>
  </r>
  <r>
    <n v="43144680688"/>
    <n v="172"/>
    <d v="2034-06-29T00:00:00"/>
    <s v=""/>
    <x v="0"/>
    <x v="0"/>
  </r>
  <r>
    <n v="79517428260"/>
    <n v="172"/>
    <d v="2034-06-29T00:00:00"/>
    <s v=""/>
    <x v="0"/>
    <x v="0"/>
  </r>
  <r>
    <n v="37667378140"/>
    <n v="173"/>
    <d v="2034-06-29T00:00:00"/>
    <s v=""/>
    <x v="0"/>
    <x v="0"/>
  </r>
  <r>
    <n v="78137937475"/>
    <n v="210"/>
    <d v="2034-06-29T00:00:00"/>
    <s v=""/>
    <x v="0"/>
    <x v="0"/>
  </r>
  <r>
    <n v="77326099748"/>
    <n v="235"/>
    <d v="2034-06-29T00:00:00"/>
    <m/>
    <x v="0"/>
    <x v="0"/>
  </r>
  <r>
    <n v="56328586999"/>
    <n v="258"/>
    <d v="2034-06-29T00:00:00"/>
    <s v=""/>
    <x v="0"/>
    <x v="0"/>
  </r>
  <r>
    <n v="35531491430"/>
    <n v="284"/>
    <d v="2034-06-29T00:00:00"/>
    <s v=""/>
    <x v="0"/>
    <x v="0"/>
  </r>
  <r>
    <n v="53288734842"/>
    <n v="304"/>
    <d v="2034-06-29T00:00:00"/>
    <m/>
    <x v="0"/>
    <x v="0"/>
  </r>
  <r>
    <n v="88584283836"/>
    <n v="331"/>
    <d v="2034-06-29T00:00:00"/>
    <d v="2034-09-18T00:00:00"/>
    <x v="0"/>
    <x v="3"/>
  </r>
  <r>
    <n v="28750443238"/>
    <n v="3"/>
    <d v="2034-06-30T00:00:00"/>
    <s v=""/>
    <x v="0"/>
    <x v="0"/>
  </r>
  <r>
    <n v="76041601855"/>
    <n v="20"/>
    <d v="2034-06-30T00:00:00"/>
    <d v="2034-09-16T00:00:00"/>
    <x v="0"/>
    <x v="3"/>
  </r>
  <r>
    <n v="82754263583"/>
    <n v="30"/>
    <d v="2034-06-30T00:00:00"/>
    <d v="2034-08-30T00:00:00"/>
    <x v="0"/>
    <x v="4"/>
  </r>
  <r>
    <n v="58616609092"/>
    <n v="32"/>
    <d v="2034-06-30T00:00:00"/>
    <m/>
    <x v="0"/>
    <x v="0"/>
  </r>
  <r>
    <n v="52784225667"/>
    <n v="43"/>
    <d v="2034-06-30T00:00:00"/>
    <s v=""/>
    <x v="0"/>
    <x v="0"/>
  </r>
  <r>
    <n v="73538942801"/>
    <n v="58"/>
    <d v="2034-06-30T00:00:00"/>
    <s v=""/>
    <x v="0"/>
    <x v="0"/>
  </r>
  <r>
    <n v="98289925565"/>
    <n v="80"/>
    <d v="2034-06-30T00:00:00"/>
    <s v=""/>
    <x v="0"/>
    <x v="0"/>
  </r>
  <r>
    <n v="11988368769"/>
    <n v="110"/>
    <d v="2034-06-30T00:00:00"/>
    <s v=""/>
    <x v="0"/>
    <x v="0"/>
  </r>
  <r>
    <n v="56187951936"/>
    <n v="112"/>
    <d v="2034-06-30T00:00:00"/>
    <d v="2034-07-27T00:00:00"/>
    <x v="0"/>
    <x v="2"/>
  </r>
  <r>
    <n v="73528405165"/>
    <n v="119"/>
    <d v="2034-06-30T00:00:00"/>
    <d v="2034-07-01T00:00:00"/>
    <x v="0"/>
    <x v="2"/>
  </r>
  <r>
    <n v="24076084288"/>
    <n v="124"/>
    <d v="2034-06-30T00:00:00"/>
    <d v="2034-08-22T00:00:00"/>
    <x v="0"/>
    <x v="4"/>
  </r>
  <r>
    <n v="45140495647"/>
    <n v="139"/>
    <d v="2034-06-30T00:00:00"/>
    <s v=""/>
    <x v="0"/>
    <x v="0"/>
  </r>
  <r>
    <n v="77059291140"/>
    <n v="152"/>
    <d v="2034-06-30T00:00:00"/>
    <s v=""/>
    <x v="0"/>
    <x v="0"/>
  </r>
  <r>
    <n v="66866342994"/>
    <n v="184"/>
    <d v="2034-06-30T00:00:00"/>
    <s v=""/>
    <x v="0"/>
    <x v="0"/>
  </r>
  <r>
    <n v="67602448349"/>
    <n v="191"/>
    <d v="2034-06-30T00:00:00"/>
    <s v=""/>
    <x v="0"/>
    <x v="0"/>
  </r>
  <r>
    <n v="80253047093"/>
    <n v="236"/>
    <d v="2034-06-30T00:00:00"/>
    <s v=""/>
    <x v="0"/>
    <x v="0"/>
  </r>
  <r>
    <n v="38471034630"/>
    <n v="263"/>
    <d v="2034-06-30T00:00:00"/>
    <s v=""/>
    <x v="0"/>
    <x v="0"/>
  </r>
  <r>
    <n v="88730976583"/>
    <n v="287"/>
    <d v="2034-06-30T00:00:00"/>
    <s v=""/>
    <x v="0"/>
    <x v="0"/>
  </r>
  <r>
    <n v="39942173399"/>
    <n v="291"/>
    <d v="2034-06-30T00:00:00"/>
    <m/>
    <x v="0"/>
    <x v="0"/>
  </r>
  <r>
    <n v="81658649032"/>
    <n v="292"/>
    <d v="2034-06-30T00:00:00"/>
    <m/>
    <x v="0"/>
    <x v="0"/>
  </r>
  <r>
    <n v="35660727677"/>
    <n v="311"/>
    <d v="2034-06-30T00:00:00"/>
    <s v=""/>
    <x v="0"/>
    <x v="0"/>
  </r>
  <r>
    <n v="51248643688"/>
    <n v="312"/>
    <d v="2034-06-30T00:00:00"/>
    <s v=""/>
    <x v="0"/>
    <x v="0"/>
  </r>
  <r>
    <n v="85597588840"/>
    <n v="2"/>
    <d v="2034-07-01T00:00:00"/>
    <s v=""/>
    <x v="1"/>
    <x v="0"/>
  </r>
  <r>
    <n v="92481886532"/>
    <n v="23"/>
    <d v="2034-07-01T00:00:00"/>
    <s v=""/>
    <x v="1"/>
    <x v="0"/>
  </r>
  <r>
    <n v="67383012930"/>
    <n v="39"/>
    <d v="2034-07-01T00:00:00"/>
    <s v=""/>
    <x v="1"/>
    <x v="0"/>
  </r>
  <r>
    <n v="60974686343"/>
    <n v="40"/>
    <d v="2034-07-01T00:00:00"/>
    <s v=""/>
    <x v="1"/>
    <x v="0"/>
  </r>
  <r>
    <n v="86370576590"/>
    <n v="46"/>
    <d v="2034-07-01T00:00:00"/>
    <s v=""/>
    <x v="1"/>
    <x v="0"/>
  </r>
  <r>
    <n v="91809130622"/>
    <n v="87"/>
    <d v="2034-07-01T00:00:00"/>
    <d v="2034-07-27T00:00:00"/>
    <x v="1"/>
    <x v="2"/>
  </r>
  <r>
    <n v="98051540035"/>
    <n v="96"/>
    <d v="2034-07-01T00:00:00"/>
    <d v="2034-10-24T00:00:00"/>
    <x v="1"/>
    <x v="5"/>
  </r>
  <r>
    <n v="13637592571"/>
    <n v="96"/>
    <d v="2034-07-01T00:00:00"/>
    <s v=""/>
    <x v="1"/>
    <x v="0"/>
  </r>
  <r>
    <n v="20685575326"/>
    <n v="112"/>
    <d v="2034-07-01T00:00:00"/>
    <s v=""/>
    <x v="1"/>
    <x v="0"/>
  </r>
  <r>
    <n v="59373563851"/>
    <n v="120"/>
    <d v="2034-07-01T00:00:00"/>
    <s v=""/>
    <x v="1"/>
    <x v="0"/>
  </r>
  <r>
    <n v="92336037120"/>
    <n v="161"/>
    <d v="2034-07-01T00:00:00"/>
    <s v=""/>
    <x v="1"/>
    <x v="0"/>
  </r>
  <r>
    <n v="37355318107"/>
    <n v="172"/>
    <d v="2034-07-01T00:00:00"/>
    <d v="2034-09-10T00:00:00"/>
    <x v="1"/>
    <x v="3"/>
  </r>
  <r>
    <n v="30487113130"/>
    <n v="175"/>
    <d v="2034-07-01T00:00:00"/>
    <d v="2034-07-04T00:00:00"/>
    <x v="1"/>
    <x v="2"/>
  </r>
  <r>
    <n v="96454120029"/>
    <n v="180"/>
    <d v="2034-07-01T00:00:00"/>
    <s v=""/>
    <x v="1"/>
    <x v="0"/>
  </r>
  <r>
    <n v="73547296448"/>
    <n v="184"/>
    <d v="2034-07-01T00:00:00"/>
    <s v=""/>
    <x v="1"/>
    <x v="0"/>
  </r>
  <r>
    <n v="91122993858"/>
    <n v="190"/>
    <d v="2034-07-01T00:00:00"/>
    <d v="2034-09-09T00:00:00"/>
    <x v="1"/>
    <x v="3"/>
  </r>
  <r>
    <n v="82438682711"/>
    <n v="190"/>
    <d v="2034-07-01T00:00:00"/>
    <s v=""/>
    <x v="1"/>
    <x v="0"/>
  </r>
  <r>
    <n v="92193766367"/>
    <n v="196"/>
    <d v="2034-07-01T00:00:00"/>
    <s v=""/>
    <x v="1"/>
    <x v="0"/>
  </r>
  <r>
    <n v="58089163987"/>
    <n v="220"/>
    <d v="2034-07-01T00:00:00"/>
    <s v=""/>
    <x v="1"/>
    <x v="0"/>
  </r>
  <r>
    <n v="33861321904"/>
    <n v="232"/>
    <d v="2034-07-01T00:00:00"/>
    <s v=""/>
    <x v="1"/>
    <x v="0"/>
  </r>
  <r>
    <n v="76058655338"/>
    <n v="238"/>
    <d v="2034-07-01T00:00:00"/>
    <s v=""/>
    <x v="1"/>
    <x v="0"/>
  </r>
  <r>
    <n v="91836022701"/>
    <n v="245"/>
    <d v="2034-07-01T00:00:00"/>
    <s v=""/>
    <x v="1"/>
    <x v="0"/>
  </r>
  <r>
    <n v="21376510085"/>
    <n v="260"/>
    <d v="2034-07-01T00:00:00"/>
    <s v=""/>
    <x v="1"/>
    <x v="0"/>
  </r>
  <r>
    <n v="25148112272"/>
    <n v="261"/>
    <d v="2034-07-01T00:00:00"/>
    <s v=""/>
    <x v="1"/>
    <x v="0"/>
  </r>
  <r>
    <n v="35233435278"/>
    <n v="268"/>
    <d v="2034-07-01T00:00:00"/>
    <s v=""/>
    <x v="1"/>
    <x v="0"/>
  </r>
  <r>
    <n v="26257771630"/>
    <n v="274"/>
    <d v="2034-07-01T00:00:00"/>
    <m/>
    <x v="1"/>
    <x v="0"/>
  </r>
  <r>
    <n v="21842597103"/>
    <n v="289"/>
    <d v="2034-07-01T00:00:00"/>
    <s v=""/>
    <x v="1"/>
    <x v="0"/>
  </r>
  <r>
    <n v="61148579356"/>
    <n v="289"/>
    <d v="2034-07-01T00:00:00"/>
    <s v=""/>
    <x v="1"/>
    <x v="0"/>
  </r>
  <r>
    <n v="69195622129"/>
    <n v="312"/>
    <d v="2034-07-01T00:00:00"/>
    <s v=""/>
    <x v="1"/>
    <x v="0"/>
  </r>
  <r>
    <n v="38155186358"/>
    <n v="332"/>
    <d v="2034-07-01T00:00:00"/>
    <m/>
    <x v="1"/>
    <x v="0"/>
  </r>
  <r>
    <n v="14162203218"/>
    <n v="336"/>
    <d v="2034-07-01T00:00:00"/>
    <s v=""/>
    <x v="1"/>
    <x v="0"/>
  </r>
  <r>
    <n v="14506369237"/>
    <n v="1"/>
    <d v="2034-07-02T00:00:00"/>
    <d v="2034-10-14T00:00:00"/>
    <x v="1"/>
    <x v="5"/>
  </r>
  <r>
    <n v="75278138310"/>
    <n v="5"/>
    <d v="2034-07-02T00:00:00"/>
    <d v="2034-10-17T00:00:00"/>
    <x v="1"/>
    <x v="5"/>
  </r>
  <r>
    <n v="33055692727"/>
    <n v="17"/>
    <d v="2034-07-02T00:00:00"/>
    <s v=""/>
    <x v="1"/>
    <x v="0"/>
  </r>
  <r>
    <n v="55651533536"/>
    <n v="39"/>
    <d v="2034-07-02T00:00:00"/>
    <s v=""/>
    <x v="1"/>
    <x v="0"/>
  </r>
  <r>
    <n v="73482366047"/>
    <n v="43"/>
    <d v="2034-07-02T00:00:00"/>
    <s v=""/>
    <x v="1"/>
    <x v="0"/>
  </r>
  <r>
    <n v="95890894836"/>
    <n v="47"/>
    <d v="2034-07-02T00:00:00"/>
    <m/>
    <x v="1"/>
    <x v="0"/>
  </r>
  <r>
    <n v="48698908159"/>
    <n v="49"/>
    <d v="2034-07-02T00:00:00"/>
    <s v=""/>
    <x v="1"/>
    <x v="0"/>
  </r>
  <r>
    <n v="68199923393"/>
    <n v="53"/>
    <d v="2034-07-02T00:00:00"/>
    <m/>
    <x v="1"/>
    <x v="0"/>
  </r>
  <r>
    <n v="29465609449"/>
    <n v="57"/>
    <d v="2034-07-02T00:00:00"/>
    <s v=""/>
    <x v="1"/>
    <x v="0"/>
  </r>
  <r>
    <n v="31183270027"/>
    <n v="96"/>
    <d v="2034-07-02T00:00:00"/>
    <s v=""/>
    <x v="1"/>
    <x v="0"/>
  </r>
  <r>
    <n v="82209764401"/>
    <n v="130"/>
    <d v="2034-07-02T00:00:00"/>
    <s v=""/>
    <x v="1"/>
    <x v="0"/>
  </r>
  <r>
    <n v="24331051008"/>
    <n v="136"/>
    <d v="2034-07-02T00:00:00"/>
    <s v=""/>
    <x v="1"/>
    <x v="0"/>
  </r>
  <r>
    <n v="11898312281"/>
    <n v="137"/>
    <d v="2034-07-02T00:00:00"/>
    <d v="2034-09-03T00:00:00"/>
    <x v="1"/>
    <x v="3"/>
  </r>
  <r>
    <n v="87078594163"/>
    <n v="156"/>
    <d v="2034-07-02T00:00:00"/>
    <d v="2034-10-01T00:00:00"/>
    <x v="1"/>
    <x v="5"/>
  </r>
  <r>
    <n v="55898908290"/>
    <n v="164"/>
    <d v="2034-07-02T00:00:00"/>
    <s v=""/>
    <x v="1"/>
    <x v="0"/>
  </r>
  <r>
    <n v="30932071097"/>
    <n v="195"/>
    <d v="2034-07-02T00:00:00"/>
    <s v=""/>
    <x v="1"/>
    <x v="0"/>
  </r>
  <r>
    <n v="76676708268"/>
    <n v="199"/>
    <d v="2034-07-02T00:00:00"/>
    <s v=""/>
    <x v="1"/>
    <x v="0"/>
  </r>
  <r>
    <n v="88583341190"/>
    <n v="200"/>
    <d v="2034-07-02T00:00:00"/>
    <s v=""/>
    <x v="1"/>
    <x v="0"/>
  </r>
  <r>
    <n v="14278083367"/>
    <n v="253"/>
    <d v="2034-07-02T00:00:00"/>
    <m/>
    <x v="1"/>
    <x v="0"/>
  </r>
  <r>
    <n v="44728123168"/>
    <n v="272"/>
    <d v="2034-07-02T00:00:00"/>
    <d v="2034-10-28T00:00:00"/>
    <x v="1"/>
    <x v="5"/>
  </r>
  <r>
    <n v="36571233624"/>
    <n v="280"/>
    <d v="2034-07-02T00:00:00"/>
    <m/>
    <x v="1"/>
    <x v="0"/>
  </r>
  <r>
    <n v="17294567116"/>
    <n v="286"/>
    <d v="2034-07-02T00:00:00"/>
    <d v="2034-07-09T00:00:00"/>
    <x v="1"/>
    <x v="2"/>
  </r>
  <r>
    <n v="62715446958"/>
    <n v="329"/>
    <d v="2034-07-02T00:00:00"/>
    <m/>
    <x v="1"/>
    <x v="0"/>
  </r>
  <r>
    <n v="21152426434"/>
    <n v="335"/>
    <d v="2034-07-02T00:00:00"/>
    <s v=""/>
    <x v="1"/>
    <x v="0"/>
  </r>
  <r>
    <n v="71051588983"/>
    <n v="22"/>
    <d v="2034-07-03T00:00:00"/>
    <d v="2034-10-11T00:00:00"/>
    <x v="1"/>
    <x v="5"/>
  </r>
  <r>
    <n v="63866622804"/>
    <n v="27"/>
    <d v="2034-07-03T00:00:00"/>
    <d v="2034-08-10T00:00:00"/>
    <x v="1"/>
    <x v="4"/>
  </r>
  <r>
    <n v="80684223971"/>
    <n v="28"/>
    <d v="2034-07-03T00:00:00"/>
    <s v=""/>
    <x v="1"/>
    <x v="0"/>
  </r>
  <r>
    <n v="87648209992"/>
    <n v="42"/>
    <d v="2034-07-03T00:00:00"/>
    <s v=""/>
    <x v="1"/>
    <x v="0"/>
  </r>
  <r>
    <n v="13317253263"/>
    <n v="50"/>
    <d v="2034-07-03T00:00:00"/>
    <s v=""/>
    <x v="1"/>
    <x v="0"/>
  </r>
  <r>
    <n v="99978378492"/>
    <n v="50"/>
    <d v="2034-07-03T00:00:00"/>
    <s v=""/>
    <x v="1"/>
    <x v="0"/>
  </r>
  <r>
    <n v="82427963656"/>
    <n v="52"/>
    <d v="2034-07-03T00:00:00"/>
    <m/>
    <x v="1"/>
    <x v="0"/>
  </r>
  <r>
    <n v="84435766652"/>
    <n v="96"/>
    <d v="2034-07-03T00:00:00"/>
    <d v="2034-10-22T00:00:00"/>
    <x v="1"/>
    <x v="5"/>
  </r>
  <r>
    <n v="35427365921"/>
    <n v="106"/>
    <d v="2034-07-03T00:00:00"/>
    <s v=""/>
    <x v="1"/>
    <x v="0"/>
  </r>
  <r>
    <n v="19748476661"/>
    <n v="131"/>
    <d v="2034-07-03T00:00:00"/>
    <d v="2034-09-06T00:00:00"/>
    <x v="1"/>
    <x v="3"/>
  </r>
  <r>
    <n v="75773453186"/>
    <n v="139"/>
    <d v="2034-07-03T00:00:00"/>
    <s v=""/>
    <x v="1"/>
    <x v="0"/>
  </r>
  <r>
    <n v="20793290391"/>
    <n v="141"/>
    <d v="2034-07-03T00:00:00"/>
    <d v="2034-08-19T00:00:00"/>
    <x v="1"/>
    <x v="4"/>
  </r>
  <r>
    <n v="60035900277"/>
    <n v="144"/>
    <d v="2034-07-03T00:00:00"/>
    <s v=""/>
    <x v="1"/>
    <x v="0"/>
  </r>
  <r>
    <n v="38262429586"/>
    <n v="156"/>
    <d v="2034-07-03T00:00:00"/>
    <s v=""/>
    <x v="1"/>
    <x v="0"/>
  </r>
  <r>
    <n v="40807810151"/>
    <n v="181"/>
    <d v="2034-07-03T00:00:00"/>
    <m/>
    <x v="1"/>
    <x v="0"/>
  </r>
  <r>
    <n v="81690402837"/>
    <n v="199"/>
    <d v="2034-07-03T00:00:00"/>
    <d v="2034-10-22T00:00:00"/>
    <x v="1"/>
    <x v="5"/>
  </r>
  <r>
    <n v="87707724896"/>
    <n v="237"/>
    <d v="2034-07-03T00:00:00"/>
    <s v=""/>
    <x v="1"/>
    <x v="0"/>
  </r>
  <r>
    <n v="57781674671"/>
    <n v="246"/>
    <d v="2034-07-03T00:00:00"/>
    <d v="2034-07-08T00:00:00"/>
    <x v="1"/>
    <x v="2"/>
  </r>
  <r>
    <n v="22204674324"/>
    <n v="277"/>
    <d v="2034-07-03T00:00:00"/>
    <s v=""/>
    <x v="1"/>
    <x v="0"/>
  </r>
  <r>
    <n v="39382682676"/>
    <n v="283"/>
    <d v="2034-07-03T00:00:00"/>
    <s v=""/>
    <x v="1"/>
    <x v="0"/>
  </r>
  <r>
    <n v="49939236227"/>
    <n v="288"/>
    <d v="2034-07-03T00:00:00"/>
    <s v=""/>
    <x v="1"/>
    <x v="0"/>
  </r>
  <r>
    <n v="33727478211"/>
    <n v="296"/>
    <d v="2034-07-03T00:00:00"/>
    <s v=""/>
    <x v="1"/>
    <x v="0"/>
  </r>
  <r>
    <n v="18570918924"/>
    <n v="305"/>
    <d v="2034-07-03T00:00:00"/>
    <d v="2034-09-06T00:00:00"/>
    <x v="1"/>
    <x v="3"/>
  </r>
  <r>
    <n v="94339233802"/>
    <n v="313"/>
    <d v="2034-07-03T00:00:00"/>
    <d v="2034-07-06T00:00:00"/>
    <x v="1"/>
    <x v="2"/>
  </r>
  <r>
    <n v="58119032587"/>
    <n v="320"/>
    <d v="2034-07-03T00:00:00"/>
    <s v=""/>
    <x v="1"/>
    <x v="0"/>
  </r>
  <r>
    <n v="64102121145"/>
    <n v="335"/>
    <d v="2034-07-03T00:00:00"/>
    <s v=""/>
    <x v="1"/>
    <x v="0"/>
  </r>
  <r>
    <n v="22001153346"/>
    <n v="11"/>
    <d v="2034-07-04T00:00:00"/>
    <s v=""/>
    <x v="1"/>
    <x v="0"/>
  </r>
  <r>
    <n v="15233929936"/>
    <n v="25"/>
    <d v="2034-07-04T00:00:00"/>
    <d v="2034-10-12T00:00:00"/>
    <x v="1"/>
    <x v="5"/>
  </r>
  <r>
    <n v="36360576085"/>
    <n v="48"/>
    <d v="2034-07-04T00:00:00"/>
    <s v=""/>
    <x v="1"/>
    <x v="0"/>
  </r>
  <r>
    <n v="94880719426"/>
    <n v="54"/>
    <d v="2034-07-04T00:00:00"/>
    <s v=""/>
    <x v="1"/>
    <x v="0"/>
  </r>
  <r>
    <n v="54620706745"/>
    <n v="55"/>
    <d v="2034-07-04T00:00:00"/>
    <m/>
    <x v="1"/>
    <x v="0"/>
  </r>
  <r>
    <n v="15335905269"/>
    <n v="85"/>
    <d v="2034-07-04T00:00:00"/>
    <s v=""/>
    <x v="1"/>
    <x v="0"/>
  </r>
  <r>
    <n v="48725289104"/>
    <n v="88"/>
    <d v="2034-07-04T00:00:00"/>
    <s v=""/>
    <x v="1"/>
    <x v="0"/>
  </r>
  <r>
    <n v="94864439735"/>
    <n v="102"/>
    <d v="2034-07-04T00:00:00"/>
    <d v="2034-09-13T00:00:00"/>
    <x v="1"/>
    <x v="3"/>
  </r>
  <r>
    <n v="63931672081"/>
    <n v="103"/>
    <d v="2034-07-04T00:00:00"/>
    <d v="2034-08-19T00:00:00"/>
    <x v="1"/>
    <x v="4"/>
  </r>
  <r>
    <n v="90471655199"/>
    <n v="105"/>
    <d v="2034-07-04T00:00:00"/>
    <s v=""/>
    <x v="1"/>
    <x v="0"/>
  </r>
  <r>
    <n v="36591141070"/>
    <n v="115"/>
    <d v="2034-07-04T00:00:00"/>
    <d v="2034-09-20T00:00:00"/>
    <x v="1"/>
    <x v="3"/>
  </r>
  <r>
    <n v="24965621616"/>
    <n v="142"/>
    <d v="2034-07-04T00:00:00"/>
    <s v=""/>
    <x v="1"/>
    <x v="0"/>
  </r>
  <r>
    <n v="85202821059"/>
    <n v="157"/>
    <d v="2034-07-04T00:00:00"/>
    <d v="2034-07-05T00:00:00"/>
    <x v="1"/>
    <x v="2"/>
  </r>
  <r>
    <n v="63743097516"/>
    <n v="163"/>
    <d v="2034-07-04T00:00:00"/>
    <s v=""/>
    <x v="1"/>
    <x v="0"/>
  </r>
  <r>
    <n v="61676886514"/>
    <n v="163"/>
    <d v="2034-07-04T00:00:00"/>
    <s v=""/>
    <x v="1"/>
    <x v="0"/>
  </r>
  <r>
    <n v="69588527557"/>
    <n v="171"/>
    <d v="2034-07-04T00:00:00"/>
    <m/>
    <x v="1"/>
    <x v="0"/>
  </r>
  <r>
    <n v="97186100003"/>
    <n v="173"/>
    <d v="2034-07-04T00:00:00"/>
    <s v=""/>
    <x v="1"/>
    <x v="0"/>
  </r>
  <r>
    <n v="31475179914"/>
    <n v="180"/>
    <d v="2034-07-04T00:00:00"/>
    <s v=""/>
    <x v="1"/>
    <x v="0"/>
  </r>
  <r>
    <n v="40596272278"/>
    <n v="180"/>
    <d v="2034-07-04T00:00:00"/>
    <m/>
    <x v="1"/>
    <x v="0"/>
  </r>
  <r>
    <n v="99027420975"/>
    <n v="216"/>
    <d v="2034-07-04T00:00:00"/>
    <s v=""/>
    <x v="1"/>
    <x v="0"/>
  </r>
  <r>
    <n v="53465157692"/>
    <n v="227"/>
    <d v="2034-07-04T00:00:00"/>
    <s v=""/>
    <x v="1"/>
    <x v="0"/>
  </r>
  <r>
    <n v="38677598171"/>
    <n v="232"/>
    <d v="2034-07-04T00:00:00"/>
    <s v=""/>
    <x v="1"/>
    <x v="0"/>
  </r>
  <r>
    <n v="22357882899"/>
    <n v="245"/>
    <d v="2034-07-04T00:00:00"/>
    <s v=""/>
    <x v="1"/>
    <x v="0"/>
  </r>
  <r>
    <n v="60093542683"/>
    <n v="246"/>
    <d v="2034-07-04T00:00:00"/>
    <s v=""/>
    <x v="1"/>
    <x v="0"/>
  </r>
  <r>
    <n v="76674842828"/>
    <n v="248"/>
    <d v="2034-07-04T00:00:00"/>
    <s v=""/>
    <x v="1"/>
    <x v="0"/>
  </r>
  <r>
    <n v="44103956387"/>
    <n v="251"/>
    <d v="2034-07-04T00:00:00"/>
    <d v="2034-09-11T00:00:00"/>
    <x v="1"/>
    <x v="3"/>
  </r>
  <r>
    <n v="31056433940"/>
    <n v="272"/>
    <d v="2034-07-04T00:00:00"/>
    <s v=""/>
    <x v="1"/>
    <x v="0"/>
  </r>
  <r>
    <n v="97138491934"/>
    <n v="280"/>
    <d v="2034-07-04T00:00:00"/>
    <s v=""/>
    <x v="1"/>
    <x v="0"/>
  </r>
  <r>
    <n v="70142518678"/>
    <n v="308"/>
    <d v="2034-07-04T00:00:00"/>
    <s v=""/>
    <x v="1"/>
    <x v="0"/>
  </r>
  <r>
    <n v="48379156255"/>
    <n v="308"/>
    <d v="2034-07-04T00:00:00"/>
    <s v=""/>
    <x v="1"/>
    <x v="0"/>
  </r>
  <r>
    <n v="94436566573"/>
    <n v="327"/>
    <d v="2034-07-04T00:00:00"/>
    <s v=""/>
    <x v="1"/>
    <x v="0"/>
  </r>
  <r>
    <n v="28155667999"/>
    <n v="335"/>
    <d v="2034-07-04T00:00:00"/>
    <s v=""/>
    <x v="1"/>
    <x v="0"/>
  </r>
  <r>
    <n v="24526886618"/>
    <n v="336"/>
    <d v="2034-07-04T00:00:00"/>
    <d v="2034-07-13T00:00:00"/>
    <x v="1"/>
    <x v="2"/>
  </r>
  <r>
    <n v="82666800824"/>
    <n v="29"/>
    <d v="2034-07-05T00:00:00"/>
    <s v=""/>
    <x v="1"/>
    <x v="0"/>
  </r>
  <r>
    <n v="23036646766"/>
    <n v="41"/>
    <d v="2034-07-05T00:00:00"/>
    <s v=""/>
    <x v="1"/>
    <x v="0"/>
  </r>
  <r>
    <n v="65668948194"/>
    <n v="41"/>
    <d v="2034-07-05T00:00:00"/>
    <d v="2034-10-28T00:00:00"/>
    <x v="1"/>
    <x v="5"/>
  </r>
  <r>
    <n v="18964842667"/>
    <n v="53"/>
    <d v="2034-07-05T00:00:00"/>
    <s v=""/>
    <x v="1"/>
    <x v="0"/>
  </r>
  <r>
    <n v="61045719788"/>
    <n v="63"/>
    <d v="2034-07-05T00:00:00"/>
    <s v=""/>
    <x v="1"/>
    <x v="0"/>
  </r>
  <r>
    <n v="99698481153"/>
    <n v="71"/>
    <d v="2034-07-05T00:00:00"/>
    <s v=""/>
    <x v="1"/>
    <x v="0"/>
  </r>
  <r>
    <n v="22332102375"/>
    <n v="71"/>
    <d v="2034-07-05T00:00:00"/>
    <s v=""/>
    <x v="1"/>
    <x v="0"/>
  </r>
  <r>
    <n v="33390716518"/>
    <n v="87"/>
    <d v="2034-07-05T00:00:00"/>
    <s v=""/>
    <x v="1"/>
    <x v="0"/>
  </r>
  <r>
    <n v="94683463154"/>
    <n v="93"/>
    <d v="2034-07-05T00:00:00"/>
    <s v=""/>
    <x v="1"/>
    <x v="0"/>
  </r>
  <r>
    <n v="45476578092"/>
    <n v="111"/>
    <d v="2034-07-05T00:00:00"/>
    <s v=""/>
    <x v="1"/>
    <x v="0"/>
  </r>
  <r>
    <n v="68059835764"/>
    <n v="112"/>
    <d v="2034-07-05T00:00:00"/>
    <s v=""/>
    <x v="1"/>
    <x v="0"/>
  </r>
  <r>
    <n v="56420121290"/>
    <n v="129"/>
    <d v="2034-07-05T00:00:00"/>
    <m/>
    <x v="1"/>
    <x v="0"/>
  </r>
  <r>
    <n v="89791861202"/>
    <n v="146"/>
    <d v="2034-07-05T00:00:00"/>
    <s v=""/>
    <x v="1"/>
    <x v="0"/>
  </r>
  <r>
    <n v="16567254715"/>
    <n v="164"/>
    <d v="2034-07-05T00:00:00"/>
    <d v="2034-08-25T00:00:00"/>
    <x v="1"/>
    <x v="4"/>
  </r>
  <r>
    <n v="62722648617"/>
    <n v="190"/>
    <d v="2034-07-05T00:00:00"/>
    <s v=""/>
    <x v="1"/>
    <x v="0"/>
  </r>
  <r>
    <n v="11159722480"/>
    <n v="196"/>
    <d v="2034-07-05T00:00:00"/>
    <d v="2034-07-29T00:00:00"/>
    <x v="1"/>
    <x v="2"/>
  </r>
  <r>
    <n v="21141488862"/>
    <n v="213"/>
    <d v="2034-07-05T00:00:00"/>
    <s v=""/>
    <x v="1"/>
    <x v="0"/>
  </r>
  <r>
    <n v="21698082799"/>
    <n v="218"/>
    <d v="2034-07-05T00:00:00"/>
    <s v=""/>
    <x v="1"/>
    <x v="0"/>
  </r>
  <r>
    <n v="52470133794"/>
    <n v="224"/>
    <d v="2034-07-05T00:00:00"/>
    <m/>
    <x v="1"/>
    <x v="0"/>
  </r>
  <r>
    <n v="90535474327"/>
    <n v="245"/>
    <d v="2034-07-05T00:00:00"/>
    <d v="2034-10-30T00:00:00"/>
    <x v="1"/>
    <x v="5"/>
  </r>
  <r>
    <n v="90729927642"/>
    <n v="303"/>
    <d v="2034-07-05T00:00:00"/>
    <s v=""/>
    <x v="1"/>
    <x v="0"/>
  </r>
  <r>
    <n v="52487021382"/>
    <n v="305"/>
    <d v="2034-07-05T00:00:00"/>
    <m/>
    <x v="1"/>
    <x v="0"/>
  </r>
  <r>
    <n v="34862733445"/>
    <n v="308"/>
    <d v="2034-07-05T00:00:00"/>
    <m/>
    <x v="1"/>
    <x v="0"/>
  </r>
  <r>
    <n v="31650006791"/>
    <n v="322"/>
    <d v="2034-07-05T00:00:00"/>
    <s v=""/>
    <x v="1"/>
    <x v="0"/>
  </r>
  <r>
    <n v="18309119852"/>
    <n v="2"/>
    <d v="2034-07-06T00:00:00"/>
    <s v=""/>
    <x v="1"/>
    <x v="0"/>
  </r>
  <r>
    <n v="48555402208"/>
    <n v="21"/>
    <d v="2034-07-06T00:00:00"/>
    <s v=""/>
    <x v="1"/>
    <x v="0"/>
  </r>
  <r>
    <n v="42097405825"/>
    <n v="31"/>
    <d v="2034-07-06T00:00:00"/>
    <s v=""/>
    <x v="1"/>
    <x v="0"/>
  </r>
  <r>
    <n v="66110010656"/>
    <n v="62"/>
    <d v="2034-07-06T00:00:00"/>
    <d v="2034-07-28T00:00:00"/>
    <x v="1"/>
    <x v="2"/>
  </r>
  <r>
    <n v="31729892548"/>
    <n v="64"/>
    <d v="2034-07-06T00:00:00"/>
    <s v=""/>
    <x v="1"/>
    <x v="0"/>
  </r>
  <r>
    <n v="68638272032"/>
    <n v="70"/>
    <d v="2034-07-06T00:00:00"/>
    <d v="2034-07-26T00:00:00"/>
    <x v="1"/>
    <x v="2"/>
  </r>
  <r>
    <n v="77613531944"/>
    <n v="83"/>
    <d v="2034-07-06T00:00:00"/>
    <s v=""/>
    <x v="1"/>
    <x v="0"/>
  </r>
  <r>
    <n v="57037112020"/>
    <n v="85"/>
    <d v="2034-07-06T00:00:00"/>
    <s v=""/>
    <x v="1"/>
    <x v="0"/>
  </r>
  <r>
    <n v="62417887438"/>
    <n v="88"/>
    <d v="2034-07-06T00:00:00"/>
    <d v="2034-08-17T00:00:00"/>
    <x v="1"/>
    <x v="4"/>
  </r>
  <r>
    <n v="22129529237"/>
    <n v="103"/>
    <d v="2034-07-06T00:00:00"/>
    <s v=""/>
    <x v="1"/>
    <x v="0"/>
  </r>
  <r>
    <n v="21958648234"/>
    <n v="120"/>
    <d v="2034-07-06T00:00:00"/>
    <s v=""/>
    <x v="1"/>
    <x v="0"/>
  </r>
  <r>
    <n v="85619274560"/>
    <n v="125"/>
    <d v="2034-07-06T00:00:00"/>
    <s v=""/>
    <x v="1"/>
    <x v="0"/>
  </r>
  <r>
    <n v="81195357353"/>
    <n v="128"/>
    <d v="2034-07-06T00:00:00"/>
    <s v=""/>
    <x v="1"/>
    <x v="0"/>
  </r>
  <r>
    <n v="45720043231"/>
    <n v="175"/>
    <d v="2034-07-06T00:00:00"/>
    <s v=""/>
    <x v="1"/>
    <x v="0"/>
  </r>
  <r>
    <n v="88073394775"/>
    <n v="189"/>
    <d v="2034-07-06T00:00:00"/>
    <s v=""/>
    <x v="1"/>
    <x v="0"/>
  </r>
  <r>
    <n v="85290612906"/>
    <n v="193"/>
    <d v="2034-07-06T00:00:00"/>
    <s v=""/>
    <x v="1"/>
    <x v="0"/>
  </r>
  <r>
    <n v="46173520385"/>
    <n v="195"/>
    <d v="2034-07-06T00:00:00"/>
    <s v=""/>
    <x v="1"/>
    <x v="0"/>
  </r>
  <r>
    <n v="12975982717"/>
    <n v="213"/>
    <d v="2034-07-06T00:00:00"/>
    <s v=""/>
    <x v="1"/>
    <x v="0"/>
  </r>
  <r>
    <n v="86578442466"/>
    <n v="230"/>
    <d v="2034-07-06T00:00:00"/>
    <d v="2034-09-21T00:00:00"/>
    <x v="1"/>
    <x v="3"/>
  </r>
  <r>
    <n v="22003807183"/>
    <n v="233"/>
    <d v="2034-07-06T00:00:00"/>
    <m/>
    <x v="1"/>
    <x v="0"/>
  </r>
  <r>
    <n v="47138136788"/>
    <n v="242"/>
    <d v="2034-07-06T00:00:00"/>
    <m/>
    <x v="1"/>
    <x v="0"/>
  </r>
  <r>
    <n v="75696909250"/>
    <n v="247"/>
    <d v="2034-07-06T00:00:00"/>
    <s v=""/>
    <x v="1"/>
    <x v="0"/>
  </r>
  <r>
    <n v="60783752189"/>
    <n v="259"/>
    <d v="2034-07-06T00:00:00"/>
    <m/>
    <x v="1"/>
    <x v="0"/>
  </r>
  <r>
    <n v="24605368133"/>
    <n v="265"/>
    <d v="2034-07-06T00:00:00"/>
    <s v=""/>
    <x v="1"/>
    <x v="0"/>
  </r>
  <r>
    <n v="16344182084"/>
    <n v="288"/>
    <d v="2034-07-06T00:00:00"/>
    <m/>
    <x v="1"/>
    <x v="0"/>
  </r>
  <r>
    <n v="78223769377"/>
    <n v="291"/>
    <d v="2034-07-06T00:00:00"/>
    <s v=""/>
    <x v="1"/>
    <x v="0"/>
  </r>
  <r>
    <n v="21028790392"/>
    <n v="306"/>
    <d v="2034-07-06T00:00:00"/>
    <s v=""/>
    <x v="1"/>
    <x v="0"/>
  </r>
  <r>
    <n v="23669274576"/>
    <n v="43"/>
    <d v="2034-07-07T00:00:00"/>
    <s v=""/>
    <x v="1"/>
    <x v="0"/>
  </r>
  <r>
    <n v="22271397748"/>
    <n v="55"/>
    <d v="2034-07-07T00:00:00"/>
    <s v=""/>
    <x v="1"/>
    <x v="0"/>
  </r>
  <r>
    <n v="61531224712"/>
    <n v="57"/>
    <d v="2034-07-07T00:00:00"/>
    <m/>
    <x v="1"/>
    <x v="0"/>
  </r>
  <r>
    <n v="49498180410"/>
    <n v="86"/>
    <d v="2034-07-07T00:00:00"/>
    <d v="2034-08-01T00:00:00"/>
    <x v="1"/>
    <x v="4"/>
  </r>
  <r>
    <n v="20176583884"/>
    <n v="104"/>
    <d v="2034-07-07T00:00:00"/>
    <s v=""/>
    <x v="1"/>
    <x v="0"/>
  </r>
  <r>
    <n v="22905130306"/>
    <n v="115"/>
    <d v="2034-07-07T00:00:00"/>
    <m/>
    <x v="1"/>
    <x v="0"/>
  </r>
  <r>
    <n v="85036881962"/>
    <n v="133"/>
    <d v="2034-07-07T00:00:00"/>
    <s v=""/>
    <x v="1"/>
    <x v="0"/>
  </r>
  <r>
    <n v="27699207440"/>
    <n v="151"/>
    <d v="2034-07-07T00:00:00"/>
    <s v=""/>
    <x v="1"/>
    <x v="0"/>
  </r>
  <r>
    <n v="58673124694"/>
    <n v="176"/>
    <d v="2034-07-07T00:00:00"/>
    <s v=""/>
    <x v="1"/>
    <x v="0"/>
  </r>
  <r>
    <n v="68636625831"/>
    <n v="194"/>
    <d v="2034-07-07T00:00:00"/>
    <m/>
    <x v="1"/>
    <x v="0"/>
  </r>
  <r>
    <n v="59019403496"/>
    <n v="224"/>
    <d v="2034-07-07T00:00:00"/>
    <s v=""/>
    <x v="1"/>
    <x v="0"/>
  </r>
  <r>
    <n v="87082985068"/>
    <n v="254"/>
    <d v="2034-07-07T00:00:00"/>
    <s v=""/>
    <x v="1"/>
    <x v="0"/>
  </r>
  <r>
    <n v="82306968127"/>
    <n v="263"/>
    <d v="2034-07-07T00:00:00"/>
    <s v=""/>
    <x v="1"/>
    <x v="0"/>
  </r>
  <r>
    <n v="50436319128"/>
    <n v="274"/>
    <d v="2034-07-07T00:00:00"/>
    <s v=""/>
    <x v="1"/>
    <x v="0"/>
  </r>
  <r>
    <n v="30828925618"/>
    <n v="277"/>
    <d v="2034-07-07T00:00:00"/>
    <s v=""/>
    <x v="1"/>
    <x v="0"/>
  </r>
  <r>
    <n v="42724275731"/>
    <n v="292"/>
    <d v="2034-07-07T00:00:00"/>
    <d v="2034-08-22T00:00:00"/>
    <x v="1"/>
    <x v="4"/>
  </r>
  <r>
    <n v="40333280688"/>
    <n v="322"/>
    <d v="2034-07-07T00:00:00"/>
    <s v=""/>
    <x v="1"/>
    <x v="0"/>
  </r>
  <r>
    <n v="84483655090"/>
    <n v="329"/>
    <d v="2034-07-07T00:00:00"/>
    <m/>
    <x v="1"/>
    <x v="0"/>
  </r>
  <r>
    <n v="62183462776"/>
    <n v="335"/>
    <d v="2034-07-07T00:00:00"/>
    <d v="2034-07-17T00:00:00"/>
    <x v="1"/>
    <x v="2"/>
  </r>
  <r>
    <n v="62262752475"/>
    <n v="0"/>
    <d v="2034-07-08T00:00:00"/>
    <s v=""/>
    <x v="1"/>
    <x v="0"/>
  </r>
  <r>
    <n v="16926845395"/>
    <n v="2"/>
    <d v="2034-07-08T00:00:00"/>
    <d v="2034-07-15T00:00:00"/>
    <x v="1"/>
    <x v="2"/>
  </r>
  <r>
    <n v="44594633412"/>
    <n v="16"/>
    <d v="2034-07-08T00:00:00"/>
    <s v=""/>
    <x v="1"/>
    <x v="0"/>
  </r>
  <r>
    <n v="54575637391"/>
    <n v="29"/>
    <d v="2034-07-08T00:00:00"/>
    <s v=""/>
    <x v="1"/>
    <x v="0"/>
  </r>
  <r>
    <n v="62150858125"/>
    <n v="34"/>
    <d v="2034-07-08T00:00:00"/>
    <s v=""/>
    <x v="1"/>
    <x v="0"/>
  </r>
  <r>
    <n v="22090934788"/>
    <n v="55"/>
    <d v="2034-07-08T00:00:00"/>
    <s v=""/>
    <x v="1"/>
    <x v="0"/>
  </r>
  <r>
    <n v="55042282942"/>
    <n v="78"/>
    <d v="2034-07-08T00:00:00"/>
    <s v=""/>
    <x v="1"/>
    <x v="0"/>
  </r>
  <r>
    <n v="78847698496"/>
    <n v="80"/>
    <d v="2034-07-08T00:00:00"/>
    <s v=""/>
    <x v="1"/>
    <x v="0"/>
  </r>
  <r>
    <n v="86699548216"/>
    <n v="94"/>
    <d v="2034-07-08T00:00:00"/>
    <s v=""/>
    <x v="1"/>
    <x v="0"/>
  </r>
  <r>
    <n v="77920343068"/>
    <n v="101"/>
    <d v="2034-07-08T00:00:00"/>
    <s v=""/>
    <x v="1"/>
    <x v="0"/>
  </r>
  <r>
    <n v="58972175437"/>
    <n v="105"/>
    <d v="2034-07-08T00:00:00"/>
    <d v="2034-08-22T00:00:00"/>
    <x v="1"/>
    <x v="4"/>
  </r>
  <r>
    <n v="81138136040"/>
    <n v="119"/>
    <d v="2034-07-08T00:00:00"/>
    <d v="2034-10-02T00:00:00"/>
    <x v="1"/>
    <x v="5"/>
  </r>
  <r>
    <n v="50637120097"/>
    <n v="128"/>
    <d v="2034-07-08T00:00:00"/>
    <d v="2034-10-06T00:00:00"/>
    <x v="1"/>
    <x v="5"/>
  </r>
  <r>
    <n v="71757309240"/>
    <n v="134"/>
    <d v="2034-07-08T00:00:00"/>
    <d v="2034-09-15T00:00:00"/>
    <x v="1"/>
    <x v="3"/>
  </r>
  <r>
    <n v="52383226822"/>
    <n v="147"/>
    <d v="2034-07-08T00:00:00"/>
    <s v=""/>
    <x v="1"/>
    <x v="0"/>
  </r>
  <r>
    <n v="16260923814"/>
    <n v="148"/>
    <d v="2034-07-08T00:00:00"/>
    <d v="2034-09-02T00:00:00"/>
    <x v="1"/>
    <x v="3"/>
  </r>
  <r>
    <n v="91607117949"/>
    <n v="171"/>
    <d v="2034-07-08T00:00:00"/>
    <m/>
    <x v="1"/>
    <x v="0"/>
  </r>
  <r>
    <n v="22827388681"/>
    <n v="175"/>
    <d v="2034-07-08T00:00:00"/>
    <m/>
    <x v="1"/>
    <x v="0"/>
  </r>
  <r>
    <n v="49227941318"/>
    <n v="175"/>
    <d v="2034-07-08T00:00:00"/>
    <s v=""/>
    <x v="1"/>
    <x v="0"/>
  </r>
  <r>
    <n v="52174283643"/>
    <n v="197"/>
    <d v="2034-07-08T00:00:00"/>
    <s v=""/>
    <x v="1"/>
    <x v="0"/>
  </r>
  <r>
    <n v="44995671139"/>
    <n v="199"/>
    <d v="2034-07-08T00:00:00"/>
    <s v=""/>
    <x v="1"/>
    <x v="0"/>
  </r>
  <r>
    <n v="83769435455"/>
    <n v="222"/>
    <d v="2034-07-08T00:00:00"/>
    <s v=""/>
    <x v="1"/>
    <x v="0"/>
  </r>
  <r>
    <n v="45424381867"/>
    <n v="225"/>
    <d v="2034-07-08T00:00:00"/>
    <s v=""/>
    <x v="1"/>
    <x v="0"/>
  </r>
  <r>
    <n v="13838408173"/>
    <n v="246"/>
    <d v="2034-07-08T00:00:00"/>
    <s v=""/>
    <x v="1"/>
    <x v="0"/>
  </r>
  <r>
    <n v="82960452603"/>
    <n v="251"/>
    <d v="2034-07-08T00:00:00"/>
    <s v=""/>
    <x v="1"/>
    <x v="0"/>
  </r>
  <r>
    <n v="91286865856"/>
    <n v="272"/>
    <d v="2034-07-08T00:00:00"/>
    <m/>
    <x v="1"/>
    <x v="0"/>
  </r>
  <r>
    <n v="88517856199"/>
    <n v="287"/>
    <d v="2034-07-08T00:00:00"/>
    <s v=""/>
    <x v="1"/>
    <x v="0"/>
  </r>
  <r>
    <n v="41103930963"/>
    <n v="309"/>
    <d v="2034-07-08T00:00:00"/>
    <s v=""/>
    <x v="1"/>
    <x v="0"/>
  </r>
  <r>
    <n v="13875750654"/>
    <n v="312"/>
    <d v="2034-07-08T00:00:00"/>
    <s v=""/>
    <x v="1"/>
    <x v="0"/>
  </r>
  <r>
    <n v="24802891281"/>
    <n v="312"/>
    <d v="2034-07-08T00:00:00"/>
    <m/>
    <x v="1"/>
    <x v="0"/>
  </r>
  <r>
    <n v="18623904439"/>
    <n v="314"/>
    <d v="2034-07-08T00:00:00"/>
    <s v=""/>
    <x v="1"/>
    <x v="0"/>
  </r>
  <r>
    <n v="37591518620"/>
    <n v="7"/>
    <d v="2034-07-09T00:00:00"/>
    <m/>
    <x v="1"/>
    <x v="0"/>
  </r>
  <r>
    <n v="34476751574"/>
    <n v="9"/>
    <d v="2034-07-09T00:00:00"/>
    <s v=""/>
    <x v="1"/>
    <x v="0"/>
  </r>
  <r>
    <n v="44468146119"/>
    <n v="21"/>
    <d v="2034-07-09T00:00:00"/>
    <s v=""/>
    <x v="1"/>
    <x v="0"/>
  </r>
  <r>
    <n v="56255613067"/>
    <n v="33"/>
    <d v="2034-07-09T00:00:00"/>
    <s v=""/>
    <x v="1"/>
    <x v="0"/>
  </r>
  <r>
    <n v="42454624438"/>
    <n v="59"/>
    <d v="2034-07-09T00:00:00"/>
    <d v="2034-10-21T00:00:00"/>
    <x v="1"/>
    <x v="5"/>
  </r>
  <r>
    <n v="32144073033"/>
    <n v="72"/>
    <d v="2034-07-09T00:00:00"/>
    <s v=""/>
    <x v="1"/>
    <x v="0"/>
  </r>
  <r>
    <n v="40417023839"/>
    <n v="84"/>
    <d v="2034-07-09T00:00:00"/>
    <s v=""/>
    <x v="1"/>
    <x v="0"/>
  </r>
  <r>
    <n v="72163524340"/>
    <n v="87"/>
    <d v="2034-07-09T00:00:00"/>
    <d v="2034-08-14T00:00:00"/>
    <x v="1"/>
    <x v="4"/>
  </r>
  <r>
    <n v="75108870050"/>
    <n v="94"/>
    <d v="2034-07-09T00:00:00"/>
    <d v="2034-07-28T00:00:00"/>
    <x v="1"/>
    <x v="2"/>
  </r>
  <r>
    <n v="66198245667"/>
    <n v="112"/>
    <d v="2034-07-09T00:00:00"/>
    <s v=""/>
    <x v="1"/>
    <x v="0"/>
  </r>
  <r>
    <n v="34072182090"/>
    <n v="123"/>
    <d v="2034-07-09T00:00:00"/>
    <s v=""/>
    <x v="1"/>
    <x v="0"/>
  </r>
  <r>
    <n v="76659416746"/>
    <n v="128"/>
    <d v="2034-07-09T00:00:00"/>
    <s v=""/>
    <x v="1"/>
    <x v="0"/>
  </r>
  <r>
    <n v="16991618458"/>
    <n v="134"/>
    <d v="2034-07-09T00:00:00"/>
    <s v=""/>
    <x v="1"/>
    <x v="0"/>
  </r>
  <r>
    <n v="31012749168"/>
    <n v="176"/>
    <d v="2034-07-09T00:00:00"/>
    <d v="2034-08-12T00:00:00"/>
    <x v="1"/>
    <x v="4"/>
  </r>
  <r>
    <n v="64020627936"/>
    <n v="183"/>
    <d v="2034-07-09T00:00:00"/>
    <m/>
    <x v="1"/>
    <x v="0"/>
  </r>
  <r>
    <n v="26717890557"/>
    <n v="199"/>
    <d v="2034-07-09T00:00:00"/>
    <s v=""/>
    <x v="1"/>
    <x v="0"/>
  </r>
  <r>
    <n v="19910644693"/>
    <n v="223"/>
    <d v="2034-07-09T00:00:00"/>
    <s v=""/>
    <x v="1"/>
    <x v="0"/>
  </r>
  <r>
    <n v="32163862809"/>
    <n v="227"/>
    <d v="2034-07-09T00:00:00"/>
    <s v=""/>
    <x v="1"/>
    <x v="0"/>
  </r>
  <r>
    <n v="59813379210"/>
    <n v="252"/>
    <d v="2034-07-09T00:00:00"/>
    <d v="2034-07-31T00:00:00"/>
    <x v="1"/>
    <x v="2"/>
  </r>
  <r>
    <n v="63171219880"/>
    <n v="272"/>
    <d v="2034-07-09T00:00:00"/>
    <s v=""/>
    <x v="1"/>
    <x v="0"/>
  </r>
  <r>
    <n v="37360204114"/>
    <n v="309"/>
    <d v="2034-07-09T00:00:00"/>
    <s v=""/>
    <x v="1"/>
    <x v="0"/>
  </r>
  <r>
    <n v="65124752809"/>
    <n v="320"/>
    <d v="2034-07-09T00:00:00"/>
    <s v=""/>
    <x v="1"/>
    <x v="0"/>
  </r>
  <r>
    <n v="83052916050"/>
    <n v="330"/>
    <d v="2034-07-09T00:00:00"/>
    <s v=""/>
    <x v="1"/>
    <x v="0"/>
  </r>
  <r>
    <n v="87080665474"/>
    <n v="11"/>
    <d v="2034-07-10T00:00:00"/>
    <s v=""/>
    <x v="1"/>
    <x v="0"/>
  </r>
  <r>
    <n v="88012195650"/>
    <n v="12"/>
    <d v="2034-07-10T00:00:00"/>
    <s v=""/>
    <x v="1"/>
    <x v="0"/>
  </r>
  <r>
    <n v="57323006821"/>
    <n v="14"/>
    <d v="2034-07-10T00:00:00"/>
    <s v=""/>
    <x v="1"/>
    <x v="0"/>
  </r>
  <r>
    <n v="93063582676"/>
    <n v="23"/>
    <d v="2034-07-10T00:00:00"/>
    <s v=""/>
    <x v="1"/>
    <x v="0"/>
  </r>
  <r>
    <n v="28552881712"/>
    <n v="24"/>
    <d v="2034-07-10T00:00:00"/>
    <s v=""/>
    <x v="1"/>
    <x v="0"/>
  </r>
  <r>
    <n v="40370179477"/>
    <n v="25"/>
    <d v="2034-07-10T00:00:00"/>
    <s v=""/>
    <x v="1"/>
    <x v="0"/>
  </r>
  <r>
    <n v="60075197162"/>
    <n v="36"/>
    <d v="2034-07-10T00:00:00"/>
    <d v="2034-10-02T00:00:00"/>
    <x v="1"/>
    <x v="5"/>
  </r>
  <r>
    <n v="11980143407"/>
    <n v="45"/>
    <d v="2034-07-10T00:00:00"/>
    <d v="2034-07-16T00:00:00"/>
    <x v="1"/>
    <x v="2"/>
  </r>
  <r>
    <n v="84381747810"/>
    <n v="53"/>
    <d v="2034-07-10T00:00:00"/>
    <d v="2034-09-06T00:00:00"/>
    <x v="1"/>
    <x v="3"/>
  </r>
  <r>
    <n v="72485336065"/>
    <n v="66"/>
    <d v="2034-07-10T00:00:00"/>
    <s v=""/>
    <x v="1"/>
    <x v="0"/>
  </r>
  <r>
    <n v="87903203875"/>
    <n v="68"/>
    <d v="2034-07-10T00:00:00"/>
    <s v=""/>
    <x v="1"/>
    <x v="0"/>
  </r>
  <r>
    <n v="48556706223"/>
    <n v="72"/>
    <d v="2034-07-10T00:00:00"/>
    <s v=""/>
    <x v="1"/>
    <x v="0"/>
  </r>
  <r>
    <n v="89792875823"/>
    <n v="74"/>
    <d v="2034-07-10T00:00:00"/>
    <s v=""/>
    <x v="1"/>
    <x v="0"/>
  </r>
  <r>
    <n v="83001707157"/>
    <n v="79"/>
    <d v="2034-07-10T00:00:00"/>
    <s v=""/>
    <x v="1"/>
    <x v="0"/>
  </r>
  <r>
    <n v="48448930905"/>
    <n v="107"/>
    <d v="2034-07-10T00:00:00"/>
    <s v=""/>
    <x v="1"/>
    <x v="0"/>
  </r>
  <r>
    <n v="34042896504"/>
    <n v="113"/>
    <d v="2034-07-10T00:00:00"/>
    <m/>
    <x v="1"/>
    <x v="0"/>
  </r>
  <r>
    <n v="78522345818"/>
    <n v="128"/>
    <d v="2034-07-10T00:00:00"/>
    <m/>
    <x v="1"/>
    <x v="0"/>
  </r>
  <r>
    <n v="35138320951"/>
    <n v="136"/>
    <d v="2034-07-10T00:00:00"/>
    <m/>
    <x v="1"/>
    <x v="0"/>
  </r>
  <r>
    <n v="14672851719"/>
    <n v="138"/>
    <d v="2034-07-10T00:00:00"/>
    <s v=""/>
    <x v="1"/>
    <x v="0"/>
  </r>
  <r>
    <n v="65755303158"/>
    <n v="156"/>
    <d v="2034-07-10T00:00:00"/>
    <s v=""/>
    <x v="1"/>
    <x v="0"/>
  </r>
  <r>
    <n v="59797869205"/>
    <n v="157"/>
    <d v="2034-07-10T00:00:00"/>
    <s v=""/>
    <x v="1"/>
    <x v="0"/>
  </r>
  <r>
    <n v="48915576454"/>
    <n v="180"/>
    <d v="2034-07-10T00:00:00"/>
    <s v=""/>
    <x v="1"/>
    <x v="0"/>
  </r>
  <r>
    <n v="13246139023"/>
    <n v="184"/>
    <d v="2034-07-10T00:00:00"/>
    <m/>
    <x v="1"/>
    <x v="0"/>
  </r>
  <r>
    <n v="72131776398"/>
    <n v="195"/>
    <d v="2034-07-10T00:00:00"/>
    <d v="2034-09-15T00:00:00"/>
    <x v="1"/>
    <x v="3"/>
  </r>
  <r>
    <n v="95610002309"/>
    <n v="198"/>
    <d v="2034-07-10T00:00:00"/>
    <m/>
    <x v="1"/>
    <x v="0"/>
  </r>
  <r>
    <n v="84675239459"/>
    <n v="215"/>
    <d v="2034-07-10T00:00:00"/>
    <s v=""/>
    <x v="1"/>
    <x v="0"/>
  </r>
  <r>
    <n v="46620050714"/>
    <n v="216"/>
    <d v="2034-07-10T00:00:00"/>
    <s v=""/>
    <x v="1"/>
    <x v="0"/>
  </r>
  <r>
    <n v="26572627436"/>
    <n v="242"/>
    <d v="2034-07-10T00:00:00"/>
    <s v=""/>
    <x v="1"/>
    <x v="0"/>
  </r>
  <r>
    <n v="54657718696"/>
    <n v="249"/>
    <d v="2034-07-10T00:00:00"/>
    <s v=""/>
    <x v="1"/>
    <x v="0"/>
  </r>
  <r>
    <n v="25315104992"/>
    <n v="255"/>
    <d v="2034-07-10T00:00:00"/>
    <s v=""/>
    <x v="1"/>
    <x v="0"/>
  </r>
  <r>
    <n v="18780883885"/>
    <n v="259"/>
    <d v="2034-07-10T00:00:00"/>
    <m/>
    <x v="1"/>
    <x v="0"/>
  </r>
  <r>
    <n v="23984338823"/>
    <n v="269"/>
    <d v="2034-07-10T00:00:00"/>
    <s v=""/>
    <x v="1"/>
    <x v="0"/>
  </r>
  <r>
    <n v="93796056517"/>
    <n v="285"/>
    <d v="2034-07-10T00:00:00"/>
    <d v="2034-09-18T00:00:00"/>
    <x v="1"/>
    <x v="3"/>
  </r>
  <r>
    <n v="24979610495"/>
    <n v="291"/>
    <d v="2034-07-10T00:00:00"/>
    <d v="2034-10-13T00:00:00"/>
    <x v="1"/>
    <x v="5"/>
  </r>
  <r>
    <n v="95517205808"/>
    <n v="300"/>
    <d v="2034-07-10T00:00:00"/>
    <s v=""/>
    <x v="1"/>
    <x v="0"/>
  </r>
  <r>
    <n v="20117876658"/>
    <n v="305"/>
    <d v="2034-07-10T00:00:00"/>
    <s v=""/>
    <x v="1"/>
    <x v="0"/>
  </r>
  <r>
    <n v="69961058149"/>
    <n v="306"/>
    <d v="2034-07-10T00:00:00"/>
    <d v="2034-08-21T00:00:00"/>
    <x v="1"/>
    <x v="4"/>
  </r>
  <r>
    <n v="59553935654"/>
    <n v="306"/>
    <d v="2034-07-10T00:00:00"/>
    <s v=""/>
    <x v="1"/>
    <x v="0"/>
  </r>
  <r>
    <n v="58707168576"/>
    <n v="318"/>
    <d v="2034-07-10T00:00:00"/>
    <s v=""/>
    <x v="1"/>
    <x v="0"/>
  </r>
  <r>
    <n v="23112289245"/>
    <n v="333"/>
    <d v="2034-07-10T00:00:00"/>
    <d v="2034-09-10T00:00:00"/>
    <x v="1"/>
    <x v="3"/>
  </r>
  <r>
    <n v="70730692444"/>
    <n v="6"/>
    <d v="2034-07-11T00:00:00"/>
    <s v=""/>
    <x v="1"/>
    <x v="0"/>
  </r>
  <r>
    <n v="51941436149"/>
    <n v="15"/>
    <d v="2034-07-11T00:00:00"/>
    <m/>
    <x v="1"/>
    <x v="0"/>
  </r>
  <r>
    <n v="43867666363"/>
    <n v="25"/>
    <d v="2034-07-11T00:00:00"/>
    <s v=""/>
    <x v="1"/>
    <x v="0"/>
  </r>
  <r>
    <n v="13968201913"/>
    <n v="47"/>
    <d v="2034-07-11T00:00:00"/>
    <d v="2034-07-13T00:00:00"/>
    <x v="1"/>
    <x v="2"/>
  </r>
  <r>
    <n v="88546765967"/>
    <n v="55"/>
    <d v="2034-07-11T00:00:00"/>
    <s v=""/>
    <x v="1"/>
    <x v="0"/>
  </r>
  <r>
    <n v="11248075650"/>
    <n v="59"/>
    <d v="2034-07-11T00:00:00"/>
    <s v=""/>
    <x v="1"/>
    <x v="0"/>
  </r>
  <r>
    <n v="15007957644"/>
    <n v="69"/>
    <d v="2034-07-11T00:00:00"/>
    <m/>
    <x v="1"/>
    <x v="0"/>
  </r>
  <r>
    <n v="26951281581"/>
    <n v="71"/>
    <d v="2034-07-11T00:00:00"/>
    <d v="2034-11-04T00:00:00"/>
    <x v="1"/>
    <x v="6"/>
  </r>
  <r>
    <n v="14627174114"/>
    <n v="74"/>
    <d v="2034-07-11T00:00:00"/>
    <s v=""/>
    <x v="1"/>
    <x v="0"/>
  </r>
  <r>
    <n v="26810711389"/>
    <n v="74"/>
    <d v="2034-07-11T00:00:00"/>
    <s v=""/>
    <x v="1"/>
    <x v="0"/>
  </r>
  <r>
    <n v="60316369542"/>
    <n v="74"/>
    <d v="2034-07-11T00:00:00"/>
    <s v=""/>
    <x v="1"/>
    <x v="0"/>
  </r>
  <r>
    <n v="60352478421"/>
    <n v="82"/>
    <d v="2034-07-11T00:00:00"/>
    <s v=""/>
    <x v="1"/>
    <x v="0"/>
  </r>
  <r>
    <n v="47314041034"/>
    <n v="91"/>
    <d v="2034-07-11T00:00:00"/>
    <s v=""/>
    <x v="1"/>
    <x v="0"/>
  </r>
  <r>
    <n v="79424739746"/>
    <n v="98"/>
    <d v="2034-07-11T00:00:00"/>
    <s v=""/>
    <x v="1"/>
    <x v="0"/>
  </r>
  <r>
    <n v="14256185166"/>
    <n v="123"/>
    <d v="2034-07-11T00:00:00"/>
    <d v="2034-10-09T00:00:00"/>
    <x v="1"/>
    <x v="5"/>
  </r>
  <r>
    <n v="60266834925"/>
    <n v="125"/>
    <d v="2034-07-11T00:00:00"/>
    <d v="2034-09-29T00:00:00"/>
    <x v="1"/>
    <x v="3"/>
  </r>
  <r>
    <n v="18761583681"/>
    <n v="130"/>
    <d v="2034-07-11T00:00:00"/>
    <s v=""/>
    <x v="1"/>
    <x v="0"/>
  </r>
  <r>
    <n v="97018959655"/>
    <n v="133"/>
    <d v="2034-07-11T00:00:00"/>
    <d v="2034-08-27T00:00:00"/>
    <x v="1"/>
    <x v="4"/>
  </r>
  <r>
    <n v="83057201811"/>
    <n v="140"/>
    <d v="2034-07-11T00:00:00"/>
    <d v="2034-08-30T00:00:00"/>
    <x v="1"/>
    <x v="4"/>
  </r>
  <r>
    <n v="78894468515"/>
    <n v="147"/>
    <d v="2034-07-11T00:00:00"/>
    <s v=""/>
    <x v="1"/>
    <x v="0"/>
  </r>
  <r>
    <n v="33286256015"/>
    <n v="154"/>
    <d v="2034-07-11T00:00:00"/>
    <s v=""/>
    <x v="1"/>
    <x v="0"/>
  </r>
  <r>
    <n v="67085925516"/>
    <n v="193"/>
    <d v="2034-07-11T00:00:00"/>
    <s v=""/>
    <x v="1"/>
    <x v="0"/>
  </r>
  <r>
    <n v="24618484138"/>
    <n v="199"/>
    <d v="2034-07-11T00:00:00"/>
    <s v=""/>
    <x v="1"/>
    <x v="0"/>
  </r>
  <r>
    <n v="70141577788"/>
    <n v="203"/>
    <d v="2034-07-11T00:00:00"/>
    <s v=""/>
    <x v="1"/>
    <x v="0"/>
  </r>
  <r>
    <n v="59491007445"/>
    <n v="214"/>
    <d v="2034-07-11T00:00:00"/>
    <d v="2034-08-20T00:00:00"/>
    <x v="1"/>
    <x v="4"/>
  </r>
  <r>
    <n v="37545853067"/>
    <n v="224"/>
    <d v="2034-07-11T00:00:00"/>
    <s v=""/>
    <x v="1"/>
    <x v="0"/>
  </r>
  <r>
    <n v="39247218528"/>
    <n v="240"/>
    <d v="2034-07-11T00:00:00"/>
    <m/>
    <x v="1"/>
    <x v="0"/>
  </r>
  <r>
    <n v="23139658474"/>
    <n v="241"/>
    <d v="2034-07-11T00:00:00"/>
    <s v=""/>
    <x v="1"/>
    <x v="0"/>
  </r>
  <r>
    <n v="80316056267"/>
    <n v="249"/>
    <d v="2034-07-11T00:00:00"/>
    <s v=""/>
    <x v="1"/>
    <x v="0"/>
  </r>
  <r>
    <n v="48433728433"/>
    <n v="296"/>
    <d v="2034-07-11T00:00:00"/>
    <d v="2034-07-25T00:00:00"/>
    <x v="1"/>
    <x v="2"/>
  </r>
  <r>
    <n v="32241820591"/>
    <n v="302"/>
    <d v="2034-07-11T00:00:00"/>
    <m/>
    <x v="1"/>
    <x v="0"/>
  </r>
  <r>
    <n v="44783012488"/>
    <n v="310"/>
    <d v="2034-07-11T00:00:00"/>
    <s v=""/>
    <x v="1"/>
    <x v="0"/>
  </r>
  <r>
    <n v="11595234929"/>
    <n v="328"/>
    <d v="2034-07-11T00:00:00"/>
    <s v=""/>
    <x v="1"/>
    <x v="0"/>
  </r>
  <r>
    <n v="25645809151"/>
    <n v="4"/>
    <d v="2034-07-12T00:00:00"/>
    <s v=""/>
    <x v="1"/>
    <x v="0"/>
  </r>
  <r>
    <n v="86648289589"/>
    <n v="8"/>
    <d v="2034-07-12T00:00:00"/>
    <s v=""/>
    <x v="1"/>
    <x v="0"/>
  </r>
  <r>
    <n v="28194385980"/>
    <n v="11"/>
    <d v="2034-07-12T00:00:00"/>
    <s v=""/>
    <x v="1"/>
    <x v="0"/>
  </r>
  <r>
    <n v="65501609538"/>
    <n v="14"/>
    <d v="2034-07-12T00:00:00"/>
    <s v=""/>
    <x v="1"/>
    <x v="0"/>
  </r>
  <r>
    <n v="63660981762"/>
    <n v="54"/>
    <d v="2034-07-12T00:00:00"/>
    <d v="2034-10-19T00:00:00"/>
    <x v="1"/>
    <x v="5"/>
  </r>
  <r>
    <n v="20326204269"/>
    <n v="81"/>
    <d v="2034-07-12T00:00:00"/>
    <d v="2034-08-17T00:00:00"/>
    <x v="1"/>
    <x v="4"/>
  </r>
  <r>
    <n v="33469621915"/>
    <n v="101"/>
    <d v="2034-07-12T00:00:00"/>
    <s v=""/>
    <x v="1"/>
    <x v="0"/>
  </r>
  <r>
    <n v="82186420348"/>
    <n v="126"/>
    <d v="2034-07-12T00:00:00"/>
    <s v=""/>
    <x v="1"/>
    <x v="0"/>
  </r>
  <r>
    <n v="37942198183"/>
    <n v="149"/>
    <d v="2034-07-12T00:00:00"/>
    <m/>
    <x v="1"/>
    <x v="0"/>
  </r>
  <r>
    <n v="49534039674"/>
    <n v="163"/>
    <d v="2034-07-12T00:00:00"/>
    <s v=""/>
    <x v="1"/>
    <x v="0"/>
  </r>
  <r>
    <n v="43090428248"/>
    <n v="169"/>
    <d v="2034-07-12T00:00:00"/>
    <s v=""/>
    <x v="1"/>
    <x v="0"/>
  </r>
  <r>
    <n v="99905380883"/>
    <n v="175"/>
    <d v="2034-07-12T00:00:00"/>
    <d v="2034-11-09T00:00:00"/>
    <x v="1"/>
    <x v="6"/>
  </r>
  <r>
    <n v="26337687448"/>
    <n v="182"/>
    <d v="2034-07-12T00:00:00"/>
    <d v="2034-09-15T00:00:00"/>
    <x v="1"/>
    <x v="3"/>
  </r>
  <r>
    <n v="22057594435"/>
    <n v="187"/>
    <d v="2034-07-12T00:00:00"/>
    <m/>
    <x v="1"/>
    <x v="0"/>
  </r>
  <r>
    <n v="78109183660"/>
    <n v="203"/>
    <d v="2034-07-12T00:00:00"/>
    <d v="2034-07-20T00:00:00"/>
    <x v="1"/>
    <x v="2"/>
  </r>
  <r>
    <n v="49824519645"/>
    <n v="220"/>
    <d v="2034-07-12T00:00:00"/>
    <d v="2034-10-15T00:00:00"/>
    <x v="1"/>
    <x v="5"/>
  </r>
  <r>
    <n v="41023751976"/>
    <n v="263"/>
    <d v="2034-07-12T00:00:00"/>
    <d v="2034-11-03T00:00:00"/>
    <x v="1"/>
    <x v="6"/>
  </r>
  <r>
    <n v="48892846770"/>
    <n v="275"/>
    <d v="2034-07-12T00:00:00"/>
    <d v="2034-07-30T00:00:00"/>
    <x v="1"/>
    <x v="2"/>
  </r>
  <r>
    <n v="59048018032"/>
    <n v="277"/>
    <d v="2034-07-12T00:00:00"/>
    <d v="2034-09-24T00:00:00"/>
    <x v="1"/>
    <x v="3"/>
  </r>
  <r>
    <n v="44096878950"/>
    <n v="290"/>
    <d v="2034-07-12T00:00:00"/>
    <s v=""/>
    <x v="1"/>
    <x v="0"/>
  </r>
  <r>
    <n v="23746024566"/>
    <n v="300"/>
    <d v="2034-07-12T00:00:00"/>
    <s v=""/>
    <x v="1"/>
    <x v="0"/>
  </r>
  <r>
    <n v="64745071151"/>
    <n v="305"/>
    <d v="2034-07-12T00:00:00"/>
    <s v=""/>
    <x v="1"/>
    <x v="0"/>
  </r>
  <r>
    <n v="95852057690"/>
    <n v="309"/>
    <d v="2034-07-12T00:00:00"/>
    <s v=""/>
    <x v="1"/>
    <x v="0"/>
  </r>
  <r>
    <n v="98622328984"/>
    <n v="323"/>
    <d v="2034-07-12T00:00:00"/>
    <s v=""/>
    <x v="1"/>
    <x v="0"/>
  </r>
  <r>
    <n v="33918368800"/>
    <n v="0"/>
    <d v="2034-07-13T00:00:00"/>
    <s v=""/>
    <x v="1"/>
    <x v="0"/>
  </r>
  <r>
    <n v="19244668817"/>
    <n v="10"/>
    <d v="2034-07-13T00:00:00"/>
    <d v="2034-11-01T00:00:00"/>
    <x v="1"/>
    <x v="6"/>
  </r>
  <r>
    <n v="48718455651"/>
    <n v="11"/>
    <d v="2034-07-13T00:00:00"/>
    <m/>
    <x v="1"/>
    <x v="0"/>
  </r>
  <r>
    <n v="23740748270"/>
    <n v="11"/>
    <d v="2034-07-13T00:00:00"/>
    <s v=""/>
    <x v="1"/>
    <x v="0"/>
  </r>
  <r>
    <n v="50556398438"/>
    <n v="19"/>
    <d v="2034-07-13T00:00:00"/>
    <d v="2034-10-30T00:00:00"/>
    <x v="1"/>
    <x v="5"/>
  </r>
  <r>
    <n v="30207722157"/>
    <n v="21"/>
    <d v="2034-07-13T00:00:00"/>
    <s v=""/>
    <x v="1"/>
    <x v="0"/>
  </r>
  <r>
    <n v="46098534373"/>
    <n v="23"/>
    <d v="2034-07-13T00:00:00"/>
    <s v=""/>
    <x v="1"/>
    <x v="0"/>
  </r>
  <r>
    <n v="91767966589"/>
    <n v="44"/>
    <d v="2034-07-13T00:00:00"/>
    <s v=""/>
    <x v="1"/>
    <x v="0"/>
  </r>
  <r>
    <n v="32773491528"/>
    <n v="114"/>
    <d v="2034-07-13T00:00:00"/>
    <d v="2034-08-01T00:00:00"/>
    <x v="1"/>
    <x v="4"/>
  </r>
  <r>
    <n v="87699070762"/>
    <n v="129"/>
    <d v="2034-07-13T00:00:00"/>
    <s v=""/>
    <x v="1"/>
    <x v="0"/>
  </r>
  <r>
    <n v="99388514355"/>
    <n v="147"/>
    <d v="2034-07-13T00:00:00"/>
    <m/>
    <x v="1"/>
    <x v="0"/>
  </r>
  <r>
    <n v="92067624597"/>
    <n v="149"/>
    <d v="2034-07-13T00:00:00"/>
    <s v=""/>
    <x v="1"/>
    <x v="0"/>
  </r>
  <r>
    <n v="80507228799"/>
    <n v="154"/>
    <d v="2034-07-13T00:00:00"/>
    <s v=""/>
    <x v="1"/>
    <x v="0"/>
  </r>
  <r>
    <n v="47182300718"/>
    <n v="159"/>
    <d v="2034-07-13T00:00:00"/>
    <s v=""/>
    <x v="1"/>
    <x v="0"/>
  </r>
  <r>
    <n v="99563380288"/>
    <n v="191"/>
    <d v="2034-07-13T00:00:00"/>
    <s v=""/>
    <x v="1"/>
    <x v="0"/>
  </r>
  <r>
    <n v="55687455763"/>
    <n v="204"/>
    <d v="2034-07-13T00:00:00"/>
    <s v=""/>
    <x v="1"/>
    <x v="0"/>
  </r>
  <r>
    <n v="56848451832"/>
    <n v="222"/>
    <d v="2034-07-13T00:00:00"/>
    <d v="2034-08-31T00:00:00"/>
    <x v="1"/>
    <x v="4"/>
  </r>
  <r>
    <n v="78063973885"/>
    <n v="228"/>
    <d v="2034-07-13T00:00:00"/>
    <m/>
    <x v="1"/>
    <x v="0"/>
  </r>
  <r>
    <n v="36397590668"/>
    <n v="256"/>
    <d v="2034-07-13T00:00:00"/>
    <d v="2034-08-18T00:00:00"/>
    <x v="1"/>
    <x v="4"/>
  </r>
  <r>
    <n v="41031825787"/>
    <n v="264"/>
    <d v="2034-07-13T00:00:00"/>
    <s v=""/>
    <x v="1"/>
    <x v="0"/>
  </r>
  <r>
    <n v="23404051452"/>
    <n v="268"/>
    <d v="2034-07-13T00:00:00"/>
    <s v=""/>
    <x v="1"/>
    <x v="0"/>
  </r>
  <r>
    <n v="30262953212"/>
    <n v="284"/>
    <d v="2034-07-13T00:00:00"/>
    <s v=""/>
    <x v="1"/>
    <x v="0"/>
  </r>
  <r>
    <n v="87238853788"/>
    <n v="43"/>
    <d v="2034-07-14T00:00:00"/>
    <s v=""/>
    <x v="1"/>
    <x v="0"/>
  </r>
  <r>
    <n v="15152467408"/>
    <n v="43"/>
    <d v="2034-07-14T00:00:00"/>
    <s v=""/>
    <x v="1"/>
    <x v="0"/>
  </r>
  <r>
    <n v="74206201903"/>
    <n v="57"/>
    <d v="2034-07-14T00:00:00"/>
    <s v=""/>
    <x v="1"/>
    <x v="0"/>
  </r>
  <r>
    <n v="99404335018"/>
    <n v="58"/>
    <d v="2034-07-14T00:00:00"/>
    <s v=""/>
    <x v="1"/>
    <x v="0"/>
  </r>
  <r>
    <n v="32889615625"/>
    <n v="92"/>
    <d v="2034-07-14T00:00:00"/>
    <s v=""/>
    <x v="1"/>
    <x v="0"/>
  </r>
  <r>
    <n v="24585006657"/>
    <n v="101"/>
    <d v="2034-07-14T00:00:00"/>
    <s v=""/>
    <x v="1"/>
    <x v="0"/>
  </r>
  <r>
    <n v="55822806203"/>
    <n v="116"/>
    <d v="2034-07-14T00:00:00"/>
    <s v=""/>
    <x v="1"/>
    <x v="0"/>
  </r>
  <r>
    <n v="20676225210"/>
    <n v="118"/>
    <d v="2034-07-14T00:00:00"/>
    <s v=""/>
    <x v="1"/>
    <x v="0"/>
  </r>
  <r>
    <n v="84920602697"/>
    <n v="128"/>
    <d v="2034-07-14T00:00:00"/>
    <s v=""/>
    <x v="1"/>
    <x v="0"/>
  </r>
  <r>
    <n v="34978500144"/>
    <n v="139"/>
    <d v="2034-07-14T00:00:00"/>
    <s v=""/>
    <x v="1"/>
    <x v="0"/>
  </r>
  <r>
    <n v="80507755554"/>
    <n v="142"/>
    <d v="2034-07-14T00:00:00"/>
    <d v="2034-09-30T00:00:00"/>
    <x v="1"/>
    <x v="3"/>
  </r>
  <r>
    <n v="57695134194"/>
    <n v="171"/>
    <d v="2034-07-14T00:00:00"/>
    <s v=""/>
    <x v="1"/>
    <x v="0"/>
  </r>
  <r>
    <n v="63932830491"/>
    <n v="180"/>
    <d v="2034-07-14T00:00:00"/>
    <s v=""/>
    <x v="1"/>
    <x v="0"/>
  </r>
  <r>
    <n v="39096817197"/>
    <n v="222"/>
    <d v="2034-07-14T00:00:00"/>
    <m/>
    <x v="1"/>
    <x v="0"/>
  </r>
  <r>
    <n v="80305691069"/>
    <n v="227"/>
    <d v="2034-07-14T00:00:00"/>
    <s v=""/>
    <x v="1"/>
    <x v="0"/>
  </r>
  <r>
    <n v="40227431114"/>
    <n v="234"/>
    <d v="2034-07-14T00:00:00"/>
    <s v=""/>
    <x v="1"/>
    <x v="0"/>
  </r>
  <r>
    <n v="17626365760"/>
    <n v="241"/>
    <d v="2034-07-14T00:00:00"/>
    <s v=""/>
    <x v="1"/>
    <x v="0"/>
  </r>
  <r>
    <n v="72844953989"/>
    <n v="245"/>
    <d v="2034-07-14T00:00:00"/>
    <s v=""/>
    <x v="1"/>
    <x v="0"/>
  </r>
  <r>
    <n v="22782407817"/>
    <n v="253"/>
    <d v="2034-07-14T00:00:00"/>
    <s v=""/>
    <x v="1"/>
    <x v="0"/>
  </r>
  <r>
    <n v="49507996609"/>
    <n v="278"/>
    <d v="2034-07-14T00:00:00"/>
    <s v=""/>
    <x v="1"/>
    <x v="0"/>
  </r>
  <r>
    <n v="89335413200"/>
    <n v="299"/>
    <d v="2034-07-14T00:00:00"/>
    <s v=""/>
    <x v="1"/>
    <x v="0"/>
  </r>
  <r>
    <n v="65415617313"/>
    <n v="320"/>
    <d v="2034-07-14T00:00:00"/>
    <m/>
    <x v="1"/>
    <x v="0"/>
  </r>
  <r>
    <n v="21532015388"/>
    <n v="6"/>
    <d v="2034-07-15T00:00:00"/>
    <d v="2034-10-01T00:00:00"/>
    <x v="1"/>
    <x v="5"/>
  </r>
  <r>
    <n v="96257260880"/>
    <n v="17"/>
    <d v="2034-07-15T00:00:00"/>
    <d v="2034-09-23T00:00:00"/>
    <x v="1"/>
    <x v="3"/>
  </r>
  <r>
    <n v="83050794368"/>
    <n v="40"/>
    <d v="2034-07-15T00:00:00"/>
    <s v=""/>
    <x v="1"/>
    <x v="0"/>
  </r>
  <r>
    <n v="90485595579"/>
    <n v="40"/>
    <d v="2034-07-15T00:00:00"/>
    <d v="2034-09-11T00:00:00"/>
    <x v="1"/>
    <x v="3"/>
  </r>
  <r>
    <n v="62556653783"/>
    <n v="56"/>
    <d v="2034-07-15T00:00:00"/>
    <s v=""/>
    <x v="1"/>
    <x v="0"/>
  </r>
  <r>
    <n v="45532981311"/>
    <n v="74"/>
    <d v="2034-07-15T00:00:00"/>
    <s v=""/>
    <x v="1"/>
    <x v="0"/>
  </r>
  <r>
    <n v="31296810837"/>
    <n v="98"/>
    <d v="2034-07-15T00:00:00"/>
    <s v=""/>
    <x v="1"/>
    <x v="0"/>
  </r>
  <r>
    <n v="33540266131"/>
    <n v="110"/>
    <d v="2034-07-15T00:00:00"/>
    <s v=""/>
    <x v="1"/>
    <x v="0"/>
  </r>
  <r>
    <n v="27353863560"/>
    <n v="118"/>
    <d v="2034-07-15T00:00:00"/>
    <s v=""/>
    <x v="1"/>
    <x v="0"/>
  </r>
  <r>
    <n v="39343133426"/>
    <n v="158"/>
    <d v="2034-07-15T00:00:00"/>
    <s v=""/>
    <x v="1"/>
    <x v="0"/>
  </r>
  <r>
    <n v="97866428304"/>
    <n v="160"/>
    <d v="2034-07-15T00:00:00"/>
    <d v="2034-10-09T00:00:00"/>
    <x v="1"/>
    <x v="5"/>
  </r>
  <r>
    <n v="34074858218"/>
    <n v="182"/>
    <d v="2034-07-15T00:00:00"/>
    <d v="2034-10-13T00:00:00"/>
    <x v="1"/>
    <x v="5"/>
  </r>
  <r>
    <n v="19651343968"/>
    <n v="208"/>
    <d v="2034-07-15T00:00:00"/>
    <s v=""/>
    <x v="1"/>
    <x v="0"/>
  </r>
  <r>
    <n v="76972268872"/>
    <n v="220"/>
    <d v="2034-07-15T00:00:00"/>
    <d v="2034-08-26T00:00:00"/>
    <x v="1"/>
    <x v="4"/>
  </r>
  <r>
    <n v="41780044781"/>
    <n v="237"/>
    <d v="2034-07-15T00:00:00"/>
    <s v=""/>
    <x v="1"/>
    <x v="0"/>
  </r>
  <r>
    <n v="59926104611"/>
    <n v="239"/>
    <d v="2034-07-15T00:00:00"/>
    <s v=""/>
    <x v="1"/>
    <x v="0"/>
  </r>
  <r>
    <n v="67136855235"/>
    <n v="243"/>
    <d v="2034-07-15T00:00:00"/>
    <m/>
    <x v="1"/>
    <x v="0"/>
  </r>
  <r>
    <n v="93392742986"/>
    <n v="260"/>
    <d v="2034-07-15T00:00:00"/>
    <s v=""/>
    <x v="1"/>
    <x v="0"/>
  </r>
  <r>
    <n v="86731980137"/>
    <n v="261"/>
    <d v="2034-07-15T00:00:00"/>
    <s v=""/>
    <x v="1"/>
    <x v="0"/>
  </r>
  <r>
    <n v="68876487019"/>
    <n v="277"/>
    <d v="2034-07-15T00:00:00"/>
    <s v=""/>
    <x v="1"/>
    <x v="0"/>
  </r>
  <r>
    <n v="23866123351"/>
    <n v="281"/>
    <d v="2034-07-15T00:00:00"/>
    <d v="2034-11-02T00:00:00"/>
    <x v="1"/>
    <x v="6"/>
  </r>
  <r>
    <n v="76327385799"/>
    <n v="284"/>
    <d v="2034-07-15T00:00:00"/>
    <s v=""/>
    <x v="1"/>
    <x v="0"/>
  </r>
  <r>
    <n v="78298287198"/>
    <n v="284"/>
    <d v="2034-07-15T00:00:00"/>
    <s v=""/>
    <x v="1"/>
    <x v="0"/>
  </r>
  <r>
    <n v="75511643545"/>
    <n v="297"/>
    <d v="2034-07-15T00:00:00"/>
    <s v=""/>
    <x v="1"/>
    <x v="0"/>
  </r>
  <r>
    <n v="36155346799"/>
    <n v="306"/>
    <d v="2034-07-15T00:00:00"/>
    <s v=""/>
    <x v="1"/>
    <x v="0"/>
  </r>
  <r>
    <n v="86914069128"/>
    <n v="316"/>
    <d v="2034-07-15T00:00:00"/>
    <s v=""/>
    <x v="1"/>
    <x v="0"/>
  </r>
  <r>
    <n v="37797819762"/>
    <n v="321"/>
    <d v="2034-07-15T00:00:00"/>
    <d v="2034-10-11T00:00:00"/>
    <x v="1"/>
    <x v="5"/>
  </r>
  <r>
    <n v="91763568997"/>
    <n v="324"/>
    <d v="2034-07-15T00:00:00"/>
    <s v=""/>
    <x v="1"/>
    <x v="0"/>
  </r>
  <r>
    <n v="13251507138"/>
    <n v="328"/>
    <d v="2034-07-15T00:00:00"/>
    <m/>
    <x v="1"/>
    <x v="0"/>
  </r>
  <r>
    <n v="59679660356"/>
    <n v="10"/>
    <d v="2034-07-16T00:00:00"/>
    <d v="2034-09-17T00:00:00"/>
    <x v="1"/>
    <x v="3"/>
  </r>
  <r>
    <n v="77098245858"/>
    <n v="11"/>
    <d v="2034-07-16T00:00:00"/>
    <s v=""/>
    <x v="1"/>
    <x v="0"/>
  </r>
  <r>
    <n v="51868754408"/>
    <n v="56"/>
    <d v="2034-07-16T00:00:00"/>
    <m/>
    <x v="1"/>
    <x v="0"/>
  </r>
  <r>
    <n v="43960292501"/>
    <n v="60"/>
    <d v="2034-07-16T00:00:00"/>
    <s v=""/>
    <x v="1"/>
    <x v="0"/>
  </r>
  <r>
    <n v="37297082805"/>
    <n v="64"/>
    <d v="2034-07-16T00:00:00"/>
    <m/>
    <x v="1"/>
    <x v="0"/>
  </r>
  <r>
    <n v="52967193206"/>
    <n v="87"/>
    <d v="2034-07-16T00:00:00"/>
    <s v=""/>
    <x v="1"/>
    <x v="0"/>
  </r>
  <r>
    <n v="27868433723"/>
    <n v="95"/>
    <d v="2034-07-16T00:00:00"/>
    <m/>
    <x v="1"/>
    <x v="0"/>
  </r>
  <r>
    <n v="29294769958"/>
    <n v="101"/>
    <d v="2034-07-16T00:00:00"/>
    <s v=""/>
    <x v="1"/>
    <x v="0"/>
  </r>
  <r>
    <n v="31339743208"/>
    <n v="119"/>
    <d v="2034-07-16T00:00:00"/>
    <s v=""/>
    <x v="1"/>
    <x v="0"/>
  </r>
  <r>
    <n v="96629488227"/>
    <n v="154"/>
    <d v="2034-07-16T00:00:00"/>
    <s v=""/>
    <x v="1"/>
    <x v="0"/>
  </r>
  <r>
    <n v="23087911259"/>
    <n v="155"/>
    <d v="2034-07-16T00:00:00"/>
    <d v="2034-07-16T00:00:00"/>
    <x v="1"/>
    <x v="2"/>
  </r>
  <r>
    <n v="79916678114"/>
    <n v="193"/>
    <d v="2034-07-16T00:00:00"/>
    <m/>
    <x v="1"/>
    <x v="0"/>
  </r>
  <r>
    <n v="49736387177"/>
    <n v="238"/>
    <d v="2034-07-16T00:00:00"/>
    <s v=""/>
    <x v="1"/>
    <x v="0"/>
  </r>
  <r>
    <n v="69240000846"/>
    <n v="246"/>
    <d v="2034-07-16T00:00:00"/>
    <s v=""/>
    <x v="1"/>
    <x v="0"/>
  </r>
  <r>
    <n v="87566302748"/>
    <n v="256"/>
    <d v="2034-07-16T00:00:00"/>
    <s v=""/>
    <x v="1"/>
    <x v="0"/>
  </r>
  <r>
    <n v="65836938941"/>
    <n v="258"/>
    <d v="2034-07-16T00:00:00"/>
    <s v=""/>
    <x v="1"/>
    <x v="0"/>
  </r>
  <r>
    <n v="41627495299"/>
    <n v="276"/>
    <d v="2034-07-16T00:00:00"/>
    <s v=""/>
    <x v="1"/>
    <x v="0"/>
  </r>
  <r>
    <n v="12226974826"/>
    <n v="276"/>
    <d v="2034-07-16T00:00:00"/>
    <s v=""/>
    <x v="1"/>
    <x v="0"/>
  </r>
  <r>
    <n v="81390419388"/>
    <n v="280"/>
    <d v="2034-07-16T00:00:00"/>
    <s v=""/>
    <x v="1"/>
    <x v="0"/>
  </r>
  <r>
    <n v="93641081019"/>
    <n v="320"/>
    <d v="2034-07-16T00:00:00"/>
    <s v=""/>
    <x v="1"/>
    <x v="0"/>
  </r>
  <r>
    <n v="27070429593"/>
    <n v="336"/>
    <d v="2034-07-16T00:00:00"/>
    <d v="2034-10-17T00:00:00"/>
    <x v="1"/>
    <x v="5"/>
  </r>
  <r>
    <n v="91402114623"/>
    <n v="339"/>
    <d v="2034-07-16T00:00:00"/>
    <d v="2034-08-29T00:00:00"/>
    <x v="1"/>
    <x v="4"/>
  </r>
  <r>
    <n v="77775797473"/>
    <n v="340"/>
    <d v="2034-07-16T00:00:00"/>
    <d v="2034-07-23T00:00:00"/>
    <x v="1"/>
    <x v="2"/>
  </r>
  <r>
    <n v="89948959945"/>
    <n v="4"/>
    <d v="2034-07-17T00:00:00"/>
    <s v=""/>
    <x v="1"/>
    <x v="0"/>
  </r>
  <r>
    <n v="18419780593"/>
    <n v="5"/>
    <d v="2034-07-17T00:00:00"/>
    <s v=""/>
    <x v="1"/>
    <x v="0"/>
  </r>
  <r>
    <n v="78556523873"/>
    <n v="16"/>
    <d v="2034-07-17T00:00:00"/>
    <s v=""/>
    <x v="1"/>
    <x v="0"/>
  </r>
  <r>
    <n v="86491534434"/>
    <n v="17"/>
    <d v="2034-07-17T00:00:00"/>
    <s v=""/>
    <x v="1"/>
    <x v="0"/>
  </r>
  <r>
    <n v="68849619365"/>
    <n v="29"/>
    <d v="2034-07-17T00:00:00"/>
    <s v=""/>
    <x v="1"/>
    <x v="0"/>
  </r>
  <r>
    <n v="35773615334"/>
    <n v="37"/>
    <d v="2034-07-17T00:00:00"/>
    <s v=""/>
    <x v="1"/>
    <x v="0"/>
  </r>
  <r>
    <n v="66095559872"/>
    <n v="44"/>
    <d v="2034-07-17T00:00:00"/>
    <d v="2034-09-28T00:00:00"/>
    <x v="1"/>
    <x v="3"/>
  </r>
  <r>
    <n v="64402787526"/>
    <n v="55"/>
    <d v="2034-07-17T00:00:00"/>
    <s v=""/>
    <x v="1"/>
    <x v="0"/>
  </r>
  <r>
    <n v="18118120652"/>
    <n v="79"/>
    <d v="2034-07-17T00:00:00"/>
    <s v=""/>
    <x v="1"/>
    <x v="0"/>
  </r>
  <r>
    <n v="18818370414"/>
    <n v="104"/>
    <d v="2034-07-17T00:00:00"/>
    <d v="2034-09-30T00:00:00"/>
    <x v="1"/>
    <x v="3"/>
  </r>
  <r>
    <n v="24895543311"/>
    <n v="158"/>
    <d v="2034-07-17T00:00:00"/>
    <s v=""/>
    <x v="1"/>
    <x v="0"/>
  </r>
  <r>
    <n v="67145834979"/>
    <n v="161"/>
    <d v="2034-07-17T00:00:00"/>
    <s v=""/>
    <x v="1"/>
    <x v="0"/>
  </r>
  <r>
    <n v="97598088690"/>
    <n v="166"/>
    <d v="2034-07-17T00:00:00"/>
    <m/>
    <x v="1"/>
    <x v="0"/>
  </r>
  <r>
    <n v="41730712328"/>
    <n v="168"/>
    <d v="2034-07-17T00:00:00"/>
    <s v=""/>
    <x v="1"/>
    <x v="0"/>
  </r>
  <r>
    <n v="41566118487"/>
    <n v="204"/>
    <d v="2034-07-17T00:00:00"/>
    <s v=""/>
    <x v="1"/>
    <x v="0"/>
  </r>
  <r>
    <n v="54127669903"/>
    <n v="206"/>
    <d v="2034-07-17T00:00:00"/>
    <d v="2034-08-23T00:00:00"/>
    <x v="1"/>
    <x v="4"/>
  </r>
  <r>
    <n v="54823011639"/>
    <n v="238"/>
    <d v="2034-07-17T00:00:00"/>
    <s v=""/>
    <x v="1"/>
    <x v="0"/>
  </r>
  <r>
    <n v="11332647580"/>
    <n v="246"/>
    <d v="2034-07-17T00:00:00"/>
    <s v=""/>
    <x v="1"/>
    <x v="0"/>
  </r>
  <r>
    <n v="92897131872"/>
    <n v="325"/>
    <d v="2034-07-17T00:00:00"/>
    <s v=""/>
    <x v="1"/>
    <x v="0"/>
  </r>
  <r>
    <n v="41492926595"/>
    <n v="9"/>
    <d v="2034-07-18T00:00:00"/>
    <s v=""/>
    <x v="1"/>
    <x v="0"/>
  </r>
  <r>
    <n v="25987726536"/>
    <n v="23"/>
    <d v="2034-07-18T00:00:00"/>
    <s v=""/>
    <x v="1"/>
    <x v="0"/>
  </r>
  <r>
    <n v="91381772114"/>
    <n v="39"/>
    <d v="2034-07-18T00:00:00"/>
    <s v=""/>
    <x v="1"/>
    <x v="0"/>
  </r>
  <r>
    <n v="84862140722"/>
    <n v="59"/>
    <d v="2034-07-18T00:00:00"/>
    <s v=""/>
    <x v="1"/>
    <x v="0"/>
  </r>
  <r>
    <n v="74523023374"/>
    <n v="64"/>
    <d v="2034-07-18T00:00:00"/>
    <s v=""/>
    <x v="1"/>
    <x v="0"/>
  </r>
  <r>
    <n v="67178614084"/>
    <n v="78"/>
    <d v="2034-07-18T00:00:00"/>
    <s v=""/>
    <x v="1"/>
    <x v="0"/>
  </r>
  <r>
    <n v="20107921325"/>
    <n v="89"/>
    <d v="2034-07-18T00:00:00"/>
    <d v="2034-09-29T00:00:00"/>
    <x v="1"/>
    <x v="3"/>
  </r>
  <r>
    <n v="49636765561"/>
    <n v="112"/>
    <d v="2034-07-18T00:00:00"/>
    <s v=""/>
    <x v="1"/>
    <x v="0"/>
  </r>
  <r>
    <n v="34866835999"/>
    <n v="126"/>
    <d v="2034-07-18T00:00:00"/>
    <s v=""/>
    <x v="1"/>
    <x v="0"/>
  </r>
  <r>
    <n v="14741907808"/>
    <n v="159"/>
    <d v="2034-07-18T00:00:00"/>
    <s v=""/>
    <x v="1"/>
    <x v="0"/>
  </r>
  <r>
    <n v="15642272260"/>
    <n v="161"/>
    <d v="2034-07-18T00:00:00"/>
    <s v=""/>
    <x v="1"/>
    <x v="0"/>
  </r>
  <r>
    <n v="45952913351"/>
    <n v="163"/>
    <d v="2034-07-18T00:00:00"/>
    <s v=""/>
    <x v="1"/>
    <x v="0"/>
  </r>
  <r>
    <n v="43667098795"/>
    <n v="189"/>
    <d v="2034-07-18T00:00:00"/>
    <s v=""/>
    <x v="1"/>
    <x v="0"/>
  </r>
  <r>
    <n v="69803614849"/>
    <n v="202"/>
    <d v="2034-07-18T00:00:00"/>
    <s v=""/>
    <x v="1"/>
    <x v="0"/>
  </r>
  <r>
    <n v="43308705381"/>
    <n v="215"/>
    <d v="2034-07-18T00:00:00"/>
    <d v="2034-10-16T00:00:00"/>
    <x v="1"/>
    <x v="5"/>
  </r>
  <r>
    <n v="19023878318"/>
    <n v="230"/>
    <d v="2034-07-18T00:00:00"/>
    <d v="2034-09-11T00:00:00"/>
    <x v="1"/>
    <x v="3"/>
  </r>
  <r>
    <n v="72359450513"/>
    <n v="233"/>
    <d v="2034-07-18T00:00:00"/>
    <s v=""/>
    <x v="1"/>
    <x v="0"/>
  </r>
  <r>
    <n v="13288697228"/>
    <n v="244"/>
    <d v="2034-07-18T00:00:00"/>
    <s v=""/>
    <x v="1"/>
    <x v="0"/>
  </r>
  <r>
    <n v="70341557676"/>
    <n v="245"/>
    <d v="2034-07-18T00:00:00"/>
    <s v=""/>
    <x v="1"/>
    <x v="0"/>
  </r>
  <r>
    <n v="13249654769"/>
    <n v="248"/>
    <d v="2034-07-18T00:00:00"/>
    <s v=""/>
    <x v="1"/>
    <x v="0"/>
  </r>
  <r>
    <n v="33446849377"/>
    <n v="255"/>
    <d v="2034-07-18T00:00:00"/>
    <s v=""/>
    <x v="1"/>
    <x v="0"/>
  </r>
  <r>
    <n v="93119955349"/>
    <n v="273"/>
    <d v="2034-07-18T00:00:00"/>
    <m/>
    <x v="1"/>
    <x v="0"/>
  </r>
  <r>
    <n v="65126626404"/>
    <n v="302"/>
    <d v="2034-07-18T00:00:00"/>
    <s v=""/>
    <x v="1"/>
    <x v="0"/>
  </r>
  <r>
    <n v="31946707156"/>
    <n v="303"/>
    <d v="2034-07-18T00:00:00"/>
    <s v=""/>
    <x v="1"/>
    <x v="0"/>
  </r>
  <r>
    <n v="46958649124"/>
    <n v="314"/>
    <d v="2034-07-18T00:00:00"/>
    <s v=""/>
    <x v="1"/>
    <x v="0"/>
  </r>
  <r>
    <n v="71388120390"/>
    <n v="340"/>
    <d v="2034-07-18T00:00:00"/>
    <s v=""/>
    <x v="1"/>
    <x v="0"/>
  </r>
  <r>
    <n v="78597313905"/>
    <n v="27"/>
    <d v="2034-07-19T00:00:00"/>
    <s v=""/>
    <x v="1"/>
    <x v="0"/>
  </r>
  <r>
    <n v="46077662104"/>
    <n v="34"/>
    <d v="2034-07-19T00:00:00"/>
    <m/>
    <x v="1"/>
    <x v="0"/>
  </r>
  <r>
    <n v="50085905188"/>
    <n v="38"/>
    <d v="2034-07-19T00:00:00"/>
    <s v=""/>
    <x v="1"/>
    <x v="0"/>
  </r>
  <r>
    <n v="32659350184"/>
    <n v="70"/>
    <d v="2034-07-19T00:00:00"/>
    <s v=""/>
    <x v="1"/>
    <x v="0"/>
  </r>
  <r>
    <n v="42249078819"/>
    <n v="71"/>
    <d v="2034-07-19T00:00:00"/>
    <d v="2034-10-30T00:00:00"/>
    <x v="1"/>
    <x v="5"/>
  </r>
  <r>
    <n v="63514927072"/>
    <n v="75"/>
    <d v="2034-07-19T00:00:00"/>
    <m/>
    <x v="1"/>
    <x v="0"/>
  </r>
  <r>
    <n v="43909521820"/>
    <n v="77"/>
    <d v="2034-07-19T00:00:00"/>
    <s v=""/>
    <x v="1"/>
    <x v="0"/>
  </r>
  <r>
    <n v="90466578841"/>
    <n v="79"/>
    <d v="2034-07-19T00:00:00"/>
    <m/>
    <x v="1"/>
    <x v="0"/>
  </r>
  <r>
    <n v="35177226759"/>
    <n v="88"/>
    <d v="2034-07-19T00:00:00"/>
    <s v=""/>
    <x v="1"/>
    <x v="0"/>
  </r>
  <r>
    <n v="39769600586"/>
    <n v="102"/>
    <d v="2034-07-19T00:00:00"/>
    <s v=""/>
    <x v="1"/>
    <x v="0"/>
  </r>
  <r>
    <n v="62112399635"/>
    <n v="105"/>
    <d v="2034-07-19T00:00:00"/>
    <s v=""/>
    <x v="1"/>
    <x v="0"/>
  </r>
  <r>
    <n v="72206450704"/>
    <n v="114"/>
    <d v="2034-07-19T00:00:00"/>
    <s v=""/>
    <x v="1"/>
    <x v="0"/>
  </r>
  <r>
    <n v="64798255688"/>
    <n v="149"/>
    <d v="2034-07-19T00:00:00"/>
    <s v=""/>
    <x v="1"/>
    <x v="0"/>
  </r>
  <r>
    <n v="49576180245"/>
    <n v="152"/>
    <d v="2034-07-19T00:00:00"/>
    <s v=""/>
    <x v="1"/>
    <x v="0"/>
  </r>
  <r>
    <n v="59543190928"/>
    <n v="180"/>
    <d v="2034-07-19T00:00:00"/>
    <s v=""/>
    <x v="1"/>
    <x v="0"/>
  </r>
  <r>
    <n v="25003479827"/>
    <n v="182"/>
    <d v="2034-07-19T00:00:00"/>
    <s v=""/>
    <x v="1"/>
    <x v="0"/>
  </r>
  <r>
    <n v="37167189675"/>
    <n v="199"/>
    <d v="2034-07-19T00:00:00"/>
    <d v="2034-07-22T00:00:00"/>
    <x v="1"/>
    <x v="2"/>
  </r>
  <r>
    <n v="23172936946"/>
    <n v="209"/>
    <d v="2034-07-19T00:00:00"/>
    <s v=""/>
    <x v="1"/>
    <x v="0"/>
  </r>
  <r>
    <n v="47193934838"/>
    <n v="234"/>
    <d v="2034-07-19T00:00:00"/>
    <d v="2034-09-01T00:00:00"/>
    <x v="1"/>
    <x v="3"/>
  </r>
  <r>
    <n v="70497562333"/>
    <n v="245"/>
    <d v="2034-07-19T00:00:00"/>
    <s v=""/>
    <x v="1"/>
    <x v="0"/>
  </r>
  <r>
    <n v="46890136415"/>
    <n v="278"/>
    <d v="2034-07-19T00:00:00"/>
    <m/>
    <x v="1"/>
    <x v="0"/>
  </r>
  <r>
    <n v="43463529276"/>
    <n v="300"/>
    <d v="2034-07-19T00:00:00"/>
    <s v=""/>
    <x v="1"/>
    <x v="0"/>
  </r>
  <r>
    <n v="91552388118"/>
    <n v="306"/>
    <d v="2034-07-19T00:00:00"/>
    <s v=""/>
    <x v="1"/>
    <x v="0"/>
  </r>
  <r>
    <n v="88325077574"/>
    <n v="309"/>
    <d v="2034-07-19T00:00:00"/>
    <s v=""/>
    <x v="1"/>
    <x v="0"/>
  </r>
  <r>
    <n v="21192999281"/>
    <n v="31"/>
    <d v="2034-07-20T00:00:00"/>
    <m/>
    <x v="1"/>
    <x v="0"/>
  </r>
  <r>
    <n v="13686592624"/>
    <n v="32"/>
    <d v="2034-07-20T00:00:00"/>
    <s v=""/>
    <x v="1"/>
    <x v="0"/>
  </r>
  <r>
    <n v="85608824489"/>
    <n v="39"/>
    <d v="2034-07-20T00:00:00"/>
    <d v="2034-08-08T00:00:00"/>
    <x v="1"/>
    <x v="4"/>
  </r>
  <r>
    <n v="78578072457"/>
    <n v="54"/>
    <d v="2034-07-20T00:00:00"/>
    <s v=""/>
    <x v="1"/>
    <x v="0"/>
  </r>
  <r>
    <n v="33338200390"/>
    <n v="88"/>
    <d v="2034-07-20T00:00:00"/>
    <s v=""/>
    <x v="1"/>
    <x v="0"/>
  </r>
  <r>
    <n v="42464261977"/>
    <n v="99"/>
    <d v="2034-07-20T00:00:00"/>
    <s v=""/>
    <x v="1"/>
    <x v="0"/>
  </r>
  <r>
    <n v="42428271915"/>
    <n v="99"/>
    <d v="2034-07-20T00:00:00"/>
    <s v=""/>
    <x v="1"/>
    <x v="0"/>
  </r>
  <r>
    <n v="62679548257"/>
    <n v="106"/>
    <d v="2034-07-20T00:00:00"/>
    <s v=""/>
    <x v="1"/>
    <x v="0"/>
  </r>
  <r>
    <n v="17285419358"/>
    <n v="109"/>
    <d v="2034-07-20T00:00:00"/>
    <m/>
    <x v="1"/>
    <x v="0"/>
  </r>
  <r>
    <n v="53101769965"/>
    <n v="113"/>
    <d v="2034-07-20T00:00:00"/>
    <s v=""/>
    <x v="1"/>
    <x v="0"/>
  </r>
  <r>
    <n v="59240322277"/>
    <n v="121"/>
    <d v="2034-07-20T00:00:00"/>
    <d v="2034-10-17T00:00:00"/>
    <x v="1"/>
    <x v="5"/>
  </r>
  <r>
    <n v="99916712821"/>
    <n v="195"/>
    <d v="2034-07-20T00:00:00"/>
    <s v=""/>
    <x v="1"/>
    <x v="0"/>
  </r>
  <r>
    <n v="82780660927"/>
    <n v="210"/>
    <d v="2034-07-20T00:00:00"/>
    <s v=""/>
    <x v="1"/>
    <x v="0"/>
  </r>
  <r>
    <n v="65086436020"/>
    <n v="225"/>
    <d v="2034-07-20T00:00:00"/>
    <s v=""/>
    <x v="1"/>
    <x v="0"/>
  </r>
  <r>
    <n v="42911039475"/>
    <n v="225"/>
    <d v="2034-07-20T00:00:00"/>
    <m/>
    <x v="1"/>
    <x v="0"/>
  </r>
  <r>
    <n v="72091008370"/>
    <n v="237"/>
    <d v="2034-07-20T00:00:00"/>
    <d v="2034-10-06T00:00:00"/>
    <x v="1"/>
    <x v="5"/>
  </r>
  <r>
    <n v="93681802394"/>
    <n v="249"/>
    <d v="2034-07-20T00:00:00"/>
    <d v="2034-08-20T00:00:00"/>
    <x v="1"/>
    <x v="4"/>
  </r>
  <r>
    <n v="66556230264"/>
    <n v="259"/>
    <d v="2034-07-20T00:00:00"/>
    <m/>
    <x v="1"/>
    <x v="0"/>
  </r>
  <r>
    <n v="30555691339"/>
    <n v="266"/>
    <d v="2034-07-20T00:00:00"/>
    <d v="2034-07-21T00:00:00"/>
    <x v="1"/>
    <x v="2"/>
  </r>
  <r>
    <n v="84542160902"/>
    <n v="309"/>
    <d v="2034-07-20T00:00:00"/>
    <s v=""/>
    <x v="1"/>
    <x v="0"/>
  </r>
  <r>
    <n v="71737191330"/>
    <n v="313"/>
    <d v="2034-07-20T00:00:00"/>
    <d v="2034-09-15T00:00:00"/>
    <x v="1"/>
    <x v="3"/>
  </r>
  <r>
    <n v="18741199026"/>
    <n v="329"/>
    <d v="2034-07-20T00:00:00"/>
    <s v=""/>
    <x v="1"/>
    <x v="0"/>
  </r>
  <r>
    <n v="20028830289"/>
    <n v="334"/>
    <d v="2034-07-20T00:00:00"/>
    <d v="2034-10-25T00:00:00"/>
    <x v="1"/>
    <x v="5"/>
  </r>
  <r>
    <n v="16624300321"/>
    <n v="9"/>
    <d v="2034-07-21T00:00:00"/>
    <d v="2034-09-28T00:00:00"/>
    <x v="1"/>
    <x v="3"/>
  </r>
  <r>
    <n v="76733036336"/>
    <n v="29"/>
    <d v="2034-07-21T00:00:00"/>
    <m/>
    <x v="1"/>
    <x v="0"/>
  </r>
  <r>
    <n v="16492810003"/>
    <n v="31"/>
    <d v="2034-07-21T00:00:00"/>
    <d v="2034-09-08T00:00:00"/>
    <x v="1"/>
    <x v="3"/>
  </r>
  <r>
    <n v="33706397325"/>
    <n v="49"/>
    <d v="2034-07-21T00:00:00"/>
    <m/>
    <x v="1"/>
    <x v="0"/>
  </r>
  <r>
    <n v="22994798050"/>
    <n v="50"/>
    <d v="2034-07-21T00:00:00"/>
    <s v=""/>
    <x v="1"/>
    <x v="0"/>
  </r>
  <r>
    <n v="28485171147"/>
    <n v="65"/>
    <d v="2034-07-21T00:00:00"/>
    <s v=""/>
    <x v="1"/>
    <x v="0"/>
  </r>
  <r>
    <n v="54277106114"/>
    <n v="68"/>
    <d v="2034-07-21T00:00:00"/>
    <s v=""/>
    <x v="1"/>
    <x v="0"/>
  </r>
  <r>
    <n v="80092376340"/>
    <n v="75"/>
    <d v="2034-07-21T00:00:00"/>
    <s v=""/>
    <x v="1"/>
    <x v="0"/>
  </r>
  <r>
    <n v="53114851651"/>
    <n v="145"/>
    <d v="2034-07-21T00:00:00"/>
    <d v="2034-11-06T00:00:00"/>
    <x v="1"/>
    <x v="6"/>
  </r>
  <r>
    <n v="16130163146"/>
    <n v="152"/>
    <d v="2034-07-21T00:00:00"/>
    <s v=""/>
    <x v="1"/>
    <x v="0"/>
  </r>
  <r>
    <n v="22271486716"/>
    <n v="157"/>
    <d v="2034-07-21T00:00:00"/>
    <s v=""/>
    <x v="1"/>
    <x v="0"/>
  </r>
  <r>
    <n v="99982715860"/>
    <n v="157"/>
    <d v="2034-07-21T00:00:00"/>
    <m/>
    <x v="1"/>
    <x v="0"/>
  </r>
  <r>
    <n v="80377129868"/>
    <n v="173"/>
    <d v="2034-07-21T00:00:00"/>
    <s v=""/>
    <x v="1"/>
    <x v="0"/>
  </r>
  <r>
    <n v="55524292153"/>
    <n v="175"/>
    <d v="2034-07-21T00:00:00"/>
    <d v="2034-10-29T00:00:00"/>
    <x v="1"/>
    <x v="5"/>
  </r>
  <r>
    <n v="87192739071"/>
    <n v="210"/>
    <d v="2034-07-21T00:00:00"/>
    <s v=""/>
    <x v="1"/>
    <x v="0"/>
  </r>
  <r>
    <n v="37328669481"/>
    <n v="226"/>
    <d v="2034-07-21T00:00:00"/>
    <s v=""/>
    <x v="1"/>
    <x v="0"/>
  </r>
  <r>
    <n v="33968540993"/>
    <n v="230"/>
    <d v="2034-07-21T00:00:00"/>
    <d v="2034-09-12T00:00:00"/>
    <x v="1"/>
    <x v="3"/>
  </r>
  <r>
    <n v="94755187190"/>
    <n v="250"/>
    <d v="2034-07-21T00:00:00"/>
    <s v=""/>
    <x v="1"/>
    <x v="0"/>
  </r>
  <r>
    <n v="74938670905"/>
    <n v="275"/>
    <d v="2034-07-21T00:00:00"/>
    <s v=""/>
    <x v="1"/>
    <x v="0"/>
  </r>
  <r>
    <n v="78807434967"/>
    <n v="308"/>
    <d v="2034-07-21T00:00:00"/>
    <d v="2034-09-30T00:00:00"/>
    <x v="1"/>
    <x v="3"/>
  </r>
  <r>
    <n v="27347704398"/>
    <n v="339"/>
    <d v="2034-07-21T00:00:00"/>
    <d v="2034-07-23T00:00:00"/>
    <x v="1"/>
    <x v="2"/>
  </r>
  <r>
    <n v="51309608438"/>
    <n v="7"/>
    <d v="2034-07-22T00:00:00"/>
    <s v=""/>
    <x v="1"/>
    <x v="0"/>
  </r>
  <r>
    <n v="92178756143"/>
    <n v="16"/>
    <d v="2034-07-22T00:00:00"/>
    <s v=""/>
    <x v="1"/>
    <x v="0"/>
  </r>
  <r>
    <n v="35097139790"/>
    <n v="18"/>
    <d v="2034-07-22T00:00:00"/>
    <m/>
    <x v="1"/>
    <x v="0"/>
  </r>
  <r>
    <n v="73001107690"/>
    <n v="28"/>
    <d v="2034-07-22T00:00:00"/>
    <s v=""/>
    <x v="1"/>
    <x v="0"/>
  </r>
  <r>
    <n v="73738876888"/>
    <n v="54"/>
    <d v="2034-07-22T00:00:00"/>
    <s v=""/>
    <x v="1"/>
    <x v="0"/>
  </r>
  <r>
    <n v="16652801829"/>
    <n v="64"/>
    <d v="2034-07-22T00:00:00"/>
    <m/>
    <x v="1"/>
    <x v="0"/>
  </r>
  <r>
    <n v="89716530950"/>
    <n v="80"/>
    <d v="2034-07-22T00:00:00"/>
    <s v=""/>
    <x v="1"/>
    <x v="0"/>
  </r>
  <r>
    <n v="18058327390"/>
    <n v="83"/>
    <d v="2034-07-22T00:00:00"/>
    <s v=""/>
    <x v="1"/>
    <x v="0"/>
  </r>
  <r>
    <n v="16415270889"/>
    <n v="85"/>
    <d v="2034-07-22T00:00:00"/>
    <s v=""/>
    <x v="1"/>
    <x v="0"/>
  </r>
  <r>
    <n v="90386509125"/>
    <n v="90"/>
    <d v="2034-07-22T00:00:00"/>
    <s v=""/>
    <x v="1"/>
    <x v="0"/>
  </r>
  <r>
    <n v="35112058659"/>
    <n v="90"/>
    <d v="2034-07-22T00:00:00"/>
    <d v="2034-11-14T00:00:00"/>
    <x v="1"/>
    <x v="6"/>
  </r>
  <r>
    <n v="80663110373"/>
    <n v="90"/>
    <d v="2034-07-22T00:00:00"/>
    <d v="2034-08-29T00:00:00"/>
    <x v="1"/>
    <x v="4"/>
  </r>
  <r>
    <n v="47994806538"/>
    <n v="96"/>
    <d v="2034-07-22T00:00:00"/>
    <m/>
    <x v="1"/>
    <x v="0"/>
  </r>
  <r>
    <n v="73979608841"/>
    <n v="127"/>
    <d v="2034-07-22T00:00:00"/>
    <s v=""/>
    <x v="1"/>
    <x v="0"/>
  </r>
  <r>
    <n v="48235671216"/>
    <n v="134"/>
    <d v="2034-07-22T00:00:00"/>
    <m/>
    <x v="1"/>
    <x v="0"/>
  </r>
  <r>
    <n v="93301598481"/>
    <n v="136"/>
    <d v="2034-07-22T00:00:00"/>
    <s v=""/>
    <x v="1"/>
    <x v="0"/>
  </r>
  <r>
    <n v="71308708279"/>
    <n v="138"/>
    <d v="2034-07-22T00:00:00"/>
    <s v=""/>
    <x v="1"/>
    <x v="0"/>
  </r>
  <r>
    <n v="56389127610"/>
    <n v="140"/>
    <d v="2034-07-22T00:00:00"/>
    <m/>
    <x v="1"/>
    <x v="0"/>
  </r>
  <r>
    <n v="37179472991"/>
    <n v="150"/>
    <d v="2034-07-22T00:00:00"/>
    <m/>
    <x v="1"/>
    <x v="0"/>
  </r>
  <r>
    <n v="36432127278"/>
    <n v="161"/>
    <d v="2034-07-22T00:00:00"/>
    <m/>
    <x v="1"/>
    <x v="0"/>
  </r>
  <r>
    <n v="56326728863"/>
    <n v="161"/>
    <d v="2034-07-22T00:00:00"/>
    <d v="2034-08-19T00:00:00"/>
    <x v="1"/>
    <x v="4"/>
  </r>
  <r>
    <n v="75292296223"/>
    <n v="175"/>
    <d v="2034-07-22T00:00:00"/>
    <s v=""/>
    <x v="1"/>
    <x v="0"/>
  </r>
  <r>
    <n v="91915196884"/>
    <n v="181"/>
    <d v="2034-07-22T00:00:00"/>
    <s v=""/>
    <x v="1"/>
    <x v="0"/>
  </r>
  <r>
    <n v="94514821042"/>
    <n v="188"/>
    <d v="2034-07-22T00:00:00"/>
    <s v=""/>
    <x v="1"/>
    <x v="0"/>
  </r>
  <r>
    <n v="26696884386"/>
    <n v="189"/>
    <d v="2034-07-22T00:00:00"/>
    <s v=""/>
    <x v="1"/>
    <x v="0"/>
  </r>
  <r>
    <n v="88440823910"/>
    <n v="204"/>
    <d v="2034-07-22T00:00:00"/>
    <s v=""/>
    <x v="1"/>
    <x v="0"/>
  </r>
  <r>
    <n v="69144087696"/>
    <n v="227"/>
    <d v="2034-07-22T00:00:00"/>
    <d v="2034-08-24T00:00:00"/>
    <x v="1"/>
    <x v="4"/>
  </r>
  <r>
    <n v="83500253673"/>
    <n v="227"/>
    <d v="2034-07-22T00:00:00"/>
    <d v="2034-11-13T00:00:00"/>
    <x v="1"/>
    <x v="6"/>
  </r>
  <r>
    <n v="25631260966"/>
    <n v="233"/>
    <d v="2034-07-22T00:00:00"/>
    <m/>
    <x v="1"/>
    <x v="0"/>
  </r>
  <r>
    <n v="69890825470"/>
    <n v="234"/>
    <d v="2034-07-22T00:00:00"/>
    <m/>
    <x v="1"/>
    <x v="0"/>
  </r>
  <r>
    <n v="12852029948"/>
    <n v="243"/>
    <d v="2034-07-22T00:00:00"/>
    <m/>
    <x v="1"/>
    <x v="0"/>
  </r>
  <r>
    <n v="40395532921"/>
    <n v="247"/>
    <d v="2034-07-22T00:00:00"/>
    <s v=""/>
    <x v="1"/>
    <x v="0"/>
  </r>
  <r>
    <n v="97403464333"/>
    <n v="267"/>
    <d v="2034-07-22T00:00:00"/>
    <s v=""/>
    <x v="1"/>
    <x v="0"/>
  </r>
  <r>
    <n v="86156959572"/>
    <n v="270"/>
    <d v="2034-07-22T00:00:00"/>
    <s v=""/>
    <x v="1"/>
    <x v="0"/>
  </r>
  <r>
    <n v="53095634532"/>
    <n v="282"/>
    <d v="2034-07-22T00:00:00"/>
    <s v=""/>
    <x v="1"/>
    <x v="0"/>
  </r>
  <r>
    <n v="23546741465"/>
    <n v="284"/>
    <d v="2034-07-22T00:00:00"/>
    <s v=""/>
    <x v="1"/>
    <x v="0"/>
  </r>
  <r>
    <n v="62121124301"/>
    <n v="296"/>
    <d v="2034-07-22T00:00:00"/>
    <d v="2034-11-08T00:00:00"/>
    <x v="1"/>
    <x v="6"/>
  </r>
  <r>
    <n v="17688942312"/>
    <n v="301"/>
    <d v="2034-07-22T00:00:00"/>
    <s v=""/>
    <x v="1"/>
    <x v="0"/>
  </r>
  <r>
    <n v="81554517588"/>
    <n v="330"/>
    <d v="2034-07-22T00:00:00"/>
    <s v=""/>
    <x v="1"/>
    <x v="0"/>
  </r>
  <r>
    <n v="82307037207"/>
    <n v="29"/>
    <d v="2034-07-23T00:00:00"/>
    <m/>
    <x v="1"/>
    <x v="0"/>
  </r>
  <r>
    <n v="43748541462"/>
    <n v="41"/>
    <d v="2034-07-23T00:00:00"/>
    <m/>
    <x v="1"/>
    <x v="0"/>
  </r>
  <r>
    <n v="75697725997"/>
    <n v="62"/>
    <d v="2034-07-23T00:00:00"/>
    <m/>
    <x v="1"/>
    <x v="0"/>
  </r>
  <r>
    <n v="90057741508"/>
    <n v="73"/>
    <d v="2034-07-23T00:00:00"/>
    <s v=""/>
    <x v="1"/>
    <x v="0"/>
  </r>
  <r>
    <n v="95126954019"/>
    <n v="102"/>
    <d v="2034-07-23T00:00:00"/>
    <d v="2034-10-01T00:00:00"/>
    <x v="1"/>
    <x v="5"/>
  </r>
  <r>
    <n v="27407722662"/>
    <n v="103"/>
    <d v="2034-07-23T00:00:00"/>
    <s v=""/>
    <x v="1"/>
    <x v="0"/>
  </r>
  <r>
    <n v="88744250446"/>
    <n v="116"/>
    <d v="2034-07-23T00:00:00"/>
    <m/>
    <x v="1"/>
    <x v="0"/>
  </r>
  <r>
    <n v="19039660491"/>
    <n v="122"/>
    <d v="2034-07-23T00:00:00"/>
    <m/>
    <x v="1"/>
    <x v="0"/>
  </r>
  <r>
    <n v="54100765165"/>
    <n v="126"/>
    <d v="2034-07-23T00:00:00"/>
    <s v=""/>
    <x v="1"/>
    <x v="0"/>
  </r>
  <r>
    <n v="48557101362"/>
    <n v="133"/>
    <d v="2034-07-23T00:00:00"/>
    <s v=""/>
    <x v="1"/>
    <x v="0"/>
  </r>
  <r>
    <n v="47529978253"/>
    <n v="134"/>
    <d v="2034-07-23T00:00:00"/>
    <s v=""/>
    <x v="1"/>
    <x v="0"/>
  </r>
  <r>
    <n v="11749188620"/>
    <n v="141"/>
    <d v="2034-07-23T00:00:00"/>
    <d v="2034-10-12T00:00:00"/>
    <x v="1"/>
    <x v="5"/>
  </r>
  <r>
    <n v="30213117318"/>
    <n v="143"/>
    <d v="2034-07-23T00:00:00"/>
    <m/>
    <x v="1"/>
    <x v="0"/>
  </r>
  <r>
    <n v="89269709439"/>
    <n v="154"/>
    <d v="2034-07-23T00:00:00"/>
    <d v="2034-11-14T00:00:00"/>
    <x v="1"/>
    <x v="6"/>
  </r>
  <r>
    <n v="72856271710"/>
    <n v="165"/>
    <d v="2034-07-23T00:00:00"/>
    <s v=""/>
    <x v="1"/>
    <x v="0"/>
  </r>
  <r>
    <n v="15925444994"/>
    <n v="172"/>
    <d v="2034-07-23T00:00:00"/>
    <s v=""/>
    <x v="1"/>
    <x v="0"/>
  </r>
  <r>
    <n v="20942396884"/>
    <n v="224"/>
    <d v="2034-07-23T00:00:00"/>
    <d v="2034-10-29T00:00:00"/>
    <x v="1"/>
    <x v="5"/>
  </r>
  <r>
    <n v="84605026196"/>
    <n v="226"/>
    <d v="2034-07-23T00:00:00"/>
    <s v=""/>
    <x v="1"/>
    <x v="0"/>
  </r>
  <r>
    <n v="18604515997"/>
    <n v="226"/>
    <d v="2034-07-23T00:00:00"/>
    <d v="2034-09-01T00:00:00"/>
    <x v="1"/>
    <x v="3"/>
  </r>
  <r>
    <n v="32049312109"/>
    <n v="233"/>
    <d v="2034-07-23T00:00:00"/>
    <s v=""/>
    <x v="1"/>
    <x v="0"/>
  </r>
  <r>
    <n v="61141295438"/>
    <n v="234"/>
    <d v="2034-07-23T00:00:00"/>
    <d v="2034-08-14T00:00:00"/>
    <x v="1"/>
    <x v="4"/>
  </r>
  <r>
    <n v="33668961560"/>
    <n v="252"/>
    <d v="2034-07-23T00:00:00"/>
    <s v=""/>
    <x v="1"/>
    <x v="0"/>
  </r>
  <r>
    <n v="81504317654"/>
    <n v="258"/>
    <d v="2034-07-23T00:00:00"/>
    <s v=""/>
    <x v="1"/>
    <x v="0"/>
  </r>
  <r>
    <n v="42430518373"/>
    <n v="285"/>
    <d v="2034-07-23T00:00:00"/>
    <s v=""/>
    <x v="1"/>
    <x v="0"/>
  </r>
  <r>
    <n v="13972357320"/>
    <n v="314"/>
    <d v="2034-07-23T00:00:00"/>
    <s v=""/>
    <x v="1"/>
    <x v="0"/>
  </r>
  <r>
    <n v="30854413636"/>
    <n v="314"/>
    <d v="2034-07-23T00:00:00"/>
    <s v=""/>
    <x v="1"/>
    <x v="0"/>
  </r>
  <r>
    <n v="26242094959"/>
    <n v="325"/>
    <d v="2034-07-23T00:00:00"/>
    <s v=""/>
    <x v="1"/>
    <x v="0"/>
  </r>
  <r>
    <n v="53597709966"/>
    <n v="329"/>
    <d v="2034-07-23T00:00:00"/>
    <s v=""/>
    <x v="1"/>
    <x v="0"/>
  </r>
  <r>
    <n v="27449624091"/>
    <n v="29"/>
    <d v="2034-07-24T00:00:00"/>
    <d v="2034-11-09T00:00:00"/>
    <x v="1"/>
    <x v="6"/>
  </r>
  <r>
    <n v="27686145305"/>
    <n v="53"/>
    <d v="2034-07-24T00:00:00"/>
    <s v=""/>
    <x v="1"/>
    <x v="0"/>
  </r>
  <r>
    <n v="39869900688"/>
    <n v="62"/>
    <d v="2034-07-24T00:00:00"/>
    <m/>
    <x v="1"/>
    <x v="0"/>
  </r>
  <r>
    <n v="68713075111"/>
    <n v="65"/>
    <d v="2034-07-24T00:00:00"/>
    <s v=""/>
    <x v="1"/>
    <x v="0"/>
  </r>
  <r>
    <n v="17364429284"/>
    <n v="77"/>
    <d v="2034-07-24T00:00:00"/>
    <s v=""/>
    <x v="1"/>
    <x v="0"/>
  </r>
  <r>
    <n v="25026134456"/>
    <n v="97"/>
    <d v="2034-07-24T00:00:00"/>
    <d v="2034-10-28T00:00:00"/>
    <x v="1"/>
    <x v="5"/>
  </r>
  <r>
    <n v="79656394698"/>
    <n v="110"/>
    <d v="2034-07-24T00:00:00"/>
    <m/>
    <x v="1"/>
    <x v="0"/>
  </r>
  <r>
    <n v="75071504995"/>
    <n v="111"/>
    <d v="2034-07-24T00:00:00"/>
    <s v=""/>
    <x v="1"/>
    <x v="0"/>
  </r>
  <r>
    <n v="96621222477"/>
    <n v="123"/>
    <d v="2034-07-24T00:00:00"/>
    <s v=""/>
    <x v="1"/>
    <x v="0"/>
  </r>
  <r>
    <n v="37240814245"/>
    <n v="135"/>
    <d v="2034-07-24T00:00:00"/>
    <d v="2034-08-15T00:00:00"/>
    <x v="1"/>
    <x v="4"/>
  </r>
  <r>
    <n v="18806267350"/>
    <n v="182"/>
    <d v="2034-07-24T00:00:00"/>
    <d v="2034-09-06T00:00:00"/>
    <x v="1"/>
    <x v="3"/>
  </r>
  <r>
    <n v="45029187971"/>
    <n v="197"/>
    <d v="2034-07-24T00:00:00"/>
    <d v="2034-11-15T00:00:00"/>
    <x v="1"/>
    <x v="6"/>
  </r>
  <r>
    <n v="15262334252"/>
    <n v="216"/>
    <d v="2034-07-24T00:00:00"/>
    <s v=""/>
    <x v="1"/>
    <x v="0"/>
  </r>
  <r>
    <n v="31406060429"/>
    <n v="221"/>
    <d v="2034-07-24T00:00:00"/>
    <s v=""/>
    <x v="1"/>
    <x v="0"/>
  </r>
  <r>
    <n v="68299709383"/>
    <n v="222"/>
    <d v="2034-07-24T00:00:00"/>
    <s v=""/>
    <x v="1"/>
    <x v="0"/>
  </r>
  <r>
    <n v="46704653403"/>
    <n v="223"/>
    <d v="2034-07-24T00:00:00"/>
    <s v=""/>
    <x v="1"/>
    <x v="0"/>
  </r>
  <r>
    <n v="55183202243"/>
    <n v="228"/>
    <d v="2034-07-24T00:00:00"/>
    <m/>
    <x v="1"/>
    <x v="0"/>
  </r>
  <r>
    <n v="74378708199"/>
    <n v="239"/>
    <d v="2034-07-24T00:00:00"/>
    <s v=""/>
    <x v="1"/>
    <x v="0"/>
  </r>
  <r>
    <n v="20755901426"/>
    <n v="250"/>
    <d v="2034-07-24T00:00:00"/>
    <s v=""/>
    <x v="1"/>
    <x v="0"/>
  </r>
  <r>
    <n v="43082318039"/>
    <n v="255"/>
    <d v="2034-07-24T00:00:00"/>
    <m/>
    <x v="1"/>
    <x v="0"/>
  </r>
  <r>
    <n v="33183534556"/>
    <n v="276"/>
    <d v="2034-07-24T00:00:00"/>
    <s v=""/>
    <x v="1"/>
    <x v="0"/>
  </r>
  <r>
    <n v="38686685007"/>
    <n v="281"/>
    <d v="2034-07-24T00:00:00"/>
    <d v="2034-10-09T00:00:00"/>
    <x v="1"/>
    <x v="5"/>
  </r>
  <r>
    <n v="81939517481"/>
    <n v="283"/>
    <d v="2034-07-24T00:00:00"/>
    <s v=""/>
    <x v="1"/>
    <x v="0"/>
  </r>
  <r>
    <n v="18375363806"/>
    <n v="302"/>
    <d v="2034-07-24T00:00:00"/>
    <s v=""/>
    <x v="1"/>
    <x v="0"/>
  </r>
  <r>
    <n v="94688507234"/>
    <n v="324"/>
    <d v="2034-07-24T00:00:00"/>
    <m/>
    <x v="1"/>
    <x v="0"/>
  </r>
  <r>
    <n v="54663320752"/>
    <n v="325"/>
    <d v="2034-07-24T00:00:00"/>
    <d v="2034-09-26T00:00:00"/>
    <x v="1"/>
    <x v="3"/>
  </r>
  <r>
    <n v="85141384408"/>
    <n v="325"/>
    <d v="2034-07-24T00:00:00"/>
    <s v=""/>
    <x v="1"/>
    <x v="0"/>
  </r>
  <r>
    <n v="76422012279"/>
    <n v="334"/>
    <d v="2034-07-24T00:00:00"/>
    <s v=""/>
    <x v="1"/>
    <x v="0"/>
  </r>
  <r>
    <n v="90346727738"/>
    <n v="6"/>
    <d v="2034-07-25T00:00:00"/>
    <s v=""/>
    <x v="1"/>
    <x v="0"/>
  </r>
  <r>
    <n v="48307526178"/>
    <n v="25"/>
    <d v="2034-07-25T00:00:00"/>
    <s v=""/>
    <x v="1"/>
    <x v="0"/>
  </r>
  <r>
    <n v="74672651744"/>
    <n v="33"/>
    <d v="2034-07-25T00:00:00"/>
    <s v=""/>
    <x v="1"/>
    <x v="0"/>
  </r>
  <r>
    <n v="31716402145"/>
    <n v="53"/>
    <d v="2034-07-25T00:00:00"/>
    <s v=""/>
    <x v="1"/>
    <x v="0"/>
  </r>
  <r>
    <n v="50768594952"/>
    <n v="143"/>
    <d v="2034-07-25T00:00:00"/>
    <s v=""/>
    <x v="1"/>
    <x v="0"/>
  </r>
  <r>
    <n v="51668786516"/>
    <n v="193"/>
    <d v="2034-07-25T00:00:00"/>
    <s v=""/>
    <x v="1"/>
    <x v="0"/>
  </r>
  <r>
    <n v="20146178178"/>
    <n v="242"/>
    <d v="2034-07-25T00:00:00"/>
    <s v=""/>
    <x v="1"/>
    <x v="0"/>
  </r>
  <r>
    <n v="32763747467"/>
    <n v="253"/>
    <d v="2034-07-25T00:00:00"/>
    <s v=""/>
    <x v="1"/>
    <x v="0"/>
  </r>
  <r>
    <n v="30556930716"/>
    <n v="255"/>
    <d v="2034-07-25T00:00:00"/>
    <d v="2034-11-10T00:00:00"/>
    <x v="1"/>
    <x v="6"/>
  </r>
  <r>
    <n v="43709876690"/>
    <n v="267"/>
    <d v="2034-07-25T00:00:00"/>
    <s v=""/>
    <x v="1"/>
    <x v="0"/>
  </r>
  <r>
    <n v="68346514069"/>
    <n v="288"/>
    <d v="2034-07-25T00:00:00"/>
    <s v=""/>
    <x v="1"/>
    <x v="0"/>
  </r>
  <r>
    <n v="78028431714"/>
    <n v="294"/>
    <d v="2034-07-25T00:00:00"/>
    <d v="2034-07-29T00:00:00"/>
    <x v="1"/>
    <x v="2"/>
  </r>
  <r>
    <n v="61170329314"/>
    <n v="301"/>
    <d v="2034-07-25T00:00:00"/>
    <d v="2034-09-03T00:00:00"/>
    <x v="1"/>
    <x v="3"/>
  </r>
  <r>
    <n v="80842132142"/>
    <n v="306"/>
    <d v="2034-07-25T00:00:00"/>
    <d v="2034-07-31T00:00:00"/>
    <x v="1"/>
    <x v="2"/>
  </r>
  <r>
    <n v="25355679963"/>
    <n v="316"/>
    <d v="2034-07-25T00:00:00"/>
    <m/>
    <x v="1"/>
    <x v="0"/>
  </r>
  <r>
    <n v="40926331260"/>
    <n v="318"/>
    <d v="2034-07-25T00:00:00"/>
    <d v="2034-10-19T00:00:00"/>
    <x v="1"/>
    <x v="5"/>
  </r>
  <r>
    <n v="59047152206"/>
    <n v="321"/>
    <d v="2034-07-25T00:00:00"/>
    <s v=""/>
    <x v="1"/>
    <x v="0"/>
  </r>
  <r>
    <n v="19254583742"/>
    <n v="327"/>
    <d v="2034-07-25T00:00:00"/>
    <m/>
    <x v="1"/>
    <x v="0"/>
  </r>
  <r>
    <n v="27836596635"/>
    <n v="327"/>
    <d v="2034-07-25T00:00:00"/>
    <s v=""/>
    <x v="1"/>
    <x v="0"/>
  </r>
  <r>
    <n v="70463821980"/>
    <n v="330"/>
    <d v="2034-07-25T00:00:00"/>
    <m/>
    <x v="1"/>
    <x v="0"/>
  </r>
  <r>
    <n v="44570631272"/>
    <n v="338"/>
    <d v="2034-07-25T00:00:00"/>
    <s v=""/>
    <x v="1"/>
    <x v="0"/>
  </r>
  <r>
    <n v="56507333045"/>
    <n v="0"/>
    <d v="2034-07-26T00:00:00"/>
    <s v=""/>
    <x v="1"/>
    <x v="0"/>
  </r>
  <r>
    <n v="76325960832"/>
    <n v="1"/>
    <d v="2034-07-26T00:00:00"/>
    <s v=""/>
    <x v="1"/>
    <x v="0"/>
  </r>
  <r>
    <n v="39534055766"/>
    <n v="14"/>
    <d v="2034-07-26T00:00:00"/>
    <m/>
    <x v="1"/>
    <x v="0"/>
  </r>
  <r>
    <n v="31931873004"/>
    <n v="18"/>
    <d v="2034-07-26T00:00:00"/>
    <s v=""/>
    <x v="1"/>
    <x v="0"/>
  </r>
  <r>
    <n v="70159402948"/>
    <n v="57"/>
    <d v="2034-07-26T00:00:00"/>
    <s v=""/>
    <x v="1"/>
    <x v="0"/>
  </r>
  <r>
    <n v="25182580259"/>
    <n v="59"/>
    <d v="2034-07-26T00:00:00"/>
    <s v=""/>
    <x v="1"/>
    <x v="0"/>
  </r>
  <r>
    <n v="68000264345"/>
    <n v="87"/>
    <d v="2034-07-26T00:00:00"/>
    <s v=""/>
    <x v="1"/>
    <x v="0"/>
  </r>
  <r>
    <n v="73520238747"/>
    <n v="114"/>
    <d v="2034-07-26T00:00:00"/>
    <m/>
    <x v="1"/>
    <x v="0"/>
  </r>
  <r>
    <n v="96332781395"/>
    <n v="114"/>
    <d v="2034-07-26T00:00:00"/>
    <d v="2034-09-11T00:00:00"/>
    <x v="1"/>
    <x v="3"/>
  </r>
  <r>
    <n v="33500406123"/>
    <n v="135"/>
    <d v="2034-07-26T00:00:00"/>
    <m/>
    <x v="1"/>
    <x v="0"/>
  </r>
  <r>
    <n v="73554912833"/>
    <n v="150"/>
    <d v="2034-07-26T00:00:00"/>
    <s v=""/>
    <x v="1"/>
    <x v="0"/>
  </r>
  <r>
    <n v="37412270909"/>
    <n v="170"/>
    <d v="2034-07-26T00:00:00"/>
    <d v="2034-09-29T00:00:00"/>
    <x v="1"/>
    <x v="3"/>
  </r>
  <r>
    <n v="43253555439"/>
    <n v="181"/>
    <d v="2034-07-26T00:00:00"/>
    <m/>
    <x v="1"/>
    <x v="0"/>
  </r>
  <r>
    <n v="95701555869"/>
    <n v="182"/>
    <d v="2034-07-26T00:00:00"/>
    <s v=""/>
    <x v="1"/>
    <x v="0"/>
  </r>
  <r>
    <n v="92691948202"/>
    <n v="187"/>
    <d v="2034-07-26T00:00:00"/>
    <s v=""/>
    <x v="1"/>
    <x v="0"/>
  </r>
  <r>
    <n v="17004125842"/>
    <n v="197"/>
    <d v="2034-07-26T00:00:00"/>
    <s v=""/>
    <x v="1"/>
    <x v="0"/>
  </r>
  <r>
    <n v="79548649538"/>
    <n v="204"/>
    <d v="2034-07-26T00:00:00"/>
    <s v=""/>
    <x v="1"/>
    <x v="0"/>
  </r>
  <r>
    <n v="20392999566"/>
    <n v="233"/>
    <d v="2034-07-26T00:00:00"/>
    <s v=""/>
    <x v="1"/>
    <x v="0"/>
  </r>
  <r>
    <n v="92113887398"/>
    <n v="257"/>
    <d v="2034-07-26T00:00:00"/>
    <m/>
    <x v="1"/>
    <x v="0"/>
  </r>
  <r>
    <n v="98483436903"/>
    <n v="258"/>
    <d v="2034-07-26T00:00:00"/>
    <m/>
    <x v="1"/>
    <x v="0"/>
  </r>
  <r>
    <n v="81850099882"/>
    <n v="260"/>
    <d v="2034-07-26T00:00:00"/>
    <d v="2034-08-25T00:00:00"/>
    <x v="1"/>
    <x v="4"/>
  </r>
  <r>
    <n v="67803947589"/>
    <n v="261"/>
    <d v="2034-07-26T00:00:00"/>
    <s v=""/>
    <x v="1"/>
    <x v="0"/>
  </r>
  <r>
    <n v="28853062942"/>
    <n v="262"/>
    <d v="2034-07-26T00:00:00"/>
    <s v=""/>
    <x v="1"/>
    <x v="0"/>
  </r>
  <r>
    <n v="53877932750"/>
    <n v="274"/>
    <d v="2034-07-26T00:00:00"/>
    <s v=""/>
    <x v="1"/>
    <x v="0"/>
  </r>
  <r>
    <n v="29055297950"/>
    <n v="286"/>
    <d v="2034-07-26T00:00:00"/>
    <s v=""/>
    <x v="1"/>
    <x v="0"/>
  </r>
  <r>
    <n v="89304439557"/>
    <n v="305"/>
    <d v="2034-07-26T00:00:00"/>
    <d v="2034-08-02T00:00:00"/>
    <x v="1"/>
    <x v="4"/>
  </r>
  <r>
    <n v="71760851511"/>
    <n v="3"/>
    <d v="2034-07-27T00:00:00"/>
    <s v=""/>
    <x v="1"/>
    <x v="0"/>
  </r>
  <r>
    <n v="92299181151"/>
    <n v="3"/>
    <d v="2034-07-27T00:00:00"/>
    <m/>
    <x v="1"/>
    <x v="0"/>
  </r>
  <r>
    <n v="72873090382"/>
    <n v="11"/>
    <d v="2034-07-27T00:00:00"/>
    <s v=""/>
    <x v="1"/>
    <x v="0"/>
  </r>
  <r>
    <n v="48490259137"/>
    <n v="38"/>
    <d v="2034-07-27T00:00:00"/>
    <s v=""/>
    <x v="1"/>
    <x v="0"/>
  </r>
  <r>
    <n v="68502028178"/>
    <n v="49"/>
    <d v="2034-07-27T00:00:00"/>
    <s v=""/>
    <x v="1"/>
    <x v="0"/>
  </r>
  <r>
    <n v="57447131140"/>
    <n v="79"/>
    <d v="2034-07-27T00:00:00"/>
    <s v=""/>
    <x v="1"/>
    <x v="0"/>
  </r>
  <r>
    <n v="87421355345"/>
    <n v="100"/>
    <d v="2034-07-27T00:00:00"/>
    <s v=""/>
    <x v="1"/>
    <x v="0"/>
  </r>
  <r>
    <n v="15150488071"/>
    <n v="106"/>
    <d v="2034-07-27T00:00:00"/>
    <m/>
    <x v="1"/>
    <x v="0"/>
  </r>
  <r>
    <n v="69736160592"/>
    <n v="124"/>
    <d v="2034-07-27T00:00:00"/>
    <d v="2034-09-08T00:00:00"/>
    <x v="1"/>
    <x v="3"/>
  </r>
  <r>
    <n v="36547662483"/>
    <n v="132"/>
    <d v="2034-07-27T00:00:00"/>
    <s v=""/>
    <x v="1"/>
    <x v="0"/>
  </r>
  <r>
    <n v="82149169114"/>
    <n v="202"/>
    <d v="2034-07-27T00:00:00"/>
    <m/>
    <x v="1"/>
    <x v="0"/>
  </r>
  <r>
    <n v="77883328755"/>
    <n v="206"/>
    <d v="2034-07-27T00:00:00"/>
    <s v=""/>
    <x v="1"/>
    <x v="0"/>
  </r>
  <r>
    <n v="77367227565"/>
    <n v="210"/>
    <d v="2034-07-27T00:00:00"/>
    <s v=""/>
    <x v="1"/>
    <x v="0"/>
  </r>
  <r>
    <n v="21601358812"/>
    <n v="221"/>
    <d v="2034-07-27T00:00:00"/>
    <d v="2034-10-15T00:00:00"/>
    <x v="1"/>
    <x v="5"/>
  </r>
  <r>
    <n v="54116953352"/>
    <n v="239"/>
    <d v="2034-07-27T00:00:00"/>
    <s v=""/>
    <x v="1"/>
    <x v="0"/>
  </r>
  <r>
    <n v="31286431130"/>
    <n v="261"/>
    <d v="2034-07-27T00:00:00"/>
    <d v="2034-10-22T00:00:00"/>
    <x v="1"/>
    <x v="5"/>
  </r>
  <r>
    <n v="88065975581"/>
    <n v="263"/>
    <d v="2034-07-27T00:00:00"/>
    <m/>
    <x v="1"/>
    <x v="0"/>
  </r>
  <r>
    <n v="91812190016"/>
    <n v="270"/>
    <d v="2034-07-27T00:00:00"/>
    <s v=""/>
    <x v="1"/>
    <x v="0"/>
  </r>
  <r>
    <n v="45013193736"/>
    <n v="272"/>
    <d v="2034-07-27T00:00:00"/>
    <d v="2034-10-14T00:00:00"/>
    <x v="1"/>
    <x v="5"/>
  </r>
  <r>
    <n v="50569658047"/>
    <n v="275"/>
    <d v="2034-07-27T00:00:00"/>
    <s v=""/>
    <x v="1"/>
    <x v="0"/>
  </r>
  <r>
    <n v="31434509926"/>
    <n v="279"/>
    <d v="2034-07-27T00:00:00"/>
    <d v="2034-08-06T00:00:00"/>
    <x v="1"/>
    <x v="4"/>
  </r>
  <r>
    <n v="51787062082"/>
    <n v="279"/>
    <d v="2034-07-27T00:00:00"/>
    <d v="2034-08-26T00:00:00"/>
    <x v="1"/>
    <x v="4"/>
  </r>
  <r>
    <n v="73975156091"/>
    <n v="280"/>
    <d v="2034-07-27T00:00:00"/>
    <s v=""/>
    <x v="1"/>
    <x v="0"/>
  </r>
  <r>
    <n v="88571070556"/>
    <n v="286"/>
    <d v="2034-07-27T00:00:00"/>
    <s v=""/>
    <x v="1"/>
    <x v="0"/>
  </r>
  <r>
    <n v="68624430508"/>
    <n v="305"/>
    <d v="2034-07-27T00:00:00"/>
    <d v="2034-07-29T00:00:00"/>
    <x v="1"/>
    <x v="2"/>
  </r>
  <r>
    <n v="47371871800"/>
    <n v="309"/>
    <d v="2034-07-27T00:00:00"/>
    <s v=""/>
    <x v="1"/>
    <x v="0"/>
  </r>
  <r>
    <n v="23597519048"/>
    <n v="312"/>
    <d v="2034-07-27T00:00:00"/>
    <s v=""/>
    <x v="1"/>
    <x v="0"/>
  </r>
  <r>
    <n v="60124945204"/>
    <n v="318"/>
    <d v="2034-07-27T00:00:00"/>
    <d v="2034-09-03T00:00:00"/>
    <x v="1"/>
    <x v="3"/>
  </r>
  <r>
    <n v="80545923586"/>
    <n v="332"/>
    <d v="2034-07-27T00:00:00"/>
    <s v=""/>
    <x v="1"/>
    <x v="0"/>
  </r>
  <r>
    <n v="46260782883"/>
    <n v="3"/>
    <d v="2034-07-28T00:00:00"/>
    <d v="2034-08-25T00:00:00"/>
    <x v="1"/>
    <x v="4"/>
  </r>
  <r>
    <n v="83457948269"/>
    <n v="12"/>
    <d v="2034-07-28T00:00:00"/>
    <d v="2034-10-20T00:00:00"/>
    <x v="1"/>
    <x v="5"/>
  </r>
  <r>
    <n v="65197318559"/>
    <n v="80"/>
    <d v="2034-07-28T00:00:00"/>
    <s v=""/>
    <x v="1"/>
    <x v="0"/>
  </r>
  <r>
    <n v="61461131882"/>
    <n v="87"/>
    <d v="2034-07-28T00:00:00"/>
    <s v=""/>
    <x v="1"/>
    <x v="0"/>
  </r>
  <r>
    <n v="45816102610"/>
    <n v="89"/>
    <d v="2034-07-28T00:00:00"/>
    <s v=""/>
    <x v="1"/>
    <x v="0"/>
  </r>
  <r>
    <n v="36221990164"/>
    <n v="97"/>
    <d v="2034-07-28T00:00:00"/>
    <m/>
    <x v="1"/>
    <x v="0"/>
  </r>
  <r>
    <n v="31870015594"/>
    <n v="110"/>
    <d v="2034-07-28T00:00:00"/>
    <s v=""/>
    <x v="1"/>
    <x v="0"/>
  </r>
  <r>
    <n v="34197861129"/>
    <n v="115"/>
    <d v="2034-07-28T00:00:00"/>
    <m/>
    <x v="1"/>
    <x v="0"/>
  </r>
  <r>
    <n v="60575924002"/>
    <n v="136"/>
    <d v="2034-07-28T00:00:00"/>
    <s v=""/>
    <x v="1"/>
    <x v="0"/>
  </r>
  <r>
    <n v="24739371952"/>
    <n v="141"/>
    <d v="2034-07-28T00:00:00"/>
    <s v=""/>
    <x v="1"/>
    <x v="0"/>
  </r>
  <r>
    <n v="88400990419"/>
    <n v="155"/>
    <d v="2034-07-28T00:00:00"/>
    <d v="2034-10-09T00:00:00"/>
    <x v="1"/>
    <x v="5"/>
  </r>
  <r>
    <n v="96154970314"/>
    <n v="161"/>
    <d v="2034-07-28T00:00:00"/>
    <s v=""/>
    <x v="1"/>
    <x v="0"/>
  </r>
  <r>
    <n v="28555975129"/>
    <n v="175"/>
    <d v="2034-07-28T00:00:00"/>
    <d v="2034-11-14T00:00:00"/>
    <x v="1"/>
    <x v="6"/>
  </r>
  <r>
    <n v="86544074154"/>
    <n v="176"/>
    <d v="2034-07-28T00:00:00"/>
    <s v=""/>
    <x v="1"/>
    <x v="0"/>
  </r>
  <r>
    <n v="78091932993"/>
    <n v="208"/>
    <d v="2034-07-28T00:00:00"/>
    <s v=""/>
    <x v="1"/>
    <x v="0"/>
  </r>
  <r>
    <n v="39024335094"/>
    <n v="215"/>
    <d v="2034-07-28T00:00:00"/>
    <s v=""/>
    <x v="1"/>
    <x v="0"/>
  </r>
  <r>
    <n v="48996578978"/>
    <n v="216"/>
    <d v="2034-07-28T00:00:00"/>
    <s v=""/>
    <x v="1"/>
    <x v="0"/>
  </r>
  <r>
    <n v="96269664193"/>
    <n v="224"/>
    <d v="2034-07-28T00:00:00"/>
    <s v=""/>
    <x v="1"/>
    <x v="0"/>
  </r>
  <r>
    <n v="40623421723"/>
    <n v="252"/>
    <d v="2034-07-28T00:00:00"/>
    <s v=""/>
    <x v="1"/>
    <x v="0"/>
  </r>
  <r>
    <n v="62392965661"/>
    <n v="316"/>
    <d v="2034-07-28T00:00:00"/>
    <d v="2034-09-06T00:00:00"/>
    <x v="1"/>
    <x v="3"/>
  </r>
  <r>
    <n v="22335020051"/>
    <n v="326"/>
    <d v="2034-07-28T00:00:00"/>
    <s v=""/>
    <x v="1"/>
    <x v="0"/>
  </r>
  <r>
    <n v="30116213306"/>
    <n v="333"/>
    <d v="2034-07-28T00:00:00"/>
    <s v=""/>
    <x v="1"/>
    <x v="0"/>
  </r>
  <r>
    <n v="29740736829"/>
    <n v="335"/>
    <d v="2034-07-28T00:00:00"/>
    <s v=""/>
    <x v="1"/>
    <x v="0"/>
  </r>
  <r>
    <n v="93406206179"/>
    <n v="340"/>
    <d v="2034-07-28T00:00:00"/>
    <s v=""/>
    <x v="1"/>
    <x v="0"/>
  </r>
  <r>
    <n v="60689463958"/>
    <n v="1"/>
    <d v="2034-07-29T00:00:00"/>
    <s v=""/>
    <x v="1"/>
    <x v="0"/>
  </r>
  <r>
    <n v="95227982688"/>
    <n v="22"/>
    <d v="2034-07-29T00:00:00"/>
    <d v="2034-09-28T00:00:00"/>
    <x v="1"/>
    <x v="3"/>
  </r>
  <r>
    <n v="51622529885"/>
    <n v="27"/>
    <d v="2034-07-29T00:00:00"/>
    <s v=""/>
    <x v="1"/>
    <x v="0"/>
  </r>
  <r>
    <n v="43428230947"/>
    <n v="37"/>
    <d v="2034-07-29T00:00:00"/>
    <s v=""/>
    <x v="1"/>
    <x v="0"/>
  </r>
  <r>
    <n v="43355369425"/>
    <n v="40"/>
    <d v="2034-07-29T00:00:00"/>
    <s v=""/>
    <x v="1"/>
    <x v="0"/>
  </r>
  <r>
    <n v="81883306705"/>
    <n v="50"/>
    <d v="2034-07-29T00:00:00"/>
    <m/>
    <x v="1"/>
    <x v="0"/>
  </r>
  <r>
    <n v="46046461150"/>
    <n v="58"/>
    <d v="2034-07-29T00:00:00"/>
    <s v=""/>
    <x v="1"/>
    <x v="0"/>
  </r>
  <r>
    <n v="52076802524"/>
    <n v="60"/>
    <d v="2034-07-29T00:00:00"/>
    <d v="2034-11-25T00:00:00"/>
    <x v="1"/>
    <x v="6"/>
  </r>
  <r>
    <n v="74049775593"/>
    <n v="101"/>
    <d v="2034-07-29T00:00:00"/>
    <d v="2034-10-22T00:00:00"/>
    <x v="1"/>
    <x v="5"/>
  </r>
  <r>
    <n v="36130064274"/>
    <n v="105"/>
    <d v="2034-07-29T00:00:00"/>
    <s v=""/>
    <x v="1"/>
    <x v="0"/>
  </r>
  <r>
    <n v="26080908600"/>
    <n v="109"/>
    <d v="2034-07-29T00:00:00"/>
    <s v=""/>
    <x v="1"/>
    <x v="0"/>
  </r>
  <r>
    <n v="85844017157"/>
    <n v="110"/>
    <d v="2034-07-29T00:00:00"/>
    <d v="2034-09-10T00:00:00"/>
    <x v="1"/>
    <x v="3"/>
  </r>
  <r>
    <n v="57012757879"/>
    <n v="124"/>
    <d v="2034-07-29T00:00:00"/>
    <s v=""/>
    <x v="1"/>
    <x v="0"/>
  </r>
  <r>
    <n v="17616568557"/>
    <n v="132"/>
    <d v="2034-07-29T00:00:00"/>
    <m/>
    <x v="1"/>
    <x v="0"/>
  </r>
  <r>
    <n v="16124985022"/>
    <n v="138"/>
    <d v="2034-07-29T00:00:00"/>
    <s v=""/>
    <x v="1"/>
    <x v="0"/>
  </r>
  <r>
    <n v="69010426298"/>
    <n v="144"/>
    <d v="2034-07-29T00:00:00"/>
    <m/>
    <x v="1"/>
    <x v="0"/>
  </r>
  <r>
    <n v="22200150323"/>
    <n v="187"/>
    <d v="2034-07-29T00:00:00"/>
    <s v=""/>
    <x v="1"/>
    <x v="0"/>
  </r>
  <r>
    <n v="18338440086"/>
    <n v="187"/>
    <d v="2034-07-29T00:00:00"/>
    <s v=""/>
    <x v="1"/>
    <x v="0"/>
  </r>
  <r>
    <n v="94704139121"/>
    <n v="191"/>
    <d v="2034-07-29T00:00:00"/>
    <s v=""/>
    <x v="1"/>
    <x v="0"/>
  </r>
  <r>
    <n v="54945623738"/>
    <n v="205"/>
    <d v="2034-07-29T00:00:00"/>
    <s v=""/>
    <x v="1"/>
    <x v="0"/>
  </r>
  <r>
    <n v="95621650154"/>
    <n v="216"/>
    <d v="2034-07-29T00:00:00"/>
    <m/>
    <x v="1"/>
    <x v="0"/>
  </r>
  <r>
    <n v="72763503987"/>
    <n v="218"/>
    <d v="2034-07-29T00:00:00"/>
    <d v="2034-11-23T00:00:00"/>
    <x v="1"/>
    <x v="6"/>
  </r>
  <r>
    <n v="97349254090"/>
    <n v="223"/>
    <d v="2034-07-29T00:00:00"/>
    <d v="2034-08-02T00:00:00"/>
    <x v="1"/>
    <x v="4"/>
  </r>
  <r>
    <n v="34788371146"/>
    <n v="234"/>
    <d v="2034-07-29T00:00:00"/>
    <s v=""/>
    <x v="1"/>
    <x v="0"/>
  </r>
  <r>
    <n v="21234984388"/>
    <n v="248"/>
    <d v="2034-07-29T00:00:00"/>
    <d v="2034-11-20T00:00:00"/>
    <x v="1"/>
    <x v="6"/>
  </r>
  <r>
    <n v="84979617447"/>
    <n v="287"/>
    <d v="2034-07-29T00:00:00"/>
    <d v="2034-08-28T00:00:00"/>
    <x v="1"/>
    <x v="4"/>
  </r>
  <r>
    <n v="45126996875"/>
    <n v="324"/>
    <d v="2034-07-29T00:00:00"/>
    <m/>
    <x v="1"/>
    <x v="0"/>
  </r>
  <r>
    <n v="54501452176"/>
    <n v="325"/>
    <d v="2034-07-29T00:00:00"/>
    <s v=""/>
    <x v="1"/>
    <x v="0"/>
  </r>
  <r>
    <n v="42188556436"/>
    <n v="328"/>
    <d v="2034-07-29T00:00:00"/>
    <s v=""/>
    <x v="1"/>
    <x v="0"/>
  </r>
  <r>
    <n v="59217896373"/>
    <n v="2"/>
    <d v="2034-07-30T00:00:00"/>
    <s v=""/>
    <x v="1"/>
    <x v="0"/>
  </r>
  <r>
    <n v="90813532436"/>
    <n v="3"/>
    <d v="2034-07-30T00:00:00"/>
    <s v=""/>
    <x v="1"/>
    <x v="0"/>
  </r>
  <r>
    <n v="87618999023"/>
    <n v="31"/>
    <d v="2034-07-30T00:00:00"/>
    <d v="2034-11-16T00:00:00"/>
    <x v="1"/>
    <x v="6"/>
  </r>
  <r>
    <n v="78486044470"/>
    <n v="40"/>
    <d v="2034-07-30T00:00:00"/>
    <s v=""/>
    <x v="1"/>
    <x v="0"/>
  </r>
  <r>
    <n v="34020676674"/>
    <n v="44"/>
    <d v="2034-07-30T00:00:00"/>
    <s v=""/>
    <x v="1"/>
    <x v="0"/>
  </r>
  <r>
    <n v="75777634915"/>
    <n v="59"/>
    <d v="2034-07-30T00:00:00"/>
    <s v=""/>
    <x v="1"/>
    <x v="0"/>
  </r>
  <r>
    <n v="86814388679"/>
    <n v="75"/>
    <d v="2034-07-30T00:00:00"/>
    <s v=""/>
    <x v="1"/>
    <x v="0"/>
  </r>
  <r>
    <n v="95098323030"/>
    <n v="84"/>
    <d v="2034-07-30T00:00:00"/>
    <s v=""/>
    <x v="1"/>
    <x v="0"/>
  </r>
  <r>
    <n v="55056282087"/>
    <n v="110"/>
    <d v="2034-07-30T00:00:00"/>
    <s v=""/>
    <x v="1"/>
    <x v="0"/>
  </r>
  <r>
    <n v="61124179180"/>
    <n v="121"/>
    <d v="2034-07-30T00:00:00"/>
    <s v=""/>
    <x v="1"/>
    <x v="0"/>
  </r>
  <r>
    <n v="16866542600"/>
    <n v="127"/>
    <d v="2034-07-30T00:00:00"/>
    <s v=""/>
    <x v="1"/>
    <x v="0"/>
  </r>
  <r>
    <n v="56508422179"/>
    <n v="144"/>
    <d v="2034-07-30T00:00:00"/>
    <d v="2034-10-31T00:00:00"/>
    <x v="1"/>
    <x v="5"/>
  </r>
  <r>
    <n v="12358386817"/>
    <n v="146"/>
    <d v="2034-07-30T00:00:00"/>
    <m/>
    <x v="1"/>
    <x v="0"/>
  </r>
  <r>
    <n v="96303426211"/>
    <n v="149"/>
    <d v="2034-07-30T00:00:00"/>
    <d v="2034-10-12T00:00:00"/>
    <x v="1"/>
    <x v="5"/>
  </r>
  <r>
    <n v="59531967148"/>
    <n v="151"/>
    <d v="2034-07-30T00:00:00"/>
    <d v="2034-08-02T00:00:00"/>
    <x v="1"/>
    <x v="4"/>
  </r>
  <r>
    <n v="34106657166"/>
    <n v="159"/>
    <d v="2034-07-30T00:00:00"/>
    <s v=""/>
    <x v="1"/>
    <x v="0"/>
  </r>
  <r>
    <n v="88474919767"/>
    <n v="173"/>
    <d v="2034-07-30T00:00:00"/>
    <d v="2034-11-01T00:00:00"/>
    <x v="1"/>
    <x v="6"/>
  </r>
  <r>
    <n v="76717973116"/>
    <n v="184"/>
    <d v="2034-07-30T00:00:00"/>
    <d v="2034-08-01T00:00:00"/>
    <x v="1"/>
    <x v="4"/>
  </r>
  <r>
    <n v="12141451894"/>
    <n v="186"/>
    <d v="2034-07-30T00:00:00"/>
    <d v="2034-08-29T00:00:00"/>
    <x v="1"/>
    <x v="4"/>
  </r>
  <r>
    <n v="28091160060"/>
    <n v="207"/>
    <d v="2034-07-30T00:00:00"/>
    <s v=""/>
    <x v="1"/>
    <x v="0"/>
  </r>
  <r>
    <n v="38210578453"/>
    <n v="208"/>
    <d v="2034-07-30T00:00:00"/>
    <s v=""/>
    <x v="1"/>
    <x v="0"/>
  </r>
  <r>
    <n v="97920451787"/>
    <n v="225"/>
    <d v="2034-07-30T00:00:00"/>
    <d v="2034-11-03T00:00:00"/>
    <x v="1"/>
    <x v="6"/>
  </r>
  <r>
    <n v="81156179282"/>
    <n v="239"/>
    <d v="2034-07-30T00:00:00"/>
    <s v=""/>
    <x v="1"/>
    <x v="0"/>
  </r>
  <r>
    <n v="19056804870"/>
    <n v="239"/>
    <d v="2034-07-30T00:00:00"/>
    <s v=""/>
    <x v="1"/>
    <x v="0"/>
  </r>
  <r>
    <n v="31091243591"/>
    <n v="255"/>
    <d v="2034-07-30T00:00:00"/>
    <s v=""/>
    <x v="1"/>
    <x v="0"/>
  </r>
  <r>
    <n v="69256075199"/>
    <n v="270"/>
    <d v="2034-07-30T00:00:00"/>
    <d v="2034-11-23T00:00:00"/>
    <x v="1"/>
    <x v="6"/>
  </r>
  <r>
    <n v="66727925965"/>
    <n v="286"/>
    <d v="2034-07-30T00:00:00"/>
    <s v=""/>
    <x v="1"/>
    <x v="0"/>
  </r>
  <r>
    <n v="66218745929"/>
    <n v="298"/>
    <d v="2034-07-30T00:00:00"/>
    <s v=""/>
    <x v="1"/>
    <x v="0"/>
  </r>
  <r>
    <n v="64463957419"/>
    <n v="301"/>
    <d v="2034-07-30T00:00:00"/>
    <m/>
    <x v="1"/>
    <x v="0"/>
  </r>
  <r>
    <n v="52367310654"/>
    <n v="302"/>
    <d v="2034-07-30T00:00:00"/>
    <s v=""/>
    <x v="1"/>
    <x v="0"/>
  </r>
  <r>
    <n v="93296187700"/>
    <n v="317"/>
    <d v="2034-07-30T00:00:00"/>
    <d v="2034-08-16T00:00:00"/>
    <x v="1"/>
    <x v="4"/>
  </r>
  <r>
    <n v="65496378824"/>
    <n v="322"/>
    <d v="2034-07-30T00:00:00"/>
    <s v=""/>
    <x v="1"/>
    <x v="0"/>
  </r>
  <r>
    <n v="38476929211"/>
    <n v="328"/>
    <d v="2034-07-30T00:00:00"/>
    <s v=""/>
    <x v="1"/>
    <x v="0"/>
  </r>
  <r>
    <n v="74662333996"/>
    <n v="334"/>
    <d v="2034-07-30T00:00:00"/>
    <s v=""/>
    <x v="1"/>
    <x v="0"/>
  </r>
  <r>
    <n v="21738621719"/>
    <n v="57"/>
    <d v="2034-07-31T00:00:00"/>
    <s v=""/>
    <x v="1"/>
    <x v="0"/>
  </r>
  <r>
    <n v="87673567845"/>
    <n v="57"/>
    <d v="2034-07-31T00:00:00"/>
    <m/>
    <x v="1"/>
    <x v="0"/>
  </r>
  <r>
    <n v="13884787596"/>
    <n v="59"/>
    <d v="2034-07-31T00:00:00"/>
    <m/>
    <x v="1"/>
    <x v="0"/>
  </r>
  <r>
    <n v="90900836845"/>
    <n v="84"/>
    <d v="2034-07-31T00:00:00"/>
    <s v=""/>
    <x v="1"/>
    <x v="0"/>
  </r>
  <r>
    <n v="29588699548"/>
    <n v="86"/>
    <d v="2034-07-31T00:00:00"/>
    <d v="2034-08-29T00:00:00"/>
    <x v="1"/>
    <x v="4"/>
  </r>
  <r>
    <n v="38913046091"/>
    <n v="89"/>
    <d v="2034-07-31T00:00:00"/>
    <s v=""/>
    <x v="1"/>
    <x v="0"/>
  </r>
  <r>
    <n v="44307932403"/>
    <n v="116"/>
    <d v="2034-07-31T00:00:00"/>
    <s v=""/>
    <x v="1"/>
    <x v="0"/>
  </r>
  <r>
    <n v="55080891550"/>
    <n v="121"/>
    <d v="2034-07-31T00:00:00"/>
    <m/>
    <x v="1"/>
    <x v="0"/>
  </r>
  <r>
    <n v="80314378521"/>
    <n v="140"/>
    <d v="2034-07-31T00:00:00"/>
    <s v=""/>
    <x v="1"/>
    <x v="0"/>
  </r>
  <r>
    <n v="58369926643"/>
    <n v="141"/>
    <d v="2034-07-31T00:00:00"/>
    <s v=""/>
    <x v="1"/>
    <x v="0"/>
  </r>
  <r>
    <n v="77760270552"/>
    <n v="178"/>
    <d v="2034-07-31T00:00:00"/>
    <s v=""/>
    <x v="1"/>
    <x v="0"/>
  </r>
  <r>
    <n v="48958589886"/>
    <n v="185"/>
    <d v="2034-07-31T00:00:00"/>
    <s v=""/>
    <x v="1"/>
    <x v="0"/>
  </r>
  <r>
    <n v="55765092648"/>
    <n v="187"/>
    <d v="2034-07-31T00:00:00"/>
    <s v=""/>
    <x v="1"/>
    <x v="0"/>
  </r>
  <r>
    <n v="60495428572"/>
    <n v="225"/>
    <d v="2034-07-31T00:00:00"/>
    <s v=""/>
    <x v="1"/>
    <x v="0"/>
  </r>
  <r>
    <n v="36276835926"/>
    <n v="247"/>
    <d v="2034-07-31T00:00:00"/>
    <s v=""/>
    <x v="1"/>
    <x v="0"/>
  </r>
  <r>
    <n v="11429735254"/>
    <n v="269"/>
    <d v="2034-07-31T00:00:00"/>
    <m/>
    <x v="1"/>
    <x v="0"/>
  </r>
  <r>
    <n v="71538551671"/>
    <n v="314"/>
    <d v="2034-07-31T00:00:00"/>
    <s v=""/>
    <x v="1"/>
    <x v="0"/>
  </r>
  <r>
    <n v="11235423687"/>
    <n v="319"/>
    <d v="2034-07-31T00:00:00"/>
    <d v="2034-10-19T00:00:00"/>
    <x v="1"/>
    <x v="5"/>
  </r>
  <r>
    <n v="92361561981"/>
    <n v="13"/>
    <d v="2034-08-01T00:00:00"/>
    <s v=""/>
    <x v="2"/>
    <x v="0"/>
  </r>
  <r>
    <n v="59816584428"/>
    <n v="13"/>
    <d v="2034-08-01T00:00:00"/>
    <s v=""/>
    <x v="2"/>
    <x v="0"/>
  </r>
  <r>
    <n v="91843653151"/>
    <n v="14"/>
    <d v="2034-08-01T00:00:00"/>
    <d v="2034-09-16T00:00:00"/>
    <x v="2"/>
    <x v="3"/>
  </r>
  <r>
    <n v="84528103773"/>
    <n v="21"/>
    <d v="2034-08-01T00:00:00"/>
    <s v=""/>
    <x v="2"/>
    <x v="0"/>
  </r>
  <r>
    <n v="68158996217"/>
    <n v="22"/>
    <d v="2034-08-01T00:00:00"/>
    <s v=""/>
    <x v="2"/>
    <x v="0"/>
  </r>
  <r>
    <n v="43478194132"/>
    <n v="46"/>
    <d v="2034-08-01T00:00:00"/>
    <s v=""/>
    <x v="2"/>
    <x v="0"/>
  </r>
  <r>
    <n v="26431203700"/>
    <n v="81"/>
    <d v="2034-08-01T00:00:00"/>
    <s v=""/>
    <x v="2"/>
    <x v="0"/>
  </r>
  <r>
    <n v="45778448155"/>
    <n v="97"/>
    <d v="2034-08-01T00:00:00"/>
    <s v=""/>
    <x v="2"/>
    <x v="0"/>
  </r>
  <r>
    <n v="90153575083"/>
    <n v="113"/>
    <d v="2034-08-01T00:00:00"/>
    <s v=""/>
    <x v="2"/>
    <x v="0"/>
  </r>
  <r>
    <n v="49113905900"/>
    <n v="127"/>
    <d v="2034-08-01T00:00:00"/>
    <d v="2034-10-18T00:00:00"/>
    <x v="2"/>
    <x v="5"/>
  </r>
  <r>
    <n v="76151003408"/>
    <n v="138"/>
    <d v="2034-08-01T00:00:00"/>
    <s v=""/>
    <x v="2"/>
    <x v="0"/>
  </r>
  <r>
    <n v="33793212157"/>
    <n v="155"/>
    <d v="2034-08-01T00:00:00"/>
    <s v=""/>
    <x v="2"/>
    <x v="0"/>
  </r>
  <r>
    <n v="35147123943"/>
    <n v="157"/>
    <d v="2034-08-01T00:00:00"/>
    <s v=""/>
    <x v="2"/>
    <x v="0"/>
  </r>
  <r>
    <n v="99079995200"/>
    <n v="166"/>
    <d v="2034-08-01T00:00:00"/>
    <s v=""/>
    <x v="2"/>
    <x v="0"/>
  </r>
  <r>
    <n v="27760122881"/>
    <n v="173"/>
    <d v="2034-08-01T00:00:00"/>
    <s v=""/>
    <x v="2"/>
    <x v="0"/>
  </r>
  <r>
    <n v="42409794017"/>
    <n v="190"/>
    <d v="2034-08-01T00:00:00"/>
    <m/>
    <x v="2"/>
    <x v="0"/>
  </r>
  <r>
    <n v="84675849237"/>
    <n v="199"/>
    <d v="2034-08-01T00:00:00"/>
    <s v=""/>
    <x v="2"/>
    <x v="0"/>
  </r>
  <r>
    <n v="44982428786"/>
    <n v="218"/>
    <d v="2034-08-01T00:00:00"/>
    <s v=""/>
    <x v="2"/>
    <x v="0"/>
  </r>
  <r>
    <n v="28797944464"/>
    <n v="222"/>
    <d v="2034-08-01T00:00:00"/>
    <m/>
    <x v="2"/>
    <x v="0"/>
  </r>
  <r>
    <n v="93928028240"/>
    <n v="232"/>
    <d v="2034-08-01T00:00:00"/>
    <s v=""/>
    <x v="2"/>
    <x v="0"/>
  </r>
  <r>
    <n v="92117815769"/>
    <n v="249"/>
    <d v="2034-08-01T00:00:00"/>
    <s v=""/>
    <x v="2"/>
    <x v="0"/>
  </r>
  <r>
    <n v="50503541348"/>
    <n v="256"/>
    <d v="2034-08-01T00:00:00"/>
    <s v=""/>
    <x v="2"/>
    <x v="0"/>
  </r>
  <r>
    <n v="32723448286"/>
    <n v="256"/>
    <d v="2034-08-01T00:00:00"/>
    <d v="2034-08-03T00:00:00"/>
    <x v="2"/>
    <x v="4"/>
  </r>
  <r>
    <n v="11320705218"/>
    <n v="257"/>
    <d v="2034-08-01T00:00:00"/>
    <s v=""/>
    <x v="2"/>
    <x v="0"/>
  </r>
  <r>
    <n v="68917008783"/>
    <n v="259"/>
    <d v="2034-08-01T00:00:00"/>
    <s v=""/>
    <x v="2"/>
    <x v="0"/>
  </r>
  <r>
    <n v="44825446005"/>
    <n v="263"/>
    <d v="2034-08-01T00:00:00"/>
    <s v=""/>
    <x v="2"/>
    <x v="0"/>
  </r>
  <r>
    <n v="40816200883"/>
    <n v="286"/>
    <d v="2034-08-01T00:00:00"/>
    <d v="2034-10-12T00:00:00"/>
    <x v="2"/>
    <x v="5"/>
  </r>
  <r>
    <n v="71360708177"/>
    <n v="289"/>
    <d v="2034-08-01T00:00:00"/>
    <m/>
    <x v="2"/>
    <x v="0"/>
  </r>
  <r>
    <n v="73707685036"/>
    <n v="294"/>
    <d v="2034-08-01T00:00:00"/>
    <s v=""/>
    <x v="2"/>
    <x v="0"/>
  </r>
  <r>
    <n v="38403060769"/>
    <n v="304"/>
    <d v="2034-08-01T00:00:00"/>
    <d v="2034-08-28T00:00:00"/>
    <x v="2"/>
    <x v="4"/>
  </r>
  <r>
    <n v="84318595830"/>
    <n v="336"/>
    <d v="2034-08-01T00:00:00"/>
    <s v=""/>
    <x v="2"/>
    <x v="0"/>
  </r>
  <r>
    <n v="21554017919"/>
    <n v="12"/>
    <d v="2034-08-02T00:00:00"/>
    <s v=""/>
    <x v="2"/>
    <x v="0"/>
  </r>
  <r>
    <n v="58546927512"/>
    <n v="15"/>
    <d v="2034-08-02T00:00:00"/>
    <m/>
    <x v="2"/>
    <x v="0"/>
  </r>
  <r>
    <n v="45966083166"/>
    <n v="33"/>
    <d v="2034-08-02T00:00:00"/>
    <s v=""/>
    <x v="2"/>
    <x v="0"/>
  </r>
  <r>
    <n v="54248234642"/>
    <n v="40"/>
    <d v="2034-08-02T00:00:00"/>
    <d v="2034-09-02T00:00:00"/>
    <x v="2"/>
    <x v="3"/>
  </r>
  <r>
    <n v="43002880400"/>
    <n v="56"/>
    <d v="2034-08-02T00:00:00"/>
    <s v=""/>
    <x v="2"/>
    <x v="0"/>
  </r>
  <r>
    <n v="66068127427"/>
    <n v="126"/>
    <d v="2034-08-02T00:00:00"/>
    <s v=""/>
    <x v="2"/>
    <x v="0"/>
  </r>
  <r>
    <n v="61019924283"/>
    <n v="128"/>
    <d v="2034-08-02T00:00:00"/>
    <m/>
    <x v="2"/>
    <x v="0"/>
  </r>
  <r>
    <n v="32480144448"/>
    <n v="144"/>
    <d v="2034-08-02T00:00:00"/>
    <s v=""/>
    <x v="2"/>
    <x v="0"/>
  </r>
  <r>
    <n v="54159685297"/>
    <n v="152"/>
    <d v="2034-08-02T00:00:00"/>
    <s v=""/>
    <x v="2"/>
    <x v="0"/>
  </r>
  <r>
    <n v="62939475692"/>
    <n v="160"/>
    <d v="2034-08-02T00:00:00"/>
    <m/>
    <x v="2"/>
    <x v="0"/>
  </r>
  <r>
    <n v="51174044261"/>
    <n v="164"/>
    <d v="2034-08-02T00:00:00"/>
    <d v="2034-09-23T00:00:00"/>
    <x v="2"/>
    <x v="3"/>
  </r>
  <r>
    <n v="79470127798"/>
    <n v="190"/>
    <d v="2034-08-02T00:00:00"/>
    <s v=""/>
    <x v="2"/>
    <x v="0"/>
  </r>
  <r>
    <n v="71394839565"/>
    <n v="206"/>
    <d v="2034-08-02T00:00:00"/>
    <s v=""/>
    <x v="2"/>
    <x v="0"/>
  </r>
  <r>
    <n v="43360995493"/>
    <n v="212"/>
    <d v="2034-08-02T00:00:00"/>
    <d v="2034-10-22T00:00:00"/>
    <x v="2"/>
    <x v="5"/>
  </r>
  <r>
    <n v="43270935845"/>
    <n v="246"/>
    <d v="2034-08-02T00:00:00"/>
    <m/>
    <x v="2"/>
    <x v="0"/>
  </r>
  <r>
    <n v="83454855229"/>
    <n v="271"/>
    <d v="2034-08-02T00:00:00"/>
    <s v=""/>
    <x v="2"/>
    <x v="0"/>
  </r>
  <r>
    <n v="88122814968"/>
    <n v="274"/>
    <d v="2034-08-02T00:00:00"/>
    <s v=""/>
    <x v="2"/>
    <x v="0"/>
  </r>
  <r>
    <n v="59054273136"/>
    <n v="323"/>
    <d v="2034-08-02T00:00:00"/>
    <s v=""/>
    <x v="2"/>
    <x v="0"/>
  </r>
  <r>
    <n v="56051707355"/>
    <n v="329"/>
    <d v="2034-08-02T00:00:00"/>
    <d v="2034-10-15T00:00:00"/>
    <x v="2"/>
    <x v="5"/>
  </r>
  <r>
    <n v="34603176662"/>
    <n v="34"/>
    <d v="2034-08-03T00:00:00"/>
    <s v=""/>
    <x v="2"/>
    <x v="0"/>
  </r>
  <r>
    <n v="98637002009"/>
    <n v="47"/>
    <d v="2034-08-03T00:00:00"/>
    <s v=""/>
    <x v="2"/>
    <x v="0"/>
  </r>
  <r>
    <n v="78133245588"/>
    <n v="86"/>
    <d v="2034-08-03T00:00:00"/>
    <m/>
    <x v="2"/>
    <x v="0"/>
  </r>
  <r>
    <n v="58501923477"/>
    <n v="144"/>
    <d v="2034-08-03T00:00:00"/>
    <s v=""/>
    <x v="2"/>
    <x v="0"/>
  </r>
  <r>
    <n v="63381973497"/>
    <n v="146"/>
    <d v="2034-08-03T00:00:00"/>
    <s v=""/>
    <x v="2"/>
    <x v="0"/>
  </r>
  <r>
    <n v="16919450947"/>
    <n v="148"/>
    <d v="2034-08-03T00:00:00"/>
    <s v=""/>
    <x v="2"/>
    <x v="0"/>
  </r>
  <r>
    <n v="94205400465"/>
    <n v="195"/>
    <d v="2034-08-03T00:00:00"/>
    <s v=""/>
    <x v="2"/>
    <x v="0"/>
  </r>
  <r>
    <n v="60451512602"/>
    <n v="205"/>
    <d v="2034-08-03T00:00:00"/>
    <s v=""/>
    <x v="2"/>
    <x v="0"/>
  </r>
  <r>
    <n v="35060471236"/>
    <n v="244"/>
    <d v="2034-08-03T00:00:00"/>
    <d v="2034-10-23T00:00:00"/>
    <x v="2"/>
    <x v="5"/>
  </r>
  <r>
    <n v="29409607753"/>
    <n v="254"/>
    <d v="2034-08-03T00:00:00"/>
    <s v=""/>
    <x v="2"/>
    <x v="0"/>
  </r>
  <r>
    <n v="42928515875"/>
    <n v="276"/>
    <d v="2034-08-03T00:00:00"/>
    <s v=""/>
    <x v="2"/>
    <x v="0"/>
  </r>
  <r>
    <n v="32242793034"/>
    <n v="288"/>
    <d v="2034-08-03T00:00:00"/>
    <s v=""/>
    <x v="2"/>
    <x v="0"/>
  </r>
  <r>
    <n v="33033794001"/>
    <n v="304"/>
    <d v="2034-08-03T00:00:00"/>
    <d v="2034-10-13T00:00:00"/>
    <x v="2"/>
    <x v="5"/>
  </r>
  <r>
    <n v="24098734101"/>
    <n v="316"/>
    <d v="2034-08-03T00:00:00"/>
    <s v=""/>
    <x v="2"/>
    <x v="0"/>
  </r>
  <r>
    <n v="31321233839"/>
    <n v="331"/>
    <d v="2034-08-03T00:00:00"/>
    <s v=""/>
    <x v="2"/>
    <x v="0"/>
  </r>
  <r>
    <n v="78739435644"/>
    <n v="333"/>
    <d v="2034-08-03T00:00:00"/>
    <s v=""/>
    <x v="2"/>
    <x v="0"/>
  </r>
  <r>
    <n v="36489193175"/>
    <n v="33"/>
    <d v="2034-08-04T00:00:00"/>
    <s v=""/>
    <x v="2"/>
    <x v="0"/>
  </r>
  <r>
    <n v="83120095945"/>
    <n v="47"/>
    <d v="2034-08-04T00:00:00"/>
    <s v=""/>
    <x v="2"/>
    <x v="0"/>
  </r>
  <r>
    <n v="97612597558"/>
    <n v="62"/>
    <d v="2034-08-04T00:00:00"/>
    <s v=""/>
    <x v="2"/>
    <x v="0"/>
  </r>
  <r>
    <n v="96165690155"/>
    <n v="107"/>
    <d v="2034-08-04T00:00:00"/>
    <s v=""/>
    <x v="2"/>
    <x v="0"/>
  </r>
  <r>
    <n v="70055981916"/>
    <n v="131"/>
    <d v="2034-08-04T00:00:00"/>
    <s v=""/>
    <x v="2"/>
    <x v="0"/>
  </r>
  <r>
    <n v="80288337566"/>
    <n v="152"/>
    <d v="2034-08-04T00:00:00"/>
    <d v="2034-11-16T00:00:00"/>
    <x v="2"/>
    <x v="6"/>
  </r>
  <r>
    <n v="29932728051"/>
    <n v="158"/>
    <d v="2034-08-04T00:00:00"/>
    <s v=""/>
    <x v="2"/>
    <x v="0"/>
  </r>
  <r>
    <n v="70622756239"/>
    <n v="202"/>
    <d v="2034-08-04T00:00:00"/>
    <s v=""/>
    <x v="2"/>
    <x v="0"/>
  </r>
  <r>
    <n v="77185146588"/>
    <n v="207"/>
    <d v="2034-08-04T00:00:00"/>
    <s v=""/>
    <x v="2"/>
    <x v="0"/>
  </r>
  <r>
    <n v="65707000952"/>
    <n v="208"/>
    <d v="2034-08-04T00:00:00"/>
    <m/>
    <x v="2"/>
    <x v="0"/>
  </r>
  <r>
    <n v="94075834088"/>
    <n v="230"/>
    <d v="2034-08-04T00:00:00"/>
    <s v=""/>
    <x v="2"/>
    <x v="0"/>
  </r>
  <r>
    <n v="81292396193"/>
    <n v="240"/>
    <d v="2034-08-04T00:00:00"/>
    <s v=""/>
    <x v="2"/>
    <x v="0"/>
  </r>
  <r>
    <n v="89850406464"/>
    <n v="242"/>
    <d v="2034-08-04T00:00:00"/>
    <d v="2034-12-02T00:00:00"/>
    <x v="2"/>
    <x v="7"/>
  </r>
  <r>
    <n v="90626995973"/>
    <n v="316"/>
    <d v="2034-08-04T00:00:00"/>
    <s v=""/>
    <x v="2"/>
    <x v="0"/>
  </r>
  <r>
    <n v="60219641224"/>
    <n v="14"/>
    <d v="2034-08-05T00:00:00"/>
    <d v="2034-09-27T00:00:00"/>
    <x v="2"/>
    <x v="3"/>
  </r>
  <r>
    <n v="37001072094"/>
    <n v="17"/>
    <d v="2034-08-05T00:00:00"/>
    <s v=""/>
    <x v="2"/>
    <x v="0"/>
  </r>
  <r>
    <n v="54005198397"/>
    <n v="38"/>
    <d v="2034-08-05T00:00:00"/>
    <s v=""/>
    <x v="2"/>
    <x v="0"/>
  </r>
  <r>
    <n v="51068080788"/>
    <n v="41"/>
    <d v="2034-08-05T00:00:00"/>
    <s v=""/>
    <x v="2"/>
    <x v="0"/>
  </r>
  <r>
    <n v="50610107072"/>
    <n v="58"/>
    <d v="2034-08-05T00:00:00"/>
    <s v=""/>
    <x v="2"/>
    <x v="0"/>
  </r>
  <r>
    <n v="42886351727"/>
    <n v="64"/>
    <d v="2034-08-05T00:00:00"/>
    <s v=""/>
    <x v="2"/>
    <x v="0"/>
  </r>
  <r>
    <n v="16933277417"/>
    <n v="64"/>
    <d v="2034-08-05T00:00:00"/>
    <s v=""/>
    <x v="2"/>
    <x v="0"/>
  </r>
  <r>
    <n v="20789536931"/>
    <n v="69"/>
    <d v="2034-08-05T00:00:00"/>
    <d v="2034-08-06T00:00:00"/>
    <x v="2"/>
    <x v="4"/>
  </r>
  <r>
    <n v="76599422903"/>
    <n v="84"/>
    <d v="2034-08-05T00:00:00"/>
    <s v=""/>
    <x v="2"/>
    <x v="0"/>
  </r>
  <r>
    <n v="87413795240"/>
    <n v="118"/>
    <d v="2034-08-05T00:00:00"/>
    <s v=""/>
    <x v="2"/>
    <x v="0"/>
  </r>
  <r>
    <n v="20270821641"/>
    <n v="149"/>
    <d v="2034-08-05T00:00:00"/>
    <d v="2034-09-11T00:00:00"/>
    <x v="2"/>
    <x v="3"/>
  </r>
  <r>
    <n v="76743173510"/>
    <n v="165"/>
    <d v="2034-08-05T00:00:00"/>
    <s v=""/>
    <x v="2"/>
    <x v="0"/>
  </r>
  <r>
    <n v="84296347950"/>
    <n v="190"/>
    <d v="2034-08-05T00:00:00"/>
    <s v=""/>
    <x v="2"/>
    <x v="0"/>
  </r>
  <r>
    <n v="94491093736"/>
    <n v="200"/>
    <d v="2034-08-05T00:00:00"/>
    <s v=""/>
    <x v="2"/>
    <x v="0"/>
  </r>
  <r>
    <n v="56799038383"/>
    <n v="200"/>
    <d v="2034-08-05T00:00:00"/>
    <s v=""/>
    <x v="2"/>
    <x v="0"/>
  </r>
  <r>
    <n v="39230156270"/>
    <n v="201"/>
    <d v="2034-08-05T00:00:00"/>
    <s v=""/>
    <x v="2"/>
    <x v="0"/>
  </r>
  <r>
    <n v="43020745504"/>
    <n v="205"/>
    <d v="2034-08-05T00:00:00"/>
    <s v=""/>
    <x v="2"/>
    <x v="0"/>
  </r>
  <r>
    <n v="96172892477"/>
    <n v="214"/>
    <d v="2034-08-05T00:00:00"/>
    <s v=""/>
    <x v="2"/>
    <x v="0"/>
  </r>
  <r>
    <n v="43048616534"/>
    <n v="220"/>
    <d v="2034-08-05T00:00:00"/>
    <s v=""/>
    <x v="2"/>
    <x v="0"/>
  </r>
  <r>
    <n v="43214180428"/>
    <n v="233"/>
    <d v="2034-08-05T00:00:00"/>
    <s v=""/>
    <x v="2"/>
    <x v="0"/>
  </r>
  <r>
    <n v="31106429386"/>
    <n v="234"/>
    <d v="2034-08-05T00:00:00"/>
    <s v=""/>
    <x v="2"/>
    <x v="0"/>
  </r>
  <r>
    <n v="55534977201"/>
    <n v="238"/>
    <d v="2034-08-05T00:00:00"/>
    <s v=""/>
    <x v="2"/>
    <x v="0"/>
  </r>
  <r>
    <n v="19761634123"/>
    <n v="251"/>
    <d v="2034-08-05T00:00:00"/>
    <s v=""/>
    <x v="2"/>
    <x v="0"/>
  </r>
  <r>
    <n v="70803680998"/>
    <n v="276"/>
    <d v="2034-08-05T00:00:00"/>
    <d v="2034-11-04T00:00:00"/>
    <x v="2"/>
    <x v="6"/>
  </r>
  <r>
    <n v="54486107158"/>
    <n v="294"/>
    <d v="2034-08-05T00:00:00"/>
    <m/>
    <x v="2"/>
    <x v="0"/>
  </r>
  <r>
    <n v="85505686006"/>
    <n v="311"/>
    <d v="2034-08-05T00:00:00"/>
    <s v=""/>
    <x v="2"/>
    <x v="0"/>
  </r>
  <r>
    <n v="30541245196"/>
    <n v="338"/>
    <d v="2034-08-05T00:00:00"/>
    <d v="2034-10-05T00:00:00"/>
    <x v="2"/>
    <x v="5"/>
  </r>
  <r>
    <n v="90404149800"/>
    <n v="8"/>
    <d v="2034-08-06T00:00:00"/>
    <s v=""/>
    <x v="2"/>
    <x v="0"/>
  </r>
  <r>
    <n v="52207982576"/>
    <n v="16"/>
    <d v="2034-08-06T00:00:00"/>
    <s v=""/>
    <x v="2"/>
    <x v="0"/>
  </r>
  <r>
    <n v="84423535063"/>
    <n v="19"/>
    <d v="2034-08-06T00:00:00"/>
    <s v=""/>
    <x v="2"/>
    <x v="0"/>
  </r>
  <r>
    <n v="48324100936"/>
    <n v="23"/>
    <d v="2034-08-06T00:00:00"/>
    <s v=""/>
    <x v="2"/>
    <x v="0"/>
  </r>
  <r>
    <n v="99727638662"/>
    <n v="36"/>
    <d v="2034-08-06T00:00:00"/>
    <m/>
    <x v="2"/>
    <x v="0"/>
  </r>
  <r>
    <n v="57186355912"/>
    <n v="46"/>
    <d v="2034-08-06T00:00:00"/>
    <s v=""/>
    <x v="2"/>
    <x v="0"/>
  </r>
  <r>
    <n v="29317621936"/>
    <n v="47"/>
    <d v="2034-08-06T00:00:00"/>
    <s v=""/>
    <x v="2"/>
    <x v="0"/>
  </r>
  <r>
    <n v="34534163795"/>
    <n v="105"/>
    <d v="2034-08-06T00:00:00"/>
    <d v="2034-10-03T00:00:00"/>
    <x v="2"/>
    <x v="5"/>
  </r>
  <r>
    <n v="39197055728"/>
    <n v="111"/>
    <d v="2034-08-06T00:00:00"/>
    <m/>
    <x v="2"/>
    <x v="0"/>
  </r>
  <r>
    <n v="62509010423"/>
    <n v="115"/>
    <d v="2034-08-06T00:00:00"/>
    <s v=""/>
    <x v="2"/>
    <x v="0"/>
  </r>
  <r>
    <n v="50648553298"/>
    <n v="123"/>
    <d v="2034-08-06T00:00:00"/>
    <s v=""/>
    <x v="2"/>
    <x v="0"/>
  </r>
  <r>
    <n v="98628367034"/>
    <n v="135"/>
    <d v="2034-08-06T00:00:00"/>
    <s v=""/>
    <x v="2"/>
    <x v="0"/>
  </r>
  <r>
    <n v="82963969778"/>
    <n v="151"/>
    <d v="2034-08-06T00:00:00"/>
    <m/>
    <x v="2"/>
    <x v="0"/>
  </r>
  <r>
    <n v="48799942531"/>
    <n v="178"/>
    <d v="2034-08-06T00:00:00"/>
    <s v=""/>
    <x v="2"/>
    <x v="0"/>
  </r>
  <r>
    <n v="80684049499"/>
    <n v="185"/>
    <d v="2034-08-06T00:00:00"/>
    <s v=""/>
    <x v="2"/>
    <x v="0"/>
  </r>
  <r>
    <n v="44333130078"/>
    <n v="213"/>
    <d v="2034-08-06T00:00:00"/>
    <s v=""/>
    <x v="2"/>
    <x v="0"/>
  </r>
  <r>
    <n v="23961115690"/>
    <n v="230"/>
    <d v="2034-08-06T00:00:00"/>
    <s v=""/>
    <x v="2"/>
    <x v="0"/>
  </r>
  <r>
    <n v="76907593219"/>
    <n v="242"/>
    <d v="2034-08-06T00:00:00"/>
    <s v=""/>
    <x v="2"/>
    <x v="0"/>
  </r>
  <r>
    <n v="67608245481"/>
    <n v="253"/>
    <d v="2034-08-06T00:00:00"/>
    <d v="2034-09-07T00:00:00"/>
    <x v="2"/>
    <x v="3"/>
  </r>
  <r>
    <n v="70360784043"/>
    <n v="259"/>
    <d v="2034-08-06T00:00:00"/>
    <s v=""/>
    <x v="2"/>
    <x v="0"/>
  </r>
  <r>
    <n v="23599653324"/>
    <n v="282"/>
    <d v="2034-08-06T00:00:00"/>
    <d v="2034-08-24T00:00:00"/>
    <x v="2"/>
    <x v="4"/>
  </r>
  <r>
    <n v="24116123261"/>
    <n v="289"/>
    <d v="2034-08-06T00:00:00"/>
    <s v=""/>
    <x v="2"/>
    <x v="0"/>
  </r>
  <r>
    <n v="61008671853"/>
    <n v="316"/>
    <d v="2034-08-06T00:00:00"/>
    <s v=""/>
    <x v="2"/>
    <x v="0"/>
  </r>
  <r>
    <n v="47180208242"/>
    <n v="325"/>
    <d v="2034-08-06T00:00:00"/>
    <s v=""/>
    <x v="2"/>
    <x v="0"/>
  </r>
  <r>
    <n v="89115803525"/>
    <n v="22"/>
    <d v="2034-08-07T00:00:00"/>
    <d v="2034-08-25T00:00:00"/>
    <x v="2"/>
    <x v="4"/>
  </r>
  <r>
    <n v="60413949604"/>
    <n v="50"/>
    <d v="2034-08-07T00:00:00"/>
    <d v="2034-08-22T00:00:00"/>
    <x v="2"/>
    <x v="4"/>
  </r>
  <r>
    <n v="76095825632"/>
    <n v="56"/>
    <d v="2034-08-07T00:00:00"/>
    <m/>
    <x v="2"/>
    <x v="0"/>
  </r>
  <r>
    <n v="90885946417"/>
    <n v="93"/>
    <d v="2034-08-07T00:00:00"/>
    <s v=""/>
    <x v="2"/>
    <x v="0"/>
  </r>
  <r>
    <n v="13073504413"/>
    <n v="95"/>
    <d v="2034-08-07T00:00:00"/>
    <s v=""/>
    <x v="2"/>
    <x v="0"/>
  </r>
  <r>
    <n v="85565411013"/>
    <n v="105"/>
    <d v="2034-08-07T00:00:00"/>
    <s v=""/>
    <x v="2"/>
    <x v="0"/>
  </r>
  <r>
    <n v="26870047993"/>
    <n v="114"/>
    <d v="2034-08-07T00:00:00"/>
    <s v=""/>
    <x v="2"/>
    <x v="0"/>
  </r>
  <r>
    <n v="77038818208"/>
    <n v="120"/>
    <d v="2034-08-07T00:00:00"/>
    <m/>
    <x v="2"/>
    <x v="0"/>
  </r>
  <r>
    <n v="38625186922"/>
    <n v="128"/>
    <d v="2034-08-07T00:00:00"/>
    <s v=""/>
    <x v="2"/>
    <x v="0"/>
  </r>
  <r>
    <n v="86330646325"/>
    <n v="141"/>
    <d v="2034-08-07T00:00:00"/>
    <s v=""/>
    <x v="2"/>
    <x v="0"/>
  </r>
  <r>
    <n v="37913741268"/>
    <n v="144"/>
    <d v="2034-08-07T00:00:00"/>
    <d v="2034-11-15T00:00:00"/>
    <x v="2"/>
    <x v="6"/>
  </r>
  <r>
    <n v="50039265775"/>
    <n v="153"/>
    <d v="2034-08-07T00:00:00"/>
    <s v=""/>
    <x v="2"/>
    <x v="0"/>
  </r>
  <r>
    <n v="51735025683"/>
    <n v="170"/>
    <d v="2034-08-07T00:00:00"/>
    <s v=""/>
    <x v="2"/>
    <x v="0"/>
  </r>
  <r>
    <n v="16108636223"/>
    <n v="181"/>
    <d v="2034-08-07T00:00:00"/>
    <s v=""/>
    <x v="2"/>
    <x v="0"/>
  </r>
  <r>
    <n v="26996583633"/>
    <n v="186"/>
    <d v="2034-08-07T00:00:00"/>
    <s v=""/>
    <x v="2"/>
    <x v="0"/>
  </r>
  <r>
    <n v="51394234580"/>
    <n v="187"/>
    <d v="2034-08-07T00:00:00"/>
    <m/>
    <x v="2"/>
    <x v="0"/>
  </r>
  <r>
    <n v="36250900182"/>
    <n v="195"/>
    <d v="2034-08-07T00:00:00"/>
    <d v="2034-12-01T00:00:00"/>
    <x v="2"/>
    <x v="7"/>
  </r>
  <r>
    <n v="57956876074"/>
    <n v="199"/>
    <d v="2034-08-07T00:00:00"/>
    <s v=""/>
    <x v="2"/>
    <x v="0"/>
  </r>
  <r>
    <n v="18308693109"/>
    <n v="202"/>
    <d v="2034-08-07T00:00:00"/>
    <d v="2034-09-11T00:00:00"/>
    <x v="2"/>
    <x v="3"/>
  </r>
  <r>
    <n v="85023887032"/>
    <n v="221"/>
    <d v="2034-08-07T00:00:00"/>
    <d v="2034-08-26T00:00:00"/>
    <x v="2"/>
    <x v="4"/>
  </r>
  <r>
    <n v="97555683046"/>
    <n v="231"/>
    <d v="2034-08-07T00:00:00"/>
    <s v=""/>
    <x v="2"/>
    <x v="0"/>
  </r>
  <r>
    <n v="86270542963"/>
    <n v="237"/>
    <d v="2034-08-07T00:00:00"/>
    <d v="2034-11-16T00:00:00"/>
    <x v="2"/>
    <x v="6"/>
  </r>
  <r>
    <n v="57603412835"/>
    <n v="257"/>
    <d v="2034-08-07T00:00:00"/>
    <d v="2034-12-04T00:00:00"/>
    <x v="2"/>
    <x v="7"/>
  </r>
  <r>
    <n v="96620365402"/>
    <n v="264"/>
    <d v="2034-08-07T00:00:00"/>
    <s v=""/>
    <x v="2"/>
    <x v="0"/>
  </r>
  <r>
    <n v="67455767152"/>
    <n v="302"/>
    <d v="2034-08-07T00:00:00"/>
    <s v=""/>
    <x v="2"/>
    <x v="0"/>
  </r>
  <r>
    <n v="84465125000"/>
    <n v="328"/>
    <d v="2034-08-07T00:00:00"/>
    <s v=""/>
    <x v="2"/>
    <x v="0"/>
  </r>
  <r>
    <n v="51251401076"/>
    <n v="333"/>
    <d v="2034-08-07T00:00:00"/>
    <d v="2034-11-05T00:00:00"/>
    <x v="2"/>
    <x v="6"/>
  </r>
  <r>
    <n v="78307455223"/>
    <n v="336"/>
    <d v="2034-08-07T00:00:00"/>
    <d v="2034-08-21T00:00:00"/>
    <x v="2"/>
    <x v="4"/>
  </r>
  <r>
    <n v="82861831167"/>
    <n v="14"/>
    <d v="2034-08-08T00:00:00"/>
    <s v=""/>
    <x v="2"/>
    <x v="0"/>
  </r>
  <r>
    <n v="97301292379"/>
    <n v="50"/>
    <d v="2034-08-08T00:00:00"/>
    <s v=""/>
    <x v="2"/>
    <x v="0"/>
  </r>
  <r>
    <n v="46248368895"/>
    <n v="52"/>
    <d v="2034-08-08T00:00:00"/>
    <d v="2034-09-23T00:00:00"/>
    <x v="2"/>
    <x v="3"/>
  </r>
  <r>
    <n v="45385133720"/>
    <n v="58"/>
    <d v="2034-08-08T00:00:00"/>
    <s v=""/>
    <x v="2"/>
    <x v="0"/>
  </r>
  <r>
    <n v="81286443151"/>
    <n v="61"/>
    <d v="2034-08-08T00:00:00"/>
    <s v=""/>
    <x v="2"/>
    <x v="0"/>
  </r>
  <r>
    <n v="40659697771"/>
    <n v="69"/>
    <d v="2034-08-08T00:00:00"/>
    <s v=""/>
    <x v="2"/>
    <x v="0"/>
  </r>
  <r>
    <n v="66786844509"/>
    <n v="99"/>
    <d v="2034-08-08T00:00:00"/>
    <s v=""/>
    <x v="2"/>
    <x v="0"/>
  </r>
  <r>
    <n v="78075079287"/>
    <n v="119"/>
    <d v="2034-08-08T00:00:00"/>
    <s v=""/>
    <x v="2"/>
    <x v="0"/>
  </r>
  <r>
    <n v="54956216360"/>
    <n v="130"/>
    <d v="2034-08-08T00:00:00"/>
    <s v=""/>
    <x v="2"/>
    <x v="0"/>
  </r>
  <r>
    <n v="64512139354"/>
    <n v="153"/>
    <d v="2034-08-08T00:00:00"/>
    <s v=""/>
    <x v="2"/>
    <x v="0"/>
  </r>
  <r>
    <n v="84920261442"/>
    <n v="162"/>
    <d v="2034-08-08T00:00:00"/>
    <s v=""/>
    <x v="2"/>
    <x v="0"/>
  </r>
  <r>
    <n v="27892077619"/>
    <n v="183"/>
    <d v="2034-08-08T00:00:00"/>
    <s v=""/>
    <x v="2"/>
    <x v="0"/>
  </r>
  <r>
    <n v="76052873897"/>
    <n v="204"/>
    <d v="2034-08-08T00:00:00"/>
    <s v=""/>
    <x v="2"/>
    <x v="0"/>
  </r>
  <r>
    <n v="54020666885"/>
    <n v="215"/>
    <d v="2034-08-08T00:00:00"/>
    <s v=""/>
    <x v="2"/>
    <x v="0"/>
  </r>
  <r>
    <n v="73706695482"/>
    <n v="234"/>
    <d v="2034-08-08T00:00:00"/>
    <s v=""/>
    <x v="2"/>
    <x v="0"/>
  </r>
  <r>
    <n v="28039493894"/>
    <n v="246"/>
    <d v="2034-08-08T00:00:00"/>
    <s v=""/>
    <x v="2"/>
    <x v="0"/>
  </r>
  <r>
    <n v="75748390520"/>
    <n v="284"/>
    <d v="2034-08-08T00:00:00"/>
    <s v=""/>
    <x v="2"/>
    <x v="0"/>
  </r>
  <r>
    <n v="48089539884"/>
    <n v="288"/>
    <d v="2034-08-08T00:00:00"/>
    <s v=""/>
    <x v="2"/>
    <x v="0"/>
  </r>
  <r>
    <n v="90781011815"/>
    <n v="290"/>
    <d v="2034-08-08T00:00:00"/>
    <d v="2034-12-04T00:00:00"/>
    <x v="2"/>
    <x v="7"/>
  </r>
  <r>
    <n v="29817575147"/>
    <n v="301"/>
    <d v="2034-08-08T00:00:00"/>
    <d v="2034-09-28T00:00:00"/>
    <x v="2"/>
    <x v="3"/>
  </r>
  <r>
    <n v="41811159939"/>
    <n v="334"/>
    <d v="2034-08-08T00:00:00"/>
    <d v="2034-10-14T00:00:00"/>
    <x v="2"/>
    <x v="5"/>
  </r>
  <r>
    <n v="98441537737"/>
    <n v="0"/>
    <d v="2034-08-09T00:00:00"/>
    <m/>
    <x v="2"/>
    <x v="0"/>
  </r>
  <r>
    <n v="23027282574"/>
    <n v="7"/>
    <d v="2034-08-09T00:00:00"/>
    <s v=""/>
    <x v="2"/>
    <x v="0"/>
  </r>
  <r>
    <n v="37404099326"/>
    <n v="8"/>
    <d v="2034-08-09T00:00:00"/>
    <s v=""/>
    <x v="2"/>
    <x v="0"/>
  </r>
  <r>
    <n v="71911565159"/>
    <n v="23"/>
    <d v="2034-08-09T00:00:00"/>
    <s v=""/>
    <x v="2"/>
    <x v="0"/>
  </r>
  <r>
    <n v="74859663699"/>
    <n v="25"/>
    <d v="2034-08-09T00:00:00"/>
    <s v=""/>
    <x v="2"/>
    <x v="0"/>
  </r>
  <r>
    <n v="39060375941"/>
    <n v="34"/>
    <d v="2034-08-09T00:00:00"/>
    <d v="2034-09-29T00:00:00"/>
    <x v="2"/>
    <x v="3"/>
  </r>
  <r>
    <n v="51105193231"/>
    <n v="44"/>
    <d v="2034-08-09T00:00:00"/>
    <s v=""/>
    <x v="2"/>
    <x v="0"/>
  </r>
  <r>
    <n v="40953896264"/>
    <n v="58"/>
    <d v="2034-08-09T00:00:00"/>
    <d v="2034-08-09T00:00:00"/>
    <x v="2"/>
    <x v="4"/>
  </r>
  <r>
    <n v="36012420993"/>
    <n v="68"/>
    <d v="2034-08-09T00:00:00"/>
    <d v="2034-09-27T00:00:00"/>
    <x v="2"/>
    <x v="3"/>
  </r>
  <r>
    <n v="93912746655"/>
    <n v="81"/>
    <d v="2034-08-09T00:00:00"/>
    <s v=""/>
    <x v="2"/>
    <x v="0"/>
  </r>
  <r>
    <n v="57491985142"/>
    <n v="91"/>
    <d v="2034-08-09T00:00:00"/>
    <m/>
    <x v="2"/>
    <x v="0"/>
  </r>
  <r>
    <n v="58132139349"/>
    <n v="125"/>
    <d v="2034-08-09T00:00:00"/>
    <s v=""/>
    <x v="2"/>
    <x v="0"/>
  </r>
  <r>
    <n v="23603877313"/>
    <n v="131"/>
    <d v="2034-08-09T00:00:00"/>
    <s v=""/>
    <x v="2"/>
    <x v="0"/>
  </r>
  <r>
    <n v="63153207502"/>
    <n v="142"/>
    <d v="2034-08-09T00:00:00"/>
    <s v=""/>
    <x v="2"/>
    <x v="0"/>
  </r>
  <r>
    <n v="72953101313"/>
    <n v="142"/>
    <d v="2034-08-09T00:00:00"/>
    <s v=""/>
    <x v="2"/>
    <x v="0"/>
  </r>
  <r>
    <n v="21334835986"/>
    <n v="150"/>
    <d v="2034-08-09T00:00:00"/>
    <m/>
    <x v="2"/>
    <x v="0"/>
  </r>
  <r>
    <n v="32834281650"/>
    <n v="192"/>
    <d v="2034-08-09T00:00:00"/>
    <d v="2034-09-07T00:00:00"/>
    <x v="2"/>
    <x v="3"/>
  </r>
  <r>
    <n v="83000014181"/>
    <n v="215"/>
    <d v="2034-08-09T00:00:00"/>
    <s v=""/>
    <x v="2"/>
    <x v="0"/>
  </r>
  <r>
    <n v="40938186566"/>
    <n v="238"/>
    <d v="2034-08-09T00:00:00"/>
    <s v=""/>
    <x v="2"/>
    <x v="0"/>
  </r>
  <r>
    <n v="13687287800"/>
    <n v="256"/>
    <d v="2034-08-09T00:00:00"/>
    <s v=""/>
    <x v="2"/>
    <x v="0"/>
  </r>
  <r>
    <n v="73819021208"/>
    <n v="258"/>
    <d v="2034-08-09T00:00:00"/>
    <d v="2034-10-10T00:00:00"/>
    <x v="2"/>
    <x v="5"/>
  </r>
  <r>
    <n v="71412338624"/>
    <n v="273"/>
    <d v="2034-08-09T00:00:00"/>
    <s v=""/>
    <x v="2"/>
    <x v="0"/>
  </r>
  <r>
    <n v="65761119202"/>
    <n v="290"/>
    <d v="2034-08-09T00:00:00"/>
    <m/>
    <x v="2"/>
    <x v="0"/>
  </r>
  <r>
    <n v="20154667294"/>
    <n v="310"/>
    <d v="2034-08-09T00:00:00"/>
    <s v=""/>
    <x v="2"/>
    <x v="0"/>
  </r>
  <r>
    <n v="78570424588"/>
    <n v="318"/>
    <d v="2034-08-09T00:00:00"/>
    <s v=""/>
    <x v="2"/>
    <x v="0"/>
  </r>
  <r>
    <n v="81297046938"/>
    <n v="8"/>
    <d v="2034-08-10T00:00:00"/>
    <d v="2034-09-11T00:00:00"/>
    <x v="2"/>
    <x v="3"/>
  </r>
  <r>
    <n v="95211021932"/>
    <n v="19"/>
    <d v="2034-08-10T00:00:00"/>
    <s v=""/>
    <x v="2"/>
    <x v="0"/>
  </r>
  <r>
    <n v="76820078128"/>
    <n v="30"/>
    <d v="2034-08-10T00:00:00"/>
    <s v=""/>
    <x v="2"/>
    <x v="0"/>
  </r>
  <r>
    <n v="33258653697"/>
    <n v="54"/>
    <d v="2034-08-10T00:00:00"/>
    <d v="2034-12-04T00:00:00"/>
    <x v="2"/>
    <x v="7"/>
  </r>
  <r>
    <n v="33000829293"/>
    <n v="55"/>
    <d v="2034-08-10T00:00:00"/>
    <s v=""/>
    <x v="2"/>
    <x v="0"/>
  </r>
  <r>
    <n v="40137503561"/>
    <n v="92"/>
    <d v="2034-08-10T00:00:00"/>
    <d v="2034-11-30T00:00:00"/>
    <x v="2"/>
    <x v="6"/>
  </r>
  <r>
    <n v="34938633418"/>
    <n v="95"/>
    <d v="2034-08-10T00:00:00"/>
    <d v="2034-09-17T00:00:00"/>
    <x v="2"/>
    <x v="3"/>
  </r>
  <r>
    <n v="41213775689"/>
    <n v="103"/>
    <d v="2034-08-10T00:00:00"/>
    <d v="2034-09-20T00:00:00"/>
    <x v="2"/>
    <x v="3"/>
  </r>
  <r>
    <n v="76028758453"/>
    <n v="107"/>
    <d v="2034-08-10T00:00:00"/>
    <d v="2034-09-04T00:00:00"/>
    <x v="2"/>
    <x v="3"/>
  </r>
  <r>
    <n v="58233670709"/>
    <n v="110"/>
    <d v="2034-08-10T00:00:00"/>
    <s v=""/>
    <x v="2"/>
    <x v="0"/>
  </r>
  <r>
    <n v="88751405288"/>
    <n v="115"/>
    <d v="2034-08-10T00:00:00"/>
    <s v=""/>
    <x v="2"/>
    <x v="0"/>
  </r>
  <r>
    <n v="49470176290"/>
    <n v="140"/>
    <d v="2034-08-10T00:00:00"/>
    <s v=""/>
    <x v="2"/>
    <x v="0"/>
  </r>
  <r>
    <n v="46574981792"/>
    <n v="152"/>
    <d v="2034-08-10T00:00:00"/>
    <s v=""/>
    <x v="2"/>
    <x v="0"/>
  </r>
  <r>
    <n v="91241014241"/>
    <n v="191"/>
    <d v="2034-08-10T00:00:00"/>
    <s v=""/>
    <x v="2"/>
    <x v="0"/>
  </r>
  <r>
    <n v="24357531290"/>
    <n v="215"/>
    <d v="2034-08-10T00:00:00"/>
    <s v=""/>
    <x v="2"/>
    <x v="0"/>
  </r>
  <r>
    <n v="65421302781"/>
    <n v="265"/>
    <d v="2034-08-10T00:00:00"/>
    <d v="2034-08-28T00:00:00"/>
    <x v="2"/>
    <x v="4"/>
  </r>
  <r>
    <n v="97257395469"/>
    <n v="277"/>
    <d v="2034-08-10T00:00:00"/>
    <s v=""/>
    <x v="2"/>
    <x v="0"/>
  </r>
  <r>
    <n v="94348738345"/>
    <n v="301"/>
    <d v="2034-08-10T00:00:00"/>
    <s v=""/>
    <x v="2"/>
    <x v="0"/>
  </r>
  <r>
    <n v="44977388322"/>
    <n v="311"/>
    <d v="2034-08-10T00:00:00"/>
    <d v="2034-10-10T00:00:00"/>
    <x v="2"/>
    <x v="5"/>
  </r>
  <r>
    <n v="56796581364"/>
    <n v="7"/>
    <d v="2034-08-11T00:00:00"/>
    <d v="2034-10-01T00:00:00"/>
    <x v="2"/>
    <x v="5"/>
  </r>
  <r>
    <n v="30522087890"/>
    <n v="8"/>
    <d v="2034-08-11T00:00:00"/>
    <s v=""/>
    <x v="2"/>
    <x v="0"/>
  </r>
  <r>
    <n v="78747594519"/>
    <n v="75"/>
    <d v="2034-08-11T00:00:00"/>
    <d v="2034-11-06T00:00:00"/>
    <x v="2"/>
    <x v="6"/>
  </r>
  <r>
    <n v="93989075461"/>
    <n v="94"/>
    <d v="2034-08-11T00:00:00"/>
    <s v=""/>
    <x v="2"/>
    <x v="0"/>
  </r>
  <r>
    <n v="30013707638"/>
    <n v="124"/>
    <d v="2034-08-11T00:00:00"/>
    <s v=""/>
    <x v="2"/>
    <x v="0"/>
  </r>
  <r>
    <n v="64830649719"/>
    <n v="124"/>
    <d v="2034-08-11T00:00:00"/>
    <s v=""/>
    <x v="2"/>
    <x v="0"/>
  </r>
  <r>
    <n v="63153796101"/>
    <n v="132"/>
    <d v="2034-08-11T00:00:00"/>
    <s v=""/>
    <x v="2"/>
    <x v="0"/>
  </r>
  <r>
    <n v="49058353390"/>
    <n v="148"/>
    <d v="2034-08-11T00:00:00"/>
    <s v=""/>
    <x v="2"/>
    <x v="0"/>
  </r>
  <r>
    <n v="15129876332"/>
    <n v="149"/>
    <d v="2034-08-11T00:00:00"/>
    <s v=""/>
    <x v="2"/>
    <x v="0"/>
  </r>
  <r>
    <n v="79840864773"/>
    <n v="157"/>
    <d v="2034-08-11T00:00:00"/>
    <s v=""/>
    <x v="2"/>
    <x v="0"/>
  </r>
  <r>
    <n v="30635210876"/>
    <n v="162"/>
    <d v="2034-08-11T00:00:00"/>
    <s v=""/>
    <x v="2"/>
    <x v="0"/>
  </r>
  <r>
    <n v="13233794737"/>
    <n v="166"/>
    <d v="2034-08-11T00:00:00"/>
    <s v=""/>
    <x v="2"/>
    <x v="0"/>
  </r>
  <r>
    <n v="28910415025"/>
    <n v="185"/>
    <d v="2034-08-11T00:00:00"/>
    <s v=""/>
    <x v="2"/>
    <x v="0"/>
  </r>
  <r>
    <n v="48524647133"/>
    <n v="198"/>
    <d v="2034-08-11T00:00:00"/>
    <d v="2034-09-14T00:00:00"/>
    <x v="2"/>
    <x v="3"/>
  </r>
  <r>
    <n v="33781857130"/>
    <n v="201"/>
    <d v="2034-08-11T00:00:00"/>
    <s v=""/>
    <x v="2"/>
    <x v="0"/>
  </r>
  <r>
    <n v="33667573853"/>
    <n v="230"/>
    <d v="2034-08-11T00:00:00"/>
    <s v=""/>
    <x v="2"/>
    <x v="0"/>
  </r>
  <r>
    <n v="44809069453"/>
    <n v="237"/>
    <d v="2034-08-11T00:00:00"/>
    <m/>
    <x v="2"/>
    <x v="0"/>
  </r>
  <r>
    <n v="90969263333"/>
    <n v="240"/>
    <d v="2034-08-11T00:00:00"/>
    <s v=""/>
    <x v="2"/>
    <x v="0"/>
  </r>
  <r>
    <n v="58608009978"/>
    <n v="260"/>
    <d v="2034-08-11T00:00:00"/>
    <s v=""/>
    <x v="2"/>
    <x v="0"/>
  </r>
  <r>
    <n v="40441266373"/>
    <n v="273"/>
    <d v="2034-08-11T00:00:00"/>
    <d v="2034-09-16T00:00:00"/>
    <x v="2"/>
    <x v="3"/>
  </r>
  <r>
    <n v="58253294989"/>
    <n v="281"/>
    <d v="2034-08-11T00:00:00"/>
    <s v=""/>
    <x v="2"/>
    <x v="0"/>
  </r>
  <r>
    <n v="18155390416"/>
    <n v="287"/>
    <d v="2034-08-11T00:00:00"/>
    <d v="2034-08-19T00:00:00"/>
    <x v="2"/>
    <x v="4"/>
  </r>
  <r>
    <n v="82058128900"/>
    <n v="290"/>
    <d v="2034-08-11T00:00:00"/>
    <s v=""/>
    <x v="2"/>
    <x v="0"/>
  </r>
  <r>
    <n v="90417168307"/>
    <n v="293"/>
    <d v="2034-08-11T00:00:00"/>
    <m/>
    <x v="2"/>
    <x v="0"/>
  </r>
  <r>
    <n v="64506366097"/>
    <n v="306"/>
    <d v="2034-08-11T00:00:00"/>
    <d v="2034-12-08T00:00:00"/>
    <x v="2"/>
    <x v="7"/>
  </r>
  <r>
    <n v="14778185314"/>
    <n v="11"/>
    <d v="2034-08-12T00:00:00"/>
    <m/>
    <x v="2"/>
    <x v="0"/>
  </r>
  <r>
    <n v="88779324349"/>
    <n v="36"/>
    <d v="2034-08-12T00:00:00"/>
    <s v=""/>
    <x v="2"/>
    <x v="0"/>
  </r>
  <r>
    <n v="26020352333"/>
    <n v="54"/>
    <d v="2034-08-12T00:00:00"/>
    <d v="2034-12-06T00:00:00"/>
    <x v="2"/>
    <x v="7"/>
  </r>
  <r>
    <n v="25439973492"/>
    <n v="64"/>
    <d v="2034-08-12T00:00:00"/>
    <s v=""/>
    <x v="2"/>
    <x v="0"/>
  </r>
  <r>
    <n v="78654833041"/>
    <n v="98"/>
    <d v="2034-08-12T00:00:00"/>
    <s v=""/>
    <x v="2"/>
    <x v="0"/>
  </r>
  <r>
    <n v="16924443207"/>
    <n v="110"/>
    <d v="2034-08-12T00:00:00"/>
    <s v=""/>
    <x v="2"/>
    <x v="0"/>
  </r>
  <r>
    <n v="30310528460"/>
    <n v="112"/>
    <d v="2034-08-12T00:00:00"/>
    <s v=""/>
    <x v="2"/>
    <x v="0"/>
  </r>
  <r>
    <n v="38016487835"/>
    <n v="112"/>
    <d v="2034-08-12T00:00:00"/>
    <s v=""/>
    <x v="2"/>
    <x v="0"/>
  </r>
  <r>
    <n v="15385217157"/>
    <n v="165"/>
    <d v="2034-08-12T00:00:00"/>
    <d v="2034-12-07T00:00:00"/>
    <x v="2"/>
    <x v="7"/>
  </r>
  <r>
    <n v="41204718055"/>
    <n v="173"/>
    <d v="2034-08-12T00:00:00"/>
    <s v=""/>
    <x v="2"/>
    <x v="0"/>
  </r>
  <r>
    <n v="91743120045"/>
    <n v="179"/>
    <d v="2034-08-12T00:00:00"/>
    <s v=""/>
    <x v="2"/>
    <x v="0"/>
  </r>
  <r>
    <n v="26022907523"/>
    <n v="183"/>
    <d v="2034-08-12T00:00:00"/>
    <s v=""/>
    <x v="2"/>
    <x v="0"/>
  </r>
  <r>
    <n v="43763814202"/>
    <n v="211"/>
    <d v="2034-08-12T00:00:00"/>
    <s v=""/>
    <x v="2"/>
    <x v="0"/>
  </r>
  <r>
    <n v="56420092453"/>
    <n v="224"/>
    <d v="2034-08-12T00:00:00"/>
    <s v=""/>
    <x v="2"/>
    <x v="0"/>
  </r>
  <r>
    <n v="27648148815"/>
    <n v="252"/>
    <d v="2034-08-12T00:00:00"/>
    <m/>
    <x v="2"/>
    <x v="0"/>
  </r>
  <r>
    <n v="76473511259"/>
    <n v="255"/>
    <d v="2034-08-12T00:00:00"/>
    <s v=""/>
    <x v="2"/>
    <x v="0"/>
  </r>
  <r>
    <n v="75113438461"/>
    <n v="291"/>
    <d v="2034-08-12T00:00:00"/>
    <s v=""/>
    <x v="2"/>
    <x v="0"/>
  </r>
  <r>
    <n v="71452978471"/>
    <n v="319"/>
    <d v="2034-08-12T00:00:00"/>
    <s v=""/>
    <x v="2"/>
    <x v="0"/>
  </r>
  <r>
    <n v="33054200715"/>
    <n v="328"/>
    <d v="2034-08-12T00:00:00"/>
    <s v=""/>
    <x v="2"/>
    <x v="0"/>
  </r>
  <r>
    <n v="61176513402"/>
    <n v="334"/>
    <d v="2034-08-12T00:00:00"/>
    <m/>
    <x v="2"/>
    <x v="0"/>
  </r>
  <r>
    <n v="85359887079"/>
    <n v="339"/>
    <d v="2034-08-12T00:00:00"/>
    <s v=""/>
    <x v="2"/>
    <x v="0"/>
  </r>
  <r>
    <n v="41803840882"/>
    <n v="4"/>
    <d v="2034-08-13T00:00:00"/>
    <d v="2034-11-09T00:00:00"/>
    <x v="2"/>
    <x v="6"/>
  </r>
  <r>
    <n v="72914659394"/>
    <n v="5"/>
    <d v="2034-08-13T00:00:00"/>
    <m/>
    <x v="2"/>
    <x v="0"/>
  </r>
  <r>
    <n v="40637222564"/>
    <n v="25"/>
    <d v="2034-08-13T00:00:00"/>
    <d v="2034-11-19T00:00:00"/>
    <x v="2"/>
    <x v="6"/>
  </r>
  <r>
    <n v="37614374210"/>
    <n v="35"/>
    <d v="2034-08-13T00:00:00"/>
    <s v=""/>
    <x v="2"/>
    <x v="0"/>
  </r>
  <r>
    <n v="50282250511"/>
    <n v="86"/>
    <d v="2034-08-13T00:00:00"/>
    <s v=""/>
    <x v="2"/>
    <x v="0"/>
  </r>
  <r>
    <n v="12725158977"/>
    <n v="105"/>
    <d v="2034-08-13T00:00:00"/>
    <d v="2034-08-21T00:00:00"/>
    <x v="2"/>
    <x v="4"/>
  </r>
  <r>
    <n v="15764766184"/>
    <n v="120"/>
    <d v="2034-08-13T00:00:00"/>
    <s v=""/>
    <x v="2"/>
    <x v="0"/>
  </r>
  <r>
    <n v="58162084500"/>
    <n v="128"/>
    <d v="2034-08-13T00:00:00"/>
    <s v=""/>
    <x v="2"/>
    <x v="0"/>
  </r>
  <r>
    <n v="77496164720"/>
    <n v="174"/>
    <d v="2034-08-13T00:00:00"/>
    <d v="2034-09-15T00:00:00"/>
    <x v="2"/>
    <x v="3"/>
  </r>
  <r>
    <n v="98592572118"/>
    <n v="178"/>
    <d v="2034-08-13T00:00:00"/>
    <s v=""/>
    <x v="2"/>
    <x v="0"/>
  </r>
  <r>
    <n v="83529800230"/>
    <n v="189"/>
    <d v="2034-08-13T00:00:00"/>
    <s v=""/>
    <x v="2"/>
    <x v="0"/>
  </r>
  <r>
    <n v="47783371009"/>
    <n v="196"/>
    <d v="2034-08-13T00:00:00"/>
    <s v=""/>
    <x v="2"/>
    <x v="0"/>
  </r>
  <r>
    <n v="30920859610"/>
    <n v="198"/>
    <d v="2034-08-13T00:00:00"/>
    <s v=""/>
    <x v="2"/>
    <x v="0"/>
  </r>
  <r>
    <n v="20926017907"/>
    <n v="205"/>
    <d v="2034-08-13T00:00:00"/>
    <m/>
    <x v="2"/>
    <x v="0"/>
  </r>
  <r>
    <n v="97150608475"/>
    <n v="209"/>
    <d v="2034-08-13T00:00:00"/>
    <d v="2034-08-15T00:00:00"/>
    <x v="2"/>
    <x v="4"/>
  </r>
  <r>
    <n v="82352704355"/>
    <n v="234"/>
    <d v="2034-08-13T00:00:00"/>
    <s v=""/>
    <x v="2"/>
    <x v="0"/>
  </r>
  <r>
    <n v="24090331832"/>
    <n v="274"/>
    <d v="2034-08-13T00:00:00"/>
    <d v="2034-10-14T00:00:00"/>
    <x v="2"/>
    <x v="5"/>
  </r>
  <r>
    <n v="21684363278"/>
    <n v="275"/>
    <d v="2034-08-13T00:00:00"/>
    <s v=""/>
    <x v="2"/>
    <x v="0"/>
  </r>
  <r>
    <n v="26533805694"/>
    <n v="276"/>
    <d v="2034-08-13T00:00:00"/>
    <s v=""/>
    <x v="2"/>
    <x v="0"/>
  </r>
  <r>
    <n v="38270616166"/>
    <n v="295"/>
    <d v="2034-08-13T00:00:00"/>
    <s v=""/>
    <x v="2"/>
    <x v="0"/>
  </r>
  <r>
    <n v="54676171855"/>
    <n v="329"/>
    <d v="2034-08-13T00:00:00"/>
    <s v=""/>
    <x v="2"/>
    <x v="0"/>
  </r>
  <r>
    <n v="12058627094"/>
    <n v="35"/>
    <d v="2034-08-14T00:00:00"/>
    <s v=""/>
    <x v="2"/>
    <x v="0"/>
  </r>
  <r>
    <n v="21011104886"/>
    <n v="58"/>
    <d v="2034-08-14T00:00:00"/>
    <m/>
    <x v="2"/>
    <x v="0"/>
  </r>
  <r>
    <n v="13432594521"/>
    <n v="75"/>
    <d v="2034-08-14T00:00:00"/>
    <d v="2034-12-12T00:00:00"/>
    <x v="2"/>
    <x v="7"/>
  </r>
  <r>
    <n v="49305145505"/>
    <n v="91"/>
    <d v="2034-08-14T00:00:00"/>
    <s v=""/>
    <x v="2"/>
    <x v="0"/>
  </r>
  <r>
    <n v="49892544854"/>
    <n v="130"/>
    <d v="2034-08-14T00:00:00"/>
    <s v=""/>
    <x v="2"/>
    <x v="0"/>
  </r>
  <r>
    <n v="54241099885"/>
    <n v="164"/>
    <d v="2034-08-14T00:00:00"/>
    <d v="2034-10-16T00:00:00"/>
    <x v="2"/>
    <x v="5"/>
  </r>
  <r>
    <n v="91651012700"/>
    <n v="173"/>
    <d v="2034-08-14T00:00:00"/>
    <m/>
    <x v="2"/>
    <x v="0"/>
  </r>
  <r>
    <n v="57224593567"/>
    <n v="190"/>
    <d v="2034-08-14T00:00:00"/>
    <d v="2034-08-15T00:00:00"/>
    <x v="2"/>
    <x v="4"/>
  </r>
  <r>
    <n v="19392035521"/>
    <n v="191"/>
    <d v="2034-08-14T00:00:00"/>
    <s v=""/>
    <x v="2"/>
    <x v="0"/>
  </r>
  <r>
    <n v="66293438071"/>
    <n v="215"/>
    <d v="2034-08-14T00:00:00"/>
    <s v=""/>
    <x v="2"/>
    <x v="0"/>
  </r>
  <r>
    <n v="48740924876"/>
    <n v="235"/>
    <d v="2034-08-14T00:00:00"/>
    <s v=""/>
    <x v="2"/>
    <x v="0"/>
  </r>
  <r>
    <n v="70163085344"/>
    <n v="260"/>
    <d v="2034-08-14T00:00:00"/>
    <s v=""/>
    <x v="2"/>
    <x v="0"/>
  </r>
  <r>
    <n v="52561319643"/>
    <n v="327"/>
    <d v="2034-08-14T00:00:00"/>
    <s v=""/>
    <x v="2"/>
    <x v="0"/>
  </r>
  <r>
    <n v="22130114285"/>
    <n v="1"/>
    <d v="2034-08-15T00:00:00"/>
    <s v=""/>
    <x v="2"/>
    <x v="0"/>
  </r>
  <r>
    <n v="13451602367"/>
    <n v="9"/>
    <d v="2034-08-15T00:00:00"/>
    <d v="2034-08-16T00:00:00"/>
    <x v="2"/>
    <x v="4"/>
  </r>
  <r>
    <n v="62555300496"/>
    <n v="13"/>
    <d v="2034-08-15T00:00:00"/>
    <s v=""/>
    <x v="2"/>
    <x v="0"/>
  </r>
  <r>
    <n v="44312892340"/>
    <n v="59"/>
    <d v="2034-08-15T00:00:00"/>
    <s v=""/>
    <x v="2"/>
    <x v="0"/>
  </r>
  <r>
    <n v="33775388156"/>
    <n v="67"/>
    <d v="2034-08-15T00:00:00"/>
    <s v=""/>
    <x v="2"/>
    <x v="0"/>
  </r>
  <r>
    <n v="89593877645"/>
    <n v="77"/>
    <d v="2034-08-15T00:00:00"/>
    <d v="2034-08-26T00:00:00"/>
    <x v="2"/>
    <x v="4"/>
  </r>
  <r>
    <n v="49544418034"/>
    <n v="84"/>
    <d v="2034-08-15T00:00:00"/>
    <d v="2034-12-05T00:00:00"/>
    <x v="2"/>
    <x v="7"/>
  </r>
  <r>
    <n v="51343210002"/>
    <n v="97"/>
    <d v="2034-08-15T00:00:00"/>
    <d v="2034-08-24T00:00:00"/>
    <x v="2"/>
    <x v="4"/>
  </r>
  <r>
    <n v="89291518736"/>
    <n v="165"/>
    <d v="2034-08-15T00:00:00"/>
    <s v=""/>
    <x v="2"/>
    <x v="0"/>
  </r>
  <r>
    <n v="11840077812"/>
    <n v="165"/>
    <d v="2034-08-15T00:00:00"/>
    <s v=""/>
    <x v="2"/>
    <x v="0"/>
  </r>
  <r>
    <n v="20782426453"/>
    <n v="233"/>
    <d v="2034-08-15T00:00:00"/>
    <s v=""/>
    <x v="2"/>
    <x v="0"/>
  </r>
  <r>
    <n v="83211368115"/>
    <n v="241"/>
    <d v="2034-08-15T00:00:00"/>
    <d v="2034-10-27T00:00:00"/>
    <x v="2"/>
    <x v="5"/>
  </r>
  <r>
    <n v="15182677184"/>
    <n v="246"/>
    <d v="2034-08-15T00:00:00"/>
    <s v=""/>
    <x v="2"/>
    <x v="0"/>
  </r>
  <r>
    <n v="61620877315"/>
    <n v="254"/>
    <d v="2034-08-15T00:00:00"/>
    <s v=""/>
    <x v="2"/>
    <x v="0"/>
  </r>
  <r>
    <n v="25227024838"/>
    <n v="300"/>
    <d v="2034-08-15T00:00:00"/>
    <s v=""/>
    <x v="2"/>
    <x v="0"/>
  </r>
  <r>
    <n v="80513600382"/>
    <n v="304"/>
    <d v="2034-08-15T00:00:00"/>
    <s v=""/>
    <x v="2"/>
    <x v="0"/>
  </r>
  <r>
    <n v="25931979716"/>
    <n v="313"/>
    <d v="2034-08-15T00:00:00"/>
    <d v="2034-09-25T00:00:00"/>
    <x v="2"/>
    <x v="3"/>
  </r>
  <r>
    <n v="20742136191"/>
    <n v="323"/>
    <d v="2034-08-15T00:00:00"/>
    <s v=""/>
    <x v="2"/>
    <x v="0"/>
  </r>
  <r>
    <n v="26679816806"/>
    <n v="10"/>
    <d v="2034-08-16T00:00:00"/>
    <s v=""/>
    <x v="2"/>
    <x v="0"/>
  </r>
  <r>
    <n v="43525130372"/>
    <n v="14"/>
    <d v="2034-08-16T00:00:00"/>
    <s v=""/>
    <x v="2"/>
    <x v="0"/>
  </r>
  <r>
    <n v="65703755003"/>
    <n v="34"/>
    <d v="2034-08-16T00:00:00"/>
    <d v="2034-12-11T00:00:00"/>
    <x v="2"/>
    <x v="7"/>
  </r>
  <r>
    <n v="64097036240"/>
    <n v="71"/>
    <d v="2034-08-16T00:00:00"/>
    <s v=""/>
    <x v="2"/>
    <x v="0"/>
  </r>
  <r>
    <n v="30058404113"/>
    <n v="84"/>
    <d v="2034-08-16T00:00:00"/>
    <s v=""/>
    <x v="2"/>
    <x v="0"/>
  </r>
  <r>
    <n v="95411277511"/>
    <n v="92"/>
    <d v="2034-08-16T00:00:00"/>
    <d v="2034-11-12T00:00:00"/>
    <x v="2"/>
    <x v="6"/>
  </r>
  <r>
    <n v="61619947035"/>
    <n v="96"/>
    <d v="2034-08-16T00:00:00"/>
    <s v=""/>
    <x v="2"/>
    <x v="0"/>
  </r>
  <r>
    <n v="35723535549"/>
    <n v="107"/>
    <d v="2034-08-16T00:00:00"/>
    <s v=""/>
    <x v="2"/>
    <x v="0"/>
  </r>
  <r>
    <n v="35872395570"/>
    <n v="116"/>
    <d v="2034-08-16T00:00:00"/>
    <s v=""/>
    <x v="2"/>
    <x v="0"/>
  </r>
  <r>
    <n v="69588972051"/>
    <n v="117"/>
    <d v="2034-08-16T00:00:00"/>
    <d v="2034-09-15T00:00:00"/>
    <x v="2"/>
    <x v="3"/>
  </r>
  <r>
    <n v="79557331093"/>
    <n v="150"/>
    <d v="2034-08-16T00:00:00"/>
    <s v=""/>
    <x v="2"/>
    <x v="0"/>
  </r>
  <r>
    <n v="85490112021"/>
    <n v="150"/>
    <d v="2034-08-16T00:00:00"/>
    <s v=""/>
    <x v="2"/>
    <x v="0"/>
  </r>
  <r>
    <n v="27195582973"/>
    <n v="153"/>
    <d v="2034-08-16T00:00:00"/>
    <d v="2034-10-13T00:00:00"/>
    <x v="2"/>
    <x v="5"/>
  </r>
  <r>
    <n v="29151595583"/>
    <n v="164"/>
    <d v="2034-08-16T00:00:00"/>
    <s v=""/>
    <x v="2"/>
    <x v="0"/>
  </r>
  <r>
    <n v="93610280949"/>
    <n v="170"/>
    <d v="2034-08-16T00:00:00"/>
    <s v=""/>
    <x v="2"/>
    <x v="0"/>
  </r>
  <r>
    <n v="52160336050"/>
    <n v="175"/>
    <d v="2034-08-16T00:00:00"/>
    <s v=""/>
    <x v="2"/>
    <x v="0"/>
  </r>
  <r>
    <n v="99030425279"/>
    <n v="198"/>
    <d v="2034-08-16T00:00:00"/>
    <m/>
    <x v="2"/>
    <x v="0"/>
  </r>
  <r>
    <n v="43394252865"/>
    <n v="201"/>
    <d v="2034-08-16T00:00:00"/>
    <d v="2034-09-11T00:00:00"/>
    <x v="2"/>
    <x v="3"/>
  </r>
  <r>
    <n v="81307194086"/>
    <n v="205"/>
    <d v="2034-08-16T00:00:00"/>
    <s v=""/>
    <x v="2"/>
    <x v="0"/>
  </r>
  <r>
    <n v="95877988309"/>
    <n v="229"/>
    <d v="2034-08-16T00:00:00"/>
    <s v=""/>
    <x v="2"/>
    <x v="0"/>
  </r>
  <r>
    <n v="33490749940"/>
    <n v="329"/>
    <d v="2034-08-16T00:00:00"/>
    <m/>
    <x v="2"/>
    <x v="0"/>
  </r>
  <r>
    <n v="52731712412"/>
    <n v="9"/>
    <d v="2034-08-17T00:00:00"/>
    <s v=""/>
    <x v="2"/>
    <x v="0"/>
  </r>
  <r>
    <n v="21112848134"/>
    <n v="22"/>
    <d v="2034-08-17T00:00:00"/>
    <s v=""/>
    <x v="2"/>
    <x v="0"/>
  </r>
  <r>
    <n v="58220392556"/>
    <n v="24"/>
    <d v="2034-08-17T00:00:00"/>
    <d v="2034-12-04T00:00:00"/>
    <x v="2"/>
    <x v="7"/>
  </r>
  <r>
    <n v="37466989845"/>
    <n v="58"/>
    <d v="2034-08-17T00:00:00"/>
    <d v="2034-12-07T00:00:00"/>
    <x v="2"/>
    <x v="7"/>
  </r>
  <r>
    <n v="56073590346"/>
    <n v="89"/>
    <d v="2034-08-17T00:00:00"/>
    <s v=""/>
    <x v="2"/>
    <x v="0"/>
  </r>
  <r>
    <n v="79515182961"/>
    <n v="94"/>
    <d v="2034-08-17T00:00:00"/>
    <m/>
    <x v="2"/>
    <x v="0"/>
  </r>
  <r>
    <n v="51672648963"/>
    <n v="97"/>
    <d v="2034-08-17T00:00:00"/>
    <m/>
    <x v="2"/>
    <x v="0"/>
  </r>
  <r>
    <n v="24323484962"/>
    <n v="99"/>
    <d v="2034-08-17T00:00:00"/>
    <s v=""/>
    <x v="2"/>
    <x v="0"/>
  </r>
  <r>
    <n v="76192602983"/>
    <n v="103"/>
    <d v="2034-08-17T00:00:00"/>
    <s v=""/>
    <x v="2"/>
    <x v="0"/>
  </r>
  <r>
    <n v="90853673757"/>
    <n v="109"/>
    <d v="2034-08-17T00:00:00"/>
    <s v=""/>
    <x v="2"/>
    <x v="0"/>
  </r>
  <r>
    <n v="77109061500"/>
    <n v="168"/>
    <d v="2034-08-17T00:00:00"/>
    <s v=""/>
    <x v="2"/>
    <x v="0"/>
  </r>
  <r>
    <n v="50495431113"/>
    <n v="196"/>
    <d v="2034-08-17T00:00:00"/>
    <s v=""/>
    <x v="2"/>
    <x v="0"/>
  </r>
  <r>
    <n v="45412331482"/>
    <n v="203"/>
    <d v="2034-08-17T00:00:00"/>
    <s v=""/>
    <x v="2"/>
    <x v="0"/>
  </r>
  <r>
    <n v="49356982495"/>
    <n v="234"/>
    <d v="2034-08-17T00:00:00"/>
    <s v=""/>
    <x v="2"/>
    <x v="0"/>
  </r>
  <r>
    <n v="81041044370"/>
    <n v="235"/>
    <d v="2034-08-17T00:00:00"/>
    <d v="2034-11-04T00:00:00"/>
    <x v="2"/>
    <x v="6"/>
  </r>
  <r>
    <n v="62423950619"/>
    <n v="238"/>
    <d v="2034-08-17T00:00:00"/>
    <s v=""/>
    <x v="2"/>
    <x v="0"/>
  </r>
  <r>
    <n v="94982832301"/>
    <n v="244"/>
    <d v="2034-08-17T00:00:00"/>
    <s v=""/>
    <x v="2"/>
    <x v="0"/>
  </r>
  <r>
    <n v="87282161384"/>
    <n v="252"/>
    <d v="2034-08-17T00:00:00"/>
    <s v=""/>
    <x v="2"/>
    <x v="0"/>
  </r>
  <r>
    <n v="52502316429"/>
    <n v="253"/>
    <d v="2034-08-17T00:00:00"/>
    <s v=""/>
    <x v="2"/>
    <x v="0"/>
  </r>
  <r>
    <n v="72736582305"/>
    <n v="276"/>
    <d v="2034-08-17T00:00:00"/>
    <s v=""/>
    <x v="2"/>
    <x v="0"/>
  </r>
  <r>
    <n v="92703422800"/>
    <n v="293"/>
    <d v="2034-08-17T00:00:00"/>
    <s v=""/>
    <x v="2"/>
    <x v="0"/>
  </r>
  <r>
    <n v="34263668827"/>
    <n v="302"/>
    <d v="2034-08-17T00:00:00"/>
    <s v=""/>
    <x v="2"/>
    <x v="0"/>
  </r>
  <r>
    <n v="30285813485"/>
    <n v="320"/>
    <d v="2034-08-17T00:00:00"/>
    <s v=""/>
    <x v="2"/>
    <x v="0"/>
  </r>
  <r>
    <n v="36523520055"/>
    <n v="326"/>
    <d v="2034-08-17T00:00:00"/>
    <s v=""/>
    <x v="2"/>
    <x v="0"/>
  </r>
  <r>
    <n v="98948017834"/>
    <n v="326"/>
    <d v="2034-08-17T00:00:00"/>
    <d v="2034-11-05T00:00:00"/>
    <x v="2"/>
    <x v="6"/>
  </r>
  <r>
    <n v="74730872469"/>
    <n v="31"/>
    <d v="2034-08-18T00:00:00"/>
    <d v="2034-12-14T00:00:00"/>
    <x v="2"/>
    <x v="7"/>
  </r>
  <r>
    <n v="29583650585"/>
    <n v="36"/>
    <d v="2034-08-18T00:00:00"/>
    <d v="2034-12-04T00:00:00"/>
    <x v="2"/>
    <x v="7"/>
  </r>
  <r>
    <n v="65815515862"/>
    <n v="37"/>
    <d v="2034-08-18T00:00:00"/>
    <s v=""/>
    <x v="2"/>
    <x v="0"/>
  </r>
  <r>
    <n v="37107090388"/>
    <n v="61"/>
    <d v="2034-08-18T00:00:00"/>
    <s v=""/>
    <x v="2"/>
    <x v="0"/>
  </r>
  <r>
    <n v="53372617574"/>
    <n v="70"/>
    <d v="2034-08-18T00:00:00"/>
    <s v=""/>
    <x v="2"/>
    <x v="0"/>
  </r>
  <r>
    <n v="96323551787"/>
    <n v="73"/>
    <d v="2034-08-18T00:00:00"/>
    <s v=""/>
    <x v="2"/>
    <x v="0"/>
  </r>
  <r>
    <n v="95918220378"/>
    <n v="90"/>
    <d v="2034-08-18T00:00:00"/>
    <d v="2034-10-29T00:00:00"/>
    <x v="2"/>
    <x v="5"/>
  </r>
  <r>
    <n v="51166213884"/>
    <n v="96"/>
    <d v="2034-08-18T00:00:00"/>
    <s v=""/>
    <x v="2"/>
    <x v="0"/>
  </r>
  <r>
    <n v="71632987496"/>
    <n v="108"/>
    <d v="2034-08-18T00:00:00"/>
    <d v="2034-09-14T00:00:00"/>
    <x v="2"/>
    <x v="3"/>
  </r>
  <r>
    <n v="70873577141"/>
    <n v="111"/>
    <d v="2034-08-18T00:00:00"/>
    <d v="2034-09-02T00:00:00"/>
    <x v="2"/>
    <x v="3"/>
  </r>
  <r>
    <n v="98330573270"/>
    <n v="113"/>
    <d v="2034-08-18T00:00:00"/>
    <s v=""/>
    <x v="2"/>
    <x v="0"/>
  </r>
  <r>
    <n v="36688024134"/>
    <n v="117"/>
    <d v="2034-08-18T00:00:00"/>
    <m/>
    <x v="2"/>
    <x v="0"/>
  </r>
  <r>
    <n v="27980271502"/>
    <n v="150"/>
    <d v="2034-08-18T00:00:00"/>
    <d v="2034-11-23T00:00:00"/>
    <x v="2"/>
    <x v="6"/>
  </r>
  <r>
    <n v="97186913070"/>
    <n v="158"/>
    <d v="2034-08-18T00:00:00"/>
    <s v=""/>
    <x v="2"/>
    <x v="0"/>
  </r>
  <r>
    <n v="72299635350"/>
    <n v="161"/>
    <d v="2034-08-18T00:00:00"/>
    <s v=""/>
    <x v="2"/>
    <x v="0"/>
  </r>
  <r>
    <n v="32801292282"/>
    <n v="210"/>
    <d v="2034-08-18T00:00:00"/>
    <d v="2034-11-24T00:00:00"/>
    <x v="2"/>
    <x v="6"/>
  </r>
  <r>
    <n v="67959414174"/>
    <n v="229"/>
    <d v="2034-08-18T00:00:00"/>
    <d v="2034-09-24T00:00:00"/>
    <x v="2"/>
    <x v="3"/>
  </r>
  <r>
    <n v="82664822830"/>
    <n v="254"/>
    <d v="2034-08-18T00:00:00"/>
    <m/>
    <x v="2"/>
    <x v="0"/>
  </r>
  <r>
    <n v="99425591347"/>
    <n v="276"/>
    <d v="2034-08-18T00:00:00"/>
    <d v="2034-10-29T00:00:00"/>
    <x v="2"/>
    <x v="5"/>
  </r>
  <r>
    <n v="97386097994"/>
    <n v="286"/>
    <d v="2034-08-18T00:00:00"/>
    <s v=""/>
    <x v="2"/>
    <x v="0"/>
  </r>
  <r>
    <n v="57208653195"/>
    <n v="288"/>
    <d v="2034-08-18T00:00:00"/>
    <s v=""/>
    <x v="2"/>
    <x v="0"/>
  </r>
  <r>
    <n v="56481695595"/>
    <n v="289"/>
    <d v="2034-08-18T00:00:00"/>
    <s v=""/>
    <x v="2"/>
    <x v="0"/>
  </r>
  <r>
    <n v="54768019285"/>
    <n v="324"/>
    <d v="2034-08-18T00:00:00"/>
    <d v="2034-10-12T00:00:00"/>
    <x v="2"/>
    <x v="5"/>
  </r>
  <r>
    <n v="13640455725"/>
    <n v="14"/>
    <d v="2034-08-19T00:00:00"/>
    <s v=""/>
    <x v="2"/>
    <x v="0"/>
  </r>
  <r>
    <n v="95222989933"/>
    <n v="24"/>
    <d v="2034-08-19T00:00:00"/>
    <s v=""/>
    <x v="2"/>
    <x v="0"/>
  </r>
  <r>
    <n v="89495622312"/>
    <n v="28"/>
    <d v="2034-08-19T00:00:00"/>
    <s v=""/>
    <x v="2"/>
    <x v="0"/>
  </r>
  <r>
    <n v="47149499414"/>
    <n v="48"/>
    <d v="2034-08-19T00:00:00"/>
    <s v=""/>
    <x v="2"/>
    <x v="0"/>
  </r>
  <r>
    <n v="60371158253"/>
    <n v="52"/>
    <d v="2034-08-19T00:00:00"/>
    <s v=""/>
    <x v="2"/>
    <x v="0"/>
  </r>
  <r>
    <n v="96851450314"/>
    <n v="68"/>
    <d v="2034-08-19T00:00:00"/>
    <s v=""/>
    <x v="2"/>
    <x v="0"/>
  </r>
  <r>
    <n v="74657281615"/>
    <n v="90"/>
    <d v="2034-08-19T00:00:00"/>
    <m/>
    <x v="2"/>
    <x v="0"/>
  </r>
  <r>
    <n v="30657026834"/>
    <n v="96"/>
    <d v="2034-08-19T00:00:00"/>
    <d v="2034-10-21T00:00:00"/>
    <x v="2"/>
    <x v="5"/>
  </r>
  <r>
    <n v="48756259129"/>
    <n v="138"/>
    <d v="2034-08-19T00:00:00"/>
    <s v=""/>
    <x v="2"/>
    <x v="0"/>
  </r>
  <r>
    <n v="75368089957"/>
    <n v="141"/>
    <d v="2034-08-19T00:00:00"/>
    <s v=""/>
    <x v="2"/>
    <x v="0"/>
  </r>
  <r>
    <n v="94108612694"/>
    <n v="143"/>
    <d v="2034-08-19T00:00:00"/>
    <d v="2034-11-07T00:00:00"/>
    <x v="2"/>
    <x v="6"/>
  </r>
  <r>
    <n v="76194272752"/>
    <n v="151"/>
    <d v="2034-08-19T00:00:00"/>
    <s v=""/>
    <x v="2"/>
    <x v="0"/>
  </r>
  <r>
    <n v="98137973587"/>
    <n v="160"/>
    <d v="2034-08-19T00:00:00"/>
    <s v=""/>
    <x v="2"/>
    <x v="0"/>
  </r>
  <r>
    <n v="68832226801"/>
    <n v="160"/>
    <d v="2034-08-19T00:00:00"/>
    <s v=""/>
    <x v="2"/>
    <x v="0"/>
  </r>
  <r>
    <n v="46933717410"/>
    <n v="166"/>
    <d v="2034-08-19T00:00:00"/>
    <d v="2034-12-15T00:00:00"/>
    <x v="2"/>
    <x v="7"/>
  </r>
  <r>
    <n v="79066061623"/>
    <n v="182"/>
    <d v="2034-08-19T00:00:00"/>
    <s v=""/>
    <x v="2"/>
    <x v="0"/>
  </r>
  <r>
    <n v="58935440493"/>
    <n v="187"/>
    <d v="2034-08-19T00:00:00"/>
    <s v=""/>
    <x v="2"/>
    <x v="0"/>
  </r>
  <r>
    <n v="98806937668"/>
    <n v="206"/>
    <d v="2034-08-19T00:00:00"/>
    <s v=""/>
    <x v="2"/>
    <x v="0"/>
  </r>
  <r>
    <n v="57559605684"/>
    <n v="209"/>
    <d v="2034-08-19T00:00:00"/>
    <s v=""/>
    <x v="2"/>
    <x v="0"/>
  </r>
  <r>
    <n v="73243724003"/>
    <n v="225"/>
    <d v="2034-08-19T00:00:00"/>
    <s v=""/>
    <x v="2"/>
    <x v="0"/>
  </r>
  <r>
    <n v="98287829588"/>
    <n v="259"/>
    <d v="2034-08-19T00:00:00"/>
    <s v=""/>
    <x v="2"/>
    <x v="0"/>
  </r>
  <r>
    <n v="83234967341"/>
    <n v="262"/>
    <d v="2034-08-19T00:00:00"/>
    <s v=""/>
    <x v="2"/>
    <x v="0"/>
  </r>
  <r>
    <n v="12253436966"/>
    <n v="282"/>
    <d v="2034-08-19T00:00:00"/>
    <d v="2034-09-23T00:00:00"/>
    <x v="2"/>
    <x v="3"/>
  </r>
  <r>
    <n v="46622353825"/>
    <n v="289"/>
    <d v="2034-08-19T00:00:00"/>
    <s v=""/>
    <x v="2"/>
    <x v="0"/>
  </r>
  <r>
    <n v="76668210512"/>
    <n v="292"/>
    <d v="2034-08-19T00:00:00"/>
    <d v="2034-11-01T00:00:00"/>
    <x v="2"/>
    <x v="6"/>
  </r>
  <r>
    <n v="38675550074"/>
    <n v="298"/>
    <d v="2034-08-19T00:00:00"/>
    <d v="2034-09-28T00:00:00"/>
    <x v="2"/>
    <x v="3"/>
  </r>
  <r>
    <n v="24343798699"/>
    <n v="299"/>
    <d v="2034-08-19T00:00:00"/>
    <s v=""/>
    <x v="2"/>
    <x v="0"/>
  </r>
  <r>
    <n v="39551670088"/>
    <n v="305"/>
    <d v="2034-08-19T00:00:00"/>
    <s v=""/>
    <x v="2"/>
    <x v="0"/>
  </r>
  <r>
    <n v="11521116332"/>
    <n v="308"/>
    <d v="2034-08-19T00:00:00"/>
    <m/>
    <x v="2"/>
    <x v="0"/>
  </r>
  <r>
    <n v="20628507133"/>
    <n v="327"/>
    <d v="2034-08-19T00:00:00"/>
    <d v="2034-12-06T00:00:00"/>
    <x v="2"/>
    <x v="7"/>
  </r>
  <r>
    <n v="33356560548"/>
    <n v="327"/>
    <d v="2034-08-19T00:00:00"/>
    <d v="2034-09-21T00:00:00"/>
    <x v="2"/>
    <x v="3"/>
  </r>
  <r>
    <n v="55852176677"/>
    <n v="8"/>
    <d v="2034-08-20T00:00:00"/>
    <m/>
    <x v="2"/>
    <x v="0"/>
  </r>
  <r>
    <n v="54565176914"/>
    <n v="13"/>
    <d v="2034-08-20T00:00:00"/>
    <s v=""/>
    <x v="2"/>
    <x v="0"/>
  </r>
  <r>
    <n v="46615194903"/>
    <n v="30"/>
    <d v="2034-08-20T00:00:00"/>
    <s v=""/>
    <x v="2"/>
    <x v="0"/>
  </r>
  <r>
    <n v="25272231377"/>
    <n v="67"/>
    <d v="2034-08-20T00:00:00"/>
    <s v=""/>
    <x v="2"/>
    <x v="0"/>
  </r>
  <r>
    <n v="95079254038"/>
    <n v="102"/>
    <d v="2034-08-20T00:00:00"/>
    <s v=""/>
    <x v="2"/>
    <x v="0"/>
  </r>
  <r>
    <n v="53153251780"/>
    <n v="112"/>
    <d v="2034-08-20T00:00:00"/>
    <s v=""/>
    <x v="2"/>
    <x v="0"/>
  </r>
  <r>
    <n v="28381639640"/>
    <n v="116"/>
    <d v="2034-08-20T00:00:00"/>
    <s v=""/>
    <x v="2"/>
    <x v="0"/>
  </r>
  <r>
    <n v="36032283326"/>
    <n v="121"/>
    <d v="2034-08-20T00:00:00"/>
    <d v="2034-08-24T00:00:00"/>
    <x v="2"/>
    <x v="4"/>
  </r>
  <r>
    <n v="24107470218"/>
    <n v="124"/>
    <d v="2034-08-20T00:00:00"/>
    <s v=""/>
    <x v="2"/>
    <x v="0"/>
  </r>
  <r>
    <n v="51625412662"/>
    <n v="124"/>
    <d v="2034-08-20T00:00:00"/>
    <d v="2034-10-09T00:00:00"/>
    <x v="2"/>
    <x v="5"/>
  </r>
  <r>
    <n v="28809433892"/>
    <n v="128"/>
    <d v="2034-08-20T00:00:00"/>
    <d v="2034-12-06T00:00:00"/>
    <x v="2"/>
    <x v="7"/>
  </r>
  <r>
    <n v="73991346705"/>
    <n v="133"/>
    <d v="2034-08-20T00:00:00"/>
    <d v="2034-10-12T00:00:00"/>
    <x v="2"/>
    <x v="5"/>
  </r>
  <r>
    <n v="28916070337"/>
    <n v="136"/>
    <d v="2034-08-20T00:00:00"/>
    <s v=""/>
    <x v="2"/>
    <x v="0"/>
  </r>
  <r>
    <n v="47056129089"/>
    <n v="143"/>
    <d v="2034-08-20T00:00:00"/>
    <d v="2034-09-15T00:00:00"/>
    <x v="2"/>
    <x v="3"/>
  </r>
  <r>
    <n v="16379209383"/>
    <n v="169"/>
    <d v="2034-08-20T00:00:00"/>
    <s v=""/>
    <x v="2"/>
    <x v="0"/>
  </r>
  <r>
    <n v="67232530546"/>
    <n v="192"/>
    <d v="2034-08-20T00:00:00"/>
    <s v=""/>
    <x v="2"/>
    <x v="0"/>
  </r>
  <r>
    <n v="56463247638"/>
    <n v="204"/>
    <d v="2034-08-20T00:00:00"/>
    <s v=""/>
    <x v="2"/>
    <x v="0"/>
  </r>
  <r>
    <n v="93744129785"/>
    <n v="213"/>
    <d v="2034-08-20T00:00:00"/>
    <s v=""/>
    <x v="2"/>
    <x v="0"/>
  </r>
  <r>
    <n v="36553812196"/>
    <n v="235"/>
    <d v="2034-08-20T00:00:00"/>
    <m/>
    <x v="2"/>
    <x v="0"/>
  </r>
  <r>
    <n v="78153828007"/>
    <n v="248"/>
    <d v="2034-08-20T00:00:00"/>
    <s v=""/>
    <x v="2"/>
    <x v="0"/>
  </r>
  <r>
    <n v="74944760775"/>
    <n v="256"/>
    <d v="2034-08-20T00:00:00"/>
    <s v=""/>
    <x v="2"/>
    <x v="0"/>
  </r>
  <r>
    <n v="23138889411"/>
    <n v="271"/>
    <d v="2034-08-20T00:00:00"/>
    <s v=""/>
    <x v="2"/>
    <x v="0"/>
  </r>
  <r>
    <n v="76670615335"/>
    <n v="273"/>
    <d v="2034-08-20T00:00:00"/>
    <s v=""/>
    <x v="2"/>
    <x v="0"/>
  </r>
  <r>
    <n v="11124873907"/>
    <n v="287"/>
    <d v="2034-08-20T00:00:00"/>
    <s v=""/>
    <x v="2"/>
    <x v="0"/>
  </r>
  <r>
    <n v="29388830387"/>
    <n v="291"/>
    <d v="2034-08-20T00:00:00"/>
    <s v=""/>
    <x v="2"/>
    <x v="0"/>
  </r>
  <r>
    <n v="52078632720"/>
    <n v="297"/>
    <d v="2034-08-20T00:00:00"/>
    <s v=""/>
    <x v="2"/>
    <x v="0"/>
  </r>
  <r>
    <n v="16422889578"/>
    <n v="21"/>
    <d v="2034-08-21T00:00:00"/>
    <s v=""/>
    <x v="2"/>
    <x v="0"/>
  </r>
  <r>
    <n v="46082208801"/>
    <n v="29"/>
    <d v="2034-08-21T00:00:00"/>
    <s v=""/>
    <x v="2"/>
    <x v="0"/>
  </r>
  <r>
    <n v="65075505934"/>
    <n v="30"/>
    <d v="2034-08-21T00:00:00"/>
    <s v=""/>
    <x v="2"/>
    <x v="0"/>
  </r>
  <r>
    <n v="96547994657"/>
    <n v="38"/>
    <d v="2034-08-21T00:00:00"/>
    <s v=""/>
    <x v="2"/>
    <x v="0"/>
  </r>
  <r>
    <n v="54880186182"/>
    <n v="73"/>
    <d v="2034-08-21T00:00:00"/>
    <d v="2034-10-22T00:00:00"/>
    <x v="2"/>
    <x v="5"/>
  </r>
  <r>
    <n v="22205939337"/>
    <n v="90"/>
    <d v="2034-08-21T00:00:00"/>
    <s v=""/>
    <x v="2"/>
    <x v="0"/>
  </r>
  <r>
    <n v="73622285068"/>
    <n v="90"/>
    <d v="2034-08-21T00:00:00"/>
    <d v="2034-12-10T00:00:00"/>
    <x v="2"/>
    <x v="7"/>
  </r>
  <r>
    <n v="20997327207"/>
    <n v="113"/>
    <d v="2034-08-21T00:00:00"/>
    <d v="2034-11-29T00:00:00"/>
    <x v="2"/>
    <x v="6"/>
  </r>
  <r>
    <n v="97809732078"/>
    <n v="129"/>
    <d v="2034-08-21T00:00:00"/>
    <d v="2034-09-29T00:00:00"/>
    <x v="2"/>
    <x v="3"/>
  </r>
  <r>
    <n v="33904365619"/>
    <n v="136"/>
    <d v="2034-08-21T00:00:00"/>
    <s v=""/>
    <x v="2"/>
    <x v="0"/>
  </r>
  <r>
    <n v="43925108238"/>
    <n v="178"/>
    <d v="2034-08-21T00:00:00"/>
    <s v=""/>
    <x v="2"/>
    <x v="0"/>
  </r>
  <r>
    <n v="14820302412"/>
    <n v="184"/>
    <d v="2034-08-21T00:00:00"/>
    <s v=""/>
    <x v="2"/>
    <x v="0"/>
  </r>
  <r>
    <n v="95706733452"/>
    <n v="188"/>
    <d v="2034-08-21T00:00:00"/>
    <d v="2034-11-19T00:00:00"/>
    <x v="2"/>
    <x v="6"/>
  </r>
  <r>
    <n v="82954917836"/>
    <n v="196"/>
    <d v="2034-08-21T00:00:00"/>
    <s v=""/>
    <x v="2"/>
    <x v="0"/>
  </r>
  <r>
    <n v="12703278401"/>
    <n v="216"/>
    <d v="2034-08-21T00:00:00"/>
    <s v=""/>
    <x v="2"/>
    <x v="0"/>
  </r>
  <r>
    <n v="93033369991"/>
    <n v="217"/>
    <d v="2034-08-21T00:00:00"/>
    <d v="2034-10-20T00:00:00"/>
    <x v="2"/>
    <x v="5"/>
  </r>
  <r>
    <n v="23913032188"/>
    <n v="239"/>
    <d v="2034-08-21T00:00:00"/>
    <s v=""/>
    <x v="2"/>
    <x v="0"/>
  </r>
  <r>
    <n v="94647370349"/>
    <n v="247"/>
    <d v="2034-08-21T00:00:00"/>
    <s v=""/>
    <x v="2"/>
    <x v="0"/>
  </r>
  <r>
    <n v="27356930771"/>
    <n v="247"/>
    <d v="2034-08-21T00:00:00"/>
    <s v=""/>
    <x v="2"/>
    <x v="0"/>
  </r>
  <r>
    <n v="73978794721"/>
    <n v="258"/>
    <d v="2034-08-21T00:00:00"/>
    <s v=""/>
    <x v="2"/>
    <x v="0"/>
  </r>
  <r>
    <n v="85750991960"/>
    <n v="282"/>
    <d v="2034-08-21T00:00:00"/>
    <s v=""/>
    <x v="2"/>
    <x v="0"/>
  </r>
  <r>
    <n v="47253157745"/>
    <n v="287"/>
    <d v="2034-08-21T00:00:00"/>
    <s v=""/>
    <x v="2"/>
    <x v="0"/>
  </r>
  <r>
    <n v="45393113332"/>
    <n v="299"/>
    <d v="2034-08-21T00:00:00"/>
    <s v=""/>
    <x v="2"/>
    <x v="0"/>
  </r>
  <r>
    <n v="98667553292"/>
    <n v="316"/>
    <d v="2034-08-21T00:00:00"/>
    <s v=""/>
    <x v="2"/>
    <x v="0"/>
  </r>
  <r>
    <n v="87609993552"/>
    <n v="317"/>
    <d v="2034-08-21T00:00:00"/>
    <d v="2034-12-04T00:00:00"/>
    <x v="2"/>
    <x v="7"/>
  </r>
  <r>
    <n v="26398082603"/>
    <n v="322"/>
    <d v="2034-08-21T00:00:00"/>
    <s v=""/>
    <x v="2"/>
    <x v="0"/>
  </r>
  <r>
    <n v="60661420512"/>
    <n v="322"/>
    <d v="2034-08-21T00:00:00"/>
    <d v="2034-12-19T00:00:00"/>
    <x v="2"/>
    <x v="7"/>
  </r>
  <r>
    <n v="43899334692"/>
    <n v="16"/>
    <d v="2034-08-22T00:00:00"/>
    <s v=""/>
    <x v="2"/>
    <x v="0"/>
  </r>
  <r>
    <n v="55863813957"/>
    <n v="26"/>
    <d v="2034-08-22T00:00:00"/>
    <s v=""/>
    <x v="2"/>
    <x v="0"/>
  </r>
  <r>
    <n v="90235948435"/>
    <n v="31"/>
    <d v="2034-08-22T00:00:00"/>
    <s v=""/>
    <x v="2"/>
    <x v="0"/>
  </r>
  <r>
    <n v="63593084914"/>
    <n v="33"/>
    <d v="2034-08-22T00:00:00"/>
    <s v=""/>
    <x v="2"/>
    <x v="0"/>
  </r>
  <r>
    <n v="23623224082"/>
    <n v="57"/>
    <d v="2034-08-22T00:00:00"/>
    <s v=""/>
    <x v="2"/>
    <x v="0"/>
  </r>
  <r>
    <n v="36591759011"/>
    <n v="65"/>
    <d v="2034-08-22T00:00:00"/>
    <s v=""/>
    <x v="2"/>
    <x v="0"/>
  </r>
  <r>
    <n v="76799900064"/>
    <n v="81"/>
    <d v="2034-08-22T00:00:00"/>
    <s v=""/>
    <x v="2"/>
    <x v="0"/>
  </r>
  <r>
    <n v="12858644842"/>
    <n v="117"/>
    <d v="2034-08-22T00:00:00"/>
    <s v=""/>
    <x v="2"/>
    <x v="0"/>
  </r>
  <r>
    <n v="72179296893"/>
    <n v="129"/>
    <d v="2034-08-22T00:00:00"/>
    <s v=""/>
    <x v="2"/>
    <x v="0"/>
  </r>
  <r>
    <n v="87789733412"/>
    <n v="136"/>
    <d v="2034-08-22T00:00:00"/>
    <s v=""/>
    <x v="2"/>
    <x v="0"/>
  </r>
  <r>
    <n v="16802531143"/>
    <n v="140"/>
    <d v="2034-08-22T00:00:00"/>
    <s v=""/>
    <x v="2"/>
    <x v="0"/>
  </r>
  <r>
    <n v="49749628417"/>
    <n v="158"/>
    <d v="2034-08-22T00:00:00"/>
    <s v=""/>
    <x v="2"/>
    <x v="0"/>
  </r>
  <r>
    <n v="26858440756"/>
    <n v="173"/>
    <d v="2034-08-22T00:00:00"/>
    <s v=""/>
    <x v="2"/>
    <x v="0"/>
  </r>
  <r>
    <n v="52314592599"/>
    <n v="184"/>
    <d v="2034-08-22T00:00:00"/>
    <s v=""/>
    <x v="2"/>
    <x v="0"/>
  </r>
  <r>
    <n v="95564924724"/>
    <n v="186"/>
    <d v="2034-08-22T00:00:00"/>
    <s v=""/>
    <x v="2"/>
    <x v="0"/>
  </r>
  <r>
    <n v="12013591314"/>
    <n v="226"/>
    <d v="2034-08-22T00:00:00"/>
    <s v=""/>
    <x v="2"/>
    <x v="0"/>
  </r>
  <r>
    <n v="65838017795"/>
    <n v="236"/>
    <d v="2034-08-22T00:00:00"/>
    <s v=""/>
    <x v="2"/>
    <x v="0"/>
  </r>
  <r>
    <n v="99623915295"/>
    <n v="245"/>
    <d v="2034-08-22T00:00:00"/>
    <s v=""/>
    <x v="2"/>
    <x v="0"/>
  </r>
  <r>
    <n v="32262346715"/>
    <n v="269"/>
    <d v="2034-08-22T00:00:00"/>
    <s v=""/>
    <x v="2"/>
    <x v="0"/>
  </r>
  <r>
    <n v="35857323733"/>
    <n v="291"/>
    <d v="2034-08-22T00:00:00"/>
    <s v=""/>
    <x v="2"/>
    <x v="0"/>
  </r>
  <r>
    <n v="54081661536"/>
    <n v="291"/>
    <d v="2034-08-22T00:00:00"/>
    <m/>
    <x v="2"/>
    <x v="0"/>
  </r>
  <r>
    <n v="61998582284"/>
    <n v="293"/>
    <d v="2034-08-22T00:00:00"/>
    <s v=""/>
    <x v="2"/>
    <x v="0"/>
  </r>
  <r>
    <n v="54558172132"/>
    <n v="297"/>
    <d v="2034-08-22T00:00:00"/>
    <m/>
    <x v="2"/>
    <x v="0"/>
  </r>
  <r>
    <n v="19210587905"/>
    <n v="322"/>
    <d v="2034-08-22T00:00:00"/>
    <s v=""/>
    <x v="2"/>
    <x v="0"/>
  </r>
  <r>
    <n v="57034742930"/>
    <n v="325"/>
    <d v="2034-08-22T00:00:00"/>
    <d v="2034-09-27T00:00:00"/>
    <x v="2"/>
    <x v="3"/>
  </r>
  <r>
    <n v="76992951778"/>
    <n v="329"/>
    <d v="2034-08-22T00:00:00"/>
    <s v=""/>
    <x v="2"/>
    <x v="0"/>
  </r>
  <r>
    <n v="26455410414"/>
    <n v="2"/>
    <d v="2034-08-23T00:00:00"/>
    <m/>
    <x v="2"/>
    <x v="0"/>
  </r>
  <r>
    <n v="90440917123"/>
    <n v="5"/>
    <d v="2034-08-23T00:00:00"/>
    <s v=""/>
    <x v="2"/>
    <x v="0"/>
  </r>
  <r>
    <n v="22974730929"/>
    <n v="45"/>
    <d v="2034-08-23T00:00:00"/>
    <m/>
    <x v="2"/>
    <x v="0"/>
  </r>
  <r>
    <n v="41010808494"/>
    <n v="69"/>
    <d v="2034-08-23T00:00:00"/>
    <s v=""/>
    <x v="2"/>
    <x v="0"/>
  </r>
  <r>
    <n v="16360964013"/>
    <n v="71"/>
    <d v="2034-08-23T00:00:00"/>
    <d v="2034-11-05T00:00:00"/>
    <x v="2"/>
    <x v="6"/>
  </r>
  <r>
    <n v="78361960244"/>
    <n v="84"/>
    <d v="2034-08-23T00:00:00"/>
    <s v=""/>
    <x v="2"/>
    <x v="0"/>
  </r>
  <r>
    <n v="42789258086"/>
    <n v="108"/>
    <d v="2034-08-23T00:00:00"/>
    <s v=""/>
    <x v="2"/>
    <x v="0"/>
  </r>
  <r>
    <n v="19234352163"/>
    <n v="128"/>
    <d v="2034-08-23T00:00:00"/>
    <m/>
    <x v="2"/>
    <x v="0"/>
  </r>
  <r>
    <n v="64824468586"/>
    <n v="130"/>
    <d v="2034-08-23T00:00:00"/>
    <s v=""/>
    <x v="2"/>
    <x v="0"/>
  </r>
  <r>
    <n v="65563690422"/>
    <n v="142"/>
    <d v="2034-08-23T00:00:00"/>
    <s v=""/>
    <x v="2"/>
    <x v="0"/>
  </r>
  <r>
    <n v="57157794621"/>
    <n v="149"/>
    <d v="2034-08-23T00:00:00"/>
    <s v=""/>
    <x v="2"/>
    <x v="0"/>
  </r>
  <r>
    <n v="87506553836"/>
    <n v="150"/>
    <d v="2034-08-23T00:00:00"/>
    <s v=""/>
    <x v="2"/>
    <x v="0"/>
  </r>
  <r>
    <n v="90615992497"/>
    <n v="159"/>
    <d v="2034-08-23T00:00:00"/>
    <d v="2034-10-01T00:00:00"/>
    <x v="2"/>
    <x v="5"/>
  </r>
  <r>
    <n v="70242299505"/>
    <n v="168"/>
    <d v="2034-08-23T00:00:00"/>
    <m/>
    <x v="2"/>
    <x v="0"/>
  </r>
  <r>
    <n v="57098645733"/>
    <n v="172"/>
    <d v="2034-08-23T00:00:00"/>
    <s v=""/>
    <x v="2"/>
    <x v="0"/>
  </r>
  <r>
    <n v="59675028926"/>
    <n v="173"/>
    <d v="2034-08-23T00:00:00"/>
    <s v=""/>
    <x v="2"/>
    <x v="0"/>
  </r>
  <r>
    <n v="33288395616"/>
    <n v="178"/>
    <d v="2034-08-23T00:00:00"/>
    <s v=""/>
    <x v="2"/>
    <x v="0"/>
  </r>
  <r>
    <n v="71316549009"/>
    <n v="209"/>
    <d v="2034-08-23T00:00:00"/>
    <s v=""/>
    <x v="2"/>
    <x v="0"/>
  </r>
  <r>
    <n v="25339743367"/>
    <n v="226"/>
    <d v="2034-08-23T00:00:00"/>
    <d v="2034-12-20T00:00:00"/>
    <x v="2"/>
    <x v="7"/>
  </r>
  <r>
    <n v="98513990668"/>
    <n v="242"/>
    <d v="2034-08-23T00:00:00"/>
    <s v=""/>
    <x v="2"/>
    <x v="0"/>
  </r>
  <r>
    <n v="93051478565"/>
    <n v="242"/>
    <d v="2034-08-23T00:00:00"/>
    <s v=""/>
    <x v="2"/>
    <x v="0"/>
  </r>
  <r>
    <n v="49070467726"/>
    <n v="257"/>
    <d v="2034-08-23T00:00:00"/>
    <s v=""/>
    <x v="2"/>
    <x v="0"/>
  </r>
  <r>
    <n v="49201455776"/>
    <n v="269"/>
    <d v="2034-08-23T00:00:00"/>
    <d v="2034-11-17T00:00:00"/>
    <x v="2"/>
    <x v="6"/>
  </r>
  <r>
    <n v="59121447122"/>
    <n v="279"/>
    <d v="2034-08-23T00:00:00"/>
    <d v="2034-09-19T00:00:00"/>
    <x v="2"/>
    <x v="3"/>
  </r>
  <r>
    <n v="79350262783"/>
    <n v="293"/>
    <d v="2034-08-23T00:00:00"/>
    <s v=""/>
    <x v="2"/>
    <x v="0"/>
  </r>
  <r>
    <n v="63022130558"/>
    <n v="294"/>
    <d v="2034-08-23T00:00:00"/>
    <s v=""/>
    <x v="2"/>
    <x v="0"/>
  </r>
  <r>
    <n v="63997597784"/>
    <n v="297"/>
    <d v="2034-08-23T00:00:00"/>
    <s v=""/>
    <x v="2"/>
    <x v="0"/>
  </r>
  <r>
    <n v="37959296971"/>
    <n v="317"/>
    <d v="2034-08-23T00:00:00"/>
    <s v=""/>
    <x v="2"/>
    <x v="0"/>
  </r>
  <r>
    <n v="11854454378"/>
    <n v="326"/>
    <d v="2034-08-23T00:00:00"/>
    <d v="2034-11-30T00:00:00"/>
    <x v="2"/>
    <x v="6"/>
  </r>
  <r>
    <n v="42706154808"/>
    <n v="328"/>
    <d v="2034-08-23T00:00:00"/>
    <s v=""/>
    <x v="2"/>
    <x v="0"/>
  </r>
  <r>
    <n v="81815529577"/>
    <n v="6"/>
    <d v="2034-08-24T00:00:00"/>
    <d v="2034-08-30T00:00:00"/>
    <x v="2"/>
    <x v="4"/>
  </r>
  <r>
    <n v="15183410718"/>
    <n v="13"/>
    <d v="2034-08-24T00:00:00"/>
    <s v=""/>
    <x v="2"/>
    <x v="0"/>
  </r>
  <r>
    <n v="18773954955"/>
    <n v="20"/>
    <d v="2034-08-24T00:00:00"/>
    <s v=""/>
    <x v="2"/>
    <x v="0"/>
  </r>
  <r>
    <n v="60953538195"/>
    <n v="27"/>
    <d v="2034-08-24T00:00:00"/>
    <s v=""/>
    <x v="2"/>
    <x v="0"/>
  </r>
  <r>
    <n v="26838082025"/>
    <n v="38"/>
    <d v="2034-08-24T00:00:00"/>
    <d v="2034-08-28T00:00:00"/>
    <x v="2"/>
    <x v="4"/>
  </r>
  <r>
    <n v="66328149594"/>
    <n v="55"/>
    <d v="2034-08-24T00:00:00"/>
    <s v=""/>
    <x v="2"/>
    <x v="0"/>
  </r>
  <r>
    <n v="69177441314"/>
    <n v="86"/>
    <d v="2034-08-24T00:00:00"/>
    <s v=""/>
    <x v="2"/>
    <x v="0"/>
  </r>
  <r>
    <n v="57443932108"/>
    <n v="101"/>
    <d v="2034-08-24T00:00:00"/>
    <m/>
    <x v="2"/>
    <x v="0"/>
  </r>
  <r>
    <n v="53643041351"/>
    <n v="121"/>
    <d v="2034-08-24T00:00:00"/>
    <d v="2034-10-17T00:00:00"/>
    <x v="2"/>
    <x v="5"/>
  </r>
  <r>
    <n v="14186843834"/>
    <n v="124"/>
    <d v="2034-08-24T00:00:00"/>
    <d v="2034-09-17T00:00:00"/>
    <x v="2"/>
    <x v="3"/>
  </r>
  <r>
    <n v="71129266281"/>
    <n v="126"/>
    <d v="2034-08-24T00:00:00"/>
    <s v=""/>
    <x v="2"/>
    <x v="0"/>
  </r>
  <r>
    <n v="65724146743"/>
    <n v="156"/>
    <d v="2034-08-24T00:00:00"/>
    <s v=""/>
    <x v="2"/>
    <x v="0"/>
  </r>
  <r>
    <n v="89536396863"/>
    <n v="194"/>
    <d v="2034-08-24T00:00:00"/>
    <s v=""/>
    <x v="2"/>
    <x v="0"/>
  </r>
  <r>
    <n v="79631748728"/>
    <n v="195"/>
    <d v="2034-08-24T00:00:00"/>
    <s v=""/>
    <x v="2"/>
    <x v="0"/>
  </r>
  <r>
    <n v="67907777309"/>
    <n v="202"/>
    <d v="2034-08-24T00:00:00"/>
    <s v=""/>
    <x v="2"/>
    <x v="0"/>
  </r>
  <r>
    <n v="98143411709"/>
    <n v="230"/>
    <d v="2034-08-24T00:00:00"/>
    <s v=""/>
    <x v="2"/>
    <x v="0"/>
  </r>
  <r>
    <n v="45328601215"/>
    <n v="235"/>
    <d v="2034-08-24T00:00:00"/>
    <s v=""/>
    <x v="2"/>
    <x v="0"/>
  </r>
  <r>
    <n v="61735381854"/>
    <n v="299"/>
    <d v="2034-08-24T00:00:00"/>
    <s v=""/>
    <x v="2"/>
    <x v="0"/>
  </r>
  <r>
    <n v="67474250340"/>
    <n v="311"/>
    <d v="2034-08-24T00:00:00"/>
    <s v=""/>
    <x v="2"/>
    <x v="0"/>
  </r>
  <r>
    <n v="63337970865"/>
    <n v="17"/>
    <d v="2034-08-25T00:00:00"/>
    <s v=""/>
    <x v="2"/>
    <x v="0"/>
  </r>
  <r>
    <n v="72317320702"/>
    <n v="25"/>
    <d v="2034-08-25T00:00:00"/>
    <s v=""/>
    <x v="2"/>
    <x v="0"/>
  </r>
  <r>
    <n v="27112294397"/>
    <n v="43"/>
    <d v="2034-08-25T00:00:00"/>
    <d v="2034-09-22T00:00:00"/>
    <x v="2"/>
    <x v="3"/>
  </r>
  <r>
    <n v="91018075816"/>
    <n v="55"/>
    <d v="2034-08-25T00:00:00"/>
    <d v="2034-10-12T00:00:00"/>
    <x v="2"/>
    <x v="5"/>
  </r>
  <r>
    <n v="22604586451"/>
    <n v="75"/>
    <d v="2034-08-25T00:00:00"/>
    <s v=""/>
    <x v="2"/>
    <x v="0"/>
  </r>
  <r>
    <n v="58500335201"/>
    <n v="77"/>
    <d v="2034-08-25T00:00:00"/>
    <d v="2034-09-20T00:00:00"/>
    <x v="2"/>
    <x v="3"/>
  </r>
  <r>
    <n v="81478912152"/>
    <n v="89"/>
    <d v="2034-08-25T00:00:00"/>
    <m/>
    <x v="2"/>
    <x v="0"/>
  </r>
  <r>
    <n v="79937334740"/>
    <n v="94"/>
    <d v="2034-08-25T00:00:00"/>
    <s v=""/>
    <x v="2"/>
    <x v="0"/>
  </r>
  <r>
    <n v="19120314528"/>
    <n v="118"/>
    <d v="2034-08-25T00:00:00"/>
    <s v=""/>
    <x v="2"/>
    <x v="0"/>
  </r>
  <r>
    <n v="95810519452"/>
    <n v="128"/>
    <d v="2034-08-25T00:00:00"/>
    <s v=""/>
    <x v="2"/>
    <x v="0"/>
  </r>
  <r>
    <n v="75886687471"/>
    <n v="140"/>
    <d v="2034-08-25T00:00:00"/>
    <s v=""/>
    <x v="2"/>
    <x v="0"/>
  </r>
  <r>
    <n v="25395981078"/>
    <n v="146"/>
    <d v="2034-08-25T00:00:00"/>
    <s v=""/>
    <x v="2"/>
    <x v="0"/>
  </r>
  <r>
    <n v="48575901190"/>
    <n v="154"/>
    <d v="2034-08-25T00:00:00"/>
    <s v=""/>
    <x v="2"/>
    <x v="0"/>
  </r>
  <r>
    <n v="60805239192"/>
    <n v="176"/>
    <d v="2034-08-25T00:00:00"/>
    <d v="2034-10-14T00:00:00"/>
    <x v="2"/>
    <x v="5"/>
  </r>
  <r>
    <n v="41810499860"/>
    <n v="179"/>
    <d v="2034-08-25T00:00:00"/>
    <s v=""/>
    <x v="2"/>
    <x v="0"/>
  </r>
  <r>
    <n v="47040885419"/>
    <n v="198"/>
    <d v="2034-08-25T00:00:00"/>
    <s v=""/>
    <x v="2"/>
    <x v="0"/>
  </r>
  <r>
    <n v="15802611698"/>
    <n v="207"/>
    <d v="2034-08-25T00:00:00"/>
    <d v="2034-11-25T00:00:00"/>
    <x v="2"/>
    <x v="6"/>
  </r>
  <r>
    <n v="88299237142"/>
    <n v="221"/>
    <d v="2034-08-25T00:00:00"/>
    <m/>
    <x v="2"/>
    <x v="0"/>
  </r>
  <r>
    <n v="76410873800"/>
    <n v="229"/>
    <d v="2034-08-25T00:00:00"/>
    <s v=""/>
    <x v="2"/>
    <x v="0"/>
  </r>
  <r>
    <n v="44058371467"/>
    <n v="255"/>
    <d v="2034-08-25T00:00:00"/>
    <s v=""/>
    <x v="2"/>
    <x v="0"/>
  </r>
  <r>
    <n v="74688087675"/>
    <n v="270"/>
    <d v="2034-08-25T00:00:00"/>
    <s v=""/>
    <x v="2"/>
    <x v="0"/>
  </r>
  <r>
    <n v="41748395533"/>
    <n v="285"/>
    <d v="2034-08-25T00:00:00"/>
    <s v=""/>
    <x v="2"/>
    <x v="0"/>
  </r>
  <r>
    <n v="20596247646"/>
    <n v="291"/>
    <d v="2034-08-25T00:00:00"/>
    <s v=""/>
    <x v="2"/>
    <x v="0"/>
  </r>
  <r>
    <n v="12436761371"/>
    <n v="291"/>
    <d v="2034-08-25T00:00:00"/>
    <s v=""/>
    <x v="2"/>
    <x v="0"/>
  </r>
  <r>
    <n v="95644530891"/>
    <n v="292"/>
    <d v="2034-08-25T00:00:00"/>
    <s v=""/>
    <x v="2"/>
    <x v="0"/>
  </r>
  <r>
    <n v="91250770751"/>
    <n v="303"/>
    <d v="2034-08-25T00:00:00"/>
    <s v=""/>
    <x v="2"/>
    <x v="0"/>
  </r>
  <r>
    <n v="93592790498"/>
    <n v="306"/>
    <d v="2034-08-25T00:00:00"/>
    <d v="2034-10-06T00:00:00"/>
    <x v="2"/>
    <x v="5"/>
  </r>
  <r>
    <n v="93315708484"/>
    <n v="7"/>
    <d v="2034-08-26T00:00:00"/>
    <m/>
    <x v="2"/>
    <x v="0"/>
  </r>
  <r>
    <n v="51094986170"/>
    <n v="39"/>
    <d v="2034-08-26T00:00:00"/>
    <d v="2034-11-21T00:00:00"/>
    <x v="2"/>
    <x v="6"/>
  </r>
  <r>
    <n v="39931689537"/>
    <n v="41"/>
    <d v="2034-08-26T00:00:00"/>
    <s v=""/>
    <x v="2"/>
    <x v="0"/>
  </r>
  <r>
    <n v="33263873833"/>
    <n v="50"/>
    <d v="2034-08-26T00:00:00"/>
    <s v=""/>
    <x v="2"/>
    <x v="0"/>
  </r>
  <r>
    <n v="59689353707"/>
    <n v="72"/>
    <d v="2034-08-26T00:00:00"/>
    <s v=""/>
    <x v="2"/>
    <x v="0"/>
  </r>
  <r>
    <n v="67529325895"/>
    <n v="75"/>
    <d v="2034-08-26T00:00:00"/>
    <d v="2034-09-13T00:00:00"/>
    <x v="2"/>
    <x v="3"/>
  </r>
  <r>
    <n v="24535307489"/>
    <n v="128"/>
    <d v="2034-08-26T00:00:00"/>
    <s v=""/>
    <x v="2"/>
    <x v="0"/>
  </r>
  <r>
    <n v="98860855548"/>
    <n v="134"/>
    <d v="2034-08-26T00:00:00"/>
    <s v=""/>
    <x v="2"/>
    <x v="0"/>
  </r>
  <r>
    <n v="49896240115"/>
    <n v="138"/>
    <d v="2034-08-26T00:00:00"/>
    <s v=""/>
    <x v="2"/>
    <x v="0"/>
  </r>
  <r>
    <n v="82513729358"/>
    <n v="142"/>
    <d v="2034-08-26T00:00:00"/>
    <s v=""/>
    <x v="2"/>
    <x v="0"/>
  </r>
  <r>
    <n v="88039992590"/>
    <n v="144"/>
    <d v="2034-08-26T00:00:00"/>
    <m/>
    <x v="2"/>
    <x v="0"/>
  </r>
  <r>
    <n v="20173197097"/>
    <n v="147"/>
    <d v="2034-08-26T00:00:00"/>
    <d v="2034-08-28T00:00:00"/>
    <x v="2"/>
    <x v="4"/>
  </r>
  <r>
    <n v="37329427289"/>
    <n v="158"/>
    <d v="2034-08-26T00:00:00"/>
    <s v=""/>
    <x v="2"/>
    <x v="0"/>
  </r>
  <r>
    <n v="74353646852"/>
    <n v="174"/>
    <d v="2034-08-26T00:00:00"/>
    <s v=""/>
    <x v="2"/>
    <x v="0"/>
  </r>
  <r>
    <n v="83047969475"/>
    <n v="191"/>
    <d v="2034-08-26T00:00:00"/>
    <s v=""/>
    <x v="2"/>
    <x v="0"/>
  </r>
  <r>
    <n v="80858079273"/>
    <n v="210"/>
    <d v="2034-08-26T00:00:00"/>
    <s v=""/>
    <x v="2"/>
    <x v="0"/>
  </r>
  <r>
    <n v="35225054772"/>
    <n v="221"/>
    <d v="2034-08-26T00:00:00"/>
    <d v="2034-12-21T00:00:00"/>
    <x v="2"/>
    <x v="7"/>
  </r>
  <r>
    <n v="15227636716"/>
    <n v="222"/>
    <d v="2034-08-26T00:00:00"/>
    <s v=""/>
    <x v="2"/>
    <x v="0"/>
  </r>
  <r>
    <n v="66623927747"/>
    <n v="234"/>
    <d v="2034-08-26T00:00:00"/>
    <s v=""/>
    <x v="2"/>
    <x v="0"/>
  </r>
  <r>
    <n v="85286548361"/>
    <n v="247"/>
    <d v="2034-08-26T00:00:00"/>
    <s v=""/>
    <x v="2"/>
    <x v="0"/>
  </r>
  <r>
    <n v="77926541238"/>
    <n v="250"/>
    <d v="2034-08-26T00:00:00"/>
    <d v="2034-10-24T00:00:00"/>
    <x v="2"/>
    <x v="5"/>
  </r>
  <r>
    <n v="36334303668"/>
    <n v="270"/>
    <d v="2034-08-26T00:00:00"/>
    <d v="2034-09-03T00:00:00"/>
    <x v="2"/>
    <x v="3"/>
  </r>
  <r>
    <n v="67411223449"/>
    <n v="274"/>
    <d v="2034-08-26T00:00:00"/>
    <s v=""/>
    <x v="2"/>
    <x v="0"/>
  </r>
  <r>
    <n v="66947619131"/>
    <n v="281"/>
    <d v="2034-08-26T00:00:00"/>
    <d v="2034-09-02T00:00:00"/>
    <x v="2"/>
    <x v="3"/>
  </r>
  <r>
    <n v="61843435077"/>
    <n v="291"/>
    <d v="2034-08-26T00:00:00"/>
    <d v="2034-11-24T00:00:00"/>
    <x v="2"/>
    <x v="6"/>
  </r>
  <r>
    <n v="91861851828"/>
    <n v="296"/>
    <d v="2034-08-26T00:00:00"/>
    <d v="2034-10-17T00:00:00"/>
    <x v="2"/>
    <x v="5"/>
  </r>
  <r>
    <n v="54073137368"/>
    <n v="319"/>
    <d v="2034-08-26T00:00:00"/>
    <m/>
    <x v="2"/>
    <x v="0"/>
  </r>
  <r>
    <n v="76668332915"/>
    <n v="25"/>
    <d v="2034-08-27T00:00:00"/>
    <s v=""/>
    <x v="2"/>
    <x v="0"/>
  </r>
  <r>
    <n v="41572629842"/>
    <n v="26"/>
    <d v="2034-08-27T00:00:00"/>
    <s v=""/>
    <x v="2"/>
    <x v="0"/>
  </r>
  <r>
    <n v="43491762440"/>
    <n v="38"/>
    <d v="2034-08-27T00:00:00"/>
    <s v=""/>
    <x v="2"/>
    <x v="0"/>
  </r>
  <r>
    <n v="62549084161"/>
    <n v="75"/>
    <d v="2034-08-27T00:00:00"/>
    <s v=""/>
    <x v="2"/>
    <x v="0"/>
  </r>
  <r>
    <n v="29080043429"/>
    <n v="86"/>
    <d v="2034-08-27T00:00:00"/>
    <d v="2034-11-15T00:00:00"/>
    <x v="2"/>
    <x v="6"/>
  </r>
  <r>
    <n v="24165422714"/>
    <n v="87"/>
    <d v="2034-08-27T00:00:00"/>
    <s v=""/>
    <x v="2"/>
    <x v="0"/>
  </r>
  <r>
    <n v="52545758847"/>
    <n v="115"/>
    <d v="2034-08-27T00:00:00"/>
    <d v="2034-12-13T00:00:00"/>
    <x v="2"/>
    <x v="7"/>
  </r>
  <r>
    <n v="16682506899"/>
    <n v="117"/>
    <d v="2034-08-27T00:00:00"/>
    <d v="2034-09-24T00:00:00"/>
    <x v="2"/>
    <x v="3"/>
  </r>
  <r>
    <n v="68792044007"/>
    <n v="148"/>
    <d v="2034-08-27T00:00:00"/>
    <s v=""/>
    <x v="2"/>
    <x v="0"/>
  </r>
  <r>
    <n v="58816137012"/>
    <n v="154"/>
    <d v="2034-08-27T00:00:00"/>
    <s v=""/>
    <x v="2"/>
    <x v="0"/>
  </r>
  <r>
    <n v="59644551292"/>
    <n v="191"/>
    <d v="2034-08-27T00:00:00"/>
    <s v=""/>
    <x v="2"/>
    <x v="0"/>
  </r>
  <r>
    <n v="57713594493"/>
    <n v="199"/>
    <d v="2034-08-27T00:00:00"/>
    <s v=""/>
    <x v="2"/>
    <x v="0"/>
  </r>
  <r>
    <n v="40001354737"/>
    <n v="206"/>
    <d v="2034-08-27T00:00:00"/>
    <m/>
    <x v="2"/>
    <x v="0"/>
  </r>
  <r>
    <n v="24526379564"/>
    <n v="218"/>
    <d v="2034-08-27T00:00:00"/>
    <s v=""/>
    <x v="2"/>
    <x v="0"/>
  </r>
  <r>
    <n v="62921655242"/>
    <n v="218"/>
    <d v="2034-08-27T00:00:00"/>
    <s v=""/>
    <x v="2"/>
    <x v="0"/>
  </r>
  <r>
    <n v="83801836531"/>
    <n v="234"/>
    <d v="2034-08-27T00:00:00"/>
    <s v=""/>
    <x v="2"/>
    <x v="0"/>
  </r>
  <r>
    <n v="49156014860"/>
    <n v="252"/>
    <d v="2034-08-27T00:00:00"/>
    <d v="2034-10-18T00:00:00"/>
    <x v="2"/>
    <x v="5"/>
  </r>
  <r>
    <n v="83053451765"/>
    <n v="269"/>
    <d v="2034-08-27T00:00:00"/>
    <m/>
    <x v="2"/>
    <x v="0"/>
  </r>
  <r>
    <n v="68550510184"/>
    <n v="275"/>
    <d v="2034-08-27T00:00:00"/>
    <s v=""/>
    <x v="2"/>
    <x v="0"/>
  </r>
  <r>
    <n v="63972819685"/>
    <n v="279"/>
    <d v="2034-08-27T00:00:00"/>
    <d v="2034-11-25T00:00:00"/>
    <x v="2"/>
    <x v="6"/>
  </r>
  <r>
    <n v="68107613343"/>
    <n v="297"/>
    <d v="2034-08-27T00:00:00"/>
    <d v="2034-09-11T00:00:00"/>
    <x v="2"/>
    <x v="3"/>
  </r>
  <r>
    <n v="23840250102"/>
    <n v="312"/>
    <d v="2034-08-27T00:00:00"/>
    <s v=""/>
    <x v="2"/>
    <x v="0"/>
  </r>
  <r>
    <n v="34348566933"/>
    <n v="333"/>
    <d v="2034-08-27T00:00:00"/>
    <s v=""/>
    <x v="2"/>
    <x v="0"/>
  </r>
  <r>
    <n v="11195642926"/>
    <n v="334"/>
    <d v="2034-08-27T00:00:00"/>
    <s v=""/>
    <x v="2"/>
    <x v="0"/>
  </r>
  <r>
    <n v="49821170226"/>
    <n v="24"/>
    <d v="2034-08-28T00:00:00"/>
    <s v=""/>
    <x v="2"/>
    <x v="0"/>
  </r>
  <r>
    <n v="28127647356"/>
    <n v="25"/>
    <d v="2034-08-28T00:00:00"/>
    <d v="2034-10-06T00:00:00"/>
    <x v="2"/>
    <x v="5"/>
  </r>
  <r>
    <n v="95771455980"/>
    <n v="27"/>
    <d v="2034-08-28T00:00:00"/>
    <s v=""/>
    <x v="2"/>
    <x v="0"/>
  </r>
  <r>
    <n v="89296641330"/>
    <n v="49"/>
    <d v="2034-08-28T00:00:00"/>
    <s v=""/>
    <x v="2"/>
    <x v="0"/>
  </r>
  <r>
    <n v="40650943058"/>
    <n v="90"/>
    <d v="2034-08-28T00:00:00"/>
    <s v=""/>
    <x v="2"/>
    <x v="0"/>
  </r>
  <r>
    <n v="70147363300"/>
    <n v="96"/>
    <d v="2034-08-28T00:00:00"/>
    <s v=""/>
    <x v="2"/>
    <x v="0"/>
  </r>
  <r>
    <n v="30578040722"/>
    <n v="111"/>
    <d v="2034-08-28T00:00:00"/>
    <s v=""/>
    <x v="2"/>
    <x v="0"/>
  </r>
  <r>
    <n v="46249366946"/>
    <n v="118"/>
    <d v="2034-08-28T00:00:00"/>
    <s v=""/>
    <x v="2"/>
    <x v="0"/>
  </r>
  <r>
    <n v="60673475794"/>
    <n v="138"/>
    <d v="2034-08-28T00:00:00"/>
    <s v=""/>
    <x v="2"/>
    <x v="0"/>
  </r>
  <r>
    <n v="87084605194"/>
    <n v="144"/>
    <d v="2034-08-28T00:00:00"/>
    <s v=""/>
    <x v="2"/>
    <x v="0"/>
  </r>
  <r>
    <n v="31685024414"/>
    <n v="183"/>
    <d v="2034-08-28T00:00:00"/>
    <s v=""/>
    <x v="2"/>
    <x v="0"/>
  </r>
  <r>
    <n v="93813827336"/>
    <n v="201"/>
    <d v="2034-08-28T00:00:00"/>
    <s v=""/>
    <x v="2"/>
    <x v="0"/>
  </r>
  <r>
    <n v="39749974842"/>
    <n v="229"/>
    <d v="2034-08-28T00:00:00"/>
    <s v=""/>
    <x v="2"/>
    <x v="0"/>
  </r>
  <r>
    <n v="50736822163"/>
    <n v="270"/>
    <d v="2034-08-28T00:00:00"/>
    <d v="2034-12-19T00:00:00"/>
    <x v="2"/>
    <x v="7"/>
  </r>
  <r>
    <n v="68899600388"/>
    <n v="274"/>
    <d v="2034-08-28T00:00:00"/>
    <s v=""/>
    <x v="2"/>
    <x v="0"/>
  </r>
  <r>
    <n v="21363203985"/>
    <n v="18"/>
    <d v="2034-08-29T00:00:00"/>
    <s v=""/>
    <x v="2"/>
    <x v="0"/>
  </r>
  <r>
    <n v="74846085916"/>
    <n v="54"/>
    <d v="2034-08-29T00:00:00"/>
    <s v=""/>
    <x v="2"/>
    <x v="0"/>
  </r>
  <r>
    <n v="92267970162"/>
    <n v="56"/>
    <d v="2034-08-29T00:00:00"/>
    <s v=""/>
    <x v="2"/>
    <x v="0"/>
  </r>
  <r>
    <n v="92024765612"/>
    <n v="74"/>
    <d v="2034-08-29T00:00:00"/>
    <s v=""/>
    <x v="2"/>
    <x v="0"/>
  </r>
  <r>
    <n v="78311191230"/>
    <n v="101"/>
    <d v="2034-08-29T00:00:00"/>
    <s v=""/>
    <x v="2"/>
    <x v="0"/>
  </r>
  <r>
    <n v="25583125468"/>
    <n v="116"/>
    <d v="2034-08-29T00:00:00"/>
    <s v=""/>
    <x v="2"/>
    <x v="0"/>
  </r>
  <r>
    <n v="21989145331"/>
    <n v="139"/>
    <d v="2034-08-29T00:00:00"/>
    <s v=""/>
    <x v="2"/>
    <x v="0"/>
  </r>
  <r>
    <n v="84301317267"/>
    <n v="163"/>
    <d v="2034-08-29T00:00:00"/>
    <s v=""/>
    <x v="2"/>
    <x v="0"/>
  </r>
  <r>
    <n v="69417242571"/>
    <n v="211"/>
    <d v="2034-08-29T00:00:00"/>
    <s v=""/>
    <x v="2"/>
    <x v="0"/>
  </r>
  <r>
    <n v="57617870518"/>
    <n v="239"/>
    <d v="2034-08-29T00:00:00"/>
    <s v=""/>
    <x v="2"/>
    <x v="0"/>
  </r>
  <r>
    <n v="94286394667"/>
    <n v="270"/>
    <d v="2034-08-29T00:00:00"/>
    <d v="2034-10-20T00:00:00"/>
    <x v="2"/>
    <x v="5"/>
  </r>
  <r>
    <n v="14900781619"/>
    <n v="288"/>
    <d v="2034-08-29T00:00:00"/>
    <d v="2034-09-28T00:00:00"/>
    <x v="2"/>
    <x v="3"/>
  </r>
  <r>
    <n v="19647874119"/>
    <n v="303"/>
    <d v="2034-08-29T00:00:00"/>
    <s v=""/>
    <x v="2"/>
    <x v="0"/>
  </r>
  <r>
    <n v="49533757680"/>
    <n v="336"/>
    <d v="2034-08-29T00:00:00"/>
    <m/>
    <x v="2"/>
    <x v="0"/>
  </r>
  <r>
    <n v="74095363544"/>
    <n v="19"/>
    <d v="2034-08-30T00:00:00"/>
    <d v="2034-10-11T00:00:00"/>
    <x v="2"/>
    <x v="5"/>
  </r>
  <r>
    <n v="51839495593"/>
    <n v="27"/>
    <d v="2034-08-30T00:00:00"/>
    <s v=""/>
    <x v="2"/>
    <x v="0"/>
  </r>
  <r>
    <n v="81443353648"/>
    <n v="27"/>
    <d v="2034-08-30T00:00:00"/>
    <d v="2034-11-30T00:00:00"/>
    <x v="2"/>
    <x v="6"/>
  </r>
  <r>
    <n v="49356243208"/>
    <n v="41"/>
    <d v="2034-08-30T00:00:00"/>
    <s v=""/>
    <x v="2"/>
    <x v="0"/>
  </r>
  <r>
    <n v="89391111594"/>
    <n v="52"/>
    <d v="2034-08-30T00:00:00"/>
    <d v="2034-12-06T00:00:00"/>
    <x v="2"/>
    <x v="7"/>
  </r>
  <r>
    <n v="47477470914"/>
    <n v="87"/>
    <d v="2034-08-30T00:00:00"/>
    <s v=""/>
    <x v="2"/>
    <x v="0"/>
  </r>
  <r>
    <n v="17225876220"/>
    <n v="103"/>
    <d v="2034-08-30T00:00:00"/>
    <s v=""/>
    <x v="2"/>
    <x v="0"/>
  </r>
  <r>
    <n v="20341485932"/>
    <n v="104"/>
    <d v="2034-08-30T00:00:00"/>
    <d v="2034-09-20T00:00:00"/>
    <x v="2"/>
    <x v="3"/>
  </r>
  <r>
    <n v="95549227467"/>
    <n v="117"/>
    <d v="2034-08-30T00:00:00"/>
    <s v=""/>
    <x v="2"/>
    <x v="0"/>
  </r>
  <r>
    <n v="80783014409"/>
    <n v="132"/>
    <d v="2034-08-30T00:00:00"/>
    <s v=""/>
    <x v="2"/>
    <x v="0"/>
  </r>
  <r>
    <n v="41329312694"/>
    <n v="198"/>
    <d v="2034-08-30T00:00:00"/>
    <d v="2034-11-09T00:00:00"/>
    <x v="2"/>
    <x v="6"/>
  </r>
  <r>
    <n v="59554655319"/>
    <n v="201"/>
    <d v="2034-08-30T00:00:00"/>
    <s v=""/>
    <x v="2"/>
    <x v="0"/>
  </r>
  <r>
    <n v="81224736578"/>
    <n v="205"/>
    <d v="2034-08-30T00:00:00"/>
    <s v=""/>
    <x v="2"/>
    <x v="0"/>
  </r>
  <r>
    <n v="70347517200"/>
    <n v="225"/>
    <d v="2034-08-30T00:00:00"/>
    <s v=""/>
    <x v="2"/>
    <x v="0"/>
  </r>
  <r>
    <n v="76921055932"/>
    <n v="227"/>
    <d v="2034-08-30T00:00:00"/>
    <s v=""/>
    <x v="2"/>
    <x v="0"/>
  </r>
  <r>
    <n v="65598488675"/>
    <n v="234"/>
    <d v="2034-08-30T00:00:00"/>
    <s v=""/>
    <x v="2"/>
    <x v="0"/>
  </r>
  <r>
    <n v="86388397710"/>
    <n v="243"/>
    <d v="2034-08-30T00:00:00"/>
    <s v=""/>
    <x v="2"/>
    <x v="0"/>
  </r>
  <r>
    <n v="57509074363"/>
    <n v="244"/>
    <d v="2034-08-30T00:00:00"/>
    <s v=""/>
    <x v="2"/>
    <x v="0"/>
  </r>
  <r>
    <n v="56735076961"/>
    <n v="250"/>
    <d v="2034-08-30T00:00:00"/>
    <s v=""/>
    <x v="2"/>
    <x v="0"/>
  </r>
  <r>
    <n v="35634648391"/>
    <n v="262"/>
    <d v="2034-08-30T00:00:00"/>
    <d v="2034-11-17T00:00:00"/>
    <x v="2"/>
    <x v="6"/>
  </r>
  <r>
    <n v="47382849610"/>
    <n v="273"/>
    <d v="2034-08-30T00:00:00"/>
    <s v=""/>
    <x v="2"/>
    <x v="0"/>
  </r>
  <r>
    <n v="85259797101"/>
    <n v="283"/>
    <d v="2034-08-30T00:00:00"/>
    <s v=""/>
    <x v="2"/>
    <x v="0"/>
  </r>
  <r>
    <n v="98085589300"/>
    <n v="327"/>
    <d v="2034-08-30T00:00:00"/>
    <d v="2034-11-18T00:00:00"/>
    <x v="2"/>
    <x v="6"/>
  </r>
  <r>
    <n v="16360224234"/>
    <n v="336"/>
    <d v="2034-08-30T00:00:00"/>
    <s v=""/>
    <x v="2"/>
    <x v="0"/>
  </r>
  <r>
    <n v="75966246711"/>
    <n v="338"/>
    <d v="2034-08-30T00:00:00"/>
    <s v=""/>
    <x v="2"/>
    <x v="0"/>
  </r>
  <r>
    <n v="72309972138"/>
    <n v="2"/>
    <d v="2034-08-31T00:00:00"/>
    <s v=""/>
    <x v="2"/>
    <x v="0"/>
  </r>
  <r>
    <n v="75583704460"/>
    <n v="39"/>
    <d v="2034-08-31T00:00:00"/>
    <m/>
    <x v="2"/>
    <x v="0"/>
  </r>
  <r>
    <n v="65714834862"/>
    <n v="54"/>
    <d v="2034-08-31T00:00:00"/>
    <s v=""/>
    <x v="2"/>
    <x v="0"/>
  </r>
  <r>
    <n v="81323235089"/>
    <n v="56"/>
    <d v="2034-08-31T00:00:00"/>
    <d v="2034-11-13T00:00:00"/>
    <x v="2"/>
    <x v="6"/>
  </r>
  <r>
    <n v="57578357628"/>
    <n v="63"/>
    <d v="2034-08-31T00:00:00"/>
    <s v=""/>
    <x v="2"/>
    <x v="0"/>
  </r>
  <r>
    <n v="68750617037"/>
    <n v="92"/>
    <d v="2034-08-31T00:00:00"/>
    <s v=""/>
    <x v="2"/>
    <x v="0"/>
  </r>
  <r>
    <n v="49305025974"/>
    <n v="94"/>
    <d v="2034-08-31T00:00:00"/>
    <s v=""/>
    <x v="2"/>
    <x v="0"/>
  </r>
  <r>
    <n v="19332995657"/>
    <n v="146"/>
    <d v="2034-08-31T00:00:00"/>
    <s v=""/>
    <x v="2"/>
    <x v="0"/>
  </r>
  <r>
    <n v="22665248363"/>
    <n v="156"/>
    <d v="2034-08-31T00:00:00"/>
    <s v=""/>
    <x v="2"/>
    <x v="0"/>
  </r>
  <r>
    <n v="58520310782"/>
    <n v="186"/>
    <d v="2034-08-31T00:00:00"/>
    <m/>
    <x v="2"/>
    <x v="0"/>
  </r>
  <r>
    <n v="89288626983"/>
    <n v="189"/>
    <d v="2034-08-31T00:00:00"/>
    <m/>
    <x v="2"/>
    <x v="0"/>
  </r>
  <r>
    <n v="40311559919"/>
    <n v="190"/>
    <d v="2034-08-31T00:00:00"/>
    <s v=""/>
    <x v="2"/>
    <x v="0"/>
  </r>
  <r>
    <n v="72626818882"/>
    <n v="209"/>
    <d v="2034-08-31T00:00:00"/>
    <d v="2034-12-24T00:00:00"/>
    <x v="2"/>
    <x v="7"/>
  </r>
  <r>
    <n v="32993133202"/>
    <n v="219"/>
    <d v="2034-08-31T00:00:00"/>
    <d v="2034-12-15T00:00:00"/>
    <x v="2"/>
    <x v="7"/>
  </r>
  <r>
    <n v="89802731260"/>
    <n v="250"/>
    <d v="2034-08-31T00:00:00"/>
    <s v=""/>
    <x v="2"/>
    <x v="0"/>
  </r>
  <r>
    <n v="92725213610"/>
    <n v="272"/>
    <d v="2034-08-31T00:00:00"/>
    <s v=""/>
    <x v="2"/>
    <x v="0"/>
  </r>
  <r>
    <n v="85588678383"/>
    <n v="279"/>
    <d v="2034-08-31T00:00:00"/>
    <s v=""/>
    <x v="2"/>
    <x v="0"/>
  </r>
  <r>
    <n v="18870438842"/>
    <n v="296"/>
    <d v="2034-08-31T00:00:00"/>
    <d v="2034-09-08T00:00:00"/>
    <x v="2"/>
    <x v="3"/>
  </r>
  <r>
    <n v="61174457580"/>
    <n v="303"/>
    <d v="2034-08-31T00:00:00"/>
    <m/>
    <x v="2"/>
    <x v="0"/>
  </r>
  <r>
    <n v="24799332906"/>
    <n v="312"/>
    <d v="2034-08-31T00:00:00"/>
    <s v=""/>
    <x v="2"/>
    <x v="0"/>
  </r>
  <r>
    <n v="58765541307"/>
    <n v="312"/>
    <d v="2034-08-31T00:00:00"/>
    <s v=""/>
    <x v="2"/>
    <x v="0"/>
  </r>
  <r>
    <n v="62416739127"/>
    <n v="330"/>
    <d v="2034-08-31T00:00:00"/>
    <s v=""/>
    <x v="2"/>
    <x v="0"/>
  </r>
  <r>
    <n v="25420254741"/>
    <n v="331"/>
    <d v="2034-08-31T00:00:00"/>
    <s v=""/>
    <x v="2"/>
    <x v="0"/>
  </r>
  <r>
    <n v="37108102546"/>
    <n v="27"/>
    <d v="2034-09-01T00:00:00"/>
    <s v=""/>
    <x v="3"/>
    <x v="0"/>
  </r>
  <r>
    <n v="50175033232"/>
    <n v="63"/>
    <d v="2034-09-01T00:00:00"/>
    <d v="2034-11-30T00:00:00"/>
    <x v="3"/>
    <x v="6"/>
  </r>
  <r>
    <n v="62545236108"/>
    <n v="76"/>
    <d v="2034-09-01T00:00:00"/>
    <s v=""/>
    <x v="3"/>
    <x v="0"/>
  </r>
  <r>
    <n v="84524457825"/>
    <n v="92"/>
    <d v="2034-09-01T00:00:00"/>
    <s v=""/>
    <x v="3"/>
    <x v="0"/>
  </r>
  <r>
    <n v="62914654800"/>
    <n v="119"/>
    <d v="2034-09-01T00:00:00"/>
    <s v=""/>
    <x v="3"/>
    <x v="0"/>
  </r>
  <r>
    <n v="92713290904"/>
    <n v="120"/>
    <d v="2034-09-01T00:00:00"/>
    <d v="2034-10-25T00:00:00"/>
    <x v="3"/>
    <x v="5"/>
  </r>
  <r>
    <n v="30240119398"/>
    <n v="136"/>
    <d v="2034-09-01T00:00:00"/>
    <s v=""/>
    <x v="3"/>
    <x v="0"/>
  </r>
  <r>
    <n v="65057776954"/>
    <n v="143"/>
    <d v="2034-09-01T00:00:00"/>
    <s v=""/>
    <x v="3"/>
    <x v="0"/>
  </r>
  <r>
    <n v="35859759052"/>
    <n v="150"/>
    <d v="2034-09-01T00:00:00"/>
    <m/>
    <x v="3"/>
    <x v="0"/>
  </r>
  <r>
    <n v="72010463329"/>
    <n v="161"/>
    <d v="2034-09-01T00:00:00"/>
    <s v=""/>
    <x v="3"/>
    <x v="0"/>
  </r>
  <r>
    <n v="99218148587"/>
    <n v="173"/>
    <d v="2034-09-01T00:00:00"/>
    <s v=""/>
    <x v="3"/>
    <x v="0"/>
  </r>
  <r>
    <n v="76259729755"/>
    <n v="202"/>
    <d v="2034-09-01T00:00:00"/>
    <s v=""/>
    <x v="3"/>
    <x v="0"/>
  </r>
  <r>
    <n v="35169231239"/>
    <n v="239"/>
    <d v="2034-09-01T00:00:00"/>
    <d v="2034-10-15T00:00:00"/>
    <x v="3"/>
    <x v="5"/>
  </r>
  <r>
    <n v="91937525470"/>
    <n v="240"/>
    <d v="2034-09-01T00:00:00"/>
    <s v=""/>
    <x v="3"/>
    <x v="0"/>
  </r>
  <r>
    <n v="12694011686"/>
    <n v="256"/>
    <d v="2034-09-01T00:00:00"/>
    <s v=""/>
    <x v="3"/>
    <x v="0"/>
  </r>
  <r>
    <n v="69872802386"/>
    <n v="259"/>
    <d v="2034-09-01T00:00:00"/>
    <s v=""/>
    <x v="3"/>
    <x v="0"/>
  </r>
  <r>
    <n v="25324967655"/>
    <n v="280"/>
    <d v="2034-09-01T00:00:00"/>
    <d v="2034-09-11T00:00:00"/>
    <x v="3"/>
    <x v="3"/>
  </r>
  <r>
    <n v="54211383660"/>
    <n v="298"/>
    <d v="2034-09-01T00:00:00"/>
    <d v="2034-12-17T00:00:00"/>
    <x v="3"/>
    <x v="7"/>
  </r>
  <r>
    <n v="44558050416"/>
    <n v="300"/>
    <d v="2034-09-01T00:00:00"/>
    <m/>
    <x v="3"/>
    <x v="0"/>
  </r>
  <r>
    <n v="35492642414"/>
    <n v="308"/>
    <d v="2034-09-01T00:00:00"/>
    <s v=""/>
    <x v="3"/>
    <x v="0"/>
  </r>
  <r>
    <n v="89141643045"/>
    <n v="313"/>
    <d v="2034-09-01T00:00:00"/>
    <s v=""/>
    <x v="3"/>
    <x v="0"/>
  </r>
  <r>
    <n v="86634802210"/>
    <n v="321"/>
    <d v="2034-09-01T00:00:00"/>
    <s v=""/>
    <x v="3"/>
    <x v="0"/>
  </r>
  <r>
    <n v="85604780138"/>
    <n v="326"/>
    <d v="2034-09-01T00:00:00"/>
    <s v=""/>
    <x v="3"/>
    <x v="0"/>
  </r>
  <r>
    <n v="72067930019"/>
    <n v="327"/>
    <d v="2034-09-01T00:00:00"/>
    <s v=""/>
    <x v="3"/>
    <x v="0"/>
  </r>
  <r>
    <n v="14170844626"/>
    <n v="329"/>
    <d v="2034-09-01T00:00:00"/>
    <s v=""/>
    <x v="3"/>
    <x v="0"/>
  </r>
  <r>
    <n v="77403064604"/>
    <n v="335"/>
    <d v="2034-09-01T00:00:00"/>
    <s v=""/>
    <x v="3"/>
    <x v="0"/>
  </r>
  <r>
    <n v="43143344315"/>
    <n v="339"/>
    <d v="2034-09-01T00:00:00"/>
    <s v=""/>
    <x v="3"/>
    <x v="0"/>
  </r>
  <r>
    <n v="93705214428"/>
    <n v="16"/>
    <d v="2034-09-02T00:00:00"/>
    <s v=""/>
    <x v="3"/>
    <x v="0"/>
  </r>
  <r>
    <n v="71666711269"/>
    <n v="26"/>
    <d v="2034-09-02T00:00:00"/>
    <s v=""/>
    <x v="3"/>
    <x v="0"/>
  </r>
  <r>
    <n v="64541211064"/>
    <n v="30"/>
    <d v="2034-09-02T00:00:00"/>
    <d v="2034-10-05T00:00:00"/>
    <x v="3"/>
    <x v="5"/>
  </r>
  <r>
    <n v="35619195951"/>
    <n v="32"/>
    <d v="2034-09-02T00:00:00"/>
    <d v="2034-12-10T00:00:00"/>
    <x v="3"/>
    <x v="7"/>
  </r>
  <r>
    <n v="56575215626"/>
    <n v="44"/>
    <d v="2034-09-02T00:00:00"/>
    <d v="2034-10-14T00:00:00"/>
    <x v="3"/>
    <x v="5"/>
  </r>
  <r>
    <n v="91432974533"/>
    <n v="47"/>
    <d v="2034-09-02T00:00:00"/>
    <d v="2034-10-19T00:00:00"/>
    <x v="3"/>
    <x v="5"/>
  </r>
  <r>
    <n v="66073737309"/>
    <n v="57"/>
    <d v="2034-09-02T00:00:00"/>
    <m/>
    <x v="3"/>
    <x v="0"/>
  </r>
  <r>
    <n v="62603332071"/>
    <n v="67"/>
    <d v="2034-09-02T00:00:00"/>
    <s v=""/>
    <x v="3"/>
    <x v="0"/>
  </r>
  <r>
    <n v="75915454882"/>
    <n v="107"/>
    <d v="2034-09-02T00:00:00"/>
    <s v=""/>
    <x v="3"/>
    <x v="0"/>
  </r>
  <r>
    <n v="58160144946"/>
    <n v="110"/>
    <d v="2034-09-02T00:00:00"/>
    <s v=""/>
    <x v="3"/>
    <x v="0"/>
  </r>
  <r>
    <n v="84653278931"/>
    <n v="121"/>
    <d v="2034-09-02T00:00:00"/>
    <s v=""/>
    <x v="3"/>
    <x v="0"/>
  </r>
  <r>
    <n v="84541655880"/>
    <n v="132"/>
    <d v="2034-09-02T00:00:00"/>
    <s v=""/>
    <x v="3"/>
    <x v="0"/>
  </r>
  <r>
    <n v="79236119445"/>
    <n v="134"/>
    <d v="2034-09-02T00:00:00"/>
    <s v=""/>
    <x v="3"/>
    <x v="0"/>
  </r>
  <r>
    <n v="99490306418"/>
    <n v="134"/>
    <d v="2034-09-02T00:00:00"/>
    <m/>
    <x v="3"/>
    <x v="0"/>
  </r>
  <r>
    <n v="73620905894"/>
    <n v="186"/>
    <d v="2034-09-02T00:00:00"/>
    <d v="2034-09-12T00:00:00"/>
    <x v="3"/>
    <x v="3"/>
  </r>
  <r>
    <n v="22753257786"/>
    <n v="207"/>
    <d v="2034-09-02T00:00:00"/>
    <d v="2034-10-15T00:00:00"/>
    <x v="3"/>
    <x v="5"/>
  </r>
  <r>
    <n v="64676582520"/>
    <n v="242"/>
    <d v="2034-09-02T00:00:00"/>
    <d v="2034-10-01T00:00:00"/>
    <x v="3"/>
    <x v="5"/>
  </r>
  <r>
    <n v="24445775338"/>
    <n v="248"/>
    <d v="2034-09-02T00:00:00"/>
    <d v="2034-10-31T00:00:00"/>
    <x v="3"/>
    <x v="5"/>
  </r>
  <r>
    <n v="85631969493"/>
    <n v="261"/>
    <d v="2034-09-02T00:00:00"/>
    <d v="2034-09-14T00:00:00"/>
    <x v="3"/>
    <x v="3"/>
  </r>
  <r>
    <n v="86103002305"/>
    <n v="268"/>
    <d v="2034-09-02T00:00:00"/>
    <s v=""/>
    <x v="3"/>
    <x v="0"/>
  </r>
  <r>
    <n v="52305182631"/>
    <n v="277"/>
    <d v="2034-09-02T00:00:00"/>
    <s v=""/>
    <x v="3"/>
    <x v="0"/>
  </r>
  <r>
    <n v="76478463422"/>
    <n v="289"/>
    <d v="2034-09-02T00:00:00"/>
    <s v=""/>
    <x v="3"/>
    <x v="0"/>
  </r>
  <r>
    <n v="61768718201"/>
    <n v="297"/>
    <d v="2034-09-02T00:00:00"/>
    <d v="2034-11-27T00:00:00"/>
    <x v="3"/>
    <x v="6"/>
  </r>
  <r>
    <n v="26861585576"/>
    <n v="307"/>
    <d v="2034-09-02T00:00:00"/>
    <s v=""/>
    <x v="3"/>
    <x v="0"/>
  </r>
  <r>
    <n v="77416740025"/>
    <n v="314"/>
    <d v="2034-09-02T00:00:00"/>
    <m/>
    <x v="3"/>
    <x v="0"/>
  </r>
  <r>
    <n v="69858479526"/>
    <n v="13"/>
    <d v="2034-09-03T00:00:00"/>
    <m/>
    <x v="3"/>
    <x v="0"/>
  </r>
  <r>
    <n v="39615774756"/>
    <n v="39"/>
    <d v="2034-09-03T00:00:00"/>
    <s v=""/>
    <x v="3"/>
    <x v="0"/>
  </r>
  <r>
    <n v="94319800050"/>
    <n v="53"/>
    <d v="2034-09-03T00:00:00"/>
    <d v="2034-12-14T00:00:00"/>
    <x v="3"/>
    <x v="7"/>
  </r>
  <r>
    <n v="22464349822"/>
    <n v="66"/>
    <d v="2034-09-03T00:00:00"/>
    <s v=""/>
    <x v="3"/>
    <x v="0"/>
  </r>
  <r>
    <n v="76698367328"/>
    <n v="73"/>
    <d v="2034-09-03T00:00:00"/>
    <s v=""/>
    <x v="3"/>
    <x v="0"/>
  </r>
  <r>
    <n v="95829519457"/>
    <n v="84"/>
    <d v="2034-09-03T00:00:00"/>
    <s v=""/>
    <x v="3"/>
    <x v="0"/>
  </r>
  <r>
    <n v="66168921291"/>
    <n v="105"/>
    <d v="2034-09-03T00:00:00"/>
    <s v=""/>
    <x v="3"/>
    <x v="0"/>
  </r>
  <r>
    <n v="49237462311"/>
    <n v="126"/>
    <d v="2034-09-03T00:00:00"/>
    <s v=""/>
    <x v="3"/>
    <x v="0"/>
  </r>
  <r>
    <n v="28025621762"/>
    <n v="156"/>
    <d v="2034-09-03T00:00:00"/>
    <s v=""/>
    <x v="3"/>
    <x v="0"/>
  </r>
  <r>
    <n v="28734138979"/>
    <n v="169"/>
    <d v="2034-09-03T00:00:00"/>
    <s v=""/>
    <x v="3"/>
    <x v="0"/>
  </r>
  <r>
    <n v="74055104077"/>
    <n v="169"/>
    <d v="2034-09-03T00:00:00"/>
    <s v=""/>
    <x v="3"/>
    <x v="0"/>
  </r>
  <r>
    <n v="46216887407"/>
    <n v="173"/>
    <d v="2034-09-03T00:00:00"/>
    <m/>
    <x v="3"/>
    <x v="0"/>
  </r>
  <r>
    <n v="22594183565"/>
    <n v="202"/>
    <d v="2034-09-03T00:00:00"/>
    <s v=""/>
    <x v="3"/>
    <x v="0"/>
  </r>
  <r>
    <n v="12635840047"/>
    <n v="204"/>
    <d v="2034-09-03T00:00:00"/>
    <s v=""/>
    <x v="3"/>
    <x v="0"/>
  </r>
  <r>
    <n v="66611057800"/>
    <n v="258"/>
    <d v="2034-09-03T00:00:00"/>
    <s v=""/>
    <x v="3"/>
    <x v="0"/>
  </r>
  <r>
    <n v="28787535214"/>
    <n v="295"/>
    <d v="2034-09-03T00:00:00"/>
    <s v=""/>
    <x v="3"/>
    <x v="0"/>
  </r>
  <r>
    <n v="34185149204"/>
    <n v="311"/>
    <d v="2034-09-03T00:00:00"/>
    <s v=""/>
    <x v="3"/>
    <x v="0"/>
  </r>
  <r>
    <n v="55997506418"/>
    <n v="317"/>
    <d v="2034-09-03T00:00:00"/>
    <s v=""/>
    <x v="3"/>
    <x v="0"/>
  </r>
  <r>
    <n v="29148003090"/>
    <n v="318"/>
    <d v="2034-09-03T00:00:00"/>
    <s v=""/>
    <x v="3"/>
    <x v="0"/>
  </r>
  <r>
    <n v="85528765176"/>
    <n v="320"/>
    <d v="2034-09-03T00:00:00"/>
    <s v=""/>
    <x v="3"/>
    <x v="0"/>
  </r>
  <r>
    <n v="58433727401"/>
    <n v="328"/>
    <d v="2034-09-03T00:00:00"/>
    <s v=""/>
    <x v="3"/>
    <x v="0"/>
  </r>
  <r>
    <n v="53426379075"/>
    <n v="0"/>
    <d v="2034-09-04T00:00:00"/>
    <s v=""/>
    <x v="3"/>
    <x v="0"/>
  </r>
  <r>
    <n v="72429457400"/>
    <n v="3"/>
    <d v="2034-09-04T00:00:00"/>
    <s v=""/>
    <x v="3"/>
    <x v="0"/>
  </r>
  <r>
    <n v="56290356203"/>
    <n v="39"/>
    <d v="2034-09-04T00:00:00"/>
    <s v=""/>
    <x v="3"/>
    <x v="0"/>
  </r>
  <r>
    <n v="79103230271"/>
    <n v="49"/>
    <d v="2034-09-04T00:00:00"/>
    <s v=""/>
    <x v="3"/>
    <x v="0"/>
  </r>
  <r>
    <n v="43911150885"/>
    <n v="50"/>
    <d v="2034-09-04T00:00:00"/>
    <s v=""/>
    <x v="3"/>
    <x v="0"/>
  </r>
  <r>
    <n v="94282040623"/>
    <n v="74"/>
    <d v="2034-09-04T00:00:00"/>
    <s v=""/>
    <x v="3"/>
    <x v="0"/>
  </r>
  <r>
    <n v="90331816445"/>
    <n v="80"/>
    <d v="2034-09-04T00:00:00"/>
    <s v=""/>
    <x v="3"/>
    <x v="0"/>
  </r>
  <r>
    <n v="27194033614"/>
    <n v="129"/>
    <d v="2034-09-04T00:00:00"/>
    <d v="2034-10-21T00:00:00"/>
    <x v="3"/>
    <x v="5"/>
  </r>
  <r>
    <n v="79823297869"/>
    <n v="134"/>
    <d v="2034-09-04T00:00:00"/>
    <m/>
    <x v="3"/>
    <x v="0"/>
  </r>
  <r>
    <n v="45922054573"/>
    <n v="150"/>
    <d v="2034-09-04T00:00:00"/>
    <d v="2034-12-31T00:00:00"/>
    <x v="3"/>
    <x v="7"/>
  </r>
  <r>
    <n v="13179125472"/>
    <n v="152"/>
    <d v="2034-09-04T00:00:00"/>
    <d v="2034-10-26T00:00:00"/>
    <x v="3"/>
    <x v="5"/>
  </r>
  <r>
    <n v="47118046888"/>
    <n v="158"/>
    <d v="2034-09-04T00:00:00"/>
    <d v="2034-10-20T00:00:00"/>
    <x v="3"/>
    <x v="5"/>
  </r>
  <r>
    <n v="33924910995"/>
    <n v="163"/>
    <d v="2034-09-04T00:00:00"/>
    <s v=""/>
    <x v="3"/>
    <x v="0"/>
  </r>
  <r>
    <n v="89847922257"/>
    <n v="216"/>
    <d v="2034-09-04T00:00:00"/>
    <s v=""/>
    <x v="3"/>
    <x v="0"/>
  </r>
  <r>
    <n v="97140208257"/>
    <n v="226"/>
    <d v="2034-09-04T00:00:00"/>
    <m/>
    <x v="3"/>
    <x v="0"/>
  </r>
  <r>
    <n v="97664956808"/>
    <n v="231"/>
    <d v="2034-09-04T00:00:00"/>
    <s v=""/>
    <x v="3"/>
    <x v="0"/>
  </r>
  <r>
    <n v="74348938518"/>
    <n v="239"/>
    <d v="2034-09-04T00:00:00"/>
    <s v=""/>
    <x v="3"/>
    <x v="0"/>
  </r>
  <r>
    <n v="36371586917"/>
    <n v="246"/>
    <d v="2034-09-04T00:00:00"/>
    <s v=""/>
    <x v="3"/>
    <x v="0"/>
  </r>
  <r>
    <n v="53254376853"/>
    <n v="254"/>
    <d v="2034-09-04T00:00:00"/>
    <s v=""/>
    <x v="3"/>
    <x v="0"/>
  </r>
  <r>
    <n v="33474643096"/>
    <n v="289"/>
    <d v="2034-09-04T00:00:00"/>
    <s v=""/>
    <x v="3"/>
    <x v="0"/>
  </r>
  <r>
    <n v="78272917019"/>
    <n v="324"/>
    <d v="2034-09-04T00:00:00"/>
    <d v="2034-09-12T00:00:00"/>
    <x v="3"/>
    <x v="3"/>
  </r>
  <r>
    <n v="15713070395"/>
    <n v="324"/>
    <d v="2034-09-04T00:00:00"/>
    <s v=""/>
    <x v="3"/>
    <x v="0"/>
  </r>
  <r>
    <n v="95456929574"/>
    <n v="325"/>
    <d v="2034-09-04T00:00:00"/>
    <m/>
    <x v="3"/>
    <x v="0"/>
  </r>
  <r>
    <n v="89019866654"/>
    <n v="326"/>
    <d v="2034-09-04T00:00:00"/>
    <m/>
    <x v="3"/>
    <x v="0"/>
  </r>
  <r>
    <n v="25897734937"/>
    <n v="9"/>
    <d v="2034-09-05T00:00:00"/>
    <d v="2034-11-20T00:00:00"/>
    <x v="3"/>
    <x v="6"/>
  </r>
  <r>
    <n v="16627539777"/>
    <n v="10"/>
    <d v="2034-09-05T00:00:00"/>
    <s v=""/>
    <x v="3"/>
    <x v="0"/>
  </r>
  <r>
    <n v="95645248614"/>
    <n v="20"/>
    <d v="2034-09-05T00:00:00"/>
    <s v=""/>
    <x v="3"/>
    <x v="0"/>
  </r>
  <r>
    <n v="89962965788"/>
    <n v="58"/>
    <d v="2034-09-05T00:00:00"/>
    <d v="2034-09-10T00:00:00"/>
    <x v="3"/>
    <x v="3"/>
  </r>
  <r>
    <n v="85209000246"/>
    <n v="73"/>
    <d v="2034-09-05T00:00:00"/>
    <s v=""/>
    <x v="3"/>
    <x v="0"/>
  </r>
  <r>
    <n v="99362707718"/>
    <n v="113"/>
    <d v="2034-09-05T00:00:00"/>
    <s v=""/>
    <x v="3"/>
    <x v="0"/>
  </r>
  <r>
    <n v="50298329403"/>
    <n v="122"/>
    <d v="2034-09-05T00:00:00"/>
    <s v=""/>
    <x v="3"/>
    <x v="0"/>
  </r>
  <r>
    <n v="38114042321"/>
    <n v="126"/>
    <d v="2034-09-05T00:00:00"/>
    <s v=""/>
    <x v="3"/>
    <x v="0"/>
  </r>
  <r>
    <n v="47091409761"/>
    <n v="143"/>
    <d v="2034-09-05T00:00:00"/>
    <s v=""/>
    <x v="3"/>
    <x v="0"/>
  </r>
  <r>
    <n v="74151298652"/>
    <n v="155"/>
    <d v="2034-09-05T00:00:00"/>
    <d v="2034-12-17T00:00:00"/>
    <x v="3"/>
    <x v="7"/>
  </r>
  <r>
    <n v="76380401508"/>
    <n v="179"/>
    <d v="2034-09-05T00:00:00"/>
    <d v="2034-10-20T00:00:00"/>
    <x v="3"/>
    <x v="5"/>
  </r>
  <r>
    <n v="86466397730"/>
    <n v="190"/>
    <d v="2034-09-05T00:00:00"/>
    <s v=""/>
    <x v="3"/>
    <x v="0"/>
  </r>
  <r>
    <n v="35907275328"/>
    <n v="199"/>
    <d v="2034-09-05T00:00:00"/>
    <s v=""/>
    <x v="3"/>
    <x v="0"/>
  </r>
  <r>
    <n v="60923357369"/>
    <n v="203"/>
    <d v="2034-09-05T00:00:00"/>
    <s v=""/>
    <x v="3"/>
    <x v="0"/>
  </r>
  <r>
    <n v="71861670296"/>
    <n v="212"/>
    <d v="2034-09-05T00:00:00"/>
    <d v="2034-10-18T00:00:00"/>
    <x v="3"/>
    <x v="5"/>
  </r>
  <r>
    <n v="73433625192"/>
    <n v="218"/>
    <d v="2034-09-05T00:00:00"/>
    <s v=""/>
    <x v="3"/>
    <x v="0"/>
  </r>
  <r>
    <n v="51009577834"/>
    <n v="255"/>
    <d v="2034-09-05T00:00:00"/>
    <s v=""/>
    <x v="3"/>
    <x v="0"/>
  </r>
  <r>
    <n v="97573488894"/>
    <n v="263"/>
    <d v="2034-09-05T00:00:00"/>
    <s v=""/>
    <x v="3"/>
    <x v="0"/>
  </r>
  <r>
    <n v="48238859594"/>
    <n v="278"/>
    <d v="2034-09-05T00:00:00"/>
    <d v="2034-09-20T00:00:00"/>
    <x v="3"/>
    <x v="3"/>
  </r>
  <r>
    <n v="25706574922"/>
    <n v="282"/>
    <d v="2034-09-05T00:00:00"/>
    <s v=""/>
    <x v="3"/>
    <x v="0"/>
  </r>
  <r>
    <n v="80583681369"/>
    <n v="284"/>
    <d v="2034-09-05T00:00:00"/>
    <d v="2034-12-08T00:00:00"/>
    <x v="3"/>
    <x v="7"/>
  </r>
  <r>
    <n v="55307292899"/>
    <n v="293"/>
    <d v="2034-09-05T00:00:00"/>
    <s v=""/>
    <x v="3"/>
    <x v="0"/>
  </r>
  <r>
    <n v="44259007388"/>
    <n v="293"/>
    <d v="2034-09-05T00:00:00"/>
    <s v=""/>
    <x v="3"/>
    <x v="0"/>
  </r>
  <r>
    <n v="90525911265"/>
    <n v="318"/>
    <d v="2034-09-05T00:00:00"/>
    <s v=""/>
    <x v="3"/>
    <x v="0"/>
  </r>
  <r>
    <n v="66268370054"/>
    <n v="335"/>
    <d v="2034-09-05T00:00:00"/>
    <d v="2034-10-11T00:00:00"/>
    <x v="3"/>
    <x v="5"/>
  </r>
  <r>
    <n v="90367301815"/>
    <n v="338"/>
    <d v="2034-09-05T00:00:00"/>
    <s v=""/>
    <x v="3"/>
    <x v="0"/>
  </r>
  <r>
    <n v="93782621436"/>
    <n v="338"/>
    <d v="2034-09-05T00:00:00"/>
    <d v="2034-11-29T00:00:00"/>
    <x v="3"/>
    <x v="6"/>
  </r>
  <r>
    <n v="69099357430"/>
    <n v="25"/>
    <d v="2034-09-06T00:00:00"/>
    <s v=""/>
    <x v="3"/>
    <x v="0"/>
  </r>
  <r>
    <n v="14110676582"/>
    <n v="29"/>
    <d v="2034-09-06T00:00:00"/>
    <s v=""/>
    <x v="3"/>
    <x v="0"/>
  </r>
  <r>
    <n v="41410798638"/>
    <n v="36"/>
    <d v="2034-09-06T00:00:00"/>
    <d v="2034-10-15T00:00:00"/>
    <x v="3"/>
    <x v="5"/>
  </r>
  <r>
    <n v="41004371039"/>
    <n v="40"/>
    <d v="2034-09-06T00:00:00"/>
    <s v=""/>
    <x v="3"/>
    <x v="0"/>
  </r>
  <r>
    <n v="34990454811"/>
    <n v="103"/>
    <d v="2034-09-06T00:00:00"/>
    <s v=""/>
    <x v="3"/>
    <x v="0"/>
  </r>
  <r>
    <n v="70963915030"/>
    <n v="134"/>
    <d v="2034-09-06T00:00:00"/>
    <d v="2035-01-01T00:00:00"/>
    <x v="3"/>
    <x v="8"/>
  </r>
  <r>
    <n v="69570463510"/>
    <n v="137"/>
    <d v="2034-09-06T00:00:00"/>
    <s v=""/>
    <x v="3"/>
    <x v="0"/>
  </r>
  <r>
    <n v="18252708952"/>
    <n v="154"/>
    <d v="2034-09-06T00:00:00"/>
    <d v="2034-11-09T00:00:00"/>
    <x v="3"/>
    <x v="6"/>
  </r>
  <r>
    <n v="22544023159"/>
    <n v="167"/>
    <d v="2034-09-06T00:00:00"/>
    <s v=""/>
    <x v="3"/>
    <x v="0"/>
  </r>
  <r>
    <n v="79882631286"/>
    <n v="169"/>
    <d v="2034-09-06T00:00:00"/>
    <s v=""/>
    <x v="3"/>
    <x v="0"/>
  </r>
  <r>
    <n v="96496491849"/>
    <n v="178"/>
    <d v="2034-09-06T00:00:00"/>
    <s v=""/>
    <x v="3"/>
    <x v="0"/>
  </r>
  <r>
    <n v="97670525121"/>
    <n v="179"/>
    <d v="2034-09-06T00:00:00"/>
    <d v="2034-10-02T00:00:00"/>
    <x v="3"/>
    <x v="5"/>
  </r>
  <r>
    <n v="39923750863"/>
    <n v="216"/>
    <d v="2034-09-06T00:00:00"/>
    <m/>
    <x v="3"/>
    <x v="0"/>
  </r>
  <r>
    <n v="15716717617"/>
    <n v="222"/>
    <d v="2034-09-06T00:00:00"/>
    <s v=""/>
    <x v="3"/>
    <x v="0"/>
  </r>
  <r>
    <n v="86605218079"/>
    <n v="241"/>
    <d v="2034-09-06T00:00:00"/>
    <s v=""/>
    <x v="3"/>
    <x v="0"/>
  </r>
  <r>
    <n v="81570517299"/>
    <n v="251"/>
    <d v="2034-09-06T00:00:00"/>
    <d v="2034-12-13T00:00:00"/>
    <x v="3"/>
    <x v="7"/>
  </r>
  <r>
    <n v="75882980860"/>
    <n v="264"/>
    <d v="2034-09-06T00:00:00"/>
    <s v=""/>
    <x v="3"/>
    <x v="0"/>
  </r>
  <r>
    <n v="14477977149"/>
    <n v="265"/>
    <d v="2034-09-06T00:00:00"/>
    <d v="2034-12-19T00:00:00"/>
    <x v="3"/>
    <x v="7"/>
  </r>
  <r>
    <n v="91160243630"/>
    <n v="275"/>
    <d v="2034-09-06T00:00:00"/>
    <s v=""/>
    <x v="3"/>
    <x v="0"/>
  </r>
  <r>
    <n v="88809893784"/>
    <n v="300"/>
    <d v="2034-09-06T00:00:00"/>
    <s v=""/>
    <x v="3"/>
    <x v="0"/>
  </r>
  <r>
    <n v="29041792961"/>
    <n v="318"/>
    <d v="2034-09-06T00:00:00"/>
    <s v=""/>
    <x v="3"/>
    <x v="0"/>
  </r>
  <r>
    <n v="48967532880"/>
    <n v="329"/>
    <d v="2034-09-06T00:00:00"/>
    <m/>
    <x v="3"/>
    <x v="0"/>
  </r>
  <r>
    <n v="23727283376"/>
    <n v="333"/>
    <d v="2034-09-06T00:00:00"/>
    <s v=""/>
    <x v="3"/>
    <x v="0"/>
  </r>
  <r>
    <n v="61364020934"/>
    <n v="0"/>
    <d v="2034-09-07T00:00:00"/>
    <s v=""/>
    <x v="3"/>
    <x v="0"/>
  </r>
  <r>
    <n v="48654585382"/>
    <n v="4"/>
    <d v="2034-09-07T00:00:00"/>
    <s v=""/>
    <x v="3"/>
    <x v="0"/>
  </r>
  <r>
    <n v="46362947101"/>
    <n v="9"/>
    <d v="2034-09-07T00:00:00"/>
    <s v=""/>
    <x v="3"/>
    <x v="0"/>
  </r>
  <r>
    <n v="59523870179"/>
    <n v="19"/>
    <d v="2034-09-07T00:00:00"/>
    <d v="2034-12-07T00:00:00"/>
    <x v="3"/>
    <x v="7"/>
  </r>
  <r>
    <n v="33488842875"/>
    <n v="21"/>
    <d v="2034-09-07T00:00:00"/>
    <s v=""/>
    <x v="3"/>
    <x v="0"/>
  </r>
  <r>
    <n v="40598789792"/>
    <n v="50"/>
    <d v="2034-09-07T00:00:00"/>
    <d v="2034-11-29T00:00:00"/>
    <x v="3"/>
    <x v="6"/>
  </r>
  <r>
    <n v="25370817215"/>
    <n v="61"/>
    <d v="2034-09-07T00:00:00"/>
    <s v=""/>
    <x v="3"/>
    <x v="0"/>
  </r>
  <r>
    <n v="76955808770"/>
    <n v="120"/>
    <d v="2034-09-07T00:00:00"/>
    <s v=""/>
    <x v="3"/>
    <x v="0"/>
  </r>
  <r>
    <n v="55133310726"/>
    <n v="128"/>
    <d v="2034-09-07T00:00:00"/>
    <s v=""/>
    <x v="3"/>
    <x v="0"/>
  </r>
  <r>
    <n v="28676086505"/>
    <n v="144"/>
    <d v="2034-09-07T00:00:00"/>
    <s v=""/>
    <x v="3"/>
    <x v="0"/>
  </r>
  <r>
    <n v="43657269701"/>
    <n v="145"/>
    <d v="2034-09-07T00:00:00"/>
    <s v=""/>
    <x v="3"/>
    <x v="0"/>
  </r>
  <r>
    <n v="48772566307"/>
    <n v="157"/>
    <d v="2034-09-07T00:00:00"/>
    <m/>
    <x v="3"/>
    <x v="0"/>
  </r>
  <r>
    <n v="39097040319"/>
    <n v="168"/>
    <d v="2034-09-07T00:00:00"/>
    <s v=""/>
    <x v="3"/>
    <x v="0"/>
  </r>
  <r>
    <n v="11639759261"/>
    <n v="173"/>
    <d v="2034-09-07T00:00:00"/>
    <s v=""/>
    <x v="3"/>
    <x v="0"/>
  </r>
  <r>
    <n v="33736916940"/>
    <n v="181"/>
    <d v="2034-09-07T00:00:00"/>
    <s v=""/>
    <x v="3"/>
    <x v="0"/>
  </r>
  <r>
    <n v="46451639042"/>
    <n v="218"/>
    <d v="2034-09-07T00:00:00"/>
    <d v="2034-12-27T00:00:00"/>
    <x v="3"/>
    <x v="7"/>
  </r>
  <r>
    <n v="94513939137"/>
    <n v="221"/>
    <d v="2034-09-07T00:00:00"/>
    <s v=""/>
    <x v="3"/>
    <x v="0"/>
  </r>
  <r>
    <n v="42451707747"/>
    <n v="230"/>
    <d v="2034-09-07T00:00:00"/>
    <d v="2034-10-15T00:00:00"/>
    <x v="3"/>
    <x v="5"/>
  </r>
  <r>
    <n v="66074847246"/>
    <n v="236"/>
    <d v="2034-09-07T00:00:00"/>
    <s v=""/>
    <x v="3"/>
    <x v="0"/>
  </r>
  <r>
    <n v="11896026111"/>
    <n v="244"/>
    <d v="2034-09-07T00:00:00"/>
    <d v="2034-11-20T00:00:00"/>
    <x v="3"/>
    <x v="6"/>
  </r>
  <r>
    <n v="76893196087"/>
    <n v="244"/>
    <d v="2034-09-07T00:00:00"/>
    <s v=""/>
    <x v="3"/>
    <x v="0"/>
  </r>
  <r>
    <n v="16501442430"/>
    <n v="256"/>
    <d v="2034-09-07T00:00:00"/>
    <s v=""/>
    <x v="3"/>
    <x v="0"/>
  </r>
  <r>
    <n v="60821544596"/>
    <n v="267"/>
    <d v="2034-09-07T00:00:00"/>
    <m/>
    <x v="3"/>
    <x v="0"/>
  </r>
  <r>
    <n v="31830620165"/>
    <n v="309"/>
    <d v="2034-09-07T00:00:00"/>
    <s v=""/>
    <x v="3"/>
    <x v="0"/>
  </r>
  <r>
    <n v="75036179722"/>
    <n v="310"/>
    <d v="2034-09-07T00:00:00"/>
    <d v="2034-12-19T00:00:00"/>
    <x v="3"/>
    <x v="7"/>
  </r>
  <r>
    <n v="37000778558"/>
    <n v="314"/>
    <d v="2034-09-07T00:00:00"/>
    <s v=""/>
    <x v="3"/>
    <x v="0"/>
  </r>
  <r>
    <n v="34427126008"/>
    <n v="318"/>
    <d v="2034-09-07T00:00:00"/>
    <s v=""/>
    <x v="3"/>
    <x v="0"/>
  </r>
  <r>
    <n v="70168349958"/>
    <n v="22"/>
    <d v="2034-09-08T00:00:00"/>
    <d v="2034-09-24T00:00:00"/>
    <x v="3"/>
    <x v="3"/>
  </r>
  <r>
    <n v="11151402084"/>
    <n v="28"/>
    <d v="2034-09-08T00:00:00"/>
    <d v="2034-12-29T00:00:00"/>
    <x v="3"/>
    <x v="7"/>
  </r>
  <r>
    <n v="33901752365"/>
    <n v="50"/>
    <d v="2034-09-08T00:00:00"/>
    <s v=""/>
    <x v="3"/>
    <x v="0"/>
  </r>
  <r>
    <n v="28778787332"/>
    <n v="78"/>
    <d v="2034-09-08T00:00:00"/>
    <m/>
    <x v="3"/>
    <x v="0"/>
  </r>
  <r>
    <n v="22725896300"/>
    <n v="93"/>
    <d v="2034-09-08T00:00:00"/>
    <d v="2034-09-16T00:00:00"/>
    <x v="3"/>
    <x v="3"/>
  </r>
  <r>
    <n v="94126125735"/>
    <n v="103"/>
    <d v="2034-09-08T00:00:00"/>
    <d v="2034-09-12T00:00:00"/>
    <x v="3"/>
    <x v="3"/>
  </r>
  <r>
    <n v="31468795206"/>
    <n v="103"/>
    <d v="2034-09-08T00:00:00"/>
    <d v="2034-10-15T00:00:00"/>
    <x v="3"/>
    <x v="5"/>
  </r>
  <r>
    <n v="63119109521"/>
    <n v="158"/>
    <d v="2034-09-08T00:00:00"/>
    <s v=""/>
    <x v="3"/>
    <x v="0"/>
  </r>
  <r>
    <n v="56346253366"/>
    <n v="160"/>
    <d v="2034-09-08T00:00:00"/>
    <s v=""/>
    <x v="3"/>
    <x v="0"/>
  </r>
  <r>
    <n v="91751877852"/>
    <n v="211"/>
    <d v="2034-09-08T00:00:00"/>
    <s v=""/>
    <x v="3"/>
    <x v="0"/>
  </r>
  <r>
    <n v="39308147749"/>
    <n v="221"/>
    <d v="2034-09-08T00:00:00"/>
    <s v=""/>
    <x v="3"/>
    <x v="0"/>
  </r>
  <r>
    <n v="12413591605"/>
    <n v="230"/>
    <d v="2034-09-08T00:00:00"/>
    <s v=""/>
    <x v="3"/>
    <x v="0"/>
  </r>
  <r>
    <n v="19191657724"/>
    <n v="288"/>
    <d v="2034-09-08T00:00:00"/>
    <s v=""/>
    <x v="3"/>
    <x v="0"/>
  </r>
  <r>
    <n v="25751507102"/>
    <n v="300"/>
    <d v="2034-09-08T00:00:00"/>
    <s v=""/>
    <x v="3"/>
    <x v="0"/>
  </r>
  <r>
    <n v="63880945468"/>
    <n v="329"/>
    <d v="2034-09-08T00:00:00"/>
    <s v=""/>
    <x v="3"/>
    <x v="0"/>
  </r>
  <r>
    <n v="30102121747"/>
    <n v="334"/>
    <d v="2034-09-08T00:00:00"/>
    <d v="2034-12-03T00:00:00"/>
    <x v="3"/>
    <x v="7"/>
  </r>
  <r>
    <n v="98913473325"/>
    <n v="12"/>
    <d v="2034-09-09T00:00:00"/>
    <s v=""/>
    <x v="3"/>
    <x v="0"/>
  </r>
  <r>
    <n v="80396303065"/>
    <n v="21"/>
    <d v="2034-09-09T00:00:00"/>
    <s v=""/>
    <x v="3"/>
    <x v="0"/>
  </r>
  <r>
    <n v="79628141460"/>
    <n v="28"/>
    <d v="2034-09-09T00:00:00"/>
    <s v=""/>
    <x v="3"/>
    <x v="0"/>
  </r>
  <r>
    <n v="79445337304"/>
    <n v="30"/>
    <d v="2034-09-09T00:00:00"/>
    <s v=""/>
    <x v="3"/>
    <x v="0"/>
  </r>
  <r>
    <n v="88062783061"/>
    <n v="34"/>
    <d v="2034-09-09T00:00:00"/>
    <s v=""/>
    <x v="3"/>
    <x v="0"/>
  </r>
  <r>
    <n v="47266367533"/>
    <n v="39"/>
    <d v="2034-09-09T00:00:00"/>
    <s v=""/>
    <x v="3"/>
    <x v="0"/>
  </r>
  <r>
    <n v="55176629159"/>
    <n v="45"/>
    <d v="2034-09-09T00:00:00"/>
    <s v=""/>
    <x v="3"/>
    <x v="0"/>
  </r>
  <r>
    <n v="75246527875"/>
    <n v="49"/>
    <d v="2034-09-09T00:00:00"/>
    <s v=""/>
    <x v="3"/>
    <x v="0"/>
  </r>
  <r>
    <n v="18639245341"/>
    <n v="64"/>
    <d v="2034-09-09T00:00:00"/>
    <s v=""/>
    <x v="3"/>
    <x v="0"/>
  </r>
  <r>
    <n v="37354000028"/>
    <n v="107"/>
    <d v="2034-09-09T00:00:00"/>
    <d v="2034-09-24T00:00:00"/>
    <x v="3"/>
    <x v="3"/>
  </r>
  <r>
    <n v="42158484982"/>
    <n v="110"/>
    <d v="2034-09-09T00:00:00"/>
    <s v=""/>
    <x v="3"/>
    <x v="0"/>
  </r>
  <r>
    <n v="98043735407"/>
    <n v="116"/>
    <d v="2034-09-09T00:00:00"/>
    <s v=""/>
    <x v="3"/>
    <x v="0"/>
  </r>
  <r>
    <n v="17807123472"/>
    <n v="138"/>
    <d v="2034-09-09T00:00:00"/>
    <s v=""/>
    <x v="3"/>
    <x v="0"/>
  </r>
  <r>
    <n v="46958969461"/>
    <n v="173"/>
    <d v="2034-09-09T00:00:00"/>
    <s v=""/>
    <x v="3"/>
    <x v="0"/>
  </r>
  <r>
    <n v="38037882582"/>
    <n v="184"/>
    <d v="2034-09-09T00:00:00"/>
    <s v=""/>
    <x v="3"/>
    <x v="0"/>
  </r>
  <r>
    <n v="50517753471"/>
    <n v="230"/>
    <d v="2034-09-09T00:00:00"/>
    <s v=""/>
    <x v="3"/>
    <x v="0"/>
  </r>
  <r>
    <n v="29368028242"/>
    <n v="242"/>
    <d v="2034-09-09T00:00:00"/>
    <s v=""/>
    <x v="3"/>
    <x v="0"/>
  </r>
  <r>
    <n v="52332944607"/>
    <n v="316"/>
    <d v="2034-09-09T00:00:00"/>
    <d v="2034-12-20T00:00:00"/>
    <x v="3"/>
    <x v="7"/>
  </r>
  <r>
    <n v="30220699855"/>
    <n v="36"/>
    <d v="2034-09-10T00:00:00"/>
    <s v=""/>
    <x v="3"/>
    <x v="0"/>
  </r>
  <r>
    <n v="32508306823"/>
    <n v="50"/>
    <d v="2034-09-10T00:00:00"/>
    <s v=""/>
    <x v="3"/>
    <x v="0"/>
  </r>
  <r>
    <n v="13938760632"/>
    <n v="55"/>
    <d v="2034-09-10T00:00:00"/>
    <s v=""/>
    <x v="3"/>
    <x v="0"/>
  </r>
  <r>
    <n v="30234542503"/>
    <n v="91"/>
    <d v="2034-09-10T00:00:00"/>
    <s v=""/>
    <x v="3"/>
    <x v="0"/>
  </r>
  <r>
    <n v="68341002595"/>
    <n v="152"/>
    <d v="2034-09-10T00:00:00"/>
    <s v=""/>
    <x v="3"/>
    <x v="0"/>
  </r>
  <r>
    <n v="24987770759"/>
    <n v="163"/>
    <d v="2034-09-10T00:00:00"/>
    <m/>
    <x v="3"/>
    <x v="0"/>
  </r>
  <r>
    <n v="70619537441"/>
    <n v="181"/>
    <d v="2034-09-10T00:00:00"/>
    <d v="2034-11-05T00:00:00"/>
    <x v="3"/>
    <x v="6"/>
  </r>
  <r>
    <n v="77539473477"/>
    <n v="208"/>
    <d v="2034-09-10T00:00:00"/>
    <s v=""/>
    <x v="3"/>
    <x v="0"/>
  </r>
  <r>
    <n v="33962410335"/>
    <n v="213"/>
    <d v="2034-09-10T00:00:00"/>
    <s v=""/>
    <x v="3"/>
    <x v="0"/>
  </r>
  <r>
    <n v="76743512461"/>
    <n v="222"/>
    <d v="2034-09-10T00:00:00"/>
    <m/>
    <x v="3"/>
    <x v="0"/>
  </r>
  <r>
    <n v="93629449695"/>
    <n v="232"/>
    <d v="2034-09-10T00:00:00"/>
    <s v=""/>
    <x v="3"/>
    <x v="0"/>
  </r>
  <r>
    <n v="48826922500"/>
    <n v="244"/>
    <d v="2034-09-10T00:00:00"/>
    <d v="2034-12-28T00:00:00"/>
    <x v="3"/>
    <x v="7"/>
  </r>
  <r>
    <n v="33526599362"/>
    <n v="255"/>
    <d v="2034-09-10T00:00:00"/>
    <s v=""/>
    <x v="3"/>
    <x v="0"/>
  </r>
  <r>
    <n v="21155095704"/>
    <n v="260"/>
    <d v="2034-09-10T00:00:00"/>
    <s v=""/>
    <x v="3"/>
    <x v="0"/>
  </r>
  <r>
    <n v="78903880762"/>
    <n v="278"/>
    <d v="2034-09-10T00:00:00"/>
    <s v=""/>
    <x v="3"/>
    <x v="0"/>
  </r>
  <r>
    <n v="81581797889"/>
    <n v="280"/>
    <d v="2034-09-10T00:00:00"/>
    <s v=""/>
    <x v="3"/>
    <x v="0"/>
  </r>
  <r>
    <n v="78164362293"/>
    <n v="282"/>
    <d v="2034-09-10T00:00:00"/>
    <s v=""/>
    <x v="3"/>
    <x v="0"/>
  </r>
  <r>
    <n v="68231355043"/>
    <n v="296"/>
    <d v="2034-09-10T00:00:00"/>
    <s v=""/>
    <x v="3"/>
    <x v="0"/>
  </r>
  <r>
    <n v="90426062739"/>
    <n v="303"/>
    <d v="2034-09-10T00:00:00"/>
    <m/>
    <x v="3"/>
    <x v="0"/>
  </r>
  <r>
    <n v="43669631007"/>
    <n v="307"/>
    <d v="2034-09-10T00:00:00"/>
    <d v="2034-12-07T00:00:00"/>
    <x v="3"/>
    <x v="7"/>
  </r>
  <r>
    <n v="13124971946"/>
    <n v="317"/>
    <d v="2034-09-10T00:00:00"/>
    <s v=""/>
    <x v="3"/>
    <x v="0"/>
  </r>
  <r>
    <n v="92036052340"/>
    <n v="318"/>
    <d v="2034-09-10T00:00:00"/>
    <d v="2034-10-26T00:00:00"/>
    <x v="3"/>
    <x v="5"/>
  </r>
  <r>
    <n v="85463563435"/>
    <n v="324"/>
    <d v="2034-09-10T00:00:00"/>
    <s v=""/>
    <x v="3"/>
    <x v="0"/>
  </r>
  <r>
    <n v="77221612317"/>
    <n v="330"/>
    <d v="2034-09-10T00:00:00"/>
    <s v=""/>
    <x v="3"/>
    <x v="0"/>
  </r>
  <r>
    <n v="97938807663"/>
    <n v="6"/>
    <d v="2034-09-11T00:00:00"/>
    <s v=""/>
    <x v="3"/>
    <x v="0"/>
  </r>
  <r>
    <n v="37988148801"/>
    <n v="8"/>
    <d v="2034-09-11T00:00:00"/>
    <m/>
    <x v="3"/>
    <x v="0"/>
  </r>
  <r>
    <n v="84412448491"/>
    <n v="22"/>
    <d v="2034-09-11T00:00:00"/>
    <s v=""/>
    <x v="3"/>
    <x v="0"/>
  </r>
  <r>
    <n v="60243325060"/>
    <n v="46"/>
    <d v="2034-09-11T00:00:00"/>
    <s v=""/>
    <x v="3"/>
    <x v="0"/>
  </r>
  <r>
    <n v="64934211257"/>
    <n v="98"/>
    <d v="2034-09-11T00:00:00"/>
    <s v=""/>
    <x v="3"/>
    <x v="0"/>
  </r>
  <r>
    <n v="34743930840"/>
    <n v="116"/>
    <d v="2034-09-11T00:00:00"/>
    <s v=""/>
    <x v="3"/>
    <x v="0"/>
  </r>
  <r>
    <n v="63544860714"/>
    <n v="125"/>
    <d v="2034-09-11T00:00:00"/>
    <d v="2034-12-16T00:00:00"/>
    <x v="3"/>
    <x v="7"/>
  </r>
  <r>
    <n v="75064562380"/>
    <n v="143"/>
    <d v="2034-09-11T00:00:00"/>
    <s v=""/>
    <x v="3"/>
    <x v="0"/>
  </r>
  <r>
    <n v="77343224888"/>
    <n v="148"/>
    <d v="2034-09-11T00:00:00"/>
    <s v=""/>
    <x v="3"/>
    <x v="0"/>
  </r>
  <r>
    <n v="29142500462"/>
    <n v="149"/>
    <d v="2034-09-11T00:00:00"/>
    <d v="2034-11-15T00:00:00"/>
    <x v="3"/>
    <x v="6"/>
  </r>
  <r>
    <n v="98965314431"/>
    <n v="157"/>
    <d v="2034-09-11T00:00:00"/>
    <s v=""/>
    <x v="3"/>
    <x v="0"/>
  </r>
  <r>
    <n v="28680314296"/>
    <n v="177"/>
    <d v="2034-09-11T00:00:00"/>
    <m/>
    <x v="3"/>
    <x v="0"/>
  </r>
  <r>
    <n v="91727551256"/>
    <n v="187"/>
    <d v="2034-09-11T00:00:00"/>
    <s v=""/>
    <x v="3"/>
    <x v="0"/>
  </r>
  <r>
    <n v="77484279838"/>
    <n v="197"/>
    <d v="2034-09-11T00:00:00"/>
    <s v=""/>
    <x v="3"/>
    <x v="0"/>
  </r>
  <r>
    <n v="45123692958"/>
    <n v="250"/>
    <d v="2034-09-11T00:00:00"/>
    <d v="2034-09-19T00:00:00"/>
    <x v="3"/>
    <x v="3"/>
  </r>
  <r>
    <n v="92379872076"/>
    <n v="274"/>
    <d v="2034-09-11T00:00:00"/>
    <s v=""/>
    <x v="3"/>
    <x v="0"/>
  </r>
  <r>
    <n v="73426277974"/>
    <n v="277"/>
    <d v="2034-09-11T00:00:00"/>
    <s v=""/>
    <x v="3"/>
    <x v="0"/>
  </r>
  <r>
    <n v="50093477578"/>
    <n v="305"/>
    <d v="2034-09-11T00:00:00"/>
    <m/>
    <x v="3"/>
    <x v="0"/>
  </r>
  <r>
    <n v="90662196366"/>
    <n v="311"/>
    <d v="2034-09-11T00:00:00"/>
    <s v=""/>
    <x v="3"/>
    <x v="0"/>
  </r>
  <r>
    <n v="36801513441"/>
    <n v="316"/>
    <d v="2034-09-11T00:00:00"/>
    <s v=""/>
    <x v="3"/>
    <x v="0"/>
  </r>
  <r>
    <n v="30530133987"/>
    <n v="13"/>
    <d v="2034-09-12T00:00:00"/>
    <s v=""/>
    <x v="3"/>
    <x v="0"/>
  </r>
  <r>
    <n v="20965242970"/>
    <n v="21"/>
    <d v="2034-09-12T00:00:00"/>
    <m/>
    <x v="3"/>
    <x v="0"/>
  </r>
  <r>
    <n v="80202560192"/>
    <n v="27"/>
    <d v="2034-09-12T00:00:00"/>
    <s v=""/>
    <x v="3"/>
    <x v="0"/>
  </r>
  <r>
    <n v="93977785868"/>
    <n v="30"/>
    <d v="2034-09-12T00:00:00"/>
    <s v=""/>
    <x v="3"/>
    <x v="0"/>
  </r>
  <r>
    <n v="50033748203"/>
    <n v="38"/>
    <d v="2034-09-12T00:00:00"/>
    <d v="2034-12-28T00:00:00"/>
    <x v="3"/>
    <x v="7"/>
  </r>
  <r>
    <n v="35616081116"/>
    <n v="63"/>
    <d v="2034-09-12T00:00:00"/>
    <d v="2034-09-18T00:00:00"/>
    <x v="3"/>
    <x v="3"/>
  </r>
  <r>
    <n v="85159855241"/>
    <n v="63"/>
    <d v="2034-09-12T00:00:00"/>
    <s v=""/>
    <x v="3"/>
    <x v="0"/>
  </r>
  <r>
    <n v="22424129348"/>
    <n v="65"/>
    <d v="2034-09-12T00:00:00"/>
    <s v=""/>
    <x v="3"/>
    <x v="0"/>
  </r>
  <r>
    <n v="32409691233"/>
    <n v="94"/>
    <d v="2034-09-12T00:00:00"/>
    <s v=""/>
    <x v="3"/>
    <x v="0"/>
  </r>
  <r>
    <n v="79763292733"/>
    <n v="136"/>
    <d v="2034-09-12T00:00:00"/>
    <s v=""/>
    <x v="3"/>
    <x v="0"/>
  </r>
  <r>
    <n v="99122585428"/>
    <n v="143"/>
    <d v="2034-09-12T00:00:00"/>
    <s v=""/>
    <x v="3"/>
    <x v="0"/>
  </r>
  <r>
    <n v="91014811643"/>
    <n v="155"/>
    <d v="2034-09-12T00:00:00"/>
    <s v=""/>
    <x v="3"/>
    <x v="0"/>
  </r>
  <r>
    <n v="34082592641"/>
    <n v="172"/>
    <d v="2034-09-12T00:00:00"/>
    <d v="2034-11-08T00:00:00"/>
    <x v="3"/>
    <x v="6"/>
  </r>
  <r>
    <n v="82721995333"/>
    <n v="181"/>
    <d v="2034-09-12T00:00:00"/>
    <s v=""/>
    <x v="3"/>
    <x v="0"/>
  </r>
  <r>
    <n v="21411358286"/>
    <n v="182"/>
    <d v="2034-09-12T00:00:00"/>
    <s v=""/>
    <x v="3"/>
    <x v="0"/>
  </r>
  <r>
    <n v="41789102856"/>
    <n v="190"/>
    <d v="2034-09-12T00:00:00"/>
    <s v=""/>
    <x v="3"/>
    <x v="0"/>
  </r>
  <r>
    <n v="62874457589"/>
    <n v="197"/>
    <d v="2034-09-12T00:00:00"/>
    <d v="2034-09-13T00:00:00"/>
    <x v="3"/>
    <x v="3"/>
  </r>
  <r>
    <n v="83307364661"/>
    <n v="199"/>
    <d v="2034-09-12T00:00:00"/>
    <s v=""/>
    <x v="3"/>
    <x v="0"/>
  </r>
  <r>
    <n v="30063549249"/>
    <n v="223"/>
    <d v="2034-09-12T00:00:00"/>
    <s v=""/>
    <x v="3"/>
    <x v="0"/>
  </r>
  <r>
    <n v="99209071936"/>
    <n v="235"/>
    <d v="2034-09-12T00:00:00"/>
    <s v=""/>
    <x v="3"/>
    <x v="0"/>
  </r>
  <r>
    <n v="57427827508"/>
    <n v="277"/>
    <d v="2034-09-12T00:00:00"/>
    <d v="2034-10-23T00:00:00"/>
    <x v="3"/>
    <x v="5"/>
  </r>
  <r>
    <n v="93580894599"/>
    <n v="303"/>
    <d v="2034-09-12T00:00:00"/>
    <s v=""/>
    <x v="3"/>
    <x v="0"/>
  </r>
  <r>
    <n v="28406355682"/>
    <n v="306"/>
    <d v="2034-09-12T00:00:00"/>
    <s v=""/>
    <x v="3"/>
    <x v="0"/>
  </r>
  <r>
    <n v="45314695347"/>
    <n v="331"/>
    <d v="2034-09-12T00:00:00"/>
    <s v=""/>
    <x v="3"/>
    <x v="0"/>
  </r>
  <r>
    <n v="12353144655"/>
    <n v="32"/>
    <d v="2034-09-13T00:00:00"/>
    <d v="2034-10-28T00:00:00"/>
    <x v="3"/>
    <x v="5"/>
  </r>
  <r>
    <n v="58125780905"/>
    <n v="74"/>
    <d v="2034-09-13T00:00:00"/>
    <s v=""/>
    <x v="3"/>
    <x v="0"/>
  </r>
  <r>
    <n v="99042247735"/>
    <n v="103"/>
    <d v="2034-09-13T00:00:00"/>
    <s v=""/>
    <x v="3"/>
    <x v="0"/>
  </r>
  <r>
    <n v="58815065905"/>
    <n v="111"/>
    <d v="2034-09-13T00:00:00"/>
    <s v=""/>
    <x v="3"/>
    <x v="0"/>
  </r>
  <r>
    <n v="29940760197"/>
    <n v="142"/>
    <d v="2034-09-13T00:00:00"/>
    <s v=""/>
    <x v="3"/>
    <x v="0"/>
  </r>
  <r>
    <n v="69205896458"/>
    <n v="159"/>
    <d v="2034-09-13T00:00:00"/>
    <s v=""/>
    <x v="3"/>
    <x v="0"/>
  </r>
  <r>
    <n v="67881001573"/>
    <n v="165"/>
    <d v="2034-09-13T00:00:00"/>
    <s v=""/>
    <x v="3"/>
    <x v="0"/>
  </r>
  <r>
    <n v="80528499000"/>
    <n v="184"/>
    <d v="2034-09-13T00:00:00"/>
    <s v=""/>
    <x v="3"/>
    <x v="0"/>
  </r>
  <r>
    <n v="23082992959"/>
    <n v="191"/>
    <d v="2034-09-13T00:00:00"/>
    <m/>
    <x v="3"/>
    <x v="0"/>
  </r>
  <r>
    <n v="66631134390"/>
    <n v="199"/>
    <d v="2034-09-13T00:00:00"/>
    <s v=""/>
    <x v="3"/>
    <x v="0"/>
  </r>
  <r>
    <n v="12991609695"/>
    <n v="201"/>
    <d v="2034-09-13T00:00:00"/>
    <s v=""/>
    <x v="3"/>
    <x v="0"/>
  </r>
  <r>
    <n v="88825339882"/>
    <n v="211"/>
    <d v="2034-09-13T00:00:00"/>
    <s v=""/>
    <x v="3"/>
    <x v="0"/>
  </r>
  <r>
    <n v="22602418957"/>
    <n v="240"/>
    <d v="2034-09-13T00:00:00"/>
    <s v=""/>
    <x v="3"/>
    <x v="0"/>
  </r>
  <r>
    <n v="59896675916"/>
    <n v="265"/>
    <d v="2034-09-13T00:00:00"/>
    <s v=""/>
    <x v="3"/>
    <x v="0"/>
  </r>
  <r>
    <n v="12463662703"/>
    <n v="274"/>
    <d v="2034-09-13T00:00:00"/>
    <s v=""/>
    <x v="3"/>
    <x v="0"/>
  </r>
  <r>
    <n v="18332216394"/>
    <n v="3"/>
    <d v="2034-09-14T00:00:00"/>
    <s v=""/>
    <x v="3"/>
    <x v="0"/>
  </r>
  <r>
    <n v="35842589470"/>
    <n v="8"/>
    <d v="2034-09-14T00:00:00"/>
    <s v=""/>
    <x v="3"/>
    <x v="0"/>
  </r>
  <r>
    <n v="75465984942"/>
    <n v="12"/>
    <d v="2034-09-14T00:00:00"/>
    <s v=""/>
    <x v="3"/>
    <x v="0"/>
  </r>
  <r>
    <n v="56601840378"/>
    <n v="24"/>
    <d v="2034-09-14T00:00:00"/>
    <d v="2034-11-22T00:00:00"/>
    <x v="3"/>
    <x v="6"/>
  </r>
  <r>
    <n v="48461349618"/>
    <n v="25"/>
    <d v="2034-09-14T00:00:00"/>
    <s v=""/>
    <x v="3"/>
    <x v="0"/>
  </r>
  <r>
    <n v="14735677781"/>
    <n v="25"/>
    <d v="2034-09-14T00:00:00"/>
    <s v=""/>
    <x v="3"/>
    <x v="0"/>
  </r>
  <r>
    <n v="70655332493"/>
    <n v="33"/>
    <d v="2034-09-14T00:00:00"/>
    <s v=""/>
    <x v="3"/>
    <x v="0"/>
  </r>
  <r>
    <n v="68483264813"/>
    <n v="37"/>
    <d v="2034-09-14T00:00:00"/>
    <s v=""/>
    <x v="3"/>
    <x v="0"/>
  </r>
  <r>
    <n v="15464509795"/>
    <n v="52"/>
    <d v="2034-09-14T00:00:00"/>
    <s v=""/>
    <x v="3"/>
    <x v="0"/>
  </r>
  <r>
    <n v="19134771900"/>
    <n v="53"/>
    <d v="2034-09-14T00:00:00"/>
    <d v="2034-12-17T00:00:00"/>
    <x v="3"/>
    <x v="7"/>
  </r>
  <r>
    <n v="93815564987"/>
    <n v="58"/>
    <d v="2034-09-14T00:00:00"/>
    <s v=""/>
    <x v="3"/>
    <x v="0"/>
  </r>
  <r>
    <n v="84281088288"/>
    <n v="73"/>
    <d v="2034-09-14T00:00:00"/>
    <s v=""/>
    <x v="3"/>
    <x v="0"/>
  </r>
  <r>
    <n v="71562071667"/>
    <n v="75"/>
    <d v="2034-09-14T00:00:00"/>
    <s v=""/>
    <x v="3"/>
    <x v="0"/>
  </r>
  <r>
    <n v="19353981345"/>
    <n v="80"/>
    <d v="2034-09-14T00:00:00"/>
    <d v="2034-09-15T00:00:00"/>
    <x v="3"/>
    <x v="3"/>
  </r>
  <r>
    <n v="87361112227"/>
    <n v="107"/>
    <d v="2034-09-14T00:00:00"/>
    <d v="2034-12-05T00:00:00"/>
    <x v="3"/>
    <x v="7"/>
  </r>
  <r>
    <n v="53326233567"/>
    <n v="114"/>
    <d v="2034-09-14T00:00:00"/>
    <m/>
    <x v="3"/>
    <x v="0"/>
  </r>
  <r>
    <n v="46302306991"/>
    <n v="125"/>
    <d v="2034-09-14T00:00:00"/>
    <s v=""/>
    <x v="3"/>
    <x v="0"/>
  </r>
  <r>
    <n v="58437585393"/>
    <n v="132"/>
    <d v="2034-09-14T00:00:00"/>
    <s v=""/>
    <x v="3"/>
    <x v="0"/>
  </r>
  <r>
    <n v="51654157620"/>
    <n v="138"/>
    <d v="2034-09-14T00:00:00"/>
    <s v=""/>
    <x v="3"/>
    <x v="0"/>
  </r>
  <r>
    <n v="90334329840"/>
    <n v="156"/>
    <d v="2034-09-14T00:00:00"/>
    <s v=""/>
    <x v="3"/>
    <x v="0"/>
  </r>
  <r>
    <n v="66667303726"/>
    <n v="168"/>
    <d v="2034-09-14T00:00:00"/>
    <s v=""/>
    <x v="3"/>
    <x v="0"/>
  </r>
  <r>
    <n v="93162029016"/>
    <n v="172"/>
    <d v="2034-09-14T00:00:00"/>
    <d v="2034-10-02T00:00:00"/>
    <x v="3"/>
    <x v="5"/>
  </r>
  <r>
    <n v="20392133249"/>
    <n v="178"/>
    <d v="2034-09-14T00:00:00"/>
    <s v=""/>
    <x v="3"/>
    <x v="0"/>
  </r>
  <r>
    <n v="31302796606"/>
    <n v="191"/>
    <d v="2034-09-14T00:00:00"/>
    <d v="2034-11-08T00:00:00"/>
    <x v="3"/>
    <x v="6"/>
  </r>
  <r>
    <n v="43790776024"/>
    <n v="195"/>
    <d v="2034-09-14T00:00:00"/>
    <m/>
    <x v="3"/>
    <x v="0"/>
  </r>
  <r>
    <n v="70173474694"/>
    <n v="207"/>
    <d v="2034-09-14T00:00:00"/>
    <s v=""/>
    <x v="3"/>
    <x v="0"/>
  </r>
  <r>
    <n v="50775468666"/>
    <n v="208"/>
    <d v="2034-09-14T00:00:00"/>
    <s v=""/>
    <x v="3"/>
    <x v="0"/>
  </r>
  <r>
    <n v="21823931269"/>
    <n v="209"/>
    <d v="2034-09-14T00:00:00"/>
    <s v=""/>
    <x v="3"/>
    <x v="0"/>
  </r>
  <r>
    <n v="25718770465"/>
    <n v="233"/>
    <d v="2034-09-14T00:00:00"/>
    <s v=""/>
    <x v="3"/>
    <x v="0"/>
  </r>
  <r>
    <n v="31707406734"/>
    <n v="247"/>
    <d v="2034-09-14T00:00:00"/>
    <d v="2035-01-04T00:00:00"/>
    <x v="3"/>
    <x v="8"/>
  </r>
  <r>
    <n v="18606959229"/>
    <n v="255"/>
    <d v="2034-09-14T00:00:00"/>
    <s v=""/>
    <x v="3"/>
    <x v="0"/>
  </r>
  <r>
    <n v="66251064569"/>
    <n v="269"/>
    <d v="2034-09-14T00:00:00"/>
    <s v=""/>
    <x v="3"/>
    <x v="0"/>
  </r>
  <r>
    <n v="24874146469"/>
    <n v="271"/>
    <d v="2034-09-14T00:00:00"/>
    <d v="2034-09-29T00:00:00"/>
    <x v="3"/>
    <x v="3"/>
  </r>
  <r>
    <n v="64276567179"/>
    <n v="278"/>
    <d v="2034-09-14T00:00:00"/>
    <s v=""/>
    <x v="3"/>
    <x v="0"/>
  </r>
  <r>
    <n v="66519346631"/>
    <n v="299"/>
    <d v="2034-09-14T00:00:00"/>
    <d v="2034-12-19T00:00:00"/>
    <x v="3"/>
    <x v="7"/>
  </r>
  <r>
    <n v="80555065189"/>
    <n v="13"/>
    <d v="2034-09-15T00:00:00"/>
    <s v=""/>
    <x v="3"/>
    <x v="0"/>
  </r>
  <r>
    <n v="51794645262"/>
    <n v="14"/>
    <d v="2034-09-15T00:00:00"/>
    <s v=""/>
    <x v="3"/>
    <x v="0"/>
  </r>
  <r>
    <n v="40073604841"/>
    <n v="17"/>
    <d v="2034-09-15T00:00:00"/>
    <s v=""/>
    <x v="3"/>
    <x v="0"/>
  </r>
  <r>
    <n v="80412428606"/>
    <n v="29"/>
    <d v="2034-09-15T00:00:00"/>
    <s v=""/>
    <x v="3"/>
    <x v="0"/>
  </r>
  <r>
    <n v="63190043232"/>
    <n v="43"/>
    <d v="2034-09-15T00:00:00"/>
    <d v="2034-12-27T00:00:00"/>
    <x v="3"/>
    <x v="7"/>
  </r>
  <r>
    <n v="34204745274"/>
    <n v="59"/>
    <d v="2034-09-15T00:00:00"/>
    <s v=""/>
    <x v="3"/>
    <x v="0"/>
  </r>
  <r>
    <n v="27686098159"/>
    <n v="83"/>
    <d v="2034-09-15T00:00:00"/>
    <s v=""/>
    <x v="3"/>
    <x v="0"/>
  </r>
  <r>
    <n v="19453356092"/>
    <n v="92"/>
    <d v="2034-09-15T00:00:00"/>
    <s v=""/>
    <x v="3"/>
    <x v="0"/>
  </r>
  <r>
    <n v="97407183199"/>
    <n v="106"/>
    <d v="2034-09-15T00:00:00"/>
    <s v=""/>
    <x v="3"/>
    <x v="0"/>
  </r>
  <r>
    <n v="12142425875"/>
    <n v="113"/>
    <d v="2034-09-15T00:00:00"/>
    <s v=""/>
    <x v="3"/>
    <x v="0"/>
  </r>
  <r>
    <n v="97034855014"/>
    <n v="118"/>
    <d v="2034-09-15T00:00:00"/>
    <s v=""/>
    <x v="3"/>
    <x v="0"/>
  </r>
  <r>
    <n v="19544625993"/>
    <n v="121"/>
    <d v="2034-09-15T00:00:00"/>
    <s v=""/>
    <x v="3"/>
    <x v="0"/>
  </r>
  <r>
    <n v="73220107813"/>
    <n v="138"/>
    <d v="2034-09-15T00:00:00"/>
    <d v="2034-10-23T00:00:00"/>
    <x v="3"/>
    <x v="5"/>
  </r>
  <r>
    <n v="33096264039"/>
    <n v="145"/>
    <d v="2034-09-15T00:00:00"/>
    <m/>
    <x v="3"/>
    <x v="0"/>
  </r>
  <r>
    <n v="46826298451"/>
    <n v="147"/>
    <d v="2034-09-15T00:00:00"/>
    <d v="2034-09-22T00:00:00"/>
    <x v="3"/>
    <x v="3"/>
  </r>
  <r>
    <n v="81456594097"/>
    <n v="148"/>
    <d v="2034-09-15T00:00:00"/>
    <d v="2034-10-26T00:00:00"/>
    <x v="3"/>
    <x v="5"/>
  </r>
  <r>
    <n v="80537910851"/>
    <n v="157"/>
    <d v="2034-09-15T00:00:00"/>
    <s v=""/>
    <x v="3"/>
    <x v="0"/>
  </r>
  <r>
    <n v="91325447101"/>
    <n v="157"/>
    <d v="2034-09-15T00:00:00"/>
    <s v=""/>
    <x v="3"/>
    <x v="0"/>
  </r>
  <r>
    <n v="69832092965"/>
    <n v="158"/>
    <d v="2034-09-15T00:00:00"/>
    <s v=""/>
    <x v="3"/>
    <x v="0"/>
  </r>
  <r>
    <n v="41311365154"/>
    <n v="187"/>
    <d v="2034-09-15T00:00:00"/>
    <s v=""/>
    <x v="3"/>
    <x v="0"/>
  </r>
  <r>
    <n v="53753188385"/>
    <n v="195"/>
    <d v="2034-09-15T00:00:00"/>
    <s v=""/>
    <x v="3"/>
    <x v="0"/>
  </r>
  <r>
    <n v="97582604359"/>
    <n v="203"/>
    <d v="2034-09-15T00:00:00"/>
    <d v="2034-10-02T00:00:00"/>
    <x v="3"/>
    <x v="5"/>
  </r>
  <r>
    <n v="86723079987"/>
    <n v="230"/>
    <d v="2034-09-15T00:00:00"/>
    <d v="2034-12-27T00:00:00"/>
    <x v="3"/>
    <x v="7"/>
  </r>
  <r>
    <n v="78488327742"/>
    <n v="269"/>
    <d v="2034-09-15T00:00:00"/>
    <s v=""/>
    <x v="3"/>
    <x v="0"/>
  </r>
  <r>
    <n v="65977202382"/>
    <n v="283"/>
    <d v="2034-09-15T00:00:00"/>
    <d v="2034-11-28T00:00:00"/>
    <x v="3"/>
    <x v="6"/>
  </r>
  <r>
    <n v="95691057239"/>
    <n v="285"/>
    <d v="2034-09-15T00:00:00"/>
    <d v="2034-11-02T00:00:00"/>
    <x v="3"/>
    <x v="6"/>
  </r>
  <r>
    <n v="57143888609"/>
    <n v="290"/>
    <d v="2034-09-15T00:00:00"/>
    <s v=""/>
    <x v="3"/>
    <x v="0"/>
  </r>
  <r>
    <n v="68332165705"/>
    <n v="300"/>
    <d v="2034-09-15T00:00:00"/>
    <d v="2034-11-21T00:00:00"/>
    <x v="3"/>
    <x v="6"/>
  </r>
  <r>
    <n v="76208358665"/>
    <n v="306"/>
    <d v="2034-09-15T00:00:00"/>
    <s v=""/>
    <x v="3"/>
    <x v="0"/>
  </r>
  <r>
    <n v="45522024070"/>
    <n v="325"/>
    <d v="2034-09-15T00:00:00"/>
    <d v="2034-10-27T00:00:00"/>
    <x v="3"/>
    <x v="5"/>
  </r>
  <r>
    <n v="60017541239"/>
    <n v="334"/>
    <d v="2034-09-15T00:00:00"/>
    <d v="2034-11-12T00:00:00"/>
    <x v="3"/>
    <x v="6"/>
  </r>
  <r>
    <n v="79550512885"/>
    <n v="335"/>
    <d v="2034-09-15T00:00:00"/>
    <d v="2034-12-02T00:00:00"/>
    <x v="3"/>
    <x v="7"/>
  </r>
  <r>
    <n v="91447340834"/>
    <n v="6"/>
    <d v="2034-09-16T00:00:00"/>
    <s v=""/>
    <x v="3"/>
    <x v="0"/>
  </r>
  <r>
    <n v="19084014471"/>
    <n v="37"/>
    <d v="2034-09-16T00:00:00"/>
    <s v=""/>
    <x v="3"/>
    <x v="0"/>
  </r>
  <r>
    <n v="32003589218"/>
    <n v="41"/>
    <d v="2034-09-16T00:00:00"/>
    <s v=""/>
    <x v="3"/>
    <x v="0"/>
  </r>
  <r>
    <n v="75769371124"/>
    <n v="66"/>
    <d v="2034-09-16T00:00:00"/>
    <s v=""/>
    <x v="3"/>
    <x v="0"/>
  </r>
  <r>
    <n v="59914240557"/>
    <n v="84"/>
    <d v="2034-09-16T00:00:00"/>
    <s v=""/>
    <x v="3"/>
    <x v="0"/>
  </r>
  <r>
    <n v="47958791139"/>
    <n v="152"/>
    <d v="2034-09-16T00:00:00"/>
    <s v=""/>
    <x v="3"/>
    <x v="0"/>
  </r>
  <r>
    <n v="38562267342"/>
    <n v="154"/>
    <d v="2034-09-16T00:00:00"/>
    <s v=""/>
    <x v="3"/>
    <x v="0"/>
  </r>
  <r>
    <n v="20588485193"/>
    <n v="169"/>
    <d v="2034-09-16T00:00:00"/>
    <s v=""/>
    <x v="3"/>
    <x v="0"/>
  </r>
  <r>
    <n v="28919544610"/>
    <n v="218"/>
    <d v="2034-09-16T00:00:00"/>
    <s v=""/>
    <x v="3"/>
    <x v="0"/>
  </r>
  <r>
    <n v="94742230913"/>
    <n v="224"/>
    <d v="2034-09-16T00:00:00"/>
    <s v=""/>
    <x v="3"/>
    <x v="0"/>
  </r>
  <r>
    <n v="86281493652"/>
    <n v="226"/>
    <d v="2034-09-16T00:00:00"/>
    <d v="2034-12-12T00:00:00"/>
    <x v="3"/>
    <x v="7"/>
  </r>
  <r>
    <n v="94394782228"/>
    <n v="230"/>
    <d v="2034-09-16T00:00:00"/>
    <s v=""/>
    <x v="3"/>
    <x v="0"/>
  </r>
  <r>
    <n v="33967945989"/>
    <n v="231"/>
    <d v="2034-09-16T00:00:00"/>
    <s v=""/>
    <x v="3"/>
    <x v="0"/>
  </r>
  <r>
    <n v="74309669950"/>
    <n v="245"/>
    <d v="2034-09-16T00:00:00"/>
    <d v="2034-12-12T00:00:00"/>
    <x v="3"/>
    <x v="7"/>
  </r>
  <r>
    <n v="35423505307"/>
    <n v="247"/>
    <d v="2034-09-16T00:00:00"/>
    <s v=""/>
    <x v="3"/>
    <x v="0"/>
  </r>
  <r>
    <n v="31316609570"/>
    <n v="251"/>
    <d v="2034-09-16T00:00:00"/>
    <d v="2034-10-08T00:00:00"/>
    <x v="3"/>
    <x v="5"/>
  </r>
  <r>
    <n v="55906670927"/>
    <n v="261"/>
    <d v="2034-09-16T00:00:00"/>
    <s v=""/>
    <x v="3"/>
    <x v="0"/>
  </r>
  <r>
    <n v="27622417063"/>
    <n v="282"/>
    <d v="2034-09-16T00:00:00"/>
    <s v=""/>
    <x v="3"/>
    <x v="0"/>
  </r>
  <r>
    <n v="40884554289"/>
    <n v="285"/>
    <d v="2034-09-16T00:00:00"/>
    <s v=""/>
    <x v="3"/>
    <x v="0"/>
  </r>
  <r>
    <n v="68061005432"/>
    <n v="6"/>
    <d v="2034-09-17T00:00:00"/>
    <s v=""/>
    <x v="3"/>
    <x v="0"/>
  </r>
  <r>
    <n v="91541544344"/>
    <n v="20"/>
    <d v="2034-09-17T00:00:00"/>
    <s v=""/>
    <x v="3"/>
    <x v="0"/>
  </r>
  <r>
    <n v="76259864966"/>
    <n v="21"/>
    <d v="2034-09-17T00:00:00"/>
    <s v=""/>
    <x v="3"/>
    <x v="0"/>
  </r>
  <r>
    <n v="15744634888"/>
    <n v="48"/>
    <d v="2034-09-17T00:00:00"/>
    <d v="2035-01-04T00:00:00"/>
    <x v="3"/>
    <x v="8"/>
  </r>
  <r>
    <n v="84497049637"/>
    <n v="61"/>
    <d v="2034-09-17T00:00:00"/>
    <d v="2034-11-10T00:00:00"/>
    <x v="3"/>
    <x v="6"/>
  </r>
  <r>
    <n v="81629317348"/>
    <n v="63"/>
    <d v="2034-09-17T00:00:00"/>
    <s v=""/>
    <x v="3"/>
    <x v="0"/>
  </r>
  <r>
    <n v="85746919179"/>
    <n v="64"/>
    <d v="2034-09-17T00:00:00"/>
    <s v=""/>
    <x v="3"/>
    <x v="0"/>
  </r>
  <r>
    <n v="13408241443"/>
    <n v="67"/>
    <d v="2034-09-17T00:00:00"/>
    <d v="2034-11-09T00:00:00"/>
    <x v="3"/>
    <x v="6"/>
  </r>
  <r>
    <n v="61664956750"/>
    <n v="69"/>
    <d v="2034-09-17T00:00:00"/>
    <s v=""/>
    <x v="3"/>
    <x v="0"/>
  </r>
  <r>
    <n v="42139133377"/>
    <n v="75"/>
    <d v="2034-09-17T00:00:00"/>
    <s v=""/>
    <x v="3"/>
    <x v="0"/>
  </r>
  <r>
    <n v="30941135445"/>
    <n v="77"/>
    <d v="2034-09-17T00:00:00"/>
    <s v=""/>
    <x v="3"/>
    <x v="0"/>
  </r>
  <r>
    <n v="39631171964"/>
    <n v="110"/>
    <d v="2034-09-17T00:00:00"/>
    <s v=""/>
    <x v="3"/>
    <x v="0"/>
  </r>
  <r>
    <n v="57633449586"/>
    <n v="121"/>
    <d v="2034-09-17T00:00:00"/>
    <s v=""/>
    <x v="3"/>
    <x v="0"/>
  </r>
  <r>
    <n v="95020519210"/>
    <n v="123"/>
    <d v="2034-09-17T00:00:00"/>
    <d v="2035-01-02T00:00:00"/>
    <x v="3"/>
    <x v="8"/>
  </r>
  <r>
    <n v="23910512364"/>
    <n v="125"/>
    <d v="2034-09-17T00:00:00"/>
    <d v="2034-09-25T00:00:00"/>
    <x v="3"/>
    <x v="3"/>
  </r>
  <r>
    <n v="65893452023"/>
    <n v="164"/>
    <d v="2034-09-17T00:00:00"/>
    <d v="2034-11-26T00:00:00"/>
    <x v="3"/>
    <x v="6"/>
  </r>
  <r>
    <n v="38037924195"/>
    <n v="182"/>
    <d v="2034-09-17T00:00:00"/>
    <s v=""/>
    <x v="3"/>
    <x v="0"/>
  </r>
  <r>
    <n v="82861813995"/>
    <n v="184"/>
    <d v="2034-09-17T00:00:00"/>
    <s v=""/>
    <x v="3"/>
    <x v="0"/>
  </r>
  <r>
    <n v="80851986196"/>
    <n v="249"/>
    <d v="2034-09-17T00:00:00"/>
    <s v=""/>
    <x v="3"/>
    <x v="0"/>
  </r>
  <r>
    <n v="93167150728"/>
    <n v="254"/>
    <d v="2034-09-17T00:00:00"/>
    <m/>
    <x v="3"/>
    <x v="0"/>
  </r>
  <r>
    <n v="77414885492"/>
    <n v="273"/>
    <d v="2034-09-17T00:00:00"/>
    <s v=""/>
    <x v="3"/>
    <x v="0"/>
  </r>
  <r>
    <n v="98756626566"/>
    <n v="273"/>
    <d v="2034-09-17T00:00:00"/>
    <d v="2034-10-22T00:00:00"/>
    <x v="3"/>
    <x v="5"/>
  </r>
  <r>
    <n v="49789321665"/>
    <n v="301"/>
    <d v="2034-09-17T00:00:00"/>
    <s v=""/>
    <x v="3"/>
    <x v="0"/>
  </r>
  <r>
    <n v="94545388150"/>
    <n v="303"/>
    <d v="2034-09-17T00:00:00"/>
    <s v=""/>
    <x v="3"/>
    <x v="0"/>
  </r>
  <r>
    <n v="93375620489"/>
    <n v="317"/>
    <d v="2034-09-17T00:00:00"/>
    <s v=""/>
    <x v="3"/>
    <x v="0"/>
  </r>
  <r>
    <n v="30404767377"/>
    <n v="326"/>
    <d v="2034-09-17T00:00:00"/>
    <s v=""/>
    <x v="3"/>
    <x v="0"/>
  </r>
  <r>
    <n v="23555163107"/>
    <n v="1"/>
    <d v="2034-09-18T00:00:00"/>
    <s v=""/>
    <x v="3"/>
    <x v="0"/>
  </r>
  <r>
    <n v="51723409984"/>
    <n v="3"/>
    <d v="2034-09-18T00:00:00"/>
    <s v=""/>
    <x v="3"/>
    <x v="0"/>
  </r>
  <r>
    <n v="97232164541"/>
    <n v="4"/>
    <d v="2034-09-18T00:00:00"/>
    <s v=""/>
    <x v="3"/>
    <x v="0"/>
  </r>
  <r>
    <n v="87980681657"/>
    <n v="14"/>
    <d v="2034-09-18T00:00:00"/>
    <s v=""/>
    <x v="3"/>
    <x v="0"/>
  </r>
  <r>
    <n v="43533911251"/>
    <n v="23"/>
    <d v="2034-09-18T00:00:00"/>
    <d v="2034-11-15T00:00:00"/>
    <x v="3"/>
    <x v="6"/>
  </r>
  <r>
    <n v="90841136863"/>
    <n v="43"/>
    <d v="2034-09-18T00:00:00"/>
    <d v="2034-10-16T00:00:00"/>
    <x v="3"/>
    <x v="5"/>
  </r>
  <r>
    <n v="74758082975"/>
    <n v="47"/>
    <d v="2034-09-18T00:00:00"/>
    <s v=""/>
    <x v="3"/>
    <x v="0"/>
  </r>
  <r>
    <n v="48147930181"/>
    <n v="70"/>
    <d v="2034-09-18T00:00:00"/>
    <s v=""/>
    <x v="3"/>
    <x v="0"/>
  </r>
  <r>
    <n v="65669883326"/>
    <n v="87"/>
    <d v="2034-09-18T00:00:00"/>
    <s v=""/>
    <x v="3"/>
    <x v="0"/>
  </r>
  <r>
    <n v="64461365664"/>
    <n v="92"/>
    <d v="2034-09-18T00:00:00"/>
    <s v=""/>
    <x v="3"/>
    <x v="0"/>
  </r>
  <r>
    <n v="86469054624"/>
    <n v="119"/>
    <d v="2034-09-18T00:00:00"/>
    <s v=""/>
    <x v="3"/>
    <x v="0"/>
  </r>
  <r>
    <n v="12426802632"/>
    <n v="121"/>
    <d v="2034-09-18T00:00:00"/>
    <m/>
    <x v="3"/>
    <x v="0"/>
  </r>
  <r>
    <n v="17292492463"/>
    <n v="135"/>
    <d v="2034-09-18T00:00:00"/>
    <s v=""/>
    <x v="3"/>
    <x v="0"/>
  </r>
  <r>
    <n v="16564623802"/>
    <n v="173"/>
    <d v="2034-09-18T00:00:00"/>
    <s v=""/>
    <x v="3"/>
    <x v="0"/>
  </r>
  <r>
    <n v="16250473013"/>
    <n v="185"/>
    <d v="2034-09-18T00:00:00"/>
    <s v=""/>
    <x v="3"/>
    <x v="0"/>
  </r>
  <r>
    <n v="39989299147"/>
    <n v="192"/>
    <d v="2034-09-18T00:00:00"/>
    <s v=""/>
    <x v="3"/>
    <x v="0"/>
  </r>
  <r>
    <n v="58413275788"/>
    <n v="195"/>
    <d v="2034-09-18T00:00:00"/>
    <s v=""/>
    <x v="3"/>
    <x v="0"/>
  </r>
  <r>
    <n v="25900644665"/>
    <n v="197"/>
    <d v="2034-09-18T00:00:00"/>
    <s v=""/>
    <x v="3"/>
    <x v="0"/>
  </r>
  <r>
    <n v="88220286665"/>
    <n v="203"/>
    <d v="2034-09-18T00:00:00"/>
    <d v="2034-09-20T00:00:00"/>
    <x v="3"/>
    <x v="3"/>
  </r>
  <r>
    <n v="96151605926"/>
    <n v="208"/>
    <d v="2034-09-18T00:00:00"/>
    <s v=""/>
    <x v="3"/>
    <x v="0"/>
  </r>
  <r>
    <n v="30201337372"/>
    <n v="241"/>
    <d v="2034-09-18T00:00:00"/>
    <s v=""/>
    <x v="3"/>
    <x v="0"/>
  </r>
  <r>
    <n v="25700099888"/>
    <n v="247"/>
    <d v="2034-09-18T00:00:00"/>
    <s v=""/>
    <x v="3"/>
    <x v="0"/>
  </r>
  <r>
    <n v="64182881281"/>
    <n v="248"/>
    <d v="2034-09-18T00:00:00"/>
    <s v=""/>
    <x v="3"/>
    <x v="0"/>
  </r>
  <r>
    <n v="60542397715"/>
    <n v="264"/>
    <d v="2034-09-18T00:00:00"/>
    <s v=""/>
    <x v="3"/>
    <x v="0"/>
  </r>
  <r>
    <n v="27715299470"/>
    <n v="280"/>
    <d v="2034-09-18T00:00:00"/>
    <s v=""/>
    <x v="3"/>
    <x v="0"/>
  </r>
  <r>
    <n v="70366085290"/>
    <n v="285"/>
    <d v="2034-09-18T00:00:00"/>
    <s v=""/>
    <x v="3"/>
    <x v="0"/>
  </r>
  <r>
    <n v="51029498243"/>
    <n v="286"/>
    <d v="2034-09-18T00:00:00"/>
    <d v="2034-12-14T00:00:00"/>
    <x v="3"/>
    <x v="7"/>
  </r>
  <r>
    <n v="84700722164"/>
    <n v="309"/>
    <d v="2034-09-18T00:00:00"/>
    <s v=""/>
    <x v="3"/>
    <x v="0"/>
  </r>
  <r>
    <n v="63251970956"/>
    <n v="313"/>
    <d v="2034-09-18T00:00:00"/>
    <s v=""/>
    <x v="3"/>
    <x v="0"/>
  </r>
  <r>
    <n v="15937751591"/>
    <n v="320"/>
    <d v="2034-09-18T00:00:00"/>
    <d v="2034-11-03T00:00:00"/>
    <x v="3"/>
    <x v="6"/>
  </r>
  <r>
    <n v="38852265577"/>
    <n v="335"/>
    <d v="2034-09-18T00:00:00"/>
    <s v=""/>
    <x v="3"/>
    <x v="0"/>
  </r>
  <r>
    <n v="44945552208"/>
    <n v="7"/>
    <d v="2034-09-19T00:00:00"/>
    <d v="2034-10-18T00:00:00"/>
    <x v="3"/>
    <x v="5"/>
  </r>
  <r>
    <n v="82530531357"/>
    <n v="21"/>
    <d v="2034-09-19T00:00:00"/>
    <s v=""/>
    <x v="3"/>
    <x v="0"/>
  </r>
  <r>
    <n v="14288429567"/>
    <n v="35"/>
    <d v="2034-09-19T00:00:00"/>
    <d v="2034-12-23T00:00:00"/>
    <x v="3"/>
    <x v="7"/>
  </r>
  <r>
    <n v="24210764116"/>
    <n v="54"/>
    <d v="2034-09-19T00:00:00"/>
    <s v=""/>
    <x v="3"/>
    <x v="0"/>
  </r>
  <r>
    <n v="24006418608"/>
    <n v="59"/>
    <d v="2034-09-19T00:00:00"/>
    <s v=""/>
    <x v="3"/>
    <x v="0"/>
  </r>
  <r>
    <n v="28817093909"/>
    <n v="67"/>
    <d v="2034-09-19T00:00:00"/>
    <s v=""/>
    <x v="3"/>
    <x v="0"/>
  </r>
  <r>
    <n v="97042837415"/>
    <n v="80"/>
    <d v="2034-09-19T00:00:00"/>
    <s v=""/>
    <x v="3"/>
    <x v="0"/>
  </r>
  <r>
    <n v="32437004077"/>
    <n v="81"/>
    <d v="2034-09-19T00:00:00"/>
    <s v=""/>
    <x v="3"/>
    <x v="0"/>
  </r>
  <r>
    <n v="58790932706"/>
    <n v="92"/>
    <d v="2034-09-19T00:00:00"/>
    <s v=""/>
    <x v="3"/>
    <x v="0"/>
  </r>
  <r>
    <n v="41211486546"/>
    <n v="98"/>
    <d v="2034-09-19T00:00:00"/>
    <s v=""/>
    <x v="3"/>
    <x v="0"/>
  </r>
  <r>
    <n v="12356928200"/>
    <n v="164"/>
    <d v="2034-09-19T00:00:00"/>
    <d v="2034-10-01T00:00:00"/>
    <x v="3"/>
    <x v="5"/>
  </r>
  <r>
    <n v="49171671939"/>
    <n v="172"/>
    <d v="2034-09-19T00:00:00"/>
    <s v=""/>
    <x v="3"/>
    <x v="0"/>
  </r>
  <r>
    <n v="28904937031"/>
    <n v="174"/>
    <d v="2034-09-19T00:00:00"/>
    <s v=""/>
    <x v="3"/>
    <x v="0"/>
  </r>
  <r>
    <n v="21532430886"/>
    <n v="185"/>
    <d v="2034-09-19T00:00:00"/>
    <s v=""/>
    <x v="3"/>
    <x v="0"/>
  </r>
  <r>
    <n v="47263788650"/>
    <n v="190"/>
    <d v="2034-09-19T00:00:00"/>
    <s v=""/>
    <x v="3"/>
    <x v="0"/>
  </r>
  <r>
    <n v="17245192108"/>
    <n v="229"/>
    <d v="2034-09-19T00:00:00"/>
    <d v="2034-12-29T00:00:00"/>
    <x v="3"/>
    <x v="7"/>
  </r>
  <r>
    <n v="68933489787"/>
    <n v="242"/>
    <d v="2034-09-19T00:00:00"/>
    <s v=""/>
    <x v="3"/>
    <x v="0"/>
  </r>
  <r>
    <n v="93257149993"/>
    <n v="243"/>
    <d v="2034-09-19T00:00:00"/>
    <s v=""/>
    <x v="3"/>
    <x v="0"/>
  </r>
  <r>
    <n v="99890275800"/>
    <n v="244"/>
    <d v="2034-09-19T00:00:00"/>
    <s v=""/>
    <x v="3"/>
    <x v="0"/>
  </r>
  <r>
    <n v="31755039776"/>
    <n v="244"/>
    <d v="2034-09-19T00:00:00"/>
    <m/>
    <x v="3"/>
    <x v="0"/>
  </r>
  <r>
    <n v="55115214579"/>
    <n v="255"/>
    <d v="2034-09-19T00:00:00"/>
    <s v=""/>
    <x v="3"/>
    <x v="0"/>
  </r>
  <r>
    <n v="40545326946"/>
    <n v="269"/>
    <d v="2034-09-19T00:00:00"/>
    <s v=""/>
    <x v="3"/>
    <x v="0"/>
  </r>
  <r>
    <n v="87121270860"/>
    <n v="271"/>
    <d v="2034-09-19T00:00:00"/>
    <s v=""/>
    <x v="3"/>
    <x v="0"/>
  </r>
  <r>
    <n v="59256887885"/>
    <n v="275"/>
    <d v="2034-09-19T00:00:00"/>
    <s v=""/>
    <x v="3"/>
    <x v="0"/>
  </r>
  <r>
    <n v="35163671113"/>
    <n v="307"/>
    <d v="2034-09-19T00:00:00"/>
    <s v=""/>
    <x v="3"/>
    <x v="0"/>
  </r>
  <r>
    <n v="76420962885"/>
    <n v="62"/>
    <d v="2034-09-20T00:00:00"/>
    <s v=""/>
    <x v="3"/>
    <x v="0"/>
  </r>
  <r>
    <n v="99979112639"/>
    <n v="78"/>
    <d v="2034-09-20T00:00:00"/>
    <s v=""/>
    <x v="3"/>
    <x v="0"/>
  </r>
  <r>
    <n v="54228949570"/>
    <n v="86"/>
    <d v="2034-09-20T00:00:00"/>
    <d v="2034-12-16T00:00:00"/>
    <x v="3"/>
    <x v="7"/>
  </r>
  <r>
    <n v="85160761535"/>
    <n v="109"/>
    <d v="2034-09-20T00:00:00"/>
    <d v="2034-09-27T00:00:00"/>
    <x v="3"/>
    <x v="3"/>
  </r>
  <r>
    <n v="56907084086"/>
    <n v="116"/>
    <d v="2034-09-20T00:00:00"/>
    <s v=""/>
    <x v="3"/>
    <x v="0"/>
  </r>
  <r>
    <n v="51167971393"/>
    <n v="148"/>
    <d v="2034-09-20T00:00:00"/>
    <s v=""/>
    <x v="3"/>
    <x v="0"/>
  </r>
  <r>
    <n v="54864938285"/>
    <n v="171"/>
    <d v="2034-09-20T00:00:00"/>
    <m/>
    <x v="3"/>
    <x v="0"/>
  </r>
  <r>
    <n v="60669708330"/>
    <n v="172"/>
    <d v="2034-09-20T00:00:00"/>
    <s v=""/>
    <x v="3"/>
    <x v="0"/>
  </r>
  <r>
    <n v="49282557595"/>
    <n v="191"/>
    <d v="2034-09-20T00:00:00"/>
    <s v=""/>
    <x v="3"/>
    <x v="0"/>
  </r>
  <r>
    <n v="29439849195"/>
    <n v="224"/>
    <d v="2034-09-20T00:00:00"/>
    <s v=""/>
    <x v="3"/>
    <x v="0"/>
  </r>
  <r>
    <n v="93061969585"/>
    <n v="225"/>
    <d v="2034-09-20T00:00:00"/>
    <d v="2034-10-31T00:00:00"/>
    <x v="3"/>
    <x v="5"/>
  </r>
  <r>
    <n v="20257499289"/>
    <n v="232"/>
    <d v="2034-09-20T00:00:00"/>
    <s v=""/>
    <x v="3"/>
    <x v="0"/>
  </r>
  <r>
    <n v="60612227419"/>
    <n v="243"/>
    <d v="2034-09-20T00:00:00"/>
    <s v=""/>
    <x v="3"/>
    <x v="0"/>
  </r>
  <r>
    <n v="72135182029"/>
    <n v="252"/>
    <d v="2034-09-20T00:00:00"/>
    <s v=""/>
    <x v="3"/>
    <x v="0"/>
  </r>
  <r>
    <n v="30430204993"/>
    <n v="254"/>
    <d v="2034-09-20T00:00:00"/>
    <s v=""/>
    <x v="3"/>
    <x v="0"/>
  </r>
  <r>
    <n v="54573362989"/>
    <n v="265"/>
    <d v="2034-09-20T00:00:00"/>
    <s v=""/>
    <x v="3"/>
    <x v="0"/>
  </r>
  <r>
    <n v="43919392530"/>
    <n v="268"/>
    <d v="2034-09-20T00:00:00"/>
    <s v=""/>
    <x v="3"/>
    <x v="0"/>
  </r>
  <r>
    <n v="29143798593"/>
    <n v="276"/>
    <d v="2034-09-20T00:00:00"/>
    <s v=""/>
    <x v="3"/>
    <x v="0"/>
  </r>
  <r>
    <n v="53121244224"/>
    <n v="278"/>
    <d v="2034-09-20T00:00:00"/>
    <d v="2034-09-23T00:00:00"/>
    <x v="3"/>
    <x v="3"/>
  </r>
  <r>
    <n v="76866960495"/>
    <n v="300"/>
    <d v="2034-09-20T00:00:00"/>
    <s v=""/>
    <x v="3"/>
    <x v="0"/>
  </r>
  <r>
    <n v="44511960295"/>
    <n v="326"/>
    <d v="2034-09-20T00:00:00"/>
    <s v=""/>
    <x v="3"/>
    <x v="0"/>
  </r>
  <r>
    <n v="17873959272"/>
    <n v="340"/>
    <d v="2034-09-20T00:00:00"/>
    <s v=""/>
    <x v="3"/>
    <x v="0"/>
  </r>
  <r>
    <n v="50569829277"/>
    <n v="23"/>
    <d v="2034-09-21T00:00:00"/>
    <d v="2034-09-25T00:00:00"/>
    <x v="3"/>
    <x v="3"/>
  </r>
  <r>
    <n v="78006314519"/>
    <n v="71"/>
    <d v="2034-09-21T00:00:00"/>
    <s v=""/>
    <x v="3"/>
    <x v="0"/>
  </r>
  <r>
    <n v="92592685669"/>
    <n v="82"/>
    <d v="2034-09-21T00:00:00"/>
    <s v=""/>
    <x v="3"/>
    <x v="0"/>
  </r>
  <r>
    <n v="50652919886"/>
    <n v="87"/>
    <d v="2034-09-21T00:00:00"/>
    <s v=""/>
    <x v="3"/>
    <x v="0"/>
  </r>
  <r>
    <n v="56507799231"/>
    <n v="117"/>
    <d v="2034-09-21T00:00:00"/>
    <d v="2034-10-19T00:00:00"/>
    <x v="3"/>
    <x v="5"/>
  </r>
  <r>
    <n v="29926898065"/>
    <n v="148"/>
    <d v="2034-09-21T00:00:00"/>
    <d v="2034-09-24T00:00:00"/>
    <x v="3"/>
    <x v="3"/>
  </r>
  <r>
    <n v="49413451509"/>
    <n v="178"/>
    <d v="2034-09-21T00:00:00"/>
    <d v="2034-10-22T00:00:00"/>
    <x v="3"/>
    <x v="5"/>
  </r>
  <r>
    <n v="77416880949"/>
    <n v="187"/>
    <d v="2034-09-21T00:00:00"/>
    <s v=""/>
    <x v="3"/>
    <x v="0"/>
  </r>
  <r>
    <n v="29146680339"/>
    <n v="208"/>
    <d v="2034-09-21T00:00:00"/>
    <s v=""/>
    <x v="3"/>
    <x v="0"/>
  </r>
  <r>
    <n v="87191988372"/>
    <n v="217"/>
    <d v="2034-09-21T00:00:00"/>
    <s v=""/>
    <x v="3"/>
    <x v="0"/>
  </r>
  <r>
    <n v="29565368139"/>
    <n v="227"/>
    <d v="2034-09-21T00:00:00"/>
    <s v=""/>
    <x v="3"/>
    <x v="0"/>
  </r>
  <r>
    <n v="89144613779"/>
    <n v="229"/>
    <d v="2034-09-21T00:00:00"/>
    <s v=""/>
    <x v="3"/>
    <x v="0"/>
  </r>
  <r>
    <n v="15410416717"/>
    <n v="269"/>
    <d v="2034-09-21T00:00:00"/>
    <d v="2035-01-15T00:00:00"/>
    <x v="3"/>
    <x v="8"/>
  </r>
  <r>
    <n v="36305011983"/>
    <n v="270"/>
    <d v="2034-09-21T00:00:00"/>
    <m/>
    <x v="3"/>
    <x v="0"/>
  </r>
  <r>
    <n v="75848679918"/>
    <n v="273"/>
    <d v="2034-09-21T00:00:00"/>
    <d v="2034-10-10T00:00:00"/>
    <x v="3"/>
    <x v="5"/>
  </r>
  <r>
    <n v="60712207566"/>
    <n v="287"/>
    <d v="2034-09-21T00:00:00"/>
    <s v=""/>
    <x v="3"/>
    <x v="0"/>
  </r>
  <r>
    <n v="72482503654"/>
    <n v="289"/>
    <d v="2034-09-21T00:00:00"/>
    <s v=""/>
    <x v="3"/>
    <x v="0"/>
  </r>
  <r>
    <n v="22809644187"/>
    <n v="303"/>
    <d v="2034-09-21T00:00:00"/>
    <s v=""/>
    <x v="3"/>
    <x v="0"/>
  </r>
  <r>
    <n v="24438633868"/>
    <n v="306"/>
    <d v="2034-09-21T00:00:00"/>
    <s v=""/>
    <x v="3"/>
    <x v="0"/>
  </r>
  <r>
    <n v="93682113711"/>
    <n v="306"/>
    <d v="2034-09-21T00:00:00"/>
    <d v="2034-12-14T00:00:00"/>
    <x v="3"/>
    <x v="7"/>
  </r>
  <r>
    <n v="78556570896"/>
    <n v="320"/>
    <d v="2034-09-21T00:00:00"/>
    <m/>
    <x v="3"/>
    <x v="0"/>
  </r>
  <r>
    <n v="75075792319"/>
    <n v="336"/>
    <d v="2034-09-21T00:00:00"/>
    <m/>
    <x v="3"/>
    <x v="0"/>
  </r>
  <r>
    <n v="95652020915"/>
    <n v="0"/>
    <d v="2034-09-22T00:00:00"/>
    <d v="2034-12-31T00:00:00"/>
    <x v="3"/>
    <x v="7"/>
  </r>
  <r>
    <n v="56001615502"/>
    <n v="18"/>
    <d v="2034-09-22T00:00:00"/>
    <d v="2035-01-01T00:00:00"/>
    <x v="3"/>
    <x v="8"/>
  </r>
  <r>
    <n v="40131634086"/>
    <n v="29"/>
    <d v="2034-09-22T00:00:00"/>
    <s v=""/>
    <x v="3"/>
    <x v="0"/>
  </r>
  <r>
    <n v="51718627818"/>
    <n v="31"/>
    <d v="2034-09-22T00:00:00"/>
    <s v=""/>
    <x v="3"/>
    <x v="0"/>
  </r>
  <r>
    <n v="49043840719"/>
    <n v="57"/>
    <d v="2034-09-22T00:00:00"/>
    <s v=""/>
    <x v="3"/>
    <x v="0"/>
  </r>
  <r>
    <n v="23028080944"/>
    <n v="71"/>
    <d v="2034-09-22T00:00:00"/>
    <s v=""/>
    <x v="3"/>
    <x v="0"/>
  </r>
  <r>
    <n v="35091198884"/>
    <n v="84"/>
    <d v="2034-09-22T00:00:00"/>
    <s v=""/>
    <x v="3"/>
    <x v="0"/>
  </r>
  <r>
    <n v="52651187834"/>
    <n v="85"/>
    <d v="2034-09-22T00:00:00"/>
    <s v=""/>
    <x v="3"/>
    <x v="0"/>
  </r>
  <r>
    <n v="13793121804"/>
    <n v="105"/>
    <d v="2034-09-22T00:00:00"/>
    <s v=""/>
    <x v="3"/>
    <x v="0"/>
  </r>
  <r>
    <n v="27800819303"/>
    <n v="132"/>
    <d v="2034-09-22T00:00:00"/>
    <s v=""/>
    <x v="3"/>
    <x v="0"/>
  </r>
  <r>
    <n v="81399241726"/>
    <n v="172"/>
    <d v="2034-09-22T00:00:00"/>
    <s v=""/>
    <x v="3"/>
    <x v="0"/>
  </r>
  <r>
    <n v="38250035509"/>
    <n v="174"/>
    <d v="2034-09-22T00:00:00"/>
    <s v=""/>
    <x v="3"/>
    <x v="0"/>
  </r>
  <r>
    <n v="25835472248"/>
    <n v="187"/>
    <d v="2034-09-22T00:00:00"/>
    <s v=""/>
    <x v="3"/>
    <x v="0"/>
  </r>
  <r>
    <n v="97164253437"/>
    <n v="188"/>
    <d v="2034-09-22T00:00:00"/>
    <s v=""/>
    <x v="3"/>
    <x v="0"/>
  </r>
  <r>
    <n v="88175439020"/>
    <n v="191"/>
    <d v="2034-09-22T00:00:00"/>
    <s v=""/>
    <x v="3"/>
    <x v="0"/>
  </r>
  <r>
    <n v="44988024764"/>
    <n v="197"/>
    <d v="2034-09-22T00:00:00"/>
    <m/>
    <x v="3"/>
    <x v="0"/>
  </r>
  <r>
    <n v="29271982382"/>
    <n v="216"/>
    <d v="2034-09-22T00:00:00"/>
    <d v="2034-12-01T00:00:00"/>
    <x v="3"/>
    <x v="7"/>
  </r>
  <r>
    <n v="72685225186"/>
    <n v="216"/>
    <d v="2034-09-22T00:00:00"/>
    <s v=""/>
    <x v="3"/>
    <x v="0"/>
  </r>
  <r>
    <n v="79844090248"/>
    <n v="217"/>
    <d v="2034-09-22T00:00:00"/>
    <s v=""/>
    <x v="3"/>
    <x v="0"/>
  </r>
  <r>
    <n v="17827544665"/>
    <n v="239"/>
    <d v="2034-09-22T00:00:00"/>
    <s v=""/>
    <x v="3"/>
    <x v="0"/>
  </r>
  <r>
    <n v="13435506342"/>
    <n v="250"/>
    <d v="2034-09-22T00:00:00"/>
    <s v=""/>
    <x v="3"/>
    <x v="0"/>
  </r>
  <r>
    <n v="82542844736"/>
    <n v="250"/>
    <d v="2034-09-22T00:00:00"/>
    <s v=""/>
    <x v="3"/>
    <x v="0"/>
  </r>
  <r>
    <n v="62119167337"/>
    <n v="276"/>
    <d v="2034-09-22T00:00:00"/>
    <s v=""/>
    <x v="3"/>
    <x v="0"/>
  </r>
  <r>
    <n v="56107798372"/>
    <n v="287"/>
    <d v="2034-09-22T00:00:00"/>
    <s v=""/>
    <x v="3"/>
    <x v="0"/>
  </r>
  <r>
    <n v="50900477821"/>
    <n v="292"/>
    <d v="2034-09-22T00:00:00"/>
    <s v=""/>
    <x v="3"/>
    <x v="0"/>
  </r>
  <r>
    <n v="31105896183"/>
    <n v="4"/>
    <d v="2034-09-23T00:00:00"/>
    <s v=""/>
    <x v="3"/>
    <x v="0"/>
  </r>
  <r>
    <n v="73488082934"/>
    <n v="29"/>
    <d v="2034-09-23T00:00:00"/>
    <s v=""/>
    <x v="3"/>
    <x v="0"/>
  </r>
  <r>
    <n v="30047285700"/>
    <n v="55"/>
    <d v="2034-09-23T00:00:00"/>
    <s v=""/>
    <x v="3"/>
    <x v="0"/>
  </r>
  <r>
    <n v="59709561393"/>
    <n v="59"/>
    <d v="2034-09-23T00:00:00"/>
    <s v=""/>
    <x v="3"/>
    <x v="0"/>
  </r>
  <r>
    <n v="71297580862"/>
    <n v="89"/>
    <d v="2034-09-23T00:00:00"/>
    <s v=""/>
    <x v="3"/>
    <x v="0"/>
  </r>
  <r>
    <n v="23678282244"/>
    <n v="101"/>
    <d v="2034-09-23T00:00:00"/>
    <s v=""/>
    <x v="3"/>
    <x v="0"/>
  </r>
  <r>
    <n v="53754036764"/>
    <n v="118"/>
    <d v="2034-09-23T00:00:00"/>
    <s v=""/>
    <x v="3"/>
    <x v="0"/>
  </r>
  <r>
    <n v="63088818351"/>
    <n v="142"/>
    <d v="2034-09-23T00:00:00"/>
    <s v=""/>
    <x v="3"/>
    <x v="0"/>
  </r>
  <r>
    <n v="23760224761"/>
    <n v="147"/>
    <d v="2034-09-23T00:00:00"/>
    <d v="2034-12-25T00:00:00"/>
    <x v="3"/>
    <x v="7"/>
  </r>
  <r>
    <n v="52663454196"/>
    <n v="175"/>
    <d v="2034-09-23T00:00:00"/>
    <s v=""/>
    <x v="3"/>
    <x v="0"/>
  </r>
  <r>
    <n v="58886844614"/>
    <n v="179"/>
    <d v="2034-09-23T00:00:00"/>
    <s v=""/>
    <x v="3"/>
    <x v="0"/>
  </r>
  <r>
    <n v="25219857825"/>
    <n v="216"/>
    <d v="2034-09-23T00:00:00"/>
    <s v=""/>
    <x v="3"/>
    <x v="0"/>
  </r>
  <r>
    <n v="44609694512"/>
    <n v="233"/>
    <d v="2034-09-23T00:00:00"/>
    <s v=""/>
    <x v="3"/>
    <x v="0"/>
  </r>
  <r>
    <n v="48877045471"/>
    <n v="256"/>
    <d v="2034-09-23T00:00:00"/>
    <d v="2034-10-04T00:00:00"/>
    <x v="3"/>
    <x v="5"/>
  </r>
  <r>
    <n v="95053738513"/>
    <n v="267"/>
    <d v="2034-09-23T00:00:00"/>
    <s v=""/>
    <x v="3"/>
    <x v="0"/>
  </r>
  <r>
    <n v="87982569543"/>
    <n v="273"/>
    <d v="2034-09-23T00:00:00"/>
    <s v=""/>
    <x v="3"/>
    <x v="0"/>
  </r>
  <r>
    <n v="99307843985"/>
    <n v="276"/>
    <d v="2034-09-23T00:00:00"/>
    <s v=""/>
    <x v="3"/>
    <x v="0"/>
  </r>
  <r>
    <n v="65465561707"/>
    <n v="276"/>
    <d v="2034-09-23T00:00:00"/>
    <s v=""/>
    <x v="3"/>
    <x v="0"/>
  </r>
  <r>
    <n v="84795330890"/>
    <n v="297"/>
    <d v="2034-09-23T00:00:00"/>
    <s v=""/>
    <x v="3"/>
    <x v="0"/>
  </r>
  <r>
    <n v="88107144600"/>
    <n v="328"/>
    <d v="2034-09-23T00:00:00"/>
    <s v=""/>
    <x v="3"/>
    <x v="0"/>
  </r>
  <r>
    <n v="55986579079"/>
    <n v="338"/>
    <d v="2034-09-23T00:00:00"/>
    <s v=""/>
    <x v="3"/>
    <x v="0"/>
  </r>
  <r>
    <n v="37029933294"/>
    <n v="16"/>
    <d v="2034-09-24T00:00:00"/>
    <s v=""/>
    <x v="3"/>
    <x v="0"/>
  </r>
  <r>
    <n v="31053307624"/>
    <n v="41"/>
    <d v="2034-09-24T00:00:00"/>
    <s v=""/>
    <x v="3"/>
    <x v="0"/>
  </r>
  <r>
    <n v="85303482423"/>
    <n v="50"/>
    <d v="2034-09-24T00:00:00"/>
    <s v=""/>
    <x v="3"/>
    <x v="0"/>
  </r>
  <r>
    <n v="21457725341"/>
    <n v="56"/>
    <d v="2034-09-24T00:00:00"/>
    <d v="2035-01-14T00:00:00"/>
    <x v="3"/>
    <x v="8"/>
  </r>
  <r>
    <n v="11634499493"/>
    <n v="62"/>
    <d v="2034-09-24T00:00:00"/>
    <d v="2034-12-28T00:00:00"/>
    <x v="3"/>
    <x v="7"/>
  </r>
  <r>
    <n v="29162271193"/>
    <n v="99"/>
    <d v="2034-09-24T00:00:00"/>
    <d v="2034-10-09T00:00:00"/>
    <x v="3"/>
    <x v="5"/>
  </r>
  <r>
    <n v="93573325451"/>
    <n v="101"/>
    <d v="2034-09-24T00:00:00"/>
    <s v=""/>
    <x v="3"/>
    <x v="0"/>
  </r>
  <r>
    <n v="47367884675"/>
    <n v="111"/>
    <d v="2034-09-24T00:00:00"/>
    <s v=""/>
    <x v="3"/>
    <x v="0"/>
  </r>
  <r>
    <n v="66842848392"/>
    <n v="113"/>
    <d v="2034-09-24T00:00:00"/>
    <s v=""/>
    <x v="3"/>
    <x v="0"/>
  </r>
  <r>
    <n v="62534012814"/>
    <n v="141"/>
    <d v="2034-09-24T00:00:00"/>
    <s v=""/>
    <x v="3"/>
    <x v="0"/>
  </r>
  <r>
    <n v="54569224466"/>
    <n v="149"/>
    <d v="2034-09-24T00:00:00"/>
    <s v=""/>
    <x v="3"/>
    <x v="0"/>
  </r>
  <r>
    <n v="77005107057"/>
    <n v="188"/>
    <d v="2034-09-24T00:00:00"/>
    <d v="2035-01-16T00:00:00"/>
    <x v="3"/>
    <x v="8"/>
  </r>
  <r>
    <n v="90842877904"/>
    <n v="197"/>
    <d v="2034-09-24T00:00:00"/>
    <s v=""/>
    <x v="3"/>
    <x v="0"/>
  </r>
  <r>
    <n v="97236554633"/>
    <n v="211"/>
    <d v="2034-09-24T00:00:00"/>
    <s v=""/>
    <x v="3"/>
    <x v="0"/>
  </r>
  <r>
    <n v="46982823333"/>
    <n v="241"/>
    <d v="2034-09-24T00:00:00"/>
    <s v=""/>
    <x v="3"/>
    <x v="0"/>
  </r>
  <r>
    <n v="91210845470"/>
    <n v="244"/>
    <d v="2034-09-24T00:00:00"/>
    <s v=""/>
    <x v="3"/>
    <x v="0"/>
  </r>
  <r>
    <n v="64854501971"/>
    <n v="253"/>
    <d v="2034-09-24T00:00:00"/>
    <s v=""/>
    <x v="3"/>
    <x v="0"/>
  </r>
  <r>
    <n v="74405248912"/>
    <n v="265"/>
    <d v="2034-09-24T00:00:00"/>
    <d v="2034-12-26T00:00:00"/>
    <x v="3"/>
    <x v="7"/>
  </r>
  <r>
    <n v="61863841453"/>
    <n v="301"/>
    <d v="2034-09-24T00:00:00"/>
    <d v="2034-11-16T00:00:00"/>
    <x v="3"/>
    <x v="6"/>
  </r>
  <r>
    <n v="81216444357"/>
    <n v="10"/>
    <d v="2034-09-25T00:00:00"/>
    <d v="2034-11-09T00:00:00"/>
    <x v="3"/>
    <x v="6"/>
  </r>
  <r>
    <n v="13190508045"/>
    <n v="20"/>
    <d v="2034-09-25T00:00:00"/>
    <s v=""/>
    <x v="3"/>
    <x v="0"/>
  </r>
  <r>
    <n v="82640386469"/>
    <n v="41"/>
    <d v="2034-09-25T00:00:00"/>
    <d v="2034-10-13T00:00:00"/>
    <x v="3"/>
    <x v="5"/>
  </r>
  <r>
    <n v="62194776823"/>
    <n v="42"/>
    <d v="2034-09-25T00:00:00"/>
    <s v=""/>
    <x v="3"/>
    <x v="0"/>
  </r>
  <r>
    <n v="89193063744"/>
    <n v="45"/>
    <d v="2034-09-25T00:00:00"/>
    <s v=""/>
    <x v="3"/>
    <x v="0"/>
  </r>
  <r>
    <n v="85543604011"/>
    <n v="55"/>
    <d v="2034-09-25T00:00:00"/>
    <d v="2034-11-03T00:00:00"/>
    <x v="3"/>
    <x v="6"/>
  </r>
  <r>
    <n v="14267580221"/>
    <n v="71"/>
    <d v="2034-09-25T00:00:00"/>
    <s v=""/>
    <x v="3"/>
    <x v="0"/>
  </r>
  <r>
    <n v="74266874624"/>
    <n v="99"/>
    <d v="2034-09-25T00:00:00"/>
    <s v=""/>
    <x v="3"/>
    <x v="0"/>
  </r>
  <r>
    <n v="96881557287"/>
    <n v="101"/>
    <d v="2034-09-25T00:00:00"/>
    <s v=""/>
    <x v="3"/>
    <x v="0"/>
  </r>
  <r>
    <n v="31319829828"/>
    <n v="135"/>
    <d v="2034-09-25T00:00:00"/>
    <s v=""/>
    <x v="3"/>
    <x v="0"/>
  </r>
  <r>
    <n v="70662412129"/>
    <n v="136"/>
    <d v="2034-09-25T00:00:00"/>
    <s v=""/>
    <x v="3"/>
    <x v="0"/>
  </r>
  <r>
    <n v="63783114170"/>
    <n v="156"/>
    <d v="2034-09-25T00:00:00"/>
    <s v=""/>
    <x v="3"/>
    <x v="0"/>
  </r>
  <r>
    <n v="37850379596"/>
    <n v="157"/>
    <d v="2034-09-25T00:00:00"/>
    <d v="2034-10-03T00:00:00"/>
    <x v="3"/>
    <x v="5"/>
  </r>
  <r>
    <n v="30732007976"/>
    <n v="201"/>
    <d v="2034-09-25T00:00:00"/>
    <d v="2034-09-28T00:00:00"/>
    <x v="3"/>
    <x v="3"/>
  </r>
  <r>
    <n v="26602482808"/>
    <n v="205"/>
    <d v="2034-09-25T00:00:00"/>
    <d v="2035-01-03T00:00:00"/>
    <x v="3"/>
    <x v="8"/>
  </r>
  <r>
    <n v="93927798029"/>
    <n v="218"/>
    <d v="2034-09-25T00:00:00"/>
    <d v="2034-11-12T00:00:00"/>
    <x v="3"/>
    <x v="6"/>
  </r>
  <r>
    <n v="92687983670"/>
    <n v="234"/>
    <d v="2034-09-25T00:00:00"/>
    <s v=""/>
    <x v="3"/>
    <x v="0"/>
  </r>
  <r>
    <n v="65488519823"/>
    <n v="257"/>
    <d v="2034-09-25T00:00:00"/>
    <d v="2034-11-23T00:00:00"/>
    <x v="3"/>
    <x v="6"/>
  </r>
  <r>
    <n v="54795531680"/>
    <n v="270"/>
    <d v="2034-09-25T00:00:00"/>
    <s v=""/>
    <x v="3"/>
    <x v="0"/>
  </r>
  <r>
    <n v="16698193936"/>
    <n v="303"/>
    <d v="2034-09-25T00:00:00"/>
    <s v=""/>
    <x v="3"/>
    <x v="0"/>
  </r>
  <r>
    <n v="52354738727"/>
    <n v="323"/>
    <d v="2034-09-25T00:00:00"/>
    <s v=""/>
    <x v="3"/>
    <x v="0"/>
  </r>
  <r>
    <n v="88574107202"/>
    <n v="337"/>
    <d v="2034-09-25T00:00:00"/>
    <d v="2034-11-17T00:00:00"/>
    <x v="3"/>
    <x v="6"/>
  </r>
  <r>
    <n v="59680626668"/>
    <n v="340"/>
    <d v="2034-09-25T00:00:00"/>
    <s v=""/>
    <x v="3"/>
    <x v="0"/>
  </r>
  <r>
    <n v="31037329170"/>
    <n v="15"/>
    <d v="2034-09-26T00:00:00"/>
    <s v=""/>
    <x v="3"/>
    <x v="0"/>
  </r>
  <r>
    <n v="16045407722"/>
    <n v="19"/>
    <d v="2034-09-26T00:00:00"/>
    <m/>
    <x v="3"/>
    <x v="0"/>
  </r>
  <r>
    <n v="37359281167"/>
    <n v="21"/>
    <d v="2034-09-26T00:00:00"/>
    <s v=""/>
    <x v="3"/>
    <x v="0"/>
  </r>
  <r>
    <n v="34989698378"/>
    <n v="23"/>
    <d v="2034-09-26T00:00:00"/>
    <s v=""/>
    <x v="3"/>
    <x v="0"/>
  </r>
  <r>
    <n v="91366966663"/>
    <n v="26"/>
    <d v="2034-09-26T00:00:00"/>
    <s v=""/>
    <x v="3"/>
    <x v="0"/>
  </r>
  <r>
    <n v="89594360363"/>
    <n v="26"/>
    <d v="2034-09-26T00:00:00"/>
    <s v=""/>
    <x v="3"/>
    <x v="0"/>
  </r>
  <r>
    <n v="36132448002"/>
    <n v="27"/>
    <d v="2034-09-26T00:00:00"/>
    <s v=""/>
    <x v="3"/>
    <x v="0"/>
  </r>
  <r>
    <n v="27552242265"/>
    <n v="79"/>
    <d v="2034-09-26T00:00:00"/>
    <s v=""/>
    <x v="3"/>
    <x v="0"/>
  </r>
  <r>
    <n v="75328114468"/>
    <n v="89"/>
    <d v="2034-09-26T00:00:00"/>
    <s v=""/>
    <x v="3"/>
    <x v="0"/>
  </r>
  <r>
    <n v="94163702049"/>
    <n v="98"/>
    <d v="2034-09-26T00:00:00"/>
    <s v=""/>
    <x v="3"/>
    <x v="0"/>
  </r>
  <r>
    <n v="42185994758"/>
    <n v="115"/>
    <d v="2034-09-26T00:00:00"/>
    <s v=""/>
    <x v="3"/>
    <x v="0"/>
  </r>
  <r>
    <n v="91427294128"/>
    <n v="121"/>
    <d v="2034-09-26T00:00:00"/>
    <s v=""/>
    <x v="3"/>
    <x v="0"/>
  </r>
  <r>
    <n v="37150890980"/>
    <n v="143"/>
    <d v="2034-09-26T00:00:00"/>
    <d v="2034-10-15T00:00:00"/>
    <x v="3"/>
    <x v="5"/>
  </r>
  <r>
    <n v="31939934139"/>
    <n v="155"/>
    <d v="2034-09-26T00:00:00"/>
    <s v=""/>
    <x v="3"/>
    <x v="0"/>
  </r>
  <r>
    <n v="66115728067"/>
    <n v="174"/>
    <d v="2034-09-26T00:00:00"/>
    <s v=""/>
    <x v="3"/>
    <x v="0"/>
  </r>
  <r>
    <n v="60351674853"/>
    <n v="177"/>
    <d v="2034-09-26T00:00:00"/>
    <s v=""/>
    <x v="3"/>
    <x v="0"/>
  </r>
  <r>
    <n v="65448514086"/>
    <n v="194"/>
    <d v="2034-09-26T00:00:00"/>
    <s v=""/>
    <x v="3"/>
    <x v="0"/>
  </r>
  <r>
    <n v="53877385465"/>
    <n v="195"/>
    <d v="2034-09-26T00:00:00"/>
    <s v=""/>
    <x v="3"/>
    <x v="0"/>
  </r>
  <r>
    <n v="75184308874"/>
    <n v="217"/>
    <d v="2034-09-26T00:00:00"/>
    <s v=""/>
    <x v="3"/>
    <x v="0"/>
  </r>
  <r>
    <n v="45654699695"/>
    <n v="220"/>
    <d v="2034-09-26T00:00:00"/>
    <s v=""/>
    <x v="3"/>
    <x v="0"/>
  </r>
  <r>
    <n v="45179862753"/>
    <n v="224"/>
    <d v="2034-09-26T00:00:00"/>
    <s v=""/>
    <x v="3"/>
    <x v="0"/>
  </r>
  <r>
    <n v="64741501300"/>
    <n v="225"/>
    <d v="2034-09-26T00:00:00"/>
    <s v=""/>
    <x v="3"/>
    <x v="0"/>
  </r>
  <r>
    <n v="66206688988"/>
    <n v="261"/>
    <d v="2034-09-26T00:00:00"/>
    <s v=""/>
    <x v="3"/>
    <x v="0"/>
  </r>
  <r>
    <n v="50580101785"/>
    <n v="326"/>
    <d v="2034-09-26T00:00:00"/>
    <s v=""/>
    <x v="3"/>
    <x v="0"/>
  </r>
  <r>
    <n v="51453379354"/>
    <n v="14"/>
    <d v="2034-09-27T00:00:00"/>
    <s v=""/>
    <x v="3"/>
    <x v="0"/>
  </r>
  <r>
    <n v="27961712542"/>
    <n v="44"/>
    <d v="2034-09-27T00:00:00"/>
    <s v=""/>
    <x v="3"/>
    <x v="0"/>
  </r>
  <r>
    <n v="91774978561"/>
    <n v="81"/>
    <d v="2034-09-27T00:00:00"/>
    <s v=""/>
    <x v="3"/>
    <x v="0"/>
  </r>
  <r>
    <n v="48670181442"/>
    <n v="144"/>
    <d v="2034-09-27T00:00:00"/>
    <s v=""/>
    <x v="3"/>
    <x v="0"/>
  </r>
  <r>
    <n v="84819988969"/>
    <n v="149"/>
    <d v="2034-09-27T00:00:00"/>
    <s v=""/>
    <x v="3"/>
    <x v="0"/>
  </r>
  <r>
    <n v="82126237810"/>
    <n v="150"/>
    <d v="2034-09-27T00:00:00"/>
    <s v=""/>
    <x v="3"/>
    <x v="0"/>
  </r>
  <r>
    <n v="33011702970"/>
    <n v="165"/>
    <d v="2034-09-27T00:00:00"/>
    <s v=""/>
    <x v="3"/>
    <x v="0"/>
  </r>
  <r>
    <n v="88575806029"/>
    <n v="177"/>
    <d v="2034-09-27T00:00:00"/>
    <d v="2034-10-25T00:00:00"/>
    <x v="3"/>
    <x v="5"/>
  </r>
  <r>
    <n v="42274927191"/>
    <n v="178"/>
    <d v="2034-09-27T00:00:00"/>
    <d v="2035-01-12T00:00:00"/>
    <x v="3"/>
    <x v="8"/>
  </r>
  <r>
    <n v="69843349057"/>
    <n v="188"/>
    <d v="2034-09-27T00:00:00"/>
    <s v=""/>
    <x v="3"/>
    <x v="0"/>
  </r>
  <r>
    <n v="44979726175"/>
    <n v="190"/>
    <d v="2034-09-27T00:00:00"/>
    <s v=""/>
    <x v="3"/>
    <x v="0"/>
  </r>
  <r>
    <n v="98799290180"/>
    <n v="250"/>
    <d v="2034-09-27T00:00:00"/>
    <d v="2035-01-20T00:00:00"/>
    <x v="3"/>
    <x v="8"/>
  </r>
  <r>
    <n v="66127955426"/>
    <n v="277"/>
    <d v="2034-09-27T00:00:00"/>
    <s v=""/>
    <x v="3"/>
    <x v="0"/>
  </r>
  <r>
    <n v="23371146990"/>
    <n v="279"/>
    <d v="2034-09-27T00:00:00"/>
    <d v="2034-10-23T00:00:00"/>
    <x v="3"/>
    <x v="5"/>
  </r>
  <r>
    <n v="55454832640"/>
    <n v="279"/>
    <d v="2034-09-27T00:00:00"/>
    <s v=""/>
    <x v="3"/>
    <x v="0"/>
  </r>
  <r>
    <n v="33373886699"/>
    <n v="296"/>
    <d v="2034-09-27T00:00:00"/>
    <s v=""/>
    <x v="3"/>
    <x v="0"/>
  </r>
  <r>
    <n v="82858595487"/>
    <n v="299"/>
    <d v="2034-09-27T00:00:00"/>
    <s v=""/>
    <x v="3"/>
    <x v="0"/>
  </r>
  <r>
    <n v="65489541317"/>
    <n v="333"/>
    <d v="2034-09-27T00:00:00"/>
    <s v=""/>
    <x v="3"/>
    <x v="0"/>
  </r>
  <r>
    <n v="84486350696"/>
    <n v="7"/>
    <d v="2034-09-28T00:00:00"/>
    <d v="2034-12-09T00:00:00"/>
    <x v="3"/>
    <x v="7"/>
  </r>
  <r>
    <n v="76082241743"/>
    <n v="9"/>
    <d v="2034-09-28T00:00:00"/>
    <s v=""/>
    <x v="3"/>
    <x v="0"/>
  </r>
  <r>
    <n v="68447334639"/>
    <n v="18"/>
    <d v="2034-09-28T00:00:00"/>
    <s v=""/>
    <x v="3"/>
    <x v="0"/>
  </r>
  <r>
    <n v="65716753048"/>
    <n v="21"/>
    <d v="2034-09-28T00:00:00"/>
    <s v=""/>
    <x v="3"/>
    <x v="0"/>
  </r>
  <r>
    <n v="20088441224"/>
    <n v="23"/>
    <d v="2034-09-28T00:00:00"/>
    <s v=""/>
    <x v="3"/>
    <x v="0"/>
  </r>
  <r>
    <n v="60351982988"/>
    <n v="29"/>
    <d v="2034-09-28T00:00:00"/>
    <d v="2034-10-15T00:00:00"/>
    <x v="3"/>
    <x v="5"/>
  </r>
  <r>
    <n v="24362204197"/>
    <n v="57"/>
    <d v="2034-09-28T00:00:00"/>
    <d v="2034-11-07T00:00:00"/>
    <x v="3"/>
    <x v="6"/>
  </r>
  <r>
    <n v="31874220377"/>
    <n v="81"/>
    <d v="2034-09-28T00:00:00"/>
    <s v=""/>
    <x v="3"/>
    <x v="0"/>
  </r>
  <r>
    <n v="45049285307"/>
    <n v="86"/>
    <d v="2034-09-28T00:00:00"/>
    <s v=""/>
    <x v="3"/>
    <x v="0"/>
  </r>
  <r>
    <n v="18327079432"/>
    <n v="88"/>
    <d v="2034-09-28T00:00:00"/>
    <s v=""/>
    <x v="3"/>
    <x v="0"/>
  </r>
  <r>
    <n v="32912210785"/>
    <n v="96"/>
    <d v="2034-09-28T00:00:00"/>
    <s v=""/>
    <x v="3"/>
    <x v="0"/>
  </r>
  <r>
    <n v="59995538251"/>
    <n v="97"/>
    <d v="2034-09-28T00:00:00"/>
    <d v="2034-12-01T00:00:00"/>
    <x v="3"/>
    <x v="7"/>
  </r>
  <r>
    <n v="58187668003"/>
    <n v="109"/>
    <d v="2034-09-28T00:00:00"/>
    <d v="2034-12-17T00:00:00"/>
    <x v="3"/>
    <x v="7"/>
  </r>
  <r>
    <n v="54153504772"/>
    <n v="112"/>
    <d v="2034-09-28T00:00:00"/>
    <s v=""/>
    <x v="3"/>
    <x v="0"/>
  </r>
  <r>
    <n v="92610926962"/>
    <n v="123"/>
    <d v="2034-09-28T00:00:00"/>
    <d v="2034-12-01T00:00:00"/>
    <x v="3"/>
    <x v="7"/>
  </r>
  <r>
    <n v="81091356532"/>
    <n v="142"/>
    <d v="2034-09-28T00:00:00"/>
    <d v="2034-12-18T00:00:00"/>
    <x v="3"/>
    <x v="7"/>
  </r>
  <r>
    <n v="84337409319"/>
    <n v="147"/>
    <d v="2034-09-28T00:00:00"/>
    <d v="2034-12-12T00:00:00"/>
    <x v="3"/>
    <x v="7"/>
  </r>
  <r>
    <n v="74216066700"/>
    <n v="168"/>
    <d v="2034-09-28T00:00:00"/>
    <d v="2034-12-01T00:00:00"/>
    <x v="3"/>
    <x v="7"/>
  </r>
  <r>
    <n v="43758527633"/>
    <n v="183"/>
    <d v="2034-09-28T00:00:00"/>
    <s v=""/>
    <x v="3"/>
    <x v="0"/>
  </r>
  <r>
    <n v="49451360558"/>
    <n v="252"/>
    <d v="2034-09-28T00:00:00"/>
    <s v=""/>
    <x v="3"/>
    <x v="0"/>
  </r>
  <r>
    <n v="90817937463"/>
    <n v="261"/>
    <d v="2034-09-28T00:00:00"/>
    <s v=""/>
    <x v="3"/>
    <x v="0"/>
  </r>
  <r>
    <n v="19622900639"/>
    <n v="299"/>
    <d v="2034-09-28T00:00:00"/>
    <s v=""/>
    <x v="3"/>
    <x v="0"/>
  </r>
  <r>
    <n v="54482356403"/>
    <n v="319"/>
    <d v="2034-09-28T00:00:00"/>
    <s v=""/>
    <x v="3"/>
    <x v="0"/>
  </r>
  <r>
    <n v="61640327601"/>
    <n v="323"/>
    <d v="2034-09-28T00:00:00"/>
    <s v=""/>
    <x v="3"/>
    <x v="0"/>
  </r>
  <r>
    <n v="69212806135"/>
    <n v="338"/>
    <d v="2034-09-28T00:00:00"/>
    <s v=""/>
    <x v="3"/>
    <x v="0"/>
  </r>
  <r>
    <n v="28067257069"/>
    <n v="60"/>
    <d v="2034-09-29T00:00:00"/>
    <s v=""/>
    <x v="3"/>
    <x v="0"/>
  </r>
  <r>
    <n v="34284658184"/>
    <n v="67"/>
    <d v="2034-09-29T00:00:00"/>
    <s v=""/>
    <x v="3"/>
    <x v="0"/>
  </r>
  <r>
    <n v="47565690542"/>
    <n v="77"/>
    <d v="2034-09-29T00:00:00"/>
    <d v="2034-12-07T00:00:00"/>
    <x v="3"/>
    <x v="7"/>
  </r>
  <r>
    <n v="75421384146"/>
    <n v="89"/>
    <d v="2034-09-29T00:00:00"/>
    <d v="2034-11-24T00:00:00"/>
    <x v="3"/>
    <x v="6"/>
  </r>
  <r>
    <n v="36346301253"/>
    <n v="137"/>
    <d v="2034-09-29T00:00:00"/>
    <m/>
    <x v="3"/>
    <x v="0"/>
  </r>
  <r>
    <n v="58577217764"/>
    <n v="168"/>
    <d v="2034-09-29T00:00:00"/>
    <s v=""/>
    <x v="3"/>
    <x v="0"/>
  </r>
  <r>
    <n v="65975997602"/>
    <n v="190"/>
    <d v="2034-09-29T00:00:00"/>
    <s v=""/>
    <x v="3"/>
    <x v="0"/>
  </r>
  <r>
    <n v="77711612648"/>
    <n v="192"/>
    <d v="2034-09-29T00:00:00"/>
    <s v=""/>
    <x v="3"/>
    <x v="0"/>
  </r>
  <r>
    <n v="45966911405"/>
    <n v="225"/>
    <d v="2034-09-29T00:00:00"/>
    <s v=""/>
    <x v="3"/>
    <x v="0"/>
  </r>
  <r>
    <n v="87785933971"/>
    <n v="231"/>
    <d v="2034-09-29T00:00:00"/>
    <s v=""/>
    <x v="3"/>
    <x v="0"/>
  </r>
  <r>
    <n v="57694420308"/>
    <n v="238"/>
    <d v="2034-09-29T00:00:00"/>
    <s v=""/>
    <x v="3"/>
    <x v="0"/>
  </r>
  <r>
    <n v="18285494853"/>
    <n v="247"/>
    <d v="2034-09-29T00:00:00"/>
    <s v=""/>
    <x v="3"/>
    <x v="0"/>
  </r>
  <r>
    <n v="22885403006"/>
    <n v="254"/>
    <d v="2034-09-29T00:00:00"/>
    <d v="2034-12-29T00:00:00"/>
    <x v="3"/>
    <x v="7"/>
  </r>
  <r>
    <n v="31136056849"/>
    <n v="295"/>
    <d v="2034-09-29T00:00:00"/>
    <s v=""/>
    <x v="3"/>
    <x v="0"/>
  </r>
  <r>
    <n v="28605600659"/>
    <n v="309"/>
    <d v="2034-09-29T00:00:00"/>
    <s v=""/>
    <x v="3"/>
    <x v="0"/>
  </r>
  <r>
    <n v="78067929214"/>
    <n v="318"/>
    <d v="2034-09-29T00:00:00"/>
    <s v=""/>
    <x v="3"/>
    <x v="0"/>
  </r>
  <r>
    <n v="52355039646"/>
    <n v="335"/>
    <d v="2034-09-29T00:00:00"/>
    <m/>
    <x v="3"/>
    <x v="0"/>
  </r>
  <r>
    <n v="33791606558"/>
    <n v="16"/>
    <d v="2034-09-30T00:00:00"/>
    <s v=""/>
    <x v="3"/>
    <x v="0"/>
  </r>
  <r>
    <n v="46973442612"/>
    <n v="23"/>
    <d v="2034-09-30T00:00:00"/>
    <s v=""/>
    <x v="3"/>
    <x v="0"/>
  </r>
  <r>
    <n v="18128439461"/>
    <n v="24"/>
    <d v="2034-09-30T00:00:00"/>
    <m/>
    <x v="3"/>
    <x v="0"/>
  </r>
  <r>
    <n v="59821786991"/>
    <n v="26"/>
    <d v="2034-09-30T00:00:00"/>
    <s v=""/>
    <x v="3"/>
    <x v="0"/>
  </r>
  <r>
    <n v="46448535308"/>
    <n v="26"/>
    <d v="2034-09-30T00:00:00"/>
    <s v=""/>
    <x v="3"/>
    <x v="0"/>
  </r>
  <r>
    <n v="56968658767"/>
    <n v="70"/>
    <d v="2034-09-30T00:00:00"/>
    <s v=""/>
    <x v="3"/>
    <x v="0"/>
  </r>
  <r>
    <n v="78664396183"/>
    <n v="85"/>
    <d v="2034-09-30T00:00:00"/>
    <d v="2035-01-17T00:00:00"/>
    <x v="3"/>
    <x v="8"/>
  </r>
  <r>
    <n v="95753349189"/>
    <n v="96"/>
    <d v="2034-09-30T00:00:00"/>
    <s v=""/>
    <x v="3"/>
    <x v="0"/>
  </r>
  <r>
    <n v="61422132390"/>
    <n v="121"/>
    <d v="2034-09-30T00:00:00"/>
    <s v=""/>
    <x v="3"/>
    <x v="0"/>
  </r>
  <r>
    <n v="65329630584"/>
    <n v="124"/>
    <d v="2034-09-30T00:00:00"/>
    <d v="2035-01-21T00:00:00"/>
    <x v="3"/>
    <x v="8"/>
  </r>
  <r>
    <n v="95360883733"/>
    <n v="148"/>
    <d v="2034-09-30T00:00:00"/>
    <s v=""/>
    <x v="3"/>
    <x v="0"/>
  </r>
  <r>
    <n v="17136211460"/>
    <n v="151"/>
    <d v="2034-09-30T00:00:00"/>
    <d v="2035-01-24T00:00:00"/>
    <x v="3"/>
    <x v="8"/>
  </r>
  <r>
    <n v="52759659306"/>
    <n v="183"/>
    <d v="2034-09-30T00:00:00"/>
    <s v=""/>
    <x v="3"/>
    <x v="0"/>
  </r>
  <r>
    <n v="59719210584"/>
    <n v="207"/>
    <d v="2034-09-30T00:00:00"/>
    <s v=""/>
    <x v="3"/>
    <x v="0"/>
  </r>
  <r>
    <n v="51081359511"/>
    <n v="238"/>
    <d v="2034-09-30T00:00:00"/>
    <s v=""/>
    <x v="3"/>
    <x v="0"/>
  </r>
  <r>
    <n v="40475278000"/>
    <n v="274"/>
    <d v="2034-09-30T00:00:00"/>
    <d v="2034-12-31T00:00:00"/>
    <x v="3"/>
    <x v="7"/>
  </r>
  <r>
    <n v="16611832456"/>
    <n v="290"/>
    <d v="2034-09-30T00:00:00"/>
    <s v=""/>
    <x v="3"/>
    <x v="0"/>
  </r>
  <r>
    <n v="57004518261"/>
    <n v="302"/>
    <d v="2034-09-30T00:00:00"/>
    <s v=""/>
    <x v="3"/>
    <x v="0"/>
  </r>
  <r>
    <n v="92857212951"/>
    <n v="312"/>
    <d v="2034-09-30T00:00:00"/>
    <d v="2034-10-22T00:00:00"/>
    <x v="3"/>
    <x v="5"/>
  </r>
  <r>
    <n v="85188640163"/>
    <n v="317"/>
    <d v="2034-09-30T00:00:00"/>
    <s v=""/>
    <x v="3"/>
    <x v="0"/>
  </r>
  <r>
    <n v="37913350962"/>
    <n v="320"/>
    <d v="2034-09-30T00:00:00"/>
    <s v=""/>
    <x v="3"/>
    <x v="0"/>
  </r>
  <r>
    <n v="74745671375"/>
    <n v="340"/>
    <d v="2034-09-30T00:00:00"/>
    <d v="2035-01-13T00:00:00"/>
    <x v="3"/>
    <x v="8"/>
  </r>
  <r>
    <n v="31685208410"/>
    <n v="41"/>
    <d v="2034-10-01T00:00:00"/>
    <d v="2034-10-20T00:00:00"/>
    <x v="4"/>
    <x v="5"/>
  </r>
  <r>
    <n v="62080586561"/>
    <n v="48"/>
    <d v="2034-10-01T00:00:00"/>
    <d v="2035-01-04T00:00:00"/>
    <x v="4"/>
    <x v="8"/>
  </r>
  <r>
    <n v="60333257748"/>
    <n v="65"/>
    <d v="2034-10-01T00:00:00"/>
    <s v=""/>
    <x v="4"/>
    <x v="0"/>
  </r>
  <r>
    <n v="34135677104"/>
    <n v="69"/>
    <d v="2034-10-01T00:00:00"/>
    <s v=""/>
    <x v="4"/>
    <x v="0"/>
  </r>
  <r>
    <n v="70266681790"/>
    <n v="81"/>
    <d v="2034-10-01T00:00:00"/>
    <d v="2034-11-11T00:00:00"/>
    <x v="4"/>
    <x v="6"/>
  </r>
  <r>
    <n v="73161937694"/>
    <n v="97"/>
    <d v="2034-10-01T00:00:00"/>
    <s v=""/>
    <x v="4"/>
    <x v="0"/>
  </r>
  <r>
    <n v="15049825238"/>
    <n v="111"/>
    <d v="2034-10-01T00:00:00"/>
    <s v=""/>
    <x v="4"/>
    <x v="0"/>
  </r>
  <r>
    <n v="65343017170"/>
    <n v="117"/>
    <d v="2034-10-01T00:00:00"/>
    <s v=""/>
    <x v="4"/>
    <x v="0"/>
  </r>
  <r>
    <n v="92222289798"/>
    <n v="120"/>
    <d v="2034-10-01T00:00:00"/>
    <s v=""/>
    <x v="4"/>
    <x v="0"/>
  </r>
  <r>
    <n v="36190466650"/>
    <n v="138"/>
    <d v="2034-10-01T00:00:00"/>
    <s v=""/>
    <x v="4"/>
    <x v="0"/>
  </r>
  <r>
    <n v="79984531554"/>
    <n v="149"/>
    <d v="2034-10-01T00:00:00"/>
    <s v=""/>
    <x v="4"/>
    <x v="0"/>
  </r>
  <r>
    <n v="79034727071"/>
    <n v="161"/>
    <d v="2034-10-01T00:00:00"/>
    <s v=""/>
    <x v="4"/>
    <x v="0"/>
  </r>
  <r>
    <n v="88904755265"/>
    <n v="164"/>
    <d v="2034-10-01T00:00:00"/>
    <s v=""/>
    <x v="4"/>
    <x v="0"/>
  </r>
  <r>
    <n v="68963250817"/>
    <n v="164"/>
    <d v="2034-10-01T00:00:00"/>
    <s v=""/>
    <x v="4"/>
    <x v="0"/>
  </r>
  <r>
    <n v="54620541972"/>
    <n v="180"/>
    <d v="2034-10-01T00:00:00"/>
    <s v=""/>
    <x v="4"/>
    <x v="0"/>
  </r>
  <r>
    <n v="34975527403"/>
    <n v="288"/>
    <d v="2034-10-01T00:00:00"/>
    <d v="2034-12-31T00:00:00"/>
    <x v="4"/>
    <x v="7"/>
  </r>
  <r>
    <n v="88985442349"/>
    <n v="297"/>
    <d v="2034-10-01T00:00:00"/>
    <s v=""/>
    <x v="4"/>
    <x v="0"/>
  </r>
  <r>
    <n v="70586292878"/>
    <n v="301"/>
    <d v="2034-10-01T00:00:00"/>
    <s v=""/>
    <x v="4"/>
    <x v="0"/>
  </r>
  <r>
    <n v="29607532301"/>
    <n v="303"/>
    <d v="2034-10-01T00:00:00"/>
    <s v=""/>
    <x v="4"/>
    <x v="0"/>
  </r>
  <r>
    <n v="81588566520"/>
    <n v="315"/>
    <d v="2034-10-01T00:00:00"/>
    <s v=""/>
    <x v="4"/>
    <x v="0"/>
  </r>
  <r>
    <n v="74745934023"/>
    <n v="317"/>
    <d v="2034-10-01T00:00:00"/>
    <s v=""/>
    <x v="4"/>
    <x v="0"/>
  </r>
  <r>
    <n v="78640464087"/>
    <n v="317"/>
    <d v="2034-10-01T00:00:00"/>
    <d v="2035-01-16T00:00:00"/>
    <x v="4"/>
    <x v="8"/>
  </r>
  <r>
    <n v="60650446474"/>
    <n v="320"/>
    <d v="2034-10-01T00:00:00"/>
    <d v="2034-12-11T00:00:00"/>
    <x v="4"/>
    <x v="7"/>
  </r>
  <r>
    <n v="36937495184"/>
    <n v="326"/>
    <d v="2034-10-01T00:00:00"/>
    <s v=""/>
    <x v="4"/>
    <x v="0"/>
  </r>
  <r>
    <n v="64613616072"/>
    <n v="0"/>
    <d v="2034-10-02T00:00:00"/>
    <d v="2034-11-20T00:00:00"/>
    <x v="4"/>
    <x v="6"/>
  </r>
  <r>
    <n v="34476946544"/>
    <n v="8"/>
    <d v="2034-10-02T00:00:00"/>
    <s v=""/>
    <x v="4"/>
    <x v="0"/>
  </r>
  <r>
    <n v="34357081515"/>
    <n v="18"/>
    <d v="2034-10-02T00:00:00"/>
    <d v="2035-01-17T00:00:00"/>
    <x v="4"/>
    <x v="8"/>
  </r>
  <r>
    <n v="59614889926"/>
    <n v="19"/>
    <d v="2034-10-02T00:00:00"/>
    <s v=""/>
    <x v="4"/>
    <x v="0"/>
  </r>
  <r>
    <n v="90556119079"/>
    <n v="33"/>
    <d v="2034-10-02T00:00:00"/>
    <d v="2034-11-23T00:00:00"/>
    <x v="4"/>
    <x v="6"/>
  </r>
  <r>
    <n v="87537082431"/>
    <n v="43"/>
    <d v="2034-10-02T00:00:00"/>
    <d v="2034-11-21T00:00:00"/>
    <x v="4"/>
    <x v="6"/>
  </r>
  <r>
    <n v="74787910243"/>
    <n v="49"/>
    <d v="2034-10-02T00:00:00"/>
    <s v=""/>
    <x v="4"/>
    <x v="0"/>
  </r>
  <r>
    <n v="64105522125"/>
    <n v="95"/>
    <d v="2034-10-02T00:00:00"/>
    <d v="2035-01-05T00:00:00"/>
    <x v="4"/>
    <x v="8"/>
  </r>
  <r>
    <n v="65087052025"/>
    <n v="118"/>
    <d v="2034-10-02T00:00:00"/>
    <s v=""/>
    <x v="4"/>
    <x v="0"/>
  </r>
  <r>
    <n v="57343594933"/>
    <n v="119"/>
    <d v="2034-10-02T00:00:00"/>
    <s v=""/>
    <x v="4"/>
    <x v="0"/>
  </r>
  <r>
    <n v="63035551017"/>
    <n v="149"/>
    <d v="2034-10-02T00:00:00"/>
    <d v="2034-12-06T00:00:00"/>
    <x v="4"/>
    <x v="7"/>
  </r>
  <r>
    <n v="81375624905"/>
    <n v="170"/>
    <d v="2034-10-02T00:00:00"/>
    <s v=""/>
    <x v="4"/>
    <x v="0"/>
  </r>
  <r>
    <n v="70002133541"/>
    <n v="170"/>
    <d v="2034-10-02T00:00:00"/>
    <d v="2034-12-22T00:00:00"/>
    <x v="4"/>
    <x v="7"/>
  </r>
  <r>
    <n v="15110517907"/>
    <n v="189"/>
    <d v="2034-10-02T00:00:00"/>
    <s v=""/>
    <x v="4"/>
    <x v="0"/>
  </r>
  <r>
    <n v="82614362556"/>
    <n v="192"/>
    <d v="2034-10-02T00:00:00"/>
    <s v=""/>
    <x v="4"/>
    <x v="0"/>
  </r>
  <r>
    <n v="90280762469"/>
    <n v="211"/>
    <d v="2034-10-02T00:00:00"/>
    <s v=""/>
    <x v="4"/>
    <x v="0"/>
  </r>
  <r>
    <n v="89931160570"/>
    <n v="230"/>
    <d v="2034-10-02T00:00:00"/>
    <s v=""/>
    <x v="4"/>
    <x v="0"/>
  </r>
  <r>
    <n v="82760802054"/>
    <n v="239"/>
    <d v="2034-10-02T00:00:00"/>
    <s v=""/>
    <x v="4"/>
    <x v="0"/>
  </r>
  <r>
    <n v="19065228033"/>
    <n v="267"/>
    <d v="2034-10-02T00:00:00"/>
    <s v=""/>
    <x v="4"/>
    <x v="0"/>
  </r>
  <r>
    <n v="56935189482"/>
    <n v="308"/>
    <d v="2034-10-02T00:00:00"/>
    <m/>
    <x v="4"/>
    <x v="0"/>
  </r>
  <r>
    <n v="58796466481"/>
    <n v="324"/>
    <d v="2034-10-02T00:00:00"/>
    <d v="2034-12-19T00:00:00"/>
    <x v="4"/>
    <x v="7"/>
  </r>
  <r>
    <n v="56352367597"/>
    <n v="325"/>
    <d v="2034-10-02T00:00:00"/>
    <s v=""/>
    <x v="4"/>
    <x v="0"/>
  </r>
  <r>
    <n v="96359961287"/>
    <n v="326"/>
    <d v="2034-10-02T00:00:00"/>
    <s v=""/>
    <x v="4"/>
    <x v="0"/>
  </r>
  <r>
    <n v="72828981104"/>
    <n v="334"/>
    <d v="2034-10-02T00:00:00"/>
    <s v=""/>
    <x v="4"/>
    <x v="0"/>
  </r>
  <r>
    <n v="80238258917"/>
    <n v="4"/>
    <d v="2034-10-03T00:00:00"/>
    <d v="2035-01-01T00:00:00"/>
    <x v="4"/>
    <x v="8"/>
  </r>
  <r>
    <n v="56662805953"/>
    <n v="28"/>
    <d v="2034-10-03T00:00:00"/>
    <s v=""/>
    <x v="4"/>
    <x v="0"/>
  </r>
  <r>
    <n v="67570902592"/>
    <n v="64"/>
    <d v="2034-10-03T00:00:00"/>
    <s v=""/>
    <x v="4"/>
    <x v="0"/>
  </r>
  <r>
    <n v="23680690339"/>
    <n v="98"/>
    <d v="2034-10-03T00:00:00"/>
    <s v=""/>
    <x v="4"/>
    <x v="0"/>
  </r>
  <r>
    <n v="89643518465"/>
    <n v="99"/>
    <d v="2034-10-03T00:00:00"/>
    <s v=""/>
    <x v="4"/>
    <x v="0"/>
  </r>
  <r>
    <n v="29482372589"/>
    <n v="122"/>
    <d v="2034-10-03T00:00:00"/>
    <s v=""/>
    <x v="4"/>
    <x v="0"/>
  </r>
  <r>
    <n v="54176670207"/>
    <n v="127"/>
    <d v="2034-10-03T00:00:00"/>
    <s v=""/>
    <x v="4"/>
    <x v="0"/>
  </r>
  <r>
    <n v="70209876982"/>
    <n v="129"/>
    <d v="2034-10-03T00:00:00"/>
    <d v="2034-12-01T00:00:00"/>
    <x v="4"/>
    <x v="7"/>
  </r>
  <r>
    <n v="56922942366"/>
    <n v="131"/>
    <d v="2034-10-03T00:00:00"/>
    <s v=""/>
    <x v="4"/>
    <x v="0"/>
  </r>
  <r>
    <n v="49090380769"/>
    <n v="162"/>
    <d v="2034-10-03T00:00:00"/>
    <s v=""/>
    <x v="4"/>
    <x v="0"/>
  </r>
  <r>
    <n v="65885575518"/>
    <n v="191"/>
    <d v="2034-10-03T00:00:00"/>
    <s v=""/>
    <x v="4"/>
    <x v="0"/>
  </r>
  <r>
    <n v="90864196169"/>
    <n v="193"/>
    <d v="2034-10-03T00:00:00"/>
    <d v="2034-11-29T00:00:00"/>
    <x v="4"/>
    <x v="6"/>
  </r>
  <r>
    <n v="74062163234"/>
    <n v="205"/>
    <d v="2034-10-03T00:00:00"/>
    <s v=""/>
    <x v="4"/>
    <x v="0"/>
  </r>
  <r>
    <n v="94201536105"/>
    <n v="228"/>
    <d v="2034-10-03T00:00:00"/>
    <s v=""/>
    <x v="4"/>
    <x v="0"/>
  </r>
  <r>
    <n v="41433086614"/>
    <n v="228"/>
    <d v="2034-10-03T00:00:00"/>
    <d v="2035-01-13T00:00:00"/>
    <x v="4"/>
    <x v="8"/>
  </r>
  <r>
    <n v="71194139658"/>
    <n v="235"/>
    <d v="2034-10-03T00:00:00"/>
    <s v=""/>
    <x v="4"/>
    <x v="0"/>
  </r>
  <r>
    <n v="99946012111"/>
    <n v="293"/>
    <d v="2034-10-03T00:00:00"/>
    <d v="2035-01-15T00:00:00"/>
    <x v="4"/>
    <x v="8"/>
  </r>
  <r>
    <n v="64497290028"/>
    <n v="325"/>
    <d v="2034-10-03T00:00:00"/>
    <s v=""/>
    <x v="4"/>
    <x v="0"/>
  </r>
  <r>
    <n v="45958977953"/>
    <n v="336"/>
    <d v="2034-10-03T00:00:00"/>
    <s v=""/>
    <x v="4"/>
    <x v="0"/>
  </r>
  <r>
    <n v="96602816744"/>
    <n v="340"/>
    <d v="2034-10-03T00:00:00"/>
    <s v=""/>
    <x v="4"/>
    <x v="0"/>
  </r>
  <r>
    <n v="96397077767"/>
    <n v="4"/>
    <d v="2034-10-04T00:00:00"/>
    <s v=""/>
    <x v="4"/>
    <x v="0"/>
  </r>
  <r>
    <n v="31904705093"/>
    <n v="6"/>
    <d v="2034-10-04T00:00:00"/>
    <s v=""/>
    <x v="4"/>
    <x v="0"/>
  </r>
  <r>
    <n v="62839303478"/>
    <n v="14"/>
    <d v="2034-10-04T00:00:00"/>
    <s v=""/>
    <x v="4"/>
    <x v="0"/>
  </r>
  <r>
    <n v="43644263831"/>
    <n v="20"/>
    <d v="2034-10-04T00:00:00"/>
    <s v=""/>
    <x v="4"/>
    <x v="0"/>
  </r>
  <r>
    <n v="34766189472"/>
    <n v="41"/>
    <d v="2034-10-04T00:00:00"/>
    <s v=""/>
    <x v="4"/>
    <x v="0"/>
  </r>
  <r>
    <n v="51972542139"/>
    <n v="92"/>
    <d v="2034-10-04T00:00:00"/>
    <s v=""/>
    <x v="4"/>
    <x v="0"/>
  </r>
  <r>
    <n v="59968263580"/>
    <n v="99"/>
    <d v="2034-10-04T00:00:00"/>
    <s v=""/>
    <x v="4"/>
    <x v="0"/>
  </r>
  <r>
    <n v="86960727353"/>
    <n v="115"/>
    <d v="2034-10-04T00:00:00"/>
    <d v="2035-01-26T00:00:00"/>
    <x v="4"/>
    <x v="8"/>
  </r>
  <r>
    <n v="87051335657"/>
    <n v="118"/>
    <d v="2034-10-04T00:00:00"/>
    <d v="2035-01-26T00:00:00"/>
    <x v="4"/>
    <x v="8"/>
  </r>
  <r>
    <n v="35797581735"/>
    <n v="145"/>
    <d v="2034-10-04T00:00:00"/>
    <s v=""/>
    <x v="4"/>
    <x v="0"/>
  </r>
  <r>
    <n v="78857189707"/>
    <n v="163"/>
    <d v="2034-10-04T00:00:00"/>
    <s v=""/>
    <x v="4"/>
    <x v="0"/>
  </r>
  <r>
    <n v="35244990534"/>
    <n v="167"/>
    <d v="2034-10-04T00:00:00"/>
    <s v=""/>
    <x v="4"/>
    <x v="0"/>
  </r>
  <r>
    <n v="25391374490"/>
    <n v="177"/>
    <d v="2034-10-04T00:00:00"/>
    <s v=""/>
    <x v="4"/>
    <x v="0"/>
  </r>
  <r>
    <n v="97872336105"/>
    <n v="195"/>
    <d v="2034-10-04T00:00:00"/>
    <s v=""/>
    <x v="4"/>
    <x v="0"/>
  </r>
  <r>
    <n v="58164605794"/>
    <n v="215"/>
    <d v="2034-10-04T00:00:00"/>
    <s v=""/>
    <x v="4"/>
    <x v="0"/>
  </r>
  <r>
    <n v="57862725009"/>
    <n v="222"/>
    <d v="2034-10-04T00:00:00"/>
    <s v=""/>
    <x v="4"/>
    <x v="0"/>
  </r>
  <r>
    <n v="22940870009"/>
    <n v="223"/>
    <d v="2034-10-04T00:00:00"/>
    <s v=""/>
    <x v="4"/>
    <x v="0"/>
  </r>
  <r>
    <n v="84746570079"/>
    <n v="233"/>
    <d v="2034-10-04T00:00:00"/>
    <d v="2034-11-28T00:00:00"/>
    <x v="4"/>
    <x v="6"/>
  </r>
  <r>
    <n v="33426858919"/>
    <n v="233"/>
    <d v="2034-10-04T00:00:00"/>
    <s v=""/>
    <x v="4"/>
    <x v="0"/>
  </r>
  <r>
    <n v="51109963282"/>
    <n v="267"/>
    <d v="2034-10-04T00:00:00"/>
    <s v=""/>
    <x v="4"/>
    <x v="0"/>
  </r>
  <r>
    <n v="58212405077"/>
    <n v="0"/>
    <d v="2034-10-05T00:00:00"/>
    <s v=""/>
    <x v="4"/>
    <x v="0"/>
  </r>
  <r>
    <n v="66448161871"/>
    <n v="2"/>
    <d v="2034-10-05T00:00:00"/>
    <s v=""/>
    <x v="4"/>
    <x v="0"/>
  </r>
  <r>
    <n v="19727163711"/>
    <n v="76"/>
    <d v="2034-10-05T00:00:00"/>
    <d v="2034-10-25T00:00:00"/>
    <x v="4"/>
    <x v="5"/>
  </r>
  <r>
    <n v="32417274520"/>
    <n v="116"/>
    <d v="2034-10-05T00:00:00"/>
    <d v="2035-01-12T00:00:00"/>
    <x v="4"/>
    <x v="8"/>
  </r>
  <r>
    <n v="75506101587"/>
    <n v="153"/>
    <d v="2034-10-05T00:00:00"/>
    <s v=""/>
    <x v="4"/>
    <x v="0"/>
  </r>
  <r>
    <n v="25371630028"/>
    <n v="164"/>
    <d v="2034-10-05T00:00:00"/>
    <s v=""/>
    <x v="4"/>
    <x v="0"/>
  </r>
  <r>
    <n v="28605671830"/>
    <n v="189"/>
    <d v="2034-10-05T00:00:00"/>
    <s v=""/>
    <x v="4"/>
    <x v="0"/>
  </r>
  <r>
    <n v="93564386691"/>
    <n v="193"/>
    <d v="2034-10-05T00:00:00"/>
    <s v=""/>
    <x v="4"/>
    <x v="0"/>
  </r>
  <r>
    <n v="25616960129"/>
    <n v="204"/>
    <d v="2034-10-05T00:00:00"/>
    <s v=""/>
    <x v="4"/>
    <x v="0"/>
  </r>
  <r>
    <n v="11144554065"/>
    <n v="204"/>
    <d v="2034-10-05T00:00:00"/>
    <d v="2034-12-19T00:00:00"/>
    <x v="4"/>
    <x v="7"/>
  </r>
  <r>
    <n v="43603144545"/>
    <n v="209"/>
    <d v="2034-10-05T00:00:00"/>
    <s v=""/>
    <x v="4"/>
    <x v="0"/>
  </r>
  <r>
    <n v="91193358546"/>
    <n v="212"/>
    <d v="2034-10-05T00:00:00"/>
    <d v="2034-12-04T00:00:00"/>
    <x v="4"/>
    <x v="7"/>
  </r>
  <r>
    <n v="36139501955"/>
    <n v="254"/>
    <d v="2034-10-05T00:00:00"/>
    <s v=""/>
    <x v="4"/>
    <x v="0"/>
  </r>
  <r>
    <n v="14555969825"/>
    <n v="277"/>
    <d v="2034-10-05T00:00:00"/>
    <d v="2034-12-10T00:00:00"/>
    <x v="4"/>
    <x v="7"/>
  </r>
  <r>
    <n v="59353316326"/>
    <n v="280"/>
    <d v="2034-10-05T00:00:00"/>
    <d v="2034-11-12T00:00:00"/>
    <x v="4"/>
    <x v="6"/>
  </r>
  <r>
    <n v="41971205795"/>
    <n v="319"/>
    <d v="2034-10-05T00:00:00"/>
    <d v="2034-11-02T00:00:00"/>
    <x v="4"/>
    <x v="6"/>
  </r>
  <r>
    <n v="46102833460"/>
    <n v="7"/>
    <d v="2034-10-06T00:00:00"/>
    <s v=""/>
    <x v="4"/>
    <x v="0"/>
  </r>
  <r>
    <n v="41586471581"/>
    <n v="22"/>
    <d v="2034-10-06T00:00:00"/>
    <d v="2035-01-27T00:00:00"/>
    <x v="4"/>
    <x v="8"/>
  </r>
  <r>
    <n v="74658431822"/>
    <n v="36"/>
    <d v="2034-10-06T00:00:00"/>
    <s v=""/>
    <x v="4"/>
    <x v="0"/>
  </r>
  <r>
    <n v="22966967367"/>
    <n v="37"/>
    <d v="2034-10-06T00:00:00"/>
    <d v="2034-10-10T00:00:00"/>
    <x v="4"/>
    <x v="5"/>
  </r>
  <r>
    <n v="20827397657"/>
    <n v="38"/>
    <d v="2034-10-06T00:00:00"/>
    <d v="2034-12-04T00:00:00"/>
    <x v="4"/>
    <x v="7"/>
  </r>
  <r>
    <n v="98516292889"/>
    <n v="55"/>
    <d v="2034-10-06T00:00:00"/>
    <s v=""/>
    <x v="4"/>
    <x v="0"/>
  </r>
  <r>
    <n v="79521546734"/>
    <n v="68"/>
    <d v="2034-10-06T00:00:00"/>
    <s v=""/>
    <x v="4"/>
    <x v="0"/>
  </r>
  <r>
    <n v="93078833188"/>
    <n v="80"/>
    <d v="2034-10-06T00:00:00"/>
    <s v=""/>
    <x v="4"/>
    <x v="0"/>
  </r>
  <r>
    <n v="49129927497"/>
    <n v="81"/>
    <d v="2034-10-06T00:00:00"/>
    <s v=""/>
    <x v="4"/>
    <x v="0"/>
  </r>
  <r>
    <n v="60800299232"/>
    <n v="93"/>
    <d v="2034-10-06T00:00:00"/>
    <s v=""/>
    <x v="4"/>
    <x v="0"/>
  </r>
  <r>
    <n v="74427240040"/>
    <n v="95"/>
    <d v="2034-10-06T00:00:00"/>
    <s v=""/>
    <x v="4"/>
    <x v="0"/>
  </r>
  <r>
    <n v="79786017157"/>
    <n v="117"/>
    <d v="2034-10-06T00:00:00"/>
    <m/>
    <x v="4"/>
    <x v="0"/>
  </r>
  <r>
    <n v="49832141580"/>
    <n v="117"/>
    <d v="2034-10-06T00:00:00"/>
    <s v=""/>
    <x v="4"/>
    <x v="0"/>
  </r>
  <r>
    <n v="28942893593"/>
    <n v="149"/>
    <d v="2034-10-06T00:00:00"/>
    <s v=""/>
    <x v="4"/>
    <x v="0"/>
  </r>
  <r>
    <n v="84679727108"/>
    <n v="154"/>
    <d v="2034-10-06T00:00:00"/>
    <s v=""/>
    <x v="4"/>
    <x v="0"/>
  </r>
  <r>
    <n v="33631181674"/>
    <n v="214"/>
    <d v="2034-10-06T00:00:00"/>
    <s v=""/>
    <x v="4"/>
    <x v="0"/>
  </r>
  <r>
    <n v="61661110358"/>
    <n v="217"/>
    <d v="2034-10-06T00:00:00"/>
    <s v=""/>
    <x v="4"/>
    <x v="0"/>
  </r>
  <r>
    <n v="59582244093"/>
    <n v="218"/>
    <d v="2034-10-06T00:00:00"/>
    <m/>
    <x v="4"/>
    <x v="0"/>
  </r>
  <r>
    <n v="58890378597"/>
    <n v="231"/>
    <d v="2034-10-06T00:00:00"/>
    <s v=""/>
    <x v="4"/>
    <x v="0"/>
  </r>
  <r>
    <n v="86451688347"/>
    <n v="269"/>
    <d v="2034-10-06T00:00:00"/>
    <s v=""/>
    <x v="4"/>
    <x v="0"/>
  </r>
  <r>
    <n v="29216232331"/>
    <n v="279"/>
    <d v="2034-10-06T00:00:00"/>
    <d v="2034-12-02T00:00:00"/>
    <x v="4"/>
    <x v="7"/>
  </r>
  <r>
    <n v="87343011752"/>
    <n v="299"/>
    <d v="2034-10-06T00:00:00"/>
    <s v=""/>
    <x v="4"/>
    <x v="0"/>
  </r>
  <r>
    <n v="25040747423"/>
    <n v="311"/>
    <d v="2034-10-06T00:00:00"/>
    <s v=""/>
    <x v="4"/>
    <x v="0"/>
  </r>
  <r>
    <n v="66637482579"/>
    <n v="312"/>
    <d v="2034-10-06T00:00:00"/>
    <d v="2034-10-26T00:00:00"/>
    <x v="4"/>
    <x v="5"/>
  </r>
  <r>
    <n v="94593918989"/>
    <n v="8"/>
    <d v="2034-10-07T00:00:00"/>
    <s v=""/>
    <x v="4"/>
    <x v="0"/>
  </r>
  <r>
    <n v="11897495697"/>
    <n v="33"/>
    <d v="2034-10-07T00:00:00"/>
    <s v=""/>
    <x v="4"/>
    <x v="0"/>
  </r>
  <r>
    <n v="80320348378"/>
    <n v="41"/>
    <d v="2034-10-07T00:00:00"/>
    <s v=""/>
    <x v="4"/>
    <x v="0"/>
  </r>
  <r>
    <n v="74831319817"/>
    <n v="52"/>
    <d v="2034-10-07T00:00:00"/>
    <s v=""/>
    <x v="4"/>
    <x v="0"/>
  </r>
  <r>
    <n v="31176471490"/>
    <n v="61"/>
    <d v="2034-10-07T00:00:00"/>
    <d v="2034-11-16T00:00:00"/>
    <x v="4"/>
    <x v="6"/>
  </r>
  <r>
    <n v="86447891542"/>
    <n v="72"/>
    <d v="2034-10-07T00:00:00"/>
    <d v="2034-10-11T00:00:00"/>
    <x v="4"/>
    <x v="5"/>
  </r>
  <r>
    <n v="51391777055"/>
    <n v="85"/>
    <d v="2034-10-07T00:00:00"/>
    <s v=""/>
    <x v="4"/>
    <x v="0"/>
  </r>
  <r>
    <n v="13223825461"/>
    <n v="88"/>
    <d v="2034-10-07T00:00:00"/>
    <s v=""/>
    <x v="4"/>
    <x v="0"/>
  </r>
  <r>
    <n v="40580513983"/>
    <n v="98"/>
    <d v="2034-10-07T00:00:00"/>
    <s v=""/>
    <x v="4"/>
    <x v="0"/>
  </r>
  <r>
    <n v="48810627404"/>
    <n v="138"/>
    <d v="2034-10-07T00:00:00"/>
    <s v=""/>
    <x v="4"/>
    <x v="0"/>
  </r>
  <r>
    <n v="90777250296"/>
    <n v="140"/>
    <d v="2034-10-07T00:00:00"/>
    <s v=""/>
    <x v="4"/>
    <x v="0"/>
  </r>
  <r>
    <n v="75056841591"/>
    <n v="147"/>
    <d v="2034-10-07T00:00:00"/>
    <s v=""/>
    <x v="4"/>
    <x v="0"/>
  </r>
  <r>
    <n v="21415062027"/>
    <n v="174"/>
    <d v="2034-10-07T00:00:00"/>
    <s v=""/>
    <x v="4"/>
    <x v="0"/>
  </r>
  <r>
    <n v="72672441699"/>
    <n v="203"/>
    <d v="2034-10-07T00:00:00"/>
    <s v=""/>
    <x v="4"/>
    <x v="0"/>
  </r>
  <r>
    <n v="90565800713"/>
    <n v="233"/>
    <d v="2034-10-07T00:00:00"/>
    <d v="2034-12-14T00:00:00"/>
    <x v="4"/>
    <x v="7"/>
  </r>
  <r>
    <n v="50749122838"/>
    <n v="248"/>
    <d v="2034-10-07T00:00:00"/>
    <s v=""/>
    <x v="4"/>
    <x v="0"/>
  </r>
  <r>
    <n v="31425042917"/>
    <n v="289"/>
    <d v="2034-10-07T00:00:00"/>
    <s v=""/>
    <x v="4"/>
    <x v="0"/>
  </r>
  <r>
    <n v="86136469918"/>
    <n v="7"/>
    <d v="2034-10-08T00:00:00"/>
    <s v=""/>
    <x v="4"/>
    <x v="0"/>
  </r>
  <r>
    <n v="58795463870"/>
    <n v="19"/>
    <d v="2034-10-08T00:00:00"/>
    <s v=""/>
    <x v="4"/>
    <x v="0"/>
  </r>
  <r>
    <n v="71595942425"/>
    <n v="30"/>
    <d v="2034-10-08T00:00:00"/>
    <s v=""/>
    <x v="4"/>
    <x v="0"/>
  </r>
  <r>
    <n v="47677680747"/>
    <n v="68"/>
    <d v="2034-10-08T00:00:00"/>
    <s v=""/>
    <x v="4"/>
    <x v="0"/>
  </r>
  <r>
    <n v="76458092751"/>
    <n v="105"/>
    <d v="2034-10-08T00:00:00"/>
    <s v=""/>
    <x v="4"/>
    <x v="0"/>
  </r>
  <r>
    <n v="87880617033"/>
    <n v="106"/>
    <d v="2034-10-08T00:00:00"/>
    <s v=""/>
    <x v="4"/>
    <x v="0"/>
  </r>
  <r>
    <n v="74049587347"/>
    <n v="115"/>
    <d v="2034-10-08T00:00:00"/>
    <s v=""/>
    <x v="4"/>
    <x v="0"/>
  </r>
  <r>
    <n v="14331031847"/>
    <n v="116"/>
    <d v="2034-10-08T00:00:00"/>
    <s v=""/>
    <x v="4"/>
    <x v="0"/>
  </r>
  <r>
    <n v="65106722886"/>
    <n v="160"/>
    <d v="2034-10-08T00:00:00"/>
    <s v=""/>
    <x v="4"/>
    <x v="0"/>
  </r>
  <r>
    <n v="79895244567"/>
    <n v="163"/>
    <d v="2034-10-08T00:00:00"/>
    <s v=""/>
    <x v="4"/>
    <x v="0"/>
  </r>
  <r>
    <n v="54198738770"/>
    <n v="181"/>
    <d v="2034-10-08T00:00:00"/>
    <s v=""/>
    <x v="4"/>
    <x v="0"/>
  </r>
  <r>
    <n v="23141217648"/>
    <n v="215"/>
    <d v="2034-10-08T00:00:00"/>
    <d v="2034-12-26T00:00:00"/>
    <x v="4"/>
    <x v="7"/>
  </r>
  <r>
    <n v="20144024440"/>
    <n v="217"/>
    <d v="2034-10-08T00:00:00"/>
    <s v=""/>
    <x v="4"/>
    <x v="0"/>
  </r>
  <r>
    <n v="36728286918"/>
    <n v="240"/>
    <d v="2034-10-08T00:00:00"/>
    <s v=""/>
    <x v="4"/>
    <x v="0"/>
  </r>
  <r>
    <n v="50007124650"/>
    <n v="303"/>
    <d v="2034-10-08T00:00:00"/>
    <d v="2034-11-07T00:00:00"/>
    <x v="4"/>
    <x v="6"/>
  </r>
  <r>
    <n v="16066737671"/>
    <n v="339"/>
    <d v="2034-10-08T00:00:00"/>
    <d v="2034-12-11T00:00:00"/>
    <x v="4"/>
    <x v="7"/>
  </r>
  <r>
    <n v="44106910953"/>
    <n v="12"/>
    <d v="2034-10-09T00:00:00"/>
    <s v=""/>
    <x v="4"/>
    <x v="0"/>
  </r>
  <r>
    <n v="25665894533"/>
    <n v="31"/>
    <d v="2034-10-09T00:00:00"/>
    <s v=""/>
    <x v="4"/>
    <x v="0"/>
  </r>
  <r>
    <n v="97108857956"/>
    <n v="39"/>
    <d v="2034-10-09T00:00:00"/>
    <s v=""/>
    <x v="4"/>
    <x v="0"/>
  </r>
  <r>
    <n v="24356434709"/>
    <n v="41"/>
    <d v="2034-10-09T00:00:00"/>
    <s v=""/>
    <x v="4"/>
    <x v="0"/>
  </r>
  <r>
    <n v="43254775717"/>
    <n v="48"/>
    <d v="2034-10-09T00:00:00"/>
    <d v="2034-11-17T00:00:00"/>
    <x v="4"/>
    <x v="6"/>
  </r>
  <r>
    <n v="47544028394"/>
    <n v="50"/>
    <d v="2034-10-09T00:00:00"/>
    <s v=""/>
    <x v="4"/>
    <x v="0"/>
  </r>
  <r>
    <n v="39864884085"/>
    <n v="51"/>
    <d v="2034-10-09T00:00:00"/>
    <s v=""/>
    <x v="4"/>
    <x v="0"/>
  </r>
  <r>
    <n v="83750227612"/>
    <n v="65"/>
    <d v="2034-10-09T00:00:00"/>
    <s v=""/>
    <x v="4"/>
    <x v="0"/>
  </r>
  <r>
    <n v="27036753322"/>
    <n v="67"/>
    <d v="2034-10-09T00:00:00"/>
    <s v=""/>
    <x v="4"/>
    <x v="0"/>
  </r>
  <r>
    <n v="40871778046"/>
    <n v="93"/>
    <d v="2034-10-09T00:00:00"/>
    <d v="2034-12-01T00:00:00"/>
    <x v="4"/>
    <x v="7"/>
  </r>
  <r>
    <n v="30745938497"/>
    <n v="112"/>
    <d v="2034-10-09T00:00:00"/>
    <s v=""/>
    <x v="4"/>
    <x v="0"/>
  </r>
  <r>
    <n v="27409862069"/>
    <n v="114"/>
    <d v="2034-10-09T00:00:00"/>
    <d v="2034-10-15T00:00:00"/>
    <x v="4"/>
    <x v="5"/>
  </r>
  <r>
    <n v="70308603299"/>
    <n v="122"/>
    <d v="2034-10-09T00:00:00"/>
    <s v=""/>
    <x v="4"/>
    <x v="0"/>
  </r>
  <r>
    <n v="44411226092"/>
    <n v="144"/>
    <d v="2034-10-09T00:00:00"/>
    <s v=""/>
    <x v="4"/>
    <x v="0"/>
  </r>
  <r>
    <n v="37386085875"/>
    <n v="145"/>
    <d v="2034-10-09T00:00:00"/>
    <s v=""/>
    <x v="4"/>
    <x v="0"/>
  </r>
  <r>
    <n v="55211319840"/>
    <n v="166"/>
    <d v="2034-10-09T00:00:00"/>
    <s v=""/>
    <x v="4"/>
    <x v="0"/>
  </r>
  <r>
    <n v="93563433498"/>
    <n v="176"/>
    <d v="2034-10-09T00:00:00"/>
    <s v=""/>
    <x v="4"/>
    <x v="0"/>
  </r>
  <r>
    <n v="21860552912"/>
    <n v="178"/>
    <d v="2034-10-09T00:00:00"/>
    <d v="2034-12-09T00:00:00"/>
    <x v="4"/>
    <x v="7"/>
  </r>
  <r>
    <n v="87391553579"/>
    <n v="180"/>
    <d v="2034-10-09T00:00:00"/>
    <d v="2034-11-15T00:00:00"/>
    <x v="4"/>
    <x v="6"/>
  </r>
  <r>
    <n v="69639747325"/>
    <n v="221"/>
    <d v="2034-10-09T00:00:00"/>
    <s v=""/>
    <x v="4"/>
    <x v="0"/>
  </r>
  <r>
    <n v="77189430694"/>
    <n v="228"/>
    <d v="2034-10-09T00:00:00"/>
    <s v=""/>
    <x v="4"/>
    <x v="0"/>
  </r>
  <r>
    <n v="20021576922"/>
    <n v="252"/>
    <d v="2034-10-09T00:00:00"/>
    <s v=""/>
    <x v="4"/>
    <x v="0"/>
  </r>
  <r>
    <n v="51512481662"/>
    <n v="255"/>
    <d v="2034-10-09T00:00:00"/>
    <d v="2034-12-05T00:00:00"/>
    <x v="4"/>
    <x v="7"/>
  </r>
  <r>
    <n v="71536634303"/>
    <n v="260"/>
    <d v="2034-10-09T00:00:00"/>
    <s v=""/>
    <x v="4"/>
    <x v="0"/>
  </r>
  <r>
    <n v="48078126332"/>
    <n v="262"/>
    <d v="2034-10-09T00:00:00"/>
    <d v="2034-10-18T00:00:00"/>
    <x v="4"/>
    <x v="5"/>
  </r>
  <r>
    <n v="26926238852"/>
    <n v="297"/>
    <d v="2034-10-09T00:00:00"/>
    <s v=""/>
    <x v="4"/>
    <x v="0"/>
  </r>
  <r>
    <n v="90446906440"/>
    <n v="302"/>
    <d v="2034-10-09T00:00:00"/>
    <s v=""/>
    <x v="4"/>
    <x v="0"/>
  </r>
  <r>
    <n v="21035935046"/>
    <n v="320"/>
    <d v="2034-10-09T00:00:00"/>
    <d v="2035-01-21T00:00:00"/>
    <x v="4"/>
    <x v="8"/>
  </r>
  <r>
    <n v="34615488171"/>
    <n v="320"/>
    <d v="2034-10-09T00:00:00"/>
    <s v=""/>
    <x v="4"/>
    <x v="0"/>
  </r>
  <r>
    <n v="23691049433"/>
    <n v="329"/>
    <d v="2034-10-09T00:00:00"/>
    <d v="2034-12-27T00:00:00"/>
    <x v="4"/>
    <x v="7"/>
  </r>
  <r>
    <n v="31410562647"/>
    <n v="18"/>
    <d v="2034-10-10T00:00:00"/>
    <s v=""/>
    <x v="4"/>
    <x v="0"/>
  </r>
  <r>
    <n v="28969603526"/>
    <n v="29"/>
    <d v="2034-10-10T00:00:00"/>
    <m/>
    <x v="4"/>
    <x v="0"/>
  </r>
  <r>
    <n v="14925807003"/>
    <n v="40"/>
    <d v="2034-10-10T00:00:00"/>
    <s v=""/>
    <x v="4"/>
    <x v="0"/>
  </r>
  <r>
    <n v="33605788037"/>
    <n v="46"/>
    <d v="2034-10-10T00:00:00"/>
    <d v="2034-10-10T00:00:00"/>
    <x v="4"/>
    <x v="5"/>
  </r>
  <r>
    <n v="71688057337"/>
    <n v="46"/>
    <d v="2034-10-10T00:00:00"/>
    <s v=""/>
    <x v="4"/>
    <x v="0"/>
  </r>
  <r>
    <n v="74632620118"/>
    <n v="89"/>
    <d v="2034-10-10T00:00:00"/>
    <s v=""/>
    <x v="4"/>
    <x v="0"/>
  </r>
  <r>
    <n v="51621813477"/>
    <n v="102"/>
    <d v="2034-10-10T00:00:00"/>
    <s v=""/>
    <x v="4"/>
    <x v="0"/>
  </r>
  <r>
    <n v="96634616676"/>
    <n v="117"/>
    <d v="2034-10-10T00:00:00"/>
    <s v=""/>
    <x v="4"/>
    <x v="0"/>
  </r>
  <r>
    <n v="68368542215"/>
    <n v="144"/>
    <d v="2034-10-10T00:00:00"/>
    <s v=""/>
    <x v="4"/>
    <x v="0"/>
  </r>
  <r>
    <n v="79055052921"/>
    <n v="154"/>
    <d v="2034-10-10T00:00:00"/>
    <s v=""/>
    <x v="4"/>
    <x v="0"/>
  </r>
  <r>
    <n v="36179524148"/>
    <n v="160"/>
    <d v="2034-10-10T00:00:00"/>
    <s v=""/>
    <x v="4"/>
    <x v="0"/>
  </r>
  <r>
    <n v="92526915938"/>
    <n v="164"/>
    <d v="2034-10-10T00:00:00"/>
    <s v=""/>
    <x v="4"/>
    <x v="0"/>
  </r>
  <r>
    <n v="16625538314"/>
    <n v="171"/>
    <d v="2034-10-10T00:00:00"/>
    <d v="2035-01-04T00:00:00"/>
    <x v="4"/>
    <x v="8"/>
  </r>
  <r>
    <n v="99359198495"/>
    <n v="185"/>
    <d v="2034-10-10T00:00:00"/>
    <s v=""/>
    <x v="4"/>
    <x v="0"/>
  </r>
  <r>
    <n v="93006068550"/>
    <n v="200"/>
    <d v="2034-10-10T00:00:00"/>
    <s v=""/>
    <x v="4"/>
    <x v="0"/>
  </r>
  <r>
    <n v="13445478334"/>
    <n v="205"/>
    <d v="2034-10-10T00:00:00"/>
    <s v=""/>
    <x v="4"/>
    <x v="0"/>
  </r>
  <r>
    <n v="70679123454"/>
    <n v="209"/>
    <d v="2034-10-10T00:00:00"/>
    <d v="2035-01-02T00:00:00"/>
    <x v="4"/>
    <x v="8"/>
  </r>
  <r>
    <n v="62583239561"/>
    <n v="265"/>
    <d v="2034-10-10T00:00:00"/>
    <s v=""/>
    <x v="4"/>
    <x v="0"/>
  </r>
  <r>
    <n v="41536302426"/>
    <n v="274"/>
    <d v="2034-10-10T00:00:00"/>
    <s v=""/>
    <x v="4"/>
    <x v="0"/>
  </r>
  <r>
    <n v="52635177378"/>
    <n v="282"/>
    <d v="2034-10-10T00:00:00"/>
    <s v=""/>
    <x v="4"/>
    <x v="0"/>
  </r>
  <r>
    <n v="86860482500"/>
    <n v="284"/>
    <d v="2034-10-10T00:00:00"/>
    <s v=""/>
    <x v="4"/>
    <x v="0"/>
  </r>
  <r>
    <n v="44352773184"/>
    <n v="311"/>
    <d v="2034-10-10T00:00:00"/>
    <s v=""/>
    <x v="4"/>
    <x v="0"/>
  </r>
  <r>
    <n v="43532879102"/>
    <n v="329"/>
    <d v="2034-10-10T00:00:00"/>
    <d v="2034-10-24T00:00:00"/>
    <x v="4"/>
    <x v="5"/>
  </r>
  <r>
    <n v="62779929114"/>
    <n v="21"/>
    <d v="2034-10-11T00:00:00"/>
    <s v=""/>
    <x v="4"/>
    <x v="0"/>
  </r>
  <r>
    <n v="37797323079"/>
    <n v="29"/>
    <d v="2034-10-11T00:00:00"/>
    <d v="2034-11-11T00:00:00"/>
    <x v="4"/>
    <x v="6"/>
  </r>
  <r>
    <n v="40099259381"/>
    <n v="31"/>
    <d v="2034-10-11T00:00:00"/>
    <s v=""/>
    <x v="4"/>
    <x v="0"/>
  </r>
  <r>
    <n v="15058577605"/>
    <n v="32"/>
    <d v="2034-10-11T00:00:00"/>
    <d v="2034-12-14T00:00:00"/>
    <x v="4"/>
    <x v="7"/>
  </r>
  <r>
    <n v="25119732224"/>
    <n v="43"/>
    <d v="2034-10-11T00:00:00"/>
    <s v=""/>
    <x v="4"/>
    <x v="0"/>
  </r>
  <r>
    <n v="75653297379"/>
    <n v="49"/>
    <d v="2034-10-11T00:00:00"/>
    <s v=""/>
    <x v="4"/>
    <x v="0"/>
  </r>
  <r>
    <n v="92566776811"/>
    <n v="81"/>
    <d v="2034-10-11T00:00:00"/>
    <s v=""/>
    <x v="4"/>
    <x v="0"/>
  </r>
  <r>
    <n v="16576654291"/>
    <n v="81"/>
    <d v="2034-10-11T00:00:00"/>
    <s v=""/>
    <x v="4"/>
    <x v="0"/>
  </r>
  <r>
    <n v="40688857320"/>
    <n v="90"/>
    <d v="2034-10-11T00:00:00"/>
    <s v=""/>
    <x v="4"/>
    <x v="0"/>
  </r>
  <r>
    <n v="24862214464"/>
    <n v="91"/>
    <d v="2034-10-11T00:00:00"/>
    <d v="2034-11-01T00:00:00"/>
    <x v="4"/>
    <x v="6"/>
  </r>
  <r>
    <n v="52538018985"/>
    <n v="106"/>
    <d v="2034-10-11T00:00:00"/>
    <d v="2034-12-27T00:00:00"/>
    <x v="4"/>
    <x v="7"/>
  </r>
  <r>
    <n v="94766264668"/>
    <n v="109"/>
    <d v="2034-10-11T00:00:00"/>
    <s v=""/>
    <x v="4"/>
    <x v="0"/>
  </r>
  <r>
    <n v="66833483124"/>
    <n v="124"/>
    <d v="2034-10-11T00:00:00"/>
    <s v=""/>
    <x v="4"/>
    <x v="0"/>
  </r>
  <r>
    <n v="41516605694"/>
    <n v="150"/>
    <d v="2034-10-11T00:00:00"/>
    <s v=""/>
    <x v="4"/>
    <x v="0"/>
  </r>
  <r>
    <n v="33520458604"/>
    <n v="156"/>
    <d v="2034-10-11T00:00:00"/>
    <s v=""/>
    <x v="4"/>
    <x v="0"/>
  </r>
  <r>
    <n v="65433031435"/>
    <n v="168"/>
    <d v="2034-10-11T00:00:00"/>
    <s v=""/>
    <x v="4"/>
    <x v="0"/>
  </r>
  <r>
    <n v="64058772297"/>
    <n v="199"/>
    <d v="2034-10-11T00:00:00"/>
    <s v=""/>
    <x v="4"/>
    <x v="0"/>
  </r>
  <r>
    <n v="40005211493"/>
    <n v="245"/>
    <d v="2034-10-11T00:00:00"/>
    <s v=""/>
    <x v="4"/>
    <x v="0"/>
  </r>
  <r>
    <n v="28046858563"/>
    <n v="248"/>
    <d v="2034-10-11T00:00:00"/>
    <s v=""/>
    <x v="4"/>
    <x v="0"/>
  </r>
  <r>
    <n v="48416069678"/>
    <n v="252"/>
    <d v="2034-10-11T00:00:00"/>
    <s v=""/>
    <x v="4"/>
    <x v="0"/>
  </r>
  <r>
    <n v="95101372104"/>
    <n v="279"/>
    <d v="2034-10-11T00:00:00"/>
    <s v=""/>
    <x v="4"/>
    <x v="0"/>
  </r>
  <r>
    <n v="27100417672"/>
    <n v="291"/>
    <d v="2034-10-11T00:00:00"/>
    <s v=""/>
    <x v="4"/>
    <x v="0"/>
  </r>
  <r>
    <n v="20466245223"/>
    <n v="313"/>
    <d v="2034-10-11T00:00:00"/>
    <s v=""/>
    <x v="4"/>
    <x v="0"/>
  </r>
  <r>
    <n v="15307008156"/>
    <n v="325"/>
    <d v="2034-10-11T00:00:00"/>
    <s v=""/>
    <x v="4"/>
    <x v="0"/>
  </r>
  <r>
    <n v="58405356246"/>
    <n v="332"/>
    <d v="2034-10-11T00:00:00"/>
    <s v=""/>
    <x v="4"/>
    <x v="0"/>
  </r>
  <r>
    <n v="88588566135"/>
    <n v="332"/>
    <d v="2034-10-11T00:00:00"/>
    <s v=""/>
    <x v="4"/>
    <x v="0"/>
  </r>
  <r>
    <n v="29411392579"/>
    <n v="25"/>
    <d v="2034-10-12T00:00:00"/>
    <d v="2035-01-02T00:00:00"/>
    <x v="4"/>
    <x v="8"/>
  </r>
  <r>
    <n v="42667366004"/>
    <n v="28"/>
    <d v="2034-10-12T00:00:00"/>
    <s v=""/>
    <x v="4"/>
    <x v="0"/>
  </r>
  <r>
    <n v="93204023853"/>
    <n v="44"/>
    <d v="2034-10-12T00:00:00"/>
    <s v=""/>
    <x v="4"/>
    <x v="0"/>
  </r>
  <r>
    <n v="86756498592"/>
    <n v="82"/>
    <d v="2034-10-12T00:00:00"/>
    <s v=""/>
    <x v="4"/>
    <x v="0"/>
  </r>
  <r>
    <n v="19856614618"/>
    <n v="131"/>
    <d v="2034-10-12T00:00:00"/>
    <s v=""/>
    <x v="4"/>
    <x v="0"/>
  </r>
  <r>
    <n v="36161112010"/>
    <n v="160"/>
    <d v="2034-10-12T00:00:00"/>
    <s v=""/>
    <x v="4"/>
    <x v="0"/>
  </r>
  <r>
    <n v="69495201538"/>
    <n v="167"/>
    <d v="2034-10-12T00:00:00"/>
    <d v="2034-12-24T00:00:00"/>
    <x v="4"/>
    <x v="7"/>
  </r>
  <r>
    <n v="50794265374"/>
    <n v="177"/>
    <d v="2034-10-12T00:00:00"/>
    <d v="2034-11-13T00:00:00"/>
    <x v="4"/>
    <x v="6"/>
  </r>
  <r>
    <n v="66098573839"/>
    <n v="231"/>
    <d v="2034-10-12T00:00:00"/>
    <s v=""/>
    <x v="4"/>
    <x v="0"/>
  </r>
  <r>
    <n v="96637054906"/>
    <n v="278"/>
    <d v="2034-10-12T00:00:00"/>
    <s v=""/>
    <x v="4"/>
    <x v="0"/>
  </r>
  <r>
    <n v="76840970907"/>
    <n v="290"/>
    <d v="2034-10-12T00:00:00"/>
    <s v=""/>
    <x v="4"/>
    <x v="0"/>
  </r>
  <r>
    <n v="85411068791"/>
    <n v="296"/>
    <d v="2034-10-12T00:00:00"/>
    <d v="2034-11-09T00:00:00"/>
    <x v="4"/>
    <x v="6"/>
  </r>
  <r>
    <n v="68806307965"/>
    <n v="334"/>
    <d v="2034-10-12T00:00:00"/>
    <s v=""/>
    <x v="4"/>
    <x v="0"/>
  </r>
  <r>
    <n v="60069029869"/>
    <n v="1"/>
    <d v="2034-10-13T00:00:00"/>
    <s v=""/>
    <x v="4"/>
    <x v="0"/>
  </r>
  <r>
    <n v="52232693743"/>
    <n v="31"/>
    <d v="2034-10-13T00:00:00"/>
    <s v=""/>
    <x v="4"/>
    <x v="0"/>
  </r>
  <r>
    <n v="63003601450"/>
    <n v="61"/>
    <d v="2034-10-13T00:00:00"/>
    <s v=""/>
    <x v="4"/>
    <x v="0"/>
  </r>
  <r>
    <n v="83382220861"/>
    <n v="82"/>
    <d v="2034-10-13T00:00:00"/>
    <s v=""/>
    <x v="4"/>
    <x v="0"/>
  </r>
  <r>
    <n v="61142601709"/>
    <n v="148"/>
    <d v="2034-10-13T00:00:00"/>
    <s v=""/>
    <x v="4"/>
    <x v="0"/>
  </r>
  <r>
    <n v="17664552451"/>
    <n v="149"/>
    <d v="2034-10-13T00:00:00"/>
    <d v="2034-12-08T00:00:00"/>
    <x v="4"/>
    <x v="7"/>
  </r>
  <r>
    <n v="16982415176"/>
    <n v="189"/>
    <d v="2034-10-13T00:00:00"/>
    <s v=""/>
    <x v="4"/>
    <x v="0"/>
  </r>
  <r>
    <n v="76312336091"/>
    <n v="204"/>
    <d v="2034-10-13T00:00:00"/>
    <s v=""/>
    <x v="4"/>
    <x v="0"/>
  </r>
  <r>
    <n v="98914448315"/>
    <n v="231"/>
    <d v="2034-10-13T00:00:00"/>
    <s v=""/>
    <x v="4"/>
    <x v="0"/>
  </r>
  <r>
    <n v="17121639406"/>
    <n v="238"/>
    <d v="2034-10-13T00:00:00"/>
    <s v=""/>
    <x v="4"/>
    <x v="0"/>
  </r>
  <r>
    <n v="63635585564"/>
    <n v="245"/>
    <d v="2034-10-13T00:00:00"/>
    <s v=""/>
    <x v="4"/>
    <x v="0"/>
  </r>
  <r>
    <n v="42340908132"/>
    <n v="262"/>
    <d v="2034-10-13T00:00:00"/>
    <d v="2035-01-21T00:00:00"/>
    <x v="4"/>
    <x v="8"/>
  </r>
  <r>
    <n v="42513896670"/>
    <n v="272"/>
    <d v="2034-10-13T00:00:00"/>
    <s v=""/>
    <x v="4"/>
    <x v="0"/>
  </r>
  <r>
    <n v="68567693018"/>
    <n v="288"/>
    <d v="2034-10-13T00:00:00"/>
    <d v="2034-10-23T00:00:00"/>
    <x v="4"/>
    <x v="5"/>
  </r>
  <r>
    <n v="62111650885"/>
    <n v="301"/>
    <d v="2034-10-13T00:00:00"/>
    <s v=""/>
    <x v="4"/>
    <x v="0"/>
  </r>
  <r>
    <n v="43115645788"/>
    <n v="313"/>
    <d v="2034-10-13T00:00:00"/>
    <s v=""/>
    <x v="4"/>
    <x v="0"/>
  </r>
  <r>
    <n v="96833230884"/>
    <n v="318"/>
    <d v="2034-10-13T00:00:00"/>
    <s v=""/>
    <x v="4"/>
    <x v="0"/>
  </r>
  <r>
    <n v="94591728946"/>
    <n v="335"/>
    <d v="2034-10-13T00:00:00"/>
    <s v=""/>
    <x v="4"/>
    <x v="0"/>
  </r>
  <r>
    <n v="11415186808"/>
    <n v="12"/>
    <d v="2034-10-14T00:00:00"/>
    <s v=""/>
    <x v="4"/>
    <x v="0"/>
  </r>
  <r>
    <n v="55474553061"/>
    <n v="22"/>
    <d v="2034-10-14T00:00:00"/>
    <s v=""/>
    <x v="4"/>
    <x v="0"/>
  </r>
  <r>
    <n v="19459187675"/>
    <n v="39"/>
    <d v="2034-10-14T00:00:00"/>
    <s v=""/>
    <x v="4"/>
    <x v="0"/>
  </r>
  <r>
    <n v="45498256651"/>
    <n v="62"/>
    <d v="2034-10-14T00:00:00"/>
    <s v=""/>
    <x v="4"/>
    <x v="0"/>
  </r>
  <r>
    <n v="36993499368"/>
    <n v="75"/>
    <d v="2034-10-14T00:00:00"/>
    <s v=""/>
    <x v="4"/>
    <x v="0"/>
  </r>
  <r>
    <n v="92968245126"/>
    <n v="108"/>
    <d v="2034-10-14T00:00:00"/>
    <s v=""/>
    <x v="4"/>
    <x v="0"/>
  </r>
  <r>
    <n v="29895280582"/>
    <n v="129"/>
    <d v="2034-10-14T00:00:00"/>
    <s v=""/>
    <x v="4"/>
    <x v="0"/>
  </r>
  <r>
    <n v="97946472607"/>
    <n v="142"/>
    <d v="2034-10-14T00:00:00"/>
    <s v=""/>
    <x v="4"/>
    <x v="0"/>
  </r>
  <r>
    <n v="75181799567"/>
    <n v="150"/>
    <d v="2034-10-14T00:00:00"/>
    <s v=""/>
    <x v="4"/>
    <x v="0"/>
  </r>
  <r>
    <n v="17123052084"/>
    <n v="194"/>
    <d v="2034-10-14T00:00:00"/>
    <s v=""/>
    <x v="4"/>
    <x v="0"/>
  </r>
  <r>
    <n v="86347489945"/>
    <n v="215"/>
    <d v="2034-10-14T00:00:00"/>
    <s v=""/>
    <x v="4"/>
    <x v="0"/>
  </r>
  <r>
    <n v="24186569609"/>
    <n v="258"/>
    <d v="2034-10-14T00:00:00"/>
    <s v=""/>
    <x v="4"/>
    <x v="0"/>
  </r>
  <r>
    <n v="13092584883"/>
    <n v="290"/>
    <d v="2034-10-14T00:00:00"/>
    <s v=""/>
    <x v="4"/>
    <x v="0"/>
  </r>
  <r>
    <n v="52788969933"/>
    <n v="294"/>
    <d v="2034-10-14T00:00:00"/>
    <s v=""/>
    <x v="4"/>
    <x v="0"/>
  </r>
  <r>
    <n v="61995961058"/>
    <n v="311"/>
    <d v="2034-10-14T00:00:00"/>
    <s v=""/>
    <x v="4"/>
    <x v="0"/>
  </r>
  <r>
    <n v="71768216741"/>
    <n v="327"/>
    <d v="2034-10-14T00:00:00"/>
    <d v="2034-10-27T00:00:00"/>
    <x v="4"/>
    <x v="5"/>
  </r>
  <r>
    <n v="91720121024"/>
    <n v="329"/>
    <d v="2034-10-14T00:00:00"/>
    <s v=""/>
    <x v="4"/>
    <x v="0"/>
  </r>
  <r>
    <n v="77566372468"/>
    <n v="329"/>
    <d v="2034-10-14T00:00:00"/>
    <d v="2034-11-06T00:00:00"/>
    <x v="4"/>
    <x v="6"/>
  </r>
  <r>
    <n v="13453079334"/>
    <n v="306"/>
    <d v="2034-10-15T00:00:00"/>
    <s v=""/>
    <x v="4"/>
    <x v="0"/>
  </r>
  <r>
    <n v="42855520870"/>
    <n v="27"/>
    <d v="2034-10-15T00:00:00"/>
    <s v=""/>
    <x v="4"/>
    <x v="0"/>
  </r>
  <r>
    <n v="55457283399"/>
    <n v="179"/>
    <d v="2034-10-15T00:00:00"/>
    <s v=""/>
    <x v="4"/>
    <x v="0"/>
  </r>
  <r>
    <n v="20536817726"/>
    <n v="159"/>
    <d v="2034-10-15T00:00:00"/>
    <s v=""/>
    <x v="4"/>
    <x v="0"/>
  </r>
  <r>
    <n v="37840313820"/>
    <n v="339"/>
    <d v="2034-10-15T00:00:00"/>
    <s v=""/>
    <x v="4"/>
    <x v="0"/>
  </r>
  <r>
    <n v="13628478945"/>
    <n v="157"/>
    <d v="2034-10-15T00:00:00"/>
    <d v="2034-11-27T00:00:00"/>
    <x v="4"/>
    <x v="6"/>
  </r>
  <r>
    <n v="74169981035"/>
    <n v="65"/>
    <d v="2034-10-15T00:00:00"/>
    <s v=""/>
    <x v="4"/>
    <x v="0"/>
  </r>
  <r>
    <n v="18052041752"/>
    <n v="265"/>
    <d v="2034-10-15T00:00:00"/>
    <s v=""/>
    <x v="4"/>
    <x v="0"/>
  </r>
  <r>
    <n v="65805999143"/>
    <n v="178"/>
    <d v="2034-10-15T00:00:00"/>
    <s v=""/>
    <x v="4"/>
    <x v="0"/>
  </r>
  <r>
    <n v="63241376235"/>
    <n v="209"/>
    <d v="2034-10-15T00:00:00"/>
    <s v=""/>
    <x v="4"/>
    <x v="0"/>
  </r>
  <r>
    <n v="50936995604"/>
    <n v="246"/>
    <d v="2034-10-15T00:00:00"/>
    <s v=""/>
    <x v="4"/>
    <x v="0"/>
  </r>
  <r>
    <n v="62036852165"/>
    <n v="89"/>
    <d v="2034-10-15T00:00:00"/>
    <s v=""/>
    <x v="4"/>
    <x v="0"/>
  </r>
  <r>
    <n v="72348957585"/>
    <n v="46"/>
    <d v="2034-10-15T00:00:00"/>
    <s v=""/>
    <x v="4"/>
    <x v="0"/>
  </r>
  <r>
    <n v="17837476240"/>
    <n v="310"/>
    <d v="2034-10-15T00:00:00"/>
    <s v=""/>
    <x v="4"/>
    <x v="0"/>
  </r>
  <r>
    <n v="46439770924"/>
    <n v="114"/>
    <d v="2034-10-15T00:00:00"/>
    <s v=""/>
    <x v="4"/>
    <x v="0"/>
  </r>
  <r>
    <n v="34610749149"/>
    <n v="76"/>
    <d v="2034-10-15T00:00:00"/>
    <s v=""/>
    <x v="4"/>
    <x v="0"/>
  </r>
  <r>
    <n v="99429620556"/>
    <n v="250"/>
    <d v="2034-10-15T00:00:00"/>
    <s v=""/>
    <x v="4"/>
    <x v="0"/>
  </r>
  <r>
    <n v="88538480487"/>
    <n v="183"/>
    <d v="2034-10-15T00:00:00"/>
    <s v=""/>
    <x v="4"/>
    <x v="0"/>
  </r>
  <r>
    <n v="87197257661"/>
    <n v="144"/>
    <d v="2034-10-15T00:00:00"/>
    <s v=""/>
    <x v="4"/>
    <x v="0"/>
  </r>
  <r>
    <n v="11160555213"/>
    <n v="117"/>
    <d v="2034-10-15T00:00:00"/>
    <s v=""/>
    <x v="4"/>
    <x v="0"/>
  </r>
  <r>
    <n v="33376946469"/>
    <n v="153"/>
    <d v="2034-10-15T00:00:00"/>
    <d v="2035-01-25T00:00:00"/>
    <x v="4"/>
    <x v="8"/>
  </r>
  <r>
    <n v="29179365554"/>
    <n v="128"/>
    <d v="2034-10-15T00:00:00"/>
    <s v=""/>
    <x v="4"/>
    <x v="0"/>
  </r>
  <r>
    <n v="22532950744"/>
    <n v="250"/>
    <d v="2034-10-15T00:00:00"/>
    <d v="2035-01-08T00:00:00"/>
    <x v="4"/>
    <x v="8"/>
  </r>
  <r>
    <n v="83304023388"/>
    <n v="121"/>
    <d v="2034-10-16T00:00:00"/>
    <d v="2034-12-07T00:00:00"/>
    <x v="4"/>
    <x v="7"/>
  </r>
  <r>
    <n v="28983658054"/>
    <n v="135"/>
    <d v="2034-10-16T00:00:00"/>
    <s v=""/>
    <x v="4"/>
    <x v="0"/>
  </r>
  <r>
    <n v="14819774718"/>
    <n v="94"/>
    <d v="2034-10-16T00:00:00"/>
    <s v=""/>
    <x v="4"/>
    <x v="0"/>
  </r>
  <r>
    <n v="32691793896"/>
    <n v="160"/>
    <d v="2034-10-16T00:00:00"/>
    <d v="2034-12-25T00:00:00"/>
    <x v="4"/>
    <x v="7"/>
  </r>
  <r>
    <n v="42938286718"/>
    <n v="292"/>
    <d v="2034-10-16T00:00:00"/>
    <s v=""/>
    <x v="4"/>
    <x v="0"/>
  </r>
  <r>
    <n v="94351823456"/>
    <n v="251"/>
    <d v="2034-10-16T00:00:00"/>
    <s v=""/>
    <x v="4"/>
    <x v="0"/>
  </r>
  <r>
    <n v="92164001879"/>
    <n v="190"/>
    <d v="2034-10-16T00:00:00"/>
    <s v=""/>
    <x v="4"/>
    <x v="0"/>
  </r>
  <r>
    <n v="74470028044"/>
    <n v="335"/>
    <d v="2034-10-16T00:00:00"/>
    <s v=""/>
    <x v="4"/>
    <x v="0"/>
  </r>
  <r>
    <n v="19477121714"/>
    <n v="199"/>
    <d v="2034-10-16T00:00:00"/>
    <d v="2035-01-28T00:00:00"/>
    <x v="4"/>
    <x v="8"/>
  </r>
  <r>
    <n v="19990498868"/>
    <n v="107"/>
    <d v="2034-10-16T00:00:00"/>
    <s v=""/>
    <x v="4"/>
    <x v="0"/>
  </r>
  <r>
    <n v="97173082361"/>
    <n v="136"/>
    <d v="2034-10-16T00:00:00"/>
    <s v=""/>
    <x v="4"/>
    <x v="0"/>
  </r>
  <r>
    <n v="57666317754"/>
    <n v="92"/>
    <d v="2034-10-16T00:00:00"/>
    <s v=""/>
    <x v="4"/>
    <x v="0"/>
  </r>
  <r>
    <n v="32691448426"/>
    <n v="242"/>
    <d v="2034-10-16T00:00:00"/>
    <s v=""/>
    <x v="4"/>
    <x v="0"/>
  </r>
  <r>
    <n v="47962389995"/>
    <n v="232"/>
    <d v="2034-10-16T00:00:00"/>
    <s v=""/>
    <x v="4"/>
    <x v="0"/>
  </r>
  <r>
    <n v="40105071944"/>
    <n v="260"/>
    <d v="2034-10-16T00:00:00"/>
    <d v="2034-12-05T00:00:00"/>
    <x v="4"/>
    <x v="7"/>
  </r>
  <r>
    <n v="11887613606"/>
    <n v="137"/>
    <d v="2034-10-16T00:00:00"/>
    <s v=""/>
    <x v="4"/>
    <x v="0"/>
  </r>
  <r>
    <n v="20244041829"/>
    <n v="104"/>
    <d v="2034-10-16T00:00:00"/>
    <s v=""/>
    <x v="4"/>
    <x v="0"/>
  </r>
  <r>
    <n v="24733287026"/>
    <n v="165"/>
    <d v="2034-10-16T00:00:00"/>
    <s v=""/>
    <x v="4"/>
    <x v="0"/>
  </r>
  <r>
    <n v="56914449332"/>
    <n v="147"/>
    <d v="2034-10-16T00:00:00"/>
    <s v=""/>
    <x v="4"/>
    <x v="0"/>
  </r>
  <r>
    <n v="68552710853"/>
    <n v="337"/>
    <d v="2034-10-16T00:00:00"/>
    <d v="2034-10-31T00:00:00"/>
    <x v="4"/>
    <x v="5"/>
  </r>
  <r>
    <n v="59483737879"/>
    <n v="278"/>
    <d v="2034-10-16T00:00:00"/>
    <s v=""/>
    <x v="4"/>
    <x v="0"/>
  </r>
  <r>
    <n v="73977769502"/>
    <n v="3"/>
    <d v="2034-10-16T00:00:00"/>
    <s v=""/>
    <x v="4"/>
    <x v="0"/>
  </r>
  <r>
    <n v="22012311760"/>
    <n v="19"/>
    <d v="2034-10-16T00:00:00"/>
    <s v=""/>
    <x v="4"/>
    <x v="0"/>
  </r>
  <r>
    <n v="96730647720"/>
    <n v="136"/>
    <d v="2034-10-16T00:00:00"/>
    <s v=""/>
    <x v="4"/>
    <x v="0"/>
  </r>
  <r>
    <n v="68994626326"/>
    <n v="239"/>
    <d v="2034-10-16T00:00:00"/>
    <d v="2034-11-13T00:00:00"/>
    <x v="4"/>
    <x v="6"/>
  </r>
  <r>
    <n v="11777449302"/>
    <n v="297"/>
    <d v="2034-10-16T00:00:00"/>
    <s v=""/>
    <x v="4"/>
    <x v="0"/>
  </r>
  <r>
    <n v="72774379337"/>
    <n v="134"/>
    <d v="2034-10-16T00:00:00"/>
    <s v=""/>
    <x v="4"/>
    <x v="0"/>
  </r>
  <r>
    <n v="51648883053"/>
    <n v="113"/>
    <d v="2034-10-17T00:00:00"/>
    <s v=""/>
    <x v="4"/>
    <x v="0"/>
  </r>
  <r>
    <n v="15156796452"/>
    <n v="224"/>
    <d v="2034-10-17T00:00:00"/>
    <s v=""/>
    <x v="4"/>
    <x v="0"/>
  </r>
  <r>
    <n v="64444237841"/>
    <n v="317"/>
    <d v="2034-10-17T00:00:00"/>
    <s v=""/>
    <x v="4"/>
    <x v="0"/>
  </r>
  <r>
    <n v="92756488592"/>
    <n v="77"/>
    <d v="2034-10-17T00:00:00"/>
    <d v="2035-01-12T00:00:00"/>
    <x v="4"/>
    <x v="8"/>
  </r>
  <r>
    <n v="69484135219"/>
    <n v="335"/>
    <d v="2034-10-17T00:00:00"/>
    <s v=""/>
    <x v="4"/>
    <x v="0"/>
  </r>
  <r>
    <n v="73058716315"/>
    <n v="13"/>
    <d v="2034-10-17T00:00:00"/>
    <s v=""/>
    <x v="4"/>
    <x v="0"/>
  </r>
  <r>
    <n v="24679266365"/>
    <n v="243"/>
    <d v="2034-10-17T00:00:00"/>
    <s v=""/>
    <x v="4"/>
    <x v="0"/>
  </r>
  <r>
    <n v="90194040157"/>
    <n v="30"/>
    <d v="2034-10-17T00:00:00"/>
    <s v=""/>
    <x v="4"/>
    <x v="0"/>
  </r>
  <r>
    <n v="11716189361"/>
    <n v="127"/>
    <d v="2034-10-17T00:00:00"/>
    <s v=""/>
    <x v="4"/>
    <x v="0"/>
  </r>
  <r>
    <n v="65165123604"/>
    <n v="192"/>
    <d v="2034-10-17T00:00:00"/>
    <s v=""/>
    <x v="4"/>
    <x v="0"/>
  </r>
  <r>
    <n v="70179608330"/>
    <n v="30"/>
    <d v="2034-10-17T00:00:00"/>
    <s v=""/>
    <x v="4"/>
    <x v="0"/>
  </r>
  <r>
    <n v="94251904334"/>
    <n v="225"/>
    <d v="2034-10-17T00:00:00"/>
    <s v=""/>
    <x v="4"/>
    <x v="0"/>
  </r>
  <r>
    <n v="57984517383"/>
    <n v="122"/>
    <d v="2034-10-17T00:00:00"/>
    <s v=""/>
    <x v="4"/>
    <x v="0"/>
  </r>
  <r>
    <n v="44779636300"/>
    <n v="14"/>
    <d v="2034-10-17T00:00:00"/>
    <s v=""/>
    <x v="4"/>
    <x v="0"/>
  </r>
  <r>
    <n v="48379034212"/>
    <n v="179"/>
    <d v="2034-10-17T00:00:00"/>
    <s v=""/>
    <x v="4"/>
    <x v="0"/>
  </r>
  <r>
    <n v="76869652577"/>
    <n v="176"/>
    <d v="2034-10-17T00:00:00"/>
    <s v=""/>
    <x v="4"/>
    <x v="0"/>
  </r>
  <r>
    <n v="17836437233"/>
    <n v="327"/>
    <d v="2034-10-17T00:00:00"/>
    <s v=""/>
    <x v="4"/>
    <x v="0"/>
  </r>
  <r>
    <n v="36703119378"/>
    <n v="54"/>
    <d v="2034-10-17T00:00:00"/>
    <s v=""/>
    <x v="4"/>
    <x v="0"/>
  </r>
  <r>
    <n v="78194932286"/>
    <n v="168"/>
    <d v="2034-10-17T00:00:00"/>
    <s v=""/>
    <x v="4"/>
    <x v="0"/>
  </r>
  <r>
    <n v="87598576787"/>
    <n v="313"/>
    <d v="2034-10-17T00:00:00"/>
    <s v=""/>
    <x v="4"/>
    <x v="0"/>
  </r>
  <r>
    <n v="36826122264"/>
    <n v="11"/>
    <d v="2034-10-18T00:00:00"/>
    <s v=""/>
    <x v="4"/>
    <x v="0"/>
  </r>
  <r>
    <n v="77405013471"/>
    <n v="35"/>
    <d v="2034-10-18T00:00:00"/>
    <s v=""/>
    <x v="4"/>
    <x v="0"/>
  </r>
  <r>
    <n v="17939984285"/>
    <n v="338"/>
    <d v="2034-10-18T00:00:00"/>
    <m/>
    <x v="4"/>
    <x v="0"/>
  </r>
  <r>
    <n v="15847964301"/>
    <n v="330"/>
    <d v="2034-10-18T00:00:00"/>
    <s v=""/>
    <x v="4"/>
    <x v="0"/>
  </r>
  <r>
    <n v="90076572057"/>
    <n v="49"/>
    <d v="2034-10-18T00:00:00"/>
    <s v=""/>
    <x v="4"/>
    <x v="0"/>
  </r>
  <r>
    <n v="70384672221"/>
    <n v="209"/>
    <d v="2034-10-18T00:00:00"/>
    <s v=""/>
    <x v="4"/>
    <x v="0"/>
  </r>
  <r>
    <n v="40836389211"/>
    <n v="131"/>
    <d v="2034-10-18T00:00:00"/>
    <s v=""/>
    <x v="4"/>
    <x v="0"/>
  </r>
  <r>
    <n v="34078062756"/>
    <n v="169"/>
    <d v="2034-10-18T00:00:00"/>
    <s v=""/>
    <x v="4"/>
    <x v="0"/>
  </r>
  <r>
    <n v="61158673636"/>
    <n v="290"/>
    <d v="2034-10-18T00:00:00"/>
    <d v="2035-01-28T00:00:00"/>
    <x v="4"/>
    <x v="8"/>
  </r>
  <r>
    <n v="66519834897"/>
    <n v="93"/>
    <d v="2034-10-18T00:00:00"/>
    <s v=""/>
    <x v="4"/>
    <x v="0"/>
  </r>
  <r>
    <n v="16515993058"/>
    <n v="95"/>
    <d v="2034-10-18T00:00:00"/>
    <s v=""/>
    <x v="4"/>
    <x v="0"/>
  </r>
  <r>
    <n v="70849896450"/>
    <n v="66"/>
    <d v="2034-10-18T00:00:00"/>
    <s v=""/>
    <x v="4"/>
    <x v="0"/>
  </r>
  <r>
    <n v="28353245517"/>
    <n v="24"/>
    <d v="2034-10-18T00:00:00"/>
    <s v=""/>
    <x v="4"/>
    <x v="0"/>
  </r>
  <r>
    <n v="24914127733"/>
    <n v="211"/>
    <d v="2034-10-18T00:00:00"/>
    <s v=""/>
    <x v="4"/>
    <x v="0"/>
  </r>
  <r>
    <n v="49944878084"/>
    <n v="169"/>
    <d v="2034-10-18T00:00:00"/>
    <s v=""/>
    <x v="4"/>
    <x v="0"/>
  </r>
  <r>
    <n v="84692341738"/>
    <n v="23"/>
    <d v="2034-10-18T00:00:00"/>
    <s v=""/>
    <x v="4"/>
    <x v="0"/>
  </r>
  <r>
    <n v="63903976497"/>
    <n v="41"/>
    <d v="2034-10-18T00:00:00"/>
    <d v="2034-12-24T00:00:00"/>
    <x v="4"/>
    <x v="7"/>
  </r>
  <r>
    <n v="76247641026"/>
    <n v="339"/>
    <d v="2034-10-18T00:00:00"/>
    <s v=""/>
    <x v="4"/>
    <x v="0"/>
  </r>
  <r>
    <n v="72178629286"/>
    <n v="197"/>
    <d v="2034-10-18T00:00:00"/>
    <m/>
    <x v="4"/>
    <x v="0"/>
  </r>
  <r>
    <n v="66571865527"/>
    <n v="16"/>
    <d v="2034-10-18T00:00:00"/>
    <m/>
    <x v="4"/>
    <x v="0"/>
  </r>
  <r>
    <n v="16625333769"/>
    <n v="210"/>
    <d v="2034-10-18T00:00:00"/>
    <s v=""/>
    <x v="4"/>
    <x v="0"/>
  </r>
  <r>
    <n v="77899695327"/>
    <n v="165"/>
    <d v="2034-10-18T00:00:00"/>
    <s v=""/>
    <x v="4"/>
    <x v="0"/>
  </r>
  <r>
    <n v="50055127713"/>
    <n v="41"/>
    <d v="2034-10-18T00:00:00"/>
    <s v=""/>
    <x v="4"/>
    <x v="0"/>
  </r>
  <r>
    <n v="75825064851"/>
    <n v="176"/>
    <d v="2034-10-18T00:00:00"/>
    <s v=""/>
    <x v="4"/>
    <x v="0"/>
  </r>
  <r>
    <n v="78302811598"/>
    <n v="260"/>
    <d v="2034-10-18T00:00:00"/>
    <s v=""/>
    <x v="4"/>
    <x v="0"/>
  </r>
  <r>
    <n v="23726386533"/>
    <n v="76"/>
    <d v="2034-10-18T00:00:00"/>
    <s v=""/>
    <x v="4"/>
    <x v="0"/>
  </r>
  <r>
    <n v="80847838999"/>
    <n v="177"/>
    <d v="2034-10-18T00:00:00"/>
    <d v="2034-12-07T00:00:00"/>
    <x v="4"/>
    <x v="7"/>
  </r>
  <r>
    <n v="69116417624"/>
    <n v="208"/>
    <d v="2034-10-18T00:00:00"/>
    <s v=""/>
    <x v="4"/>
    <x v="0"/>
  </r>
  <r>
    <n v="87981698370"/>
    <n v="235"/>
    <d v="2034-10-18T00:00:00"/>
    <m/>
    <x v="4"/>
    <x v="0"/>
  </r>
  <r>
    <n v="23310334203"/>
    <n v="259"/>
    <d v="2034-10-19T00:00:00"/>
    <d v="2034-11-25T00:00:00"/>
    <x v="4"/>
    <x v="6"/>
  </r>
  <r>
    <n v="98924585566"/>
    <n v="307"/>
    <d v="2034-10-19T00:00:00"/>
    <s v=""/>
    <x v="4"/>
    <x v="0"/>
  </r>
  <r>
    <n v="36229009685"/>
    <n v="271"/>
    <d v="2034-10-19T00:00:00"/>
    <s v=""/>
    <x v="4"/>
    <x v="0"/>
  </r>
  <r>
    <n v="49857751339"/>
    <n v="272"/>
    <d v="2034-10-19T00:00:00"/>
    <s v=""/>
    <x v="4"/>
    <x v="0"/>
  </r>
  <r>
    <n v="57320102001"/>
    <n v="188"/>
    <d v="2034-10-19T00:00:00"/>
    <s v=""/>
    <x v="4"/>
    <x v="0"/>
  </r>
  <r>
    <n v="11780658450"/>
    <n v="135"/>
    <d v="2034-10-19T00:00:00"/>
    <s v=""/>
    <x v="4"/>
    <x v="0"/>
  </r>
  <r>
    <n v="34438320199"/>
    <n v="102"/>
    <d v="2034-10-19T00:00:00"/>
    <s v=""/>
    <x v="4"/>
    <x v="0"/>
  </r>
  <r>
    <n v="18363524931"/>
    <n v="241"/>
    <d v="2034-10-19T00:00:00"/>
    <d v="2034-11-09T00:00:00"/>
    <x v="4"/>
    <x v="6"/>
  </r>
  <r>
    <n v="22247528206"/>
    <n v="328"/>
    <d v="2034-10-19T00:00:00"/>
    <s v=""/>
    <x v="4"/>
    <x v="0"/>
  </r>
  <r>
    <n v="20869198995"/>
    <n v="254"/>
    <d v="2034-10-19T00:00:00"/>
    <s v=""/>
    <x v="4"/>
    <x v="0"/>
  </r>
  <r>
    <n v="97365833050"/>
    <n v="214"/>
    <d v="2034-10-19T00:00:00"/>
    <d v="2035-01-27T00:00:00"/>
    <x v="4"/>
    <x v="8"/>
  </r>
  <r>
    <n v="14226003605"/>
    <n v="272"/>
    <d v="2034-10-19T00:00:00"/>
    <s v=""/>
    <x v="4"/>
    <x v="0"/>
  </r>
  <r>
    <n v="47300071034"/>
    <n v="210"/>
    <d v="2034-10-19T00:00:00"/>
    <s v=""/>
    <x v="4"/>
    <x v="0"/>
  </r>
  <r>
    <n v="30585836173"/>
    <n v="282"/>
    <d v="2034-10-19T00:00:00"/>
    <s v=""/>
    <x v="4"/>
    <x v="0"/>
  </r>
  <r>
    <n v="84967558961"/>
    <n v="296"/>
    <d v="2034-10-19T00:00:00"/>
    <s v=""/>
    <x v="4"/>
    <x v="0"/>
  </r>
  <r>
    <n v="24098796691"/>
    <n v="180"/>
    <d v="2034-10-19T00:00:00"/>
    <d v="2035-01-10T00:00:00"/>
    <x v="4"/>
    <x v="8"/>
  </r>
  <r>
    <n v="45417382922"/>
    <n v="299"/>
    <d v="2034-10-19T00:00:00"/>
    <d v="2034-12-16T00:00:00"/>
    <x v="4"/>
    <x v="7"/>
  </r>
  <r>
    <n v="74977464280"/>
    <n v="59"/>
    <d v="2034-10-19T00:00:00"/>
    <d v="2035-01-10T00:00:00"/>
    <x v="4"/>
    <x v="8"/>
  </r>
  <r>
    <n v="56725347771"/>
    <n v="140"/>
    <d v="2034-10-19T00:00:00"/>
    <s v=""/>
    <x v="4"/>
    <x v="0"/>
  </r>
  <r>
    <n v="56032621508"/>
    <n v="30"/>
    <d v="2034-10-19T00:00:00"/>
    <s v=""/>
    <x v="4"/>
    <x v="0"/>
  </r>
  <r>
    <n v="67787941226"/>
    <n v="300"/>
    <d v="2034-10-19T00:00:00"/>
    <s v=""/>
    <x v="4"/>
    <x v="0"/>
  </r>
  <r>
    <n v="52076224264"/>
    <n v="223"/>
    <d v="2034-10-19T00:00:00"/>
    <s v=""/>
    <x v="4"/>
    <x v="0"/>
  </r>
  <r>
    <n v="60078366144"/>
    <n v="110"/>
    <d v="2034-10-19T00:00:00"/>
    <s v=""/>
    <x v="4"/>
    <x v="0"/>
  </r>
  <r>
    <n v="42347493003"/>
    <n v="291"/>
    <d v="2034-10-19T00:00:00"/>
    <s v=""/>
    <x v="4"/>
    <x v="0"/>
  </r>
  <r>
    <n v="65216111818"/>
    <n v="212"/>
    <d v="2034-10-19T00:00:00"/>
    <s v=""/>
    <x v="4"/>
    <x v="0"/>
  </r>
  <r>
    <n v="23457970109"/>
    <n v="219"/>
    <d v="2034-10-19T00:00:00"/>
    <s v=""/>
    <x v="4"/>
    <x v="0"/>
  </r>
  <r>
    <n v="27103830594"/>
    <n v="245"/>
    <d v="2034-10-19T00:00:00"/>
    <s v=""/>
    <x v="4"/>
    <x v="0"/>
  </r>
  <r>
    <n v="12272348853"/>
    <n v="23"/>
    <d v="2034-10-19T00:00:00"/>
    <s v=""/>
    <x v="4"/>
    <x v="0"/>
  </r>
  <r>
    <n v="46138761903"/>
    <n v="118"/>
    <d v="2034-10-19T00:00:00"/>
    <s v=""/>
    <x v="4"/>
    <x v="0"/>
  </r>
  <r>
    <n v="68814660396"/>
    <n v="255"/>
    <d v="2034-10-19T00:00:00"/>
    <d v="2034-10-24T00:00:00"/>
    <x v="4"/>
    <x v="5"/>
  </r>
  <r>
    <n v="25185712977"/>
    <n v="156"/>
    <d v="2034-10-20T00:00:00"/>
    <s v=""/>
    <x v="4"/>
    <x v="0"/>
  </r>
  <r>
    <n v="58094687768"/>
    <n v="120"/>
    <d v="2034-10-20T00:00:00"/>
    <s v=""/>
    <x v="4"/>
    <x v="0"/>
  </r>
  <r>
    <n v="40126826506"/>
    <n v="155"/>
    <d v="2034-10-20T00:00:00"/>
    <s v=""/>
    <x v="4"/>
    <x v="0"/>
  </r>
  <r>
    <n v="84850594467"/>
    <n v="318"/>
    <d v="2034-10-20T00:00:00"/>
    <s v=""/>
    <x v="4"/>
    <x v="0"/>
  </r>
  <r>
    <n v="68663326069"/>
    <n v="274"/>
    <d v="2034-10-20T00:00:00"/>
    <s v=""/>
    <x v="4"/>
    <x v="0"/>
  </r>
  <r>
    <n v="89265681799"/>
    <n v="106"/>
    <d v="2034-10-20T00:00:00"/>
    <s v=""/>
    <x v="4"/>
    <x v="0"/>
  </r>
  <r>
    <n v="80855238439"/>
    <n v="67"/>
    <d v="2034-10-20T00:00:00"/>
    <d v="2034-12-09T00:00:00"/>
    <x v="4"/>
    <x v="7"/>
  </r>
  <r>
    <n v="85675848308"/>
    <n v="25"/>
    <d v="2034-10-20T00:00:00"/>
    <s v=""/>
    <x v="4"/>
    <x v="0"/>
  </r>
  <r>
    <n v="53765711488"/>
    <n v="198"/>
    <d v="2034-10-20T00:00:00"/>
    <s v=""/>
    <x v="4"/>
    <x v="0"/>
  </r>
  <r>
    <n v="69795134662"/>
    <n v="78"/>
    <d v="2034-10-20T00:00:00"/>
    <s v=""/>
    <x v="4"/>
    <x v="0"/>
  </r>
  <r>
    <n v="97808281082"/>
    <n v="311"/>
    <d v="2034-10-20T00:00:00"/>
    <s v=""/>
    <x v="4"/>
    <x v="0"/>
  </r>
  <r>
    <n v="41999184589"/>
    <n v="213"/>
    <d v="2034-10-20T00:00:00"/>
    <s v=""/>
    <x v="4"/>
    <x v="0"/>
  </r>
  <r>
    <n v="88141440790"/>
    <n v="189"/>
    <d v="2034-10-20T00:00:00"/>
    <s v=""/>
    <x v="4"/>
    <x v="0"/>
  </r>
  <r>
    <n v="27191150458"/>
    <n v="82"/>
    <d v="2034-10-20T00:00:00"/>
    <s v=""/>
    <x v="4"/>
    <x v="0"/>
  </r>
  <r>
    <n v="53349419533"/>
    <n v="244"/>
    <d v="2034-10-20T00:00:00"/>
    <s v=""/>
    <x v="4"/>
    <x v="0"/>
  </r>
  <r>
    <n v="76510367811"/>
    <n v="23"/>
    <d v="2034-10-20T00:00:00"/>
    <d v="2034-11-06T00:00:00"/>
    <x v="4"/>
    <x v="6"/>
  </r>
  <r>
    <n v="98348243186"/>
    <n v="30"/>
    <d v="2034-10-20T00:00:00"/>
    <s v=""/>
    <x v="4"/>
    <x v="0"/>
  </r>
  <r>
    <n v="96191931719"/>
    <n v="213"/>
    <d v="2034-10-20T00:00:00"/>
    <s v=""/>
    <x v="4"/>
    <x v="0"/>
  </r>
  <r>
    <n v="45839270522"/>
    <n v="272"/>
    <d v="2034-10-20T00:00:00"/>
    <s v=""/>
    <x v="4"/>
    <x v="0"/>
  </r>
  <r>
    <n v="44409031762"/>
    <n v="60"/>
    <d v="2034-10-20T00:00:00"/>
    <d v="2034-10-31T00:00:00"/>
    <x v="4"/>
    <x v="5"/>
  </r>
  <r>
    <n v="51797354039"/>
    <n v="97"/>
    <d v="2034-10-21T00:00:00"/>
    <s v=""/>
    <x v="4"/>
    <x v="0"/>
  </r>
  <r>
    <n v="77819990222"/>
    <n v="12"/>
    <d v="2034-10-21T00:00:00"/>
    <m/>
    <x v="4"/>
    <x v="0"/>
  </r>
  <r>
    <n v="51771504666"/>
    <n v="165"/>
    <d v="2034-10-21T00:00:00"/>
    <s v=""/>
    <x v="4"/>
    <x v="0"/>
  </r>
  <r>
    <n v="26210468256"/>
    <n v="35"/>
    <d v="2034-10-21T00:00:00"/>
    <s v=""/>
    <x v="4"/>
    <x v="0"/>
  </r>
  <r>
    <n v="49913752055"/>
    <n v="187"/>
    <d v="2034-10-21T00:00:00"/>
    <s v=""/>
    <x v="4"/>
    <x v="0"/>
  </r>
  <r>
    <n v="15449950610"/>
    <n v="261"/>
    <d v="2034-10-21T00:00:00"/>
    <s v=""/>
    <x v="4"/>
    <x v="0"/>
  </r>
  <r>
    <n v="66354838939"/>
    <n v="98"/>
    <d v="2034-10-21T00:00:00"/>
    <s v=""/>
    <x v="4"/>
    <x v="0"/>
  </r>
  <r>
    <n v="59236302034"/>
    <n v="104"/>
    <d v="2034-10-21T00:00:00"/>
    <s v=""/>
    <x v="4"/>
    <x v="0"/>
  </r>
  <r>
    <n v="28071017920"/>
    <n v="189"/>
    <d v="2034-10-21T00:00:00"/>
    <s v=""/>
    <x v="4"/>
    <x v="0"/>
  </r>
  <r>
    <n v="88780846765"/>
    <n v="240"/>
    <d v="2034-10-21T00:00:00"/>
    <s v=""/>
    <x v="4"/>
    <x v="0"/>
  </r>
  <r>
    <n v="45815168729"/>
    <n v="323"/>
    <d v="2034-10-21T00:00:00"/>
    <s v=""/>
    <x v="4"/>
    <x v="0"/>
  </r>
  <r>
    <n v="77405596672"/>
    <n v="123"/>
    <d v="2034-10-21T00:00:00"/>
    <s v=""/>
    <x v="4"/>
    <x v="0"/>
  </r>
  <r>
    <n v="95234774891"/>
    <n v="162"/>
    <d v="2034-10-21T00:00:00"/>
    <s v=""/>
    <x v="4"/>
    <x v="0"/>
  </r>
  <r>
    <n v="27335828967"/>
    <n v="164"/>
    <d v="2034-10-21T00:00:00"/>
    <s v=""/>
    <x v="4"/>
    <x v="0"/>
  </r>
  <r>
    <n v="54971435444"/>
    <n v="252"/>
    <d v="2034-10-21T00:00:00"/>
    <d v="2034-12-06T00:00:00"/>
    <x v="4"/>
    <x v="7"/>
  </r>
  <r>
    <n v="31792697704"/>
    <n v="2"/>
    <d v="2034-10-21T00:00:00"/>
    <d v="2034-10-29T00:00:00"/>
    <x v="4"/>
    <x v="5"/>
  </r>
  <r>
    <n v="44554122224"/>
    <n v="17"/>
    <d v="2034-10-21T00:00:00"/>
    <d v="2034-10-28T00:00:00"/>
    <x v="4"/>
    <x v="5"/>
  </r>
  <r>
    <n v="84934479903"/>
    <n v="174"/>
    <d v="2034-10-21T00:00:00"/>
    <s v=""/>
    <x v="4"/>
    <x v="0"/>
  </r>
  <r>
    <n v="40430264216"/>
    <n v="154"/>
    <d v="2034-10-21T00:00:00"/>
    <s v=""/>
    <x v="4"/>
    <x v="0"/>
  </r>
  <r>
    <n v="33042398992"/>
    <n v="195"/>
    <d v="2034-10-21T00:00:00"/>
    <s v=""/>
    <x v="4"/>
    <x v="0"/>
  </r>
  <r>
    <n v="49695080631"/>
    <n v="157"/>
    <d v="2034-10-21T00:00:00"/>
    <s v=""/>
    <x v="4"/>
    <x v="0"/>
  </r>
  <r>
    <n v="46415595836"/>
    <n v="144"/>
    <d v="2034-10-21T00:00:00"/>
    <s v=""/>
    <x v="4"/>
    <x v="0"/>
  </r>
  <r>
    <n v="38348697260"/>
    <n v="28"/>
    <d v="2034-10-22T00:00:00"/>
    <s v=""/>
    <x v="4"/>
    <x v="0"/>
  </r>
  <r>
    <n v="89752489766"/>
    <n v="317"/>
    <d v="2034-10-22T00:00:00"/>
    <s v=""/>
    <x v="4"/>
    <x v="0"/>
  </r>
  <r>
    <n v="70694938945"/>
    <n v="301"/>
    <d v="2034-10-22T00:00:00"/>
    <s v=""/>
    <x v="4"/>
    <x v="0"/>
  </r>
  <r>
    <n v="55019345429"/>
    <n v="267"/>
    <d v="2034-10-22T00:00:00"/>
    <s v=""/>
    <x v="4"/>
    <x v="0"/>
  </r>
  <r>
    <n v="78306231543"/>
    <n v="63"/>
    <d v="2034-10-22T00:00:00"/>
    <d v="2034-10-27T00:00:00"/>
    <x v="4"/>
    <x v="5"/>
  </r>
  <r>
    <n v="70203348508"/>
    <n v="297"/>
    <d v="2034-10-22T00:00:00"/>
    <s v=""/>
    <x v="4"/>
    <x v="0"/>
  </r>
  <r>
    <n v="40391533852"/>
    <n v="158"/>
    <d v="2034-10-22T00:00:00"/>
    <s v=""/>
    <x v="4"/>
    <x v="0"/>
  </r>
  <r>
    <n v="19752471990"/>
    <n v="4"/>
    <d v="2034-10-22T00:00:00"/>
    <s v=""/>
    <x v="4"/>
    <x v="0"/>
  </r>
  <r>
    <n v="14839303979"/>
    <n v="51"/>
    <d v="2034-10-22T00:00:00"/>
    <s v=""/>
    <x v="4"/>
    <x v="0"/>
  </r>
  <r>
    <n v="78434632190"/>
    <n v="78"/>
    <d v="2034-10-22T00:00:00"/>
    <d v="2035-01-31T00:00:00"/>
    <x v="4"/>
    <x v="8"/>
  </r>
  <r>
    <n v="95506309348"/>
    <n v="69"/>
    <d v="2034-10-22T00:00:00"/>
    <m/>
    <x v="4"/>
    <x v="0"/>
  </r>
  <r>
    <n v="87541011132"/>
    <n v="124"/>
    <d v="2034-10-22T00:00:00"/>
    <s v=""/>
    <x v="4"/>
    <x v="0"/>
  </r>
  <r>
    <n v="87916510512"/>
    <n v="1"/>
    <d v="2034-10-22T00:00:00"/>
    <s v=""/>
    <x v="4"/>
    <x v="0"/>
  </r>
  <r>
    <n v="19692110561"/>
    <n v="39"/>
    <d v="2034-10-22T00:00:00"/>
    <d v="2034-12-22T00:00:00"/>
    <x v="4"/>
    <x v="7"/>
  </r>
  <r>
    <n v="90506259723"/>
    <n v="167"/>
    <d v="2034-10-22T00:00:00"/>
    <s v=""/>
    <x v="4"/>
    <x v="0"/>
  </r>
  <r>
    <n v="52987320166"/>
    <n v="100"/>
    <d v="2034-10-22T00:00:00"/>
    <s v=""/>
    <x v="4"/>
    <x v="0"/>
  </r>
  <r>
    <n v="97082765101"/>
    <n v="88"/>
    <d v="2034-10-22T00:00:00"/>
    <s v=""/>
    <x v="4"/>
    <x v="0"/>
  </r>
  <r>
    <n v="59823246974"/>
    <n v="295"/>
    <d v="2034-10-22T00:00:00"/>
    <s v=""/>
    <x v="4"/>
    <x v="0"/>
  </r>
  <r>
    <n v="37469199940"/>
    <n v="308"/>
    <d v="2034-10-22T00:00:00"/>
    <d v="2034-11-26T00:00:00"/>
    <x v="4"/>
    <x v="6"/>
  </r>
  <r>
    <n v="60641712997"/>
    <n v="46"/>
    <d v="2034-10-22T00:00:00"/>
    <s v=""/>
    <x v="4"/>
    <x v="0"/>
  </r>
  <r>
    <n v="58368477458"/>
    <n v="183"/>
    <d v="2034-10-22T00:00:00"/>
    <d v="2035-01-06T00:00:00"/>
    <x v="4"/>
    <x v="8"/>
  </r>
  <r>
    <n v="11858027865"/>
    <n v="319"/>
    <d v="2034-10-22T00:00:00"/>
    <m/>
    <x v="4"/>
    <x v="0"/>
  </r>
  <r>
    <n v="24780479173"/>
    <n v="86"/>
    <d v="2034-10-22T00:00:00"/>
    <s v=""/>
    <x v="4"/>
    <x v="0"/>
  </r>
  <r>
    <n v="88004458501"/>
    <n v="44"/>
    <d v="2034-10-22T00:00:00"/>
    <s v=""/>
    <x v="4"/>
    <x v="0"/>
  </r>
  <r>
    <n v="46766046794"/>
    <n v="9"/>
    <d v="2034-10-22T00:00:00"/>
    <d v="2035-01-03T00:00:00"/>
    <x v="4"/>
    <x v="8"/>
  </r>
  <r>
    <n v="38815809949"/>
    <n v="48"/>
    <d v="2034-10-22T00:00:00"/>
    <s v=""/>
    <x v="4"/>
    <x v="0"/>
  </r>
  <r>
    <n v="26417008389"/>
    <n v="233"/>
    <d v="2034-10-22T00:00:00"/>
    <d v="2035-01-19T00:00:00"/>
    <x v="4"/>
    <x v="8"/>
  </r>
  <r>
    <n v="90695326162"/>
    <n v="224"/>
    <d v="2034-10-22T00:00:00"/>
    <s v=""/>
    <x v="4"/>
    <x v="0"/>
  </r>
  <r>
    <n v="54024569509"/>
    <n v="66"/>
    <d v="2034-10-22T00:00:00"/>
    <s v=""/>
    <x v="4"/>
    <x v="0"/>
  </r>
  <r>
    <n v="64304796705"/>
    <n v="52"/>
    <d v="2034-10-22T00:00:00"/>
    <s v=""/>
    <x v="4"/>
    <x v="0"/>
  </r>
  <r>
    <n v="97977243294"/>
    <n v="92"/>
    <d v="2034-10-23T00:00:00"/>
    <d v="2034-11-11T00:00:00"/>
    <x v="4"/>
    <x v="6"/>
  </r>
  <r>
    <n v="38935193323"/>
    <n v="121"/>
    <d v="2034-10-23T00:00:00"/>
    <s v=""/>
    <x v="4"/>
    <x v="0"/>
  </r>
  <r>
    <n v="93678403460"/>
    <n v="237"/>
    <d v="2034-10-23T00:00:00"/>
    <d v="2034-11-24T00:00:00"/>
    <x v="4"/>
    <x v="6"/>
  </r>
  <r>
    <n v="24988669257"/>
    <n v="109"/>
    <d v="2034-10-23T00:00:00"/>
    <s v=""/>
    <x v="4"/>
    <x v="0"/>
  </r>
  <r>
    <n v="48983974010"/>
    <n v="185"/>
    <d v="2034-10-23T00:00:00"/>
    <s v=""/>
    <x v="4"/>
    <x v="0"/>
  </r>
  <r>
    <n v="66977288628"/>
    <n v="72"/>
    <d v="2034-10-23T00:00:00"/>
    <s v=""/>
    <x v="4"/>
    <x v="0"/>
  </r>
  <r>
    <n v="27844916310"/>
    <n v="74"/>
    <d v="2034-10-23T00:00:00"/>
    <s v=""/>
    <x v="4"/>
    <x v="0"/>
  </r>
  <r>
    <n v="58692293984"/>
    <n v="36"/>
    <d v="2034-10-23T00:00:00"/>
    <s v=""/>
    <x v="4"/>
    <x v="0"/>
  </r>
  <r>
    <n v="19517647503"/>
    <n v="66"/>
    <d v="2034-10-23T00:00:00"/>
    <s v=""/>
    <x v="4"/>
    <x v="0"/>
  </r>
  <r>
    <n v="75312465683"/>
    <n v="63"/>
    <d v="2034-10-23T00:00:00"/>
    <s v=""/>
    <x v="4"/>
    <x v="0"/>
  </r>
  <r>
    <n v="59487012575"/>
    <n v="99"/>
    <d v="2034-10-23T00:00:00"/>
    <s v=""/>
    <x v="4"/>
    <x v="0"/>
  </r>
  <r>
    <n v="23177030587"/>
    <n v="73"/>
    <d v="2034-10-23T00:00:00"/>
    <s v=""/>
    <x v="4"/>
    <x v="0"/>
  </r>
  <r>
    <n v="55885154036"/>
    <n v="307"/>
    <d v="2034-10-23T00:00:00"/>
    <s v=""/>
    <x v="4"/>
    <x v="0"/>
  </r>
  <r>
    <n v="52051333223"/>
    <n v="216"/>
    <d v="2034-10-23T00:00:00"/>
    <m/>
    <x v="4"/>
    <x v="0"/>
  </r>
  <r>
    <n v="96370723616"/>
    <n v="174"/>
    <d v="2034-10-23T00:00:00"/>
    <s v=""/>
    <x v="4"/>
    <x v="0"/>
  </r>
  <r>
    <n v="24562882923"/>
    <n v="13"/>
    <d v="2034-10-23T00:00:00"/>
    <s v=""/>
    <x v="4"/>
    <x v="0"/>
  </r>
  <r>
    <n v="29339151119"/>
    <n v="330"/>
    <d v="2034-10-23T00:00:00"/>
    <s v=""/>
    <x v="4"/>
    <x v="0"/>
  </r>
  <r>
    <n v="83691607567"/>
    <n v="213"/>
    <d v="2034-10-23T00:00:00"/>
    <s v=""/>
    <x v="4"/>
    <x v="0"/>
  </r>
  <r>
    <n v="11817937029"/>
    <n v="156"/>
    <d v="2034-10-23T00:00:00"/>
    <s v=""/>
    <x v="4"/>
    <x v="0"/>
  </r>
  <r>
    <n v="36893459266"/>
    <n v="13"/>
    <d v="2034-10-23T00:00:00"/>
    <s v=""/>
    <x v="4"/>
    <x v="0"/>
  </r>
  <r>
    <n v="89946180014"/>
    <n v="108"/>
    <d v="2034-10-23T00:00:00"/>
    <s v=""/>
    <x v="4"/>
    <x v="0"/>
  </r>
  <r>
    <n v="94262642711"/>
    <n v="235"/>
    <d v="2034-10-23T00:00:00"/>
    <s v=""/>
    <x v="4"/>
    <x v="0"/>
  </r>
  <r>
    <n v="35497927859"/>
    <n v="73"/>
    <d v="2034-10-23T00:00:00"/>
    <s v=""/>
    <x v="4"/>
    <x v="0"/>
  </r>
  <r>
    <n v="47171530358"/>
    <n v="68"/>
    <d v="2034-10-23T00:00:00"/>
    <s v=""/>
    <x v="4"/>
    <x v="0"/>
  </r>
  <r>
    <n v="14694279552"/>
    <n v="316"/>
    <d v="2034-10-23T00:00:00"/>
    <s v=""/>
    <x v="4"/>
    <x v="0"/>
  </r>
  <r>
    <n v="94245440753"/>
    <n v="282"/>
    <d v="2034-10-23T00:00:00"/>
    <d v="2034-11-06T00:00:00"/>
    <x v="4"/>
    <x v="6"/>
  </r>
  <r>
    <n v="98186456086"/>
    <n v="71"/>
    <d v="2034-10-23T00:00:00"/>
    <d v="2034-11-09T00:00:00"/>
    <x v="4"/>
    <x v="6"/>
  </r>
  <r>
    <n v="15806419732"/>
    <n v="232"/>
    <d v="2034-10-23T00:00:00"/>
    <d v="2034-11-15T00:00:00"/>
    <x v="4"/>
    <x v="6"/>
  </r>
  <r>
    <n v="57182901878"/>
    <n v="20"/>
    <d v="2034-10-23T00:00:00"/>
    <d v="2034-12-17T00:00:00"/>
    <x v="4"/>
    <x v="7"/>
  </r>
  <r>
    <n v="52414775459"/>
    <n v="160"/>
    <d v="2034-10-23T00:00:00"/>
    <d v="2034-12-30T00:00:00"/>
    <x v="4"/>
    <x v="7"/>
  </r>
  <r>
    <n v="99200051523"/>
    <n v="45"/>
    <d v="2034-10-23T00:00:00"/>
    <s v=""/>
    <x v="4"/>
    <x v="0"/>
  </r>
  <r>
    <n v="93520293955"/>
    <n v="82"/>
    <d v="2034-10-23T00:00:00"/>
    <s v=""/>
    <x v="4"/>
    <x v="0"/>
  </r>
  <r>
    <n v="43520908139"/>
    <n v="297"/>
    <d v="2034-10-23T00:00:00"/>
    <s v=""/>
    <x v="4"/>
    <x v="0"/>
  </r>
  <r>
    <n v="47728834338"/>
    <n v="246"/>
    <d v="2034-10-24T00:00:00"/>
    <d v="2034-11-02T00:00:00"/>
    <x v="4"/>
    <x v="6"/>
  </r>
  <r>
    <n v="88214107974"/>
    <n v="331"/>
    <d v="2034-10-24T00:00:00"/>
    <s v=""/>
    <x v="4"/>
    <x v="0"/>
  </r>
  <r>
    <n v="32257679600"/>
    <n v="268"/>
    <d v="2034-10-24T00:00:00"/>
    <s v=""/>
    <x v="4"/>
    <x v="0"/>
  </r>
  <r>
    <n v="33247136100"/>
    <n v="158"/>
    <d v="2034-10-24T00:00:00"/>
    <s v=""/>
    <x v="4"/>
    <x v="0"/>
  </r>
  <r>
    <n v="25931228143"/>
    <n v="237"/>
    <d v="2034-10-24T00:00:00"/>
    <s v=""/>
    <x v="4"/>
    <x v="0"/>
  </r>
  <r>
    <n v="40846819640"/>
    <n v="239"/>
    <d v="2034-10-24T00:00:00"/>
    <s v=""/>
    <x v="4"/>
    <x v="0"/>
  </r>
  <r>
    <n v="16922815017"/>
    <n v="226"/>
    <d v="2034-10-24T00:00:00"/>
    <s v=""/>
    <x v="4"/>
    <x v="0"/>
  </r>
  <r>
    <n v="53410439863"/>
    <n v="208"/>
    <d v="2034-10-24T00:00:00"/>
    <s v=""/>
    <x v="4"/>
    <x v="0"/>
  </r>
  <r>
    <n v="31301649492"/>
    <n v="289"/>
    <d v="2034-10-24T00:00:00"/>
    <s v=""/>
    <x v="4"/>
    <x v="0"/>
  </r>
  <r>
    <n v="17449044774"/>
    <n v="221"/>
    <d v="2034-10-24T00:00:00"/>
    <s v=""/>
    <x v="4"/>
    <x v="0"/>
  </r>
  <r>
    <n v="32118602421"/>
    <n v="140"/>
    <d v="2034-10-24T00:00:00"/>
    <s v=""/>
    <x v="4"/>
    <x v="0"/>
  </r>
  <r>
    <n v="77080009936"/>
    <n v="320"/>
    <d v="2034-10-24T00:00:00"/>
    <s v=""/>
    <x v="4"/>
    <x v="0"/>
  </r>
  <r>
    <n v="29186141162"/>
    <n v="314"/>
    <d v="2034-10-24T00:00:00"/>
    <s v=""/>
    <x v="4"/>
    <x v="0"/>
  </r>
  <r>
    <n v="89966823235"/>
    <n v="46"/>
    <d v="2034-10-24T00:00:00"/>
    <s v=""/>
    <x v="4"/>
    <x v="0"/>
  </r>
  <r>
    <n v="16471334764"/>
    <n v="275"/>
    <d v="2034-10-24T00:00:00"/>
    <s v=""/>
    <x v="4"/>
    <x v="0"/>
  </r>
  <r>
    <n v="28272808241"/>
    <n v="158"/>
    <d v="2034-10-24T00:00:00"/>
    <s v=""/>
    <x v="4"/>
    <x v="0"/>
  </r>
  <r>
    <n v="39166046395"/>
    <n v="11"/>
    <d v="2034-10-24T00:00:00"/>
    <d v="2034-12-13T00:00:00"/>
    <x v="4"/>
    <x v="7"/>
  </r>
  <r>
    <n v="91578879582"/>
    <n v="215"/>
    <d v="2034-10-24T00:00:00"/>
    <s v=""/>
    <x v="4"/>
    <x v="0"/>
  </r>
  <r>
    <n v="48677805989"/>
    <n v="329"/>
    <d v="2034-10-24T00:00:00"/>
    <s v=""/>
    <x v="4"/>
    <x v="0"/>
  </r>
  <r>
    <n v="99891530274"/>
    <n v="279"/>
    <d v="2034-10-24T00:00:00"/>
    <s v=""/>
    <x v="4"/>
    <x v="0"/>
  </r>
  <r>
    <n v="28050756994"/>
    <n v="302"/>
    <d v="2034-10-24T00:00:00"/>
    <d v="2034-12-11T00:00:00"/>
    <x v="4"/>
    <x v="7"/>
  </r>
  <r>
    <n v="22198084992"/>
    <n v="101"/>
    <d v="2034-10-24T00:00:00"/>
    <d v="2034-12-23T00:00:00"/>
    <x v="4"/>
    <x v="7"/>
  </r>
  <r>
    <n v="87667370895"/>
    <n v="312"/>
    <d v="2034-10-24T00:00:00"/>
    <s v=""/>
    <x v="4"/>
    <x v="0"/>
  </r>
  <r>
    <n v="73311134834"/>
    <n v="63"/>
    <d v="2034-10-24T00:00:00"/>
    <d v="2034-11-25T00:00:00"/>
    <x v="4"/>
    <x v="6"/>
  </r>
  <r>
    <n v="21560745534"/>
    <n v="335"/>
    <d v="2034-10-24T00:00:00"/>
    <d v="2035-01-23T00:00:00"/>
    <x v="4"/>
    <x v="8"/>
  </r>
  <r>
    <n v="59375488001"/>
    <n v="327"/>
    <d v="2034-10-24T00:00:00"/>
    <s v=""/>
    <x v="4"/>
    <x v="0"/>
  </r>
  <r>
    <n v="72669892122"/>
    <n v="200"/>
    <d v="2034-10-24T00:00:00"/>
    <s v=""/>
    <x v="4"/>
    <x v="0"/>
  </r>
  <r>
    <n v="30779174937"/>
    <n v="95"/>
    <d v="2034-10-24T00:00:00"/>
    <s v=""/>
    <x v="4"/>
    <x v="0"/>
  </r>
  <r>
    <n v="53549935988"/>
    <n v="38"/>
    <d v="2034-10-24T00:00:00"/>
    <s v=""/>
    <x v="4"/>
    <x v="0"/>
  </r>
  <r>
    <n v="81218074257"/>
    <n v="235"/>
    <d v="2034-10-24T00:00:00"/>
    <s v=""/>
    <x v="4"/>
    <x v="0"/>
  </r>
  <r>
    <n v="12103724593"/>
    <n v="221"/>
    <d v="2034-10-24T00:00:00"/>
    <s v=""/>
    <x v="4"/>
    <x v="0"/>
  </r>
  <r>
    <n v="24974731415"/>
    <n v="55"/>
    <d v="2034-10-24T00:00:00"/>
    <s v=""/>
    <x v="4"/>
    <x v="0"/>
  </r>
  <r>
    <n v="43831928824"/>
    <n v="269"/>
    <d v="2034-10-24T00:00:00"/>
    <d v="2034-12-21T00:00:00"/>
    <x v="4"/>
    <x v="7"/>
  </r>
  <r>
    <n v="20574968257"/>
    <n v="15"/>
    <d v="2034-10-24T00:00:00"/>
    <m/>
    <x v="4"/>
    <x v="0"/>
  </r>
  <r>
    <n v="28584426837"/>
    <n v="267"/>
    <d v="2034-10-24T00:00:00"/>
    <s v=""/>
    <x v="4"/>
    <x v="0"/>
  </r>
  <r>
    <n v="47656069819"/>
    <n v="94"/>
    <d v="2034-10-24T00:00:00"/>
    <s v=""/>
    <x v="4"/>
    <x v="0"/>
  </r>
  <r>
    <n v="24441960711"/>
    <n v="186"/>
    <d v="2034-10-24T00:00:00"/>
    <s v=""/>
    <x v="4"/>
    <x v="0"/>
  </r>
  <r>
    <n v="84643492312"/>
    <n v="17"/>
    <d v="2034-10-24T00:00:00"/>
    <s v=""/>
    <x v="4"/>
    <x v="0"/>
  </r>
  <r>
    <n v="95539626156"/>
    <n v="94"/>
    <d v="2034-10-24T00:00:00"/>
    <s v=""/>
    <x v="4"/>
    <x v="0"/>
  </r>
  <r>
    <n v="13481126978"/>
    <n v="28"/>
    <d v="2034-10-25T00:00:00"/>
    <s v=""/>
    <x v="4"/>
    <x v="0"/>
  </r>
  <r>
    <n v="27575369113"/>
    <n v="244"/>
    <d v="2034-10-25T00:00:00"/>
    <s v=""/>
    <x v="4"/>
    <x v="0"/>
  </r>
  <r>
    <n v="61546737815"/>
    <n v="288"/>
    <d v="2034-10-25T00:00:00"/>
    <s v=""/>
    <x v="4"/>
    <x v="0"/>
  </r>
  <r>
    <n v="32622914833"/>
    <n v="268"/>
    <d v="2034-10-25T00:00:00"/>
    <s v=""/>
    <x v="4"/>
    <x v="0"/>
  </r>
  <r>
    <n v="95068962829"/>
    <n v="161"/>
    <d v="2034-10-25T00:00:00"/>
    <d v="2035-01-28T00:00:00"/>
    <x v="4"/>
    <x v="8"/>
  </r>
  <r>
    <n v="69110604543"/>
    <n v="8"/>
    <d v="2034-10-25T00:00:00"/>
    <s v=""/>
    <x v="4"/>
    <x v="0"/>
  </r>
  <r>
    <n v="64973492339"/>
    <n v="269"/>
    <d v="2034-10-25T00:00:00"/>
    <s v=""/>
    <x v="4"/>
    <x v="0"/>
  </r>
  <r>
    <n v="47795841471"/>
    <n v="74"/>
    <d v="2034-10-25T00:00:00"/>
    <s v=""/>
    <x v="4"/>
    <x v="0"/>
  </r>
  <r>
    <n v="82380197100"/>
    <n v="282"/>
    <d v="2034-10-25T00:00:00"/>
    <s v=""/>
    <x v="4"/>
    <x v="0"/>
  </r>
  <r>
    <n v="73920263084"/>
    <n v="111"/>
    <d v="2034-10-25T00:00:00"/>
    <s v=""/>
    <x v="4"/>
    <x v="0"/>
  </r>
  <r>
    <n v="81036311978"/>
    <n v="215"/>
    <d v="2034-10-25T00:00:00"/>
    <s v=""/>
    <x v="4"/>
    <x v="0"/>
  </r>
  <r>
    <n v="70144893168"/>
    <n v="177"/>
    <d v="2034-10-25T00:00:00"/>
    <s v=""/>
    <x v="4"/>
    <x v="0"/>
  </r>
  <r>
    <n v="28731741583"/>
    <n v="227"/>
    <d v="2034-10-25T00:00:00"/>
    <s v=""/>
    <x v="4"/>
    <x v="0"/>
  </r>
  <r>
    <n v="46520389556"/>
    <n v="45"/>
    <d v="2034-10-25T00:00:00"/>
    <s v=""/>
    <x v="4"/>
    <x v="0"/>
  </r>
  <r>
    <n v="94824642869"/>
    <n v="35"/>
    <d v="2034-10-25T00:00:00"/>
    <s v=""/>
    <x v="4"/>
    <x v="0"/>
  </r>
  <r>
    <n v="56983506407"/>
    <n v="294"/>
    <d v="2034-10-25T00:00:00"/>
    <s v=""/>
    <x v="4"/>
    <x v="0"/>
  </r>
  <r>
    <n v="39948016310"/>
    <n v="312"/>
    <d v="2034-10-25T00:00:00"/>
    <s v=""/>
    <x v="4"/>
    <x v="0"/>
  </r>
  <r>
    <n v="44091900331"/>
    <n v="265"/>
    <d v="2034-10-25T00:00:00"/>
    <s v=""/>
    <x v="4"/>
    <x v="0"/>
  </r>
  <r>
    <n v="17717176322"/>
    <n v="299"/>
    <d v="2034-10-25T00:00:00"/>
    <s v=""/>
    <x v="4"/>
    <x v="0"/>
  </r>
  <r>
    <n v="13504020977"/>
    <n v="120"/>
    <d v="2034-10-26T00:00:00"/>
    <s v=""/>
    <x v="4"/>
    <x v="0"/>
  </r>
  <r>
    <n v="21391257394"/>
    <n v="257"/>
    <d v="2034-10-26T00:00:00"/>
    <s v=""/>
    <x v="4"/>
    <x v="0"/>
  </r>
  <r>
    <n v="25615736415"/>
    <n v="82"/>
    <d v="2034-10-26T00:00:00"/>
    <s v=""/>
    <x v="4"/>
    <x v="0"/>
  </r>
  <r>
    <n v="16294063162"/>
    <n v="5"/>
    <d v="2034-10-26T00:00:00"/>
    <s v=""/>
    <x v="4"/>
    <x v="0"/>
  </r>
  <r>
    <n v="95352382708"/>
    <n v="197"/>
    <d v="2034-10-26T00:00:00"/>
    <s v=""/>
    <x v="4"/>
    <x v="0"/>
  </r>
  <r>
    <n v="72829489420"/>
    <n v="166"/>
    <d v="2034-10-26T00:00:00"/>
    <s v=""/>
    <x v="4"/>
    <x v="0"/>
  </r>
  <r>
    <n v="13659550717"/>
    <n v="28"/>
    <d v="2034-10-26T00:00:00"/>
    <d v="2034-12-23T00:00:00"/>
    <x v="4"/>
    <x v="7"/>
  </r>
  <r>
    <n v="38443759685"/>
    <n v="55"/>
    <d v="2034-10-26T00:00:00"/>
    <s v=""/>
    <x v="4"/>
    <x v="0"/>
  </r>
  <r>
    <n v="28195987692"/>
    <n v="272"/>
    <d v="2034-10-26T00:00:00"/>
    <s v=""/>
    <x v="4"/>
    <x v="0"/>
  </r>
  <r>
    <n v="63913003676"/>
    <n v="265"/>
    <d v="2034-10-26T00:00:00"/>
    <s v=""/>
    <x v="4"/>
    <x v="0"/>
  </r>
  <r>
    <n v="19262980266"/>
    <n v="5"/>
    <d v="2034-10-26T00:00:00"/>
    <s v=""/>
    <x v="4"/>
    <x v="0"/>
  </r>
  <r>
    <n v="61235108219"/>
    <n v="6"/>
    <d v="2034-10-26T00:00:00"/>
    <m/>
    <x v="4"/>
    <x v="0"/>
  </r>
  <r>
    <n v="96570958493"/>
    <n v="54"/>
    <d v="2034-10-26T00:00:00"/>
    <s v=""/>
    <x v="4"/>
    <x v="0"/>
  </r>
  <r>
    <n v="23413878354"/>
    <n v="10"/>
    <d v="2034-10-26T00:00:00"/>
    <s v=""/>
    <x v="4"/>
    <x v="0"/>
  </r>
  <r>
    <n v="34958685706"/>
    <n v="212"/>
    <d v="2034-10-26T00:00:00"/>
    <s v=""/>
    <x v="4"/>
    <x v="0"/>
  </r>
  <r>
    <n v="21568411826"/>
    <n v="304"/>
    <d v="2034-10-26T00:00:00"/>
    <s v=""/>
    <x v="4"/>
    <x v="0"/>
  </r>
  <r>
    <n v="41501890514"/>
    <n v="36"/>
    <d v="2034-10-26T00:00:00"/>
    <d v="2034-11-14T00:00:00"/>
    <x v="4"/>
    <x v="6"/>
  </r>
  <r>
    <n v="48722495676"/>
    <n v="253"/>
    <d v="2034-10-26T00:00:00"/>
    <d v="2034-12-12T00:00:00"/>
    <x v="4"/>
    <x v="7"/>
  </r>
  <r>
    <n v="44690277953"/>
    <n v="164"/>
    <d v="2034-10-27T00:00:00"/>
    <s v=""/>
    <x v="4"/>
    <x v="0"/>
  </r>
  <r>
    <n v="77994215754"/>
    <n v="201"/>
    <d v="2034-10-27T00:00:00"/>
    <s v=""/>
    <x v="4"/>
    <x v="0"/>
  </r>
  <r>
    <n v="77166948628"/>
    <n v="76"/>
    <d v="2034-10-27T00:00:00"/>
    <m/>
    <x v="4"/>
    <x v="0"/>
  </r>
  <r>
    <n v="85174338474"/>
    <n v="130"/>
    <d v="2034-10-27T00:00:00"/>
    <s v=""/>
    <x v="4"/>
    <x v="0"/>
  </r>
  <r>
    <n v="73132601997"/>
    <n v="93"/>
    <d v="2034-10-27T00:00:00"/>
    <s v=""/>
    <x v="4"/>
    <x v="0"/>
  </r>
  <r>
    <n v="79505838254"/>
    <n v="50"/>
    <d v="2034-10-27T00:00:00"/>
    <s v=""/>
    <x v="4"/>
    <x v="0"/>
  </r>
  <r>
    <n v="94933505872"/>
    <n v="3"/>
    <d v="2034-10-27T00:00:00"/>
    <s v=""/>
    <x v="4"/>
    <x v="0"/>
  </r>
  <r>
    <n v="82590897413"/>
    <n v="65"/>
    <d v="2034-10-27T00:00:00"/>
    <s v=""/>
    <x v="4"/>
    <x v="0"/>
  </r>
  <r>
    <n v="68965559779"/>
    <n v="136"/>
    <d v="2034-10-27T00:00:00"/>
    <s v=""/>
    <x v="4"/>
    <x v="0"/>
  </r>
  <r>
    <n v="42752120884"/>
    <n v="112"/>
    <d v="2034-10-27T00:00:00"/>
    <s v=""/>
    <x v="4"/>
    <x v="0"/>
  </r>
  <r>
    <n v="45510861541"/>
    <n v="205"/>
    <d v="2034-10-27T00:00:00"/>
    <m/>
    <x v="4"/>
    <x v="0"/>
  </r>
  <r>
    <n v="78973079936"/>
    <n v="309"/>
    <d v="2034-10-27T00:00:00"/>
    <s v=""/>
    <x v="4"/>
    <x v="0"/>
  </r>
  <r>
    <n v="82694766968"/>
    <n v="24"/>
    <d v="2034-10-27T00:00:00"/>
    <d v="2035-01-19T00:00:00"/>
    <x v="4"/>
    <x v="8"/>
  </r>
  <r>
    <n v="84687218331"/>
    <n v="74"/>
    <d v="2034-10-27T00:00:00"/>
    <s v=""/>
    <x v="4"/>
    <x v="0"/>
  </r>
  <r>
    <n v="96081244017"/>
    <n v="318"/>
    <d v="2034-10-27T00:00:00"/>
    <s v=""/>
    <x v="4"/>
    <x v="0"/>
  </r>
  <r>
    <n v="48075727179"/>
    <n v="234"/>
    <d v="2034-10-27T00:00:00"/>
    <s v=""/>
    <x v="4"/>
    <x v="0"/>
  </r>
  <r>
    <n v="96019505021"/>
    <n v="92"/>
    <d v="2034-10-27T00:00:00"/>
    <s v=""/>
    <x v="4"/>
    <x v="0"/>
  </r>
  <r>
    <n v="85835834735"/>
    <n v="12"/>
    <d v="2034-10-27T00:00:00"/>
    <s v=""/>
    <x v="4"/>
    <x v="0"/>
  </r>
  <r>
    <n v="70718340872"/>
    <n v="21"/>
    <d v="2034-10-27T00:00:00"/>
    <s v=""/>
    <x v="4"/>
    <x v="0"/>
  </r>
  <r>
    <n v="15797537214"/>
    <n v="121"/>
    <d v="2034-10-28T00:00:00"/>
    <s v=""/>
    <x v="4"/>
    <x v="0"/>
  </r>
  <r>
    <n v="98552113064"/>
    <n v="124"/>
    <d v="2034-10-28T00:00:00"/>
    <s v=""/>
    <x v="4"/>
    <x v="0"/>
  </r>
  <r>
    <n v="28567039775"/>
    <n v="317"/>
    <d v="2034-10-28T00:00:00"/>
    <s v=""/>
    <x v="4"/>
    <x v="0"/>
  </r>
  <r>
    <n v="52465151380"/>
    <n v="309"/>
    <d v="2034-10-28T00:00:00"/>
    <m/>
    <x v="4"/>
    <x v="0"/>
  </r>
  <r>
    <n v="24641187086"/>
    <n v="275"/>
    <d v="2034-10-28T00:00:00"/>
    <s v=""/>
    <x v="4"/>
    <x v="0"/>
  </r>
  <r>
    <n v="65080587458"/>
    <n v="223"/>
    <d v="2034-10-28T00:00:00"/>
    <s v=""/>
    <x v="4"/>
    <x v="0"/>
  </r>
  <r>
    <n v="92218300236"/>
    <n v="261"/>
    <d v="2034-10-28T00:00:00"/>
    <s v=""/>
    <x v="4"/>
    <x v="0"/>
  </r>
  <r>
    <n v="48760093715"/>
    <n v="138"/>
    <d v="2034-10-28T00:00:00"/>
    <s v=""/>
    <x v="4"/>
    <x v="0"/>
  </r>
  <r>
    <n v="17882358731"/>
    <n v="221"/>
    <d v="2034-10-28T00:00:00"/>
    <s v=""/>
    <x v="4"/>
    <x v="0"/>
  </r>
  <r>
    <n v="62458864371"/>
    <n v="119"/>
    <d v="2034-10-28T00:00:00"/>
    <s v=""/>
    <x v="4"/>
    <x v="0"/>
  </r>
  <r>
    <n v="56669844136"/>
    <n v="5"/>
    <d v="2034-10-28T00:00:00"/>
    <s v=""/>
    <x v="4"/>
    <x v="0"/>
  </r>
  <r>
    <n v="15409915967"/>
    <n v="337"/>
    <d v="2034-10-28T00:00:00"/>
    <s v=""/>
    <x v="4"/>
    <x v="0"/>
  </r>
  <r>
    <n v="84388423607"/>
    <n v="184"/>
    <d v="2034-10-28T00:00:00"/>
    <s v=""/>
    <x v="4"/>
    <x v="0"/>
  </r>
  <r>
    <n v="91278571702"/>
    <n v="193"/>
    <d v="2034-10-28T00:00:00"/>
    <s v=""/>
    <x v="4"/>
    <x v="0"/>
  </r>
  <r>
    <n v="39488533673"/>
    <n v="117"/>
    <d v="2034-10-28T00:00:00"/>
    <s v=""/>
    <x v="4"/>
    <x v="0"/>
  </r>
  <r>
    <n v="74811365115"/>
    <n v="263"/>
    <d v="2034-10-28T00:00:00"/>
    <s v=""/>
    <x v="4"/>
    <x v="0"/>
  </r>
  <r>
    <n v="65146946758"/>
    <n v="167"/>
    <d v="2034-10-28T00:00:00"/>
    <s v=""/>
    <x v="4"/>
    <x v="0"/>
  </r>
  <r>
    <n v="41250760274"/>
    <n v="282"/>
    <d v="2034-10-28T00:00:00"/>
    <s v=""/>
    <x v="4"/>
    <x v="0"/>
  </r>
  <r>
    <n v="92832750255"/>
    <n v="321"/>
    <d v="2034-10-28T00:00:00"/>
    <s v=""/>
    <x v="4"/>
    <x v="0"/>
  </r>
  <r>
    <n v="37326134401"/>
    <n v="327"/>
    <d v="2034-10-28T00:00:00"/>
    <s v=""/>
    <x v="4"/>
    <x v="0"/>
  </r>
  <r>
    <n v="63899943130"/>
    <n v="174"/>
    <d v="2034-10-29T00:00:00"/>
    <s v=""/>
    <x v="4"/>
    <x v="0"/>
  </r>
  <r>
    <n v="58761105641"/>
    <n v="70"/>
    <d v="2034-10-29T00:00:00"/>
    <s v=""/>
    <x v="4"/>
    <x v="0"/>
  </r>
  <r>
    <n v="31109435945"/>
    <n v="95"/>
    <d v="2034-10-29T00:00:00"/>
    <s v=""/>
    <x v="4"/>
    <x v="0"/>
  </r>
  <r>
    <n v="98767390554"/>
    <n v="285"/>
    <d v="2034-10-29T00:00:00"/>
    <d v="2035-01-19T00:00:00"/>
    <x v="4"/>
    <x v="8"/>
  </r>
  <r>
    <n v="53171435998"/>
    <n v="71"/>
    <d v="2034-10-29T00:00:00"/>
    <m/>
    <x v="4"/>
    <x v="0"/>
  </r>
  <r>
    <n v="99047161423"/>
    <n v="257"/>
    <d v="2034-10-29T00:00:00"/>
    <s v=""/>
    <x v="4"/>
    <x v="0"/>
  </r>
  <r>
    <n v="29233153637"/>
    <n v="93"/>
    <d v="2034-10-29T00:00:00"/>
    <s v=""/>
    <x v="4"/>
    <x v="0"/>
  </r>
  <r>
    <n v="57525972656"/>
    <n v="312"/>
    <d v="2034-10-29T00:00:00"/>
    <s v=""/>
    <x v="4"/>
    <x v="0"/>
  </r>
  <r>
    <n v="75416822041"/>
    <n v="209"/>
    <d v="2034-10-29T00:00:00"/>
    <s v=""/>
    <x v="4"/>
    <x v="0"/>
  </r>
  <r>
    <n v="48627774760"/>
    <n v="108"/>
    <d v="2034-10-29T00:00:00"/>
    <s v=""/>
    <x v="4"/>
    <x v="0"/>
  </r>
  <r>
    <n v="83888362732"/>
    <n v="214"/>
    <d v="2034-10-29T00:00:00"/>
    <s v=""/>
    <x v="4"/>
    <x v="0"/>
  </r>
  <r>
    <n v="47227306042"/>
    <n v="313"/>
    <d v="2034-10-29T00:00:00"/>
    <d v="2034-12-30T00:00:00"/>
    <x v="4"/>
    <x v="7"/>
  </r>
  <r>
    <n v="52883134074"/>
    <n v="76"/>
    <d v="2034-10-29T00:00:00"/>
    <m/>
    <x v="4"/>
    <x v="0"/>
  </r>
  <r>
    <n v="66024324290"/>
    <n v="208"/>
    <d v="2034-10-29T00:00:00"/>
    <s v=""/>
    <x v="4"/>
    <x v="0"/>
  </r>
  <r>
    <n v="48060890501"/>
    <n v="100"/>
    <d v="2034-10-29T00:00:00"/>
    <s v=""/>
    <x v="4"/>
    <x v="0"/>
  </r>
  <r>
    <n v="27381931247"/>
    <n v="64"/>
    <d v="2034-10-29T00:00:00"/>
    <s v=""/>
    <x v="4"/>
    <x v="0"/>
  </r>
  <r>
    <n v="47571382522"/>
    <n v="15"/>
    <d v="2034-10-29T00:00:00"/>
    <m/>
    <x v="4"/>
    <x v="0"/>
  </r>
  <r>
    <n v="62610006479"/>
    <n v="175"/>
    <d v="2034-10-29T00:00:00"/>
    <s v=""/>
    <x v="4"/>
    <x v="0"/>
  </r>
  <r>
    <n v="81113943301"/>
    <n v="80"/>
    <d v="2034-10-29T00:00:00"/>
    <d v="2034-11-10T00:00:00"/>
    <x v="4"/>
    <x v="6"/>
  </r>
  <r>
    <n v="90741746361"/>
    <n v="99"/>
    <d v="2034-10-29T00:00:00"/>
    <s v=""/>
    <x v="4"/>
    <x v="0"/>
  </r>
  <r>
    <n v="13163244011"/>
    <n v="80"/>
    <d v="2034-10-29T00:00:00"/>
    <s v=""/>
    <x v="4"/>
    <x v="0"/>
  </r>
  <r>
    <n v="53625114164"/>
    <n v="222"/>
    <d v="2034-10-29T00:00:00"/>
    <d v="2034-11-16T00:00:00"/>
    <x v="4"/>
    <x v="6"/>
  </r>
  <r>
    <n v="13582453044"/>
    <n v="140"/>
    <d v="2034-10-29T00:00:00"/>
    <s v=""/>
    <x v="4"/>
    <x v="0"/>
  </r>
  <r>
    <n v="49480076370"/>
    <n v="182"/>
    <d v="2034-10-29T00:00:00"/>
    <s v=""/>
    <x v="4"/>
    <x v="0"/>
  </r>
  <r>
    <n v="66123122948"/>
    <n v="115"/>
    <d v="2034-10-29T00:00:00"/>
    <s v=""/>
    <x v="4"/>
    <x v="0"/>
  </r>
  <r>
    <n v="37591464524"/>
    <n v="315"/>
    <d v="2034-10-29T00:00:00"/>
    <s v=""/>
    <x v="4"/>
    <x v="0"/>
  </r>
  <r>
    <n v="77983000733"/>
    <n v="218"/>
    <d v="2034-10-29T00:00:00"/>
    <s v=""/>
    <x v="4"/>
    <x v="0"/>
  </r>
  <r>
    <n v="49330074889"/>
    <n v="112"/>
    <d v="2034-10-30T00:00:00"/>
    <s v=""/>
    <x v="4"/>
    <x v="0"/>
  </r>
  <r>
    <n v="72474534270"/>
    <n v="131"/>
    <d v="2034-10-30T00:00:00"/>
    <s v=""/>
    <x v="4"/>
    <x v="0"/>
  </r>
  <r>
    <n v="56387017759"/>
    <n v="280"/>
    <d v="2034-10-30T00:00:00"/>
    <s v=""/>
    <x v="4"/>
    <x v="0"/>
  </r>
  <r>
    <n v="70063267795"/>
    <n v="317"/>
    <d v="2034-10-30T00:00:00"/>
    <s v=""/>
    <x v="4"/>
    <x v="0"/>
  </r>
  <r>
    <n v="63092013112"/>
    <n v="323"/>
    <d v="2034-10-30T00:00:00"/>
    <s v=""/>
    <x v="4"/>
    <x v="0"/>
  </r>
  <r>
    <n v="38250262834"/>
    <n v="156"/>
    <d v="2034-10-30T00:00:00"/>
    <s v=""/>
    <x v="4"/>
    <x v="0"/>
  </r>
  <r>
    <n v="27975221786"/>
    <n v="187"/>
    <d v="2034-10-30T00:00:00"/>
    <s v=""/>
    <x v="4"/>
    <x v="0"/>
  </r>
  <r>
    <n v="94329760107"/>
    <n v="144"/>
    <d v="2034-10-30T00:00:00"/>
    <d v="2035-01-06T00:00:00"/>
    <x v="4"/>
    <x v="8"/>
  </r>
  <r>
    <n v="25430398631"/>
    <n v="186"/>
    <d v="2034-10-30T00:00:00"/>
    <s v=""/>
    <x v="4"/>
    <x v="0"/>
  </r>
  <r>
    <n v="40534634164"/>
    <n v="328"/>
    <d v="2034-10-30T00:00:00"/>
    <s v=""/>
    <x v="4"/>
    <x v="0"/>
  </r>
  <r>
    <n v="89003655901"/>
    <n v="260"/>
    <d v="2034-10-30T00:00:00"/>
    <d v="2034-11-26T00:00:00"/>
    <x v="4"/>
    <x v="6"/>
  </r>
  <r>
    <n v="16213277847"/>
    <n v="296"/>
    <d v="2034-10-30T00:00:00"/>
    <s v=""/>
    <x v="4"/>
    <x v="0"/>
  </r>
  <r>
    <n v="28865531509"/>
    <n v="216"/>
    <d v="2034-10-30T00:00:00"/>
    <s v=""/>
    <x v="4"/>
    <x v="0"/>
  </r>
  <r>
    <n v="69875557058"/>
    <n v="47"/>
    <d v="2034-10-30T00:00:00"/>
    <m/>
    <x v="4"/>
    <x v="0"/>
  </r>
  <r>
    <n v="19981354699"/>
    <n v="295"/>
    <d v="2034-10-30T00:00:00"/>
    <d v="2034-12-11T00:00:00"/>
    <x v="4"/>
    <x v="7"/>
  </r>
  <r>
    <n v="17424109167"/>
    <n v="285"/>
    <d v="2034-10-30T00:00:00"/>
    <d v="2034-11-20T00:00:00"/>
    <x v="4"/>
    <x v="6"/>
  </r>
  <r>
    <n v="95647162845"/>
    <n v="321"/>
    <d v="2034-10-30T00:00:00"/>
    <d v="2035-01-01T00:00:00"/>
    <x v="4"/>
    <x v="8"/>
  </r>
  <r>
    <n v="86513220463"/>
    <n v="41"/>
    <d v="2034-10-30T00:00:00"/>
    <s v=""/>
    <x v="4"/>
    <x v="0"/>
  </r>
  <r>
    <n v="13081194961"/>
    <n v="36"/>
    <d v="2034-10-30T00:00:00"/>
    <s v=""/>
    <x v="4"/>
    <x v="0"/>
  </r>
  <r>
    <n v="30696853547"/>
    <n v="174"/>
    <d v="2034-10-30T00:00:00"/>
    <s v=""/>
    <x v="4"/>
    <x v="0"/>
  </r>
  <r>
    <n v="31422754187"/>
    <n v="303"/>
    <d v="2034-10-30T00:00:00"/>
    <d v="2035-01-31T00:00:00"/>
    <x v="4"/>
    <x v="8"/>
  </r>
  <r>
    <n v="43073101476"/>
    <n v="179"/>
    <d v="2034-10-30T00:00:00"/>
    <s v=""/>
    <x v="4"/>
    <x v="0"/>
  </r>
  <r>
    <n v="36189146643"/>
    <n v="46"/>
    <d v="2034-10-30T00:00:00"/>
    <s v=""/>
    <x v="4"/>
    <x v="0"/>
  </r>
  <r>
    <n v="21545893969"/>
    <n v="134"/>
    <d v="2034-10-30T00:00:00"/>
    <s v=""/>
    <x v="4"/>
    <x v="0"/>
  </r>
  <r>
    <n v="56064539760"/>
    <n v="282"/>
    <d v="2034-10-30T00:00:00"/>
    <m/>
    <x v="4"/>
    <x v="0"/>
  </r>
  <r>
    <n v="59019268563"/>
    <n v="21"/>
    <d v="2034-10-30T00:00:00"/>
    <s v=""/>
    <x v="4"/>
    <x v="0"/>
  </r>
  <r>
    <n v="49790592745"/>
    <n v="324"/>
    <d v="2034-10-30T00:00:00"/>
    <s v=""/>
    <x v="4"/>
    <x v="0"/>
  </r>
  <r>
    <n v="94482058249"/>
    <n v="208"/>
    <d v="2034-10-31T00:00:00"/>
    <s v=""/>
    <x v="4"/>
    <x v="0"/>
  </r>
  <r>
    <n v="95039064613"/>
    <n v="140"/>
    <d v="2034-10-31T00:00:00"/>
    <s v=""/>
    <x v="4"/>
    <x v="0"/>
  </r>
  <r>
    <n v="69950839372"/>
    <n v="107"/>
    <d v="2034-10-31T00:00:00"/>
    <s v=""/>
    <x v="4"/>
    <x v="0"/>
  </r>
  <r>
    <n v="13854028152"/>
    <n v="43"/>
    <d v="2034-10-31T00:00:00"/>
    <s v=""/>
    <x v="4"/>
    <x v="0"/>
  </r>
  <r>
    <n v="22252100527"/>
    <n v="209"/>
    <d v="2034-10-31T00:00:00"/>
    <d v="2034-11-13T00:00:00"/>
    <x v="4"/>
    <x v="6"/>
  </r>
  <r>
    <n v="32826524285"/>
    <n v="53"/>
    <d v="2034-10-31T00:00:00"/>
    <s v=""/>
    <x v="4"/>
    <x v="0"/>
  </r>
  <r>
    <n v="16678967018"/>
    <n v="178"/>
    <d v="2034-10-31T00:00:00"/>
    <s v=""/>
    <x v="4"/>
    <x v="0"/>
  </r>
  <r>
    <n v="66513461209"/>
    <n v="4"/>
    <d v="2034-10-31T00:00:00"/>
    <s v=""/>
    <x v="4"/>
    <x v="0"/>
  </r>
  <r>
    <n v="79940394520"/>
    <n v="128"/>
    <d v="2034-10-31T00:00:00"/>
    <s v=""/>
    <x v="4"/>
    <x v="0"/>
  </r>
  <r>
    <n v="62823160189"/>
    <n v="142"/>
    <d v="2034-10-31T00:00:00"/>
    <s v=""/>
    <x v="4"/>
    <x v="0"/>
  </r>
  <r>
    <n v="61626726302"/>
    <n v="221"/>
    <d v="2034-10-31T00:00:00"/>
    <s v=""/>
    <x v="4"/>
    <x v="0"/>
  </r>
  <r>
    <n v="20397501117"/>
    <n v="161"/>
    <d v="2034-10-31T00:00:00"/>
    <s v=""/>
    <x v="4"/>
    <x v="0"/>
  </r>
  <r>
    <n v="12853342076"/>
    <n v="310"/>
    <d v="2034-10-31T00:00:00"/>
    <d v="2034-11-27T00:00:00"/>
    <x v="4"/>
    <x v="6"/>
  </r>
  <r>
    <n v="91628101789"/>
    <n v="186"/>
    <d v="2034-10-31T00:00:00"/>
    <s v=""/>
    <x v="4"/>
    <x v="0"/>
  </r>
  <r>
    <n v="99358920285"/>
    <n v="241"/>
    <d v="2034-10-31T00:00:00"/>
    <s v=""/>
    <x v="4"/>
    <x v="0"/>
  </r>
  <r>
    <n v="73355453787"/>
    <n v="80"/>
    <d v="2034-10-31T00:00:00"/>
    <d v="2034-11-13T00:00:00"/>
    <x v="4"/>
    <x v="6"/>
  </r>
  <r>
    <n v="47874081684"/>
    <n v="87"/>
    <d v="2034-10-31T00:00:00"/>
    <s v=""/>
    <x v="4"/>
    <x v="0"/>
  </r>
  <r>
    <n v="93451251762"/>
    <n v="85"/>
    <d v="2034-10-31T00:00:00"/>
    <d v="2035-01-21T00:00:00"/>
    <x v="4"/>
    <x v="8"/>
  </r>
  <r>
    <n v="92824855029"/>
    <n v="289"/>
    <d v="2034-10-31T00:00:00"/>
    <s v=""/>
    <x v="4"/>
    <x v="0"/>
  </r>
  <r>
    <n v="89539417845"/>
    <n v="48"/>
    <d v="2034-10-31T00:00:00"/>
    <s v=""/>
    <x v="4"/>
    <x v="0"/>
  </r>
  <r>
    <n v="85487640216"/>
    <n v="130"/>
    <d v="2034-10-31T00:00:00"/>
    <s v=""/>
    <x v="4"/>
    <x v="0"/>
  </r>
  <r>
    <n v="69900805982"/>
    <n v="1"/>
    <d v="2034-10-31T00:00:00"/>
    <s v=""/>
    <x v="4"/>
    <x v="0"/>
  </r>
  <r>
    <n v="79712514708"/>
    <n v="172"/>
    <d v="2034-10-31T00:00:00"/>
    <s v=""/>
    <x v="4"/>
    <x v="0"/>
  </r>
  <r>
    <n v="88595544254"/>
    <n v="321"/>
    <d v="2034-10-31T00:00:00"/>
    <d v="2034-12-07T00:00:00"/>
    <x v="4"/>
    <x v="7"/>
  </r>
  <r>
    <n v="84841398495"/>
    <n v="282"/>
    <d v="2034-10-31T00:00:00"/>
    <s v=""/>
    <x v="4"/>
    <x v="0"/>
  </r>
  <r>
    <n v="86702901266"/>
    <n v="205"/>
    <d v="2034-10-31T00:00:00"/>
    <m/>
    <x v="4"/>
    <x v="0"/>
  </r>
  <r>
    <n v="73431008344"/>
    <n v="293"/>
    <d v="2034-11-01T00:00:00"/>
    <s v=""/>
    <x v="5"/>
    <x v="0"/>
  </r>
  <r>
    <n v="60414751167"/>
    <n v="224"/>
    <d v="2034-11-01T00:00:00"/>
    <s v=""/>
    <x v="5"/>
    <x v="0"/>
  </r>
  <r>
    <n v="14390864292"/>
    <n v="138"/>
    <d v="2034-11-01T00:00:00"/>
    <s v=""/>
    <x v="5"/>
    <x v="0"/>
  </r>
  <r>
    <n v="53343721370"/>
    <n v="215"/>
    <d v="2034-11-01T00:00:00"/>
    <s v=""/>
    <x v="5"/>
    <x v="0"/>
  </r>
  <r>
    <n v="15226306478"/>
    <n v="270"/>
    <d v="2034-11-01T00:00:00"/>
    <s v=""/>
    <x v="5"/>
    <x v="0"/>
  </r>
  <r>
    <n v="63464425582"/>
    <n v="321"/>
    <d v="2034-11-01T00:00:00"/>
    <d v="2034-11-29T00:00:00"/>
    <x v="5"/>
    <x v="6"/>
  </r>
  <r>
    <n v="83482213004"/>
    <n v="146"/>
    <d v="2034-11-01T00:00:00"/>
    <s v=""/>
    <x v="5"/>
    <x v="0"/>
  </r>
  <r>
    <n v="98284519106"/>
    <n v="312"/>
    <d v="2034-11-01T00:00:00"/>
    <s v=""/>
    <x v="5"/>
    <x v="0"/>
  </r>
  <r>
    <n v="11365796009"/>
    <n v="212"/>
    <d v="2034-11-01T00:00:00"/>
    <s v=""/>
    <x v="5"/>
    <x v="0"/>
  </r>
  <r>
    <n v="68317089597"/>
    <n v="161"/>
    <d v="2034-11-01T00:00:00"/>
    <s v=""/>
    <x v="5"/>
    <x v="0"/>
  </r>
  <r>
    <n v="44358071099"/>
    <n v="326"/>
    <d v="2034-11-01T00:00:00"/>
    <s v=""/>
    <x v="5"/>
    <x v="0"/>
  </r>
  <r>
    <n v="53092952981"/>
    <n v="187"/>
    <d v="2034-11-01T00:00:00"/>
    <s v=""/>
    <x v="5"/>
    <x v="0"/>
  </r>
  <r>
    <n v="69732942066"/>
    <n v="115"/>
    <d v="2034-11-01T00:00:00"/>
    <s v=""/>
    <x v="5"/>
    <x v="0"/>
  </r>
  <r>
    <n v="37964955590"/>
    <n v="73"/>
    <d v="2034-11-01T00:00:00"/>
    <d v="2034-12-02T00:00:00"/>
    <x v="5"/>
    <x v="7"/>
  </r>
  <r>
    <n v="11774765105"/>
    <n v="274"/>
    <d v="2034-11-01T00:00:00"/>
    <s v=""/>
    <x v="5"/>
    <x v="0"/>
  </r>
  <r>
    <n v="71301480012"/>
    <n v="100"/>
    <d v="2034-11-01T00:00:00"/>
    <s v=""/>
    <x v="5"/>
    <x v="0"/>
  </r>
  <r>
    <n v="87278934462"/>
    <n v="261"/>
    <d v="2034-11-01T00:00:00"/>
    <s v=""/>
    <x v="5"/>
    <x v="0"/>
  </r>
  <r>
    <n v="66057563059"/>
    <n v="254"/>
    <d v="2034-11-01T00:00:00"/>
    <s v=""/>
    <x v="5"/>
    <x v="0"/>
  </r>
  <r>
    <n v="49933838132"/>
    <n v="151"/>
    <d v="2034-11-01T00:00:00"/>
    <d v="2034-11-17T00:00:00"/>
    <x v="5"/>
    <x v="6"/>
  </r>
  <r>
    <n v="63226141491"/>
    <n v="106"/>
    <d v="2034-11-01T00:00:00"/>
    <d v="2034-12-04T00:00:00"/>
    <x v="5"/>
    <x v="7"/>
  </r>
  <r>
    <n v="49457120315"/>
    <n v="231"/>
    <d v="2034-11-01T00:00:00"/>
    <s v=""/>
    <x v="5"/>
    <x v="0"/>
  </r>
  <r>
    <n v="88328568340"/>
    <n v="18"/>
    <d v="2034-11-01T00:00:00"/>
    <s v=""/>
    <x v="5"/>
    <x v="0"/>
  </r>
  <r>
    <n v="45296921784"/>
    <n v="250"/>
    <d v="2034-11-02T00:00:00"/>
    <s v=""/>
    <x v="5"/>
    <x v="0"/>
  </r>
  <r>
    <n v="54238032131"/>
    <n v="336"/>
    <d v="2034-11-02T00:00:00"/>
    <s v=""/>
    <x v="5"/>
    <x v="0"/>
  </r>
  <r>
    <n v="29469630471"/>
    <n v="138"/>
    <d v="2034-11-02T00:00:00"/>
    <s v=""/>
    <x v="5"/>
    <x v="0"/>
  </r>
  <r>
    <n v="16618480282"/>
    <n v="256"/>
    <d v="2034-11-02T00:00:00"/>
    <s v=""/>
    <x v="5"/>
    <x v="0"/>
  </r>
  <r>
    <n v="89115580282"/>
    <n v="120"/>
    <d v="2034-11-02T00:00:00"/>
    <s v=""/>
    <x v="5"/>
    <x v="0"/>
  </r>
  <r>
    <n v="65587820291"/>
    <n v="327"/>
    <d v="2034-11-02T00:00:00"/>
    <s v=""/>
    <x v="5"/>
    <x v="0"/>
  </r>
  <r>
    <n v="41326493935"/>
    <n v="226"/>
    <d v="2034-11-02T00:00:00"/>
    <s v=""/>
    <x v="5"/>
    <x v="0"/>
  </r>
  <r>
    <n v="46850560780"/>
    <n v="3"/>
    <d v="2034-11-02T00:00:00"/>
    <s v=""/>
    <x v="5"/>
    <x v="0"/>
  </r>
  <r>
    <n v="55763920986"/>
    <n v="80"/>
    <d v="2034-11-02T00:00:00"/>
    <s v=""/>
    <x v="5"/>
    <x v="0"/>
  </r>
  <r>
    <n v="90906306561"/>
    <n v="75"/>
    <d v="2034-11-02T00:00:00"/>
    <s v=""/>
    <x v="5"/>
    <x v="0"/>
  </r>
  <r>
    <n v="56337324289"/>
    <n v="283"/>
    <d v="2034-11-02T00:00:00"/>
    <s v=""/>
    <x v="5"/>
    <x v="0"/>
  </r>
  <r>
    <n v="72652142897"/>
    <n v="323"/>
    <d v="2034-11-02T00:00:00"/>
    <s v=""/>
    <x v="5"/>
    <x v="0"/>
  </r>
  <r>
    <n v="59275795898"/>
    <n v="223"/>
    <d v="2034-11-02T00:00:00"/>
    <s v=""/>
    <x v="5"/>
    <x v="0"/>
  </r>
  <r>
    <n v="97823791708"/>
    <n v="139"/>
    <d v="2034-11-02T00:00:00"/>
    <s v=""/>
    <x v="5"/>
    <x v="0"/>
  </r>
  <r>
    <n v="58082885359"/>
    <n v="163"/>
    <d v="2034-11-02T00:00:00"/>
    <s v=""/>
    <x v="5"/>
    <x v="0"/>
  </r>
  <r>
    <n v="93793078923"/>
    <n v="241"/>
    <d v="2034-11-02T00:00:00"/>
    <s v=""/>
    <x v="5"/>
    <x v="0"/>
  </r>
  <r>
    <n v="27737157121"/>
    <n v="179"/>
    <d v="2034-11-02T00:00:00"/>
    <s v=""/>
    <x v="5"/>
    <x v="0"/>
  </r>
  <r>
    <n v="90836795715"/>
    <n v="206"/>
    <d v="2034-11-02T00:00:00"/>
    <s v=""/>
    <x v="5"/>
    <x v="0"/>
  </r>
  <r>
    <n v="57475872268"/>
    <n v="320"/>
    <d v="2034-11-02T00:00:00"/>
    <s v=""/>
    <x v="5"/>
    <x v="0"/>
  </r>
  <r>
    <n v="57888879434"/>
    <n v="317"/>
    <d v="2034-11-02T00:00:00"/>
    <d v="2034-12-27T00:00:00"/>
    <x v="5"/>
    <x v="7"/>
  </r>
  <r>
    <n v="23432824570"/>
    <n v="241"/>
    <d v="2034-11-02T00:00:00"/>
    <d v="2035-01-29T00:00:00"/>
    <x v="5"/>
    <x v="8"/>
  </r>
  <r>
    <n v="84854577029"/>
    <n v="97"/>
    <d v="2034-11-02T00:00:00"/>
    <d v="2034-12-07T00:00:00"/>
    <x v="5"/>
    <x v="7"/>
  </r>
  <r>
    <n v="64218864187"/>
    <n v="216"/>
    <d v="2034-11-02T00:00:00"/>
    <s v=""/>
    <x v="5"/>
    <x v="0"/>
  </r>
  <r>
    <n v="37699238475"/>
    <n v="339"/>
    <d v="2034-11-02T00:00:00"/>
    <s v=""/>
    <x v="5"/>
    <x v="0"/>
  </r>
  <r>
    <n v="58353041666"/>
    <n v="275"/>
    <d v="2034-11-02T00:00:00"/>
    <s v=""/>
    <x v="5"/>
    <x v="0"/>
  </r>
  <r>
    <n v="94989118185"/>
    <n v="261"/>
    <d v="2034-11-03T00:00:00"/>
    <s v=""/>
    <x v="5"/>
    <x v="0"/>
  </r>
  <r>
    <n v="40985433177"/>
    <n v="150"/>
    <d v="2034-11-03T00:00:00"/>
    <d v="2034-11-11T00:00:00"/>
    <x v="5"/>
    <x v="6"/>
  </r>
  <r>
    <n v="53273126518"/>
    <n v="55"/>
    <d v="2034-11-03T00:00:00"/>
    <s v=""/>
    <x v="5"/>
    <x v="0"/>
  </r>
  <r>
    <n v="67290850567"/>
    <n v="285"/>
    <d v="2034-11-03T00:00:00"/>
    <d v="2034-12-21T00:00:00"/>
    <x v="5"/>
    <x v="7"/>
  </r>
  <r>
    <n v="35326229539"/>
    <n v="338"/>
    <d v="2034-11-03T00:00:00"/>
    <d v="2034-12-31T00:00:00"/>
    <x v="5"/>
    <x v="7"/>
  </r>
  <r>
    <n v="17835923163"/>
    <n v="162"/>
    <d v="2034-11-03T00:00:00"/>
    <s v=""/>
    <x v="5"/>
    <x v="0"/>
  </r>
  <r>
    <n v="59523464757"/>
    <n v="38"/>
    <d v="2034-11-03T00:00:00"/>
    <s v=""/>
    <x v="5"/>
    <x v="0"/>
  </r>
  <r>
    <n v="87669310757"/>
    <n v="301"/>
    <d v="2034-11-03T00:00:00"/>
    <s v=""/>
    <x v="5"/>
    <x v="0"/>
  </r>
  <r>
    <n v="46452054964"/>
    <n v="202"/>
    <d v="2034-11-03T00:00:00"/>
    <s v=""/>
    <x v="5"/>
    <x v="0"/>
  </r>
  <r>
    <n v="91875768128"/>
    <n v="43"/>
    <d v="2034-11-03T00:00:00"/>
    <s v=""/>
    <x v="5"/>
    <x v="0"/>
  </r>
  <r>
    <n v="79743866174"/>
    <n v="103"/>
    <d v="2034-11-03T00:00:00"/>
    <m/>
    <x v="5"/>
    <x v="0"/>
  </r>
  <r>
    <n v="65326090765"/>
    <n v="112"/>
    <d v="2034-11-03T00:00:00"/>
    <s v=""/>
    <x v="5"/>
    <x v="0"/>
  </r>
  <r>
    <n v="66478173548"/>
    <n v="69"/>
    <d v="2034-11-03T00:00:00"/>
    <m/>
    <x v="5"/>
    <x v="0"/>
  </r>
  <r>
    <n v="84864648200"/>
    <n v="291"/>
    <d v="2034-11-03T00:00:00"/>
    <d v="2034-12-03T00:00:00"/>
    <x v="5"/>
    <x v="7"/>
  </r>
  <r>
    <n v="23473957090"/>
    <n v="247"/>
    <d v="2034-11-03T00:00:00"/>
    <m/>
    <x v="5"/>
    <x v="0"/>
  </r>
  <r>
    <n v="48735311039"/>
    <n v="334"/>
    <d v="2034-11-03T00:00:00"/>
    <d v="2034-11-13T00:00:00"/>
    <x v="5"/>
    <x v="6"/>
  </r>
  <r>
    <n v="16279871640"/>
    <n v="244"/>
    <d v="2034-11-03T00:00:00"/>
    <s v=""/>
    <x v="5"/>
    <x v="0"/>
  </r>
  <r>
    <n v="19337276947"/>
    <n v="185"/>
    <d v="2034-11-03T00:00:00"/>
    <s v=""/>
    <x v="5"/>
    <x v="0"/>
  </r>
  <r>
    <n v="15286857942"/>
    <n v="237"/>
    <d v="2034-11-03T00:00:00"/>
    <d v="2035-01-16T00:00:00"/>
    <x v="5"/>
    <x v="8"/>
  </r>
  <r>
    <n v="21948448915"/>
    <n v="155"/>
    <d v="2034-11-03T00:00:00"/>
    <s v=""/>
    <x v="5"/>
    <x v="0"/>
  </r>
  <r>
    <n v="99677506067"/>
    <n v="143"/>
    <d v="2034-11-03T00:00:00"/>
    <s v=""/>
    <x v="5"/>
    <x v="0"/>
  </r>
  <r>
    <n v="80198731336"/>
    <n v="317"/>
    <d v="2034-11-03T00:00:00"/>
    <s v=""/>
    <x v="5"/>
    <x v="0"/>
  </r>
  <r>
    <n v="67641971460"/>
    <n v="134"/>
    <d v="2034-11-03T00:00:00"/>
    <s v=""/>
    <x v="5"/>
    <x v="0"/>
  </r>
  <r>
    <n v="59303411550"/>
    <n v="85"/>
    <d v="2034-11-03T00:00:00"/>
    <s v=""/>
    <x v="5"/>
    <x v="0"/>
  </r>
  <r>
    <n v="94977661471"/>
    <n v="252"/>
    <d v="2034-11-03T00:00:00"/>
    <s v=""/>
    <x v="5"/>
    <x v="0"/>
  </r>
  <r>
    <n v="79686173933"/>
    <n v="192"/>
    <d v="2034-11-03T00:00:00"/>
    <s v=""/>
    <x v="5"/>
    <x v="0"/>
  </r>
  <r>
    <n v="21485551291"/>
    <n v="4"/>
    <d v="2034-11-03T00:00:00"/>
    <s v=""/>
    <x v="5"/>
    <x v="0"/>
  </r>
  <r>
    <n v="47241587450"/>
    <n v="97"/>
    <d v="2034-11-04T00:00:00"/>
    <s v=""/>
    <x v="5"/>
    <x v="0"/>
  </r>
  <r>
    <n v="97813823141"/>
    <n v="100"/>
    <d v="2034-11-04T00:00:00"/>
    <s v=""/>
    <x v="5"/>
    <x v="0"/>
  </r>
  <r>
    <n v="90925052820"/>
    <n v="281"/>
    <d v="2034-11-04T00:00:00"/>
    <s v=""/>
    <x v="5"/>
    <x v="0"/>
  </r>
  <r>
    <n v="34610529657"/>
    <n v="141"/>
    <d v="2034-11-04T00:00:00"/>
    <d v="2034-11-16T00:00:00"/>
    <x v="5"/>
    <x v="6"/>
  </r>
  <r>
    <n v="89473865213"/>
    <n v="179"/>
    <d v="2034-11-04T00:00:00"/>
    <s v=""/>
    <x v="5"/>
    <x v="0"/>
  </r>
  <r>
    <n v="93644223613"/>
    <n v="120"/>
    <d v="2034-11-04T00:00:00"/>
    <s v=""/>
    <x v="5"/>
    <x v="0"/>
  </r>
  <r>
    <n v="57133383762"/>
    <n v="245"/>
    <d v="2034-11-04T00:00:00"/>
    <d v="2034-12-09T00:00:00"/>
    <x v="5"/>
    <x v="7"/>
  </r>
  <r>
    <n v="34043559282"/>
    <n v="213"/>
    <d v="2034-11-04T00:00:00"/>
    <s v=""/>
    <x v="5"/>
    <x v="0"/>
  </r>
  <r>
    <n v="97055583042"/>
    <n v="182"/>
    <d v="2034-11-04T00:00:00"/>
    <s v=""/>
    <x v="5"/>
    <x v="0"/>
  </r>
  <r>
    <n v="91124283544"/>
    <n v="157"/>
    <d v="2034-11-04T00:00:00"/>
    <s v=""/>
    <x v="5"/>
    <x v="0"/>
  </r>
  <r>
    <n v="48931632276"/>
    <n v="277"/>
    <d v="2034-11-04T00:00:00"/>
    <s v=""/>
    <x v="5"/>
    <x v="0"/>
  </r>
  <r>
    <n v="17552952025"/>
    <n v="41"/>
    <d v="2034-11-04T00:00:00"/>
    <s v=""/>
    <x v="5"/>
    <x v="0"/>
  </r>
  <r>
    <n v="85570064252"/>
    <n v="177"/>
    <d v="2034-11-04T00:00:00"/>
    <d v="2034-12-20T00:00:00"/>
    <x v="5"/>
    <x v="7"/>
  </r>
  <r>
    <n v="43309274394"/>
    <n v="102"/>
    <d v="2034-11-04T00:00:00"/>
    <s v=""/>
    <x v="5"/>
    <x v="0"/>
  </r>
  <r>
    <n v="68708286498"/>
    <n v="82"/>
    <d v="2034-11-04T00:00:00"/>
    <s v=""/>
    <x v="5"/>
    <x v="0"/>
  </r>
  <r>
    <n v="74646317151"/>
    <n v="272"/>
    <d v="2034-11-04T00:00:00"/>
    <s v=""/>
    <x v="5"/>
    <x v="0"/>
  </r>
  <r>
    <n v="18454144281"/>
    <n v="338"/>
    <d v="2034-11-04T00:00:00"/>
    <s v=""/>
    <x v="5"/>
    <x v="0"/>
  </r>
  <r>
    <n v="79094715618"/>
    <n v="60"/>
    <d v="2034-11-04T00:00:00"/>
    <m/>
    <x v="5"/>
    <x v="0"/>
  </r>
  <r>
    <n v="76664386369"/>
    <n v="149"/>
    <d v="2034-11-04T00:00:00"/>
    <s v=""/>
    <x v="5"/>
    <x v="0"/>
  </r>
  <r>
    <n v="62886413295"/>
    <n v="32"/>
    <d v="2034-11-05T00:00:00"/>
    <d v="2035-01-21T00:00:00"/>
    <x v="5"/>
    <x v="8"/>
  </r>
  <r>
    <n v="42565731439"/>
    <n v="304"/>
    <d v="2034-11-05T00:00:00"/>
    <s v=""/>
    <x v="5"/>
    <x v="0"/>
  </r>
  <r>
    <n v="87129111962"/>
    <n v="10"/>
    <d v="2034-11-05T00:00:00"/>
    <d v="2035-01-26T00:00:00"/>
    <x v="5"/>
    <x v="8"/>
  </r>
  <r>
    <n v="95804269227"/>
    <n v="45"/>
    <d v="2034-11-05T00:00:00"/>
    <s v=""/>
    <x v="5"/>
    <x v="0"/>
  </r>
  <r>
    <n v="88996112362"/>
    <n v="298"/>
    <d v="2034-11-05T00:00:00"/>
    <s v=""/>
    <x v="5"/>
    <x v="0"/>
  </r>
  <r>
    <n v="44298744272"/>
    <n v="73"/>
    <d v="2034-11-05T00:00:00"/>
    <s v=""/>
    <x v="5"/>
    <x v="0"/>
  </r>
  <r>
    <n v="45536133650"/>
    <n v="122"/>
    <d v="2034-11-05T00:00:00"/>
    <s v=""/>
    <x v="5"/>
    <x v="0"/>
  </r>
  <r>
    <n v="24880520183"/>
    <n v="233"/>
    <d v="2034-11-05T00:00:00"/>
    <s v=""/>
    <x v="5"/>
    <x v="0"/>
  </r>
  <r>
    <n v="98471293418"/>
    <n v="153"/>
    <d v="2034-11-05T00:00:00"/>
    <m/>
    <x v="5"/>
    <x v="0"/>
  </r>
  <r>
    <n v="82242771380"/>
    <n v="135"/>
    <d v="2034-11-05T00:00:00"/>
    <s v=""/>
    <x v="5"/>
    <x v="0"/>
  </r>
  <r>
    <n v="71627802683"/>
    <n v="259"/>
    <d v="2034-11-05T00:00:00"/>
    <d v="2034-11-11T00:00:00"/>
    <x v="5"/>
    <x v="6"/>
  </r>
  <r>
    <n v="59491568994"/>
    <n v="36"/>
    <d v="2034-11-05T00:00:00"/>
    <d v="2034-11-08T00:00:00"/>
    <x v="5"/>
    <x v="6"/>
  </r>
  <r>
    <n v="19682791251"/>
    <n v="133"/>
    <d v="2034-11-05T00:00:00"/>
    <s v=""/>
    <x v="5"/>
    <x v="0"/>
  </r>
  <r>
    <n v="68121327394"/>
    <n v="42"/>
    <d v="2034-11-05T00:00:00"/>
    <s v=""/>
    <x v="5"/>
    <x v="0"/>
  </r>
  <r>
    <n v="51946366183"/>
    <n v="151"/>
    <d v="2034-11-05T00:00:00"/>
    <s v=""/>
    <x v="5"/>
    <x v="0"/>
  </r>
  <r>
    <n v="12715145371"/>
    <n v="43"/>
    <d v="2034-11-05T00:00:00"/>
    <s v=""/>
    <x v="5"/>
    <x v="0"/>
  </r>
  <r>
    <n v="69442374568"/>
    <n v="173"/>
    <d v="2034-11-05T00:00:00"/>
    <d v="2035-01-08T00:00:00"/>
    <x v="5"/>
    <x v="8"/>
  </r>
  <r>
    <n v="81307326156"/>
    <n v="58"/>
    <d v="2034-11-05T00:00:00"/>
    <s v=""/>
    <x v="5"/>
    <x v="0"/>
  </r>
  <r>
    <n v="86272797966"/>
    <n v="88"/>
    <d v="2034-11-05T00:00:00"/>
    <s v=""/>
    <x v="5"/>
    <x v="0"/>
  </r>
  <r>
    <n v="44386982453"/>
    <n v="337"/>
    <d v="2034-11-05T00:00:00"/>
    <s v=""/>
    <x v="5"/>
    <x v="0"/>
  </r>
  <r>
    <n v="28015252492"/>
    <n v="163"/>
    <d v="2034-11-05T00:00:00"/>
    <s v=""/>
    <x v="5"/>
    <x v="0"/>
  </r>
  <r>
    <n v="53019104778"/>
    <n v="213"/>
    <d v="2034-11-05T00:00:00"/>
    <s v=""/>
    <x v="5"/>
    <x v="0"/>
  </r>
  <r>
    <n v="20978596617"/>
    <n v="282"/>
    <d v="2034-11-05T00:00:00"/>
    <d v="2035-01-13T00:00:00"/>
    <x v="5"/>
    <x v="8"/>
  </r>
  <r>
    <n v="66047257288"/>
    <n v="286"/>
    <d v="2034-11-05T00:00:00"/>
    <s v=""/>
    <x v="5"/>
    <x v="0"/>
  </r>
  <r>
    <n v="34549940014"/>
    <n v="135"/>
    <d v="2034-11-06T00:00:00"/>
    <s v=""/>
    <x v="5"/>
    <x v="0"/>
  </r>
  <r>
    <n v="20763138714"/>
    <n v="60"/>
    <d v="2034-11-06T00:00:00"/>
    <s v=""/>
    <x v="5"/>
    <x v="0"/>
  </r>
  <r>
    <n v="73677344695"/>
    <n v="201"/>
    <d v="2034-11-06T00:00:00"/>
    <s v=""/>
    <x v="5"/>
    <x v="0"/>
  </r>
  <r>
    <n v="99378616762"/>
    <n v="216"/>
    <d v="2034-11-06T00:00:00"/>
    <s v=""/>
    <x v="5"/>
    <x v="0"/>
  </r>
  <r>
    <n v="90777050133"/>
    <n v="213"/>
    <d v="2034-11-06T00:00:00"/>
    <s v=""/>
    <x v="5"/>
    <x v="0"/>
  </r>
  <r>
    <n v="41325742931"/>
    <n v="89"/>
    <d v="2034-11-06T00:00:00"/>
    <s v=""/>
    <x v="5"/>
    <x v="0"/>
  </r>
  <r>
    <n v="21615659434"/>
    <n v="159"/>
    <d v="2034-11-06T00:00:00"/>
    <s v=""/>
    <x v="5"/>
    <x v="0"/>
  </r>
  <r>
    <n v="39918304005"/>
    <n v="173"/>
    <d v="2034-11-06T00:00:00"/>
    <d v="2035-01-17T00:00:00"/>
    <x v="5"/>
    <x v="8"/>
  </r>
  <r>
    <n v="77356193644"/>
    <n v="153"/>
    <d v="2034-11-06T00:00:00"/>
    <s v=""/>
    <x v="5"/>
    <x v="0"/>
  </r>
  <r>
    <n v="95876768548"/>
    <n v="22"/>
    <d v="2034-11-06T00:00:00"/>
    <s v=""/>
    <x v="5"/>
    <x v="0"/>
  </r>
  <r>
    <n v="62531427656"/>
    <n v="155"/>
    <d v="2034-11-06T00:00:00"/>
    <s v=""/>
    <x v="5"/>
    <x v="0"/>
  </r>
  <r>
    <n v="42957247148"/>
    <n v="180"/>
    <d v="2034-11-06T00:00:00"/>
    <s v=""/>
    <x v="5"/>
    <x v="0"/>
  </r>
  <r>
    <n v="53934629853"/>
    <n v="233"/>
    <d v="2034-11-06T00:00:00"/>
    <s v=""/>
    <x v="5"/>
    <x v="0"/>
  </r>
  <r>
    <n v="23769439023"/>
    <n v="91"/>
    <d v="2034-11-06T00:00:00"/>
    <s v=""/>
    <x v="5"/>
    <x v="0"/>
  </r>
  <r>
    <n v="29830549842"/>
    <n v="273"/>
    <d v="2034-11-06T00:00:00"/>
    <s v=""/>
    <x v="5"/>
    <x v="0"/>
  </r>
  <r>
    <n v="38848130458"/>
    <n v="296"/>
    <d v="2034-11-06T00:00:00"/>
    <d v="2034-11-16T00:00:00"/>
    <x v="5"/>
    <x v="6"/>
  </r>
  <r>
    <n v="91925941326"/>
    <n v="153"/>
    <d v="2034-11-06T00:00:00"/>
    <s v=""/>
    <x v="5"/>
    <x v="0"/>
  </r>
  <r>
    <n v="15997489135"/>
    <n v="220"/>
    <d v="2034-11-06T00:00:00"/>
    <s v=""/>
    <x v="5"/>
    <x v="0"/>
  </r>
  <r>
    <n v="66389979411"/>
    <n v="200"/>
    <d v="2034-11-06T00:00:00"/>
    <s v=""/>
    <x v="5"/>
    <x v="0"/>
  </r>
  <r>
    <n v="45345419789"/>
    <n v="58"/>
    <d v="2034-11-06T00:00:00"/>
    <s v=""/>
    <x v="5"/>
    <x v="0"/>
  </r>
  <r>
    <n v="54621370905"/>
    <n v="225"/>
    <d v="2034-11-06T00:00:00"/>
    <s v=""/>
    <x v="5"/>
    <x v="0"/>
  </r>
  <r>
    <n v="92711010190"/>
    <n v="224"/>
    <d v="2034-11-07T00:00:00"/>
    <s v=""/>
    <x v="5"/>
    <x v="0"/>
  </r>
  <r>
    <n v="35658223131"/>
    <n v="50"/>
    <d v="2034-11-07T00:00:00"/>
    <s v=""/>
    <x v="5"/>
    <x v="0"/>
  </r>
  <r>
    <n v="30994756535"/>
    <n v="59"/>
    <d v="2034-11-07T00:00:00"/>
    <s v=""/>
    <x v="5"/>
    <x v="0"/>
  </r>
  <r>
    <n v="98568779959"/>
    <n v="303"/>
    <d v="2034-11-07T00:00:00"/>
    <s v=""/>
    <x v="5"/>
    <x v="0"/>
  </r>
  <r>
    <n v="89399866761"/>
    <n v="220"/>
    <d v="2034-11-07T00:00:00"/>
    <s v=""/>
    <x v="5"/>
    <x v="0"/>
  </r>
  <r>
    <n v="83081215816"/>
    <n v="135"/>
    <d v="2034-11-07T00:00:00"/>
    <s v=""/>
    <x v="5"/>
    <x v="0"/>
  </r>
  <r>
    <n v="13784945725"/>
    <n v="168"/>
    <d v="2034-11-07T00:00:00"/>
    <s v=""/>
    <x v="5"/>
    <x v="0"/>
  </r>
  <r>
    <n v="99865330200"/>
    <n v="124"/>
    <d v="2034-11-07T00:00:00"/>
    <d v="2034-11-20T00:00:00"/>
    <x v="5"/>
    <x v="6"/>
  </r>
  <r>
    <n v="42021486300"/>
    <n v="320"/>
    <d v="2034-11-07T00:00:00"/>
    <d v="2034-12-01T00:00:00"/>
    <x v="5"/>
    <x v="7"/>
  </r>
  <r>
    <n v="96855774955"/>
    <n v="110"/>
    <d v="2034-11-07T00:00:00"/>
    <d v="2034-11-18T00:00:00"/>
    <x v="5"/>
    <x v="6"/>
  </r>
  <r>
    <n v="54457161116"/>
    <n v="299"/>
    <d v="2034-11-07T00:00:00"/>
    <m/>
    <x v="5"/>
    <x v="0"/>
  </r>
  <r>
    <n v="81948373860"/>
    <n v="141"/>
    <d v="2034-11-07T00:00:00"/>
    <s v=""/>
    <x v="5"/>
    <x v="0"/>
  </r>
  <r>
    <n v="85556855136"/>
    <n v="6"/>
    <d v="2034-11-07T00:00:00"/>
    <s v=""/>
    <x v="5"/>
    <x v="0"/>
  </r>
  <r>
    <n v="57071622182"/>
    <n v="97"/>
    <d v="2034-11-07T00:00:00"/>
    <s v=""/>
    <x v="5"/>
    <x v="0"/>
  </r>
  <r>
    <n v="58626026337"/>
    <n v="229"/>
    <d v="2034-11-07T00:00:00"/>
    <s v=""/>
    <x v="5"/>
    <x v="0"/>
  </r>
  <r>
    <n v="23895472816"/>
    <n v="29"/>
    <d v="2034-11-07T00:00:00"/>
    <s v=""/>
    <x v="5"/>
    <x v="0"/>
  </r>
  <r>
    <n v="88916340752"/>
    <n v="16"/>
    <d v="2034-11-07T00:00:00"/>
    <s v=""/>
    <x v="5"/>
    <x v="0"/>
  </r>
  <r>
    <n v="33962193213"/>
    <n v="163"/>
    <d v="2034-11-07T00:00:00"/>
    <s v=""/>
    <x v="5"/>
    <x v="0"/>
  </r>
  <r>
    <n v="51278801845"/>
    <n v="196"/>
    <d v="2034-11-07T00:00:00"/>
    <s v=""/>
    <x v="5"/>
    <x v="0"/>
  </r>
  <r>
    <n v="23963775829"/>
    <n v="307"/>
    <d v="2034-11-07T00:00:00"/>
    <m/>
    <x v="5"/>
    <x v="0"/>
  </r>
  <r>
    <n v="70529744093"/>
    <n v="257"/>
    <d v="2034-11-07T00:00:00"/>
    <m/>
    <x v="5"/>
    <x v="0"/>
  </r>
  <r>
    <n v="18986497979"/>
    <n v="202"/>
    <d v="2034-11-07T00:00:00"/>
    <s v=""/>
    <x v="5"/>
    <x v="0"/>
  </r>
  <r>
    <n v="83307987628"/>
    <n v="197"/>
    <d v="2034-11-08T00:00:00"/>
    <s v=""/>
    <x v="5"/>
    <x v="0"/>
  </r>
  <r>
    <n v="74955025223"/>
    <n v="132"/>
    <d v="2034-11-08T00:00:00"/>
    <d v="2034-12-24T00:00:00"/>
    <x v="5"/>
    <x v="7"/>
  </r>
  <r>
    <n v="57200473598"/>
    <n v="173"/>
    <d v="2034-11-08T00:00:00"/>
    <d v="2034-12-15T00:00:00"/>
    <x v="5"/>
    <x v="7"/>
  </r>
  <r>
    <n v="15069494571"/>
    <n v="136"/>
    <d v="2034-11-08T00:00:00"/>
    <d v="2035-01-30T00:00:00"/>
    <x v="5"/>
    <x v="8"/>
  </r>
  <r>
    <n v="57919193352"/>
    <n v="25"/>
    <d v="2034-11-08T00:00:00"/>
    <m/>
    <x v="5"/>
    <x v="0"/>
  </r>
  <r>
    <n v="21474586374"/>
    <n v="11"/>
    <d v="2034-11-08T00:00:00"/>
    <s v=""/>
    <x v="5"/>
    <x v="0"/>
  </r>
  <r>
    <n v="42142804779"/>
    <n v="87"/>
    <d v="2034-11-08T00:00:00"/>
    <d v="2034-11-20T00:00:00"/>
    <x v="5"/>
    <x v="6"/>
  </r>
  <r>
    <n v="31711479332"/>
    <n v="66"/>
    <d v="2034-11-08T00:00:00"/>
    <s v=""/>
    <x v="5"/>
    <x v="0"/>
  </r>
  <r>
    <n v="54987182870"/>
    <n v="129"/>
    <d v="2034-11-08T00:00:00"/>
    <s v=""/>
    <x v="5"/>
    <x v="0"/>
  </r>
  <r>
    <n v="45178526704"/>
    <n v="60"/>
    <d v="2034-11-08T00:00:00"/>
    <s v=""/>
    <x v="5"/>
    <x v="0"/>
  </r>
  <r>
    <n v="29980664418"/>
    <n v="201"/>
    <d v="2034-11-08T00:00:00"/>
    <s v=""/>
    <x v="5"/>
    <x v="0"/>
  </r>
  <r>
    <n v="80974750061"/>
    <n v="302"/>
    <d v="2034-11-08T00:00:00"/>
    <s v=""/>
    <x v="5"/>
    <x v="0"/>
  </r>
  <r>
    <n v="37802804867"/>
    <n v="305"/>
    <d v="2034-11-08T00:00:00"/>
    <s v=""/>
    <x v="5"/>
    <x v="0"/>
  </r>
  <r>
    <n v="82255561143"/>
    <n v="215"/>
    <d v="2034-11-08T00:00:00"/>
    <s v=""/>
    <x v="5"/>
    <x v="0"/>
  </r>
  <r>
    <n v="76122268021"/>
    <n v="229"/>
    <d v="2034-11-08T00:00:00"/>
    <s v=""/>
    <x v="5"/>
    <x v="0"/>
  </r>
  <r>
    <n v="81260954979"/>
    <n v="202"/>
    <d v="2034-11-08T00:00:00"/>
    <d v="2034-12-30T00:00:00"/>
    <x v="5"/>
    <x v="7"/>
  </r>
  <r>
    <n v="12148870867"/>
    <n v="33"/>
    <d v="2034-11-08T00:00:00"/>
    <s v=""/>
    <x v="5"/>
    <x v="0"/>
  </r>
  <r>
    <n v="26174536206"/>
    <n v="336"/>
    <d v="2034-11-08T00:00:00"/>
    <d v="2034-12-12T00:00:00"/>
    <x v="5"/>
    <x v="7"/>
  </r>
  <r>
    <n v="37182409851"/>
    <n v="232"/>
    <d v="2034-11-08T00:00:00"/>
    <d v="2034-12-27T00:00:00"/>
    <x v="5"/>
    <x v="7"/>
  </r>
  <r>
    <n v="15626844095"/>
    <n v="69"/>
    <d v="2034-11-08T00:00:00"/>
    <m/>
    <x v="5"/>
    <x v="0"/>
  </r>
  <r>
    <n v="89152148352"/>
    <n v="327"/>
    <d v="2034-11-08T00:00:00"/>
    <d v="2035-01-16T00:00:00"/>
    <x v="5"/>
    <x v="8"/>
  </r>
  <r>
    <n v="18147186615"/>
    <n v="124"/>
    <d v="2034-11-08T00:00:00"/>
    <s v=""/>
    <x v="5"/>
    <x v="0"/>
  </r>
  <r>
    <n v="11229144291"/>
    <n v="192"/>
    <d v="2034-11-08T00:00:00"/>
    <s v=""/>
    <x v="5"/>
    <x v="0"/>
  </r>
  <r>
    <n v="62390546236"/>
    <n v="170"/>
    <d v="2034-11-08T00:00:00"/>
    <s v=""/>
    <x v="5"/>
    <x v="0"/>
  </r>
  <r>
    <n v="76713057313"/>
    <n v="326"/>
    <d v="2034-11-08T00:00:00"/>
    <s v=""/>
    <x v="5"/>
    <x v="0"/>
  </r>
  <r>
    <n v="14573751143"/>
    <n v="153"/>
    <d v="2034-11-08T00:00:00"/>
    <d v="2035-01-05T00:00:00"/>
    <x v="5"/>
    <x v="8"/>
  </r>
  <r>
    <n v="63622225922"/>
    <n v="281"/>
    <d v="2034-11-08T00:00:00"/>
    <s v=""/>
    <x v="5"/>
    <x v="0"/>
  </r>
  <r>
    <n v="57221242212"/>
    <n v="61"/>
    <d v="2034-11-08T00:00:00"/>
    <s v=""/>
    <x v="5"/>
    <x v="0"/>
  </r>
  <r>
    <n v="88359318823"/>
    <n v="70"/>
    <d v="2034-11-08T00:00:00"/>
    <s v=""/>
    <x v="5"/>
    <x v="0"/>
  </r>
  <r>
    <n v="61779693557"/>
    <n v="227"/>
    <d v="2034-11-08T00:00:00"/>
    <s v=""/>
    <x v="5"/>
    <x v="0"/>
  </r>
  <r>
    <n v="92641164721"/>
    <n v="177"/>
    <d v="2034-11-08T00:00:00"/>
    <s v=""/>
    <x v="5"/>
    <x v="0"/>
  </r>
  <r>
    <n v="86870957496"/>
    <n v="287"/>
    <d v="2034-11-08T00:00:00"/>
    <m/>
    <x v="5"/>
    <x v="0"/>
  </r>
  <r>
    <n v="61101310262"/>
    <n v="130"/>
    <d v="2034-11-08T00:00:00"/>
    <s v=""/>
    <x v="5"/>
    <x v="0"/>
  </r>
  <r>
    <n v="39695531837"/>
    <n v="150"/>
    <d v="2034-11-08T00:00:00"/>
    <s v=""/>
    <x v="5"/>
    <x v="0"/>
  </r>
  <r>
    <n v="61010450180"/>
    <n v="292"/>
    <d v="2034-11-09T00:00:00"/>
    <s v=""/>
    <x v="5"/>
    <x v="0"/>
  </r>
  <r>
    <n v="61905971105"/>
    <n v="278"/>
    <d v="2034-11-09T00:00:00"/>
    <m/>
    <x v="5"/>
    <x v="0"/>
  </r>
  <r>
    <n v="75898149397"/>
    <n v="193"/>
    <d v="2034-11-09T00:00:00"/>
    <s v=""/>
    <x v="5"/>
    <x v="0"/>
  </r>
  <r>
    <n v="42190018356"/>
    <n v="168"/>
    <d v="2034-11-09T00:00:00"/>
    <s v=""/>
    <x v="5"/>
    <x v="0"/>
  </r>
  <r>
    <n v="94225887736"/>
    <n v="337"/>
    <d v="2034-11-09T00:00:00"/>
    <d v="2035-01-06T00:00:00"/>
    <x v="5"/>
    <x v="8"/>
  </r>
  <r>
    <n v="31677466991"/>
    <n v="132"/>
    <d v="2034-11-09T00:00:00"/>
    <s v=""/>
    <x v="5"/>
    <x v="0"/>
  </r>
  <r>
    <n v="39308488120"/>
    <n v="239"/>
    <d v="2034-11-09T00:00:00"/>
    <s v=""/>
    <x v="5"/>
    <x v="0"/>
  </r>
  <r>
    <n v="96372203090"/>
    <n v="23"/>
    <d v="2034-11-09T00:00:00"/>
    <s v=""/>
    <x v="5"/>
    <x v="0"/>
  </r>
  <r>
    <n v="71478085824"/>
    <n v="251"/>
    <d v="2034-11-09T00:00:00"/>
    <s v=""/>
    <x v="5"/>
    <x v="0"/>
  </r>
  <r>
    <n v="93711123446"/>
    <n v="63"/>
    <d v="2034-11-09T00:00:00"/>
    <s v=""/>
    <x v="5"/>
    <x v="0"/>
  </r>
  <r>
    <n v="62924783085"/>
    <n v="293"/>
    <d v="2034-11-09T00:00:00"/>
    <s v=""/>
    <x v="5"/>
    <x v="0"/>
  </r>
  <r>
    <n v="40799041043"/>
    <n v="165"/>
    <d v="2034-11-09T00:00:00"/>
    <s v=""/>
    <x v="5"/>
    <x v="0"/>
  </r>
  <r>
    <n v="70445595826"/>
    <n v="143"/>
    <d v="2034-11-09T00:00:00"/>
    <s v=""/>
    <x v="5"/>
    <x v="0"/>
  </r>
  <r>
    <n v="56938162943"/>
    <n v="200"/>
    <d v="2034-11-09T00:00:00"/>
    <s v=""/>
    <x v="5"/>
    <x v="0"/>
  </r>
  <r>
    <n v="25188148464"/>
    <n v="167"/>
    <d v="2034-11-09T00:00:00"/>
    <s v=""/>
    <x v="5"/>
    <x v="0"/>
  </r>
  <r>
    <n v="48834921734"/>
    <n v="129"/>
    <d v="2034-11-09T00:00:00"/>
    <d v="2035-01-05T00:00:00"/>
    <x v="5"/>
    <x v="8"/>
  </r>
  <r>
    <n v="81805794905"/>
    <n v="7"/>
    <d v="2034-11-09T00:00:00"/>
    <m/>
    <x v="5"/>
    <x v="0"/>
  </r>
  <r>
    <n v="84702259066"/>
    <n v="78"/>
    <d v="2034-11-09T00:00:00"/>
    <s v=""/>
    <x v="5"/>
    <x v="0"/>
  </r>
  <r>
    <n v="68088856820"/>
    <n v="195"/>
    <d v="2034-11-09T00:00:00"/>
    <s v=""/>
    <x v="5"/>
    <x v="0"/>
  </r>
  <r>
    <n v="61354385873"/>
    <n v="119"/>
    <d v="2034-11-10T00:00:00"/>
    <d v="2034-12-18T00:00:00"/>
    <x v="5"/>
    <x v="7"/>
  </r>
  <r>
    <n v="85355237694"/>
    <n v="168"/>
    <d v="2034-11-10T00:00:00"/>
    <s v=""/>
    <x v="5"/>
    <x v="0"/>
  </r>
  <r>
    <n v="59458673745"/>
    <n v="69"/>
    <d v="2034-11-10T00:00:00"/>
    <m/>
    <x v="5"/>
    <x v="0"/>
  </r>
  <r>
    <n v="33129629453"/>
    <n v="262"/>
    <d v="2034-11-10T00:00:00"/>
    <s v=""/>
    <x v="5"/>
    <x v="0"/>
  </r>
  <r>
    <n v="77112101683"/>
    <n v="64"/>
    <d v="2034-11-10T00:00:00"/>
    <s v=""/>
    <x v="5"/>
    <x v="0"/>
  </r>
  <r>
    <n v="64640752944"/>
    <n v="234"/>
    <d v="2034-11-10T00:00:00"/>
    <s v=""/>
    <x v="5"/>
    <x v="0"/>
  </r>
  <r>
    <n v="65628961403"/>
    <n v="31"/>
    <d v="2034-11-10T00:00:00"/>
    <s v=""/>
    <x v="5"/>
    <x v="0"/>
  </r>
  <r>
    <n v="86556968227"/>
    <n v="248"/>
    <d v="2034-11-10T00:00:00"/>
    <s v=""/>
    <x v="5"/>
    <x v="0"/>
  </r>
  <r>
    <n v="72389496501"/>
    <n v="22"/>
    <d v="2034-11-10T00:00:00"/>
    <s v=""/>
    <x v="5"/>
    <x v="0"/>
  </r>
  <r>
    <n v="40531265159"/>
    <n v="4"/>
    <d v="2034-11-10T00:00:00"/>
    <s v=""/>
    <x v="5"/>
    <x v="0"/>
  </r>
  <r>
    <n v="93183639826"/>
    <n v="177"/>
    <d v="2034-11-10T00:00:00"/>
    <s v=""/>
    <x v="5"/>
    <x v="0"/>
  </r>
  <r>
    <n v="11955524165"/>
    <n v="243"/>
    <d v="2034-11-10T00:00:00"/>
    <d v="2035-01-21T00:00:00"/>
    <x v="5"/>
    <x v="8"/>
  </r>
  <r>
    <n v="29036022811"/>
    <n v="248"/>
    <d v="2034-11-10T00:00:00"/>
    <m/>
    <x v="5"/>
    <x v="0"/>
  </r>
  <r>
    <n v="51993170769"/>
    <n v="154"/>
    <d v="2034-11-10T00:00:00"/>
    <m/>
    <x v="5"/>
    <x v="0"/>
  </r>
  <r>
    <n v="80983762116"/>
    <n v="92"/>
    <d v="2034-11-10T00:00:00"/>
    <s v=""/>
    <x v="5"/>
    <x v="0"/>
  </r>
  <r>
    <n v="34898943953"/>
    <n v="204"/>
    <d v="2034-11-10T00:00:00"/>
    <s v=""/>
    <x v="5"/>
    <x v="0"/>
  </r>
  <r>
    <n v="60516447993"/>
    <n v="250"/>
    <d v="2034-11-10T00:00:00"/>
    <s v=""/>
    <x v="5"/>
    <x v="0"/>
  </r>
  <r>
    <n v="65644830028"/>
    <n v="139"/>
    <d v="2034-11-10T00:00:00"/>
    <s v=""/>
    <x v="5"/>
    <x v="0"/>
  </r>
  <r>
    <n v="40729688048"/>
    <n v="238"/>
    <d v="2034-11-10T00:00:00"/>
    <s v=""/>
    <x v="5"/>
    <x v="0"/>
  </r>
  <r>
    <n v="72591538768"/>
    <n v="28"/>
    <d v="2034-11-10T00:00:00"/>
    <m/>
    <x v="5"/>
    <x v="0"/>
  </r>
  <r>
    <n v="60430817681"/>
    <n v="81"/>
    <d v="2034-11-10T00:00:00"/>
    <s v=""/>
    <x v="5"/>
    <x v="0"/>
  </r>
  <r>
    <n v="65172109327"/>
    <n v="167"/>
    <d v="2034-11-10T00:00:00"/>
    <s v=""/>
    <x v="5"/>
    <x v="0"/>
  </r>
  <r>
    <n v="91612516747"/>
    <n v="267"/>
    <d v="2034-11-11T00:00:00"/>
    <s v=""/>
    <x v="5"/>
    <x v="0"/>
  </r>
  <r>
    <n v="42819570826"/>
    <n v="290"/>
    <d v="2034-11-11T00:00:00"/>
    <s v=""/>
    <x v="5"/>
    <x v="0"/>
  </r>
  <r>
    <n v="75330527528"/>
    <n v="206"/>
    <d v="2034-11-11T00:00:00"/>
    <s v=""/>
    <x v="5"/>
    <x v="0"/>
  </r>
  <r>
    <n v="69128786409"/>
    <n v="98"/>
    <d v="2034-11-11T00:00:00"/>
    <s v=""/>
    <x v="5"/>
    <x v="0"/>
  </r>
  <r>
    <n v="70846766702"/>
    <n v="19"/>
    <d v="2034-11-11T00:00:00"/>
    <d v="2034-12-22T00:00:00"/>
    <x v="5"/>
    <x v="7"/>
  </r>
  <r>
    <n v="63920668560"/>
    <n v="168"/>
    <d v="2034-11-11T00:00:00"/>
    <s v=""/>
    <x v="5"/>
    <x v="0"/>
  </r>
  <r>
    <n v="74961473460"/>
    <n v="255"/>
    <d v="2034-11-11T00:00:00"/>
    <s v=""/>
    <x v="5"/>
    <x v="0"/>
  </r>
  <r>
    <n v="46926771084"/>
    <n v="155"/>
    <d v="2034-11-11T00:00:00"/>
    <m/>
    <x v="5"/>
    <x v="0"/>
  </r>
  <r>
    <n v="56199565681"/>
    <n v="96"/>
    <d v="2034-11-11T00:00:00"/>
    <s v=""/>
    <x v="5"/>
    <x v="0"/>
  </r>
  <r>
    <n v="12848592963"/>
    <n v="340"/>
    <d v="2034-11-11T00:00:00"/>
    <d v="2034-12-15T00:00:00"/>
    <x v="5"/>
    <x v="7"/>
  </r>
  <r>
    <n v="44706402754"/>
    <n v="15"/>
    <d v="2034-11-11T00:00:00"/>
    <d v="2034-11-26T00:00:00"/>
    <x v="5"/>
    <x v="6"/>
  </r>
  <r>
    <n v="90190384459"/>
    <n v="336"/>
    <d v="2034-11-11T00:00:00"/>
    <s v=""/>
    <x v="5"/>
    <x v="0"/>
  </r>
  <r>
    <n v="94799333602"/>
    <n v="291"/>
    <d v="2034-11-11T00:00:00"/>
    <s v=""/>
    <x v="5"/>
    <x v="0"/>
  </r>
  <r>
    <n v="58065742182"/>
    <n v="55"/>
    <d v="2034-11-11T00:00:00"/>
    <s v=""/>
    <x v="5"/>
    <x v="0"/>
  </r>
  <r>
    <n v="78536763792"/>
    <n v="188"/>
    <d v="2034-11-11T00:00:00"/>
    <s v=""/>
    <x v="5"/>
    <x v="0"/>
  </r>
  <r>
    <n v="96733658890"/>
    <n v="233"/>
    <d v="2034-11-11T00:00:00"/>
    <s v=""/>
    <x v="5"/>
    <x v="0"/>
  </r>
  <r>
    <n v="75502072394"/>
    <n v="310"/>
    <d v="2034-11-11T00:00:00"/>
    <s v=""/>
    <x v="5"/>
    <x v="0"/>
  </r>
  <r>
    <n v="39404893230"/>
    <n v="36"/>
    <d v="2034-11-11T00:00:00"/>
    <s v=""/>
    <x v="5"/>
    <x v="0"/>
  </r>
  <r>
    <n v="84638184762"/>
    <n v="80"/>
    <d v="2034-11-11T00:00:00"/>
    <s v=""/>
    <x v="5"/>
    <x v="0"/>
  </r>
  <r>
    <n v="41436311721"/>
    <n v="115"/>
    <d v="2034-11-11T00:00:00"/>
    <d v="2035-01-04T00:00:00"/>
    <x v="5"/>
    <x v="8"/>
  </r>
  <r>
    <n v="65645562296"/>
    <n v="55"/>
    <d v="2034-11-11T00:00:00"/>
    <s v=""/>
    <x v="5"/>
    <x v="0"/>
  </r>
  <r>
    <n v="35033453653"/>
    <n v="275"/>
    <d v="2034-11-11T00:00:00"/>
    <s v=""/>
    <x v="5"/>
    <x v="0"/>
  </r>
  <r>
    <n v="41417133988"/>
    <n v="187"/>
    <d v="2034-11-11T00:00:00"/>
    <m/>
    <x v="5"/>
    <x v="0"/>
  </r>
  <r>
    <n v="76096733258"/>
    <n v="185"/>
    <d v="2034-11-11T00:00:00"/>
    <d v="2035-01-10T00:00:00"/>
    <x v="5"/>
    <x v="8"/>
  </r>
  <r>
    <n v="97825270334"/>
    <n v="47"/>
    <d v="2034-11-11T00:00:00"/>
    <s v=""/>
    <x v="5"/>
    <x v="0"/>
  </r>
  <r>
    <n v="65810738510"/>
    <n v="295"/>
    <d v="2034-11-11T00:00:00"/>
    <d v="2034-11-11T00:00:00"/>
    <x v="5"/>
    <x v="6"/>
  </r>
  <r>
    <n v="52661356069"/>
    <n v="45"/>
    <d v="2034-11-11T00:00:00"/>
    <m/>
    <x v="5"/>
    <x v="0"/>
  </r>
  <r>
    <n v="66681802966"/>
    <n v="173"/>
    <d v="2034-11-11T00:00:00"/>
    <s v=""/>
    <x v="5"/>
    <x v="0"/>
  </r>
  <r>
    <n v="95022698798"/>
    <n v="174"/>
    <d v="2034-11-11T00:00:00"/>
    <s v=""/>
    <x v="5"/>
    <x v="0"/>
  </r>
  <r>
    <n v="66564405396"/>
    <n v="87"/>
    <d v="2034-11-11T00:00:00"/>
    <s v=""/>
    <x v="5"/>
    <x v="0"/>
  </r>
  <r>
    <n v="88746101606"/>
    <n v="166"/>
    <d v="2034-11-12T00:00:00"/>
    <d v="2035-01-17T00:00:00"/>
    <x v="5"/>
    <x v="8"/>
  </r>
  <r>
    <n v="40959634387"/>
    <n v="163"/>
    <d v="2034-11-12T00:00:00"/>
    <s v=""/>
    <x v="5"/>
    <x v="0"/>
  </r>
  <r>
    <n v="98075238859"/>
    <n v="256"/>
    <d v="2034-11-12T00:00:00"/>
    <s v=""/>
    <x v="5"/>
    <x v="0"/>
  </r>
  <r>
    <n v="68878855614"/>
    <n v="331"/>
    <d v="2034-11-12T00:00:00"/>
    <d v="2034-11-14T00:00:00"/>
    <x v="5"/>
    <x v="6"/>
  </r>
  <r>
    <n v="44772920324"/>
    <n v="48"/>
    <d v="2034-11-12T00:00:00"/>
    <s v=""/>
    <x v="5"/>
    <x v="0"/>
  </r>
  <r>
    <n v="58545598079"/>
    <n v="326"/>
    <d v="2034-11-12T00:00:00"/>
    <s v=""/>
    <x v="5"/>
    <x v="0"/>
  </r>
  <r>
    <n v="47975120868"/>
    <n v="237"/>
    <d v="2034-11-12T00:00:00"/>
    <s v=""/>
    <x v="5"/>
    <x v="0"/>
  </r>
  <r>
    <n v="73570767619"/>
    <n v="24"/>
    <d v="2034-11-12T00:00:00"/>
    <s v=""/>
    <x v="5"/>
    <x v="0"/>
  </r>
  <r>
    <n v="78700098641"/>
    <n v="137"/>
    <d v="2034-11-12T00:00:00"/>
    <s v=""/>
    <x v="5"/>
    <x v="0"/>
  </r>
  <r>
    <n v="65889550514"/>
    <n v="311"/>
    <d v="2034-11-12T00:00:00"/>
    <d v="2034-12-05T00:00:00"/>
    <x v="5"/>
    <x v="7"/>
  </r>
  <r>
    <n v="82350793950"/>
    <n v="86"/>
    <d v="2034-11-12T00:00:00"/>
    <s v=""/>
    <x v="5"/>
    <x v="0"/>
  </r>
  <r>
    <n v="59590460267"/>
    <n v="57"/>
    <d v="2034-11-12T00:00:00"/>
    <s v=""/>
    <x v="5"/>
    <x v="0"/>
  </r>
  <r>
    <n v="28297310528"/>
    <n v="311"/>
    <d v="2034-11-12T00:00:00"/>
    <s v=""/>
    <x v="5"/>
    <x v="0"/>
  </r>
  <r>
    <n v="28769576993"/>
    <n v="290"/>
    <d v="2034-11-12T00:00:00"/>
    <s v=""/>
    <x v="5"/>
    <x v="0"/>
  </r>
  <r>
    <n v="42546232682"/>
    <n v="74"/>
    <d v="2034-11-12T00:00:00"/>
    <s v=""/>
    <x v="5"/>
    <x v="0"/>
  </r>
  <r>
    <n v="31485202652"/>
    <n v="22"/>
    <d v="2034-11-12T00:00:00"/>
    <d v="2035-01-31T00:00:00"/>
    <x v="5"/>
    <x v="8"/>
  </r>
  <r>
    <n v="18408025866"/>
    <n v="210"/>
    <d v="2034-11-12T00:00:00"/>
    <s v=""/>
    <x v="5"/>
    <x v="0"/>
  </r>
  <r>
    <n v="68377674220"/>
    <n v="17"/>
    <d v="2034-11-12T00:00:00"/>
    <s v=""/>
    <x v="5"/>
    <x v="0"/>
  </r>
  <r>
    <n v="55829663153"/>
    <n v="249"/>
    <d v="2034-11-12T00:00:00"/>
    <s v=""/>
    <x v="5"/>
    <x v="0"/>
  </r>
  <r>
    <n v="26907230947"/>
    <n v="128"/>
    <d v="2034-11-12T00:00:00"/>
    <s v=""/>
    <x v="5"/>
    <x v="0"/>
  </r>
  <r>
    <n v="62064798614"/>
    <n v="93"/>
    <d v="2034-11-12T00:00:00"/>
    <s v=""/>
    <x v="5"/>
    <x v="0"/>
  </r>
  <r>
    <n v="27907004314"/>
    <n v="194"/>
    <d v="2034-11-12T00:00:00"/>
    <s v=""/>
    <x v="5"/>
    <x v="0"/>
  </r>
  <r>
    <n v="66896617864"/>
    <n v="51"/>
    <d v="2034-11-12T00:00:00"/>
    <d v="2035-01-24T00:00:00"/>
    <x v="5"/>
    <x v="8"/>
  </r>
  <r>
    <n v="54538900078"/>
    <n v="237"/>
    <d v="2034-11-12T00:00:00"/>
    <d v="2035-01-02T00:00:00"/>
    <x v="5"/>
    <x v="8"/>
  </r>
  <r>
    <n v="63923339188"/>
    <n v="130"/>
    <d v="2034-11-13T00:00:00"/>
    <s v=""/>
    <x v="5"/>
    <x v="0"/>
  </r>
  <r>
    <n v="43438911018"/>
    <n v="249"/>
    <d v="2034-11-13T00:00:00"/>
    <s v=""/>
    <x v="5"/>
    <x v="0"/>
  </r>
  <r>
    <n v="34220821004"/>
    <n v="143"/>
    <d v="2034-11-13T00:00:00"/>
    <m/>
    <x v="5"/>
    <x v="0"/>
  </r>
  <r>
    <n v="80205912136"/>
    <n v="222"/>
    <d v="2034-11-13T00:00:00"/>
    <d v="2034-12-29T00:00:00"/>
    <x v="5"/>
    <x v="7"/>
  </r>
  <r>
    <n v="37135556228"/>
    <n v="132"/>
    <d v="2034-11-13T00:00:00"/>
    <s v=""/>
    <x v="5"/>
    <x v="0"/>
  </r>
  <r>
    <n v="37263612740"/>
    <n v="290"/>
    <d v="2034-11-13T00:00:00"/>
    <s v=""/>
    <x v="5"/>
    <x v="0"/>
  </r>
  <r>
    <n v="45139609039"/>
    <n v="154"/>
    <d v="2034-11-13T00:00:00"/>
    <s v=""/>
    <x v="5"/>
    <x v="0"/>
  </r>
  <r>
    <n v="95061625362"/>
    <n v="189"/>
    <d v="2034-11-13T00:00:00"/>
    <d v="2034-12-24T00:00:00"/>
    <x v="5"/>
    <x v="7"/>
  </r>
  <r>
    <n v="51738367624"/>
    <n v="260"/>
    <d v="2034-11-13T00:00:00"/>
    <s v=""/>
    <x v="5"/>
    <x v="0"/>
  </r>
  <r>
    <n v="41811177750"/>
    <n v="306"/>
    <d v="2034-11-13T00:00:00"/>
    <s v=""/>
    <x v="5"/>
    <x v="0"/>
  </r>
  <r>
    <n v="65974539007"/>
    <n v="45"/>
    <d v="2034-11-13T00:00:00"/>
    <s v=""/>
    <x v="5"/>
    <x v="0"/>
  </r>
  <r>
    <n v="43179394098"/>
    <n v="201"/>
    <d v="2034-11-13T00:00:00"/>
    <s v=""/>
    <x v="5"/>
    <x v="0"/>
  </r>
  <r>
    <n v="86380520041"/>
    <n v="80"/>
    <d v="2034-11-13T00:00:00"/>
    <m/>
    <x v="5"/>
    <x v="0"/>
  </r>
  <r>
    <n v="30048480385"/>
    <n v="126"/>
    <d v="2034-11-13T00:00:00"/>
    <s v=""/>
    <x v="5"/>
    <x v="0"/>
  </r>
  <r>
    <n v="61015052989"/>
    <n v="307"/>
    <d v="2034-11-13T00:00:00"/>
    <s v=""/>
    <x v="5"/>
    <x v="0"/>
  </r>
  <r>
    <n v="64964763330"/>
    <n v="297"/>
    <d v="2034-11-13T00:00:00"/>
    <s v=""/>
    <x v="5"/>
    <x v="0"/>
  </r>
  <r>
    <n v="64299417822"/>
    <n v="290"/>
    <d v="2034-11-13T00:00:00"/>
    <d v="2034-12-17T00:00:00"/>
    <x v="5"/>
    <x v="7"/>
  </r>
  <r>
    <n v="29239325230"/>
    <n v="261"/>
    <d v="2034-11-13T00:00:00"/>
    <d v="2034-11-17T00:00:00"/>
    <x v="5"/>
    <x v="6"/>
  </r>
  <r>
    <n v="59178087812"/>
    <n v="54"/>
    <d v="2034-11-13T00:00:00"/>
    <s v=""/>
    <x v="5"/>
    <x v="0"/>
  </r>
  <r>
    <n v="93462696199"/>
    <n v="115"/>
    <d v="2034-11-13T00:00:00"/>
    <s v=""/>
    <x v="5"/>
    <x v="0"/>
  </r>
  <r>
    <n v="18029848811"/>
    <n v="224"/>
    <d v="2034-11-13T00:00:00"/>
    <d v="2034-12-24T00:00:00"/>
    <x v="5"/>
    <x v="7"/>
  </r>
  <r>
    <n v="37013043210"/>
    <n v="95"/>
    <d v="2034-11-13T00:00:00"/>
    <s v=""/>
    <x v="5"/>
    <x v="0"/>
  </r>
  <r>
    <n v="50118258820"/>
    <n v="197"/>
    <d v="2034-11-13T00:00:00"/>
    <s v=""/>
    <x v="5"/>
    <x v="0"/>
  </r>
  <r>
    <n v="99879200776"/>
    <n v="252"/>
    <d v="2034-11-14T00:00:00"/>
    <s v=""/>
    <x v="5"/>
    <x v="0"/>
  </r>
  <r>
    <n v="45438153073"/>
    <n v="217"/>
    <d v="2034-11-14T00:00:00"/>
    <s v=""/>
    <x v="5"/>
    <x v="0"/>
  </r>
  <r>
    <n v="66145487012"/>
    <n v="88"/>
    <d v="2034-11-14T00:00:00"/>
    <s v=""/>
    <x v="5"/>
    <x v="0"/>
  </r>
  <r>
    <n v="52580072648"/>
    <n v="185"/>
    <d v="2034-11-14T00:00:00"/>
    <s v=""/>
    <x v="5"/>
    <x v="0"/>
  </r>
  <r>
    <n v="48692156505"/>
    <n v="117"/>
    <d v="2034-11-14T00:00:00"/>
    <s v=""/>
    <x v="5"/>
    <x v="0"/>
  </r>
  <r>
    <n v="16285261538"/>
    <n v="106"/>
    <d v="2034-11-14T00:00:00"/>
    <s v=""/>
    <x v="5"/>
    <x v="0"/>
  </r>
  <r>
    <n v="59359274500"/>
    <n v="62"/>
    <d v="2034-11-14T00:00:00"/>
    <d v="2035-01-02T00:00:00"/>
    <x v="5"/>
    <x v="8"/>
  </r>
  <r>
    <n v="96949291058"/>
    <n v="251"/>
    <d v="2034-11-14T00:00:00"/>
    <s v=""/>
    <x v="5"/>
    <x v="0"/>
  </r>
  <r>
    <n v="49969025844"/>
    <n v="221"/>
    <d v="2034-11-14T00:00:00"/>
    <s v=""/>
    <x v="5"/>
    <x v="0"/>
  </r>
  <r>
    <n v="55367962937"/>
    <n v="207"/>
    <d v="2034-11-14T00:00:00"/>
    <s v=""/>
    <x v="5"/>
    <x v="0"/>
  </r>
  <r>
    <n v="76325506123"/>
    <n v="75"/>
    <d v="2034-11-14T00:00:00"/>
    <s v=""/>
    <x v="5"/>
    <x v="0"/>
  </r>
  <r>
    <n v="56394009935"/>
    <n v="92"/>
    <d v="2034-11-14T00:00:00"/>
    <s v=""/>
    <x v="5"/>
    <x v="0"/>
  </r>
  <r>
    <n v="66229257537"/>
    <n v="38"/>
    <d v="2034-11-14T00:00:00"/>
    <s v=""/>
    <x v="5"/>
    <x v="0"/>
  </r>
  <r>
    <n v="51816084744"/>
    <n v="91"/>
    <d v="2034-11-14T00:00:00"/>
    <s v=""/>
    <x v="5"/>
    <x v="0"/>
  </r>
  <r>
    <n v="21231716443"/>
    <n v="282"/>
    <d v="2034-11-14T00:00:00"/>
    <s v=""/>
    <x v="5"/>
    <x v="0"/>
  </r>
  <r>
    <n v="89640904142"/>
    <n v="164"/>
    <d v="2034-11-14T00:00:00"/>
    <s v=""/>
    <x v="5"/>
    <x v="0"/>
  </r>
  <r>
    <n v="19590564724"/>
    <n v="272"/>
    <d v="2034-11-14T00:00:00"/>
    <s v=""/>
    <x v="5"/>
    <x v="0"/>
  </r>
  <r>
    <n v="47087225535"/>
    <n v="229"/>
    <d v="2034-11-14T00:00:00"/>
    <m/>
    <x v="5"/>
    <x v="0"/>
  </r>
  <r>
    <n v="53854245199"/>
    <n v="332"/>
    <d v="2034-11-14T00:00:00"/>
    <s v=""/>
    <x v="5"/>
    <x v="0"/>
  </r>
  <r>
    <n v="85735180399"/>
    <n v="53"/>
    <d v="2034-11-14T00:00:00"/>
    <d v="2034-11-25T00:00:00"/>
    <x v="5"/>
    <x v="6"/>
  </r>
  <r>
    <n v="33516514091"/>
    <n v="121"/>
    <d v="2034-11-14T00:00:00"/>
    <s v=""/>
    <x v="5"/>
    <x v="0"/>
  </r>
  <r>
    <n v="60907336772"/>
    <n v="60"/>
    <d v="2034-11-14T00:00:00"/>
    <s v=""/>
    <x v="5"/>
    <x v="0"/>
  </r>
  <r>
    <n v="59484211826"/>
    <n v="40"/>
    <d v="2034-11-14T00:00:00"/>
    <d v="2034-11-21T00:00:00"/>
    <x v="5"/>
    <x v="6"/>
  </r>
  <r>
    <n v="85542465946"/>
    <n v="36"/>
    <d v="2034-11-15T00:00:00"/>
    <s v=""/>
    <x v="5"/>
    <x v="0"/>
  </r>
  <r>
    <n v="53521990842"/>
    <n v="249"/>
    <d v="2034-11-15T00:00:00"/>
    <s v=""/>
    <x v="5"/>
    <x v="0"/>
  </r>
  <r>
    <n v="50085622124"/>
    <n v="69"/>
    <d v="2034-11-15T00:00:00"/>
    <s v=""/>
    <x v="5"/>
    <x v="0"/>
  </r>
  <r>
    <n v="25086505319"/>
    <n v="98"/>
    <d v="2034-11-15T00:00:00"/>
    <d v="2035-01-29T00:00:00"/>
    <x v="5"/>
    <x v="8"/>
  </r>
  <r>
    <n v="76051629252"/>
    <n v="272"/>
    <d v="2034-11-15T00:00:00"/>
    <s v=""/>
    <x v="5"/>
    <x v="0"/>
  </r>
  <r>
    <n v="30157400978"/>
    <n v="11"/>
    <d v="2034-11-15T00:00:00"/>
    <s v=""/>
    <x v="5"/>
    <x v="0"/>
  </r>
  <r>
    <n v="66444188266"/>
    <n v="271"/>
    <d v="2034-11-15T00:00:00"/>
    <s v=""/>
    <x v="5"/>
    <x v="0"/>
  </r>
  <r>
    <n v="83844870799"/>
    <n v="326"/>
    <d v="2034-11-15T00:00:00"/>
    <s v=""/>
    <x v="5"/>
    <x v="0"/>
  </r>
  <r>
    <n v="15529469480"/>
    <n v="178"/>
    <d v="2034-11-15T00:00:00"/>
    <s v=""/>
    <x v="5"/>
    <x v="0"/>
  </r>
  <r>
    <n v="79211981670"/>
    <n v="133"/>
    <d v="2034-11-15T00:00:00"/>
    <s v=""/>
    <x v="5"/>
    <x v="0"/>
  </r>
  <r>
    <n v="44576376878"/>
    <n v="339"/>
    <d v="2034-11-15T00:00:00"/>
    <s v=""/>
    <x v="5"/>
    <x v="0"/>
  </r>
  <r>
    <n v="81903451059"/>
    <n v="65"/>
    <d v="2034-11-15T00:00:00"/>
    <s v=""/>
    <x v="5"/>
    <x v="0"/>
  </r>
  <r>
    <n v="81958649612"/>
    <n v="264"/>
    <d v="2034-11-15T00:00:00"/>
    <s v=""/>
    <x v="5"/>
    <x v="0"/>
  </r>
  <r>
    <n v="16629543796"/>
    <n v="20"/>
    <d v="2034-11-15T00:00:00"/>
    <s v=""/>
    <x v="5"/>
    <x v="0"/>
  </r>
  <r>
    <n v="16556028455"/>
    <n v="317"/>
    <d v="2034-11-15T00:00:00"/>
    <s v=""/>
    <x v="5"/>
    <x v="0"/>
  </r>
  <r>
    <n v="50323423037"/>
    <n v="316"/>
    <d v="2034-11-15T00:00:00"/>
    <s v=""/>
    <x v="5"/>
    <x v="0"/>
  </r>
  <r>
    <n v="66500974410"/>
    <n v="302"/>
    <d v="2034-11-15T00:00:00"/>
    <s v=""/>
    <x v="5"/>
    <x v="0"/>
  </r>
  <r>
    <n v="79521465072"/>
    <n v="172"/>
    <d v="2034-11-15T00:00:00"/>
    <s v=""/>
    <x v="5"/>
    <x v="0"/>
  </r>
  <r>
    <n v="30119214757"/>
    <n v="64"/>
    <d v="2034-11-15T00:00:00"/>
    <s v=""/>
    <x v="5"/>
    <x v="0"/>
  </r>
  <r>
    <n v="72506483622"/>
    <n v="132"/>
    <d v="2034-11-15T00:00:00"/>
    <s v=""/>
    <x v="5"/>
    <x v="0"/>
  </r>
  <r>
    <n v="59711767200"/>
    <n v="22"/>
    <d v="2034-11-15T00:00:00"/>
    <d v="2034-11-23T00:00:00"/>
    <x v="5"/>
    <x v="6"/>
  </r>
  <r>
    <n v="35483995531"/>
    <n v="34"/>
    <d v="2034-11-15T00:00:00"/>
    <s v=""/>
    <x v="5"/>
    <x v="0"/>
  </r>
  <r>
    <n v="48146518026"/>
    <n v="274"/>
    <d v="2034-11-15T00:00:00"/>
    <s v=""/>
    <x v="5"/>
    <x v="0"/>
  </r>
  <r>
    <n v="26451113607"/>
    <n v="119"/>
    <d v="2034-11-15T00:00:00"/>
    <s v=""/>
    <x v="5"/>
    <x v="0"/>
  </r>
  <r>
    <n v="87432238297"/>
    <n v="179"/>
    <d v="2034-11-15T00:00:00"/>
    <d v="2034-12-21T00:00:00"/>
    <x v="5"/>
    <x v="7"/>
  </r>
  <r>
    <n v="79899361397"/>
    <n v="129"/>
    <d v="2034-11-15T00:00:00"/>
    <s v=""/>
    <x v="5"/>
    <x v="0"/>
  </r>
  <r>
    <n v="23215096548"/>
    <n v="217"/>
    <d v="2034-11-15T00:00:00"/>
    <d v="2034-12-01T00:00:00"/>
    <x v="5"/>
    <x v="7"/>
  </r>
  <r>
    <n v="83449347768"/>
    <n v="237"/>
    <d v="2034-11-15T00:00:00"/>
    <s v=""/>
    <x v="5"/>
    <x v="0"/>
  </r>
  <r>
    <n v="18631278225"/>
    <n v="243"/>
    <d v="2034-11-16T00:00:00"/>
    <s v=""/>
    <x v="5"/>
    <x v="0"/>
  </r>
  <r>
    <n v="55969670289"/>
    <n v="246"/>
    <d v="2034-11-16T00:00:00"/>
    <s v=""/>
    <x v="5"/>
    <x v="0"/>
  </r>
  <r>
    <n v="50561805823"/>
    <n v="235"/>
    <d v="2034-11-16T00:00:00"/>
    <s v=""/>
    <x v="5"/>
    <x v="0"/>
  </r>
  <r>
    <n v="18973409461"/>
    <n v="123"/>
    <d v="2034-11-16T00:00:00"/>
    <s v=""/>
    <x v="5"/>
    <x v="0"/>
  </r>
  <r>
    <n v="66349866510"/>
    <n v="43"/>
    <d v="2034-11-16T00:00:00"/>
    <s v=""/>
    <x v="5"/>
    <x v="0"/>
  </r>
  <r>
    <n v="35439626627"/>
    <n v="185"/>
    <d v="2034-11-16T00:00:00"/>
    <s v=""/>
    <x v="5"/>
    <x v="0"/>
  </r>
  <r>
    <n v="70894253933"/>
    <n v="53"/>
    <d v="2034-11-16T00:00:00"/>
    <d v="2035-01-07T00:00:00"/>
    <x v="5"/>
    <x v="8"/>
  </r>
  <r>
    <n v="95545527842"/>
    <n v="302"/>
    <d v="2034-11-16T00:00:00"/>
    <s v=""/>
    <x v="5"/>
    <x v="0"/>
  </r>
  <r>
    <n v="12993758673"/>
    <n v="309"/>
    <d v="2034-11-16T00:00:00"/>
    <d v="2035-01-31T00:00:00"/>
    <x v="5"/>
    <x v="8"/>
  </r>
  <r>
    <n v="44498281006"/>
    <n v="331"/>
    <d v="2034-11-16T00:00:00"/>
    <m/>
    <x v="5"/>
    <x v="0"/>
  </r>
  <r>
    <n v="81560955101"/>
    <n v="79"/>
    <d v="2034-11-16T00:00:00"/>
    <d v="2035-01-03T00:00:00"/>
    <x v="5"/>
    <x v="8"/>
  </r>
  <r>
    <n v="59039656043"/>
    <n v="224"/>
    <d v="2034-11-16T00:00:00"/>
    <s v=""/>
    <x v="5"/>
    <x v="0"/>
  </r>
  <r>
    <n v="67754122326"/>
    <n v="286"/>
    <d v="2034-11-16T00:00:00"/>
    <s v=""/>
    <x v="5"/>
    <x v="0"/>
  </r>
  <r>
    <n v="59984470570"/>
    <n v="61"/>
    <d v="2034-11-16T00:00:00"/>
    <s v=""/>
    <x v="5"/>
    <x v="0"/>
  </r>
  <r>
    <n v="22904292323"/>
    <n v="268"/>
    <d v="2034-11-16T00:00:00"/>
    <d v="2034-12-21T00:00:00"/>
    <x v="5"/>
    <x v="7"/>
  </r>
  <r>
    <n v="31426692294"/>
    <n v="188"/>
    <d v="2034-11-16T00:00:00"/>
    <d v="2034-12-14T00:00:00"/>
    <x v="5"/>
    <x v="7"/>
  </r>
  <r>
    <n v="90024020822"/>
    <n v="209"/>
    <d v="2034-11-16T00:00:00"/>
    <s v=""/>
    <x v="5"/>
    <x v="0"/>
  </r>
  <r>
    <n v="42168464685"/>
    <n v="127"/>
    <d v="2034-11-16T00:00:00"/>
    <d v="2034-12-26T00:00:00"/>
    <x v="5"/>
    <x v="7"/>
  </r>
  <r>
    <n v="29498818887"/>
    <n v="248"/>
    <d v="2034-11-16T00:00:00"/>
    <s v=""/>
    <x v="5"/>
    <x v="0"/>
  </r>
  <r>
    <n v="94803224344"/>
    <n v="183"/>
    <d v="2034-11-16T00:00:00"/>
    <d v="2034-12-09T00:00:00"/>
    <x v="5"/>
    <x v="7"/>
  </r>
  <r>
    <n v="64134527904"/>
    <n v="325"/>
    <d v="2034-11-16T00:00:00"/>
    <s v=""/>
    <x v="5"/>
    <x v="0"/>
  </r>
  <r>
    <n v="20137768203"/>
    <n v="194"/>
    <d v="2034-11-16T00:00:00"/>
    <s v=""/>
    <x v="5"/>
    <x v="0"/>
  </r>
  <r>
    <n v="12300872134"/>
    <n v="312"/>
    <d v="2034-11-16T00:00:00"/>
    <d v="2034-11-24T00:00:00"/>
    <x v="5"/>
    <x v="6"/>
  </r>
  <r>
    <n v="42563412383"/>
    <n v="16"/>
    <d v="2034-11-16T00:00:00"/>
    <s v=""/>
    <x v="5"/>
    <x v="0"/>
  </r>
  <r>
    <n v="63411221171"/>
    <n v="248"/>
    <d v="2034-11-16T00:00:00"/>
    <s v=""/>
    <x v="5"/>
    <x v="0"/>
  </r>
  <r>
    <n v="81949384213"/>
    <n v="4"/>
    <d v="2034-11-16T00:00:00"/>
    <s v=""/>
    <x v="5"/>
    <x v="0"/>
  </r>
  <r>
    <n v="33873509357"/>
    <n v="181"/>
    <d v="2034-11-16T00:00:00"/>
    <s v=""/>
    <x v="5"/>
    <x v="0"/>
  </r>
  <r>
    <n v="18084650631"/>
    <n v="189"/>
    <d v="2034-11-16T00:00:00"/>
    <s v=""/>
    <x v="5"/>
    <x v="0"/>
  </r>
  <r>
    <n v="36134028023"/>
    <n v="167"/>
    <d v="2034-11-16T00:00:00"/>
    <s v=""/>
    <x v="5"/>
    <x v="0"/>
  </r>
  <r>
    <n v="65320466044"/>
    <n v="126"/>
    <d v="2034-11-16T00:00:00"/>
    <s v=""/>
    <x v="5"/>
    <x v="0"/>
  </r>
  <r>
    <n v="12698637272"/>
    <n v="263"/>
    <d v="2034-11-17T00:00:00"/>
    <s v=""/>
    <x v="5"/>
    <x v="0"/>
  </r>
  <r>
    <n v="86486644846"/>
    <n v="234"/>
    <d v="2034-11-17T00:00:00"/>
    <d v="2034-12-15T00:00:00"/>
    <x v="5"/>
    <x v="7"/>
  </r>
  <r>
    <n v="89857433923"/>
    <n v="295"/>
    <d v="2034-11-17T00:00:00"/>
    <d v="2035-01-08T00:00:00"/>
    <x v="5"/>
    <x v="8"/>
  </r>
  <r>
    <n v="65620783084"/>
    <n v="260"/>
    <d v="2034-11-17T00:00:00"/>
    <s v=""/>
    <x v="5"/>
    <x v="0"/>
  </r>
  <r>
    <n v="18467655177"/>
    <n v="333"/>
    <d v="2034-11-17T00:00:00"/>
    <s v=""/>
    <x v="5"/>
    <x v="0"/>
  </r>
  <r>
    <n v="70832689601"/>
    <n v="245"/>
    <d v="2034-11-17T00:00:00"/>
    <m/>
    <x v="5"/>
    <x v="0"/>
  </r>
  <r>
    <n v="82799935343"/>
    <n v="113"/>
    <d v="2034-11-17T00:00:00"/>
    <s v=""/>
    <x v="5"/>
    <x v="0"/>
  </r>
  <r>
    <n v="17232627930"/>
    <n v="73"/>
    <d v="2034-11-17T00:00:00"/>
    <s v=""/>
    <x v="5"/>
    <x v="0"/>
  </r>
  <r>
    <n v="72944097748"/>
    <n v="85"/>
    <d v="2034-11-17T00:00:00"/>
    <s v=""/>
    <x v="5"/>
    <x v="0"/>
  </r>
  <r>
    <n v="26074682008"/>
    <n v="47"/>
    <d v="2034-11-17T00:00:00"/>
    <d v="2035-01-19T00:00:00"/>
    <x v="5"/>
    <x v="8"/>
  </r>
  <r>
    <n v="95318950053"/>
    <n v="123"/>
    <d v="2034-11-17T00:00:00"/>
    <m/>
    <x v="5"/>
    <x v="0"/>
  </r>
  <r>
    <n v="83481885936"/>
    <n v="151"/>
    <d v="2034-11-17T00:00:00"/>
    <s v=""/>
    <x v="5"/>
    <x v="0"/>
  </r>
  <r>
    <n v="27654721895"/>
    <n v="185"/>
    <d v="2034-11-17T00:00:00"/>
    <s v=""/>
    <x v="5"/>
    <x v="0"/>
  </r>
  <r>
    <n v="88770137465"/>
    <n v="24"/>
    <d v="2034-11-17T00:00:00"/>
    <s v=""/>
    <x v="5"/>
    <x v="0"/>
  </r>
  <r>
    <n v="31096658165"/>
    <n v="4"/>
    <d v="2034-11-17T00:00:00"/>
    <s v=""/>
    <x v="5"/>
    <x v="0"/>
  </r>
  <r>
    <n v="18085620121"/>
    <n v="284"/>
    <d v="2034-11-17T00:00:00"/>
    <s v=""/>
    <x v="5"/>
    <x v="0"/>
  </r>
  <r>
    <n v="45342932450"/>
    <n v="122"/>
    <d v="2034-11-17T00:00:00"/>
    <m/>
    <x v="5"/>
    <x v="0"/>
  </r>
  <r>
    <n v="89398323256"/>
    <n v="307"/>
    <d v="2034-11-17T00:00:00"/>
    <s v=""/>
    <x v="5"/>
    <x v="0"/>
  </r>
  <r>
    <n v="82690247477"/>
    <n v="94"/>
    <d v="2034-11-17T00:00:00"/>
    <s v=""/>
    <x v="5"/>
    <x v="0"/>
  </r>
  <r>
    <n v="41481840506"/>
    <n v="5"/>
    <d v="2034-11-17T00:00:00"/>
    <m/>
    <x v="5"/>
    <x v="0"/>
  </r>
  <r>
    <n v="90343432275"/>
    <n v="248"/>
    <d v="2034-11-17T00:00:00"/>
    <m/>
    <x v="5"/>
    <x v="0"/>
  </r>
  <r>
    <n v="46808828159"/>
    <n v="88"/>
    <d v="2034-11-17T00:00:00"/>
    <d v="2034-12-13T00:00:00"/>
    <x v="5"/>
    <x v="7"/>
  </r>
  <r>
    <n v="76898559704"/>
    <n v="67"/>
    <d v="2034-11-17T00:00:00"/>
    <s v=""/>
    <x v="5"/>
    <x v="0"/>
  </r>
  <r>
    <n v="52054633037"/>
    <n v="199"/>
    <d v="2034-11-17T00:00:00"/>
    <s v=""/>
    <x v="5"/>
    <x v="0"/>
  </r>
  <r>
    <n v="52098768824"/>
    <n v="283"/>
    <d v="2034-11-17T00:00:00"/>
    <m/>
    <x v="5"/>
    <x v="0"/>
  </r>
  <r>
    <n v="44599506307"/>
    <n v="291"/>
    <d v="2034-11-17T00:00:00"/>
    <s v=""/>
    <x v="5"/>
    <x v="0"/>
  </r>
  <r>
    <n v="83037212775"/>
    <n v="135"/>
    <d v="2034-11-17T00:00:00"/>
    <d v="2034-12-18T00:00:00"/>
    <x v="5"/>
    <x v="7"/>
  </r>
  <r>
    <n v="72583810257"/>
    <n v="293"/>
    <d v="2034-11-17T00:00:00"/>
    <s v=""/>
    <x v="5"/>
    <x v="0"/>
  </r>
  <r>
    <n v="72695558763"/>
    <n v="206"/>
    <d v="2034-11-17T00:00:00"/>
    <m/>
    <x v="5"/>
    <x v="0"/>
  </r>
  <r>
    <n v="46981527014"/>
    <n v="132"/>
    <d v="2034-11-17T00:00:00"/>
    <s v=""/>
    <x v="5"/>
    <x v="0"/>
  </r>
  <r>
    <n v="87953159256"/>
    <n v="251"/>
    <d v="2034-11-17T00:00:00"/>
    <s v=""/>
    <x v="5"/>
    <x v="0"/>
  </r>
  <r>
    <n v="37631946141"/>
    <n v="79"/>
    <d v="2034-11-18T00:00:00"/>
    <s v=""/>
    <x v="5"/>
    <x v="0"/>
  </r>
  <r>
    <n v="87072811160"/>
    <n v="106"/>
    <d v="2034-11-18T00:00:00"/>
    <s v=""/>
    <x v="5"/>
    <x v="0"/>
  </r>
  <r>
    <n v="34035517710"/>
    <n v="260"/>
    <d v="2034-11-18T00:00:00"/>
    <d v="2035-01-03T00:00:00"/>
    <x v="5"/>
    <x v="8"/>
  </r>
  <r>
    <n v="24102427880"/>
    <n v="71"/>
    <d v="2034-11-18T00:00:00"/>
    <s v=""/>
    <x v="5"/>
    <x v="0"/>
  </r>
  <r>
    <n v="56822634299"/>
    <n v="213"/>
    <d v="2034-11-18T00:00:00"/>
    <m/>
    <x v="5"/>
    <x v="0"/>
  </r>
  <r>
    <n v="50312105178"/>
    <n v="260"/>
    <d v="2034-11-18T00:00:00"/>
    <s v=""/>
    <x v="5"/>
    <x v="0"/>
  </r>
  <r>
    <n v="78087745788"/>
    <n v="207"/>
    <d v="2034-11-18T00:00:00"/>
    <s v=""/>
    <x v="5"/>
    <x v="0"/>
  </r>
  <r>
    <n v="92409235715"/>
    <n v="243"/>
    <d v="2034-11-18T00:00:00"/>
    <s v=""/>
    <x v="5"/>
    <x v="0"/>
  </r>
  <r>
    <n v="50991613736"/>
    <n v="256"/>
    <d v="2034-11-18T00:00:00"/>
    <s v=""/>
    <x v="5"/>
    <x v="0"/>
  </r>
  <r>
    <n v="35929964437"/>
    <n v="102"/>
    <d v="2034-11-18T00:00:00"/>
    <s v=""/>
    <x v="5"/>
    <x v="0"/>
  </r>
  <r>
    <n v="63029781584"/>
    <n v="99"/>
    <d v="2034-11-18T00:00:00"/>
    <d v="2035-01-18T00:00:00"/>
    <x v="5"/>
    <x v="8"/>
  </r>
  <r>
    <n v="31750261502"/>
    <n v="39"/>
    <d v="2034-11-18T00:00:00"/>
    <s v=""/>
    <x v="5"/>
    <x v="0"/>
  </r>
  <r>
    <n v="31079500242"/>
    <n v="202"/>
    <d v="2034-11-18T00:00:00"/>
    <s v=""/>
    <x v="5"/>
    <x v="0"/>
  </r>
  <r>
    <n v="78001038729"/>
    <n v="146"/>
    <d v="2034-11-18T00:00:00"/>
    <s v=""/>
    <x v="5"/>
    <x v="0"/>
  </r>
  <r>
    <n v="73952029089"/>
    <n v="273"/>
    <d v="2034-11-18T00:00:00"/>
    <d v="2034-12-04T00:00:00"/>
    <x v="5"/>
    <x v="7"/>
  </r>
  <r>
    <n v="54014086838"/>
    <n v="80"/>
    <d v="2034-11-18T00:00:00"/>
    <s v=""/>
    <x v="5"/>
    <x v="0"/>
  </r>
  <r>
    <n v="88191603744"/>
    <n v="145"/>
    <d v="2034-11-18T00:00:00"/>
    <d v="2035-01-11T00:00:00"/>
    <x v="5"/>
    <x v="8"/>
  </r>
  <r>
    <n v="18701327395"/>
    <n v="225"/>
    <d v="2034-11-18T00:00:00"/>
    <s v=""/>
    <x v="5"/>
    <x v="0"/>
  </r>
  <r>
    <n v="71715021243"/>
    <n v="182"/>
    <d v="2034-11-18T00:00:00"/>
    <d v="2035-01-17T00:00:00"/>
    <x v="5"/>
    <x v="8"/>
  </r>
  <r>
    <n v="39871956989"/>
    <n v="111"/>
    <d v="2034-11-18T00:00:00"/>
    <s v=""/>
    <x v="5"/>
    <x v="0"/>
  </r>
  <r>
    <n v="17598896285"/>
    <n v="243"/>
    <d v="2034-11-18T00:00:00"/>
    <s v=""/>
    <x v="5"/>
    <x v="0"/>
  </r>
  <r>
    <n v="98543713499"/>
    <n v="275"/>
    <d v="2034-11-18T00:00:00"/>
    <s v=""/>
    <x v="5"/>
    <x v="0"/>
  </r>
  <r>
    <n v="53030689131"/>
    <n v="24"/>
    <d v="2034-11-18T00:00:00"/>
    <s v=""/>
    <x v="5"/>
    <x v="0"/>
  </r>
  <r>
    <n v="12846016709"/>
    <n v="86"/>
    <d v="2034-11-18T00:00:00"/>
    <d v="2034-12-22T00:00:00"/>
    <x v="5"/>
    <x v="7"/>
  </r>
  <r>
    <n v="66610021519"/>
    <n v="314"/>
    <d v="2034-11-18T00:00:00"/>
    <s v=""/>
    <x v="5"/>
    <x v="0"/>
  </r>
  <r>
    <n v="59376825520"/>
    <n v="189"/>
    <d v="2034-11-18T00:00:00"/>
    <d v="2034-12-12T00:00:00"/>
    <x v="5"/>
    <x v="7"/>
  </r>
  <r>
    <n v="50370570397"/>
    <n v="55"/>
    <d v="2034-11-19T00:00:00"/>
    <s v=""/>
    <x v="5"/>
    <x v="0"/>
  </r>
  <r>
    <n v="13162645740"/>
    <n v="109"/>
    <d v="2034-11-19T00:00:00"/>
    <s v=""/>
    <x v="5"/>
    <x v="0"/>
  </r>
  <r>
    <n v="87234895046"/>
    <n v="116"/>
    <d v="2034-11-19T00:00:00"/>
    <d v="2035-01-18T00:00:00"/>
    <x v="5"/>
    <x v="8"/>
  </r>
  <r>
    <n v="51230811262"/>
    <n v="118"/>
    <d v="2034-11-19T00:00:00"/>
    <s v=""/>
    <x v="5"/>
    <x v="0"/>
  </r>
  <r>
    <n v="93672024747"/>
    <n v="59"/>
    <d v="2034-11-19T00:00:00"/>
    <s v=""/>
    <x v="5"/>
    <x v="0"/>
  </r>
  <r>
    <n v="54884695408"/>
    <n v="283"/>
    <d v="2034-11-19T00:00:00"/>
    <s v=""/>
    <x v="5"/>
    <x v="0"/>
  </r>
  <r>
    <n v="68882859954"/>
    <n v="178"/>
    <d v="2034-11-19T00:00:00"/>
    <s v=""/>
    <x v="5"/>
    <x v="0"/>
  </r>
  <r>
    <n v="98590581377"/>
    <n v="134"/>
    <d v="2034-11-19T00:00:00"/>
    <s v=""/>
    <x v="5"/>
    <x v="0"/>
  </r>
  <r>
    <n v="65685006361"/>
    <n v="173"/>
    <d v="2034-11-19T00:00:00"/>
    <d v="2035-01-29T00:00:00"/>
    <x v="5"/>
    <x v="8"/>
  </r>
  <r>
    <n v="46164670856"/>
    <n v="229"/>
    <d v="2034-11-19T00:00:00"/>
    <s v=""/>
    <x v="5"/>
    <x v="0"/>
  </r>
  <r>
    <n v="37296429563"/>
    <n v="301"/>
    <d v="2034-11-19T00:00:00"/>
    <s v=""/>
    <x v="5"/>
    <x v="0"/>
  </r>
  <r>
    <n v="65507788999"/>
    <n v="255"/>
    <d v="2034-11-19T00:00:00"/>
    <s v=""/>
    <x v="5"/>
    <x v="0"/>
  </r>
  <r>
    <n v="59444632427"/>
    <n v="116"/>
    <d v="2034-11-19T00:00:00"/>
    <s v=""/>
    <x v="5"/>
    <x v="0"/>
  </r>
  <r>
    <n v="75678925969"/>
    <n v="73"/>
    <d v="2034-11-19T00:00:00"/>
    <s v=""/>
    <x v="5"/>
    <x v="0"/>
  </r>
  <r>
    <n v="61694291162"/>
    <n v="123"/>
    <d v="2034-11-19T00:00:00"/>
    <s v=""/>
    <x v="5"/>
    <x v="0"/>
  </r>
  <r>
    <n v="14107583990"/>
    <n v="269"/>
    <d v="2034-11-19T00:00:00"/>
    <s v=""/>
    <x v="5"/>
    <x v="0"/>
  </r>
  <r>
    <n v="31798423441"/>
    <n v="10"/>
    <d v="2034-11-19T00:00:00"/>
    <s v=""/>
    <x v="5"/>
    <x v="0"/>
  </r>
  <r>
    <n v="79884490354"/>
    <n v="256"/>
    <d v="2034-11-19T00:00:00"/>
    <s v=""/>
    <x v="5"/>
    <x v="0"/>
  </r>
  <r>
    <n v="69167776583"/>
    <n v="31"/>
    <d v="2034-11-19T00:00:00"/>
    <s v=""/>
    <x v="5"/>
    <x v="0"/>
  </r>
  <r>
    <n v="88523840001"/>
    <n v="155"/>
    <d v="2034-11-19T00:00:00"/>
    <d v="2035-01-14T00:00:00"/>
    <x v="5"/>
    <x v="8"/>
  </r>
  <r>
    <n v="18070486229"/>
    <n v="20"/>
    <d v="2034-11-19T00:00:00"/>
    <s v=""/>
    <x v="5"/>
    <x v="0"/>
  </r>
  <r>
    <n v="65068219089"/>
    <n v="321"/>
    <d v="2034-11-20T00:00:00"/>
    <s v=""/>
    <x v="5"/>
    <x v="0"/>
  </r>
  <r>
    <n v="47814090063"/>
    <n v="212"/>
    <d v="2034-11-20T00:00:00"/>
    <s v=""/>
    <x v="5"/>
    <x v="0"/>
  </r>
  <r>
    <n v="33217839078"/>
    <n v="334"/>
    <d v="2034-11-20T00:00:00"/>
    <s v=""/>
    <x v="5"/>
    <x v="0"/>
  </r>
  <r>
    <n v="66001243659"/>
    <n v="45"/>
    <d v="2034-11-20T00:00:00"/>
    <s v=""/>
    <x v="5"/>
    <x v="0"/>
  </r>
  <r>
    <n v="25073046978"/>
    <n v="83"/>
    <d v="2034-11-20T00:00:00"/>
    <d v="2035-01-24T00:00:00"/>
    <x v="5"/>
    <x v="8"/>
  </r>
  <r>
    <n v="62279007363"/>
    <n v="120"/>
    <d v="2034-11-20T00:00:00"/>
    <s v=""/>
    <x v="5"/>
    <x v="0"/>
  </r>
  <r>
    <n v="98922471036"/>
    <n v="183"/>
    <d v="2034-11-20T00:00:00"/>
    <s v=""/>
    <x v="5"/>
    <x v="0"/>
  </r>
  <r>
    <n v="36319986074"/>
    <n v="251"/>
    <d v="2034-11-20T00:00:00"/>
    <s v=""/>
    <x v="5"/>
    <x v="0"/>
  </r>
  <r>
    <n v="76373319974"/>
    <n v="133"/>
    <d v="2034-11-20T00:00:00"/>
    <s v=""/>
    <x v="5"/>
    <x v="0"/>
  </r>
  <r>
    <n v="62773294003"/>
    <n v="151"/>
    <d v="2034-11-20T00:00:00"/>
    <s v=""/>
    <x v="5"/>
    <x v="0"/>
  </r>
  <r>
    <n v="64555196268"/>
    <n v="315"/>
    <d v="2034-11-20T00:00:00"/>
    <s v=""/>
    <x v="5"/>
    <x v="0"/>
  </r>
  <r>
    <n v="98668457720"/>
    <n v="4"/>
    <d v="2034-11-20T00:00:00"/>
    <d v="2034-11-21T00:00:00"/>
    <x v="5"/>
    <x v="6"/>
  </r>
  <r>
    <n v="16760651855"/>
    <n v="265"/>
    <d v="2034-11-20T00:00:00"/>
    <d v="2035-01-16T00:00:00"/>
    <x v="5"/>
    <x v="8"/>
  </r>
  <r>
    <n v="84035655464"/>
    <n v="271"/>
    <d v="2034-11-20T00:00:00"/>
    <d v="2034-11-22T00:00:00"/>
    <x v="5"/>
    <x v="6"/>
  </r>
  <r>
    <n v="75280412242"/>
    <n v="30"/>
    <d v="2034-11-20T00:00:00"/>
    <s v=""/>
    <x v="5"/>
    <x v="0"/>
  </r>
  <r>
    <n v="58284880441"/>
    <n v="251"/>
    <d v="2034-11-20T00:00:00"/>
    <s v=""/>
    <x v="5"/>
    <x v="0"/>
  </r>
  <r>
    <n v="39412044330"/>
    <n v="291"/>
    <d v="2034-11-20T00:00:00"/>
    <m/>
    <x v="5"/>
    <x v="0"/>
  </r>
  <r>
    <n v="98178258801"/>
    <n v="107"/>
    <d v="2034-11-20T00:00:00"/>
    <s v=""/>
    <x v="5"/>
    <x v="0"/>
  </r>
  <r>
    <n v="80429463334"/>
    <n v="324"/>
    <d v="2034-11-20T00:00:00"/>
    <s v=""/>
    <x v="5"/>
    <x v="0"/>
  </r>
  <r>
    <n v="11736826939"/>
    <n v="240"/>
    <d v="2034-11-20T00:00:00"/>
    <s v=""/>
    <x v="5"/>
    <x v="0"/>
  </r>
  <r>
    <n v="27836161973"/>
    <n v="315"/>
    <d v="2034-11-20T00:00:00"/>
    <s v=""/>
    <x v="5"/>
    <x v="0"/>
  </r>
  <r>
    <n v="87149222963"/>
    <n v="261"/>
    <d v="2034-11-20T00:00:00"/>
    <s v=""/>
    <x v="5"/>
    <x v="0"/>
  </r>
  <r>
    <n v="39866030338"/>
    <n v="19"/>
    <d v="2034-11-20T00:00:00"/>
    <s v=""/>
    <x v="5"/>
    <x v="0"/>
  </r>
  <r>
    <n v="26000952558"/>
    <n v="328"/>
    <d v="2034-11-20T00:00:00"/>
    <m/>
    <x v="5"/>
    <x v="0"/>
  </r>
  <r>
    <n v="20905770356"/>
    <n v="144"/>
    <d v="2034-11-20T00:00:00"/>
    <s v=""/>
    <x v="5"/>
    <x v="0"/>
  </r>
  <r>
    <n v="35735244083"/>
    <n v="225"/>
    <d v="2034-11-21T00:00:00"/>
    <s v=""/>
    <x v="5"/>
    <x v="0"/>
  </r>
  <r>
    <n v="51226393828"/>
    <n v="207"/>
    <d v="2034-11-21T00:00:00"/>
    <m/>
    <x v="5"/>
    <x v="0"/>
  </r>
  <r>
    <n v="55800241500"/>
    <n v="139"/>
    <d v="2034-11-21T00:00:00"/>
    <s v=""/>
    <x v="5"/>
    <x v="0"/>
  </r>
  <r>
    <n v="35104413736"/>
    <n v="265"/>
    <d v="2034-11-21T00:00:00"/>
    <s v=""/>
    <x v="5"/>
    <x v="0"/>
  </r>
  <r>
    <n v="31021273415"/>
    <n v="199"/>
    <d v="2034-11-21T00:00:00"/>
    <s v=""/>
    <x v="5"/>
    <x v="0"/>
  </r>
  <r>
    <n v="36561991052"/>
    <n v="162"/>
    <d v="2034-11-21T00:00:00"/>
    <s v=""/>
    <x v="5"/>
    <x v="0"/>
  </r>
  <r>
    <n v="89359331926"/>
    <n v="92"/>
    <d v="2034-11-21T00:00:00"/>
    <d v="2035-01-03T00:00:00"/>
    <x v="5"/>
    <x v="8"/>
  </r>
  <r>
    <n v="18676119644"/>
    <n v="292"/>
    <d v="2034-11-21T00:00:00"/>
    <s v=""/>
    <x v="5"/>
    <x v="0"/>
  </r>
  <r>
    <n v="54019228798"/>
    <n v="3"/>
    <d v="2034-11-21T00:00:00"/>
    <s v=""/>
    <x v="5"/>
    <x v="0"/>
  </r>
  <r>
    <n v="94813422740"/>
    <n v="241"/>
    <d v="2034-11-21T00:00:00"/>
    <s v=""/>
    <x v="5"/>
    <x v="0"/>
  </r>
  <r>
    <n v="90765409843"/>
    <n v="252"/>
    <d v="2034-11-21T00:00:00"/>
    <s v=""/>
    <x v="5"/>
    <x v="0"/>
  </r>
  <r>
    <n v="36178042663"/>
    <n v="46"/>
    <d v="2034-11-21T00:00:00"/>
    <d v="2035-01-03T00:00:00"/>
    <x v="5"/>
    <x v="8"/>
  </r>
  <r>
    <n v="55868206515"/>
    <n v="243"/>
    <d v="2034-11-21T00:00:00"/>
    <s v=""/>
    <x v="5"/>
    <x v="0"/>
  </r>
  <r>
    <n v="99419415781"/>
    <n v="8"/>
    <d v="2034-11-21T00:00:00"/>
    <s v=""/>
    <x v="5"/>
    <x v="0"/>
  </r>
  <r>
    <n v="66919867849"/>
    <n v="161"/>
    <d v="2034-11-21T00:00:00"/>
    <d v="2035-01-26T00:00:00"/>
    <x v="5"/>
    <x v="8"/>
  </r>
  <r>
    <n v="71995384413"/>
    <n v="54"/>
    <d v="2034-11-21T00:00:00"/>
    <s v=""/>
    <x v="5"/>
    <x v="0"/>
  </r>
  <r>
    <n v="95580584902"/>
    <n v="68"/>
    <d v="2034-11-21T00:00:00"/>
    <s v=""/>
    <x v="5"/>
    <x v="0"/>
  </r>
  <r>
    <n v="34782204276"/>
    <n v="305"/>
    <d v="2034-11-21T00:00:00"/>
    <s v=""/>
    <x v="5"/>
    <x v="0"/>
  </r>
  <r>
    <n v="22996131808"/>
    <n v="197"/>
    <d v="2034-11-21T00:00:00"/>
    <s v=""/>
    <x v="5"/>
    <x v="0"/>
  </r>
  <r>
    <n v="83572492495"/>
    <n v="172"/>
    <d v="2034-11-21T00:00:00"/>
    <s v=""/>
    <x v="5"/>
    <x v="0"/>
  </r>
  <r>
    <n v="92129524955"/>
    <n v="5"/>
    <d v="2034-11-21T00:00:00"/>
    <s v=""/>
    <x v="5"/>
    <x v="0"/>
  </r>
  <r>
    <n v="78185404509"/>
    <n v="82"/>
    <d v="2034-11-21T00:00:00"/>
    <s v=""/>
    <x v="5"/>
    <x v="0"/>
  </r>
  <r>
    <n v="49177858995"/>
    <n v="155"/>
    <d v="2034-11-21T00:00:00"/>
    <s v=""/>
    <x v="5"/>
    <x v="0"/>
  </r>
  <r>
    <n v="52023818447"/>
    <n v="145"/>
    <d v="2034-11-22T00:00:00"/>
    <s v=""/>
    <x v="5"/>
    <x v="0"/>
  </r>
  <r>
    <n v="22926441682"/>
    <n v="248"/>
    <d v="2034-11-22T00:00:00"/>
    <s v=""/>
    <x v="5"/>
    <x v="0"/>
  </r>
  <r>
    <n v="45492457300"/>
    <n v="123"/>
    <d v="2034-11-22T00:00:00"/>
    <s v=""/>
    <x v="5"/>
    <x v="0"/>
  </r>
  <r>
    <n v="39808172054"/>
    <n v="159"/>
    <d v="2034-11-22T00:00:00"/>
    <s v=""/>
    <x v="5"/>
    <x v="0"/>
  </r>
  <r>
    <n v="33368631202"/>
    <n v="197"/>
    <d v="2034-11-22T00:00:00"/>
    <s v=""/>
    <x v="5"/>
    <x v="0"/>
  </r>
  <r>
    <n v="59254907711"/>
    <n v="18"/>
    <d v="2034-11-22T00:00:00"/>
    <s v=""/>
    <x v="5"/>
    <x v="0"/>
  </r>
  <r>
    <n v="68140774138"/>
    <n v="301"/>
    <d v="2034-11-22T00:00:00"/>
    <s v=""/>
    <x v="5"/>
    <x v="0"/>
  </r>
  <r>
    <n v="75258985616"/>
    <n v="139"/>
    <d v="2034-11-22T00:00:00"/>
    <s v=""/>
    <x v="5"/>
    <x v="0"/>
  </r>
  <r>
    <n v="53134780086"/>
    <n v="95"/>
    <d v="2034-11-22T00:00:00"/>
    <s v=""/>
    <x v="5"/>
    <x v="0"/>
  </r>
  <r>
    <n v="59604264455"/>
    <n v="233"/>
    <d v="2034-11-22T00:00:00"/>
    <s v=""/>
    <x v="5"/>
    <x v="0"/>
  </r>
  <r>
    <n v="76944312784"/>
    <n v="191"/>
    <d v="2034-11-22T00:00:00"/>
    <s v=""/>
    <x v="5"/>
    <x v="0"/>
  </r>
  <r>
    <n v="95985917820"/>
    <n v="12"/>
    <d v="2034-11-22T00:00:00"/>
    <s v=""/>
    <x v="5"/>
    <x v="0"/>
  </r>
  <r>
    <n v="47242552789"/>
    <n v="300"/>
    <d v="2034-11-22T00:00:00"/>
    <d v="2035-01-04T00:00:00"/>
    <x v="5"/>
    <x v="8"/>
  </r>
  <r>
    <n v="79801640063"/>
    <n v="39"/>
    <d v="2034-11-22T00:00:00"/>
    <m/>
    <x v="5"/>
    <x v="0"/>
  </r>
  <r>
    <n v="36703837356"/>
    <n v="244"/>
    <d v="2034-11-22T00:00:00"/>
    <s v=""/>
    <x v="5"/>
    <x v="0"/>
  </r>
  <r>
    <n v="59330805550"/>
    <n v="214"/>
    <d v="2034-11-22T00:00:00"/>
    <s v=""/>
    <x v="5"/>
    <x v="0"/>
  </r>
  <r>
    <n v="16383095766"/>
    <n v="109"/>
    <d v="2034-11-22T00:00:00"/>
    <s v=""/>
    <x v="5"/>
    <x v="0"/>
  </r>
  <r>
    <n v="54060714489"/>
    <n v="160"/>
    <d v="2034-11-22T00:00:00"/>
    <s v=""/>
    <x v="5"/>
    <x v="0"/>
  </r>
  <r>
    <n v="87910798088"/>
    <n v="319"/>
    <d v="2034-11-22T00:00:00"/>
    <s v=""/>
    <x v="5"/>
    <x v="0"/>
  </r>
  <r>
    <n v="81551614370"/>
    <n v="111"/>
    <d v="2034-11-22T00:00:00"/>
    <d v="2034-12-13T00:00:00"/>
    <x v="5"/>
    <x v="7"/>
  </r>
  <r>
    <n v="40997574398"/>
    <n v="282"/>
    <d v="2034-11-23T00:00:00"/>
    <s v=""/>
    <x v="5"/>
    <x v="0"/>
  </r>
  <r>
    <n v="84662883166"/>
    <n v="202"/>
    <d v="2034-11-23T00:00:00"/>
    <s v=""/>
    <x v="5"/>
    <x v="0"/>
  </r>
  <r>
    <n v="87261394857"/>
    <n v="217"/>
    <d v="2034-11-23T00:00:00"/>
    <s v=""/>
    <x v="5"/>
    <x v="0"/>
  </r>
  <r>
    <n v="97263954840"/>
    <n v="6"/>
    <d v="2034-11-23T00:00:00"/>
    <s v=""/>
    <x v="5"/>
    <x v="0"/>
  </r>
  <r>
    <n v="28041546507"/>
    <n v="234"/>
    <d v="2034-11-23T00:00:00"/>
    <s v=""/>
    <x v="5"/>
    <x v="0"/>
  </r>
  <r>
    <n v="73944566144"/>
    <n v="271"/>
    <d v="2034-11-23T00:00:00"/>
    <s v=""/>
    <x v="5"/>
    <x v="0"/>
  </r>
  <r>
    <n v="30600492397"/>
    <n v="128"/>
    <d v="2034-11-23T00:00:00"/>
    <s v=""/>
    <x v="5"/>
    <x v="0"/>
  </r>
  <r>
    <n v="22959667528"/>
    <n v="62"/>
    <d v="2034-11-23T00:00:00"/>
    <s v=""/>
    <x v="5"/>
    <x v="0"/>
  </r>
  <r>
    <n v="90356718998"/>
    <n v="191"/>
    <d v="2034-11-23T00:00:00"/>
    <s v=""/>
    <x v="5"/>
    <x v="0"/>
  </r>
  <r>
    <n v="40820609792"/>
    <n v="332"/>
    <d v="2034-11-23T00:00:00"/>
    <d v="2034-12-10T00:00:00"/>
    <x v="5"/>
    <x v="7"/>
  </r>
  <r>
    <n v="33467572989"/>
    <n v="39"/>
    <d v="2034-11-23T00:00:00"/>
    <m/>
    <x v="5"/>
    <x v="0"/>
  </r>
  <r>
    <n v="27725222625"/>
    <n v="253"/>
    <d v="2034-11-24T00:00:00"/>
    <s v=""/>
    <x v="5"/>
    <x v="0"/>
  </r>
  <r>
    <n v="47732649103"/>
    <n v="228"/>
    <d v="2034-11-24T00:00:00"/>
    <s v=""/>
    <x v="5"/>
    <x v="0"/>
  </r>
  <r>
    <n v="20949122028"/>
    <n v="27"/>
    <d v="2034-11-24T00:00:00"/>
    <s v=""/>
    <x v="5"/>
    <x v="0"/>
  </r>
  <r>
    <n v="14153045437"/>
    <n v="173"/>
    <d v="2034-11-24T00:00:00"/>
    <s v=""/>
    <x v="5"/>
    <x v="0"/>
  </r>
  <r>
    <n v="80450980221"/>
    <n v="137"/>
    <d v="2034-11-24T00:00:00"/>
    <m/>
    <x v="5"/>
    <x v="0"/>
  </r>
  <r>
    <n v="66882742440"/>
    <n v="314"/>
    <d v="2034-11-24T00:00:00"/>
    <s v=""/>
    <x v="5"/>
    <x v="0"/>
  </r>
  <r>
    <n v="99006599416"/>
    <n v="156"/>
    <d v="2034-11-24T00:00:00"/>
    <s v=""/>
    <x v="5"/>
    <x v="0"/>
  </r>
  <r>
    <n v="52877378946"/>
    <n v="220"/>
    <d v="2034-11-24T00:00:00"/>
    <s v=""/>
    <x v="5"/>
    <x v="0"/>
  </r>
  <r>
    <n v="57356544606"/>
    <n v="257"/>
    <d v="2034-11-24T00:00:00"/>
    <s v=""/>
    <x v="5"/>
    <x v="0"/>
  </r>
  <r>
    <n v="29394518871"/>
    <n v="38"/>
    <d v="2034-11-24T00:00:00"/>
    <s v=""/>
    <x v="5"/>
    <x v="0"/>
  </r>
  <r>
    <n v="49154737793"/>
    <n v="283"/>
    <d v="2034-11-24T00:00:00"/>
    <s v=""/>
    <x v="5"/>
    <x v="0"/>
  </r>
  <r>
    <n v="61728585537"/>
    <n v="16"/>
    <d v="2034-11-24T00:00:00"/>
    <s v=""/>
    <x v="5"/>
    <x v="0"/>
  </r>
  <r>
    <n v="83410709879"/>
    <n v="323"/>
    <d v="2034-11-24T00:00:00"/>
    <s v=""/>
    <x v="5"/>
    <x v="0"/>
  </r>
  <r>
    <n v="61302373410"/>
    <n v="221"/>
    <d v="2034-11-24T00:00:00"/>
    <s v=""/>
    <x v="5"/>
    <x v="0"/>
  </r>
  <r>
    <n v="79568296075"/>
    <n v="292"/>
    <d v="2034-11-24T00:00:00"/>
    <s v=""/>
    <x v="5"/>
    <x v="0"/>
  </r>
  <r>
    <n v="88335015980"/>
    <n v="292"/>
    <d v="2034-11-24T00:00:00"/>
    <s v=""/>
    <x v="5"/>
    <x v="0"/>
  </r>
  <r>
    <n v="96581137274"/>
    <n v="186"/>
    <d v="2034-11-24T00:00:00"/>
    <s v=""/>
    <x v="5"/>
    <x v="0"/>
  </r>
  <r>
    <n v="94390228783"/>
    <n v="206"/>
    <d v="2034-11-24T00:00:00"/>
    <s v=""/>
    <x v="5"/>
    <x v="0"/>
  </r>
  <r>
    <n v="36385144350"/>
    <n v="178"/>
    <d v="2034-11-24T00:00:00"/>
    <d v="2035-01-31T00:00:00"/>
    <x v="5"/>
    <x v="8"/>
  </r>
  <r>
    <n v="55359697053"/>
    <n v="162"/>
    <d v="2034-11-24T00:00:00"/>
    <s v=""/>
    <x v="5"/>
    <x v="0"/>
  </r>
  <r>
    <n v="31426312232"/>
    <n v="232"/>
    <d v="2034-11-24T00:00:00"/>
    <s v=""/>
    <x v="5"/>
    <x v="0"/>
  </r>
  <r>
    <n v="15119088396"/>
    <n v="174"/>
    <d v="2034-11-24T00:00:00"/>
    <s v=""/>
    <x v="5"/>
    <x v="0"/>
  </r>
  <r>
    <n v="80636571424"/>
    <n v="144"/>
    <d v="2034-11-24T00:00:00"/>
    <s v=""/>
    <x v="5"/>
    <x v="0"/>
  </r>
  <r>
    <n v="77604470688"/>
    <n v="333"/>
    <d v="2034-11-24T00:00:00"/>
    <s v=""/>
    <x v="5"/>
    <x v="0"/>
  </r>
  <r>
    <n v="87307626046"/>
    <n v="154"/>
    <d v="2034-11-24T00:00:00"/>
    <s v=""/>
    <x v="5"/>
    <x v="0"/>
  </r>
  <r>
    <n v="64865149525"/>
    <n v="157"/>
    <d v="2034-11-24T00:00:00"/>
    <s v=""/>
    <x v="5"/>
    <x v="0"/>
  </r>
  <r>
    <n v="73004274959"/>
    <n v="28"/>
    <d v="2034-11-24T00:00:00"/>
    <s v=""/>
    <x v="5"/>
    <x v="0"/>
  </r>
  <r>
    <n v="94209959148"/>
    <n v="92"/>
    <d v="2034-11-24T00:00:00"/>
    <m/>
    <x v="5"/>
    <x v="0"/>
  </r>
  <r>
    <n v="36847018833"/>
    <n v="263"/>
    <d v="2034-11-25T00:00:00"/>
    <s v=""/>
    <x v="5"/>
    <x v="0"/>
  </r>
  <r>
    <n v="45914517841"/>
    <n v="173"/>
    <d v="2034-11-25T00:00:00"/>
    <s v=""/>
    <x v="5"/>
    <x v="0"/>
  </r>
  <r>
    <n v="61494206695"/>
    <n v="32"/>
    <d v="2034-11-25T00:00:00"/>
    <s v=""/>
    <x v="5"/>
    <x v="0"/>
  </r>
  <r>
    <n v="96531761969"/>
    <n v="304"/>
    <d v="2034-11-25T00:00:00"/>
    <s v=""/>
    <x v="5"/>
    <x v="0"/>
  </r>
  <r>
    <n v="12736986281"/>
    <n v="268"/>
    <d v="2034-11-25T00:00:00"/>
    <s v=""/>
    <x v="5"/>
    <x v="0"/>
  </r>
  <r>
    <n v="70238556159"/>
    <n v="113"/>
    <d v="2034-11-25T00:00:00"/>
    <s v=""/>
    <x v="5"/>
    <x v="0"/>
  </r>
  <r>
    <n v="59998652723"/>
    <n v="192"/>
    <d v="2034-11-25T00:00:00"/>
    <s v=""/>
    <x v="5"/>
    <x v="0"/>
  </r>
  <r>
    <n v="82196778735"/>
    <n v="332"/>
    <d v="2034-11-25T00:00:00"/>
    <s v=""/>
    <x v="5"/>
    <x v="0"/>
  </r>
  <r>
    <n v="81030984928"/>
    <n v="42"/>
    <d v="2034-11-25T00:00:00"/>
    <s v=""/>
    <x v="5"/>
    <x v="0"/>
  </r>
  <r>
    <n v="87176127120"/>
    <n v="182"/>
    <d v="2034-11-25T00:00:00"/>
    <s v=""/>
    <x v="5"/>
    <x v="0"/>
  </r>
  <r>
    <n v="75932022880"/>
    <n v="87"/>
    <d v="2034-11-25T00:00:00"/>
    <d v="2034-11-25T00:00:00"/>
    <x v="5"/>
    <x v="6"/>
  </r>
  <r>
    <n v="64352160360"/>
    <n v="337"/>
    <d v="2034-11-25T00:00:00"/>
    <s v=""/>
    <x v="5"/>
    <x v="0"/>
  </r>
  <r>
    <n v="47058615002"/>
    <n v="211"/>
    <d v="2034-11-25T00:00:00"/>
    <d v="2034-12-26T00:00:00"/>
    <x v="5"/>
    <x v="7"/>
  </r>
  <r>
    <n v="13601186592"/>
    <n v="294"/>
    <d v="2034-11-25T00:00:00"/>
    <s v=""/>
    <x v="5"/>
    <x v="0"/>
  </r>
  <r>
    <n v="56439109113"/>
    <n v="66"/>
    <d v="2034-11-25T00:00:00"/>
    <s v=""/>
    <x v="5"/>
    <x v="0"/>
  </r>
  <r>
    <n v="79548225375"/>
    <n v="192"/>
    <d v="2034-11-25T00:00:00"/>
    <s v=""/>
    <x v="5"/>
    <x v="0"/>
  </r>
  <r>
    <n v="97053427106"/>
    <n v="321"/>
    <d v="2034-11-25T00:00:00"/>
    <d v="2035-01-01T00:00:00"/>
    <x v="5"/>
    <x v="8"/>
  </r>
  <r>
    <n v="84185483929"/>
    <n v="203"/>
    <d v="2034-11-25T00:00:00"/>
    <d v="2034-12-12T00:00:00"/>
    <x v="5"/>
    <x v="7"/>
  </r>
  <r>
    <n v="45736612866"/>
    <n v="9"/>
    <d v="2034-11-25T00:00:00"/>
    <s v=""/>
    <x v="5"/>
    <x v="0"/>
  </r>
  <r>
    <n v="87595519398"/>
    <n v="175"/>
    <d v="2034-11-25T00:00:00"/>
    <m/>
    <x v="5"/>
    <x v="0"/>
  </r>
  <r>
    <n v="37669411114"/>
    <n v="7"/>
    <d v="2034-11-25T00:00:00"/>
    <s v=""/>
    <x v="5"/>
    <x v="0"/>
  </r>
  <r>
    <n v="12301713788"/>
    <n v="117"/>
    <d v="2034-11-25T00:00:00"/>
    <m/>
    <x v="5"/>
    <x v="0"/>
  </r>
  <r>
    <n v="56601096689"/>
    <n v="314"/>
    <d v="2034-11-25T00:00:00"/>
    <s v=""/>
    <x v="5"/>
    <x v="0"/>
  </r>
  <r>
    <n v="75336218247"/>
    <n v="16"/>
    <d v="2034-11-25T00:00:00"/>
    <s v=""/>
    <x v="5"/>
    <x v="0"/>
  </r>
  <r>
    <n v="66818726574"/>
    <n v="63"/>
    <d v="2034-11-26T00:00:00"/>
    <s v=""/>
    <x v="5"/>
    <x v="0"/>
  </r>
  <r>
    <n v="53374776573"/>
    <n v="84"/>
    <d v="2034-11-26T00:00:00"/>
    <s v=""/>
    <x v="5"/>
    <x v="0"/>
  </r>
  <r>
    <n v="15199407618"/>
    <n v="185"/>
    <d v="2034-11-26T00:00:00"/>
    <s v=""/>
    <x v="5"/>
    <x v="0"/>
  </r>
  <r>
    <n v="45921928864"/>
    <n v="9"/>
    <d v="2034-11-26T00:00:00"/>
    <s v=""/>
    <x v="5"/>
    <x v="0"/>
  </r>
  <r>
    <n v="30101894519"/>
    <n v="301"/>
    <d v="2034-11-26T00:00:00"/>
    <s v=""/>
    <x v="5"/>
    <x v="0"/>
  </r>
  <r>
    <n v="37470931549"/>
    <n v="175"/>
    <d v="2034-11-26T00:00:00"/>
    <s v=""/>
    <x v="5"/>
    <x v="0"/>
  </r>
  <r>
    <n v="56386361476"/>
    <n v="275"/>
    <d v="2034-11-26T00:00:00"/>
    <s v=""/>
    <x v="5"/>
    <x v="0"/>
  </r>
  <r>
    <n v="21291446773"/>
    <n v="54"/>
    <d v="2034-11-26T00:00:00"/>
    <s v=""/>
    <x v="5"/>
    <x v="0"/>
  </r>
  <r>
    <n v="48129028288"/>
    <n v="171"/>
    <d v="2034-11-26T00:00:00"/>
    <s v=""/>
    <x v="5"/>
    <x v="0"/>
  </r>
  <r>
    <n v="99326429568"/>
    <n v="312"/>
    <d v="2034-11-26T00:00:00"/>
    <s v=""/>
    <x v="5"/>
    <x v="0"/>
  </r>
  <r>
    <n v="76236844312"/>
    <n v="208"/>
    <d v="2034-11-26T00:00:00"/>
    <s v=""/>
    <x v="5"/>
    <x v="0"/>
  </r>
  <r>
    <n v="80899852413"/>
    <n v="40"/>
    <d v="2034-11-26T00:00:00"/>
    <s v=""/>
    <x v="5"/>
    <x v="0"/>
  </r>
  <r>
    <n v="71665296166"/>
    <n v="315"/>
    <d v="2034-11-26T00:00:00"/>
    <s v=""/>
    <x v="5"/>
    <x v="0"/>
  </r>
  <r>
    <n v="30347081447"/>
    <n v="156"/>
    <d v="2034-11-26T00:00:00"/>
    <m/>
    <x v="5"/>
    <x v="0"/>
  </r>
  <r>
    <n v="22984085120"/>
    <n v="228"/>
    <d v="2034-11-26T00:00:00"/>
    <s v=""/>
    <x v="5"/>
    <x v="0"/>
  </r>
  <r>
    <n v="55709499360"/>
    <n v="135"/>
    <d v="2034-11-26T00:00:00"/>
    <s v=""/>
    <x v="5"/>
    <x v="0"/>
  </r>
  <r>
    <n v="45422941331"/>
    <n v="215"/>
    <d v="2034-11-26T00:00:00"/>
    <s v=""/>
    <x v="5"/>
    <x v="0"/>
  </r>
  <r>
    <n v="38557881418"/>
    <n v="310"/>
    <d v="2034-11-26T00:00:00"/>
    <s v=""/>
    <x v="5"/>
    <x v="0"/>
  </r>
  <r>
    <n v="25227939198"/>
    <n v="315"/>
    <d v="2034-11-26T00:00:00"/>
    <s v=""/>
    <x v="5"/>
    <x v="0"/>
  </r>
  <r>
    <n v="29396600050"/>
    <n v="13"/>
    <d v="2034-11-26T00:00:00"/>
    <s v=""/>
    <x v="5"/>
    <x v="0"/>
  </r>
  <r>
    <n v="17580087925"/>
    <n v="245"/>
    <d v="2034-11-26T00:00:00"/>
    <s v=""/>
    <x v="5"/>
    <x v="0"/>
  </r>
  <r>
    <n v="96307925569"/>
    <n v="14"/>
    <d v="2034-11-26T00:00:00"/>
    <s v=""/>
    <x v="5"/>
    <x v="0"/>
  </r>
  <r>
    <n v="39918711944"/>
    <n v="118"/>
    <d v="2034-11-26T00:00:00"/>
    <s v=""/>
    <x v="5"/>
    <x v="0"/>
  </r>
  <r>
    <n v="56868904870"/>
    <n v="210"/>
    <d v="2034-11-26T00:00:00"/>
    <s v=""/>
    <x v="5"/>
    <x v="0"/>
  </r>
  <r>
    <n v="12402051735"/>
    <n v="254"/>
    <d v="2034-11-26T00:00:00"/>
    <d v="2034-12-17T00:00:00"/>
    <x v="5"/>
    <x v="7"/>
  </r>
  <r>
    <n v="76356943713"/>
    <n v="268"/>
    <d v="2034-11-26T00:00:00"/>
    <s v=""/>
    <x v="5"/>
    <x v="0"/>
  </r>
  <r>
    <n v="29444368039"/>
    <n v="226"/>
    <d v="2034-11-26T00:00:00"/>
    <s v=""/>
    <x v="5"/>
    <x v="0"/>
  </r>
  <r>
    <n v="62857026470"/>
    <n v="275"/>
    <d v="2034-11-26T00:00:00"/>
    <s v=""/>
    <x v="5"/>
    <x v="0"/>
  </r>
  <r>
    <n v="71179547966"/>
    <n v="125"/>
    <d v="2034-11-26T00:00:00"/>
    <d v="2035-01-12T00:00:00"/>
    <x v="5"/>
    <x v="8"/>
  </r>
  <r>
    <n v="29740865910"/>
    <n v="277"/>
    <d v="2034-11-27T00:00:00"/>
    <s v=""/>
    <x v="5"/>
    <x v="0"/>
  </r>
  <r>
    <n v="43604527256"/>
    <n v="274"/>
    <d v="2034-11-27T00:00:00"/>
    <s v=""/>
    <x v="5"/>
    <x v="0"/>
  </r>
  <r>
    <n v="30873619833"/>
    <n v="286"/>
    <d v="2034-11-27T00:00:00"/>
    <s v=""/>
    <x v="5"/>
    <x v="0"/>
  </r>
  <r>
    <n v="71987675368"/>
    <n v="28"/>
    <d v="2034-11-27T00:00:00"/>
    <s v=""/>
    <x v="5"/>
    <x v="0"/>
  </r>
  <r>
    <n v="79662914943"/>
    <n v="69"/>
    <d v="2034-11-27T00:00:00"/>
    <s v=""/>
    <x v="5"/>
    <x v="0"/>
  </r>
  <r>
    <n v="30697506390"/>
    <n v="188"/>
    <d v="2034-11-27T00:00:00"/>
    <d v="2034-12-23T00:00:00"/>
    <x v="5"/>
    <x v="7"/>
  </r>
  <r>
    <n v="83192032056"/>
    <n v="298"/>
    <d v="2034-11-27T00:00:00"/>
    <s v=""/>
    <x v="5"/>
    <x v="0"/>
  </r>
  <r>
    <n v="41456465546"/>
    <n v="6"/>
    <d v="2034-11-27T00:00:00"/>
    <s v=""/>
    <x v="5"/>
    <x v="0"/>
  </r>
  <r>
    <n v="17414838629"/>
    <n v="92"/>
    <d v="2034-11-27T00:00:00"/>
    <s v=""/>
    <x v="5"/>
    <x v="0"/>
  </r>
  <r>
    <n v="39532468489"/>
    <n v="53"/>
    <d v="2034-11-27T00:00:00"/>
    <s v=""/>
    <x v="5"/>
    <x v="0"/>
  </r>
  <r>
    <n v="59053992093"/>
    <n v="68"/>
    <d v="2034-11-27T00:00:00"/>
    <m/>
    <x v="5"/>
    <x v="0"/>
  </r>
  <r>
    <n v="90707605293"/>
    <n v="206"/>
    <d v="2034-11-27T00:00:00"/>
    <s v=""/>
    <x v="5"/>
    <x v="0"/>
  </r>
  <r>
    <n v="11951834709"/>
    <n v="136"/>
    <d v="2034-11-27T00:00:00"/>
    <s v=""/>
    <x v="5"/>
    <x v="0"/>
  </r>
  <r>
    <n v="46235679482"/>
    <n v="70"/>
    <d v="2034-11-27T00:00:00"/>
    <s v=""/>
    <x v="5"/>
    <x v="0"/>
  </r>
  <r>
    <n v="20036531474"/>
    <n v="23"/>
    <d v="2034-11-27T00:00:00"/>
    <s v=""/>
    <x v="5"/>
    <x v="0"/>
  </r>
  <r>
    <n v="29009401907"/>
    <n v="60"/>
    <d v="2034-11-27T00:00:00"/>
    <s v=""/>
    <x v="5"/>
    <x v="0"/>
  </r>
  <r>
    <n v="42029583541"/>
    <n v="334"/>
    <d v="2034-11-27T00:00:00"/>
    <m/>
    <x v="5"/>
    <x v="0"/>
  </r>
  <r>
    <n v="53502039245"/>
    <n v="324"/>
    <d v="2034-11-27T00:00:00"/>
    <s v=""/>
    <x v="5"/>
    <x v="0"/>
  </r>
  <r>
    <n v="54035600658"/>
    <n v="161"/>
    <d v="2034-11-27T00:00:00"/>
    <s v=""/>
    <x v="5"/>
    <x v="0"/>
  </r>
  <r>
    <n v="79575584873"/>
    <n v="227"/>
    <d v="2034-11-27T00:00:00"/>
    <s v=""/>
    <x v="5"/>
    <x v="0"/>
  </r>
  <r>
    <n v="71740054545"/>
    <n v="53"/>
    <d v="2034-11-27T00:00:00"/>
    <s v=""/>
    <x v="5"/>
    <x v="0"/>
  </r>
  <r>
    <n v="58332506698"/>
    <n v="261"/>
    <d v="2034-11-27T00:00:00"/>
    <s v=""/>
    <x v="5"/>
    <x v="0"/>
  </r>
  <r>
    <n v="36790532307"/>
    <n v="45"/>
    <d v="2034-11-27T00:00:00"/>
    <d v="2034-12-08T00:00:00"/>
    <x v="5"/>
    <x v="7"/>
  </r>
  <r>
    <n v="92583264164"/>
    <n v="7"/>
    <d v="2034-11-27T00:00:00"/>
    <d v="2035-01-09T00:00:00"/>
    <x v="5"/>
    <x v="8"/>
  </r>
  <r>
    <n v="57575185657"/>
    <n v="38"/>
    <d v="2034-11-27T00:00:00"/>
    <s v=""/>
    <x v="5"/>
    <x v="0"/>
  </r>
  <r>
    <n v="95265282228"/>
    <n v="3"/>
    <d v="2034-11-27T00:00:00"/>
    <s v=""/>
    <x v="5"/>
    <x v="0"/>
  </r>
  <r>
    <n v="16403229179"/>
    <n v="62"/>
    <d v="2034-11-27T00:00:00"/>
    <s v=""/>
    <x v="5"/>
    <x v="0"/>
  </r>
  <r>
    <n v="76360850010"/>
    <n v="293"/>
    <d v="2034-11-27T00:00:00"/>
    <s v=""/>
    <x v="5"/>
    <x v="0"/>
  </r>
  <r>
    <n v="57906132903"/>
    <n v="177"/>
    <d v="2034-11-27T00:00:00"/>
    <s v=""/>
    <x v="5"/>
    <x v="0"/>
  </r>
  <r>
    <n v="28400068157"/>
    <n v="43"/>
    <d v="2034-11-27T00:00:00"/>
    <s v=""/>
    <x v="5"/>
    <x v="0"/>
  </r>
  <r>
    <n v="71454487360"/>
    <n v="293"/>
    <d v="2034-11-27T00:00:00"/>
    <s v=""/>
    <x v="5"/>
    <x v="0"/>
  </r>
  <r>
    <n v="51423827776"/>
    <n v="261"/>
    <d v="2034-11-27T00:00:00"/>
    <d v="2035-01-04T00:00:00"/>
    <x v="5"/>
    <x v="8"/>
  </r>
  <r>
    <n v="77512600877"/>
    <n v="232"/>
    <d v="2034-11-27T00:00:00"/>
    <s v=""/>
    <x v="5"/>
    <x v="0"/>
  </r>
  <r>
    <n v="78443249141"/>
    <n v="199"/>
    <d v="2034-11-27T00:00:00"/>
    <m/>
    <x v="5"/>
    <x v="0"/>
  </r>
  <r>
    <n v="93167486665"/>
    <n v="266"/>
    <d v="2034-11-27T00:00:00"/>
    <s v=""/>
    <x v="5"/>
    <x v="0"/>
  </r>
  <r>
    <n v="31513104162"/>
    <n v="262"/>
    <d v="2034-11-27T00:00:00"/>
    <s v=""/>
    <x v="5"/>
    <x v="0"/>
  </r>
  <r>
    <n v="65955868166"/>
    <n v="192"/>
    <d v="2034-11-27T00:00:00"/>
    <s v=""/>
    <x v="5"/>
    <x v="0"/>
  </r>
  <r>
    <n v="73922567551"/>
    <n v="197"/>
    <d v="2034-11-27T00:00:00"/>
    <s v=""/>
    <x v="5"/>
    <x v="0"/>
  </r>
  <r>
    <n v="92983205052"/>
    <n v="137"/>
    <d v="2034-11-27T00:00:00"/>
    <d v="2035-01-14T00:00:00"/>
    <x v="5"/>
    <x v="8"/>
  </r>
  <r>
    <n v="79454448649"/>
    <n v="170"/>
    <d v="2034-11-27T00:00:00"/>
    <s v=""/>
    <x v="5"/>
    <x v="0"/>
  </r>
  <r>
    <n v="26385694909"/>
    <n v="172"/>
    <d v="2034-11-28T00:00:00"/>
    <m/>
    <x v="5"/>
    <x v="0"/>
  </r>
  <r>
    <n v="72467247730"/>
    <n v="121"/>
    <d v="2034-11-28T00:00:00"/>
    <m/>
    <x v="5"/>
    <x v="0"/>
  </r>
  <r>
    <n v="33931665612"/>
    <n v="206"/>
    <d v="2034-11-28T00:00:00"/>
    <s v=""/>
    <x v="5"/>
    <x v="0"/>
  </r>
  <r>
    <n v="78711392660"/>
    <n v="41"/>
    <d v="2034-11-28T00:00:00"/>
    <s v=""/>
    <x v="5"/>
    <x v="0"/>
  </r>
  <r>
    <n v="63324725853"/>
    <n v="307"/>
    <d v="2034-11-28T00:00:00"/>
    <s v=""/>
    <x v="5"/>
    <x v="0"/>
  </r>
  <r>
    <n v="18984027606"/>
    <n v="233"/>
    <d v="2034-11-28T00:00:00"/>
    <m/>
    <x v="5"/>
    <x v="0"/>
  </r>
  <r>
    <n v="37749355353"/>
    <n v="320"/>
    <d v="2034-11-28T00:00:00"/>
    <s v=""/>
    <x v="5"/>
    <x v="0"/>
  </r>
  <r>
    <n v="75134143839"/>
    <n v="16"/>
    <d v="2034-11-28T00:00:00"/>
    <s v=""/>
    <x v="5"/>
    <x v="0"/>
  </r>
  <r>
    <n v="94079045689"/>
    <n v="74"/>
    <d v="2034-11-28T00:00:00"/>
    <s v=""/>
    <x v="5"/>
    <x v="0"/>
  </r>
  <r>
    <n v="63767459617"/>
    <n v="42"/>
    <d v="2034-11-28T00:00:00"/>
    <s v=""/>
    <x v="5"/>
    <x v="0"/>
  </r>
  <r>
    <n v="21450752315"/>
    <n v="312"/>
    <d v="2034-11-28T00:00:00"/>
    <d v="2034-12-28T00:00:00"/>
    <x v="5"/>
    <x v="7"/>
  </r>
  <r>
    <n v="26688152468"/>
    <n v="55"/>
    <d v="2034-11-28T00:00:00"/>
    <s v=""/>
    <x v="5"/>
    <x v="0"/>
  </r>
  <r>
    <n v="28469636744"/>
    <n v="278"/>
    <d v="2034-11-28T00:00:00"/>
    <s v=""/>
    <x v="5"/>
    <x v="0"/>
  </r>
  <r>
    <n v="42469427601"/>
    <n v="44"/>
    <d v="2034-11-28T00:00:00"/>
    <s v=""/>
    <x v="5"/>
    <x v="0"/>
  </r>
  <r>
    <n v="27911215463"/>
    <n v="175"/>
    <d v="2034-11-28T00:00:00"/>
    <s v=""/>
    <x v="5"/>
    <x v="0"/>
  </r>
  <r>
    <n v="23624147919"/>
    <n v="118"/>
    <d v="2034-11-28T00:00:00"/>
    <m/>
    <x v="5"/>
    <x v="0"/>
  </r>
  <r>
    <n v="42566272988"/>
    <n v="83"/>
    <d v="2034-11-28T00:00:00"/>
    <s v=""/>
    <x v="5"/>
    <x v="0"/>
  </r>
  <r>
    <n v="86530940303"/>
    <n v="61"/>
    <d v="2034-11-28T00:00:00"/>
    <m/>
    <x v="5"/>
    <x v="0"/>
  </r>
  <r>
    <n v="72313790066"/>
    <n v="228"/>
    <d v="2034-11-28T00:00:00"/>
    <s v=""/>
    <x v="5"/>
    <x v="0"/>
  </r>
  <r>
    <n v="62981553389"/>
    <n v="55"/>
    <d v="2034-11-28T00:00:00"/>
    <s v=""/>
    <x v="5"/>
    <x v="0"/>
  </r>
  <r>
    <n v="89908291189"/>
    <n v="288"/>
    <d v="2034-11-28T00:00:00"/>
    <s v=""/>
    <x v="5"/>
    <x v="0"/>
  </r>
  <r>
    <n v="54517369121"/>
    <n v="340"/>
    <d v="2034-11-28T00:00:00"/>
    <s v=""/>
    <x v="5"/>
    <x v="0"/>
  </r>
  <r>
    <n v="71585684200"/>
    <n v="261"/>
    <d v="2034-11-28T00:00:00"/>
    <m/>
    <x v="5"/>
    <x v="0"/>
  </r>
  <r>
    <n v="86953553873"/>
    <n v="138"/>
    <d v="2034-11-28T00:00:00"/>
    <s v=""/>
    <x v="5"/>
    <x v="0"/>
  </r>
  <r>
    <n v="73833881908"/>
    <n v="46"/>
    <d v="2034-11-29T00:00:00"/>
    <d v="2034-12-29T00:00:00"/>
    <x v="5"/>
    <x v="7"/>
  </r>
  <r>
    <n v="76241247557"/>
    <n v="81"/>
    <d v="2034-11-29T00:00:00"/>
    <m/>
    <x v="5"/>
    <x v="0"/>
  </r>
  <r>
    <n v="87716314936"/>
    <n v="3"/>
    <d v="2034-11-29T00:00:00"/>
    <s v=""/>
    <x v="5"/>
    <x v="0"/>
  </r>
  <r>
    <n v="11908150166"/>
    <n v="68"/>
    <d v="2034-11-29T00:00:00"/>
    <d v="2034-12-25T00:00:00"/>
    <x v="5"/>
    <x v="7"/>
  </r>
  <r>
    <n v="40121472962"/>
    <n v="22"/>
    <d v="2034-11-29T00:00:00"/>
    <m/>
    <x v="5"/>
    <x v="0"/>
  </r>
  <r>
    <n v="93441312295"/>
    <n v="31"/>
    <d v="2034-11-29T00:00:00"/>
    <s v=""/>
    <x v="5"/>
    <x v="0"/>
  </r>
  <r>
    <n v="92916111189"/>
    <n v="258"/>
    <d v="2034-11-29T00:00:00"/>
    <s v=""/>
    <x v="5"/>
    <x v="0"/>
  </r>
  <r>
    <n v="82016804968"/>
    <n v="197"/>
    <d v="2034-11-29T00:00:00"/>
    <s v=""/>
    <x v="5"/>
    <x v="0"/>
  </r>
  <r>
    <n v="35468842800"/>
    <n v="13"/>
    <d v="2034-11-29T00:00:00"/>
    <s v=""/>
    <x v="5"/>
    <x v="0"/>
  </r>
  <r>
    <n v="80120727617"/>
    <n v="141"/>
    <d v="2034-11-29T00:00:00"/>
    <s v=""/>
    <x v="5"/>
    <x v="0"/>
  </r>
  <r>
    <n v="12745549400"/>
    <n v="143"/>
    <d v="2034-11-29T00:00:00"/>
    <s v=""/>
    <x v="5"/>
    <x v="0"/>
  </r>
  <r>
    <n v="51108246119"/>
    <n v="273"/>
    <d v="2034-11-29T00:00:00"/>
    <s v=""/>
    <x v="5"/>
    <x v="0"/>
  </r>
  <r>
    <n v="73910691197"/>
    <n v="268"/>
    <d v="2034-11-29T00:00:00"/>
    <s v=""/>
    <x v="5"/>
    <x v="0"/>
  </r>
  <r>
    <n v="18270055991"/>
    <n v="241"/>
    <d v="2034-11-29T00:00:00"/>
    <s v=""/>
    <x v="5"/>
    <x v="0"/>
  </r>
  <r>
    <n v="91534604976"/>
    <n v="157"/>
    <d v="2034-11-29T00:00:00"/>
    <s v=""/>
    <x v="5"/>
    <x v="0"/>
  </r>
  <r>
    <n v="15026796053"/>
    <n v="313"/>
    <d v="2034-11-29T00:00:00"/>
    <s v=""/>
    <x v="5"/>
    <x v="0"/>
  </r>
  <r>
    <n v="27246005832"/>
    <n v="221"/>
    <d v="2034-11-29T00:00:00"/>
    <s v=""/>
    <x v="5"/>
    <x v="0"/>
  </r>
  <r>
    <n v="66226512227"/>
    <n v="149"/>
    <d v="2034-11-29T00:00:00"/>
    <s v=""/>
    <x v="5"/>
    <x v="0"/>
  </r>
  <r>
    <n v="68335981526"/>
    <n v="1"/>
    <d v="2034-11-29T00:00:00"/>
    <s v=""/>
    <x v="5"/>
    <x v="0"/>
  </r>
  <r>
    <n v="68579997407"/>
    <n v="128"/>
    <d v="2034-11-29T00:00:00"/>
    <m/>
    <x v="5"/>
    <x v="0"/>
  </r>
  <r>
    <n v="60754596586"/>
    <n v="166"/>
    <d v="2034-11-29T00:00:00"/>
    <s v=""/>
    <x v="5"/>
    <x v="0"/>
  </r>
  <r>
    <n v="84453342707"/>
    <n v="206"/>
    <d v="2034-11-29T00:00:00"/>
    <s v=""/>
    <x v="5"/>
    <x v="0"/>
  </r>
  <r>
    <n v="63350288247"/>
    <n v="14"/>
    <d v="2034-11-29T00:00:00"/>
    <s v=""/>
    <x v="5"/>
    <x v="0"/>
  </r>
  <r>
    <n v="43235971774"/>
    <n v="160"/>
    <d v="2034-11-29T00:00:00"/>
    <m/>
    <x v="5"/>
    <x v="0"/>
  </r>
  <r>
    <n v="35809616344"/>
    <n v="100"/>
    <d v="2034-11-29T00:00:00"/>
    <s v=""/>
    <x v="5"/>
    <x v="0"/>
  </r>
  <r>
    <n v="66094413508"/>
    <n v="281"/>
    <d v="2034-11-29T00:00:00"/>
    <s v=""/>
    <x v="5"/>
    <x v="0"/>
  </r>
  <r>
    <n v="39807373068"/>
    <n v="55"/>
    <d v="2034-11-29T00:00:00"/>
    <s v=""/>
    <x v="5"/>
    <x v="0"/>
  </r>
  <r>
    <n v="51824716599"/>
    <n v="174"/>
    <d v="2034-11-29T00:00:00"/>
    <s v=""/>
    <x v="5"/>
    <x v="0"/>
  </r>
  <r>
    <n v="72535105738"/>
    <n v="146"/>
    <d v="2034-11-29T00:00:00"/>
    <s v=""/>
    <x v="5"/>
    <x v="0"/>
  </r>
  <r>
    <n v="30298780517"/>
    <n v="55"/>
    <d v="2034-11-30T00:00:00"/>
    <s v=""/>
    <x v="5"/>
    <x v="0"/>
  </r>
  <r>
    <n v="99832378917"/>
    <n v="159"/>
    <d v="2034-11-30T00:00:00"/>
    <s v=""/>
    <x v="5"/>
    <x v="0"/>
  </r>
  <r>
    <n v="39628150589"/>
    <n v="248"/>
    <d v="2034-11-30T00:00:00"/>
    <m/>
    <x v="5"/>
    <x v="0"/>
  </r>
  <r>
    <n v="26463626700"/>
    <n v="54"/>
    <d v="2034-11-30T00:00:00"/>
    <d v="2035-01-28T00:00:00"/>
    <x v="5"/>
    <x v="8"/>
  </r>
  <r>
    <n v="58585862218"/>
    <n v="239"/>
    <d v="2034-11-30T00:00:00"/>
    <m/>
    <x v="5"/>
    <x v="0"/>
  </r>
  <r>
    <n v="45530773879"/>
    <n v="330"/>
    <d v="2034-11-30T00:00:00"/>
    <d v="2034-12-13T00:00:00"/>
    <x v="5"/>
    <x v="7"/>
  </r>
  <r>
    <n v="94026047188"/>
    <n v="136"/>
    <d v="2034-11-30T00:00:00"/>
    <s v=""/>
    <x v="5"/>
    <x v="0"/>
  </r>
  <r>
    <n v="12478520818"/>
    <n v="331"/>
    <d v="2034-11-30T00:00:00"/>
    <s v=""/>
    <x v="5"/>
    <x v="0"/>
  </r>
  <r>
    <n v="86596874174"/>
    <n v="203"/>
    <d v="2034-11-30T00:00:00"/>
    <s v=""/>
    <x v="5"/>
    <x v="0"/>
  </r>
  <r>
    <n v="59464176959"/>
    <n v="287"/>
    <d v="2034-11-30T00:00:00"/>
    <s v=""/>
    <x v="5"/>
    <x v="0"/>
  </r>
  <r>
    <n v="73239809276"/>
    <n v="97"/>
    <d v="2034-11-30T00:00:00"/>
    <m/>
    <x v="5"/>
    <x v="0"/>
  </r>
  <r>
    <n v="22322404423"/>
    <n v="28"/>
    <d v="2034-11-30T00:00:00"/>
    <s v=""/>
    <x v="5"/>
    <x v="0"/>
  </r>
  <r>
    <n v="25675323012"/>
    <n v="68"/>
    <d v="2034-11-30T00:00:00"/>
    <s v=""/>
    <x v="5"/>
    <x v="0"/>
  </r>
  <r>
    <n v="75201105312"/>
    <n v="151"/>
    <d v="2034-11-30T00:00:00"/>
    <s v=""/>
    <x v="5"/>
    <x v="0"/>
  </r>
  <r>
    <n v="65137707376"/>
    <n v="52"/>
    <d v="2034-11-30T00:00:00"/>
    <s v=""/>
    <x v="5"/>
    <x v="0"/>
  </r>
  <r>
    <n v="97061489162"/>
    <n v="248"/>
    <d v="2034-11-30T00:00:00"/>
    <s v=""/>
    <x v="5"/>
    <x v="0"/>
  </r>
  <r>
    <n v="24107246619"/>
    <n v="317"/>
    <d v="2034-11-30T00:00:00"/>
    <s v=""/>
    <x v="5"/>
    <x v="0"/>
  </r>
  <r>
    <n v="52410449943"/>
    <n v="219"/>
    <d v="2034-11-30T00:00:00"/>
    <s v=""/>
    <x v="5"/>
    <x v="0"/>
  </r>
  <r>
    <n v="88023220123"/>
    <n v="160"/>
    <d v="2034-11-30T00:00:00"/>
    <s v=""/>
    <x v="5"/>
    <x v="0"/>
  </r>
  <r>
    <n v="25640387696"/>
    <n v="127"/>
    <d v="2034-11-30T00:00:00"/>
    <s v=""/>
    <x v="5"/>
    <x v="0"/>
  </r>
  <r>
    <n v="80223310833"/>
    <n v="22"/>
    <d v="2034-11-30T00:00:00"/>
    <s v=""/>
    <x v="5"/>
    <x v="0"/>
  </r>
  <r>
    <n v="77740638063"/>
    <n v="156"/>
    <d v="2034-11-30T00:00:00"/>
    <s v=""/>
    <x v="5"/>
    <x v="0"/>
  </r>
  <r>
    <n v="86302029654"/>
    <n v="118"/>
    <d v="2034-11-30T00:00:00"/>
    <m/>
    <x v="5"/>
    <x v="0"/>
  </r>
  <r>
    <n v="74528186135"/>
    <n v="99"/>
    <d v="2034-11-30T00:00:00"/>
    <s v=""/>
    <x v="5"/>
    <x v="0"/>
  </r>
  <r>
    <n v="74660382069"/>
    <n v="307"/>
    <d v="2034-11-30T00:00:00"/>
    <s v=""/>
    <x v="5"/>
    <x v="0"/>
  </r>
  <r>
    <n v="79458961779"/>
    <n v="221"/>
    <d v="2034-11-30T00:00:00"/>
    <s v=""/>
    <x v="5"/>
    <x v="0"/>
  </r>
  <r>
    <n v="13553831448"/>
    <n v="201"/>
    <d v="2034-11-30T00:00:00"/>
    <s v=""/>
    <x v="5"/>
    <x v="0"/>
  </r>
  <r>
    <n v="52278759973"/>
    <n v="319"/>
    <d v="2034-12-01T00:00:00"/>
    <s v=""/>
    <x v="6"/>
    <x v="0"/>
  </r>
  <r>
    <n v="55469429964"/>
    <n v="306"/>
    <d v="2034-12-01T00:00:00"/>
    <s v=""/>
    <x v="6"/>
    <x v="0"/>
  </r>
  <r>
    <n v="38448606690"/>
    <n v="3"/>
    <d v="2034-12-01T00:00:00"/>
    <s v=""/>
    <x v="6"/>
    <x v="0"/>
  </r>
  <r>
    <n v="26695796415"/>
    <n v="220"/>
    <d v="2034-12-01T00:00:00"/>
    <d v="2035-01-16T00:00:00"/>
    <x v="6"/>
    <x v="8"/>
  </r>
  <r>
    <n v="87356834413"/>
    <n v="93"/>
    <d v="2034-12-01T00:00:00"/>
    <s v=""/>
    <x v="6"/>
    <x v="0"/>
  </r>
  <r>
    <n v="81301608866"/>
    <n v="161"/>
    <d v="2034-12-01T00:00:00"/>
    <s v=""/>
    <x v="6"/>
    <x v="0"/>
  </r>
  <r>
    <n v="26028923526"/>
    <n v="242"/>
    <d v="2034-12-01T00:00:00"/>
    <s v=""/>
    <x v="6"/>
    <x v="0"/>
  </r>
  <r>
    <n v="50060319161"/>
    <n v="134"/>
    <d v="2034-12-01T00:00:00"/>
    <s v=""/>
    <x v="6"/>
    <x v="0"/>
  </r>
  <r>
    <n v="83250314291"/>
    <n v="64"/>
    <d v="2034-12-01T00:00:00"/>
    <s v=""/>
    <x v="6"/>
    <x v="0"/>
  </r>
  <r>
    <n v="24575683658"/>
    <n v="39"/>
    <d v="2034-12-01T00:00:00"/>
    <s v=""/>
    <x v="6"/>
    <x v="0"/>
  </r>
  <r>
    <n v="35553069934"/>
    <n v="168"/>
    <d v="2034-12-01T00:00:00"/>
    <s v=""/>
    <x v="6"/>
    <x v="0"/>
  </r>
  <r>
    <n v="74718503193"/>
    <n v="99"/>
    <d v="2034-12-01T00:00:00"/>
    <m/>
    <x v="6"/>
    <x v="0"/>
  </r>
  <r>
    <n v="59653783896"/>
    <n v="268"/>
    <d v="2034-12-01T00:00:00"/>
    <d v="2035-01-16T00:00:00"/>
    <x v="6"/>
    <x v="8"/>
  </r>
  <r>
    <n v="76123718430"/>
    <n v="188"/>
    <d v="2034-12-01T00:00:00"/>
    <s v=""/>
    <x v="6"/>
    <x v="0"/>
  </r>
  <r>
    <n v="29772526684"/>
    <n v="277"/>
    <d v="2034-12-01T00:00:00"/>
    <s v=""/>
    <x v="6"/>
    <x v="0"/>
  </r>
  <r>
    <n v="69644132535"/>
    <n v="218"/>
    <d v="2034-12-01T00:00:00"/>
    <s v=""/>
    <x v="6"/>
    <x v="0"/>
  </r>
  <r>
    <n v="60834163315"/>
    <n v="311"/>
    <d v="2034-12-01T00:00:00"/>
    <s v=""/>
    <x v="6"/>
    <x v="0"/>
  </r>
  <r>
    <n v="44132650737"/>
    <n v="196"/>
    <d v="2034-12-01T00:00:00"/>
    <s v=""/>
    <x v="6"/>
    <x v="0"/>
  </r>
  <r>
    <n v="87816598737"/>
    <n v="183"/>
    <d v="2034-12-01T00:00:00"/>
    <s v=""/>
    <x v="6"/>
    <x v="0"/>
  </r>
  <r>
    <n v="39271291411"/>
    <n v="45"/>
    <d v="2034-12-01T00:00:00"/>
    <s v=""/>
    <x v="6"/>
    <x v="0"/>
  </r>
  <r>
    <n v="23751894876"/>
    <n v="37"/>
    <d v="2034-12-01T00:00:00"/>
    <s v=""/>
    <x v="6"/>
    <x v="0"/>
  </r>
  <r>
    <n v="75263845886"/>
    <n v="276"/>
    <d v="2034-12-01T00:00:00"/>
    <s v=""/>
    <x v="6"/>
    <x v="0"/>
  </r>
  <r>
    <n v="67226038622"/>
    <n v="315"/>
    <d v="2034-12-01T00:00:00"/>
    <d v="2035-01-09T00:00:00"/>
    <x v="6"/>
    <x v="8"/>
  </r>
  <r>
    <n v="12050530714"/>
    <n v="138"/>
    <d v="2034-12-01T00:00:00"/>
    <d v="2035-01-08T00:00:00"/>
    <x v="6"/>
    <x v="8"/>
  </r>
  <r>
    <n v="61708012047"/>
    <n v="248"/>
    <d v="2034-12-01T00:00:00"/>
    <s v=""/>
    <x v="6"/>
    <x v="0"/>
  </r>
  <r>
    <n v="15891551916"/>
    <n v="186"/>
    <d v="2034-12-01T00:00:00"/>
    <s v=""/>
    <x v="6"/>
    <x v="0"/>
  </r>
  <r>
    <n v="54119291806"/>
    <n v="243"/>
    <d v="2034-12-01T00:00:00"/>
    <d v="2035-01-20T00:00:00"/>
    <x v="6"/>
    <x v="8"/>
  </r>
  <r>
    <n v="14800275067"/>
    <n v="105"/>
    <d v="2034-12-01T00:00:00"/>
    <m/>
    <x v="6"/>
    <x v="0"/>
  </r>
  <r>
    <n v="74327399892"/>
    <n v="281"/>
    <d v="2034-12-01T00:00:00"/>
    <s v=""/>
    <x v="6"/>
    <x v="0"/>
  </r>
  <r>
    <n v="94005808425"/>
    <n v="134"/>
    <d v="2034-12-01T00:00:00"/>
    <s v=""/>
    <x v="6"/>
    <x v="0"/>
  </r>
  <r>
    <n v="64053883802"/>
    <n v="120"/>
    <d v="2034-12-01T00:00:00"/>
    <s v=""/>
    <x v="6"/>
    <x v="0"/>
  </r>
  <r>
    <n v="19836706123"/>
    <n v="126"/>
    <d v="2034-12-01T00:00:00"/>
    <s v=""/>
    <x v="6"/>
    <x v="0"/>
  </r>
  <r>
    <n v="28007327581"/>
    <n v="177"/>
    <d v="2034-12-01T00:00:00"/>
    <s v=""/>
    <x v="6"/>
    <x v="0"/>
  </r>
  <r>
    <n v="33711814071"/>
    <n v="264"/>
    <d v="2034-12-01T00:00:00"/>
    <s v=""/>
    <x v="6"/>
    <x v="0"/>
  </r>
  <r>
    <n v="44326553015"/>
    <n v="233"/>
    <d v="2034-12-01T00:00:00"/>
    <s v=""/>
    <x v="6"/>
    <x v="0"/>
  </r>
  <r>
    <n v="99315671624"/>
    <n v="38"/>
    <d v="2034-12-01T00:00:00"/>
    <s v=""/>
    <x v="6"/>
    <x v="0"/>
  </r>
  <r>
    <n v="60350358444"/>
    <n v="304"/>
    <d v="2034-12-01T00:00:00"/>
    <s v=""/>
    <x v="6"/>
    <x v="0"/>
  </r>
  <r>
    <n v="73814646216"/>
    <n v="211"/>
    <d v="2034-12-01T00:00:00"/>
    <m/>
    <x v="6"/>
    <x v="0"/>
  </r>
  <r>
    <n v="95604385641"/>
    <n v="259"/>
    <d v="2034-12-01T00:00:00"/>
    <s v=""/>
    <x v="6"/>
    <x v="0"/>
  </r>
  <r>
    <n v="44604305895"/>
    <n v="306"/>
    <d v="2034-12-01T00:00:00"/>
    <s v=""/>
    <x v="6"/>
    <x v="0"/>
  </r>
  <r>
    <n v="93423966867"/>
    <n v="299"/>
    <d v="2034-12-02T00:00:00"/>
    <s v=""/>
    <x v="6"/>
    <x v="0"/>
  </r>
  <r>
    <n v="20129286870"/>
    <n v="338"/>
    <d v="2034-12-02T00:00:00"/>
    <s v=""/>
    <x v="6"/>
    <x v="0"/>
  </r>
  <r>
    <n v="24761644889"/>
    <n v="95"/>
    <d v="2034-12-02T00:00:00"/>
    <s v=""/>
    <x v="6"/>
    <x v="0"/>
  </r>
  <r>
    <n v="13916680524"/>
    <n v="301"/>
    <d v="2034-12-02T00:00:00"/>
    <s v=""/>
    <x v="6"/>
    <x v="0"/>
  </r>
  <r>
    <n v="39684355525"/>
    <n v="266"/>
    <d v="2034-12-02T00:00:00"/>
    <s v=""/>
    <x v="6"/>
    <x v="0"/>
  </r>
  <r>
    <n v="92117456499"/>
    <n v="71"/>
    <d v="2034-12-02T00:00:00"/>
    <s v=""/>
    <x v="6"/>
    <x v="0"/>
  </r>
  <r>
    <n v="25822802819"/>
    <n v="331"/>
    <d v="2034-12-02T00:00:00"/>
    <s v=""/>
    <x v="6"/>
    <x v="0"/>
  </r>
  <r>
    <n v="99349814697"/>
    <n v="163"/>
    <d v="2034-12-02T00:00:00"/>
    <m/>
    <x v="6"/>
    <x v="0"/>
  </r>
  <r>
    <n v="75361123200"/>
    <n v="88"/>
    <d v="2034-12-02T00:00:00"/>
    <s v=""/>
    <x v="6"/>
    <x v="0"/>
  </r>
  <r>
    <n v="57841689142"/>
    <n v="312"/>
    <d v="2034-12-02T00:00:00"/>
    <s v=""/>
    <x v="6"/>
    <x v="0"/>
  </r>
  <r>
    <n v="35215623585"/>
    <n v="173"/>
    <d v="2034-12-02T00:00:00"/>
    <s v=""/>
    <x v="6"/>
    <x v="0"/>
  </r>
  <r>
    <n v="35624790703"/>
    <n v="254"/>
    <d v="2034-12-02T00:00:00"/>
    <s v=""/>
    <x v="6"/>
    <x v="0"/>
  </r>
  <r>
    <n v="60356405373"/>
    <n v="96"/>
    <d v="2034-12-02T00:00:00"/>
    <s v=""/>
    <x v="6"/>
    <x v="0"/>
  </r>
  <r>
    <n v="90181252948"/>
    <n v="25"/>
    <d v="2034-12-02T00:00:00"/>
    <s v=""/>
    <x v="6"/>
    <x v="0"/>
  </r>
  <r>
    <n v="54689411378"/>
    <n v="155"/>
    <d v="2034-12-02T00:00:00"/>
    <s v=""/>
    <x v="6"/>
    <x v="0"/>
  </r>
  <r>
    <n v="44697663754"/>
    <n v="238"/>
    <d v="2034-12-02T00:00:00"/>
    <d v="2034-12-18T00:00:00"/>
    <x v="6"/>
    <x v="7"/>
  </r>
  <r>
    <n v="13047255464"/>
    <n v="166"/>
    <d v="2034-12-02T00:00:00"/>
    <s v=""/>
    <x v="6"/>
    <x v="0"/>
  </r>
  <r>
    <n v="36187286368"/>
    <n v="313"/>
    <d v="2034-12-02T00:00:00"/>
    <s v=""/>
    <x v="6"/>
    <x v="0"/>
  </r>
  <r>
    <n v="62408775135"/>
    <n v="165"/>
    <d v="2034-12-02T00:00:00"/>
    <s v=""/>
    <x v="6"/>
    <x v="0"/>
  </r>
  <r>
    <n v="67494894647"/>
    <n v="42"/>
    <d v="2034-12-02T00:00:00"/>
    <s v=""/>
    <x v="6"/>
    <x v="0"/>
  </r>
  <r>
    <n v="75442699001"/>
    <n v="163"/>
    <d v="2034-12-02T00:00:00"/>
    <m/>
    <x v="6"/>
    <x v="0"/>
  </r>
  <r>
    <n v="37430919504"/>
    <n v="112"/>
    <d v="2034-12-02T00:00:00"/>
    <s v=""/>
    <x v="6"/>
    <x v="0"/>
  </r>
  <r>
    <n v="44577667090"/>
    <n v="275"/>
    <d v="2034-12-02T00:00:00"/>
    <s v=""/>
    <x v="6"/>
    <x v="0"/>
  </r>
  <r>
    <n v="95437212906"/>
    <n v="255"/>
    <d v="2034-12-02T00:00:00"/>
    <m/>
    <x v="6"/>
    <x v="0"/>
  </r>
  <r>
    <n v="43464031695"/>
    <n v="325"/>
    <d v="2034-12-02T00:00:00"/>
    <s v=""/>
    <x v="6"/>
    <x v="0"/>
  </r>
  <r>
    <n v="92598053378"/>
    <n v="337"/>
    <d v="2034-12-02T00:00:00"/>
    <d v="2034-12-18T00:00:00"/>
    <x v="6"/>
    <x v="7"/>
  </r>
  <r>
    <n v="23172940088"/>
    <n v="320"/>
    <d v="2034-12-02T00:00:00"/>
    <m/>
    <x v="6"/>
    <x v="0"/>
  </r>
  <r>
    <n v="49728235791"/>
    <n v="25"/>
    <d v="2034-12-02T00:00:00"/>
    <d v="2034-12-08T00:00:00"/>
    <x v="6"/>
    <x v="7"/>
  </r>
  <r>
    <n v="38462468995"/>
    <n v="5"/>
    <d v="2034-12-02T00:00:00"/>
    <m/>
    <x v="6"/>
    <x v="0"/>
  </r>
  <r>
    <n v="47368000064"/>
    <n v="30"/>
    <d v="2034-12-02T00:00:00"/>
    <s v=""/>
    <x v="6"/>
    <x v="0"/>
  </r>
  <r>
    <n v="26783946747"/>
    <n v="39"/>
    <d v="2034-12-03T00:00:00"/>
    <s v=""/>
    <x v="6"/>
    <x v="0"/>
  </r>
  <r>
    <n v="28829051288"/>
    <n v="115"/>
    <d v="2034-12-03T00:00:00"/>
    <s v=""/>
    <x v="6"/>
    <x v="0"/>
  </r>
  <r>
    <n v="65115086271"/>
    <n v="333"/>
    <d v="2034-12-03T00:00:00"/>
    <s v=""/>
    <x v="6"/>
    <x v="0"/>
  </r>
  <r>
    <n v="47719372159"/>
    <n v="167"/>
    <d v="2034-12-03T00:00:00"/>
    <s v=""/>
    <x v="6"/>
    <x v="0"/>
  </r>
  <r>
    <n v="69772482052"/>
    <n v="66"/>
    <d v="2034-12-03T00:00:00"/>
    <s v=""/>
    <x v="6"/>
    <x v="0"/>
  </r>
  <r>
    <n v="69790248699"/>
    <n v="208"/>
    <d v="2034-12-03T00:00:00"/>
    <d v="2035-01-28T00:00:00"/>
    <x v="6"/>
    <x v="8"/>
  </r>
  <r>
    <n v="50557904702"/>
    <n v="52"/>
    <d v="2034-12-03T00:00:00"/>
    <d v="2035-01-01T00:00:00"/>
    <x v="6"/>
    <x v="8"/>
  </r>
  <r>
    <n v="30982175482"/>
    <n v="261"/>
    <d v="2034-12-03T00:00:00"/>
    <s v=""/>
    <x v="6"/>
    <x v="0"/>
  </r>
  <r>
    <n v="47916345167"/>
    <n v="216"/>
    <d v="2034-12-03T00:00:00"/>
    <s v=""/>
    <x v="6"/>
    <x v="0"/>
  </r>
  <r>
    <n v="44093333356"/>
    <n v="8"/>
    <d v="2034-12-03T00:00:00"/>
    <m/>
    <x v="6"/>
    <x v="0"/>
  </r>
  <r>
    <n v="99810217192"/>
    <n v="172"/>
    <d v="2034-12-03T00:00:00"/>
    <m/>
    <x v="6"/>
    <x v="0"/>
  </r>
  <r>
    <n v="21196901080"/>
    <n v="29"/>
    <d v="2034-12-03T00:00:00"/>
    <s v=""/>
    <x v="6"/>
    <x v="0"/>
  </r>
  <r>
    <n v="19715444446"/>
    <n v="94"/>
    <d v="2034-12-03T00:00:00"/>
    <m/>
    <x v="6"/>
    <x v="0"/>
  </r>
  <r>
    <n v="51010413013"/>
    <n v="234"/>
    <d v="2034-12-03T00:00:00"/>
    <s v=""/>
    <x v="6"/>
    <x v="0"/>
  </r>
  <r>
    <n v="30713039733"/>
    <n v="295"/>
    <d v="2034-12-03T00:00:00"/>
    <s v=""/>
    <x v="6"/>
    <x v="0"/>
  </r>
  <r>
    <n v="47908321955"/>
    <n v="189"/>
    <d v="2034-12-03T00:00:00"/>
    <s v=""/>
    <x v="6"/>
    <x v="0"/>
  </r>
  <r>
    <n v="81328580975"/>
    <n v="241"/>
    <d v="2034-12-03T00:00:00"/>
    <s v=""/>
    <x v="6"/>
    <x v="0"/>
  </r>
  <r>
    <n v="46178526888"/>
    <n v="77"/>
    <d v="2034-12-03T00:00:00"/>
    <m/>
    <x v="6"/>
    <x v="0"/>
  </r>
  <r>
    <n v="83085858597"/>
    <n v="71"/>
    <d v="2034-12-03T00:00:00"/>
    <m/>
    <x v="6"/>
    <x v="0"/>
  </r>
  <r>
    <n v="21877787232"/>
    <n v="197"/>
    <d v="2034-12-03T00:00:00"/>
    <s v=""/>
    <x v="6"/>
    <x v="0"/>
  </r>
  <r>
    <n v="26730572680"/>
    <n v="32"/>
    <d v="2034-12-03T00:00:00"/>
    <s v=""/>
    <x v="6"/>
    <x v="0"/>
  </r>
  <r>
    <n v="24736113130"/>
    <n v="242"/>
    <d v="2034-12-03T00:00:00"/>
    <d v="2034-12-26T00:00:00"/>
    <x v="6"/>
    <x v="7"/>
  </r>
  <r>
    <n v="61685763169"/>
    <n v="327"/>
    <d v="2034-12-03T00:00:00"/>
    <s v=""/>
    <x v="6"/>
    <x v="0"/>
  </r>
  <r>
    <n v="40056578903"/>
    <n v="75"/>
    <d v="2034-12-03T00:00:00"/>
    <s v=""/>
    <x v="6"/>
    <x v="0"/>
  </r>
  <r>
    <n v="87278545080"/>
    <n v="270"/>
    <d v="2034-12-03T00:00:00"/>
    <d v="2035-01-15T00:00:00"/>
    <x v="6"/>
    <x v="8"/>
  </r>
  <r>
    <n v="62246973978"/>
    <n v="207"/>
    <d v="2034-12-03T00:00:00"/>
    <s v=""/>
    <x v="6"/>
    <x v="0"/>
  </r>
  <r>
    <n v="80008538931"/>
    <n v="314"/>
    <d v="2034-12-04T00:00:00"/>
    <d v="2034-12-15T00:00:00"/>
    <x v="6"/>
    <x v="7"/>
  </r>
  <r>
    <n v="93437078149"/>
    <n v="310"/>
    <d v="2034-12-04T00:00:00"/>
    <s v=""/>
    <x v="6"/>
    <x v="0"/>
  </r>
  <r>
    <n v="19359646942"/>
    <n v="211"/>
    <d v="2034-12-04T00:00:00"/>
    <s v=""/>
    <x v="6"/>
    <x v="0"/>
  </r>
  <r>
    <n v="35060987340"/>
    <n v="296"/>
    <d v="2034-12-04T00:00:00"/>
    <s v=""/>
    <x v="6"/>
    <x v="0"/>
  </r>
  <r>
    <n v="16013999474"/>
    <n v="100"/>
    <d v="2034-12-04T00:00:00"/>
    <s v=""/>
    <x v="6"/>
    <x v="0"/>
  </r>
  <r>
    <n v="34845568032"/>
    <n v="4"/>
    <d v="2034-12-04T00:00:00"/>
    <s v=""/>
    <x v="6"/>
    <x v="0"/>
  </r>
  <r>
    <n v="13312541428"/>
    <n v="49"/>
    <d v="2034-12-04T00:00:00"/>
    <s v=""/>
    <x v="6"/>
    <x v="0"/>
  </r>
  <r>
    <n v="43662709869"/>
    <n v="152"/>
    <d v="2034-12-04T00:00:00"/>
    <s v=""/>
    <x v="6"/>
    <x v="0"/>
  </r>
  <r>
    <n v="22385593720"/>
    <n v="216"/>
    <d v="2034-12-04T00:00:00"/>
    <m/>
    <x v="6"/>
    <x v="0"/>
  </r>
  <r>
    <n v="37177865030"/>
    <n v="191"/>
    <d v="2034-12-04T00:00:00"/>
    <d v="2035-01-04T00:00:00"/>
    <x v="6"/>
    <x v="8"/>
  </r>
  <r>
    <n v="80539587574"/>
    <n v="154"/>
    <d v="2034-12-04T00:00:00"/>
    <s v=""/>
    <x v="6"/>
    <x v="0"/>
  </r>
  <r>
    <n v="92311743364"/>
    <n v="128"/>
    <d v="2034-12-04T00:00:00"/>
    <s v=""/>
    <x v="6"/>
    <x v="0"/>
  </r>
  <r>
    <n v="43718267452"/>
    <n v="116"/>
    <d v="2034-12-04T00:00:00"/>
    <s v=""/>
    <x v="6"/>
    <x v="0"/>
  </r>
  <r>
    <n v="97663049825"/>
    <n v="80"/>
    <d v="2034-12-04T00:00:00"/>
    <d v="2035-01-07T00:00:00"/>
    <x v="6"/>
    <x v="8"/>
  </r>
  <r>
    <n v="16555458958"/>
    <n v="17"/>
    <d v="2034-12-04T00:00:00"/>
    <s v=""/>
    <x v="6"/>
    <x v="0"/>
  </r>
  <r>
    <n v="29844360445"/>
    <n v="185"/>
    <d v="2034-12-04T00:00:00"/>
    <s v=""/>
    <x v="6"/>
    <x v="0"/>
  </r>
  <r>
    <n v="59764569829"/>
    <n v="327"/>
    <d v="2034-12-04T00:00:00"/>
    <s v=""/>
    <x v="6"/>
    <x v="0"/>
  </r>
  <r>
    <n v="69719156486"/>
    <n v="251"/>
    <d v="2034-12-04T00:00:00"/>
    <d v="2034-12-04T00:00:00"/>
    <x v="6"/>
    <x v="7"/>
  </r>
  <r>
    <n v="50335997038"/>
    <n v="212"/>
    <d v="2034-12-04T00:00:00"/>
    <s v=""/>
    <x v="6"/>
    <x v="0"/>
  </r>
  <r>
    <n v="98208038134"/>
    <n v="242"/>
    <d v="2034-12-04T00:00:00"/>
    <s v=""/>
    <x v="6"/>
    <x v="0"/>
  </r>
  <r>
    <n v="33787338028"/>
    <n v="135"/>
    <d v="2034-12-04T00:00:00"/>
    <s v=""/>
    <x v="6"/>
    <x v="0"/>
  </r>
  <r>
    <n v="29233550885"/>
    <n v="203"/>
    <d v="2034-12-04T00:00:00"/>
    <s v=""/>
    <x v="6"/>
    <x v="0"/>
  </r>
  <r>
    <n v="56194791349"/>
    <n v="213"/>
    <d v="2034-12-04T00:00:00"/>
    <s v=""/>
    <x v="6"/>
    <x v="0"/>
  </r>
  <r>
    <n v="64938124421"/>
    <n v="260"/>
    <d v="2034-12-04T00:00:00"/>
    <s v=""/>
    <x v="6"/>
    <x v="0"/>
  </r>
  <r>
    <n v="81665294664"/>
    <n v="249"/>
    <d v="2034-12-04T00:00:00"/>
    <s v=""/>
    <x v="6"/>
    <x v="0"/>
  </r>
  <r>
    <n v="78206200835"/>
    <n v="86"/>
    <d v="2034-12-04T00:00:00"/>
    <s v=""/>
    <x v="6"/>
    <x v="0"/>
  </r>
  <r>
    <n v="41047371650"/>
    <n v="281"/>
    <d v="2034-12-04T00:00:00"/>
    <m/>
    <x v="6"/>
    <x v="0"/>
  </r>
  <r>
    <n v="94600782988"/>
    <n v="118"/>
    <d v="2034-12-04T00:00:00"/>
    <s v=""/>
    <x v="6"/>
    <x v="0"/>
  </r>
  <r>
    <n v="24333375599"/>
    <n v="174"/>
    <d v="2034-12-04T00:00:00"/>
    <s v=""/>
    <x v="6"/>
    <x v="0"/>
  </r>
  <r>
    <n v="74891276017"/>
    <n v="200"/>
    <d v="2034-12-04T00:00:00"/>
    <s v=""/>
    <x v="6"/>
    <x v="0"/>
  </r>
  <r>
    <n v="34584915308"/>
    <n v="152"/>
    <d v="2034-12-04T00:00:00"/>
    <s v=""/>
    <x v="6"/>
    <x v="0"/>
  </r>
  <r>
    <n v="58115768817"/>
    <n v="120"/>
    <d v="2034-12-04T00:00:00"/>
    <m/>
    <x v="6"/>
    <x v="0"/>
  </r>
  <r>
    <n v="83828114694"/>
    <n v="251"/>
    <d v="2034-12-05T00:00:00"/>
    <s v=""/>
    <x v="6"/>
    <x v="0"/>
  </r>
  <r>
    <n v="82881456442"/>
    <n v="6"/>
    <d v="2034-12-05T00:00:00"/>
    <s v=""/>
    <x v="6"/>
    <x v="0"/>
  </r>
  <r>
    <n v="78070198109"/>
    <n v="17"/>
    <d v="2034-12-05T00:00:00"/>
    <s v=""/>
    <x v="6"/>
    <x v="0"/>
  </r>
  <r>
    <n v="45072955166"/>
    <n v="124"/>
    <d v="2034-12-05T00:00:00"/>
    <s v=""/>
    <x v="6"/>
    <x v="0"/>
  </r>
  <r>
    <n v="72245347031"/>
    <n v="276"/>
    <d v="2034-12-05T00:00:00"/>
    <s v=""/>
    <x v="6"/>
    <x v="0"/>
  </r>
  <r>
    <n v="78349687144"/>
    <n v="229"/>
    <d v="2034-12-05T00:00:00"/>
    <s v=""/>
    <x v="6"/>
    <x v="0"/>
  </r>
  <r>
    <n v="87764060734"/>
    <n v="72"/>
    <d v="2034-12-05T00:00:00"/>
    <s v=""/>
    <x v="6"/>
    <x v="0"/>
  </r>
  <r>
    <n v="19446491050"/>
    <n v="154"/>
    <d v="2034-12-05T00:00:00"/>
    <s v=""/>
    <x v="6"/>
    <x v="0"/>
  </r>
  <r>
    <n v="16848570469"/>
    <n v="253"/>
    <d v="2034-12-05T00:00:00"/>
    <d v="2034-12-27T00:00:00"/>
    <x v="6"/>
    <x v="7"/>
  </r>
  <r>
    <n v="95597763594"/>
    <n v="116"/>
    <d v="2034-12-05T00:00:00"/>
    <s v=""/>
    <x v="6"/>
    <x v="0"/>
  </r>
  <r>
    <n v="43243538624"/>
    <n v="12"/>
    <d v="2034-12-05T00:00:00"/>
    <s v=""/>
    <x v="6"/>
    <x v="0"/>
  </r>
  <r>
    <n v="47396140050"/>
    <n v="319"/>
    <d v="2034-12-05T00:00:00"/>
    <s v=""/>
    <x v="6"/>
    <x v="0"/>
  </r>
  <r>
    <n v="19017185413"/>
    <n v="19"/>
    <d v="2034-12-05T00:00:00"/>
    <s v=""/>
    <x v="6"/>
    <x v="0"/>
  </r>
  <r>
    <n v="15252187586"/>
    <n v="145"/>
    <d v="2034-12-05T00:00:00"/>
    <s v=""/>
    <x v="6"/>
    <x v="0"/>
  </r>
  <r>
    <n v="88897790621"/>
    <n v="140"/>
    <d v="2034-12-05T00:00:00"/>
    <s v=""/>
    <x v="6"/>
    <x v="0"/>
  </r>
  <r>
    <n v="70355840443"/>
    <n v="178"/>
    <d v="2034-12-05T00:00:00"/>
    <m/>
    <x v="6"/>
    <x v="0"/>
  </r>
  <r>
    <n v="88931436161"/>
    <n v="17"/>
    <d v="2034-12-05T00:00:00"/>
    <s v=""/>
    <x v="6"/>
    <x v="0"/>
  </r>
  <r>
    <n v="56221570243"/>
    <n v="179"/>
    <d v="2034-12-05T00:00:00"/>
    <s v=""/>
    <x v="6"/>
    <x v="0"/>
  </r>
  <r>
    <n v="75889004867"/>
    <n v="83"/>
    <d v="2034-12-05T00:00:00"/>
    <m/>
    <x v="6"/>
    <x v="0"/>
  </r>
  <r>
    <n v="81913000025"/>
    <n v="226"/>
    <d v="2034-12-05T00:00:00"/>
    <s v=""/>
    <x v="6"/>
    <x v="0"/>
  </r>
  <r>
    <n v="37453149062"/>
    <n v="11"/>
    <d v="2034-12-05T00:00:00"/>
    <s v=""/>
    <x v="6"/>
    <x v="0"/>
  </r>
  <r>
    <n v="61287020020"/>
    <n v="42"/>
    <d v="2034-12-05T00:00:00"/>
    <s v=""/>
    <x v="6"/>
    <x v="0"/>
  </r>
  <r>
    <n v="24742845982"/>
    <n v="150"/>
    <d v="2034-12-05T00:00:00"/>
    <d v="2035-01-03T00:00:00"/>
    <x v="6"/>
    <x v="8"/>
  </r>
  <r>
    <n v="24587663244"/>
    <n v="205"/>
    <d v="2034-12-05T00:00:00"/>
    <s v=""/>
    <x v="6"/>
    <x v="0"/>
  </r>
  <r>
    <n v="95658724314"/>
    <n v="259"/>
    <d v="2034-12-05T00:00:00"/>
    <s v=""/>
    <x v="6"/>
    <x v="0"/>
  </r>
  <r>
    <n v="70731970990"/>
    <n v="46"/>
    <d v="2034-12-05T00:00:00"/>
    <s v=""/>
    <x v="6"/>
    <x v="0"/>
  </r>
  <r>
    <n v="31473436141"/>
    <n v="246"/>
    <d v="2034-12-05T00:00:00"/>
    <s v=""/>
    <x v="6"/>
    <x v="0"/>
  </r>
  <r>
    <n v="98742132009"/>
    <n v="222"/>
    <d v="2034-12-05T00:00:00"/>
    <s v=""/>
    <x v="6"/>
    <x v="0"/>
  </r>
  <r>
    <n v="46107458837"/>
    <n v="209"/>
    <d v="2034-12-05T00:00:00"/>
    <s v=""/>
    <x v="6"/>
    <x v="0"/>
  </r>
  <r>
    <n v="13079628719"/>
    <n v="237"/>
    <d v="2034-12-06T00:00:00"/>
    <m/>
    <x v="6"/>
    <x v="0"/>
  </r>
  <r>
    <n v="91913274554"/>
    <n v="196"/>
    <d v="2034-12-06T00:00:00"/>
    <d v="2035-01-23T00:00:00"/>
    <x v="6"/>
    <x v="8"/>
  </r>
  <r>
    <n v="46388220767"/>
    <n v="319"/>
    <d v="2034-12-06T00:00:00"/>
    <s v=""/>
    <x v="6"/>
    <x v="0"/>
  </r>
  <r>
    <n v="32764864465"/>
    <n v="276"/>
    <d v="2034-12-06T00:00:00"/>
    <d v="2034-12-24T00:00:00"/>
    <x v="6"/>
    <x v="7"/>
  </r>
  <r>
    <n v="76036161820"/>
    <n v="149"/>
    <d v="2034-12-06T00:00:00"/>
    <s v=""/>
    <x v="6"/>
    <x v="0"/>
  </r>
  <r>
    <n v="35630644221"/>
    <n v="229"/>
    <d v="2034-12-06T00:00:00"/>
    <s v=""/>
    <x v="6"/>
    <x v="0"/>
  </r>
  <r>
    <n v="69989307251"/>
    <n v="147"/>
    <d v="2034-12-06T00:00:00"/>
    <s v=""/>
    <x v="6"/>
    <x v="0"/>
  </r>
  <r>
    <n v="24197122814"/>
    <n v="176"/>
    <d v="2034-12-06T00:00:00"/>
    <s v=""/>
    <x v="6"/>
    <x v="0"/>
  </r>
  <r>
    <n v="87919562517"/>
    <n v="215"/>
    <d v="2034-12-06T00:00:00"/>
    <s v=""/>
    <x v="6"/>
    <x v="0"/>
  </r>
  <r>
    <n v="97326824188"/>
    <n v="35"/>
    <d v="2034-12-06T00:00:00"/>
    <m/>
    <x v="6"/>
    <x v="0"/>
  </r>
  <r>
    <n v="73290395622"/>
    <n v="251"/>
    <d v="2034-12-06T00:00:00"/>
    <d v="2034-12-07T00:00:00"/>
    <x v="6"/>
    <x v="7"/>
  </r>
  <r>
    <n v="61326388063"/>
    <n v="182"/>
    <d v="2034-12-06T00:00:00"/>
    <m/>
    <x v="6"/>
    <x v="0"/>
  </r>
  <r>
    <n v="47075762787"/>
    <n v="285"/>
    <d v="2034-12-06T00:00:00"/>
    <s v=""/>
    <x v="6"/>
    <x v="0"/>
  </r>
  <r>
    <n v="21082185746"/>
    <n v="292"/>
    <d v="2034-12-06T00:00:00"/>
    <s v=""/>
    <x v="6"/>
    <x v="0"/>
  </r>
  <r>
    <n v="14767611198"/>
    <n v="218"/>
    <d v="2034-12-06T00:00:00"/>
    <s v=""/>
    <x v="6"/>
    <x v="0"/>
  </r>
  <r>
    <n v="72371257236"/>
    <n v="175"/>
    <d v="2034-12-06T00:00:00"/>
    <s v=""/>
    <x v="6"/>
    <x v="0"/>
  </r>
  <r>
    <n v="64714494256"/>
    <n v="186"/>
    <d v="2034-12-06T00:00:00"/>
    <d v="2035-01-09T00:00:00"/>
    <x v="6"/>
    <x v="8"/>
  </r>
  <r>
    <n v="18436143166"/>
    <n v="228"/>
    <d v="2034-12-06T00:00:00"/>
    <s v=""/>
    <x v="6"/>
    <x v="0"/>
  </r>
  <r>
    <n v="51910485339"/>
    <n v="80"/>
    <d v="2034-12-06T00:00:00"/>
    <d v="2035-01-28T00:00:00"/>
    <x v="6"/>
    <x v="8"/>
  </r>
  <r>
    <n v="39312095260"/>
    <n v="285"/>
    <d v="2034-12-06T00:00:00"/>
    <s v=""/>
    <x v="6"/>
    <x v="0"/>
  </r>
  <r>
    <n v="15645755628"/>
    <n v="279"/>
    <d v="2034-12-06T00:00:00"/>
    <s v=""/>
    <x v="6"/>
    <x v="0"/>
  </r>
  <r>
    <n v="50972883425"/>
    <n v="177"/>
    <d v="2034-12-06T00:00:00"/>
    <s v=""/>
    <x v="6"/>
    <x v="0"/>
  </r>
  <r>
    <n v="11245077816"/>
    <n v="217"/>
    <d v="2034-12-06T00:00:00"/>
    <s v=""/>
    <x v="6"/>
    <x v="0"/>
  </r>
  <r>
    <n v="17191037345"/>
    <n v="1"/>
    <d v="2034-12-06T00:00:00"/>
    <d v="2035-01-02T00:00:00"/>
    <x v="6"/>
    <x v="8"/>
  </r>
  <r>
    <n v="18387440458"/>
    <n v="242"/>
    <d v="2034-12-06T00:00:00"/>
    <d v="2035-01-13T00:00:00"/>
    <x v="6"/>
    <x v="8"/>
  </r>
  <r>
    <n v="42171090419"/>
    <n v="3"/>
    <d v="2034-12-06T00:00:00"/>
    <s v=""/>
    <x v="6"/>
    <x v="0"/>
  </r>
  <r>
    <n v="34470599245"/>
    <n v="203"/>
    <d v="2034-12-06T00:00:00"/>
    <s v=""/>
    <x v="6"/>
    <x v="0"/>
  </r>
  <r>
    <n v="85505062998"/>
    <n v="75"/>
    <d v="2034-12-06T00:00:00"/>
    <s v=""/>
    <x v="6"/>
    <x v="0"/>
  </r>
  <r>
    <n v="65900372316"/>
    <n v="261"/>
    <d v="2034-12-06T00:00:00"/>
    <s v=""/>
    <x v="6"/>
    <x v="0"/>
  </r>
  <r>
    <n v="33525286939"/>
    <n v="73"/>
    <d v="2034-12-06T00:00:00"/>
    <d v="2034-12-28T00:00:00"/>
    <x v="6"/>
    <x v="7"/>
  </r>
  <r>
    <n v="29330830594"/>
    <n v="268"/>
    <d v="2034-12-07T00:00:00"/>
    <s v=""/>
    <x v="6"/>
    <x v="0"/>
  </r>
  <r>
    <n v="96901564726"/>
    <n v="197"/>
    <d v="2034-12-07T00:00:00"/>
    <s v=""/>
    <x v="6"/>
    <x v="0"/>
  </r>
  <r>
    <n v="71428653580"/>
    <n v="283"/>
    <d v="2034-12-07T00:00:00"/>
    <s v=""/>
    <x v="6"/>
    <x v="0"/>
  </r>
  <r>
    <n v="30622416736"/>
    <n v="302"/>
    <d v="2034-12-07T00:00:00"/>
    <s v=""/>
    <x v="6"/>
    <x v="0"/>
  </r>
  <r>
    <n v="78067164255"/>
    <n v="105"/>
    <d v="2034-12-07T00:00:00"/>
    <s v=""/>
    <x v="6"/>
    <x v="0"/>
  </r>
  <r>
    <n v="57102004723"/>
    <n v="172"/>
    <d v="2034-12-07T00:00:00"/>
    <s v=""/>
    <x v="6"/>
    <x v="0"/>
  </r>
  <r>
    <n v="36811365721"/>
    <n v="332"/>
    <d v="2034-12-07T00:00:00"/>
    <s v=""/>
    <x v="6"/>
    <x v="0"/>
  </r>
  <r>
    <n v="17895468653"/>
    <n v="27"/>
    <d v="2034-12-07T00:00:00"/>
    <s v=""/>
    <x v="6"/>
    <x v="0"/>
  </r>
  <r>
    <n v="82244726835"/>
    <n v="248"/>
    <d v="2034-12-07T00:00:00"/>
    <s v=""/>
    <x v="6"/>
    <x v="0"/>
  </r>
  <r>
    <n v="40251618569"/>
    <n v="35"/>
    <d v="2034-12-07T00:00:00"/>
    <m/>
    <x v="6"/>
    <x v="0"/>
  </r>
  <r>
    <n v="42216104439"/>
    <n v="93"/>
    <d v="2034-12-07T00:00:00"/>
    <m/>
    <x v="6"/>
    <x v="0"/>
  </r>
  <r>
    <n v="98525707549"/>
    <n v="284"/>
    <d v="2034-12-07T00:00:00"/>
    <s v=""/>
    <x v="6"/>
    <x v="0"/>
  </r>
  <r>
    <n v="41826366887"/>
    <n v="87"/>
    <d v="2034-12-07T00:00:00"/>
    <m/>
    <x v="6"/>
    <x v="0"/>
  </r>
  <r>
    <n v="37450762682"/>
    <n v="55"/>
    <d v="2034-12-07T00:00:00"/>
    <s v=""/>
    <x v="6"/>
    <x v="0"/>
  </r>
  <r>
    <n v="88320206880"/>
    <n v="203"/>
    <d v="2034-12-07T00:00:00"/>
    <s v=""/>
    <x v="6"/>
    <x v="0"/>
  </r>
  <r>
    <n v="51409558665"/>
    <n v="48"/>
    <d v="2034-12-07T00:00:00"/>
    <s v=""/>
    <x v="6"/>
    <x v="0"/>
  </r>
  <r>
    <n v="37027537468"/>
    <n v="63"/>
    <d v="2034-12-07T00:00:00"/>
    <d v="2034-12-11T00:00:00"/>
    <x v="6"/>
    <x v="7"/>
  </r>
  <r>
    <n v="32047713083"/>
    <n v="99"/>
    <d v="2034-12-07T00:00:00"/>
    <s v=""/>
    <x v="6"/>
    <x v="0"/>
  </r>
  <r>
    <n v="50879217717"/>
    <n v="268"/>
    <d v="2034-12-07T00:00:00"/>
    <s v=""/>
    <x v="6"/>
    <x v="0"/>
  </r>
  <r>
    <n v="90886483010"/>
    <n v="269"/>
    <d v="2034-12-07T00:00:00"/>
    <s v=""/>
    <x v="6"/>
    <x v="0"/>
  </r>
  <r>
    <n v="44540100227"/>
    <n v="9"/>
    <d v="2034-12-07T00:00:00"/>
    <s v=""/>
    <x v="6"/>
    <x v="0"/>
  </r>
  <r>
    <n v="36483672449"/>
    <n v="81"/>
    <d v="2034-12-07T00:00:00"/>
    <s v=""/>
    <x v="6"/>
    <x v="0"/>
  </r>
  <r>
    <n v="51702064328"/>
    <n v="152"/>
    <d v="2034-12-07T00:00:00"/>
    <s v=""/>
    <x v="6"/>
    <x v="0"/>
  </r>
  <r>
    <n v="28168269783"/>
    <n v="143"/>
    <d v="2034-12-08T00:00:00"/>
    <s v=""/>
    <x v="6"/>
    <x v="0"/>
  </r>
  <r>
    <n v="74829827884"/>
    <n v="328"/>
    <d v="2034-12-08T00:00:00"/>
    <s v=""/>
    <x v="6"/>
    <x v="0"/>
  </r>
  <r>
    <n v="94123211927"/>
    <n v="189"/>
    <d v="2034-12-08T00:00:00"/>
    <s v=""/>
    <x v="6"/>
    <x v="0"/>
  </r>
  <r>
    <n v="12027511720"/>
    <n v="7"/>
    <d v="2034-12-08T00:00:00"/>
    <m/>
    <x v="6"/>
    <x v="0"/>
  </r>
  <r>
    <n v="84579237062"/>
    <n v="302"/>
    <d v="2034-12-08T00:00:00"/>
    <m/>
    <x v="6"/>
    <x v="0"/>
  </r>
  <r>
    <n v="56463516016"/>
    <n v="189"/>
    <d v="2034-12-08T00:00:00"/>
    <d v="2034-12-14T00:00:00"/>
    <x v="6"/>
    <x v="7"/>
  </r>
  <r>
    <n v="53527664364"/>
    <n v="267"/>
    <d v="2034-12-08T00:00:00"/>
    <s v=""/>
    <x v="6"/>
    <x v="0"/>
  </r>
  <r>
    <n v="67868860296"/>
    <n v="200"/>
    <d v="2034-12-08T00:00:00"/>
    <s v=""/>
    <x v="6"/>
    <x v="0"/>
  </r>
  <r>
    <n v="63473733712"/>
    <n v="323"/>
    <d v="2034-12-08T00:00:00"/>
    <s v=""/>
    <x v="6"/>
    <x v="0"/>
  </r>
  <r>
    <n v="24714530169"/>
    <n v="337"/>
    <d v="2034-12-08T00:00:00"/>
    <m/>
    <x v="6"/>
    <x v="0"/>
  </r>
  <r>
    <n v="38464914070"/>
    <n v="119"/>
    <d v="2034-12-08T00:00:00"/>
    <s v=""/>
    <x v="6"/>
    <x v="0"/>
  </r>
  <r>
    <n v="59405265226"/>
    <n v="96"/>
    <d v="2034-12-08T00:00:00"/>
    <s v=""/>
    <x v="6"/>
    <x v="0"/>
  </r>
  <r>
    <n v="36502540429"/>
    <n v="82"/>
    <d v="2034-12-08T00:00:00"/>
    <s v=""/>
    <x v="6"/>
    <x v="0"/>
  </r>
  <r>
    <n v="74800549448"/>
    <n v="139"/>
    <d v="2034-12-08T00:00:00"/>
    <s v=""/>
    <x v="6"/>
    <x v="0"/>
  </r>
  <r>
    <n v="43330776594"/>
    <n v="124"/>
    <d v="2034-12-08T00:00:00"/>
    <d v="2035-01-04T00:00:00"/>
    <x v="6"/>
    <x v="8"/>
  </r>
  <r>
    <n v="34105317369"/>
    <n v="212"/>
    <d v="2034-12-08T00:00:00"/>
    <s v=""/>
    <x v="6"/>
    <x v="0"/>
  </r>
  <r>
    <n v="32388187315"/>
    <n v="43"/>
    <d v="2034-12-08T00:00:00"/>
    <s v=""/>
    <x v="6"/>
    <x v="0"/>
  </r>
  <r>
    <n v="79652832778"/>
    <n v="50"/>
    <d v="2034-12-08T00:00:00"/>
    <s v=""/>
    <x v="6"/>
    <x v="0"/>
  </r>
  <r>
    <n v="70636360833"/>
    <n v="148"/>
    <d v="2034-12-08T00:00:00"/>
    <s v=""/>
    <x v="6"/>
    <x v="0"/>
  </r>
  <r>
    <n v="72272390428"/>
    <n v="201"/>
    <d v="2034-12-08T00:00:00"/>
    <s v=""/>
    <x v="6"/>
    <x v="0"/>
  </r>
  <r>
    <n v="60199373454"/>
    <n v="265"/>
    <d v="2034-12-08T00:00:00"/>
    <d v="2034-12-27T00:00:00"/>
    <x v="6"/>
    <x v="7"/>
  </r>
  <r>
    <n v="74957604989"/>
    <n v="210"/>
    <d v="2034-12-08T00:00:00"/>
    <s v=""/>
    <x v="6"/>
    <x v="0"/>
  </r>
  <r>
    <n v="20534219618"/>
    <n v="273"/>
    <d v="2034-12-08T00:00:00"/>
    <s v=""/>
    <x v="6"/>
    <x v="0"/>
  </r>
  <r>
    <n v="60343113151"/>
    <n v="155"/>
    <d v="2034-12-08T00:00:00"/>
    <m/>
    <x v="6"/>
    <x v="0"/>
  </r>
  <r>
    <n v="93045201807"/>
    <n v="30"/>
    <d v="2034-12-08T00:00:00"/>
    <s v=""/>
    <x v="6"/>
    <x v="0"/>
  </r>
  <r>
    <n v="23707594507"/>
    <n v="174"/>
    <d v="2034-12-08T00:00:00"/>
    <d v="2034-12-29T00:00:00"/>
    <x v="6"/>
    <x v="7"/>
  </r>
  <r>
    <n v="48702489679"/>
    <n v="81"/>
    <d v="2034-12-08T00:00:00"/>
    <s v=""/>
    <x v="6"/>
    <x v="0"/>
  </r>
  <r>
    <n v="53107894726"/>
    <n v="190"/>
    <d v="2034-12-09T00:00:00"/>
    <s v=""/>
    <x v="6"/>
    <x v="0"/>
  </r>
  <r>
    <n v="86441232073"/>
    <n v="339"/>
    <d v="2034-12-09T00:00:00"/>
    <s v=""/>
    <x v="6"/>
    <x v="0"/>
  </r>
  <r>
    <n v="71737862719"/>
    <n v="30"/>
    <d v="2034-12-09T00:00:00"/>
    <d v="2035-01-11T00:00:00"/>
    <x v="6"/>
    <x v="8"/>
  </r>
  <r>
    <n v="20014837958"/>
    <n v="281"/>
    <d v="2034-12-09T00:00:00"/>
    <s v=""/>
    <x v="6"/>
    <x v="0"/>
  </r>
  <r>
    <n v="12798124569"/>
    <n v="143"/>
    <d v="2034-12-09T00:00:00"/>
    <m/>
    <x v="6"/>
    <x v="0"/>
  </r>
  <r>
    <n v="80338506594"/>
    <n v="96"/>
    <d v="2034-12-09T00:00:00"/>
    <s v=""/>
    <x v="6"/>
    <x v="0"/>
  </r>
  <r>
    <n v="11596527058"/>
    <n v="116"/>
    <d v="2034-12-09T00:00:00"/>
    <s v=""/>
    <x v="6"/>
    <x v="0"/>
  </r>
  <r>
    <n v="84305946395"/>
    <n v="309"/>
    <d v="2034-12-09T00:00:00"/>
    <m/>
    <x v="6"/>
    <x v="0"/>
  </r>
  <r>
    <n v="64463755224"/>
    <n v="218"/>
    <d v="2034-12-09T00:00:00"/>
    <s v=""/>
    <x v="6"/>
    <x v="0"/>
  </r>
  <r>
    <n v="82952635170"/>
    <n v="169"/>
    <d v="2034-12-09T00:00:00"/>
    <d v="2034-12-21T00:00:00"/>
    <x v="6"/>
    <x v="7"/>
  </r>
  <r>
    <n v="44824851874"/>
    <n v="128"/>
    <d v="2034-12-09T00:00:00"/>
    <s v=""/>
    <x v="6"/>
    <x v="0"/>
  </r>
  <r>
    <n v="20119203844"/>
    <n v="188"/>
    <d v="2034-12-09T00:00:00"/>
    <s v=""/>
    <x v="6"/>
    <x v="0"/>
  </r>
  <r>
    <n v="77782029730"/>
    <n v="154"/>
    <d v="2034-12-09T00:00:00"/>
    <s v=""/>
    <x v="6"/>
    <x v="0"/>
  </r>
  <r>
    <n v="30185463573"/>
    <n v="158"/>
    <d v="2034-12-09T00:00:00"/>
    <s v=""/>
    <x v="6"/>
    <x v="0"/>
  </r>
  <r>
    <n v="95408574348"/>
    <n v="183"/>
    <d v="2034-12-09T00:00:00"/>
    <s v=""/>
    <x v="6"/>
    <x v="0"/>
  </r>
  <r>
    <n v="79771056562"/>
    <n v="334"/>
    <d v="2034-12-09T00:00:00"/>
    <m/>
    <x v="6"/>
    <x v="0"/>
  </r>
  <r>
    <n v="18094547203"/>
    <n v="105"/>
    <d v="2034-12-09T00:00:00"/>
    <s v=""/>
    <x v="6"/>
    <x v="0"/>
  </r>
  <r>
    <n v="22950621172"/>
    <n v="218"/>
    <d v="2034-12-09T00:00:00"/>
    <s v=""/>
    <x v="6"/>
    <x v="0"/>
  </r>
  <r>
    <n v="73610361635"/>
    <n v="211"/>
    <d v="2034-12-09T00:00:00"/>
    <s v=""/>
    <x v="6"/>
    <x v="0"/>
  </r>
  <r>
    <n v="67761452600"/>
    <n v="247"/>
    <d v="2034-12-09T00:00:00"/>
    <s v=""/>
    <x v="6"/>
    <x v="0"/>
  </r>
  <r>
    <n v="78370546695"/>
    <n v="52"/>
    <d v="2034-12-09T00:00:00"/>
    <d v="2034-12-25T00:00:00"/>
    <x v="6"/>
    <x v="7"/>
  </r>
  <r>
    <n v="93336531464"/>
    <n v="175"/>
    <d v="2034-12-09T00:00:00"/>
    <d v="2034-12-11T00:00:00"/>
    <x v="6"/>
    <x v="7"/>
  </r>
  <r>
    <n v="75610000918"/>
    <n v="131"/>
    <d v="2034-12-09T00:00:00"/>
    <s v=""/>
    <x v="6"/>
    <x v="0"/>
  </r>
  <r>
    <n v="18956029687"/>
    <n v="137"/>
    <d v="2034-12-09T00:00:00"/>
    <s v=""/>
    <x v="6"/>
    <x v="0"/>
  </r>
  <r>
    <n v="78909646018"/>
    <n v="114"/>
    <d v="2034-12-10T00:00:00"/>
    <s v=""/>
    <x v="6"/>
    <x v="0"/>
  </r>
  <r>
    <n v="77731723155"/>
    <n v="37"/>
    <d v="2034-12-10T00:00:00"/>
    <s v=""/>
    <x v="6"/>
    <x v="0"/>
  </r>
  <r>
    <n v="56132977027"/>
    <n v="328"/>
    <d v="2034-12-10T00:00:00"/>
    <s v=""/>
    <x v="6"/>
    <x v="0"/>
  </r>
  <r>
    <n v="81422459269"/>
    <n v="289"/>
    <d v="2034-12-10T00:00:00"/>
    <s v=""/>
    <x v="6"/>
    <x v="0"/>
  </r>
  <r>
    <n v="34883835068"/>
    <n v="308"/>
    <d v="2034-12-10T00:00:00"/>
    <s v=""/>
    <x v="6"/>
    <x v="0"/>
  </r>
  <r>
    <n v="13182891272"/>
    <n v="331"/>
    <d v="2034-12-10T00:00:00"/>
    <s v=""/>
    <x v="6"/>
    <x v="0"/>
  </r>
  <r>
    <n v="12834121799"/>
    <n v="235"/>
    <d v="2034-12-10T00:00:00"/>
    <s v=""/>
    <x v="6"/>
    <x v="0"/>
  </r>
  <r>
    <n v="39860443866"/>
    <n v="36"/>
    <d v="2034-12-10T00:00:00"/>
    <m/>
    <x v="6"/>
    <x v="0"/>
  </r>
  <r>
    <n v="72804890597"/>
    <n v="263"/>
    <d v="2034-12-10T00:00:00"/>
    <s v=""/>
    <x v="6"/>
    <x v="0"/>
  </r>
  <r>
    <n v="67879409937"/>
    <n v="223"/>
    <d v="2034-12-10T00:00:00"/>
    <s v=""/>
    <x v="6"/>
    <x v="0"/>
  </r>
  <r>
    <n v="64252879772"/>
    <n v="118"/>
    <d v="2034-12-10T00:00:00"/>
    <s v=""/>
    <x v="6"/>
    <x v="0"/>
  </r>
  <r>
    <n v="63768395136"/>
    <n v="41"/>
    <d v="2034-12-10T00:00:00"/>
    <d v="2035-01-15T00:00:00"/>
    <x v="6"/>
    <x v="8"/>
  </r>
  <r>
    <n v="38412466860"/>
    <n v="57"/>
    <d v="2034-12-10T00:00:00"/>
    <s v=""/>
    <x v="6"/>
    <x v="0"/>
  </r>
  <r>
    <n v="99578154746"/>
    <n v="201"/>
    <d v="2034-12-10T00:00:00"/>
    <d v="2035-01-18T00:00:00"/>
    <x v="6"/>
    <x v="8"/>
  </r>
  <r>
    <n v="31459358439"/>
    <n v="240"/>
    <d v="2034-12-10T00:00:00"/>
    <s v=""/>
    <x v="6"/>
    <x v="0"/>
  </r>
  <r>
    <n v="77237268729"/>
    <n v="209"/>
    <d v="2034-12-10T00:00:00"/>
    <s v=""/>
    <x v="6"/>
    <x v="0"/>
  </r>
  <r>
    <n v="69763408954"/>
    <n v="186"/>
    <d v="2034-12-10T00:00:00"/>
    <m/>
    <x v="6"/>
    <x v="0"/>
  </r>
  <r>
    <n v="84658836221"/>
    <n v="333"/>
    <d v="2034-12-10T00:00:00"/>
    <s v=""/>
    <x v="6"/>
    <x v="0"/>
  </r>
  <r>
    <n v="94512958895"/>
    <n v="163"/>
    <d v="2034-12-10T00:00:00"/>
    <s v=""/>
    <x v="6"/>
    <x v="0"/>
  </r>
  <r>
    <n v="73473222872"/>
    <n v="102"/>
    <d v="2034-12-11T00:00:00"/>
    <s v=""/>
    <x v="6"/>
    <x v="0"/>
  </r>
  <r>
    <n v="91269555345"/>
    <n v="94"/>
    <d v="2034-12-11T00:00:00"/>
    <s v=""/>
    <x v="6"/>
    <x v="0"/>
  </r>
  <r>
    <n v="97974477780"/>
    <n v="209"/>
    <d v="2034-12-11T00:00:00"/>
    <s v=""/>
    <x v="6"/>
    <x v="0"/>
  </r>
  <r>
    <n v="51273908941"/>
    <n v="165"/>
    <d v="2034-12-11T00:00:00"/>
    <d v="2034-12-26T00:00:00"/>
    <x v="6"/>
    <x v="7"/>
  </r>
  <r>
    <n v="15676270117"/>
    <n v="197"/>
    <d v="2034-12-11T00:00:00"/>
    <s v=""/>
    <x v="6"/>
    <x v="0"/>
  </r>
  <r>
    <n v="62258984065"/>
    <n v="150"/>
    <d v="2034-12-11T00:00:00"/>
    <m/>
    <x v="6"/>
    <x v="0"/>
  </r>
  <r>
    <n v="19718489784"/>
    <n v="315"/>
    <d v="2034-12-11T00:00:00"/>
    <s v=""/>
    <x v="6"/>
    <x v="0"/>
  </r>
  <r>
    <n v="53337374474"/>
    <n v="2"/>
    <d v="2034-12-11T00:00:00"/>
    <s v=""/>
    <x v="6"/>
    <x v="0"/>
  </r>
  <r>
    <n v="82355298411"/>
    <n v="43"/>
    <d v="2034-12-11T00:00:00"/>
    <m/>
    <x v="6"/>
    <x v="0"/>
  </r>
  <r>
    <n v="67218090009"/>
    <n v="244"/>
    <d v="2034-12-11T00:00:00"/>
    <s v=""/>
    <x v="6"/>
    <x v="0"/>
  </r>
  <r>
    <n v="18084815528"/>
    <n v="299"/>
    <d v="2034-12-11T00:00:00"/>
    <s v=""/>
    <x v="6"/>
    <x v="0"/>
  </r>
  <r>
    <n v="69289260156"/>
    <n v="88"/>
    <d v="2034-12-11T00:00:00"/>
    <s v=""/>
    <x v="6"/>
    <x v="0"/>
  </r>
  <r>
    <n v="81478573686"/>
    <n v="194"/>
    <d v="2034-12-11T00:00:00"/>
    <d v="2035-01-05T00:00:00"/>
    <x v="6"/>
    <x v="8"/>
  </r>
  <r>
    <n v="48403205482"/>
    <n v="181"/>
    <d v="2034-12-11T00:00:00"/>
    <s v=""/>
    <x v="6"/>
    <x v="0"/>
  </r>
  <r>
    <n v="89457011735"/>
    <n v="111"/>
    <d v="2034-12-11T00:00:00"/>
    <s v=""/>
    <x v="6"/>
    <x v="0"/>
  </r>
  <r>
    <n v="93655386284"/>
    <n v="200"/>
    <d v="2034-12-11T00:00:00"/>
    <s v=""/>
    <x v="6"/>
    <x v="0"/>
  </r>
  <r>
    <n v="93666109530"/>
    <n v="47"/>
    <d v="2034-12-11T00:00:00"/>
    <s v=""/>
    <x v="6"/>
    <x v="0"/>
  </r>
  <r>
    <n v="94597161683"/>
    <n v="191"/>
    <d v="2034-12-11T00:00:00"/>
    <s v=""/>
    <x v="6"/>
    <x v="0"/>
  </r>
  <r>
    <n v="29072726826"/>
    <n v="11"/>
    <d v="2034-12-11T00:00:00"/>
    <s v=""/>
    <x v="6"/>
    <x v="0"/>
  </r>
  <r>
    <n v="79264027970"/>
    <n v="313"/>
    <d v="2034-12-11T00:00:00"/>
    <s v=""/>
    <x v="6"/>
    <x v="0"/>
  </r>
  <r>
    <n v="53888539800"/>
    <n v="132"/>
    <d v="2034-12-11T00:00:00"/>
    <s v=""/>
    <x v="6"/>
    <x v="0"/>
  </r>
  <r>
    <n v="66448519322"/>
    <n v="89"/>
    <d v="2034-12-11T00:00:00"/>
    <s v=""/>
    <x v="6"/>
    <x v="0"/>
  </r>
  <r>
    <n v="62242452883"/>
    <n v="305"/>
    <d v="2034-12-11T00:00:00"/>
    <s v=""/>
    <x v="6"/>
    <x v="0"/>
  </r>
  <r>
    <n v="68511039532"/>
    <n v="245"/>
    <d v="2034-12-11T00:00:00"/>
    <s v=""/>
    <x v="6"/>
    <x v="0"/>
  </r>
  <r>
    <n v="70474663296"/>
    <n v="181"/>
    <d v="2034-12-11T00:00:00"/>
    <s v=""/>
    <x v="6"/>
    <x v="0"/>
  </r>
  <r>
    <n v="98978675041"/>
    <n v="151"/>
    <d v="2034-12-11T00:00:00"/>
    <s v=""/>
    <x v="6"/>
    <x v="0"/>
  </r>
  <r>
    <n v="19896940018"/>
    <n v="268"/>
    <d v="2034-12-11T00:00:00"/>
    <m/>
    <x v="6"/>
    <x v="0"/>
  </r>
  <r>
    <n v="46907775770"/>
    <n v="331"/>
    <d v="2034-12-11T00:00:00"/>
    <s v=""/>
    <x v="6"/>
    <x v="0"/>
  </r>
  <r>
    <n v="31691124756"/>
    <n v="33"/>
    <d v="2034-12-11T00:00:00"/>
    <d v="2035-02-01T00:00:00"/>
    <x v="6"/>
    <x v="9"/>
  </r>
  <r>
    <n v="82729495442"/>
    <n v="207"/>
    <d v="2034-12-11T00:00:00"/>
    <m/>
    <x v="6"/>
    <x v="0"/>
  </r>
  <r>
    <n v="92224292269"/>
    <n v="265"/>
    <d v="2034-12-11T00:00:00"/>
    <s v=""/>
    <x v="6"/>
    <x v="0"/>
  </r>
  <r>
    <n v="76876157807"/>
    <n v="0"/>
    <d v="2034-12-11T00:00:00"/>
    <s v=""/>
    <x v="6"/>
    <x v="0"/>
  </r>
  <r>
    <n v="90996591988"/>
    <n v="106"/>
    <d v="2034-12-11T00:00:00"/>
    <s v=""/>
    <x v="6"/>
    <x v="0"/>
  </r>
  <r>
    <n v="85898961873"/>
    <n v="251"/>
    <d v="2034-12-11T00:00:00"/>
    <s v=""/>
    <x v="6"/>
    <x v="0"/>
  </r>
  <r>
    <n v="64188906048"/>
    <n v="317"/>
    <d v="2034-12-12T00:00:00"/>
    <s v=""/>
    <x v="6"/>
    <x v="0"/>
  </r>
  <r>
    <n v="40370269414"/>
    <n v="229"/>
    <d v="2034-12-12T00:00:00"/>
    <s v=""/>
    <x v="6"/>
    <x v="0"/>
  </r>
  <r>
    <n v="57207028697"/>
    <n v="187"/>
    <d v="2034-12-12T00:00:00"/>
    <s v=""/>
    <x v="6"/>
    <x v="0"/>
  </r>
  <r>
    <n v="22188566181"/>
    <n v="319"/>
    <d v="2034-12-12T00:00:00"/>
    <s v=""/>
    <x v="6"/>
    <x v="0"/>
  </r>
  <r>
    <n v="45844576408"/>
    <n v="45"/>
    <d v="2034-12-12T00:00:00"/>
    <d v="2034-12-28T00:00:00"/>
    <x v="6"/>
    <x v="7"/>
  </r>
  <r>
    <n v="82770694494"/>
    <n v="208"/>
    <d v="2034-12-12T00:00:00"/>
    <s v=""/>
    <x v="6"/>
    <x v="0"/>
  </r>
  <r>
    <n v="43693426198"/>
    <n v="152"/>
    <d v="2034-12-12T00:00:00"/>
    <s v=""/>
    <x v="6"/>
    <x v="0"/>
  </r>
  <r>
    <n v="31519380359"/>
    <n v="109"/>
    <d v="2034-12-12T00:00:00"/>
    <s v=""/>
    <x v="6"/>
    <x v="0"/>
  </r>
  <r>
    <n v="67095919328"/>
    <n v="30"/>
    <d v="2034-12-12T00:00:00"/>
    <s v=""/>
    <x v="6"/>
    <x v="0"/>
  </r>
  <r>
    <n v="56224881839"/>
    <n v="76"/>
    <d v="2034-12-12T00:00:00"/>
    <s v=""/>
    <x v="6"/>
    <x v="0"/>
  </r>
  <r>
    <n v="24881288795"/>
    <n v="210"/>
    <d v="2034-12-12T00:00:00"/>
    <s v=""/>
    <x v="6"/>
    <x v="0"/>
  </r>
  <r>
    <n v="91790158998"/>
    <n v="259"/>
    <d v="2034-12-12T00:00:00"/>
    <s v=""/>
    <x v="6"/>
    <x v="0"/>
  </r>
  <r>
    <n v="93545976013"/>
    <n v="66"/>
    <d v="2034-12-12T00:00:00"/>
    <s v=""/>
    <x v="6"/>
    <x v="0"/>
  </r>
  <r>
    <n v="19498868047"/>
    <n v="290"/>
    <d v="2034-12-12T00:00:00"/>
    <s v=""/>
    <x v="6"/>
    <x v="0"/>
  </r>
  <r>
    <n v="51158109537"/>
    <n v="270"/>
    <d v="2034-12-12T00:00:00"/>
    <s v=""/>
    <x v="6"/>
    <x v="0"/>
  </r>
  <r>
    <n v="81087578333"/>
    <n v="97"/>
    <d v="2034-12-12T00:00:00"/>
    <d v="2035-01-11T00:00:00"/>
    <x v="6"/>
    <x v="8"/>
  </r>
  <r>
    <n v="36069797324"/>
    <n v="239"/>
    <d v="2034-12-12T00:00:00"/>
    <d v="2035-01-16T00:00:00"/>
    <x v="6"/>
    <x v="8"/>
  </r>
  <r>
    <n v="93511905006"/>
    <n v="66"/>
    <d v="2034-12-12T00:00:00"/>
    <s v=""/>
    <x v="6"/>
    <x v="0"/>
  </r>
  <r>
    <n v="50201695511"/>
    <n v="226"/>
    <d v="2034-12-12T00:00:00"/>
    <s v=""/>
    <x v="6"/>
    <x v="0"/>
  </r>
  <r>
    <n v="69942340913"/>
    <n v="228"/>
    <d v="2034-12-12T00:00:00"/>
    <s v=""/>
    <x v="6"/>
    <x v="0"/>
  </r>
  <r>
    <n v="49760735004"/>
    <n v="280"/>
    <d v="2034-12-12T00:00:00"/>
    <s v=""/>
    <x v="6"/>
    <x v="0"/>
  </r>
  <r>
    <n v="50956431491"/>
    <n v="337"/>
    <d v="2034-12-12T00:00:00"/>
    <s v=""/>
    <x v="6"/>
    <x v="0"/>
  </r>
  <r>
    <n v="81242527944"/>
    <n v="128"/>
    <d v="2034-12-12T00:00:00"/>
    <s v=""/>
    <x v="6"/>
    <x v="0"/>
  </r>
  <r>
    <n v="38416894292"/>
    <n v="232"/>
    <d v="2034-12-12T00:00:00"/>
    <s v=""/>
    <x v="6"/>
    <x v="0"/>
  </r>
  <r>
    <n v="28754448701"/>
    <n v="107"/>
    <d v="2034-12-12T00:00:00"/>
    <s v=""/>
    <x v="6"/>
    <x v="0"/>
  </r>
  <r>
    <n v="66071623790"/>
    <n v="197"/>
    <d v="2034-12-12T00:00:00"/>
    <s v=""/>
    <x v="6"/>
    <x v="0"/>
  </r>
  <r>
    <n v="24741280635"/>
    <n v="77"/>
    <d v="2034-12-12T00:00:00"/>
    <s v=""/>
    <x v="6"/>
    <x v="0"/>
  </r>
  <r>
    <n v="69175897612"/>
    <n v="169"/>
    <d v="2034-12-12T00:00:00"/>
    <s v=""/>
    <x v="6"/>
    <x v="0"/>
  </r>
  <r>
    <n v="13266344549"/>
    <n v="251"/>
    <d v="2034-12-12T00:00:00"/>
    <s v=""/>
    <x v="6"/>
    <x v="0"/>
  </r>
  <r>
    <n v="11479613922"/>
    <n v="130"/>
    <d v="2034-12-12T00:00:00"/>
    <s v=""/>
    <x v="6"/>
    <x v="0"/>
  </r>
  <r>
    <n v="37427260033"/>
    <n v="333"/>
    <d v="2034-12-12T00:00:00"/>
    <s v=""/>
    <x v="6"/>
    <x v="0"/>
  </r>
  <r>
    <n v="31516059321"/>
    <n v="23"/>
    <d v="2034-12-12T00:00:00"/>
    <s v=""/>
    <x v="6"/>
    <x v="0"/>
  </r>
  <r>
    <n v="82613193378"/>
    <n v="298"/>
    <d v="2034-12-12T00:00:00"/>
    <s v=""/>
    <x v="6"/>
    <x v="0"/>
  </r>
  <r>
    <n v="45324662009"/>
    <n v="117"/>
    <d v="2034-12-12T00:00:00"/>
    <s v=""/>
    <x v="6"/>
    <x v="0"/>
  </r>
  <r>
    <n v="39349081060"/>
    <n v="103"/>
    <d v="2034-12-13T00:00:00"/>
    <m/>
    <x v="6"/>
    <x v="0"/>
  </r>
  <r>
    <n v="12331855704"/>
    <n v="205"/>
    <d v="2034-12-13T00:00:00"/>
    <s v=""/>
    <x v="6"/>
    <x v="0"/>
  </r>
  <r>
    <n v="84791305666"/>
    <n v="221"/>
    <d v="2034-12-13T00:00:00"/>
    <s v=""/>
    <x v="6"/>
    <x v="0"/>
  </r>
  <r>
    <n v="22766035622"/>
    <n v="314"/>
    <d v="2034-12-13T00:00:00"/>
    <m/>
    <x v="6"/>
    <x v="0"/>
  </r>
  <r>
    <n v="94133533028"/>
    <n v="147"/>
    <d v="2034-12-13T00:00:00"/>
    <s v=""/>
    <x v="6"/>
    <x v="0"/>
  </r>
  <r>
    <n v="45355634303"/>
    <n v="44"/>
    <d v="2034-12-13T00:00:00"/>
    <m/>
    <x v="6"/>
    <x v="0"/>
  </r>
  <r>
    <n v="94226838621"/>
    <n v="134"/>
    <d v="2034-12-13T00:00:00"/>
    <s v=""/>
    <x v="6"/>
    <x v="0"/>
  </r>
  <r>
    <n v="99483922545"/>
    <n v="63"/>
    <d v="2034-12-13T00:00:00"/>
    <s v=""/>
    <x v="6"/>
    <x v="0"/>
  </r>
  <r>
    <n v="82750417023"/>
    <n v="86"/>
    <d v="2034-12-13T00:00:00"/>
    <s v=""/>
    <x v="6"/>
    <x v="0"/>
  </r>
  <r>
    <n v="16404743736"/>
    <n v="69"/>
    <d v="2034-12-13T00:00:00"/>
    <s v=""/>
    <x v="6"/>
    <x v="0"/>
  </r>
  <r>
    <n v="91520417010"/>
    <n v="157"/>
    <d v="2034-12-13T00:00:00"/>
    <s v=""/>
    <x v="6"/>
    <x v="0"/>
  </r>
  <r>
    <n v="78513597040"/>
    <n v="167"/>
    <d v="2034-12-13T00:00:00"/>
    <s v=""/>
    <x v="6"/>
    <x v="0"/>
  </r>
  <r>
    <n v="23213399782"/>
    <n v="138"/>
    <d v="2034-12-13T00:00:00"/>
    <s v=""/>
    <x v="6"/>
    <x v="0"/>
  </r>
  <r>
    <n v="68197353888"/>
    <n v="26"/>
    <d v="2034-12-13T00:00:00"/>
    <s v=""/>
    <x v="6"/>
    <x v="0"/>
  </r>
  <r>
    <n v="16015018581"/>
    <n v="310"/>
    <d v="2034-12-13T00:00:00"/>
    <s v=""/>
    <x v="6"/>
    <x v="0"/>
  </r>
  <r>
    <n v="40328880497"/>
    <n v="263"/>
    <d v="2034-12-13T00:00:00"/>
    <s v=""/>
    <x v="6"/>
    <x v="0"/>
  </r>
  <r>
    <n v="23470141503"/>
    <n v="52"/>
    <d v="2034-12-13T00:00:00"/>
    <d v="2035-01-11T00:00:00"/>
    <x v="6"/>
    <x v="8"/>
  </r>
  <r>
    <n v="16700633181"/>
    <n v="163"/>
    <d v="2034-12-13T00:00:00"/>
    <m/>
    <x v="6"/>
    <x v="0"/>
  </r>
  <r>
    <n v="47360610316"/>
    <n v="104"/>
    <d v="2034-12-13T00:00:00"/>
    <s v=""/>
    <x v="6"/>
    <x v="0"/>
  </r>
  <r>
    <n v="37407010596"/>
    <n v="45"/>
    <d v="2034-12-13T00:00:00"/>
    <s v=""/>
    <x v="6"/>
    <x v="0"/>
  </r>
  <r>
    <n v="31278872160"/>
    <n v="249"/>
    <d v="2034-12-13T00:00:00"/>
    <s v=""/>
    <x v="6"/>
    <x v="0"/>
  </r>
  <r>
    <n v="11921203685"/>
    <n v="159"/>
    <d v="2034-12-13T00:00:00"/>
    <s v=""/>
    <x v="6"/>
    <x v="0"/>
  </r>
  <r>
    <n v="12994658170"/>
    <n v="252"/>
    <d v="2034-12-13T00:00:00"/>
    <s v=""/>
    <x v="6"/>
    <x v="0"/>
  </r>
  <r>
    <n v="54851675737"/>
    <n v="177"/>
    <d v="2034-12-13T00:00:00"/>
    <s v=""/>
    <x v="6"/>
    <x v="0"/>
  </r>
  <r>
    <n v="60089707743"/>
    <n v="213"/>
    <d v="2034-12-14T00:00:00"/>
    <s v=""/>
    <x v="6"/>
    <x v="0"/>
  </r>
  <r>
    <n v="57858732645"/>
    <n v="74"/>
    <d v="2034-12-14T00:00:00"/>
    <s v=""/>
    <x v="6"/>
    <x v="0"/>
  </r>
  <r>
    <n v="34466583005"/>
    <n v="35"/>
    <d v="2034-12-14T00:00:00"/>
    <s v=""/>
    <x v="6"/>
    <x v="0"/>
  </r>
  <r>
    <n v="62242795105"/>
    <n v="190"/>
    <d v="2034-12-14T00:00:00"/>
    <s v=""/>
    <x v="6"/>
    <x v="0"/>
  </r>
  <r>
    <n v="90279275238"/>
    <n v="167"/>
    <d v="2034-12-14T00:00:00"/>
    <d v="2035-01-03T00:00:00"/>
    <x v="6"/>
    <x v="8"/>
  </r>
  <r>
    <n v="35332700767"/>
    <n v="106"/>
    <d v="2034-12-14T00:00:00"/>
    <s v=""/>
    <x v="6"/>
    <x v="0"/>
  </r>
  <r>
    <n v="18656715016"/>
    <n v="279"/>
    <d v="2034-12-14T00:00:00"/>
    <s v=""/>
    <x v="6"/>
    <x v="0"/>
  </r>
  <r>
    <n v="32143328342"/>
    <n v="260"/>
    <d v="2034-12-14T00:00:00"/>
    <s v=""/>
    <x v="6"/>
    <x v="0"/>
  </r>
  <r>
    <n v="81980117413"/>
    <n v="290"/>
    <d v="2034-12-14T00:00:00"/>
    <s v=""/>
    <x v="6"/>
    <x v="0"/>
  </r>
  <r>
    <n v="90978013432"/>
    <n v="196"/>
    <d v="2034-12-14T00:00:00"/>
    <s v=""/>
    <x v="6"/>
    <x v="0"/>
  </r>
  <r>
    <n v="93383770751"/>
    <n v="48"/>
    <d v="2034-12-14T00:00:00"/>
    <s v=""/>
    <x v="6"/>
    <x v="0"/>
  </r>
  <r>
    <n v="53714767843"/>
    <n v="320"/>
    <d v="2034-12-14T00:00:00"/>
    <s v=""/>
    <x v="6"/>
    <x v="0"/>
  </r>
  <r>
    <n v="76030363599"/>
    <n v="156"/>
    <d v="2034-12-14T00:00:00"/>
    <s v=""/>
    <x v="6"/>
    <x v="0"/>
  </r>
  <r>
    <n v="59412640239"/>
    <n v="268"/>
    <d v="2034-12-14T00:00:00"/>
    <d v="2035-01-20T00:00:00"/>
    <x v="6"/>
    <x v="8"/>
  </r>
  <r>
    <n v="34655659862"/>
    <n v="112"/>
    <d v="2034-12-14T00:00:00"/>
    <s v=""/>
    <x v="6"/>
    <x v="0"/>
  </r>
  <r>
    <n v="51371238767"/>
    <n v="39"/>
    <d v="2034-12-14T00:00:00"/>
    <m/>
    <x v="6"/>
    <x v="0"/>
  </r>
  <r>
    <n v="17618714794"/>
    <n v="104"/>
    <d v="2034-12-14T00:00:00"/>
    <s v=""/>
    <x v="6"/>
    <x v="0"/>
  </r>
  <r>
    <n v="69681313863"/>
    <n v="175"/>
    <d v="2034-12-14T00:00:00"/>
    <s v=""/>
    <x v="6"/>
    <x v="0"/>
  </r>
  <r>
    <n v="31188933687"/>
    <n v="161"/>
    <d v="2034-12-14T00:00:00"/>
    <s v=""/>
    <x v="6"/>
    <x v="0"/>
  </r>
  <r>
    <n v="76413684942"/>
    <n v="24"/>
    <d v="2034-12-14T00:00:00"/>
    <s v=""/>
    <x v="6"/>
    <x v="0"/>
  </r>
  <r>
    <n v="83360234057"/>
    <n v="262"/>
    <d v="2034-12-15T00:00:00"/>
    <m/>
    <x v="6"/>
    <x v="0"/>
  </r>
  <r>
    <n v="26272800348"/>
    <n v="281"/>
    <d v="2034-12-15T00:00:00"/>
    <s v=""/>
    <x v="6"/>
    <x v="0"/>
  </r>
  <r>
    <n v="98255614921"/>
    <n v="132"/>
    <d v="2034-12-15T00:00:00"/>
    <m/>
    <x v="6"/>
    <x v="0"/>
  </r>
  <r>
    <n v="12201631892"/>
    <n v="104"/>
    <d v="2034-12-15T00:00:00"/>
    <s v=""/>
    <x v="6"/>
    <x v="0"/>
  </r>
  <r>
    <n v="97740523555"/>
    <n v="142"/>
    <d v="2034-12-15T00:00:00"/>
    <s v=""/>
    <x v="6"/>
    <x v="0"/>
  </r>
  <r>
    <n v="36989729625"/>
    <n v="207"/>
    <d v="2034-12-15T00:00:00"/>
    <s v=""/>
    <x v="6"/>
    <x v="0"/>
  </r>
  <r>
    <n v="22130255998"/>
    <n v="187"/>
    <d v="2034-12-15T00:00:00"/>
    <s v=""/>
    <x v="6"/>
    <x v="0"/>
  </r>
  <r>
    <n v="45016170733"/>
    <n v="308"/>
    <d v="2034-12-15T00:00:00"/>
    <s v=""/>
    <x v="6"/>
    <x v="0"/>
  </r>
  <r>
    <n v="53463248774"/>
    <n v="302"/>
    <d v="2034-12-15T00:00:00"/>
    <s v=""/>
    <x v="6"/>
    <x v="0"/>
  </r>
  <r>
    <n v="48182709087"/>
    <n v="168"/>
    <d v="2034-12-15T00:00:00"/>
    <m/>
    <x v="6"/>
    <x v="0"/>
  </r>
  <r>
    <n v="58347553774"/>
    <n v="263"/>
    <d v="2034-12-15T00:00:00"/>
    <s v=""/>
    <x v="6"/>
    <x v="0"/>
  </r>
  <r>
    <n v="87079392351"/>
    <n v="79"/>
    <d v="2034-12-15T00:00:00"/>
    <s v=""/>
    <x v="6"/>
    <x v="0"/>
  </r>
  <r>
    <n v="29828259522"/>
    <n v="17"/>
    <d v="2034-12-15T00:00:00"/>
    <m/>
    <x v="6"/>
    <x v="0"/>
  </r>
  <r>
    <n v="43393920153"/>
    <n v="99"/>
    <d v="2034-12-15T00:00:00"/>
    <s v=""/>
    <x v="6"/>
    <x v="0"/>
  </r>
  <r>
    <n v="46273990244"/>
    <n v="228"/>
    <d v="2034-12-15T00:00:00"/>
    <s v=""/>
    <x v="6"/>
    <x v="0"/>
  </r>
  <r>
    <n v="29333741588"/>
    <n v="179"/>
    <d v="2034-12-15T00:00:00"/>
    <s v=""/>
    <x v="6"/>
    <x v="0"/>
  </r>
  <r>
    <n v="70694221882"/>
    <n v="109"/>
    <d v="2034-12-15T00:00:00"/>
    <s v=""/>
    <x v="6"/>
    <x v="0"/>
  </r>
  <r>
    <n v="96444405960"/>
    <n v="91"/>
    <d v="2034-12-15T00:00:00"/>
    <m/>
    <x v="6"/>
    <x v="0"/>
  </r>
  <r>
    <n v="44198016995"/>
    <n v="34"/>
    <d v="2034-12-15T00:00:00"/>
    <s v=""/>
    <x v="6"/>
    <x v="0"/>
  </r>
  <r>
    <n v="98096953563"/>
    <n v="266"/>
    <d v="2034-12-15T00:00:00"/>
    <d v="2035-01-25T00:00:00"/>
    <x v="6"/>
    <x v="8"/>
  </r>
  <r>
    <n v="96426013970"/>
    <n v="291"/>
    <d v="2034-12-15T00:00:00"/>
    <s v=""/>
    <x v="6"/>
    <x v="0"/>
  </r>
  <r>
    <n v="43856845784"/>
    <n v="148"/>
    <d v="2034-12-15T00:00:00"/>
    <d v="2035-01-20T00:00:00"/>
    <x v="6"/>
    <x v="8"/>
  </r>
  <r>
    <n v="85947900096"/>
    <n v="177"/>
    <d v="2034-12-15T00:00:00"/>
    <s v=""/>
    <x v="6"/>
    <x v="0"/>
  </r>
  <r>
    <n v="12668027650"/>
    <n v="152"/>
    <d v="2034-12-15T00:00:00"/>
    <s v=""/>
    <x v="6"/>
    <x v="0"/>
  </r>
  <r>
    <n v="44228541499"/>
    <n v="61"/>
    <d v="2034-12-15T00:00:00"/>
    <s v=""/>
    <x v="6"/>
    <x v="0"/>
  </r>
  <r>
    <n v="87181083407"/>
    <n v="16"/>
    <d v="2034-12-15T00:00:00"/>
    <d v="2034-12-28T00:00:00"/>
    <x v="6"/>
    <x v="7"/>
  </r>
  <r>
    <n v="35467148616"/>
    <n v="327"/>
    <d v="2034-12-16T00:00:00"/>
    <s v=""/>
    <x v="6"/>
    <x v="0"/>
  </r>
  <r>
    <n v="31661913093"/>
    <n v="30"/>
    <d v="2034-12-16T00:00:00"/>
    <s v=""/>
    <x v="6"/>
    <x v="0"/>
  </r>
  <r>
    <n v="81729646800"/>
    <n v="265"/>
    <d v="2034-12-16T00:00:00"/>
    <s v=""/>
    <x v="6"/>
    <x v="0"/>
  </r>
  <r>
    <n v="50499062878"/>
    <n v="38"/>
    <d v="2034-12-16T00:00:00"/>
    <s v=""/>
    <x v="6"/>
    <x v="0"/>
  </r>
  <r>
    <n v="61468501953"/>
    <n v="237"/>
    <d v="2034-12-16T00:00:00"/>
    <s v=""/>
    <x v="6"/>
    <x v="0"/>
  </r>
  <r>
    <n v="34770330665"/>
    <n v="45"/>
    <d v="2034-12-16T00:00:00"/>
    <m/>
    <x v="6"/>
    <x v="0"/>
  </r>
  <r>
    <n v="80550775021"/>
    <n v="184"/>
    <d v="2034-12-16T00:00:00"/>
    <d v="2035-01-15T00:00:00"/>
    <x v="6"/>
    <x v="8"/>
  </r>
  <r>
    <n v="44254419400"/>
    <n v="110"/>
    <d v="2034-12-16T00:00:00"/>
    <s v=""/>
    <x v="6"/>
    <x v="0"/>
  </r>
  <r>
    <n v="82915247188"/>
    <n v="142"/>
    <d v="2034-12-16T00:00:00"/>
    <s v=""/>
    <x v="6"/>
    <x v="0"/>
  </r>
  <r>
    <n v="72237222043"/>
    <n v="206"/>
    <d v="2034-12-16T00:00:00"/>
    <m/>
    <x v="6"/>
    <x v="0"/>
  </r>
  <r>
    <n v="92287150872"/>
    <n v="212"/>
    <d v="2034-12-16T00:00:00"/>
    <s v=""/>
    <x v="6"/>
    <x v="0"/>
  </r>
  <r>
    <n v="14308005447"/>
    <n v="236"/>
    <d v="2034-12-16T00:00:00"/>
    <d v="2035-01-06T00:00:00"/>
    <x v="6"/>
    <x v="8"/>
  </r>
  <r>
    <n v="24887059278"/>
    <n v="95"/>
    <d v="2034-12-16T00:00:00"/>
    <s v=""/>
    <x v="6"/>
    <x v="0"/>
  </r>
  <r>
    <n v="74422918492"/>
    <n v="272"/>
    <d v="2034-12-16T00:00:00"/>
    <s v=""/>
    <x v="6"/>
    <x v="0"/>
  </r>
  <r>
    <n v="92817984198"/>
    <n v="320"/>
    <d v="2034-12-16T00:00:00"/>
    <d v="2034-12-16T00:00:00"/>
    <x v="6"/>
    <x v="7"/>
  </r>
  <r>
    <n v="46502529389"/>
    <n v="14"/>
    <d v="2034-12-16T00:00:00"/>
    <m/>
    <x v="6"/>
    <x v="0"/>
  </r>
  <r>
    <n v="19695615817"/>
    <n v="10"/>
    <d v="2034-12-16T00:00:00"/>
    <s v=""/>
    <x v="6"/>
    <x v="0"/>
  </r>
  <r>
    <n v="80773005293"/>
    <n v="259"/>
    <d v="2034-12-16T00:00:00"/>
    <m/>
    <x v="6"/>
    <x v="0"/>
  </r>
  <r>
    <n v="92809110855"/>
    <n v="70"/>
    <d v="2034-12-16T00:00:00"/>
    <s v=""/>
    <x v="6"/>
    <x v="0"/>
  </r>
  <r>
    <n v="34664273933"/>
    <n v="158"/>
    <d v="2034-12-16T00:00:00"/>
    <s v=""/>
    <x v="6"/>
    <x v="0"/>
  </r>
  <r>
    <n v="91968820139"/>
    <n v="63"/>
    <d v="2034-12-16T00:00:00"/>
    <s v=""/>
    <x v="6"/>
    <x v="0"/>
  </r>
  <r>
    <n v="74793563772"/>
    <n v="140"/>
    <d v="2034-12-16T00:00:00"/>
    <s v=""/>
    <x v="6"/>
    <x v="0"/>
  </r>
  <r>
    <n v="72551653138"/>
    <n v="258"/>
    <d v="2034-12-16T00:00:00"/>
    <s v=""/>
    <x v="6"/>
    <x v="0"/>
  </r>
  <r>
    <n v="15269737072"/>
    <n v="215"/>
    <d v="2034-12-16T00:00:00"/>
    <s v=""/>
    <x v="6"/>
    <x v="0"/>
  </r>
  <r>
    <n v="21558573565"/>
    <n v="322"/>
    <d v="2034-12-16T00:00:00"/>
    <d v="2034-12-30T00:00:00"/>
    <x v="6"/>
    <x v="7"/>
  </r>
  <r>
    <n v="63712664362"/>
    <n v="203"/>
    <d v="2034-12-17T00:00:00"/>
    <s v=""/>
    <x v="6"/>
    <x v="0"/>
  </r>
  <r>
    <n v="47481046150"/>
    <n v="54"/>
    <d v="2034-12-17T00:00:00"/>
    <s v=""/>
    <x v="6"/>
    <x v="0"/>
  </r>
  <r>
    <n v="57863474255"/>
    <n v="266"/>
    <d v="2034-12-17T00:00:00"/>
    <s v=""/>
    <x v="6"/>
    <x v="0"/>
  </r>
  <r>
    <n v="97082843548"/>
    <n v="127"/>
    <d v="2034-12-17T00:00:00"/>
    <s v=""/>
    <x v="6"/>
    <x v="0"/>
  </r>
  <r>
    <n v="21136629306"/>
    <n v="273"/>
    <d v="2034-12-17T00:00:00"/>
    <s v=""/>
    <x v="6"/>
    <x v="0"/>
  </r>
  <r>
    <n v="21251171514"/>
    <n v="111"/>
    <d v="2034-12-17T00:00:00"/>
    <s v=""/>
    <x v="6"/>
    <x v="0"/>
  </r>
  <r>
    <n v="60990348312"/>
    <n v="197"/>
    <d v="2034-12-17T00:00:00"/>
    <s v=""/>
    <x v="6"/>
    <x v="0"/>
  </r>
  <r>
    <n v="60057604038"/>
    <n v="244"/>
    <d v="2034-12-17T00:00:00"/>
    <s v=""/>
    <x v="6"/>
    <x v="0"/>
  </r>
  <r>
    <n v="65705829872"/>
    <n v="140"/>
    <d v="2034-12-17T00:00:00"/>
    <s v=""/>
    <x v="6"/>
    <x v="0"/>
  </r>
  <r>
    <n v="85808290242"/>
    <n v="305"/>
    <d v="2034-12-17T00:00:00"/>
    <s v=""/>
    <x v="6"/>
    <x v="0"/>
  </r>
  <r>
    <n v="20114400999"/>
    <n v="135"/>
    <d v="2034-12-17T00:00:00"/>
    <m/>
    <x v="6"/>
    <x v="0"/>
  </r>
  <r>
    <n v="25114820382"/>
    <n v="90"/>
    <d v="2034-12-17T00:00:00"/>
    <s v=""/>
    <x v="6"/>
    <x v="0"/>
  </r>
  <r>
    <n v="79389308717"/>
    <n v="227"/>
    <d v="2034-12-17T00:00:00"/>
    <s v=""/>
    <x v="6"/>
    <x v="0"/>
  </r>
  <r>
    <n v="33455382879"/>
    <n v="35"/>
    <d v="2034-12-17T00:00:00"/>
    <s v=""/>
    <x v="6"/>
    <x v="0"/>
  </r>
  <r>
    <n v="19692779270"/>
    <n v="131"/>
    <d v="2034-12-17T00:00:00"/>
    <s v=""/>
    <x v="6"/>
    <x v="0"/>
  </r>
  <r>
    <n v="15045663259"/>
    <n v="162"/>
    <d v="2034-12-17T00:00:00"/>
    <m/>
    <x v="6"/>
    <x v="0"/>
  </r>
  <r>
    <n v="52026424707"/>
    <n v="218"/>
    <d v="2034-12-17T00:00:00"/>
    <s v=""/>
    <x v="6"/>
    <x v="0"/>
  </r>
  <r>
    <n v="62672793566"/>
    <n v="318"/>
    <d v="2034-12-17T00:00:00"/>
    <s v=""/>
    <x v="6"/>
    <x v="0"/>
  </r>
  <r>
    <n v="52854392008"/>
    <n v="279"/>
    <d v="2034-12-17T00:00:00"/>
    <s v=""/>
    <x v="6"/>
    <x v="0"/>
  </r>
  <r>
    <n v="65409367864"/>
    <n v="301"/>
    <d v="2034-12-17T00:00:00"/>
    <s v=""/>
    <x v="6"/>
    <x v="0"/>
  </r>
  <r>
    <n v="45198007238"/>
    <n v="5"/>
    <d v="2034-12-17T00:00:00"/>
    <s v=""/>
    <x v="6"/>
    <x v="0"/>
  </r>
  <r>
    <n v="32257288756"/>
    <n v="107"/>
    <d v="2034-12-17T00:00:00"/>
    <s v=""/>
    <x v="6"/>
    <x v="0"/>
  </r>
  <r>
    <n v="63565147819"/>
    <n v="311"/>
    <d v="2034-12-17T00:00:00"/>
    <s v=""/>
    <x v="6"/>
    <x v="0"/>
  </r>
  <r>
    <n v="31816167185"/>
    <n v="141"/>
    <d v="2034-12-17T00:00:00"/>
    <s v=""/>
    <x v="6"/>
    <x v="0"/>
  </r>
  <r>
    <n v="12376981226"/>
    <n v="137"/>
    <d v="2034-12-17T00:00:00"/>
    <d v="2035-02-01T00:00:00"/>
    <x v="6"/>
    <x v="9"/>
  </r>
  <r>
    <n v="35372060228"/>
    <n v="234"/>
    <d v="2034-12-18T00:00:00"/>
    <s v=""/>
    <x v="6"/>
    <x v="0"/>
  </r>
  <r>
    <n v="78072569395"/>
    <n v="302"/>
    <d v="2034-12-18T00:00:00"/>
    <s v=""/>
    <x v="6"/>
    <x v="0"/>
  </r>
  <r>
    <n v="62695945151"/>
    <n v="325"/>
    <d v="2034-12-18T00:00:00"/>
    <s v=""/>
    <x v="6"/>
    <x v="0"/>
  </r>
  <r>
    <n v="50760513908"/>
    <n v="23"/>
    <d v="2034-12-18T00:00:00"/>
    <s v=""/>
    <x v="6"/>
    <x v="0"/>
  </r>
  <r>
    <n v="87717578324"/>
    <n v="164"/>
    <d v="2034-12-18T00:00:00"/>
    <s v=""/>
    <x v="6"/>
    <x v="0"/>
  </r>
  <r>
    <n v="59876876188"/>
    <n v="237"/>
    <d v="2034-12-18T00:00:00"/>
    <s v=""/>
    <x v="6"/>
    <x v="0"/>
  </r>
  <r>
    <n v="72963500256"/>
    <n v="228"/>
    <d v="2034-12-18T00:00:00"/>
    <s v=""/>
    <x v="6"/>
    <x v="0"/>
  </r>
  <r>
    <n v="75388181916"/>
    <n v="221"/>
    <d v="2034-12-18T00:00:00"/>
    <s v=""/>
    <x v="6"/>
    <x v="0"/>
  </r>
  <r>
    <n v="99922621520"/>
    <n v="43"/>
    <d v="2034-12-18T00:00:00"/>
    <s v=""/>
    <x v="6"/>
    <x v="0"/>
  </r>
  <r>
    <n v="45798224168"/>
    <n v="98"/>
    <d v="2034-12-18T00:00:00"/>
    <m/>
    <x v="6"/>
    <x v="0"/>
  </r>
  <r>
    <n v="36937251729"/>
    <n v="133"/>
    <d v="2034-12-18T00:00:00"/>
    <s v=""/>
    <x v="6"/>
    <x v="0"/>
  </r>
  <r>
    <n v="85350454358"/>
    <n v="94"/>
    <d v="2034-12-18T00:00:00"/>
    <s v=""/>
    <x v="6"/>
    <x v="0"/>
  </r>
  <r>
    <n v="29731466045"/>
    <n v="79"/>
    <d v="2034-12-18T00:00:00"/>
    <s v=""/>
    <x v="6"/>
    <x v="0"/>
  </r>
  <r>
    <n v="83011385319"/>
    <n v="226"/>
    <d v="2034-12-18T00:00:00"/>
    <m/>
    <x v="6"/>
    <x v="0"/>
  </r>
  <r>
    <n v="67365317448"/>
    <n v="264"/>
    <d v="2034-12-18T00:00:00"/>
    <s v=""/>
    <x v="6"/>
    <x v="0"/>
  </r>
  <r>
    <n v="60427199547"/>
    <n v="264"/>
    <d v="2034-12-18T00:00:00"/>
    <s v=""/>
    <x v="6"/>
    <x v="0"/>
  </r>
  <r>
    <n v="87864565104"/>
    <n v="90"/>
    <d v="2034-12-18T00:00:00"/>
    <s v=""/>
    <x v="6"/>
    <x v="0"/>
  </r>
  <r>
    <n v="28833851992"/>
    <n v="96"/>
    <d v="2034-12-18T00:00:00"/>
    <s v=""/>
    <x v="6"/>
    <x v="0"/>
  </r>
  <r>
    <n v="76709536329"/>
    <n v="193"/>
    <d v="2034-12-18T00:00:00"/>
    <m/>
    <x v="6"/>
    <x v="0"/>
  </r>
  <r>
    <n v="65496907791"/>
    <n v="239"/>
    <d v="2034-12-18T00:00:00"/>
    <s v=""/>
    <x v="6"/>
    <x v="0"/>
  </r>
  <r>
    <n v="63686198094"/>
    <n v="66"/>
    <d v="2034-12-18T00:00:00"/>
    <s v=""/>
    <x v="6"/>
    <x v="0"/>
  </r>
  <r>
    <n v="30646489605"/>
    <n v="155"/>
    <d v="2034-12-18T00:00:00"/>
    <s v=""/>
    <x v="6"/>
    <x v="0"/>
  </r>
  <r>
    <n v="97648732199"/>
    <n v="106"/>
    <d v="2034-12-18T00:00:00"/>
    <s v=""/>
    <x v="6"/>
    <x v="0"/>
  </r>
  <r>
    <n v="19654334077"/>
    <n v="181"/>
    <d v="2034-12-18T00:00:00"/>
    <s v=""/>
    <x v="6"/>
    <x v="0"/>
  </r>
  <r>
    <n v="80369617662"/>
    <n v="91"/>
    <d v="2034-12-18T00:00:00"/>
    <s v=""/>
    <x v="6"/>
    <x v="0"/>
  </r>
  <r>
    <n v="50907655882"/>
    <n v="308"/>
    <d v="2034-12-18T00:00:00"/>
    <s v=""/>
    <x v="6"/>
    <x v="0"/>
  </r>
  <r>
    <n v="28995310036"/>
    <n v="226"/>
    <d v="2034-12-18T00:00:00"/>
    <s v=""/>
    <x v="6"/>
    <x v="0"/>
  </r>
  <r>
    <n v="72743820486"/>
    <n v="163"/>
    <d v="2034-12-18T00:00:00"/>
    <d v="2035-01-16T00:00:00"/>
    <x v="6"/>
    <x v="8"/>
  </r>
  <r>
    <n v="51012659251"/>
    <n v="211"/>
    <d v="2034-12-19T00:00:00"/>
    <s v=""/>
    <x v="6"/>
    <x v="0"/>
  </r>
  <r>
    <n v="13667314580"/>
    <n v="80"/>
    <d v="2034-12-19T00:00:00"/>
    <d v="2035-01-27T00:00:00"/>
    <x v="6"/>
    <x v="8"/>
  </r>
  <r>
    <n v="75272361038"/>
    <n v="12"/>
    <d v="2034-12-19T00:00:00"/>
    <s v=""/>
    <x v="6"/>
    <x v="0"/>
  </r>
  <r>
    <n v="56730146425"/>
    <n v="108"/>
    <d v="2034-12-19T00:00:00"/>
    <s v=""/>
    <x v="6"/>
    <x v="0"/>
  </r>
  <r>
    <n v="69301978290"/>
    <n v="171"/>
    <d v="2034-12-19T00:00:00"/>
    <s v=""/>
    <x v="6"/>
    <x v="0"/>
  </r>
  <r>
    <n v="57151064885"/>
    <n v="293"/>
    <d v="2034-12-19T00:00:00"/>
    <m/>
    <x v="6"/>
    <x v="0"/>
  </r>
  <r>
    <n v="51417767166"/>
    <n v="39"/>
    <d v="2034-12-19T00:00:00"/>
    <d v="2035-01-27T00:00:00"/>
    <x v="6"/>
    <x v="8"/>
  </r>
  <r>
    <n v="12738778871"/>
    <n v="77"/>
    <d v="2034-12-19T00:00:00"/>
    <m/>
    <x v="6"/>
    <x v="0"/>
  </r>
  <r>
    <n v="54574593884"/>
    <n v="164"/>
    <d v="2034-12-19T00:00:00"/>
    <m/>
    <x v="6"/>
    <x v="0"/>
  </r>
  <r>
    <n v="77955396090"/>
    <n v="106"/>
    <d v="2034-12-19T00:00:00"/>
    <s v=""/>
    <x v="6"/>
    <x v="0"/>
  </r>
  <r>
    <n v="38580820947"/>
    <n v="210"/>
    <d v="2034-12-19T00:00:00"/>
    <s v=""/>
    <x v="6"/>
    <x v="0"/>
  </r>
  <r>
    <n v="68797989741"/>
    <n v="227"/>
    <d v="2034-12-19T00:00:00"/>
    <s v=""/>
    <x v="6"/>
    <x v="0"/>
  </r>
  <r>
    <n v="34011933789"/>
    <n v="78"/>
    <d v="2034-12-19T00:00:00"/>
    <s v=""/>
    <x v="6"/>
    <x v="0"/>
  </r>
  <r>
    <n v="70455759333"/>
    <n v="51"/>
    <d v="2034-12-19T00:00:00"/>
    <s v=""/>
    <x v="6"/>
    <x v="0"/>
  </r>
  <r>
    <n v="12209041713"/>
    <n v="43"/>
    <d v="2034-12-19T00:00:00"/>
    <s v=""/>
    <x v="6"/>
    <x v="0"/>
  </r>
  <r>
    <n v="83341092378"/>
    <n v="139"/>
    <d v="2034-12-19T00:00:00"/>
    <s v=""/>
    <x v="6"/>
    <x v="0"/>
  </r>
  <r>
    <n v="61390959932"/>
    <n v="334"/>
    <d v="2034-12-19T00:00:00"/>
    <s v=""/>
    <x v="6"/>
    <x v="0"/>
  </r>
  <r>
    <n v="56001341670"/>
    <n v="241"/>
    <d v="2034-12-19T00:00:00"/>
    <s v=""/>
    <x v="6"/>
    <x v="0"/>
  </r>
  <r>
    <n v="35099789633"/>
    <n v="328"/>
    <d v="2034-12-19T00:00:00"/>
    <s v=""/>
    <x v="6"/>
    <x v="0"/>
  </r>
  <r>
    <n v="55254937314"/>
    <n v="220"/>
    <d v="2034-12-19T00:00:00"/>
    <s v=""/>
    <x v="6"/>
    <x v="0"/>
  </r>
  <r>
    <n v="71821189545"/>
    <n v="33"/>
    <d v="2034-12-19T00:00:00"/>
    <s v=""/>
    <x v="6"/>
    <x v="0"/>
  </r>
  <r>
    <n v="50836092723"/>
    <n v="173"/>
    <d v="2034-12-19T00:00:00"/>
    <s v=""/>
    <x v="6"/>
    <x v="0"/>
  </r>
  <r>
    <n v="45251315129"/>
    <n v="275"/>
    <d v="2034-12-19T00:00:00"/>
    <s v=""/>
    <x v="6"/>
    <x v="0"/>
  </r>
  <r>
    <n v="50936496743"/>
    <n v="292"/>
    <d v="2034-12-19T00:00:00"/>
    <s v=""/>
    <x v="6"/>
    <x v="0"/>
  </r>
  <r>
    <n v="77287644320"/>
    <n v="51"/>
    <d v="2034-12-19T00:00:00"/>
    <m/>
    <x v="6"/>
    <x v="0"/>
  </r>
  <r>
    <n v="21905207602"/>
    <n v="232"/>
    <d v="2034-12-19T00:00:00"/>
    <m/>
    <x v="6"/>
    <x v="0"/>
  </r>
  <r>
    <n v="66590523021"/>
    <n v="42"/>
    <d v="2034-12-19T00:00:00"/>
    <s v=""/>
    <x v="6"/>
    <x v="0"/>
  </r>
  <r>
    <n v="62322220406"/>
    <n v="42"/>
    <d v="2034-12-19T00:00:00"/>
    <s v=""/>
    <x v="6"/>
    <x v="0"/>
  </r>
  <r>
    <n v="86210082508"/>
    <n v="308"/>
    <d v="2034-12-19T00:00:00"/>
    <d v="2035-01-18T00:00:00"/>
    <x v="6"/>
    <x v="8"/>
  </r>
  <r>
    <n v="27725317829"/>
    <n v="210"/>
    <d v="2034-12-20T00:00:00"/>
    <s v=""/>
    <x v="6"/>
    <x v="0"/>
  </r>
  <r>
    <n v="17206907128"/>
    <n v="62"/>
    <d v="2034-12-20T00:00:00"/>
    <s v=""/>
    <x v="6"/>
    <x v="0"/>
  </r>
  <r>
    <n v="86239209738"/>
    <n v="193"/>
    <d v="2034-12-20T00:00:00"/>
    <s v=""/>
    <x v="6"/>
    <x v="0"/>
  </r>
  <r>
    <n v="69805466633"/>
    <n v="253"/>
    <d v="2034-12-20T00:00:00"/>
    <s v=""/>
    <x v="6"/>
    <x v="0"/>
  </r>
  <r>
    <n v="85341428284"/>
    <n v="283"/>
    <d v="2034-12-20T00:00:00"/>
    <s v=""/>
    <x v="6"/>
    <x v="0"/>
  </r>
  <r>
    <n v="48766368705"/>
    <n v="194"/>
    <d v="2034-12-20T00:00:00"/>
    <d v="2034-12-26T00:00:00"/>
    <x v="6"/>
    <x v="7"/>
  </r>
  <r>
    <n v="41033517020"/>
    <n v="59"/>
    <d v="2034-12-20T00:00:00"/>
    <s v=""/>
    <x v="6"/>
    <x v="0"/>
  </r>
  <r>
    <n v="29346404627"/>
    <n v="0"/>
    <d v="2034-12-20T00:00:00"/>
    <s v=""/>
    <x v="6"/>
    <x v="0"/>
  </r>
  <r>
    <n v="44484207369"/>
    <n v="225"/>
    <d v="2034-12-20T00:00:00"/>
    <s v=""/>
    <x v="6"/>
    <x v="0"/>
  </r>
  <r>
    <n v="58769933760"/>
    <n v="24"/>
    <d v="2034-12-20T00:00:00"/>
    <s v=""/>
    <x v="6"/>
    <x v="0"/>
  </r>
  <r>
    <n v="41723446242"/>
    <n v="5"/>
    <d v="2034-12-20T00:00:00"/>
    <s v=""/>
    <x v="6"/>
    <x v="0"/>
  </r>
  <r>
    <n v="82300735361"/>
    <n v="285"/>
    <d v="2034-12-20T00:00:00"/>
    <m/>
    <x v="6"/>
    <x v="0"/>
  </r>
  <r>
    <n v="23594291217"/>
    <n v="244"/>
    <d v="2034-12-20T00:00:00"/>
    <m/>
    <x v="6"/>
    <x v="0"/>
  </r>
  <r>
    <n v="40301350862"/>
    <n v="162"/>
    <d v="2034-12-20T00:00:00"/>
    <m/>
    <x v="6"/>
    <x v="0"/>
  </r>
  <r>
    <n v="59569061396"/>
    <n v="206"/>
    <d v="2034-12-20T00:00:00"/>
    <s v=""/>
    <x v="6"/>
    <x v="0"/>
  </r>
  <r>
    <n v="45025831496"/>
    <n v="5"/>
    <d v="2034-12-20T00:00:00"/>
    <s v=""/>
    <x v="6"/>
    <x v="0"/>
  </r>
  <r>
    <n v="23355096159"/>
    <n v="69"/>
    <d v="2034-12-20T00:00:00"/>
    <d v="2035-01-13T00:00:00"/>
    <x v="6"/>
    <x v="8"/>
  </r>
  <r>
    <n v="77897136977"/>
    <n v="216"/>
    <d v="2034-12-20T00:00:00"/>
    <s v=""/>
    <x v="6"/>
    <x v="0"/>
  </r>
  <r>
    <n v="87687144750"/>
    <n v="268"/>
    <d v="2034-12-20T00:00:00"/>
    <s v=""/>
    <x v="6"/>
    <x v="0"/>
  </r>
  <r>
    <n v="75894274058"/>
    <n v="12"/>
    <d v="2034-12-20T00:00:00"/>
    <s v=""/>
    <x v="6"/>
    <x v="0"/>
  </r>
  <r>
    <n v="48739321158"/>
    <n v="254"/>
    <d v="2034-12-20T00:00:00"/>
    <s v=""/>
    <x v="6"/>
    <x v="0"/>
  </r>
  <r>
    <n v="80382725593"/>
    <n v="109"/>
    <d v="2034-12-20T00:00:00"/>
    <d v="2034-12-27T00:00:00"/>
    <x v="6"/>
    <x v="7"/>
  </r>
  <r>
    <n v="30224615522"/>
    <n v="250"/>
    <d v="2034-12-20T00:00:00"/>
    <s v=""/>
    <x v="6"/>
    <x v="0"/>
  </r>
  <r>
    <n v="30692559222"/>
    <n v="237"/>
    <d v="2034-12-20T00:00:00"/>
    <s v=""/>
    <x v="6"/>
    <x v="0"/>
  </r>
  <r>
    <n v="22488346953"/>
    <n v="326"/>
    <d v="2034-12-20T00:00:00"/>
    <s v=""/>
    <x v="6"/>
    <x v="0"/>
  </r>
  <r>
    <n v="60241456803"/>
    <n v="112"/>
    <d v="2034-12-20T00:00:00"/>
    <s v=""/>
    <x v="6"/>
    <x v="0"/>
  </r>
  <r>
    <n v="78159882775"/>
    <n v="319"/>
    <d v="2034-12-20T00:00:00"/>
    <m/>
    <x v="6"/>
    <x v="0"/>
  </r>
  <r>
    <n v="12352494217"/>
    <n v="183"/>
    <d v="2034-12-20T00:00:00"/>
    <s v=""/>
    <x v="6"/>
    <x v="0"/>
  </r>
  <r>
    <n v="20770495709"/>
    <n v="227"/>
    <d v="2034-12-21T00:00:00"/>
    <s v=""/>
    <x v="6"/>
    <x v="0"/>
  </r>
  <r>
    <n v="78938249106"/>
    <n v="122"/>
    <d v="2034-12-21T00:00:00"/>
    <s v=""/>
    <x v="6"/>
    <x v="0"/>
  </r>
  <r>
    <n v="99168803075"/>
    <n v="261"/>
    <d v="2034-12-21T00:00:00"/>
    <s v=""/>
    <x v="6"/>
    <x v="0"/>
  </r>
  <r>
    <n v="42208072235"/>
    <n v="332"/>
    <d v="2034-12-21T00:00:00"/>
    <s v=""/>
    <x v="6"/>
    <x v="0"/>
  </r>
  <r>
    <n v="94467171709"/>
    <n v="83"/>
    <d v="2034-12-21T00:00:00"/>
    <m/>
    <x v="6"/>
    <x v="0"/>
  </r>
  <r>
    <n v="20762297407"/>
    <n v="27"/>
    <d v="2034-12-21T00:00:00"/>
    <s v=""/>
    <x v="6"/>
    <x v="0"/>
  </r>
  <r>
    <n v="45260880510"/>
    <n v="123"/>
    <d v="2034-12-21T00:00:00"/>
    <s v=""/>
    <x v="6"/>
    <x v="0"/>
  </r>
  <r>
    <n v="12380800726"/>
    <n v="323"/>
    <d v="2034-12-21T00:00:00"/>
    <s v=""/>
    <x v="6"/>
    <x v="0"/>
  </r>
  <r>
    <n v="30657489616"/>
    <n v="58"/>
    <d v="2034-12-21T00:00:00"/>
    <s v=""/>
    <x v="6"/>
    <x v="0"/>
  </r>
  <r>
    <n v="74978472658"/>
    <n v="175"/>
    <d v="2034-12-21T00:00:00"/>
    <s v=""/>
    <x v="6"/>
    <x v="0"/>
  </r>
  <r>
    <n v="80958908095"/>
    <n v="29"/>
    <d v="2034-12-21T00:00:00"/>
    <s v=""/>
    <x v="6"/>
    <x v="0"/>
  </r>
  <r>
    <n v="17800440729"/>
    <n v="259"/>
    <d v="2034-12-21T00:00:00"/>
    <m/>
    <x v="6"/>
    <x v="0"/>
  </r>
  <r>
    <n v="21747112461"/>
    <n v="233"/>
    <d v="2034-12-21T00:00:00"/>
    <s v=""/>
    <x v="6"/>
    <x v="0"/>
  </r>
  <r>
    <n v="52681334752"/>
    <n v="173"/>
    <d v="2034-12-21T00:00:00"/>
    <s v=""/>
    <x v="6"/>
    <x v="0"/>
  </r>
  <r>
    <n v="34399251153"/>
    <n v="61"/>
    <d v="2034-12-21T00:00:00"/>
    <m/>
    <x v="6"/>
    <x v="0"/>
  </r>
  <r>
    <n v="52228946526"/>
    <n v="292"/>
    <d v="2034-12-21T00:00:00"/>
    <s v=""/>
    <x v="6"/>
    <x v="0"/>
  </r>
  <r>
    <n v="37337263088"/>
    <n v="74"/>
    <d v="2034-12-22T00:00:00"/>
    <s v=""/>
    <x v="6"/>
    <x v="0"/>
  </r>
  <r>
    <n v="69843263707"/>
    <n v="53"/>
    <d v="2034-12-22T00:00:00"/>
    <s v=""/>
    <x v="6"/>
    <x v="0"/>
  </r>
  <r>
    <n v="99881292073"/>
    <n v="300"/>
    <d v="2034-12-22T00:00:00"/>
    <s v=""/>
    <x v="6"/>
    <x v="0"/>
  </r>
  <r>
    <n v="69419568107"/>
    <n v="57"/>
    <d v="2034-12-22T00:00:00"/>
    <d v="2035-01-28T00:00:00"/>
    <x v="6"/>
    <x v="8"/>
  </r>
  <r>
    <n v="18174821086"/>
    <n v="314"/>
    <d v="2034-12-22T00:00:00"/>
    <s v=""/>
    <x v="6"/>
    <x v="0"/>
  </r>
  <r>
    <n v="17031606503"/>
    <n v="38"/>
    <d v="2034-12-22T00:00:00"/>
    <m/>
    <x v="6"/>
    <x v="0"/>
  </r>
  <r>
    <n v="99021774450"/>
    <n v="58"/>
    <d v="2034-12-22T00:00:00"/>
    <m/>
    <x v="6"/>
    <x v="0"/>
  </r>
  <r>
    <n v="77645252410"/>
    <n v="8"/>
    <d v="2034-12-22T00:00:00"/>
    <d v="2035-02-01T00:00:00"/>
    <x v="6"/>
    <x v="9"/>
  </r>
  <r>
    <n v="98455725514"/>
    <n v="174"/>
    <d v="2034-12-22T00:00:00"/>
    <s v=""/>
    <x v="6"/>
    <x v="0"/>
  </r>
  <r>
    <n v="96073073933"/>
    <n v="131"/>
    <d v="2034-12-22T00:00:00"/>
    <s v=""/>
    <x v="6"/>
    <x v="0"/>
  </r>
  <r>
    <n v="93588149535"/>
    <n v="221"/>
    <d v="2034-12-22T00:00:00"/>
    <s v=""/>
    <x v="6"/>
    <x v="0"/>
  </r>
  <r>
    <n v="52823385876"/>
    <n v="169"/>
    <d v="2034-12-22T00:00:00"/>
    <s v=""/>
    <x v="6"/>
    <x v="0"/>
  </r>
  <r>
    <n v="96406204455"/>
    <n v="206"/>
    <d v="2034-12-22T00:00:00"/>
    <m/>
    <x v="6"/>
    <x v="0"/>
  </r>
  <r>
    <n v="79555861804"/>
    <n v="20"/>
    <d v="2034-12-22T00:00:00"/>
    <s v=""/>
    <x v="6"/>
    <x v="0"/>
  </r>
  <r>
    <n v="39936323255"/>
    <n v="204"/>
    <d v="2034-12-22T00:00:00"/>
    <s v=""/>
    <x v="6"/>
    <x v="0"/>
  </r>
  <r>
    <n v="72757610566"/>
    <n v="4"/>
    <d v="2034-12-22T00:00:00"/>
    <s v=""/>
    <x v="6"/>
    <x v="0"/>
  </r>
  <r>
    <n v="95926624201"/>
    <n v="196"/>
    <d v="2034-12-22T00:00:00"/>
    <s v=""/>
    <x v="6"/>
    <x v="0"/>
  </r>
  <r>
    <n v="69998495905"/>
    <n v="119"/>
    <d v="2034-12-22T00:00:00"/>
    <s v=""/>
    <x v="6"/>
    <x v="0"/>
  </r>
  <r>
    <n v="71513555131"/>
    <n v="129"/>
    <d v="2034-12-22T00:00:00"/>
    <s v=""/>
    <x v="6"/>
    <x v="0"/>
  </r>
  <r>
    <n v="58622053383"/>
    <n v="80"/>
    <d v="2034-12-22T00:00:00"/>
    <s v=""/>
    <x v="6"/>
    <x v="0"/>
  </r>
  <r>
    <n v="85044647536"/>
    <n v="320"/>
    <d v="2034-12-22T00:00:00"/>
    <s v=""/>
    <x v="6"/>
    <x v="0"/>
  </r>
  <r>
    <n v="13024795103"/>
    <n v="110"/>
    <d v="2034-12-22T00:00:00"/>
    <s v=""/>
    <x v="6"/>
    <x v="0"/>
  </r>
  <r>
    <n v="64302980735"/>
    <n v="223"/>
    <d v="2034-12-22T00:00:00"/>
    <s v=""/>
    <x v="6"/>
    <x v="0"/>
  </r>
  <r>
    <n v="74019722881"/>
    <n v="281"/>
    <d v="2034-12-22T00:00:00"/>
    <s v=""/>
    <x v="6"/>
    <x v="0"/>
  </r>
  <r>
    <n v="19091084795"/>
    <n v="50"/>
    <d v="2034-12-22T00:00:00"/>
    <s v=""/>
    <x v="6"/>
    <x v="0"/>
  </r>
  <r>
    <n v="17050301928"/>
    <n v="206"/>
    <d v="2034-12-23T00:00:00"/>
    <s v=""/>
    <x v="6"/>
    <x v="0"/>
  </r>
  <r>
    <n v="41664598332"/>
    <n v="321"/>
    <d v="2034-12-23T00:00:00"/>
    <s v=""/>
    <x v="6"/>
    <x v="0"/>
  </r>
  <r>
    <n v="37077022405"/>
    <n v="187"/>
    <d v="2034-12-23T00:00:00"/>
    <s v=""/>
    <x v="6"/>
    <x v="0"/>
  </r>
  <r>
    <n v="49476406224"/>
    <n v="122"/>
    <d v="2034-12-23T00:00:00"/>
    <s v=""/>
    <x v="6"/>
    <x v="0"/>
  </r>
  <r>
    <n v="53167277790"/>
    <n v="227"/>
    <d v="2034-12-23T00:00:00"/>
    <s v=""/>
    <x v="6"/>
    <x v="0"/>
  </r>
  <r>
    <n v="84068503891"/>
    <n v="230"/>
    <d v="2034-12-23T00:00:00"/>
    <s v=""/>
    <x v="6"/>
    <x v="0"/>
  </r>
  <r>
    <n v="61846586896"/>
    <n v="176"/>
    <d v="2034-12-23T00:00:00"/>
    <m/>
    <x v="6"/>
    <x v="0"/>
  </r>
  <r>
    <n v="42625750783"/>
    <n v="270"/>
    <d v="2034-12-23T00:00:00"/>
    <m/>
    <x v="6"/>
    <x v="0"/>
  </r>
  <r>
    <n v="55158656640"/>
    <n v="309"/>
    <d v="2034-12-23T00:00:00"/>
    <s v=""/>
    <x v="6"/>
    <x v="0"/>
  </r>
  <r>
    <n v="63920158498"/>
    <n v="332"/>
    <d v="2034-12-23T00:00:00"/>
    <d v="2035-01-06T00:00:00"/>
    <x v="6"/>
    <x v="8"/>
  </r>
  <r>
    <n v="98316566389"/>
    <n v="76"/>
    <d v="2034-12-23T00:00:00"/>
    <s v=""/>
    <x v="6"/>
    <x v="0"/>
  </r>
  <r>
    <n v="40663361798"/>
    <n v="172"/>
    <d v="2034-12-23T00:00:00"/>
    <s v=""/>
    <x v="6"/>
    <x v="0"/>
  </r>
  <r>
    <n v="85759992341"/>
    <n v="92"/>
    <d v="2034-12-23T00:00:00"/>
    <s v=""/>
    <x v="6"/>
    <x v="0"/>
  </r>
  <r>
    <n v="54854676020"/>
    <n v="49"/>
    <d v="2034-12-23T00:00:00"/>
    <m/>
    <x v="6"/>
    <x v="0"/>
  </r>
  <r>
    <n v="82176720217"/>
    <n v="340"/>
    <d v="2034-12-23T00:00:00"/>
    <d v="2035-01-02T00:00:00"/>
    <x v="6"/>
    <x v="8"/>
  </r>
  <r>
    <n v="49718769879"/>
    <n v="200"/>
    <d v="2034-12-23T00:00:00"/>
    <s v=""/>
    <x v="6"/>
    <x v="0"/>
  </r>
  <r>
    <n v="77864343873"/>
    <n v="192"/>
    <d v="2034-12-23T00:00:00"/>
    <s v=""/>
    <x v="6"/>
    <x v="0"/>
  </r>
  <r>
    <n v="60935697020"/>
    <n v="234"/>
    <d v="2034-12-23T00:00:00"/>
    <s v=""/>
    <x v="6"/>
    <x v="0"/>
  </r>
  <r>
    <n v="73672352434"/>
    <n v="246"/>
    <d v="2034-12-23T00:00:00"/>
    <d v="2035-01-31T00:00:00"/>
    <x v="6"/>
    <x v="8"/>
  </r>
  <r>
    <n v="85248329840"/>
    <n v="201"/>
    <d v="2034-12-23T00:00:00"/>
    <s v=""/>
    <x v="6"/>
    <x v="0"/>
  </r>
  <r>
    <n v="98423003462"/>
    <n v="327"/>
    <d v="2034-12-23T00:00:00"/>
    <s v=""/>
    <x v="6"/>
    <x v="0"/>
  </r>
  <r>
    <n v="83053253940"/>
    <n v="76"/>
    <d v="2034-12-24T00:00:00"/>
    <s v=""/>
    <x v="6"/>
    <x v="0"/>
  </r>
  <r>
    <n v="60236226804"/>
    <n v="41"/>
    <d v="2034-12-24T00:00:00"/>
    <d v="2034-12-26T00:00:00"/>
    <x v="6"/>
    <x v="7"/>
  </r>
  <r>
    <n v="65084796193"/>
    <n v="127"/>
    <d v="2034-12-24T00:00:00"/>
    <s v=""/>
    <x v="6"/>
    <x v="0"/>
  </r>
  <r>
    <n v="98087884419"/>
    <n v="152"/>
    <d v="2034-12-24T00:00:00"/>
    <m/>
    <x v="6"/>
    <x v="0"/>
  </r>
  <r>
    <n v="37673168739"/>
    <n v="126"/>
    <d v="2034-12-24T00:00:00"/>
    <s v=""/>
    <x v="6"/>
    <x v="0"/>
  </r>
  <r>
    <n v="31168533817"/>
    <n v="230"/>
    <d v="2034-12-24T00:00:00"/>
    <s v=""/>
    <x v="6"/>
    <x v="0"/>
  </r>
  <r>
    <n v="47920174875"/>
    <n v="290"/>
    <d v="2034-12-24T00:00:00"/>
    <m/>
    <x v="6"/>
    <x v="0"/>
  </r>
  <r>
    <n v="25373337030"/>
    <n v="158"/>
    <d v="2034-12-24T00:00:00"/>
    <s v=""/>
    <x v="6"/>
    <x v="0"/>
  </r>
  <r>
    <n v="85536917444"/>
    <n v="52"/>
    <d v="2034-12-24T00:00:00"/>
    <m/>
    <x v="6"/>
    <x v="0"/>
  </r>
  <r>
    <n v="54197701148"/>
    <n v="259"/>
    <d v="2034-12-24T00:00:00"/>
    <d v="2034-12-31T00:00:00"/>
    <x v="6"/>
    <x v="7"/>
  </r>
  <r>
    <n v="79363536692"/>
    <n v="45"/>
    <d v="2034-12-24T00:00:00"/>
    <s v=""/>
    <x v="6"/>
    <x v="0"/>
  </r>
  <r>
    <n v="72679162495"/>
    <n v="138"/>
    <d v="2034-12-24T00:00:00"/>
    <s v=""/>
    <x v="6"/>
    <x v="0"/>
  </r>
  <r>
    <n v="28644377972"/>
    <n v="149"/>
    <d v="2034-12-24T00:00:00"/>
    <s v=""/>
    <x v="6"/>
    <x v="0"/>
  </r>
  <r>
    <n v="76552561369"/>
    <n v="228"/>
    <d v="2034-12-24T00:00:00"/>
    <m/>
    <x v="6"/>
    <x v="0"/>
  </r>
  <r>
    <n v="42977992066"/>
    <n v="67"/>
    <d v="2034-12-24T00:00:00"/>
    <m/>
    <x v="6"/>
    <x v="0"/>
  </r>
  <r>
    <n v="44720686082"/>
    <n v="330"/>
    <d v="2034-12-24T00:00:00"/>
    <m/>
    <x v="6"/>
    <x v="0"/>
  </r>
  <r>
    <n v="61680260172"/>
    <n v="273"/>
    <d v="2034-12-24T00:00:00"/>
    <s v=""/>
    <x v="6"/>
    <x v="0"/>
  </r>
  <r>
    <n v="41759245487"/>
    <n v="0"/>
    <d v="2034-12-24T00:00:00"/>
    <s v=""/>
    <x v="6"/>
    <x v="0"/>
  </r>
  <r>
    <n v="12156536147"/>
    <n v="26"/>
    <d v="2034-12-24T00:00:00"/>
    <s v=""/>
    <x v="6"/>
    <x v="0"/>
  </r>
  <r>
    <n v="96075573612"/>
    <n v="192"/>
    <d v="2034-12-24T00:00:00"/>
    <s v=""/>
    <x v="6"/>
    <x v="0"/>
  </r>
  <r>
    <n v="51369741156"/>
    <n v="274"/>
    <d v="2034-12-24T00:00:00"/>
    <s v=""/>
    <x v="6"/>
    <x v="0"/>
  </r>
  <r>
    <n v="78762366693"/>
    <n v="2"/>
    <d v="2034-12-24T00:00:00"/>
    <d v="2035-01-26T00:00:00"/>
    <x v="6"/>
    <x v="8"/>
  </r>
  <r>
    <n v="49788980714"/>
    <n v="309"/>
    <d v="2034-12-24T00:00:00"/>
    <m/>
    <x v="6"/>
    <x v="0"/>
  </r>
  <r>
    <n v="14179992202"/>
    <n v="130"/>
    <d v="2034-12-24T00:00:00"/>
    <s v=""/>
    <x v="6"/>
    <x v="0"/>
  </r>
  <r>
    <n v="55911326683"/>
    <n v="253"/>
    <d v="2034-12-24T00:00:00"/>
    <m/>
    <x v="6"/>
    <x v="0"/>
  </r>
  <r>
    <n v="20538250111"/>
    <n v="157"/>
    <d v="2034-12-24T00:00:00"/>
    <d v="2035-01-09T00:00:00"/>
    <x v="6"/>
    <x v="8"/>
  </r>
  <r>
    <n v="87821113027"/>
    <n v="164"/>
    <d v="2034-12-24T00:00:00"/>
    <s v=""/>
    <x v="6"/>
    <x v="0"/>
  </r>
  <r>
    <n v="43738729305"/>
    <n v="140"/>
    <d v="2034-12-24T00:00:00"/>
    <s v=""/>
    <x v="6"/>
    <x v="0"/>
  </r>
  <r>
    <n v="65779423762"/>
    <n v="295"/>
    <d v="2034-12-25T00:00:00"/>
    <d v="2035-02-01T00:00:00"/>
    <x v="6"/>
    <x v="9"/>
  </r>
  <r>
    <n v="14665596204"/>
    <n v="329"/>
    <d v="2034-12-25T00:00:00"/>
    <m/>
    <x v="6"/>
    <x v="0"/>
  </r>
  <r>
    <n v="82275797964"/>
    <n v="155"/>
    <d v="2034-12-25T00:00:00"/>
    <s v=""/>
    <x v="6"/>
    <x v="0"/>
  </r>
  <r>
    <n v="85616472608"/>
    <n v="193"/>
    <d v="2034-12-25T00:00:00"/>
    <s v=""/>
    <x v="6"/>
    <x v="0"/>
  </r>
  <r>
    <n v="35212387306"/>
    <n v="312"/>
    <d v="2034-12-25T00:00:00"/>
    <s v=""/>
    <x v="6"/>
    <x v="0"/>
  </r>
  <r>
    <n v="34725844026"/>
    <n v="81"/>
    <d v="2034-12-25T00:00:00"/>
    <s v=""/>
    <x v="6"/>
    <x v="0"/>
  </r>
  <r>
    <n v="77313234900"/>
    <n v="129"/>
    <d v="2034-12-25T00:00:00"/>
    <m/>
    <x v="6"/>
    <x v="0"/>
  </r>
  <r>
    <n v="82557092333"/>
    <n v="170"/>
    <d v="2034-12-25T00:00:00"/>
    <s v=""/>
    <x v="6"/>
    <x v="0"/>
  </r>
  <r>
    <n v="76336855301"/>
    <n v="202"/>
    <d v="2034-12-25T00:00:00"/>
    <s v=""/>
    <x v="6"/>
    <x v="0"/>
  </r>
  <r>
    <n v="97631003005"/>
    <n v="229"/>
    <d v="2034-12-25T00:00:00"/>
    <s v=""/>
    <x v="6"/>
    <x v="0"/>
  </r>
  <r>
    <n v="11364461428"/>
    <n v="224"/>
    <d v="2034-12-25T00:00:00"/>
    <s v=""/>
    <x v="6"/>
    <x v="0"/>
  </r>
  <r>
    <n v="90298713558"/>
    <n v="339"/>
    <d v="2034-12-25T00:00:00"/>
    <s v=""/>
    <x v="6"/>
    <x v="0"/>
  </r>
  <r>
    <n v="61862795311"/>
    <n v="216"/>
    <d v="2034-12-25T00:00:00"/>
    <m/>
    <x v="6"/>
    <x v="0"/>
  </r>
  <r>
    <n v="92892054047"/>
    <n v="43"/>
    <d v="2034-12-25T00:00:00"/>
    <s v=""/>
    <x v="6"/>
    <x v="0"/>
  </r>
  <r>
    <n v="60254847051"/>
    <n v="242"/>
    <d v="2034-12-25T00:00:00"/>
    <s v=""/>
    <x v="6"/>
    <x v="0"/>
  </r>
  <r>
    <n v="67821266849"/>
    <n v="270"/>
    <d v="2034-12-25T00:00:00"/>
    <s v=""/>
    <x v="6"/>
    <x v="0"/>
  </r>
  <r>
    <n v="89706208060"/>
    <n v="97"/>
    <d v="2034-12-25T00:00:00"/>
    <s v=""/>
    <x v="6"/>
    <x v="0"/>
  </r>
  <r>
    <n v="81312184649"/>
    <n v="258"/>
    <d v="2034-12-25T00:00:00"/>
    <s v=""/>
    <x v="6"/>
    <x v="0"/>
  </r>
  <r>
    <n v="82737055901"/>
    <n v="171"/>
    <d v="2034-12-25T00:00:00"/>
    <d v="2035-01-19T00:00:00"/>
    <x v="6"/>
    <x v="8"/>
  </r>
  <r>
    <n v="79667771630"/>
    <n v="189"/>
    <d v="2034-12-25T00:00:00"/>
    <s v=""/>
    <x v="6"/>
    <x v="0"/>
  </r>
  <r>
    <n v="80462125848"/>
    <n v="210"/>
    <d v="2034-12-25T00:00:00"/>
    <m/>
    <x v="6"/>
    <x v="0"/>
  </r>
  <r>
    <n v="77014543954"/>
    <n v="70"/>
    <d v="2034-12-25T00:00:00"/>
    <m/>
    <x v="6"/>
    <x v="0"/>
  </r>
  <r>
    <n v="57478889023"/>
    <n v="27"/>
    <d v="2034-12-25T00:00:00"/>
    <s v=""/>
    <x v="6"/>
    <x v="0"/>
  </r>
  <r>
    <n v="31769625931"/>
    <n v="162"/>
    <d v="2034-12-25T00:00:00"/>
    <s v=""/>
    <x v="6"/>
    <x v="0"/>
  </r>
  <r>
    <n v="73989872093"/>
    <n v="267"/>
    <d v="2034-12-25T00:00:00"/>
    <d v="2035-01-15T00:00:00"/>
    <x v="6"/>
    <x v="8"/>
  </r>
  <r>
    <n v="15983451570"/>
    <n v="17"/>
    <d v="2034-12-25T00:00:00"/>
    <d v="2035-01-16T00:00:00"/>
    <x v="6"/>
    <x v="8"/>
  </r>
  <r>
    <n v="54608634000"/>
    <n v="11"/>
    <d v="2034-12-25T00:00:00"/>
    <s v=""/>
    <x v="6"/>
    <x v="0"/>
  </r>
  <r>
    <n v="86134241891"/>
    <n v="308"/>
    <d v="2034-12-25T00:00:00"/>
    <d v="2035-01-09T00:00:00"/>
    <x v="6"/>
    <x v="8"/>
  </r>
  <r>
    <n v="31413605097"/>
    <n v="59"/>
    <d v="2034-12-25T00:00:00"/>
    <s v=""/>
    <x v="6"/>
    <x v="0"/>
  </r>
  <r>
    <n v="56330054903"/>
    <n v="93"/>
    <d v="2034-12-26T00:00:00"/>
    <m/>
    <x v="6"/>
    <x v="0"/>
  </r>
  <r>
    <n v="68029407313"/>
    <n v="295"/>
    <d v="2034-12-26T00:00:00"/>
    <s v=""/>
    <x v="6"/>
    <x v="0"/>
  </r>
  <r>
    <n v="88431379349"/>
    <n v="69"/>
    <d v="2034-12-26T00:00:00"/>
    <s v=""/>
    <x v="6"/>
    <x v="0"/>
  </r>
  <r>
    <n v="38660805352"/>
    <n v="72"/>
    <d v="2034-12-26T00:00:00"/>
    <d v="2035-01-06T00:00:00"/>
    <x v="6"/>
    <x v="8"/>
  </r>
  <r>
    <n v="88192418195"/>
    <n v="225"/>
    <d v="2034-12-26T00:00:00"/>
    <s v=""/>
    <x v="6"/>
    <x v="0"/>
  </r>
  <r>
    <n v="75256707875"/>
    <n v="104"/>
    <d v="2034-12-26T00:00:00"/>
    <s v=""/>
    <x v="6"/>
    <x v="0"/>
  </r>
  <r>
    <n v="16582190176"/>
    <n v="120"/>
    <d v="2034-12-26T00:00:00"/>
    <s v=""/>
    <x v="6"/>
    <x v="0"/>
  </r>
  <r>
    <n v="81521458532"/>
    <n v="67"/>
    <d v="2034-12-26T00:00:00"/>
    <s v=""/>
    <x v="6"/>
    <x v="0"/>
  </r>
  <r>
    <n v="39556130617"/>
    <n v="45"/>
    <d v="2034-12-26T00:00:00"/>
    <s v=""/>
    <x v="6"/>
    <x v="0"/>
  </r>
  <r>
    <n v="78355546812"/>
    <n v="61"/>
    <d v="2034-12-26T00:00:00"/>
    <m/>
    <x v="6"/>
    <x v="0"/>
  </r>
  <r>
    <n v="28547380248"/>
    <n v="257"/>
    <d v="2034-12-26T00:00:00"/>
    <d v="2035-01-12T00:00:00"/>
    <x v="6"/>
    <x v="8"/>
  </r>
  <r>
    <n v="32700707165"/>
    <n v="35"/>
    <d v="2034-12-26T00:00:00"/>
    <s v=""/>
    <x v="6"/>
    <x v="0"/>
  </r>
  <r>
    <n v="26881306508"/>
    <n v="17"/>
    <d v="2034-12-26T00:00:00"/>
    <s v=""/>
    <x v="6"/>
    <x v="0"/>
  </r>
  <r>
    <n v="41874854472"/>
    <n v="78"/>
    <d v="2034-12-26T00:00:00"/>
    <s v=""/>
    <x v="6"/>
    <x v="0"/>
  </r>
  <r>
    <n v="48363947069"/>
    <n v="66"/>
    <d v="2034-12-26T00:00:00"/>
    <s v=""/>
    <x v="6"/>
    <x v="0"/>
  </r>
  <r>
    <n v="29231711986"/>
    <n v="235"/>
    <d v="2034-12-26T00:00:00"/>
    <m/>
    <x v="6"/>
    <x v="0"/>
  </r>
  <r>
    <n v="18816217669"/>
    <n v="333"/>
    <d v="2034-12-26T00:00:00"/>
    <s v=""/>
    <x v="6"/>
    <x v="0"/>
  </r>
  <r>
    <n v="17074645514"/>
    <n v="41"/>
    <d v="2034-12-26T00:00:00"/>
    <s v=""/>
    <x v="6"/>
    <x v="0"/>
  </r>
  <r>
    <n v="65359903933"/>
    <n v="95"/>
    <d v="2034-12-26T00:00:00"/>
    <m/>
    <x v="6"/>
    <x v="0"/>
  </r>
  <r>
    <n v="12712046433"/>
    <n v="135"/>
    <d v="2034-12-26T00:00:00"/>
    <s v=""/>
    <x v="6"/>
    <x v="0"/>
  </r>
  <r>
    <n v="74761648583"/>
    <n v="122"/>
    <d v="2034-12-26T00:00:00"/>
    <s v=""/>
    <x v="6"/>
    <x v="0"/>
  </r>
  <r>
    <n v="21677850109"/>
    <n v="118"/>
    <d v="2034-12-26T00:00:00"/>
    <s v=""/>
    <x v="6"/>
    <x v="0"/>
  </r>
  <r>
    <n v="87910793775"/>
    <n v="212"/>
    <d v="2034-12-26T00:00:00"/>
    <s v=""/>
    <x v="6"/>
    <x v="0"/>
  </r>
  <r>
    <n v="74352924924"/>
    <n v="29"/>
    <d v="2034-12-26T00:00:00"/>
    <s v=""/>
    <x v="6"/>
    <x v="0"/>
  </r>
  <r>
    <n v="52456987421"/>
    <n v="41"/>
    <d v="2034-12-26T00:00:00"/>
    <d v="2035-01-30T00:00:00"/>
    <x v="6"/>
    <x v="8"/>
  </r>
  <r>
    <n v="74584124877"/>
    <n v="17"/>
    <d v="2034-12-26T00:00:00"/>
    <s v=""/>
    <x v="6"/>
    <x v="0"/>
  </r>
  <r>
    <n v="48191970612"/>
    <n v="148"/>
    <d v="2034-12-26T00:00:00"/>
    <m/>
    <x v="6"/>
    <x v="0"/>
  </r>
  <r>
    <n v="38884278985"/>
    <n v="191"/>
    <d v="2034-12-26T00:00:00"/>
    <d v="2035-01-17T00:00:00"/>
    <x v="6"/>
    <x v="8"/>
  </r>
  <r>
    <n v="81040825329"/>
    <n v="250"/>
    <d v="2034-12-26T00:00:00"/>
    <s v=""/>
    <x v="6"/>
    <x v="0"/>
  </r>
  <r>
    <n v="55389276774"/>
    <n v="119"/>
    <d v="2034-12-26T00:00:00"/>
    <s v=""/>
    <x v="6"/>
    <x v="0"/>
  </r>
  <r>
    <n v="30053422823"/>
    <n v="25"/>
    <d v="2034-12-26T00:00:00"/>
    <s v=""/>
    <x v="6"/>
    <x v="0"/>
  </r>
  <r>
    <n v="57520953636"/>
    <n v="327"/>
    <d v="2034-12-27T00:00:00"/>
    <d v="2035-01-29T00:00:00"/>
    <x v="6"/>
    <x v="8"/>
  </r>
  <r>
    <n v="94131833209"/>
    <n v="153"/>
    <d v="2034-12-27T00:00:00"/>
    <s v=""/>
    <x v="6"/>
    <x v="0"/>
  </r>
  <r>
    <n v="45020000514"/>
    <n v="24"/>
    <d v="2034-12-27T00:00:00"/>
    <m/>
    <x v="6"/>
    <x v="0"/>
  </r>
  <r>
    <n v="34584596303"/>
    <n v="339"/>
    <d v="2034-12-27T00:00:00"/>
    <s v=""/>
    <x v="6"/>
    <x v="0"/>
  </r>
  <r>
    <n v="63899907711"/>
    <n v="70"/>
    <d v="2034-12-27T00:00:00"/>
    <s v=""/>
    <x v="6"/>
    <x v="0"/>
  </r>
  <r>
    <n v="41643802120"/>
    <n v="110"/>
    <d v="2034-12-27T00:00:00"/>
    <m/>
    <x v="6"/>
    <x v="0"/>
  </r>
  <r>
    <n v="95205002946"/>
    <n v="222"/>
    <d v="2034-12-27T00:00:00"/>
    <s v=""/>
    <x v="6"/>
    <x v="0"/>
  </r>
  <r>
    <n v="65244060965"/>
    <n v="171"/>
    <d v="2034-12-27T00:00:00"/>
    <s v=""/>
    <x v="6"/>
    <x v="0"/>
  </r>
  <r>
    <n v="25922347457"/>
    <n v="47"/>
    <d v="2034-12-27T00:00:00"/>
    <s v=""/>
    <x v="6"/>
    <x v="0"/>
  </r>
  <r>
    <n v="87469437960"/>
    <n v="250"/>
    <d v="2034-12-27T00:00:00"/>
    <s v=""/>
    <x v="6"/>
    <x v="0"/>
  </r>
  <r>
    <n v="42168593894"/>
    <n v="120"/>
    <d v="2034-12-27T00:00:00"/>
    <s v=""/>
    <x v="6"/>
    <x v="0"/>
  </r>
  <r>
    <n v="41902730385"/>
    <n v="11"/>
    <d v="2034-12-27T00:00:00"/>
    <s v=""/>
    <x v="6"/>
    <x v="0"/>
  </r>
  <r>
    <n v="81452714488"/>
    <n v="247"/>
    <d v="2034-12-27T00:00:00"/>
    <s v=""/>
    <x v="6"/>
    <x v="0"/>
  </r>
  <r>
    <n v="69914794522"/>
    <n v="8"/>
    <d v="2034-12-27T00:00:00"/>
    <s v=""/>
    <x v="6"/>
    <x v="0"/>
  </r>
  <r>
    <n v="58450424981"/>
    <n v="273"/>
    <d v="2034-12-27T00:00:00"/>
    <s v=""/>
    <x v="6"/>
    <x v="0"/>
  </r>
  <r>
    <n v="50737135317"/>
    <n v="128"/>
    <d v="2034-12-27T00:00:00"/>
    <s v=""/>
    <x v="6"/>
    <x v="0"/>
  </r>
  <r>
    <n v="29257125431"/>
    <n v="68"/>
    <d v="2034-12-27T00:00:00"/>
    <s v=""/>
    <x v="6"/>
    <x v="0"/>
  </r>
  <r>
    <n v="91196276597"/>
    <n v="247"/>
    <d v="2034-12-28T00:00:00"/>
    <s v=""/>
    <x v="6"/>
    <x v="0"/>
  </r>
  <r>
    <n v="82112206633"/>
    <n v="210"/>
    <d v="2034-12-28T00:00:00"/>
    <s v=""/>
    <x v="6"/>
    <x v="0"/>
  </r>
  <r>
    <n v="81244488119"/>
    <n v="213"/>
    <d v="2034-12-28T00:00:00"/>
    <m/>
    <x v="6"/>
    <x v="0"/>
  </r>
  <r>
    <n v="65628851954"/>
    <n v="221"/>
    <d v="2034-12-28T00:00:00"/>
    <m/>
    <x v="6"/>
    <x v="0"/>
  </r>
  <r>
    <n v="30418681640"/>
    <n v="293"/>
    <d v="2034-12-28T00:00:00"/>
    <s v=""/>
    <x v="6"/>
    <x v="0"/>
  </r>
  <r>
    <n v="65132581623"/>
    <n v="217"/>
    <d v="2034-12-28T00:00:00"/>
    <d v="2035-01-21T00:00:00"/>
    <x v="6"/>
    <x v="8"/>
  </r>
  <r>
    <n v="85858159258"/>
    <n v="295"/>
    <d v="2034-12-28T00:00:00"/>
    <s v=""/>
    <x v="6"/>
    <x v="0"/>
  </r>
  <r>
    <n v="97813000293"/>
    <n v="260"/>
    <d v="2034-12-28T00:00:00"/>
    <m/>
    <x v="6"/>
    <x v="0"/>
  </r>
  <r>
    <n v="54376289208"/>
    <n v="40"/>
    <d v="2034-12-28T00:00:00"/>
    <s v=""/>
    <x v="6"/>
    <x v="0"/>
  </r>
  <r>
    <n v="74741652677"/>
    <n v="290"/>
    <d v="2034-12-28T00:00:00"/>
    <s v=""/>
    <x v="6"/>
    <x v="0"/>
  </r>
  <r>
    <n v="31883715867"/>
    <n v="315"/>
    <d v="2034-12-28T00:00:00"/>
    <s v=""/>
    <x v="6"/>
    <x v="0"/>
  </r>
  <r>
    <n v="29242960253"/>
    <n v="25"/>
    <d v="2034-12-28T00:00:00"/>
    <d v="2035-01-21T00:00:00"/>
    <x v="6"/>
    <x v="8"/>
  </r>
  <r>
    <n v="85040595644"/>
    <n v="245"/>
    <d v="2034-12-28T00:00:00"/>
    <d v="2035-01-24T00:00:00"/>
    <x v="6"/>
    <x v="8"/>
  </r>
  <r>
    <n v="49604456322"/>
    <n v="217"/>
    <d v="2034-12-28T00:00:00"/>
    <d v="2035-01-30T00:00:00"/>
    <x v="6"/>
    <x v="8"/>
  </r>
  <r>
    <n v="96285913278"/>
    <n v="290"/>
    <d v="2034-12-28T00:00:00"/>
    <s v=""/>
    <x v="6"/>
    <x v="0"/>
  </r>
  <r>
    <n v="17246432333"/>
    <n v="263"/>
    <d v="2034-12-28T00:00:00"/>
    <s v=""/>
    <x v="6"/>
    <x v="0"/>
  </r>
  <r>
    <n v="21072963024"/>
    <n v="319"/>
    <d v="2034-12-28T00:00:00"/>
    <s v=""/>
    <x v="6"/>
    <x v="0"/>
  </r>
  <r>
    <n v="23238064782"/>
    <n v="141"/>
    <d v="2034-12-28T00:00:00"/>
    <s v=""/>
    <x v="6"/>
    <x v="0"/>
  </r>
  <r>
    <n v="50188452386"/>
    <n v="142"/>
    <d v="2034-12-28T00:00:00"/>
    <m/>
    <x v="6"/>
    <x v="0"/>
  </r>
  <r>
    <n v="62977211362"/>
    <n v="7"/>
    <d v="2034-12-28T00:00:00"/>
    <s v=""/>
    <x v="6"/>
    <x v="0"/>
  </r>
  <r>
    <n v="48088930235"/>
    <n v="21"/>
    <d v="2034-12-28T00:00:00"/>
    <s v=""/>
    <x v="6"/>
    <x v="0"/>
  </r>
  <r>
    <n v="47630689458"/>
    <n v="60"/>
    <d v="2034-12-28T00:00:00"/>
    <d v="2035-01-04T00:00:00"/>
    <x v="6"/>
    <x v="8"/>
  </r>
  <r>
    <n v="91812691201"/>
    <n v="146"/>
    <d v="2034-12-28T00:00:00"/>
    <s v=""/>
    <x v="6"/>
    <x v="0"/>
  </r>
  <r>
    <n v="47989648809"/>
    <n v="5"/>
    <d v="2034-12-28T00:00:00"/>
    <s v=""/>
    <x v="6"/>
    <x v="0"/>
  </r>
  <r>
    <n v="28203898576"/>
    <n v="276"/>
    <d v="2034-12-28T00:00:00"/>
    <s v=""/>
    <x v="6"/>
    <x v="0"/>
  </r>
  <r>
    <n v="94980296245"/>
    <n v="104"/>
    <d v="2034-12-28T00:00:00"/>
    <s v=""/>
    <x v="6"/>
    <x v="0"/>
  </r>
  <r>
    <n v="77045446879"/>
    <n v="319"/>
    <d v="2034-12-28T00:00:00"/>
    <s v=""/>
    <x v="6"/>
    <x v="0"/>
  </r>
  <r>
    <n v="24081426990"/>
    <n v="168"/>
    <d v="2034-12-29T00:00:00"/>
    <s v=""/>
    <x v="6"/>
    <x v="0"/>
  </r>
  <r>
    <n v="62611159495"/>
    <n v="57"/>
    <d v="2034-12-29T00:00:00"/>
    <m/>
    <x v="6"/>
    <x v="0"/>
  </r>
  <r>
    <n v="49690849038"/>
    <n v="144"/>
    <d v="2034-12-29T00:00:00"/>
    <s v=""/>
    <x v="6"/>
    <x v="0"/>
  </r>
  <r>
    <n v="46814937459"/>
    <n v="85"/>
    <d v="2034-12-29T00:00:00"/>
    <s v=""/>
    <x v="6"/>
    <x v="0"/>
  </r>
  <r>
    <n v="87199059184"/>
    <n v="32"/>
    <d v="2034-12-29T00:00:00"/>
    <m/>
    <x v="6"/>
    <x v="0"/>
  </r>
  <r>
    <n v="92409934938"/>
    <n v="56"/>
    <d v="2034-12-29T00:00:00"/>
    <s v=""/>
    <x v="6"/>
    <x v="0"/>
  </r>
  <r>
    <n v="95089931346"/>
    <n v="189"/>
    <d v="2034-12-29T00:00:00"/>
    <m/>
    <x v="6"/>
    <x v="0"/>
  </r>
  <r>
    <n v="41905243730"/>
    <n v="120"/>
    <d v="2034-12-29T00:00:00"/>
    <m/>
    <x v="6"/>
    <x v="0"/>
  </r>
  <r>
    <n v="39950225810"/>
    <n v="219"/>
    <d v="2034-12-29T00:00:00"/>
    <s v=""/>
    <x v="6"/>
    <x v="0"/>
  </r>
  <r>
    <n v="60387164509"/>
    <n v="45"/>
    <d v="2034-12-29T00:00:00"/>
    <s v=""/>
    <x v="6"/>
    <x v="0"/>
  </r>
  <r>
    <n v="94329154576"/>
    <n v="231"/>
    <d v="2034-12-29T00:00:00"/>
    <m/>
    <x v="6"/>
    <x v="0"/>
  </r>
  <r>
    <n v="92233291829"/>
    <n v="276"/>
    <d v="2034-12-29T00:00:00"/>
    <s v=""/>
    <x v="6"/>
    <x v="0"/>
  </r>
  <r>
    <n v="84227591476"/>
    <n v="60"/>
    <d v="2034-12-29T00:00:00"/>
    <s v=""/>
    <x v="6"/>
    <x v="0"/>
  </r>
  <r>
    <n v="16018497532"/>
    <n v="93"/>
    <d v="2034-12-29T00:00:00"/>
    <m/>
    <x v="6"/>
    <x v="0"/>
  </r>
  <r>
    <n v="92171007558"/>
    <n v="214"/>
    <d v="2034-12-29T00:00:00"/>
    <s v=""/>
    <x v="6"/>
    <x v="0"/>
  </r>
  <r>
    <n v="84102292745"/>
    <n v="228"/>
    <d v="2034-12-29T00:00:00"/>
    <s v=""/>
    <x v="6"/>
    <x v="0"/>
  </r>
  <r>
    <n v="72441567277"/>
    <n v="320"/>
    <d v="2034-12-29T00:00:00"/>
    <s v=""/>
    <x v="6"/>
    <x v="0"/>
  </r>
  <r>
    <n v="42338283769"/>
    <n v="147"/>
    <d v="2034-12-29T00:00:00"/>
    <m/>
    <x v="6"/>
    <x v="0"/>
  </r>
  <r>
    <n v="40042700960"/>
    <n v="126"/>
    <d v="2034-12-29T00:00:00"/>
    <s v=""/>
    <x v="6"/>
    <x v="0"/>
  </r>
  <r>
    <n v="71384224482"/>
    <n v="266"/>
    <d v="2034-12-29T00:00:00"/>
    <m/>
    <x v="6"/>
    <x v="0"/>
  </r>
  <r>
    <n v="50087326569"/>
    <n v="22"/>
    <d v="2034-12-29T00:00:00"/>
    <s v=""/>
    <x v="6"/>
    <x v="0"/>
  </r>
  <r>
    <n v="61019132866"/>
    <n v="63"/>
    <d v="2034-12-29T00:00:00"/>
    <s v=""/>
    <x v="6"/>
    <x v="0"/>
  </r>
  <r>
    <n v="75362514235"/>
    <n v="304"/>
    <d v="2034-12-29T00:00:00"/>
    <s v=""/>
    <x v="6"/>
    <x v="0"/>
  </r>
  <r>
    <n v="48902094898"/>
    <n v="55"/>
    <d v="2034-12-29T00:00:00"/>
    <s v=""/>
    <x v="6"/>
    <x v="0"/>
  </r>
  <r>
    <n v="81520110621"/>
    <n v="176"/>
    <d v="2034-12-29T00:00:00"/>
    <d v="2035-01-08T00:00:00"/>
    <x v="6"/>
    <x v="8"/>
  </r>
  <r>
    <n v="49088907448"/>
    <n v="113"/>
    <d v="2034-12-29T00:00:00"/>
    <s v=""/>
    <x v="6"/>
    <x v="0"/>
  </r>
  <r>
    <n v="98626527052"/>
    <n v="264"/>
    <d v="2034-12-30T00:00:00"/>
    <s v=""/>
    <x v="6"/>
    <x v="0"/>
  </r>
  <r>
    <n v="65602798748"/>
    <n v="25"/>
    <d v="2034-12-30T00:00:00"/>
    <s v=""/>
    <x v="6"/>
    <x v="0"/>
  </r>
  <r>
    <n v="94863983791"/>
    <n v="142"/>
    <d v="2034-12-30T00:00:00"/>
    <s v=""/>
    <x v="6"/>
    <x v="0"/>
  </r>
  <r>
    <n v="62343154660"/>
    <n v="61"/>
    <d v="2034-12-30T00:00:00"/>
    <s v=""/>
    <x v="6"/>
    <x v="0"/>
  </r>
  <r>
    <n v="86362868039"/>
    <n v="204"/>
    <d v="2034-12-30T00:00:00"/>
    <s v=""/>
    <x v="6"/>
    <x v="0"/>
  </r>
  <r>
    <n v="36602870753"/>
    <n v="118"/>
    <d v="2034-12-30T00:00:00"/>
    <d v="2035-01-06T00:00:00"/>
    <x v="6"/>
    <x v="8"/>
  </r>
  <r>
    <n v="47021300592"/>
    <n v="15"/>
    <d v="2034-12-30T00:00:00"/>
    <s v=""/>
    <x v="6"/>
    <x v="0"/>
  </r>
  <r>
    <n v="29046382189"/>
    <n v="154"/>
    <d v="2034-12-30T00:00:00"/>
    <s v=""/>
    <x v="6"/>
    <x v="0"/>
  </r>
  <r>
    <n v="55160120115"/>
    <n v="205"/>
    <d v="2034-12-30T00:00:00"/>
    <s v=""/>
    <x v="6"/>
    <x v="0"/>
  </r>
  <r>
    <n v="71618594395"/>
    <n v="223"/>
    <d v="2034-12-30T00:00:00"/>
    <s v=""/>
    <x v="6"/>
    <x v="0"/>
  </r>
  <r>
    <n v="13116208817"/>
    <n v="247"/>
    <d v="2034-12-30T00:00:00"/>
    <d v="2035-01-06T00:00:00"/>
    <x v="6"/>
    <x v="8"/>
  </r>
  <r>
    <n v="44358437355"/>
    <n v="162"/>
    <d v="2034-12-30T00:00:00"/>
    <s v=""/>
    <x v="6"/>
    <x v="0"/>
  </r>
  <r>
    <n v="14595821409"/>
    <n v="236"/>
    <d v="2034-12-30T00:00:00"/>
    <s v=""/>
    <x v="6"/>
    <x v="0"/>
  </r>
  <r>
    <n v="96642308242"/>
    <n v="276"/>
    <d v="2034-12-30T00:00:00"/>
    <s v=""/>
    <x v="6"/>
    <x v="0"/>
  </r>
  <r>
    <n v="51535786717"/>
    <n v="95"/>
    <d v="2034-12-30T00:00:00"/>
    <s v=""/>
    <x v="6"/>
    <x v="0"/>
  </r>
  <r>
    <n v="14084278544"/>
    <n v="259"/>
    <d v="2034-12-30T00:00:00"/>
    <s v=""/>
    <x v="6"/>
    <x v="0"/>
  </r>
  <r>
    <n v="55969449130"/>
    <n v="231"/>
    <d v="2034-12-30T00:00:00"/>
    <s v=""/>
    <x v="6"/>
    <x v="0"/>
  </r>
  <r>
    <n v="96109464167"/>
    <n v="95"/>
    <d v="2034-12-30T00:00:00"/>
    <s v=""/>
    <x v="6"/>
    <x v="0"/>
  </r>
  <r>
    <n v="62277358072"/>
    <n v="6"/>
    <d v="2034-12-30T00:00:00"/>
    <s v=""/>
    <x v="6"/>
    <x v="0"/>
  </r>
  <r>
    <n v="23834098693"/>
    <n v="143"/>
    <d v="2034-12-30T00:00:00"/>
    <m/>
    <x v="6"/>
    <x v="0"/>
  </r>
  <r>
    <n v="81018746250"/>
    <n v="318"/>
    <d v="2034-12-30T00:00:00"/>
    <s v=""/>
    <x v="6"/>
    <x v="0"/>
  </r>
  <r>
    <n v="63780995588"/>
    <n v="263"/>
    <d v="2034-12-30T00:00:00"/>
    <s v=""/>
    <x v="6"/>
    <x v="0"/>
  </r>
  <r>
    <n v="26637319457"/>
    <n v="179"/>
    <d v="2034-12-30T00:00:00"/>
    <s v=""/>
    <x v="6"/>
    <x v="0"/>
  </r>
  <r>
    <n v="99066350204"/>
    <n v="9"/>
    <d v="2034-12-31T00:00:00"/>
    <s v=""/>
    <x v="6"/>
    <x v="0"/>
  </r>
  <r>
    <n v="63000008080"/>
    <n v="64"/>
    <d v="2034-12-31T00:00:00"/>
    <m/>
    <x v="6"/>
    <x v="0"/>
  </r>
  <r>
    <n v="75178545978"/>
    <n v="306"/>
    <d v="2034-12-31T00:00:00"/>
    <d v="2035-01-08T00:00:00"/>
    <x v="6"/>
    <x v="8"/>
  </r>
  <r>
    <n v="48548277101"/>
    <n v="13"/>
    <d v="2034-12-31T00:00:00"/>
    <m/>
    <x v="6"/>
    <x v="0"/>
  </r>
  <r>
    <n v="78766924561"/>
    <n v="149"/>
    <d v="2034-12-31T00:00:00"/>
    <m/>
    <x v="6"/>
    <x v="0"/>
  </r>
  <r>
    <n v="28732811825"/>
    <n v="107"/>
    <d v="2034-12-31T00:00:00"/>
    <m/>
    <x v="6"/>
    <x v="0"/>
  </r>
  <r>
    <n v="38309389384"/>
    <n v="110"/>
    <d v="2034-12-31T00:00:00"/>
    <s v=""/>
    <x v="6"/>
    <x v="0"/>
  </r>
  <r>
    <n v="58854119123"/>
    <n v="288"/>
    <d v="2034-12-31T00:00:00"/>
    <s v=""/>
    <x v="6"/>
    <x v="0"/>
  </r>
  <r>
    <n v="11577844194"/>
    <n v="326"/>
    <d v="2034-12-31T00:00:00"/>
    <m/>
    <x v="6"/>
    <x v="0"/>
  </r>
  <r>
    <n v="12359969317"/>
    <n v="228"/>
    <d v="2034-12-31T00:00:00"/>
    <s v=""/>
    <x v="6"/>
    <x v="0"/>
  </r>
  <r>
    <n v="90928034919"/>
    <n v="22"/>
    <d v="2034-12-31T00:00:00"/>
    <s v=""/>
    <x v="6"/>
    <x v="0"/>
  </r>
  <r>
    <n v="19915832397"/>
    <n v="133"/>
    <d v="2034-12-31T00:00:00"/>
    <s v=""/>
    <x v="6"/>
    <x v="0"/>
  </r>
  <r>
    <n v="53532225658"/>
    <n v="200"/>
    <d v="2034-12-31T00:00:00"/>
    <m/>
    <x v="6"/>
    <x v="0"/>
  </r>
  <r>
    <n v="47695737386"/>
    <n v="81"/>
    <d v="2034-12-31T00:00:00"/>
    <s v=""/>
    <x v="6"/>
    <x v="0"/>
  </r>
  <r>
    <n v="56021076631"/>
    <n v="239"/>
    <d v="2034-12-31T00:00:00"/>
    <s v=""/>
    <x v="6"/>
    <x v="0"/>
  </r>
  <r>
    <n v="21202205551"/>
    <n v="267"/>
    <d v="2034-12-31T00:00:00"/>
    <s v=""/>
    <x v="6"/>
    <x v="0"/>
  </r>
  <r>
    <n v="32813291288"/>
    <n v="264"/>
    <d v="2034-12-31T00:00:00"/>
    <s v=""/>
    <x v="6"/>
    <x v="0"/>
  </r>
  <r>
    <n v="45572022636"/>
    <n v="22"/>
    <d v="2034-12-31T00:00:00"/>
    <d v="2035-01-29T00:00:00"/>
    <x v="6"/>
    <x v="8"/>
  </r>
  <r>
    <n v="55179430940"/>
    <n v="157"/>
    <d v="2034-12-31T00:00:00"/>
    <s v=""/>
    <x v="6"/>
    <x v="0"/>
  </r>
  <r>
    <n v="92016852575"/>
    <n v="184"/>
    <d v="2034-12-31T00:00:00"/>
    <s v=""/>
    <x v="6"/>
    <x v="0"/>
  </r>
  <r>
    <n v="15032203584"/>
    <n v="19"/>
    <d v="2034-12-31T00:00:00"/>
    <s v=""/>
    <x v="6"/>
    <x v="0"/>
  </r>
  <r>
    <n v="93990018834"/>
    <n v="42"/>
    <d v="2034-12-31T00:00:00"/>
    <s v=""/>
    <x v="6"/>
    <x v="0"/>
  </r>
  <r>
    <n v="80667468318"/>
    <n v="253"/>
    <d v="2034-12-31T00:00:00"/>
    <m/>
    <x v="6"/>
    <x v="0"/>
  </r>
  <r>
    <n v="76936879122"/>
    <n v="325"/>
    <d v="2034-12-31T00:00:00"/>
    <s v=""/>
    <x v="6"/>
    <x v="0"/>
  </r>
  <r>
    <n v="55389039174"/>
    <n v="231"/>
    <d v="2034-12-31T00:00:00"/>
    <s v=""/>
    <x v="6"/>
    <x v="0"/>
  </r>
  <r>
    <n v="45222195678"/>
    <n v="48"/>
    <d v="2034-12-31T00:00:00"/>
    <s v=""/>
    <x v="6"/>
    <x v="0"/>
  </r>
  <r>
    <n v="95497574674"/>
    <n v="331"/>
    <d v="2034-12-31T00:00:00"/>
    <s v=""/>
    <x v="6"/>
    <x v="0"/>
  </r>
  <r>
    <n v="81965039930"/>
    <n v="156"/>
    <d v="2035-01-01T00:00:00"/>
    <s v=""/>
    <x v="7"/>
    <x v="0"/>
  </r>
  <r>
    <n v="62954525738"/>
    <n v="292"/>
    <d v="2035-01-01T00:00:00"/>
    <s v=""/>
    <x v="7"/>
    <x v="0"/>
  </r>
  <r>
    <n v="80144036637"/>
    <n v="338"/>
    <d v="2035-01-01T00:00:00"/>
    <s v=""/>
    <x v="7"/>
    <x v="0"/>
  </r>
  <r>
    <n v="15562152949"/>
    <n v="29"/>
    <d v="2035-01-01T00:00:00"/>
    <s v=""/>
    <x v="7"/>
    <x v="0"/>
  </r>
  <r>
    <n v="43939603585"/>
    <n v="242"/>
    <d v="2035-01-01T00:00:00"/>
    <s v=""/>
    <x v="7"/>
    <x v="0"/>
  </r>
  <r>
    <n v="12131724111"/>
    <n v="27"/>
    <d v="2035-01-01T00:00:00"/>
    <s v=""/>
    <x v="7"/>
    <x v="0"/>
  </r>
  <r>
    <n v="96358796672"/>
    <n v="311"/>
    <d v="2035-01-01T00:00:00"/>
    <d v="2035-01-31T00:00:00"/>
    <x v="7"/>
    <x v="8"/>
  </r>
  <r>
    <n v="28511638210"/>
    <n v="105"/>
    <d v="2035-01-01T00:00:00"/>
    <m/>
    <x v="7"/>
    <x v="0"/>
  </r>
  <r>
    <n v="23953325743"/>
    <n v="79"/>
    <d v="2035-01-01T00:00:00"/>
    <s v=""/>
    <x v="7"/>
    <x v="0"/>
  </r>
  <r>
    <n v="74502827622"/>
    <n v="334"/>
    <d v="2035-01-01T00:00:00"/>
    <m/>
    <x v="7"/>
    <x v="0"/>
  </r>
  <r>
    <n v="99206072996"/>
    <n v="154"/>
    <d v="2035-01-01T00:00:00"/>
    <m/>
    <x v="7"/>
    <x v="0"/>
  </r>
  <r>
    <n v="66934320425"/>
    <n v="217"/>
    <d v="2035-01-01T00:00:00"/>
    <s v=""/>
    <x v="7"/>
    <x v="0"/>
  </r>
  <r>
    <n v="11537167361"/>
    <n v="180"/>
    <d v="2035-01-01T00:00:00"/>
    <s v=""/>
    <x v="7"/>
    <x v="0"/>
  </r>
  <r>
    <n v="98944207737"/>
    <n v="224"/>
    <d v="2035-01-01T00:00:00"/>
    <s v=""/>
    <x v="7"/>
    <x v="0"/>
  </r>
  <r>
    <n v="71733818813"/>
    <n v="2"/>
    <d v="2035-01-01T00:00:00"/>
    <s v=""/>
    <x v="7"/>
    <x v="0"/>
  </r>
  <r>
    <n v="61786540499"/>
    <n v="141"/>
    <d v="2035-01-01T00:00:00"/>
    <s v=""/>
    <x v="7"/>
    <x v="0"/>
  </r>
  <r>
    <n v="26495649262"/>
    <n v="34"/>
    <d v="2035-01-01T00:00:00"/>
    <s v=""/>
    <x v="7"/>
    <x v="0"/>
  </r>
  <r>
    <n v="97825599767"/>
    <n v="29"/>
    <d v="2035-01-01T00:00:00"/>
    <s v=""/>
    <x v="7"/>
    <x v="0"/>
  </r>
  <r>
    <n v="36565381918"/>
    <n v="143"/>
    <d v="2035-01-01T00:00:00"/>
    <s v=""/>
    <x v="7"/>
    <x v="0"/>
  </r>
  <r>
    <n v="61436966901"/>
    <n v="150"/>
    <d v="2035-01-01T00:00:00"/>
    <s v=""/>
    <x v="7"/>
    <x v="0"/>
  </r>
  <r>
    <n v="74341893827"/>
    <n v="288"/>
    <d v="2035-01-01T00:00:00"/>
    <s v=""/>
    <x v="7"/>
    <x v="0"/>
  </r>
  <r>
    <n v="20858432674"/>
    <n v="67"/>
    <d v="2035-01-01T00:00:00"/>
    <m/>
    <x v="7"/>
    <x v="0"/>
  </r>
  <r>
    <n v="99106450867"/>
    <n v="53"/>
    <d v="2035-01-01T00:00:00"/>
    <s v=""/>
    <x v="7"/>
    <x v="0"/>
  </r>
  <r>
    <n v="60604926661"/>
    <n v="272"/>
    <d v="2035-01-01T00:00:00"/>
    <s v=""/>
    <x v="7"/>
    <x v="0"/>
  </r>
  <r>
    <n v="14050111046"/>
    <n v="37"/>
    <d v="2035-01-01T00:00:00"/>
    <m/>
    <x v="7"/>
    <x v="0"/>
  </r>
  <r>
    <n v="65712909977"/>
    <n v="30"/>
    <d v="2035-01-01T00:00:00"/>
    <s v=""/>
    <x v="7"/>
    <x v="0"/>
  </r>
  <r>
    <n v="24323940145"/>
    <n v="151"/>
    <d v="2035-01-01T00:00:00"/>
    <s v=""/>
    <x v="7"/>
    <x v="0"/>
  </r>
  <r>
    <n v="18577042093"/>
    <n v="255"/>
    <d v="2035-01-01T00:00:00"/>
    <s v=""/>
    <x v="7"/>
    <x v="0"/>
  </r>
  <r>
    <n v="55747396659"/>
    <n v="34"/>
    <d v="2035-01-02T00:00:00"/>
    <s v=""/>
    <x v="7"/>
    <x v="0"/>
  </r>
  <r>
    <n v="27555999077"/>
    <n v="278"/>
    <d v="2035-01-02T00:00:00"/>
    <s v=""/>
    <x v="7"/>
    <x v="0"/>
  </r>
  <r>
    <n v="60467791901"/>
    <n v="153"/>
    <d v="2035-01-02T00:00:00"/>
    <m/>
    <x v="7"/>
    <x v="0"/>
  </r>
  <r>
    <n v="85500046173"/>
    <n v="279"/>
    <d v="2035-01-02T00:00:00"/>
    <s v=""/>
    <x v="7"/>
    <x v="0"/>
  </r>
  <r>
    <n v="64491512183"/>
    <n v="166"/>
    <d v="2035-01-02T00:00:00"/>
    <s v=""/>
    <x v="7"/>
    <x v="0"/>
  </r>
  <r>
    <n v="63106682545"/>
    <n v="10"/>
    <d v="2035-01-02T00:00:00"/>
    <m/>
    <x v="7"/>
    <x v="0"/>
  </r>
  <r>
    <n v="71584702847"/>
    <n v="272"/>
    <d v="2035-01-02T00:00:00"/>
    <s v=""/>
    <x v="7"/>
    <x v="0"/>
  </r>
  <r>
    <n v="66095526882"/>
    <n v="27"/>
    <d v="2035-01-02T00:00:00"/>
    <s v=""/>
    <x v="7"/>
    <x v="0"/>
  </r>
  <r>
    <n v="43981943209"/>
    <n v="327"/>
    <d v="2035-01-02T00:00:00"/>
    <s v=""/>
    <x v="7"/>
    <x v="0"/>
  </r>
  <r>
    <n v="64307745248"/>
    <n v="126"/>
    <d v="2035-01-02T00:00:00"/>
    <s v=""/>
    <x v="7"/>
    <x v="0"/>
  </r>
  <r>
    <n v="67848850957"/>
    <n v="315"/>
    <d v="2035-01-02T00:00:00"/>
    <s v=""/>
    <x v="7"/>
    <x v="0"/>
  </r>
  <r>
    <n v="18963917017"/>
    <n v="296"/>
    <d v="2035-01-02T00:00:00"/>
    <m/>
    <x v="7"/>
    <x v="0"/>
  </r>
  <r>
    <n v="42116038903"/>
    <n v="114"/>
    <d v="2035-01-02T00:00:00"/>
    <d v="2035-02-01T00:00:00"/>
    <x v="7"/>
    <x v="9"/>
  </r>
  <r>
    <n v="58447868518"/>
    <n v="268"/>
    <d v="2035-01-02T00:00:00"/>
    <s v=""/>
    <x v="7"/>
    <x v="0"/>
  </r>
  <r>
    <n v="12027806844"/>
    <n v="17"/>
    <d v="2035-01-02T00:00:00"/>
    <s v=""/>
    <x v="7"/>
    <x v="0"/>
  </r>
  <r>
    <n v="91592998172"/>
    <n v="38"/>
    <d v="2035-01-02T00:00:00"/>
    <s v=""/>
    <x v="7"/>
    <x v="0"/>
  </r>
  <r>
    <n v="85840454165"/>
    <n v="167"/>
    <d v="2035-01-02T00:00:00"/>
    <s v=""/>
    <x v="7"/>
    <x v="0"/>
  </r>
  <r>
    <n v="37113690395"/>
    <n v="316"/>
    <d v="2035-01-02T00:00:00"/>
    <s v=""/>
    <x v="7"/>
    <x v="0"/>
  </r>
  <r>
    <n v="73774671839"/>
    <n v="194"/>
    <d v="2035-01-02T00:00:00"/>
    <s v=""/>
    <x v="7"/>
    <x v="0"/>
  </r>
  <r>
    <n v="66051610320"/>
    <n v="121"/>
    <d v="2035-01-02T00:00:00"/>
    <s v=""/>
    <x v="7"/>
    <x v="0"/>
  </r>
  <r>
    <n v="50794555588"/>
    <n v="154"/>
    <d v="2035-01-02T00:00:00"/>
    <s v=""/>
    <x v="7"/>
    <x v="0"/>
  </r>
  <r>
    <n v="20495140546"/>
    <n v="41"/>
    <d v="2035-01-02T00:00:00"/>
    <d v="2035-01-17T00:00:00"/>
    <x v="7"/>
    <x v="8"/>
  </r>
  <r>
    <n v="60096973932"/>
    <n v="11"/>
    <d v="2035-01-02T00:00:00"/>
    <s v=""/>
    <x v="7"/>
    <x v="0"/>
  </r>
  <r>
    <n v="11775025360"/>
    <n v="312"/>
    <d v="2035-01-02T00:00:00"/>
    <s v=""/>
    <x v="7"/>
    <x v="0"/>
  </r>
  <r>
    <n v="96011546611"/>
    <n v="16"/>
    <d v="2035-01-02T00:00:00"/>
    <m/>
    <x v="7"/>
    <x v="0"/>
  </r>
  <r>
    <n v="54408602840"/>
    <n v="148"/>
    <d v="2035-01-02T00:00:00"/>
    <m/>
    <x v="7"/>
    <x v="0"/>
  </r>
  <r>
    <n v="71600502836"/>
    <n v="220"/>
    <d v="2035-01-02T00:00:00"/>
    <s v=""/>
    <x v="7"/>
    <x v="0"/>
  </r>
  <r>
    <n v="86782400072"/>
    <n v="132"/>
    <d v="2035-01-02T00:00:00"/>
    <s v=""/>
    <x v="7"/>
    <x v="0"/>
  </r>
  <r>
    <n v="94547017166"/>
    <n v="165"/>
    <d v="2035-01-02T00:00:00"/>
    <m/>
    <x v="7"/>
    <x v="0"/>
  </r>
  <r>
    <n v="16408939922"/>
    <n v="111"/>
    <d v="2035-01-03T00:00:00"/>
    <s v=""/>
    <x v="7"/>
    <x v="0"/>
  </r>
  <r>
    <n v="35305837800"/>
    <n v="339"/>
    <d v="2035-01-03T00:00:00"/>
    <s v=""/>
    <x v="7"/>
    <x v="0"/>
  </r>
  <r>
    <n v="28813231581"/>
    <n v="303"/>
    <d v="2035-01-03T00:00:00"/>
    <s v=""/>
    <x v="7"/>
    <x v="0"/>
  </r>
  <r>
    <n v="66159398371"/>
    <n v="267"/>
    <d v="2035-01-03T00:00:00"/>
    <s v=""/>
    <x v="7"/>
    <x v="0"/>
  </r>
  <r>
    <n v="41930757696"/>
    <n v="291"/>
    <d v="2035-01-03T00:00:00"/>
    <s v=""/>
    <x v="7"/>
    <x v="0"/>
  </r>
  <r>
    <n v="38529760589"/>
    <n v="13"/>
    <d v="2035-01-03T00:00:00"/>
    <s v=""/>
    <x v="7"/>
    <x v="0"/>
  </r>
  <r>
    <n v="72362982416"/>
    <n v="148"/>
    <d v="2035-01-03T00:00:00"/>
    <s v=""/>
    <x v="7"/>
    <x v="0"/>
  </r>
  <r>
    <n v="28980139575"/>
    <n v="64"/>
    <d v="2035-01-03T00:00:00"/>
    <s v=""/>
    <x v="7"/>
    <x v="0"/>
  </r>
  <r>
    <n v="14319611336"/>
    <n v="145"/>
    <d v="2035-01-03T00:00:00"/>
    <m/>
    <x v="7"/>
    <x v="0"/>
  </r>
  <r>
    <n v="86444946760"/>
    <n v="133"/>
    <d v="2035-01-03T00:00:00"/>
    <s v=""/>
    <x v="7"/>
    <x v="0"/>
  </r>
  <r>
    <n v="89887071017"/>
    <n v="252"/>
    <d v="2035-01-03T00:00:00"/>
    <s v=""/>
    <x v="7"/>
    <x v="0"/>
  </r>
  <r>
    <n v="28174881693"/>
    <n v="240"/>
    <d v="2035-01-03T00:00:00"/>
    <s v=""/>
    <x v="7"/>
    <x v="0"/>
  </r>
  <r>
    <n v="69314634908"/>
    <n v="2"/>
    <d v="2035-01-03T00:00:00"/>
    <m/>
    <x v="7"/>
    <x v="0"/>
  </r>
  <r>
    <n v="97220397461"/>
    <n v="74"/>
    <d v="2035-01-03T00:00:00"/>
    <m/>
    <x v="7"/>
    <x v="0"/>
  </r>
  <r>
    <n v="67014828845"/>
    <n v="97"/>
    <d v="2035-01-03T00:00:00"/>
    <s v=""/>
    <x v="7"/>
    <x v="0"/>
  </r>
  <r>
    <n v="21274915402"/>
    <n v="80"/>
    <d v="2035-01-03T00:00:00"/>
    <s v=""/>
    <x v="7"/>
    <x v="0"/>
  </r>
  <r>
    <n v="74909237454"/>
    <n v="284"/>
    <d v="2035-01-03T00:00:00"/>
    <s v=""/>
    <x v="7"/>
    <x v="0"/>
  </r>
  <r>
    <n v="46086904443"/>
    <n v="12"/>
    <d v="2035-01-03T00:00:00"/>
    <m/>
    <x v="7"/>
    <x v="0"/>
  </r>
  <r>
    <n v="54094288898"/>
    <n v="72"/>
    <d v="2035-01-03T00:00:00"/>
    <s v=""/>
    <x v="7"/>
    <x v="0"/>
  </r>
  <r>
    <n v="46792857653"/>
    <n v="235"/>
    <d v="2035-01-03T00:00:00"/>
    <s v=""/>
    <x v="7"/>
    <x v="0"/>
  </r>
  <r>
    <n v="34331861193"/>
    <n v="48"/>
    <d v="2035-01-03T00:00:00"/>
    <s v=""/>
    <x v="7"/>
    <x v="0"/>
  </r>
  <r>
    <n v="78579388683"/>
    <n v="184"/>
    <d v="2035-01-03T00:00:00"/>
    <s v=""/>
    <x v="7"/>
    <x v="0"/>
  </r>
  <r>
    <n v="65175869352"/>
    <n v="45"/>
    <d v="2035-01-03T00:00:00"/>
    <s v=""/>
    <x v="7"/>
    <x v="0"/>
  </r>
  <r>
    <n v="68705906302"/>
    <n v="62"/>
    <d v="2035-01-03T00:00:00"/>
    <d v="2035-01-13T00:00:00"/>
    <x v="7"/>
    <x v="8"/>
  </r>
  <r>
    <n v="37603748188"/>
    <n v="147"/>
    <d v="2035-01-03T00:00:00"/>
    <s v=""/>
    <x v="7"/>
    <x v="0"/>
  </r>
  <r>
    <n v="76773562839"/>
    <n v="118"/>
    <d v="2035-01-03T00:00:00"/>
    <s v=""/>
    <x v="7"/>
    <x v="0"/>
  </r>
  <r>
    <n v="71404210832"/>
    <n v="268"/>
    <d v="2035-01-03T00:00:00"/>
    <s v=""/>
    <x v="7"/>
    <x v="0"/>
  </r>
  <r>
    <n v="81879453500"/>
    <n v="137"/>
    <d v="2035-01-03T00:00:00"/>
    <s v=""/>
    <x v="7"/>
    <x v="0"/>
  </r>
  <r>
    <n v="39028733541"/>
    <n v="208"/>
    <d v="2035-01-03T00:00:00"/>
    <s v=""/>
    <x v="7"/>
    <x v="0"/>
  </r>
  <r>
    <n v="37364383160"/>
    <n v="321"/>
    <d v="2035-01-03T00:00:00"/>
    <s v=""/>
    <x v="7"/>
    <x v="0"/>
  </r>
  <r>
    <n v="43839384356"/>
    <n v="48"/>
    <d v="2035-01-03T00:00:00"/>
    <s v=""/>
    <x v="7"/>
    <x v="0"/>
  </r>
  <r>
    <n v="81556721068"/>
    <n v="180"/>
    <d v="2035-01-04T00:00:00"/>
    <s v=""/>
    <x v="7"/>
    <x v="0"/>
  </r>
  <r>
    <n v="63173335126"/>
    <n v="153"/>
    <d v="2035-01-04T00:00:00"/>
    <s v=""/>
    <x v="7"/>
    <x v="0"/>
  </r>
  <r>
    <n v="33525030246"/>
    <n v="190"/>
    <d v="2035-01-04T00:00:00"/>
    <s v=""/>
    <x v="7"/>
    <x v="0"/>
  </r>
  <r>
    <n v="34513098056"/>
    <n v="46"/>
    <d v="2035-01-04T00:00:00"/>
    <s v=""/>
    <x v="7"/>
    <x v="0"/>
  </r>
  <r>
    <n v="22669389683"/>
    <n v="167"/>
    <d v="2035-01-04T00:00:00"/>
    <s v=""/>
    <x v="7"/>
    <x v="0"/>
  </r>
  <r>
    <n v="35876409693"/>
    <n v="147"/>
    <d v="2035-01-04T00:00:00"/>
    <s v=""/>
    <x v="7"/>
    <x v="0"/>
  </r>
  <r>
    <n v="98523793875"/>
    <n v="134"/>
    <d v="2035-01-04T00:00:00"/>
    <s v=""/>
    <x v="7"/>
    <x v="0"/>
  </r>
  <r>
    <n v="65293397395"/>
    <n v="51"/>
    <d v="2035-01-04T00:00:00"/>
    <s v=""/>
    <x v="7"/>
    <x v="0"/>
  </r>
  <r>
    <n v="86927372217"/>
    <n v="133"/>
    <d v="2035-01-04T00:00:00"/>
    <s v=""/>
    <x v="7"/>
    <x v="0"/>
  </r>
  <r>
    <n v="36542313515"/>
    <n v="141"/>
    <d v="2035-01-04T00:00:00"/>
    <s v=""/>
    <x v="7"/>
    <x v="0"/>
  </r>
  <r>
    <n v="76040197037"/>
    <n v="157"/>
    <d v="2035-01-04T00:00:00"/>
    <s v=""/>
    <x v="7"/>
    <x v="0"/>
  </r>
  <r>
    <n v="20982439199"/>
    <n v="209"/>
    <d v="2035-01-04T00:00:00"/>
    <s v=""/>
    <x v="7"/>
    <x v="0"/>
  </r>
  <r>
    <n v="27563058431"/>
    <n v="248"/>
    <d v="2035-01-04T00:00:00"/>
    <s v=""/>
    <x v="7"/>
    <x v="0"/>
  </r>
  <r>
    <n v="64541738112"/>
    <n v="119"/>
    <d v="2035-01-04T00:00:00"/>
    <s v=""/>
    <x v="7"/>
    <x v="0"/>
  </r>
  <r>
    <n v="72367490325"/>
    <n v="144"/>
    <d v="2035-01-04T00:00:00"/>
    <m/>
    <x v="7"/>
    <x v="0"/>
  </r>
  <r>
    <n v="36209237436"/>
    <n v="233"/>
    <d v="2035-01-04T00:00:00"/>
    <s v=""/>
    <x v="7"/>
    <x v="0"/>
  </r>
  <r>
    <n v="30774790814"/>
    <n v="50"/>
    <d v="2035-01-04T00:00:00"/>
    <s v=""/>
    <x v="7"/>
    <x v="0"/>
  </r>
  <r>
    <n v="97917827984"/>
    <n v="277"/>
    <d v="2035-01-04T00:00:00"/>
    <s v=""/>
    <x v="7"/>
    <x v="0"/>
  </r>
  <r>
    <n v="86800105215"/>
    <n v="99"/>
    <d v="2035-01-04T00:00:00"/>
    <m/>
    <x v="7"/>
    <x v="0"/>
  </r>
  <r>
    <n v="76475959525"/>
    <n v="274"/>
    <d v="2035-01-04T00:00:00"/>
    <s v=""/>
    <x v="7"/>
    <x v="0"/>
  </r>
  <r>
    <n v="68098618716"/>
    <n v="166"/>
    <d v="2035-01-04T00:00:00"/>
    <d v="2035-01-29T00:00:00"/>
    <x v="7"/>
    <x v="8"/>
  </r>
  <r>
    <n v="16345452009"/>
    <n v="313"/>
    <d v="2035-01-04T00:00:00"/>
    <s v=""/>
    <x v="7"/>
    <x v="0"/>
  </r>
  <r>
    <n v="48086361134"/>
    <n v="7"/>
    <d v="2035-01-05T00:00:00"/>
    <s v=""/>
    <x v="7"/>
    <x v="0"/>
  </r>
  <r>
    <n v="44568676866"/>
    <n v="187"/>
    <d v="2035-01-05T00:00:00"/>
    <s v=""/>
    <x v="7"/>
    <x v="0"/>
  </r>
  <r>
    <n v="69426639812"/>
    <n v="175"/>
    <d v="2035-01-05T00:00:00"/>
    <s v=""/>
    <x v="7"/>
    <x v="0"/>
  </r>
  <r>
    <n v="60716303999"/>
    <n v="34"/>
    <d v="2035-01-05T00:00:00"/>
    <m/>
    <x v="7"/>
    <x v="0"/>
  </r>
  <r>
    <n v="72820289491"/>
    <n v="249"/>
    <d v="2035-01-05T00:00:00"/>
    <s v=""/>
    <x v="7"/>
    <x v="0"/>
  </r>
  <r>
    <n v="83846178149"/>
    <n v="78"/>
    <d v="2035-01-05T00:00:00"/>
    <m/>
    <x v="7"/>
    <x v="0"/>
  </r>
  <r>
    <n v="40020497728"/>
    <n v="283"/>
    <d v="2035-01-05T00:00:00"/>
    <s v=""/>
    <x v="7"/>
    <x v="0"/>
  </r>
  <r>
    <n v="60060047208"/>
    <n v="287"/>
    <d v="2035-01-05T00:00:00"/>
    <s v=""/>
    <x v="7"/>
    <x v="0"/>
  </r>
  <r>
    <n v="37572728151"/>
    <n v="188"/>
    <d v="2035-01-05T00:00:00"/>
    <s v=""/>
    <x v="7"/>
    <x v="0"/>
  </r>
  <r>
    <n v="39353809341"/>
    <n v="179"/>
    <d v="2035-01-05T00:00:00"/>
    <s v=""/>
    <x v="7"/>
    <x v="0"/>
  </r>
  <r>
    <n v="66149467084"/>
    <n v="337"/>
    <d v="2035-01-05T00:00:00"/>
    <s v=""/>
    <x v="7"/>
    <x v="0"/>
  </r>
  <r>
    <n v="93937624265"/>
    <n v="118"/>
    <d v="2035-01-05T00:00:00"/>
    <s v=""/>
    <x v="7"/>
    <x v="0"/>
  </r>
  <r>
    <n v="63678070865"/>
    <n v="162"/>
    <d v="2035-01-05T00:00:00"/>
    <s v=""/>
    <x v="7"/>
    <x v="0"/>
  </r>
  <r>
    <n v="43703855327"/>
    <n v="283"/>
    <d v="2035-01-05T00:00:00"/>
    <s v=""/>
    <x v="7"/>
    <x v="0"/>
  </r>
  <r>
    <n v="59342795074"/>
    <n v="98"/>
    <d v="2035-01-05T00:00:00"/>
    <m/>
    <x v="7"/>
    <x v="0"/>
  </r>
  <r>
    <n v="53895008558"/>
    <n v="182"/>
    <d v="2035-01-05T00:00:00"/>
    <s v=""/>
    <x v="7"/>
    <x v="0"/>
  </r>
  <r>
    <n v="91902601914"/>
    <n v="140"/>
    <d v="2035-01-05T00:00:00"/>
    <s v=""/>
    <x v="7"/>
    <x v="0"/>
  </r>
  <r>
    <n v="90177434119"/>
    <n v="112"/>
    <d v="2035-01-05T00:00:00"/>
    <m/>
    <x v="7"/>
    <x v="0"/>
  </r>
  <r>
    <n v="73555960539"/>
    <n v="113"/>
    <d v="2035-01-05T00:00:00"/>
    <s v=""/>
    <x v="7"/>
    <x v="0"/>
  </r>
  <r>
    <n v="82310227144"/>
    <n v="144"/>
    <d v="2035-01-05T00:00:00"/>
    <s v=""/>
    <x v="7"/>
    <x v="0"/>
  </r>
  <r>
    <n v="32560459921"/>
    <n v="94"/>
    <d v="2035-01-05T00:00:00"/>
    <m/>
    <x v="7"/>
    <x v="0"/>
  </r>
  <r>
    <n v="83267934967"/>
    <n v="219"/>
    <d v="2035-01-05T00:00:00"/>
    <s v=""/>
    <x v="7"/>
    <x v="0"/>
  </r>
  <r>
    <n v="21343007672"/>
    <n v="337"/>
    <d v="2035-01-06T00:00:00"/>
    <s v=""/>
    <x v="7"/>
    <x v="0"/>
  </r>
  <r>
    <n v="40531144025"/>
    <n v="126"/>
    <d v="2035-01-06T00:00:00"/>
    <s v=""/>
    <x v="7"/>
    <x v="0"/>
  </r>
  <r>
    <n v="11509231660"/>
    <n v="39"/>
    <d v="2035-01-06T00:00:00"/>
    <m/>
    <x v="7"/>
    <x v="0"/>
  </r>
  <r>
    <n v="48852056193"/>
    <n v="316"/>
    <d v="2035-01-06T00:00:00"/>
    <m/>
    <x v="7"/>
    <x v="0"/>
  </r>
  <r>
    <n v="92453554483"/>
    <n v="154"/>
    <d v="2035-01-06T00:00:00"/>
    <d v="2035-01-31T00:00:00"/>
    <x v="7"/>
    <x v="8"/>
  </r>
  <r>
    <n v="65170484640"/>
    <n v="225"/>
    <d v="2035-01-06T00:00:00"/>
    <m/>
    <x v="7"/>
    <x v="0"/>
  </r>
  <r>
    <n v="65829274195"/>
    <n v="293"/>
    <d v="2035-01-06T00:00:00"/>
    <d v="2035-01-06T00:00:00"/>
    <x v="7"/>
    <x v="8"/>
  </r>
  <r>
    <n v="31836771406"/>
    <n v="301"/>
    <d v="2035-01-06T00:00:00"/>
    <s v=""/>
    <x v="7"/>
    <x v="0"/>
  </r>
  <r>
    <n v="57422452049"/>
    <n v="38"/>
    <d v="2035-01-06T00:00:00"/>
    <s v=""/>
    <x v="7"/>
    <x v="0"/>
  </r>
  <r>
    <n v="16758598759"/>
    <n v="72"/>
    <d v="2035-01-06T00:00:00"/>
    <s v=""/>
    <x v="7"/>
    <x v="0"/>
  </r>
  <r>
    <n v="28635333337"/>
    <n v="220"/>
    <d v="2035-01-06T00:00:00"/>
    <s v=""/>
    <x v="7"/>
    <x v="0"/>
  </r>
  <r>
    <n v="76847182079"/>
    <n v="133"/>
    <d v="2035-01-06T00:00:00"/>
    <s v=""/>
    <x v="7"/>
    <x v="0"/>
  </r>
  <r>
    <n v="89383996721"/>
    <n v="296"/>
    <d v="2035-01-06T00:00:00"/>
    <s v=""/>
    <x v="7"/>
    <x v="0"/>
  </r>
  <r>
    <n v="48873304284"/>
    <n v="25"/>
    <d v="2035-01-06T00:00:00"/>
    <s v=""/>
    <x v="7"/>
    <x v="0"/>
  </r>
  <r>
    <n v="59205666608"/>
    <n v="253"/>
    <d v="2035-01-06T00:00:00"/>
    <s v=""/>
    <x v="7"/>
    <x v="0"/>
  </r>
  <r>
    <n v="79781178072"/>
    <n v="314"/>
    <d v="2035-01-06T00:00:00"/>
    <s v=""/>
    <x v="7"/>
    <x v="0"/>
  </r>
  <r>
    <n v="97571876790"/>
    <n v="242"/>
    <d v="2035-01-06T00:00:00"/>
    <s v=""/>
    <x v="7"/>
    <x v="0"/>
  </r>
  <r>
    <n v="55803102324"/>
    <n v="217"/>
    <d v="2035-01-06T00:00:00"/>
    <m/>
    <x v="7"/>
    <x v="0"/>
  </r>
  <r>
    <n v="59650193894"/>
    <n v="270"/>
    <d v="2035-01-06T00:00:00"/>
    <s v=""/>
    <x v="7"/>
    <x v="0"/>
  </r>
  <r>
    <n v="17222152937"/>
    <n v="28"/>
    <d v="2035-01-06T00:00:00"/>
    <m/>
    <x v="7"/>
    <x v="0"/>
  </r>
  <r>
    <n v="92635290095"/>
    <n v="140"/>
    <d v="2035-01-06T00:00:00"/>
    <s v=""/>
    <x v="7"/>
    <x v="0"/>
  </r>
  <r>
    <n v="43121907307"/>
    <n v="26"/>
    <d v="2035-01-06T00:00:00"/>
    <s v=""/>
    <x v="7"/>
    <x v="0"/>
  </r>
  <r>
    <n v="57837184281"/>
    <n v="66"/>
    <d v="2035-01-06T00:00:00"/>
    <s v=""/>
    <x v="7"/>
    <x v="0"/>
  </r>
  <r>
    <n v="14165440474"/>
    <n v="244"/>
    <d v="2035-01-06T00:00:00"/>
    <s v=""/>
    <x v="7"/>
    <x v="0"/>
  </r>
  <r>
    <n v="38727041316"/>
    <n v="297"/>
    <d v="2035-01-06T00:00:00"/>
    <s v=""/>
    <x v="7"/>
    <x v="0"/>
  </r>
  <r>
    <n v="47530798031"/>
    <n v="15"/>
    <d v="2035-01-06T00:00:00"/>
    <s v=""/>
    <x v="7"/>
    <x v="0"/>
  </r>
  <r>
    <n v="40552314401"/>
    <n v="215"/>
    <d v="2035-01-06T00:00:00"/>
    <s v=""/>
    <x v="7"/>
    <x v="0"/>
  </r>
  <r>
    <n v="79994196901"/>
    <n v="77"/>
    <d v="2035-01-06T00:00:00"/>
    <s v=""/>
    <x v="7"/>
    <x v="0"/>
  </r>
  <r>
    <n v="70715201953"/>
    <n v="198"/>
    <d v="2035-01-06T00:00:00"/>
    <s v=""/>
    <x v="7"/>
    <x v="0"/>
  </r>
  <r>
    <n v="87592356922"/>
    <n v="73"/>
    <d v="2035-01-06T00:00:00"/>
    <s v=""/>
    <x v="7"/>
    <x v="0"/>
  </r>
  <r>
    <n v="12550046734"/>
    <n v="332"/>
    <d v="2035-01-06T00:00:00"/>
    <s v=""/>
    <x v="7"/>
    <x v="0"/>
  </r>
  <r>
    <n v="49834496996"/>
    <n v="64"/>
    <d v="2035-01-07T00:00:00"/>
    <s v=""/>
    <x v="7"/>
    <x v="0"/>
  </r>
  <r>
    <n v="59005489210"/>
    <n v="340"/>
    <d v="2035-01-07T00:00:00"/>
    <s v=""/>
    <x v="7"/>
    <x v="0"/>
  </r>
  <r>
    <n v="32020388358"/>
    <n v="208"/>
    <d v="2035-01-07T00:00:00"/>
    <s v=""/>
    <x v="7"/>
    <x v="0"/>
  </r>
  <r>
    <n v="85483636586"/>
    <n v="291"/>
    <d v="2035-01-07T00:00:00"/>
    <s v=""/>
    <x v="7"/>
    <x v="0"/>
  </r>
  <r>
    <n v="91847472613"/>
    <n v="49"/>
    <d v="2035-01-07T00:00:00"/>
    <s v=""/>
    <x v="7"/>
    <x v="0"/>
  </r>
  <r>
    <n v="88439533414"/>
    <n v="301"/>
    <d v="2035-01-07T00:00:00"/>
    <m/>
    <x v="7"/>
    <x v="0"/>
  </r>
  <r>
    <n v="69629973692"/>
    <n v="177"/>
    <d v="2035-01-07T00:00:00"/>
    <m/>
    <x v="7"/>
    <x v="0"/>
  </r>
  <r>
    <n v="76179297898"/>
    <n v="1"/>
    <d v="2035-01-07T00:00:00"/>
    <s v=""/>
    <x v="7"/>
    <x v="0"/>
  </r>
  <r>
    <n v="12941920610"/>
    <n v="249"/>
    <d v="2035-01-07T00:00:00"/>
    <s v=""/>
    <x v="7"/>
    <x v="0"/>
  </r>
  <r>
    <n v="20023789651"/>
    <n v="81"/>
    <d v="2035-01-07T00:00:00"/>
    <s v=""/>
    <x v="7"/>
    <x v="0"/>
  </r>
  <r>
    <n v="71983607605"/>
    <n v="297"/>
    <d v="2035-01-07T00:00:00"/>
    <s v=""/>
    <x v="7"/>
    <x v="0"/>
  </r>
  <r>
    <n v="70688320237"/>
    <n v="156"/>
    <d v="2035-01-07T00:00:00"/>
    <s v=""/>
    <x v="7"/>
    <x v="0"/>
  </r>
  <r>
    <n v="25507767374"/>
    <n v="32"/>
    <d v="2035-01-07T00:00:00"/>
    <s v=""/>
    <x v="7"/>
    <x v="0"/>
  </r>
  <r>
    <n v="70680953441"/>
    <n v="220"/>
    <d v="2035-01-07T00:00:00"/>
    <s v=""/>
    <x v="7"/>
    <x v="0"/>
  </r>
  <r>
    <n v="74733825443"/>
    <n v="109"/>
    <d v="2035-01-07T00:00:00"/>
    <s v=""/>
    <x v="7"/>
    <x v="0"/>
  </r>
  <r>
    <n v="99248799342"/>
    <n v="78"/>
    <d v="2035-01-07T00:00:00"/>
    <m/>
    <x v="7"/>
    <x v="0"/>
  </r>
  <r>
    <n v="15375577350"/>
    <n v="290"/>
    <d v="2035-01-07T00:00:00"/>
    <m/>
    <x v="7"/>
    <x v="0"/>
  </r>
  <r>
    <n v="86993990945"/>
    <n v="317"/>
    <d v="2035-01-07T00:00:00"/>
    <s v=""/>
    <x v="7"/>
    <x v="0"/>
  </r>
  <r>
    <n v="29412971523"/>
    <n v="289"/>
    <d v="2035-01-07T00:00:00"/>
    <m/>
    <x v="7"/>
    <x v="0"/>
  </r>
  <r>
    <n v="97159758023"/>
    <n v="335"/>
    <d v="2035-01-07T00:00:00"/>
    <s v=""/>
    <x v="7"/>
    <x v="0"/>
  </r>
  <r>
    <n v="18816593136"/>
    <n v="27"/>
    <d v="2035-01-07T00:00:00"/>
    <s v=""/>
    <x v="7"/>
    <x v="0"/>
  </r>
  <r>
    <n v="32236089814"/>
    <n v="313"/>
    <d v="2035-01-07T00:00:00"/>
    <d v="2035-01-30T00:00:00"/>
    <x v="7"/>
    <x v="8"/>
  </r>
  <r>
    <n v="65204622327"/>
    <n v="240"/>
    <d v="2035-01-07T00:00:00"/>
    <s v=""/>
    <x v="7"/>
    <x v="0"/>
  </r>
  <r>
    <n v="57177610823"/>
    <n v="167"/>
    <d v="2035-01-07T00:00:00"/>
    <d v="2035-01-19T00:00:00"/>
    <x v="7"/>
    <x v="8"/>
  </r>
  <r>
    <n v="91346219915"/>
    <n v="95"/>
    <d v="2035-01-07T00:00:00"/>
    <m/>
    <x v="7"/>
    <x v="0"/>
  </r>
  <r>
    <n v="12845558069"/>
    <n v="170"/>
    <d v="2035-01-07T00:00:00"/>
    <s v=""/>
    <x v="7"/>
    <x v="0"/>
  </r>
  <r>
    <n v="77502599929"/>
    <n v="14"/>
    <d v="2035-01-07T00:00:00"/>
    <s v=""/>
    <x v="7"/>
    <x v="0"/>
  </r>
  <r>
    <n v="93235271535"/>
    <n v="67"/>
    <d v="2035-01-07T00:00:00"/>
    <s v=""/>
    <x v="7"/>
    <x v="0"/>
  </r>
  <r>
    <n v="26083716947"/>
    <n v="246"/>
    <d v="2035-01-08T00:00:00"/>
    <s v=""/>
    <x v="7"/>
    <x v="0"/>
  </r>
  <r>
    <n v="22365596545"/>
    <n v="12"/>
    <d v="2035-01-08T00:00:00"/>
    <s v=""/>
    <x v="7"/>
    <x v="0"/>
  </r>
  <r>
    <n v="26008465478"/>
    <n v="58"/>
    <d v="2035-01-08T00:00:00"/>
    <s v=""/>
    <x v="7"/>
    <x v="0"/>
  </r>
  <r>
    <n v="29293638122"/>
    <n v="299"/>
    <d v="2035-01-08T00:00:00"/>
    <s v=""/>
    <x v="7"/>
    <x v="0"/>
  </r>
  <r>
    <n v="96416317941"/>
    <n v="332"/>
    <d v="2035-01-08T00:00:00"/>
    <s v=""/>
    <x v="7"/>
    <x v="0"/>
  </r>
  <r>
    <n v="73655025878"/>
    <n v="51"/>
    <d v="2035-01-08T00:00:00"/>
    <s v=""/>
    <x v="7"/>
    <x v="0"/>
  </r>
  <r>
    <n v="91207513987"/>
    <n v="60"/>
    <d v="2035-01-08T00:00:00"/>
    <s v=""/>
    <x v="7"/>
    <x v="0"/>
  </r>
  <r>
    <n v="23567226307"/>
    <n v="23"/>
    <d v="2035-01-08T00:00:00"/>
    <s v=""/>
    <x v="7"/>
    <x v="0"/>
  </r>
  <r>
    <n v="66955016169"/>
    <n v="48"/>
    <d v="2035-01-08T00:00:00"/>
    <s v=""/>
    <x v="7"/>
    <x v="0"/>
  </r>
  <r>
    <n v="40757904750"/>
    <n v="130"/>
    <d v="2035-01-08T00:00:00"/>
    <s v=""/>
    <x v="7"/>
    <x v="0"/>
  </r>
  <r>
    <n v="86568923768"/>
    <n v="73"/>
    <d v="2035-01-08T00:00:00"/>
    <m/>
    <x v="7"/>
    <x v="0"/>
  </r>
  <r>
    <n v="37072636669"/>
    <n v="16"/>
    <d v="2035-01-08T00:00:00"/>
    <s v=""/>
    <x v="7"/>
    <x v="0"/>
  </r>
  <r>
    <n v="23960221403"/>
    <n v="270"/>
    <d v="2035-01-08T00:00:00"/>
    <s v=""/>
    <x v="7"/>
    <x v="0"/>
  </r>
  <r>
    <n v="77248533495"/>
    <n v="69"/>
    <d v="2035-01-08T00:00:00"/>
    <s v=""/>
    <x v="7"/>
    <x v="0"/>
  </r>
  <r>
    <n v="36780039477"/>
    <n v="198"/>
    <d v="2035-01-08T00:00:00"/>
    <s v=""/>
    <x v="7"/>
    <x v="0"/>
  </r>
  <r>
    <n v="29041722789"/>
    <n v="319"/>
    <d v="2035-01-08T00:00:00"/>
    <s v=""/>
    <x v="7"/>
    <x v="0"/>
  </r>
  <r>
    <n v="15909144874"/>
    <n v="338"/>
    <d v="2035-01-08T00:00:00"/>
    <s v=""/>
    <x v="7"/>
    <x v="0"/>
  </r>
  <r>
    <n v="94731833101"/>
    <n v="86"/>
    <d v="2035-01-08T00:00:00"/>
    <s v=""/>
    <x v="7"/>
    <x v="0"/>
  </r>
  <r>
    <n v="45731132589"/>
    <n v="265"/>
    <d v="2035-01-08T00:00:00"/>
    <m/>
    <x v="7"/>
    <x v="0"/>
  </r>
  <r>
    <n v="65841967620"/>
    <n v="120"/>
    <d v="2035-01-08T00:00:00"/>
    <s v=""/>
    <x v="7"/>
    <x v="0"/>
  </r>
  <r>
    <n v="58894320037"/>
    <n v="49"/>
    <d v="2035-01-08T00:00:00"/>
    <s v=""/>
    <x v="7"/>
    <x v="0"/>
  </r>
  <r>
    <n v="22446226310"/>
    <n v="322"/>
    <d v="2035-01-08T00:00:00"/>
    <s v=""/>
    <x v="7"/>
    <x v="0"/>
  </r>
  <r>
    <n v="37354372171"/>
    <n v="237"/>
    <d v="2035-01-08T00:00:00"/>
    <m/>
    <x v="7"/>
    <x v="0"/>
  </r>
  <r>
    <n v="67825248327"/>
    <n v="296"/>
    <d v="2035-01-08T00:00:00"/>
    <s v=""/>
    <x v="7"/>
    <x v="0"/>
  </r>
  <r>
    <n v="23082310871"/>
    <n v="67"/>
    <d v="2035-01-08T00:00:00"/>
    <s v=""/>
    <x v="7"/>
    <x v="0"/>
  </r>
  <r>
    <n v="98961414827"/>
    <n v="144"/>
    <d v="2035-01-08T00:00:00"/>
    <d v="2035-01-08T00:00:00"/>
    <x v="7"/>
    <x v="8"/>
  </r>
  <r>
    <n v="85838033234"/>
    <n v="259"/>
    <d v="2035-01-08T00:00:00"/>
    <m/>
    <x v="7"/>
    <x v="0"/>
  </r>
  <r>
    <n v="24964614976"/>
    <n v="125"/>
    <d v="2035-01-09T00:00:00"/>
    <s v=""/>
    <x v="7"/>
    <x v="0"/>
  </r>
  <r>
    <n v="35897779909"/>
    <n v="211"/>
    <d v="2035-01-09T00:00:00"/>
    <s v=""/>
    <x v="7"/>
    <x v="0"/>
  </r>
  <r>
    <n v="22113431680"/>
    <n v="136"/>
    <d v="2035-01-09T00:00:00"/>
    <s v=""/>
    <x v="7"/>
    <x v="0"/>
  </r>
  <r>
    <n v="24360741217"/>
    <n v="64"/>
    <d v="2035-01-09T00:00:00"/>
    <s v=""/>
    <x v="7"/>
    <x v="0"/>
  </r>
  <r>
    <n v="98163548338"/>
    <n v="24"/>
    <d v="2035-01-09T00:00:00"/>
    <s v=""/>
    <x v="7"/>
    <x v="0"/>
  </r>
  <r>
    <n v="78020569308"/>
    <n v="123"/>
    <d v="2035-01-09T00:00:00"/>
    <s v=""/>
    <x v="7"/>
    <x v="0"/>
  </r>
  <r>
    <n v="24502460327"/>
    <n v="105"/>
    <d v="2035-01-09T00:00:00"/>
    <s v=""/>
    <x v="7"/>
    <x v="0"/>
  </r>
  <r>
    <n v="93395862545"/>
    <n v="305"/>
    <d v="2035-01-09T00:00:00"/>
    <s v=""/>
    <x v="7"/>
    <x v="0"/>
  </r>
  <r>
    <n v="22796643217"/>
    <n v="335"/>
    <d v="2035-01-09T00:00:00"/>
    <m/>
    <x v="7"/>
    <x v="0"/>
  </r>
  <r>
    <n v="82529258795"/>
    <n v="39"/>
    <d v="2035-01-09T00:00:00"/>
    <m/>
    <x v="7"/>
    <x v="0"/>
  </r>
  <r>
    <n v="85830252879"/>
    <n v="28"/>
    <d v="2035-01-09T00:00:00"/>
    <s v=""/>
    <x v="7"/>
    <x v="0"/>
  </r>
  <r>
    <n v="35426330054"/>
    <n v="64"/>
    <d v="2035-01-09T00:00:00"/>
    <s v=""/>
    <x v="7"/>
    <x v="0"/>
  </r>
  <r>
    <n v="57147537965"/>
    <n v="277"/>
    <d v="2035-01-09T00:00:00"/>
    <s v=""/>
    <x v="7"/>
    <x v="0"/>
  </r>
  <r>
    <n v="39060591043"/>
    <n v="124"/>
    <d v="2035-01-09T00:00:00"/>
    <s v=""/>
    <x v="7"/>
    <x v="0"/>
  </r>
  <r>
    <n v="61655784939"/>
    <n v="338"/>
    <d v="2035-01-09T00:00:00"/>
    <s v=""/>
    <x v="7"/>
    <x v="0"/>
  </r>
  <r>
    <n v="39444118567"/>
    <n v="216"/>
    <d v="2035-01-09T00:00:00"/>
    <s v=""/>
    <x v="7"/>
    <x v="0"/>
  </r>
  <r>
    <n v="86495227277"/>
    <n v="138"/>
    <d v="2035-01-09T00:00:00"/>
    <s v=""/>
    <x v="7"/>
    <x v="0"/>
  </r>
  <r>
    <n v="67369537853"/>
    <n v="189"/>
    <d v="2035-01-09T00:00:00"/>
    <s v=""/>
    <x v="7"/>
    <x v="0"/>
  </r>
  <r>
    <n v="93240252132"/>
    <n v="67"/>
    <d v="2035-01-09T00:00:00"/>
    <s v=""/>
    <x v="7"/>
    <x v="0"/>
  </r>
  <r>
    <n v="78740244033"/>
    <n v="257"/>
    <d v="2035-01-09T00:00:00"/>
    <s v=""/>
    <x v="7"/>
    <x v="0"/>
  </r>
  <r>
    <n v="62597280062"/>
    <n v="193"/>
    <d v="2035-01-09T00:00:00"/>
    <s v=""/>
    <x v="7"/>
    <x v="0"/>
  </r>
  <r>
    <n v="53998430257"/>
    <n v="277"/>
    <d v="2035-01-09T00:00:00"/>
    <s v=""/>
    <x v="7"/>
    <x v="0"/>
  </r>
  <r>
    <n v="26939723943"/>
    <n v="240"/>
    <d v="2035-01-09T00:00:00"/>
    <s v=""/>
    <x v="7"/>
    <x v="0"/>
  </r>
  <r>
    <n v="68973045617"/>
    <n v="89"/>
    <d v="2035-01-09T00:00:00"/>
    <d v="2035-01-23T00:00:00"/>
    <x v="7"/>
    <x v="8"/>
  </r>
  <r>
    <n v="47777891373"/>
    <n v="6"/>
    <d v="2035-01-09T00:00:00"/>
    <s v=""/>
    <x v="7"/>
    <x v="0"/>
  </r>
  <r>
    <n v="80851378754"/>
    <n v="158"/>
    <d v="2035-01-10T00:00:00"/>
    <s v=""/>
    <x v="7"/>
    <x v="0"/>
  </r>
  <r>
    <n v="72957558664"/>
    <n v="331"/>
    <d v="2035-01-10T00:00:00"/>
    <s v=""/>
    <x v="7"/>
    <x v="0"/>
  </r>
  <r>
    <n v="29535229926"/>
    <n v="43"/>
    <d v="2035-01-10T00:00:00"/>
    <s v=""/>
    <x v="7"/>
    <x v="0"/>
  </r>
  <r>
    <n v="19406389445"/>
    <n v="154"/>
    <d v="2035-01-10T00:00:00"/>
    <s v=""/>
    <x v="7"/>
    <x v="0"/>
  </r>
  <r>
    <n v="99617409345"/>
    <n v="49"/>
    <d v="2035-01-10T00:00:00"/>
    <s v=""/>
    <x v="7"/>
    <x v="0"/>
  </r>
  <r>
    <n v="15302136338"/>
    <n v="14"/>
    <d v="2035-01-10T00:00:00"/>
    <s v=""/>
    <x v="7"/>
    <x v="0"/>
  </r>
  <r>
    <n v="44261688035"/>
    <n v="305"/>
    <d v="2035-01-10T00:00:00"/>
    <s v=""/>
    <x v="7"/>
    <x v="0"/>
  </r>
  <r>
    <n v="86545572257"/>
    <n v="30"/>
    <d v="2035-01-10T00:00:00"/>
    <s v=""/>
    <x v="7"/>
    <x v="0"/>
  </r>
  <r>
    <n v="43261602152"/>
    <n v="210"/>
    <d v="2035-01-10T00:00:00"/>
    <s v=""/>
    <x v="7"/>
    <x v="0"/>
  </r>
  <r>
    <n v="96583195680"/>
    <n v="334"/>
    <d v="2035-01-10T00:00:00"/>
    <s v=""/>
    <x v="7"/>
    <x v="0"/>
  </r>
  <r>
    <n v="63986935786"/>
    <n v="340"/>
    <d v="2035-01-10T00:00:00"/>
    <s v=""/>
    <x v="7"/>
    <x v="0"/>
  </r>
  <r>
    <n v="76396310893"/>
    <n v="261"/>
    <d v="2035-01-10T00:00:00"/>
    <s v=""/>
    <x v="7"/>
    <x v="0"/>
  </r>
  <r>
    <n v="29158359632"/>
    <n v="213"/>
    <d v="2035-01-10T00:00:00"/>
    <s v=""/>
    <x v="7"/>
    <x v="0"/>
  </r>
  <r>
    <n v="44870403866"/>
    <n v="316"/>
    <d v="2035-01-10T00:00:00"/>
    <d v="2035-01-27T00:00:00"/>
    <x v="7"/>
    <x v="8"/>
  </r>
  <r>
    <n v="57154721272"/>
    <n v="263"/>
    <d v="2035-01-10T00:00:00"/>
    <m/>
    <x v="7"/>
    <x v="0"/>
  </r>
  <r>
    <n v="56902793367"/>
    <n v="14"/>
    <d v="2035-01-10T00:00:00"/>
    <s v=""/>
    <x v="7"/>
    <x v="0"/>
  </r>
  <r>
    <n v="47684069538"/>
    <n v="284"/>
    <d v="2035-01-10T00:00:00"/>
    <s v=""/>
    <x v="7"/>
    <x v="0"/>
  </r>
  <r>
    <n v="49043916516"/>
    <n v="231"/>
    <d v="2035-01-10T00:00:00"/>
    <s v=""/>
    <x v="7"/>
    <x v="0"/>
  </r>
  <r>
    <n v="50427154368"/>
    <n v="314"/>
    <d v="2035-01-10T00:00:00"/>
    <s v=""/>
    <x v="7"/>
    <x v="0"/>
  </r>
  <r>
    <n v="83111020845"/>
    <n v="177"/>
    <d v="2035-01-10T00:00:00"/>
    <s v=""/>
    <x v="7"/>
    <x v="0"/>
  </r>
  <r>
    <n v="70370605154"/>
    <n v="328"/>
    <d v="2035-01-10T00:00:00"/>
    <m/>
    <x v="7"/>
    <x v="0"/>
  </r>
  <r>
    <n v="59984431018"/>
    <n v="196"/>
    <d v="2035-01-11T00:00:00"/>
    <m/>
    <x v="7"/>
    <x v="0"/>
  </r>
  <r>
    <n v="89340887170"/>
    <n v="312"/>
    <d v="2035-01-11T00:00:00"/>
    <s v=""/>
    <x v="7"/>
    <x v="0"/>
  </r>
  <r>
    <n v="73393616632"/>
    <n v="171"/>
    <d v="2035-01-11T00:00:00"/>
    <s v=""/>
    <x v="7"/>
    <x v="0"/>
  </r>
  <r>
    <n v="97295131696"/>
    <n v="41"/>
    <d v="2035-01-11T00:00:00"/>
    <s v=""/>
    <x v="7"/>
    <x v="0"/>
  </r>
  <r>
    <n v="22606095129"/>
    <n v="32"/>
    <d v="2035-01-11T00:00:00"/>
    <s v=""/>
    <x v="7"/>
    <x v="0"/>
  </r>
  <r>
    <n v="69176227960"/>
    <n v="314"/>
    <d v="2035-01-11T00:00:00"/>
    <d v="2035-01-30T00:00:00"/>
    <x v="7"/>
    <x v="8"/>
  </r>
  <r>
    <n v="58206209369"/>
    <n v="337"/>
    <d v="2035-01-11T00:00:00"/>
    <s v=""/>
    <x v="7"/>
    <x v="0"/>
  </r>
  <r>
    <n v="70953792189"/>
    <n v="212"/>
    <d v="2035-01-11T00:00:00"/>
    <m/>
    <x v="7"/>
    <x v="0"/>
  </r>
  <r>
    <n v="24714586798"/>
    <n v="295"/>
    <d v="2035-01-11T00:00:00"/>
    <s v=""/>
    <x v="7"/>
    <x v="0"/>
  </r>
  <r>
    <n v="44438288956"/>
    <n v="157"/>
    <d v="2035-01-11T00:00:00"/>
    <d v="2035-01-26T00:00:00"/>
    <x v="7"/>
    <x v="8"/>
  </r>
  <r>
    <n v="40167412481"/>
    <n v="257"/>
    <d v="2035-01-11T00:00:00"/>
    <m/>
    <x v="7"/>
    <x v="0"/>
  </r>
  <r>
    <n v="50614784568"/>
    <n v="338"/>
    <d v="2035-01-11T00:00:00"/>
    <s v=""/>
    <x v="7"/>
    <x v="0"/>
  </r>
  <r>
    <n v="13597471081"/>
    <n v="203"/>
    <d v="2035-01-11T00:00:00"/>
    <s v=""/>
    <x v="7"/>
    <x v="0"/>
  </r>
  <r>
    <n v="38681594116"/>
    <n v="127"/>
    <d v="2035-01-11T00:00:00"/>
    <d v="2035-01-22T00:00:00"/>
    <x v="7"/>
    <x v="8"/>
  </r>
  <r>
    <n v="19987346660"/>
    <n v="167"/>
    <d v="2035-01-11T00:00:00"/>
    <s v=""/>
    <x v="7"/>
    <x v="0"/>
  </r>
  <r>
    <n v="86401255194"/>
    <n v="152"/>
    <d v="2035-01-11T00:00:00"/>
    <s v=""/>
    <x v="7"/>
    <x v="0"/>
  </r>
  <r>
    <n v="33241276178"/>
    <n v="219"/>
    <d v="2035-01-11T00:00:00"/>
    <s v=""/>
    <x v="7"/>
    <x v="0"/>
  </r>
  <r>
    <n v="19323252063"/>
    <n v="257"/>
    <d v="2035-01-11T00:00:00"/>
    <s v=""/>
    <x v="7"/>
    <x v="0"/>
  </r>
  <r>
    <n v="86515200659"/>
    <n v="92"/>
    <d v="2035-01-11T00:00:00"/>
    <m/>
    <x v="7"/>
    <x v="0"/>
  </r>
  <r>
    <n v="64404234918"/>
    <n v="38"/>
    <d v="2035-01-12T00:00:00"/>
    <m/>
    <x v="7"/>
    <x v="0"/>
  </r>
  <r>
    <n v="95066568890"/>
    <n v="187"/>
    <d v="2035-01-12T00:00:00"/>
    <s v=""/>
    <x v="7"/>
    <x v="0"/>
  </r>
  <r>
    <n v="86106463597"/>
    <n v="145"/>
    <d v="2035-01-12T00:00:00"/>
    <s v=""/>
    <x v="7"/>
    <x v="0"/>
  </r>
  <r>
    <n v="53641013533"/>
    <n v="198"/>
    <d v="2035-01-12T00:00:00"/>
    <m/>
    <x v="7"/>
    <x v="0"/>
  </r>
  <r>
    <n v="55028770059"/>
    <n v="331"/>
    <d v="2035-01-12T00:00:00"/>
    <s v=""/>
    <x v="7"/>
    <x v="0"/>
  </r>
  <r>
    <n v="98589974640"/>
    <n v="327"/>
    <d v="2035-01-12T00:00:00"/>
    <s v=""/>
    <x v="7"/>
    <x v="0"/>
  </r>
  <r>
    <n v="12698044310"/>
    <n v="238"/>
    <d v="2035-01-12T00:00:00"/>
    <s v=""/>
    <x v="7"/>
    <x v="0"/>
  </r>
  <r>
    <n v="18334001662"/>
    <n v="17"/>
    <d v="2035-01-12T00:00:00"/>
    <s v=""/>
    <x v="7"/>
    <x v="0"/>
  </r>
  <r>
    <n v="75388219707"/>
    <n v="145"/>
    <d v="2035-01-12T00:00:00"/>
    <m/>
    <x v="7"/>
    <x v="0"/>
  </r>
  <r>
    <n v="36491850606"/>
    <n v="244"/>
    <d v="2035-01-12T00:00:00"/>
    <m/>
    <x v="7"/>
    <x v="0"/>
  </r>
  <r>
    <n v="94081571973"/>
    <n v="107"/>
    <d v="2035-01-12T00:00:00"/>
    <s v=""/>
    <x v="7"/>
    <x v="0"/>
  </r>
  <r>
    <n v="44122108562"/>
    <n v="303"/>
    <d v="2035-01-12T00:00:00"/>
    <m/>
    <x v="7"/>
    <x v="0"/>
  </r>
  <r>
    <n v="78899709521"/>
    <n v="275"/>
    <d v="2035-01-12T00:00:00"/>
    <s v=""/>
    <x v="7"/>
    <x v="0"/>
  </r>
  <r>
    <n v="92967442807"/>
    <n v="198"/>
    <d v="2035-01-12T00:00:00"/>
    <s v=""/>
    <x v="7"/>
    <x v="0"/>
  </r>
  <r>
    <n v="96674318189"/>
    <n v="293"/>
    <d v="2035-01-12T00:00:00"/>
    <s v=""/>
    <x v="7"/>
    <x v="0"/>
  </r>
  <r>
    <n v="37718569765"/>
    <n v="111"/>
    <d v="2035-01-12T00:00:00"/>
    <s v=""/>
    <x v="7"/>
    <x v="0"/>
  </r>
  <r>
    <n v="31449175874"/>
    <n v="339"/>
    <d v="2035-01-12T00:00:00"/>
    <d v="2035-01-28T00:00:00"/>
    <x v="7"/>
    <x v="8"/>
  </r>
  <r>
    <n v="45174436039"/>
    <n v="79"/>
    <d v="2035-01-12T00:00:00"/>
    <s v=""/>
    <x v="7"/>
    <x v="0"/>
  </r>
  <r>
    <n v="32789811584"/>
    <n v="233"/>
    <d v="2035-01-12T00:00:00"/>
    <m/>
    <x v="7"/>
    <x v="0"/>
  </r>
  <r>
    <n v="94045411878"/>
    <n v="336"/>
    <d v="2035-01-12T00:00:00"/>
    <s v=""/>
    <x v="7"/>
    <x v="0"/>
  </r>
  <r>
    <n v="76969902542"/>
    <n v="238"/>
    <d v="2035-01-12T00:00:00"/>
    <m/>
    <x v="7"/>
    <x v="0"/>
  </r>
  <r>
    <n v="92640428871"/>
    <n v="230"/>
    <d v="2035-01-12T00:00:00"/>
    <d v="2035-01-14T00:00:00"/>
    <x v="7"/>
    <x v="8"/>
  </r>
  <r>
    <n v="75676911446"/>
    <n v="127"/>
    <d v="2035-01-12T00:00:00"/>
    <m/>
    <x v="7"/>
    <x v="0"/>
  </r>
  <r>
    <n v="98416497228"/>
    <n v="304"/>
    <d v="2035-01-12T00:00:00"/>
    <s v=""/>
    <x v="7"/>
    <x v="0"/>
  </r>
  <r>
    <n v="62420483058"/>
    <n v="16"/>
    <d v="2035-01-12T00:00:00"/>
    <s v=""/>
    <x v="7"/>
    <x v="0"/>
  </r>
  <r>
    <n v="58194270783"/>
    <n v="145"/>
    <d v="2035-01-12T00:00:00"/>
    <m/>
    <x v="7"/>
    <x v="0"/>
  </r>
  <r>
    <n v="41934001702"/>
    <n v="146"/>
    <d v="2035-01-13T00:00:00"/>
    <s v=""/>
    <x v="7"/>
    <x v="0"/>
  </r>
  <r>
    <n v="59537963565"/>
    <n v="170"/>
    <d v="2035-01-13T00:00:00"/>
    <s v=""/>
    <x v="7"/>
    <x v="0"/>
  </r>
  <r>
    <n v="45180077457"/>
    <n v="322"/>
    <d v="2035-01-13T00:00:00"/>
    <m/>
    <x v="7"/>
    <x v="0"/>
  </r>
  <r>
    <n v="49431797102"/>
    <n v="11"/>
    <d v="2035-01-13T00:00:00"/>
    <d v="2035-01-22T00:00:00"/>
    <x v="7"/>
    <x v="8"/>
  </r>
  <r>
    <n v="64709040475"/>
    <n v="53"/>
    <d v="2035-01-13T00:00:00"/>
    <s v=""/>
    <x v="7"/>
    <x v="0"/>
  </r>
  <r>
    <n v="95043563988"/>
    <n v="23"/>
    <d v="2035-01-13T00:00:00"/>
    <m/>
    <x v="7"/>
    <x v="0"/>
  </r>
  <r>
    <n v="23625511191"/>
    <n v="148"/>
    <d v="2035-01-13T00:00:00"/>
    <s v=""/>
    <x v="7"/>
    <x v="0"/>
  </r>
  <r>
    <n v="21001233183"/>
    <n v="260"/>
    <d v="2035-01-13T00:00:00"/>
    <s v=""/>
    <x v="7"/>
    <x v="0"/>
  </r>
  <r>
    <n v="43453903691"/>
    <n v="214"/>
    <d v="2035-01-13T00:00:00"/>
    <s v=""/>
    <x v="7"/>
    <x v="0"/>
  </r>
  <r>
    <n v="25503006208"/>
    <n v="243"/>
    <d v="2035-01-13T00:00:00"/>
    <m/>
    <x v="7"/>
    <x v="0"/>
  </r>
  <r>
    <n v="56325300366"/>
    <n v="230"/>
    <d v="2035-01-13T00:00:00"/>
    <s v=""/>
    <x v="7"/>
    <x v="0"/>
  </r>
  <r>
    <n v="58378699915"/>
    <n v="220"/>
    <d v="2035-01-13T00:00:00"/>
    <s v=""/>
    <x v="7"/>
    <x v="0"/>
  </r>
  <r>
    <n v="83395101033"/>
    <n v="3"/>
    <d v="2035-01-13T00:00:00"/>
    <s v=""/>
    <x v="7"/>
    <x v="0"/>
  </r>
  <r>
    <n v="28866774913"/>
    <n v="281"/>
    <d v="2035-01-13T00:00:00"/>
    <s v=""/>
    <x v="7"/>
    <x v="0"/>
  </r>
  <r>
    <n v="78235145045"/>
    <n v="239"/>
    <d v="2035-01-13T00:00:00"/>
    <s v=""/>
    <x v="7"/>
    <x v="0"/>
  </r>
  <r>
    <n v="35843832460"/>
    <n v="312"/>
    <d v="2035-01-13T00:00:00"/>
    <s v=""/>
    <x v="7"/>
    <x v="0"/>
  </r>
  <r>
    <n v="44662359635"/>
    <n v="110"/>
    <d v="2035-01-13T00:00:00"/>
    <s v=""/>
    <x v="7"/>
    <x v="0"/>
  </r>
  <r>
    <n v="22469748467"/>
    <n v="340"/>
    <d v="2035-01-13T00:00:00"/>
    <s v=""/>
    <x v="7"/>
    <x v="0"/>
  </r>
  <r>
    <n v="66446956809"/>
    <n v="318"/>
    <d v="2035-01-13T00:00:00"/>
    <m/>
    <x v="7"/>
    <x v="0"/>
  </r>
  <r>
    <n v="89301805986"/>
    <n v="23"/>
    <d v="2035-01-13T00:00:00"/>
    <s v=""/>
    <x v="7"/>
    <x v="0"/>
  </r>
  <r>
    <n v="45302700531"/>
    <n v="71"/>
    <d v="2035-01-13T00:00:00"/>
    <s v=""/>
    <x v="7"/>
    <x v="0"/>
  </r>
  <r>
    <n v="68717609469"/>
    <n v="128"/>
    <d v="2035-01-13T00:00:00"/>
    <m/>
    <x v="7"/>
    <x v="0"/>
  </r>
  <r>
    <n v="20771839329"/>
    <n v="193"/>
    <d v="2035-01-13T00:00:00"/>
    <s v=""/>
    <x v="7"/>
    <x v="0"/>
  </r>
  <r>
    <n v="54817849209"/>
    <n v="132"/>
    <d v="2035-01-13T00:00:00"/>
    <s v=""/>
    <x v="7"/>
    <x v="0"/>
  </r>
  <r>
    <n v="20682435776"/>
    <n v="234"/>
    <d v="2035-01-13T00:00:00"/>
    <s v=""/>
    <x v="7"/>
    <x v="0"/>
  </r>
  <r>
    <n v="66697260861"/>
    <n v="137"/>
    <d v="2035-01-13T00:00:00"/>
    <s v=""/>
    <x v="7"/>
    <x v="0"/>
  </r>
  <r>
    <n v="85903560712"/>
    <n v="303"/>
    <d v="2035-01-13T00:00:00"/>
    <s v=""/>
    <x v="7"/>
    <x v="0"/>
  </r>
  <r>
    <n v="39752572492"/>
    <n v="327"/>
    <d v="2035-01-13T00:00:00"/>
    <s v=""/>
    <x v="7"/>
    <x v="0"/>
  </r>
  <r>
    <n v="14145036187"/>
    <n v="50"/>
    <d v="2035-01-13T00:00:00"/>
    <s v=""/>
    <x v="7"/>
    <x v="0"/>
  </r>
  <r>
    <n v="33236654140"/>
    <n v="10"/>
    <d v="2035-01-13T00:00:00"/>
    <s v=""/>
    <x v="7"/>
    <x v="0"/>
  </r>
  <r>
    <n v="34943301697"/>
    <n v="7"/>
    <d v="2035-01-14T00:00:00"/>
    <s v=""/>
    <x v="7"/>
    <x v="0"/>
  </r>
  <r>
    <n v="68208507985"/>
    <n v="22"/>
    <d v="2035-01-14T00:00:00"/>
    <s v=""/>
    <x v="7"/>
    <x v="0"/>
  </r>
  <r>
    <n v="40830036420"/>
    <n v="76"/>
    <d v="2035-01-14T00:00:00"/>
    <s v=""/>
    <x v="7"/>
    <x v="0"/>
  </r>
  <r>
    <n v="19521445941"/>
    <n v="131"/>
    <d v="2035-01-14T00:00:00"/>
    <s v=""/>
    <x v="7"/>
    <x v="0"/>
  </r>
  <r>
    <n v="89596794201"/>
    <n v="127"/>
    <d v="2035-01-14T00:00:00"/>
    <s v=""/>
    <x v="7"/>
    <x v="0"/>
  </r>
  <r>
    <n v="97804466623"/>
    <n v="50"/>
    <d v="2035-01-14T00:00:00"/>
    <s v=""/>
    <x v="7"/>
    <x v="0"/>
  </r>
  <r>
    <n v="50238403010"/>
    <n v="58"/>
    <d v="2035-01-14T00:00:00"/>
    <s v=""/>
    <x v="7"/>
    <x v="0"/>
  </r>
  <r>
    <n v="23332268975"/>
    <n v="11"/>
    <d v="2035-01-14T00:00:00"/>
    <m/>
    <x v="7"/>
    <x v="0"/>
  </r>
  <r>
    <n v="63450115197"/>
    <n v="30"/>
    <d v="2035-01-14T00:00:00"/>
    <s v=""/>
    <x v="7"/>
    <x v="0"/>
  </r>
  <r>
    <n v="46360949369"/>
    <n v="41"/>
    <d v="2035-01-14T00:00:00"/>
    <s v=""/>
    <x v="7"/>
    <x v="0"/>
  </r>
  <r>
    <n v="83164148927"/>
    <n v="41"/>
    <d v="2035-01-14T00:00:00"/>
    <s v=""/>
    <x v="7"/>
    <x v="0"/>
  </r>
  <r>
    <n v="57652341175"/>
    <n v="163"/>
    <d v="2035-01-14T00:00:00"/>
    <s v=""/>
    <x v="7"/>
    <x v="0"/>
  </r>
  <r>
    <n v="78404943719"/>
    <n v="332"/>
    <d v="2035-01-14T00:00:00"/>
    <s v=""/>
    <x v="7"/>
    <x v="0"/>
  </r>
  <r>
    <n v="83731768970"/>
    <n v="230"/>
    <d v="2035-01-14T00:00:00"/>
    <s v=""/>
    <x v="7"/>
    <x v="0"/>
  </r>
  <r>
    <n v="37651146954"/>
    <n v="316"/>
    <d v="2035-01-14T00:00:00"/>
    <s v=""/>
    <x v="7"/>
    <x v="0"/>
  </r>
  <r>
    <n v="76850543794"/>
    <n v="272"/>
    <d v="2035-01-14T00:00:00"/>
    <s v=""/>
    <x v="7"/>
    <x v="0"/>
  </r>
  <r>
    <n v="87434160502"/>
    <n v="6"/>
    <d v="2035-01-14T00:00:00"/>
    <s v=""/>
    <x v="7"/>
    <x v="0"/>
  </r>
  <r>
    <n v="56988358719"/>
    <n v="90"/>
    <d v="2035-01-14T00:00:00"/>
    <s v=""/>
    <x v="7"/>
    <x v="0"/>
  </r>
  <r>
    <n v="46597726118"/>
    <n v="291"/>
    <d v="2035-01-14T00:00:00"/>
    <m/>
    <x v="7"/>
    <x v="0"/>
  </r>
  <r>
    <n v="63141666552"/>
    <n v="272"/>
    <d v="2035-01-14T00:00:00"/>
    <s v=""/>
    <x v="7"/>
    <x v="0"/>
  </r>
  <r>
    <n v="92506895567"/>
    <n v="288"/>
    <d v="2035-01-14T00:00:00"/>
    <m/>
    <x v="7"/>
    <x v="0"/>
  </r>
  <r>
    <n v="54108657633"/>
    <n v="156"/>
    <d v="2035-01-14T00:00:00"/>
    <s v=""/>
    <x v="7"/>
    <x v="0"/>
  </r>
  <r>
    <n v="47643809143"/>
    <n v="200"/>
    <d v="2035-01-14T00:00:00"/>
    <s v=""/>
    <x v="7"/>
    <x v="0"/>
  </r>
  <r>
    <n v="94338469244"/>
    <n v="58"/>
    <d v="2035-01-15T00:00:00"/>
    <s v=""/>
    <x v="7"/>
    <x v="0"/>
  </r>
  <r>
    <n v="88701272799"/>
    <n v="108"/>
    <d v="2035-01-15T00:00:00"/>
    <s v=""/>
    <x v="7"/>
    <x v="0"/>
  </r>
  <r>
    <n v="71559890779"/>
    <n v="188"/>
    <d v="2035-01-15T00:00:00"/>
    <s v=""/>
    <x v="7"/>
    <x v="0"/>
  </r>
  <r>
    <n v="49015829668"/>
    <n v="211"/>
    <d v="2035-01-15T00:00:00"/>
    <s v=""/>
    <x v="7"/>
    <x v="0"/>
  </r>
  <r>
    <n v="65460352286"/>
    <n v="231"/>
    <d v="2035-01-15T00:00:00"/>
    <s v=""/>
    <x v="7"/>
    <x v="0"/>
  </r>
  <r>
    <n v="97524585337"/>
    <n v="336"/>
    <d v="2035-01-15T00:00:00"/>
    <s v=""/>
    <x v="7"/>
    <x v="0"/>
  </r>
  <r>
    <n v="78569561600"/>
    <n v="1"/>
    <d v="2035-01-15T00:00:00"/>
    <s v=""/>
    <x v="7"/>
    <x v="0"/>
  </r>
  <r>
    <n v="78876325784"/>
    <n v="82"/>
    <d v="2035-01-15T00:00:00"/>
    <s v=""/>
    <x v="7"/>
    <x v="0"/>
  </r>
  <r>
    <n v="88034157502"/>
    <n v="31"/>
    <d v="2035-01-15T00:00:00"/>
    <s v=""/>
    <x v="7"/>
    <x v="0"/>
  </r>
  <r>
    <n v="24049143876"/>
    <n v="65"/>
    <d v="2035-01-15T00:00:00"/>
    <s v=""/>
    <x v="7"/>
    <x v="0"/>
  </r>
  <r>
    <n v="78827326838"/>
    <n v="257"/>
    <d v="2035-01-15T00:00:00"/>
    <s v=""/>
    <x v="7"/>
    <x v="0"/>
  </r>
  <r>
    <n v="36994155650"/>
    <n v="268"/>
    <d v="2035-01-15T00:00:00"/>
    <s v=""/>
    <x v="7"/>
    <x v="0"/>
  </r>
  <r>
    <n v="87088367298"/>
    <n v="108"/>
    <d v="2035-01-15T00:00:00"/>
    <s v=""/>
    <x v="7"/>
    <x v="0"/>
  </r>
  <r>
    <n v="82896280181"/>
    <n v="308"/>
    <d v="2035-01-15T00:00:00"/>
    <s v=""/>
    <x v="7"/>
    <x v="0"/>
  </r>
  <r>
    <n v="68758227288"/>
    <n v="183"/>
    <d v="2035-01-15T00:00:00"/>
    <s v=""/>
    <x v="7"/>
    <x v="0"/>
  </r>
  <r>
    <n v="45943068349"/>
    <n v="164"/>
    <d v="2035-01-15T00:00:00"/>
    <s v=""/>
    <x v="7"/>
    <x v="0"/>
  </r>
  <r>
    <n v="75905797565"/>
    <n v="18"/>
    <d v="2035-01-15T00:00:00"/>
    <s v=""/>
    <x v="7"/>
    <x v="0"/>
  </r>
  <r>
    <n v="97935798316"/>
    <n v="42"/>
    <d v="2035-01-15T00:00:00"/>
    <s v=""/>
    <x v="7"/>
    <x v="0"/>
  </r>
  <r>
    <n v="89624365610"/>
    <n v="308"/>
    <d v="2035-01-15T00:00:00"/>
    <m/>
    <x v="7"/>
    <x v="0"/>
  </r>
  <r>
    <n v="29557882029"/>
    <n v="79"/>
    <d v="2035-01-15T00:00:00"/>
    <s v=""/>
    <x v="7"/>
    <x v="0"/>
  </r>
  <r>
    <n v="85267166034"/>
    <n v="223"/>
    <d v="2035-01-15T00:00:00"/>
    <s v=""/>
    <x v="7"/>
    <x v="0"/>
  </r>
  <r>
    <n v="15301365750"/>
    <n v="228"/>
    <d v="2035-01-15T00:00:00"/>
    <s v=""/>
    <x v="7"/>
    <x v="0"/>
  </r>
  <r>
    <n v="32342249891"/>
    <n v="102"/>
    <d v="2035-01-15T00:00:00"/>
    <m/>
    <x v="7"/>
    <x v="0"/>
  </r>
  <r>
    <n v="88975536510"/>
    <n v="276"/>
    <d v="2035-01-15T00:00:00"/>
    <m/>
    <x v="7"/>
    <x v="0"/>
  </r>
  <r>
    <n v="23987759739"/>
    <n v="120"/>
    <d v="2035-01-15T00:00:00"/>
    <m/>
    <x v="7"/>
    <x v="0"/>
  </r>
  <r>
    <n v="34826249894"/>
    <n v="157"/>
    <d v="2035-01-15T00:00:00"/>
    <s v=""/>
    <x v="7"/>
    <x v="0"/>
  </r>
  <r>
    <n v="39418387636"/>
    <n v="133"/>
    <d v="2035-01-15T00:00:00"/>
    <s v=""/>
    <x v="7"/>
    <x v="0"/>
  </r>
  <r>
    <n v="58487850122"/>
    <n v="173"/>
    <d v="2035-01-15T00:00:00"/>
    <s v=""/>
    <x v="7"/>
    <x v="0"/>
  </r>
  <r>
    <n v="77136661099"/>
    <n v="269"/>
    <d v="2035-01-15T00:00:00"/>
    <m/>
    <x v="7"/>
    <x v="0"/>
  </r>
  <r>
    <n v="81941986496"/>
    <n v="204"/>
    <d v="2035-01-15T00:00:00"/>
    <s v=""/>
    <x v="7"/>
    <x v="0"/>
  </r>
  <r>
    <n v="14496943949"/>
    <n v="34"/>
    <d v="2035-01-15T00:00:00"/>
    <s v=""/>
    <x v="7"/>
    <x v="0"/>
  </r>
  <r>
    <n v="65896417746"/>
    <n v="237"/>
    <d v="2035-01-16T00:00:00"/>
    <m/>
    <x v="7"/>
    <x v="0"/>
  </r>
  <r>
    <n v="17678325091"/>
    <n v="220"/>
    <d v="2035-01-16T00:00:00"/>
    <s v=""/>
    <x v="7"/>
    <x v="0"/>
  </r>
  <r>
    <n v="29816670240"/>
    <n v="298"/>
    <d v="2035-01-16T00:00:00"/>
    <s v=""/>
    <x v="7"/>
    <x v="0"/>
  </r>
  <r>
    <n v="56676954020"/>
    <n v="217"/>
    <d v="2035-01-16T00:00:00"/>
    <m/>
    <x v="7"/>
    <x v="0"/>
  </r>
  <r>
    <n v="78575532331"/>
    <n v="203"/>
    <d v="2035-01-16T00:00:00"/>
    <s v=""/>
    <x v="7"/>
    <x v="0"/>
  </r>
  <r>
    <n v="47005958770"/>
    <n v="303"/>
    <d v="2035-01-16T00:00:00"/>
    <m/>
    <x v="7"/>
    <x v="0"/>
  </r>
  <r>
    <n v="21865815641"/>
    <n v="147"/>
    <d v="2035-01-16T00:00:00"/>
    <m/>
    <x v="7"/>
    <x v="0"/>
  </r>
  <r>
    <n v="96468165635"/>
    <n v="63"/>
    <d v="2035-01-16T00:00:00"/>
    <s v=""/>
    <x v="7"/>
    <x v="0"/>
  </r>
  <r>
    <n v="92436719580"/>
    <n v="2"/>
    <d v="2035-01-16T00:00:00"/>
    <s v=""/>
    <x v="7"/>
    <x v="0"/>
  </r>
  <r>
    <n v="89493150612"/>
    <n v="117"/>
    <d v="2035-01-16T00:00:00"/>
    <m/>
    <x v="7"/>
    <x v="0"/>
  </r>
  <r>
    <n v="76588905220"/>
    <n v="18"/>
    <d v="2035-01-16T00:00:00"/>
    <s v=""/>
    <x v="7"/>
    <x v="0"/>
  </r>
  <r>
    <n v="17141339993"/>
    <n v="162"/>
    <d v="2035-01-16T00:00:00"/>
    <m/>
    <x v="7"/>
    <x v="0"/>
  </r>
  <r>
    <n v="75736876299"/>
    <n v="219"/>
    <d v="2035-01-16T00:00:00"/>
    <s v=""/>
    <x v="7"/>
    <x v="0"/>
  </r>
  <r>
    <n v="26958470292"/>
    <n v="107"/>
    <d v="2035-01-16T00:00:00"/>
    <s v=""/>
    <x v="7"/>
    <x v="0"/>
  </r>
  <r>
    <n v="42736240456"/>
    <n v="22"/>
    <d v="2035-01-16T00:00:00"/>
    <s v=""/>
    <x v="7"/>
    <x v="0"/>
  </r>
  <r>
    <n v="18145993967"/>
    <n v="234"/>
    <d v="2035-01-16T00:00:00"/>
    <s v=""/>
    <x v="7"/>
    <x v="0"/>
  </r>
  <r>
    <n v="49515984777"/>
    <n v="246"/>
    <d v="2035-01-16T00:00:00"/>
    <m/>
    <x v="7"/>
    <x v="0"/>
  </r>
  <r>
    <n v="65211514650"/>
    <n v="246"/>
    <d v="2035-01-16T00:00:00"/>
    <s v=""/>
    <x v="7"/>
    <x v="0"/>
  </r>
  <r>
    <n v="66568684536"/>
    <n v="338"/>
    <d v="2035-01-16T00:00:00"/>
    <m/>
    <x v="7"/>
    <x v="0"/>
  </r>
  <r>
    <n v="95970389724"/>
    <n v="183"/>
    <d v="2035-01-16T00:00:00"/>
    <s v=""/>
    <x v="7"/>
    <x v="0"/>
  </r>
  <r>
    <n v="30753981201"/>
    <n v="86"/>
    <d v="2035-01-16T00:00:00"/>
    <s v=""/>
    <x v="7"/>
    <x v="0"/>
  </r>
  <r>
    <n v="57595692390"/>
    <n v="14"/>
    <d v="2035-01-16T00:00:00"/>
    <m/>
    <x v="7"/>
    <x v="0"/>
  </r>
  <r>
    <n v="69743382516"/>
    <n v="135"/>
    <d v="2035-01-16T00:00:00"/>
    <s v=""/>
    <x v="7"/>
    <x v="0"/>
  </r>
  <r>
    <n v="83509530061"/>
    <n v="166"/>
    <d v="2035-01-16T00:00:00"/>
    <m/>
    <x v="7"/>
    <x v="0"/>
  </r>
  <r>
    <n v="86083150295"/>
    <n v="134"/>
    <d v="2035-01-16T00:00:00"/>
    <s v=""/>
    <x v="7"/>
    <x v="0"/>
  </r>
  <r>
    <n v="21358094870"/>
    <n v="52"/>
    <d v="2035-01-16T00:00:00"/>
    <s v=""/>
    <x v="7"/>
    <x v="0"/>
  </r>
  <r>
    <n v="50334711560"/>
    <n v="13"/>
    <d v="2035-01-16T00:00:00"/>
    <s v=""/>
    <x v="7"/>
    <x v="0"/>
  </r>
  <r>
    <n v="24575321781"/>
    <n v="112"/>
    <d v="2035-01-17T00:00:00"/>
    <s v=""/>
    <x v="7"/>
    <x v="0"/>
  </r>
  <r>
    <n v="86298620493"/>
    <n v="152"/>
    <d v="2035-01-17T00:00:00"/>
    <s v=""/>
    <x v="7"/>
    <x v="0"/>
  </r>
  <r>
    <n v="36137206443"/>
    <n v="131"/>
    <d v="2035-01-17T00:00:00"/>
    <s v=""/>
    <x v="7"/>
    <x v="0"/>
  </r>
  <r>
    <n v="45282056172"/>
    <n v="104"/>
    <d v="2035-01-17T00:00:00"/>
    <s v=""/>
    <x v="7"/>
    <x v="0"/>
  </r>
  <r>
    <n v="41077303517"/>
    <n v="151"/>
    <d v="2035-01-17T00:00:00"/>
    <s v=""/>
    <x v="7"/>
    <x v="0"/>
  </r>
  <r>
    <n v="65686104130"/>
    <n v="166"/>
    <d v="2035-01-17T00:00:00"/>
    <s v=""/>
    <x v="7"/>
    <x v="0"/>
  </r>
  <r>
    <n v="66186040995"/>
    <n v="143"/>
    <d v="2035-01-17T00:00:00"/>
    <m/>
    <x v="7"/>
    <x v="0"/>
  </r>
  <r>
    <n v="98232404143"/>
    <n v="273"/>
    <d v="2035-01-17T00:00:00"/>
    <s v=""/>
    <x v="7"/>
    <x v="0"/>
  </r>
  <r>
    <n v="19200770096"/>
    <n v="248"/>
    <d v="2035-01-17T00:00:00"/>
    <s v=""/>
    <x v="7"/>
    <x v="0"/>
  </r>
  <r>
    <n v="20308267948"/>
    <n v="274"/>
    <d v="2035-01-17T00:00:00"/>
    <s v=""/>
    <x v="7"/>
    <x v="0"/>
  </r>
  <r>
    <n v="53190040918"/>
    <n v="340"/>
    <d v="2035-01-17T00:00:00"/>
    <s v=""/>
    <x v="7"/>
    <x v="0"/>
  </r>
  <r>
    <n v="20825917535"/>
    <n v="4"/>
    <d v="2035-01-17T00:00:00"/>
    <s v=""/>
    <x v="7"/>
    <x v="0"/>
  </r>
  <r>
    <n v="64518176370"/>
    <n v="148"/>
    <d v="2035-01-17T00:00:00"/>
    <s v=""/>
    <x v="7"/>
    <x v="0"/>
  </r>
  <r>
    <n v="47996959689"/>
    <n v="324"/>
    <d v="2035-01-17T00:00:00"/>
    <s v=""/>
    <x v="7"/>
    <x v="0"/>
  </r>
  <r>
    <n v="96979749738"/>
    <n v="13"/>
    <d v="2035-01-17T00:00:00"/>
    <s v=""/>
    <x v="7"/>
    <x v="0"/>
  </r>
  <r>
    <n v="33459426555"/>
    <n v="142"/>
    <d v="2035-01-17T00:00:00"/>
    <s v=""/>
    <x v="7"/>
    <x v="0"/>
  </r>
  <r>
    <n v="20575546781"/>
    <n v="161"/>
    <d v="2035-01-17T00:00:00"/>
    <s v=""/>
    <x v="7"/>
    <x v="0"/>
  </r>
  <r>
    <n v="57568684273"/>
    <n v="116"/>
    <d v="2035-01-18T00:00:00"/>
    <s v=""/>
    <x v="7"/>
    <x v="0"/>
  </r>
  <r>
    <n v="41258857622"/>
    <n v="224"/>
    <d v="2035-01-18T00:00:00"/>
    <s v=""/>
    <x v="7"/>
    <x v="0"/>
  </r>
  <r>
    <n v="53551901177"/>
    <n v="198"/>
    <d v="2035-01-18T00:00:00"/>
    <s v=""/>
    <x v="7"/>
    <x v="0"/>
  </r>
  <r>
    <n v="27892593023"/>
    <n v="327"/>
    <d v="2035-01-18T00:00:00"/>
    <d v="2035-01-18T00:00:00"/>
    <x v="7"/>
    <x v="8"/>
  </r>
  <r>
    <n v="19233565404"/>
    <n v="98"/>
    <d v="2035-01-18T00:00:00"/>
    <s v=""/>
    <x v="7"/>
    <x v="0"/>
  </r>
  <r>
    <n v="18458126787"/>
    <n v="225"/>
    <d v="2035-01-18T00:00:00"/>
    <m/>
    <x v="7"/>
    <x v="0"/>
  </r>
  <r>
    <n v="33926434855"/>
    <n v="20"/>
    <d v="2035-01-18T00:00:00"/>
    <s v=""/>
    <x v="7"/>
    <x v="0"/>
  </r>
  <r>
    <n v="83717001264"/>
    <n v="38"/>
    <d v="2035-01-18T00:00:00"/>
    <s v=""/>
    <x v="7"/>
    <x v="0"/>
  </r>
  <r>
    <n v="60778885005"/>
    <n v="240"/>
    <d v="2035-01-18T00:00:00"/>
    <s v=""/>
    <x v="7"/>
    <x v="0"/>
  </r>
  <r>
    <n v="53021673965"/>
    <n v="265"/>
    <d v="2035-01-18T00:00:00"/>
    <s v=""/>
    <x v="7"/>
    <x v="0"/>
  </r>
  <r>
    <n v="63013665118"/>
    <n v="107"/>
    <d v="2035-01-18T00:00:00"/>
    <s v=""/>
    <x v="7"/>
    <x v="0"/>
  </r>
  <r>
    <n v="38607269281"/>
    <n v="108"/>
    <d v="2035-01-18T00:00:00"/>
    <s v=""/>
    <x v="7"/>
    <x v="0"/>
  </r>
  <r>
    <n v="72465111181"/>
    <n v="155"/>
    <d v="2035-01-18T00:00:00"/>
    <s v=""/>
    <x v="7"/>
    <x v="0"/>
  </r>
  <r>
    <n v="88798084134"/>
    <n v="323"/>
    <d v="2035-01-18T00:00:00"/>
    <m/>
    <x v="7"/>
    <x v="0"/>
  </r>
  <r>
    <n v="80977903532"/>
    <n v="111"/>
    <d v="2035-01-18T00:00:00"/>
    <s v=""/>
    <x v="7"/>
    <x v="0"/>
  </r>
  <r>
    <n v="24045694542"/>
    <n v="199"/>
    <d v="2035-01-18T00:00:00"/>
    <m/>
    <x v="7"/>
    <x v="0"/>
  </r>
  <r>
    <n v="88290289808"/>
    <n v="88"/>
    <d v="2035-01-18T00:00:00"/>
    <m/>
    <x v="7"/>
    <x v="0"/>
  </r>
  <r>
    <n v="33548299312"/>
    <n v="48"/>
    <d v="2035-01-18T00:00:00"/>
    <s v=""/>
    <x v="7"/>
    <x v="0"/>
  </r>
  <r>
    <n v="45003585087"/>
    <n v="156"/>
    <d v="2035-01-18T00:00:00"/>
    <m/>
    <x v="7"/>
    <x v="0"/>
  </r>
  <r>
    <n v="38514191549"/>
    <n v="65"/>
    <d v="2035-01-18T00:00:00"/>
    <s v=""/>
    <x v="7"/>
    <x v="0"/>
  </r>
  <r>
    <n v="60805846742"/>
    <n v="315"/>
    <d v="2035-01-18T00:00:00"/>
    <s v=""/>
    <x v="7"/>
    <x v="0"/>
  </r>
  <r>
    <n v="39520462666"/>
    <n v="58"/>
    <d v="2035-01-18T00:00:00"/>
    <s v=""/>
    <x v="7"/>
    <x v="0"/>
  </r>
  <r>
    <n v="69681385243"/>
    <n v="22"/>
    <d v="2035-01-19T00:00:00"/>
    <s v=""/>
    <x v="7"/>
    <x v="0"/>
  </r>
  <r>
    <n v="67097613398"/>
    <n v="162"/>
    <d v="2035-01-19T00:00:00"/>
    <m/>
    <x v="7"/>
    <x v="0"/>
  </r>
  <r>
    <n v="57164840845"/>
    <n v="81"/>
    <d v="2035-01-19T00:00:00"/>
    <s v=""/>
    <x v="7"/>
    <x v="0"/>
  </r>
  <r>
    <n v="81885268721"/>
    <n v="188"/>
    <d v="2035-01-19T00:00:00"/>
    <s v=""/>
    <x v="7"/>
    <x v="0"/>
  </r>
  <r>
    <n v="69791536379"/>
    <n v="223"/>
    <d v="2035-01-19T00:00:00"/>
    <s v=""/>
    <x v="7"/>
    <x v="0"/>
  </r>
  <r>
    <n v="24660021769"/>
    <n v="69"/>
    <d v="2035-01-19T00:00:00"/>
    <s v=""/>
    <x v="7"/>
    <x v="0"/>
  </r>
  <r>
    <n v="16471783368"/>
    <n v="305"/>
    <d v="2035-01-19T00:00:00"/>
    <s v=""/>
    <x v="7"/>
    <x v="0"/>
  </r>
  <r>
    <n v="43573431429"/>
    <n v="217"/>
    <d v="2035-01-19T00:00:00"/>
    <d v="2035-01-28T00:00:00"/>
    <x v="7"/>
    <x v="8"/>
  </r>
  <r>
    <n v="87034751643"/>
    <n v="206"/>
    <d v="2035-01-19T00:00:00"/>
    <m/>
    <x v="7"/>
    <x v="0"/>
  </r>
  <r>
    <n v="96278006678"/>
    <n v="32"/>
    <d v="2035-01-19T00:00:00"/>
    <s v=""/>
    <x v="7"/>
    <x v="0"/>
  </r>
  <r>
    <n v="73095882950"/>
    <n v="167"/>
    <d v="2035-01-19T00:00:00"/>
    <s v=""/>
    <x v="7"/>
    <x v="0"/>
  </r>
  <r>
    <n v="65309187506"/>
    <n v="7"/>
    <d v="2035-01-19T00:00:00"/>
    <s v=""/>
    <x v="7"/>
    <x v="0"/>
  </r>
  <r>
    <n v="26035340529"/>
    <n v="338"/>
    <d v="2035-01-19T00:00:00"/>
    <s v=""/>
    <x v="7"/>
    <x v="0"/>
  </r>
  <r>
    <n v="80255239991"/>
    <n v="317"/>
    <d v="2035-01-19T00:00:00"/>
    <s v=""/>
    <x v="7"/>
    <x v="0"/>
  </r>
  <r>
    <n v="87652556529"/>
    <n v="53"/>
    <d v="2035-01-19T00:00:00"/>
    <m/>
    <x v="7"/>
    <x v="0"/>
  </r>
  <r>
    <n v="47332803418"/>
    <n v="20"/>
    <d v="2035-01-19T00:00:00"/>
    <s v=""/>
    <x v="7"/>
    <x v="0"/>
  </r>
  <r>
    <n v="72271266323"/>
    <n v="103"/>
    <d v="2035-01-19T00:00:00"/>
    <s v=""/>
    <x v="7"/>
    <x v="0"/>
  </r>
  <r>
    <n v="77087712961"/>
    <n v="161"/>
    <d v="2035-01-19T00:00:00"/>
    <s v=""/>
    <x v="7"/>
    <x v="0"/>
  </r>
  <r>
    <n v="95963858996"/>
    <n v="7"/>
    <d v="2035-01-19T00:00:00"/>
    <m/>
    <x v="7"/>
    <x v="0"/>
  </r>
  <r>
    <n v="97798058466"/>
    <n v="176"/>
    <d v="2035-01-19T00:00:00"/>
    <s v=""/>
    <x v="7"/>
    <x v="0"/>
  </r>
  <r>
    <n v="80159597897"/>
    <n v="43"/>
    <d v="2035-01-19T00:00:00"/>
    <s v=""/>
    <x v="7"/>
    <x v="0"/>
  </r>
  <r>
    <n v="92384501581"/>
    <n v="17"/>
    <d v="2035-01-19T00:00:00"/>
    <s v=""/>
    <x v="7"/>
    <x v="0"/>
  </r>
  <r>
    <n v="20470390431"/>
    <n v="309"/>
    <d v="2035-01-19T00:00:00"/>
    <s v=""/>
    <x v="7"/>
    <x v="0"/>
  </r>
  <r>
    <n v="16564505921"/>
    <n v="146"/>
    <d v="2035-01-19T00:00:00"/>
    <m/>
    <x v="7"/>
    <x v="0"/>
  </r>
  <r>
    <n v="67619937013"/>
    <n v="227"/>
    <d v="2035-01-19T00:00:00"/>
    <s v=""/>
    <x v="7"/>
    <x v="0"/>
  </r>
  <r>
    <n v="64594679464"/>
    <n v="27"/>
    <d v="2035-01-19T00:00:00"/>
    <m/>
    <x v="7"/>
    <x v="0"/>
  </r>
  <r>
    <n v="76227204072"/>
    <n v="293"/>
    <d v="2035-01-19T00:00:00"/>
    <s v=""/>
    <x v="7"/>
    <x v="0"/>
  </r>
  <r>
    <n v="11517276339"/>
    <n v="40"/>
    <d v="2035-01-19T00:00:00"/>
    <s v=""/>
    <x v="7"/>
    <x v="0"/>
  </r>
  <r>
    <n v="21221187067"/>
    <n v="317"/>
    <d v="2035-01-19T00:00:00"/>
    <s v=""/>
    <x v="7"/>
    <x v="0"/>
  </r>
  <r>
    <n v="32130580896"/>
    <n v="335"/>
    <d v="2035-01-19T00:00:00"/>
    <s v=""/>
    <x v="7"/>
    <x v="0"/>
  </r>
  <r>
    <n v="13276210131"/>
    <n v="304"/>
    <d v="2035-01-19T00:00:00"/>
    <s v=""/>
    <x v="7"/>
    <x v="0"/>
  </r>
  <r>
    <n v="34940296731"/>
    <n v="174"/>
    <d v="2035-01-19T00:00:00"/>
    <s v=""/>
    <x v="7"/>
    <x v="0"/>
  </r>
  <r>
    <n v="96291869454"/>
    <n v="182"/>
    <d v="2035-01-20T00:00:00"/>
    <s v=""/>
    <x v="7"/>
    <x v="0"/>
  </r>
  <r>
    <n v="66389171378"/>
    <n v="334"/>
    <d v="2035-01-20T00:00:00"/>
    <s v=""/>
    <x v="7"/>
    <x v="0"/>
  </r>
  <r>
    <n v="15168293655"/>
    <n v="203"/>
    <d v="2035-01-20T00:00:00"/>
    <s v=""/>
    <x v="7"/>
    <x v="0"/>
  </r>
  <r>
    <n v="46733715299"/>
    <n v="286"/>
    <d v="2035-01-20T00:00:00"/>
    <s v=""/>
    <x v="7"/>
    <x v="0"/>
  </r>
  <r>
    <n v="47690640150"/>
    <n v="274"/>
    <d v="2035-01-20T00:00:00"/>
    <s v=""/>
    <x v="7"/>
    <x v="0"/>
  </r>
  <r>
    <n v="27226074509"/>
    <n v="61"/>
    <d v="2035-01-20T00:00:00"/>
    <s v=""/>
    <x v="7"/>
    <x v="0"/>
  </r>
  <r>
    <n v="22046403090"/>
    <n v="81"/>
    <d v="2035-01-20T00:00:00"/>
    <s v=""/>
    <x v="7"/>
    <x v="0"/>
  </r>
  <r>
    <n v="73539990975"/>
    <n v="229"/>
    <d v="2035-01-20T00:00:00"/>
    <s v=""/>
    <x v="7"/>
    <x v="0"/>
  </r>
  <r>
    <n v="52835118023"/>
    <n v="258"/>
    <d v="2035-01-20T00:00:00"/>
    <s v=""/>
    <x v="7"/>
    <x v="0"/>
  </r>
  <r>
    <n v="83063630707"/>
    <n v="125"/>
    <d v="2035-01-20T00:00:00"/>
    <m/>
    <x v="7"/>
    <x v="0"/>
  </r>
  <r>
    <n v="14409815540"/>
    <n v="113"/>
    <d v="2035-01-20T00:00:00"/>
    <m/>
    <x v="7"/>
    <x v="0"/>
  </r>
  <r>
    <n v="47735040225"/>
    <n v="64"/>
    <d v="2035-01-20T00:00:00"/>
    <s v=""/>
    <x v="7"/>
    <x v="0"/>
  </r>
  <r>
    <n v="13407366453"/>
    <n v="112"/>
    <d v="2035-01-20T00:00:00"/>
    <s v=""/>
    <x v="7"/>
    <x v="0"/>
  </r>
  <r>
    <n v="80381621626"/>
    <n v="150"/>
    <d v="2035-01-20T00:00:00"/>
    <m/>
    <x v="7"/>
    <x v="0"/>
  </r>
  <r>
    <n v="44116998666"/>
    <n v="3"/>
    <d v="2035-01-20T00:00:00"/>
    <s v=""/>
    <x v="7"/>
    <x v="0"/>
  </r>
  <r>
    <n v="66222351413"/>
    <n v="277"/>
    <d v="2035-01-20T00:00:00"/>
    <s v=""/>
    <x v="7"/>
    <x v="0"/>
  </r>
  <r>
    <n v="73946836326"/>
    <n v="249"/>
    <d v="2035-01-20T00:00:00"/>
    <s v=""/>
    <x v="7"/>
    <x v="0"/>
  </r>
  <r>
    <n v="92061057282"/>
    <n v="264"/>
    <d v="2035-01-20T00:00:00"/>
    <s v=""/>
    <x v="7"/>
    <x v="0"/>
  </r>
  <r>
    <n v="88723569782"/>
    <n v="225"/>
    <d v="2035-01-20T00:00:00"/>
    <m/>
    <x v="7"/>
    <x v="0"/>
  </r>
  <r>
    <n v="54393185698"/>
    <n v="314"/>
    <d v="2035-01-20T00:00:00"/>
    <s v=""/>
    <x v="7"/>
    <x v="0"/>
  </r>
  <r>
    <n v="33832195033"/>
    <n v="134"/>
    <d v="2035-01-20T00:00:00"/>
    <m/>
    <x v="7"/>
    <x v="0"/>
  </r>
  <r>
    <n v="49712430084"/>
    <n v="340"/>
    <d v="2035-01-20T00:00:00"/>
    <m/>
    <x v="7"/>
    <x v="0"/>
  </r>
  <r>
    <n v="44998369576"/>
    <n v="219"/>
    <d v="2035-01-20T00:00:00"/>
    <s v=""/>
    <x v="7"/>
    <x v="0"/>
  </r>
  <r>
    <n v="28786149113"/>
    <n v="238"/>
    <d v="2035-01-20T00:00:00"/>
    <d v="2035-02-01T00:00:00"/>
    <x v="7"/>
    <x v="9"/>
  </r>
  <r>
    <n v="75924929569"/>
    <n v="235"/>
    <d v="2035-01-20T00:00:00"/>
    <s v=""/>
    <x v="7"/>
    <x v="0"/>
  </r>
  <r>
    <n v="90684709647"/>
    <n v="251"/>
    <d v="2035-01-20T00:00:00"/>
    <s v=""/>
    <x v="7"/>
    <x v="0"/>
  </r>
  <r>
    <n v="24109331552"/>
    <n v="298"/>
    <d v="2035-01-20T00:00:00"/>
    <m/>
    <x v="7"/>
    <x v="0"/>
  </r>
  <r>
    <n v="58468898014"/>
    <n v="98"/>
    <d v="2035-01-21T00:00:00"/>
    <s v=""/>
    <x v="7"/>
    <x v="0"/>
  </r>
  <r>
    <n v="61250163481"/>
    <n v="217"/>
    <d v="2035-01-21T00:00:00"/>
    <s v=""/>
    <x v="7"/>
    <x v="0"/>
  </r>
  <r>
    <n v="17497122522"/>
    <n v="89"/>
    <d v="2035-01-21T00:00:00"/>
    <s v=""/>
    <x v="7"/>
    <x v="0"/>
  </r>
  <r>
    <n v="38994158799"/>
    <n v="101"/>
    <d v="2035-01-21T00:00:00"/>
    <s v=""/>
    <x v="7"/>
    <x v="0"/>
  </r>
  <r>
    <n v="49742584050"/>
    <n v="129"/>
    <d v="2035-01-21T00:00:00"/>
    <s v=""/>
    <x v="7"/>
    <x v="0"/>
  </r>
  <r>
    <n v="25825272222"/>
    <n v="181"/>
    <d v="2035-01-21T00:00:00"/>
    <m/>
    <x v="7"/>
    <x v="0"/>
  </r>
  <r>
    <n v="19206452531"/>
    <n v="46"/>
    <d v="2035-01-21T00:00:00"/>
    <s v=""/>
    <x v="7"/>
    <x v="0"/>
  </r>
  <r>
    <n v="66484706965"/>
    <n v="117"/>
    <d v="2035-01-21T00:00:00"/>
    <s v=""/>
    <x v="7"/>
    <x v="0"/>
  </r>
  <r>
    <n v="72364237674"/>
    <n v="171"/>
    <d v="2035-01-21T00:00:00"/>
    <s v=""/>
    <x v="7"/>
    <x v="0"/>
  </r>
  <r>
    <n v="25065020338"/>
    <n v="130"/>
    <d v="2035-01-21T00:00:00"/>
    <s v=""/>
    <x v="7"/>
    <x v="0"/>
  </r>
  <r>
    <n v="24713250657"/>
    <n v="97"/>
    <d v="2035-01-21T00:00:00"/>
    <s v=""/>
    <x v="7"/>
    <x v="0"/>
  </r>
  <r>
    <n v="37478085192"/>
    <n v="144"/>
    <d v="2035-01-21T00:00:00"/>
    <s v=""/>
    <x v="7"/>
    <x v="0"/>
  </r>
  <r>
    <n v="13408412679"/>
    <n v="301"/>
    <d v="2035-01-21T00:00:00"/>
    <s v=""/>
    <x v="7"/>
    <x v="0"/>
  </r>
  <r>
    <n v="38322240486"/>
    <n v="38"/>
    <d v="2035-01-21T00:00:00"/>
    <s v=""/>
    <x v="7"/>
    <x v="0"/>
  </r>
  <r>
    <n v="13701533418"/>
    <n v="191"/>
    <d v="2035-01-21T00:00:00"/>
    <s v=""/>
    <x v="7"/>
    <x v="0"/>
  </r>
  <r>
    <n v="18315255931"/>
    <n v="64"/>
    <d v="2035-01-21T00:00:00"/>
    <m/>
    <x v="7"/>
    <x v="0"/>
  </r>
  <r>
    <n v="86368842256"/>
    <n v="291"/>
    <d v="2035-01-21T00:00:00"/>
    <s v=""/>
    <x v="7"/>
    <x v="0"/>
  </r>
  <r>
    <n v="86594195503"/>
    <n v="138"/>
    <d v="2035-01-21T00:00:00"/>
    <d v="2035-01-23T00:00:00"/>
    <x v="7"/>
    <x v="8"/>
  </r>
  <r>
    <n v="85927736864"/>
    <n v="157"/>
    <d v="2035-01-21T00:00:00"/>
    <s v=""/>
    <x v="7"/>
    <x v="0"/>
  </r>
  <r>
    <n v="81349305965"/>
    <n v="51"/>
    <d v="2035-01-21T00:00:00"/>
    <m/>
    <x v="7"/>
    <x v="0"/>
  </r>
  <r>
    <n v="54182574923"/>
    <n v="107"/>
    <d v="2035-01-21T00:00:00"/>
    <s v=""/>
    <x v="7"/>
    <x v="0"/>
  </r>
  <r>
    <n v="48210718213"/>
    <n v="175"/>
    <d v="2035-01-21T00:00:00"/>
    <s v=""/>
    <x v="7"/>
    <x v="0"/>
  </r>
  <r>
    <n v="56887269020"/>
    <n v="26"/>
    <d v="2035-01-21T00:00:00"/>
    <s v=""/>
    <x v="7"/>
    <x v="0"/>
  </r>
  <r>
    <n v="99430689014"/>
    <n v="9"/>
    <d v="2035-01-21T00:00:00"/>
    <s v=""/>
    <x v="7"/>
    <x v="0"/>
  </r>
  <r>
    <n v="56615227919"/>
    <n v="267"/>
    <d v="2035-01-21T00:00:00"/>
    <m/>
    <x v="7"/>
    <x v="0"/>
  </r>
  <r>
    <n v="46633302913"/>
    <n v="314"/>
    <d v="2035-01-21T00:00:00"/>
    <s v=""/>
    <x v="7"/>
    <x v="0"/>
  </r>
  <r>
    <n v="71228361117"/>
    <n v="278"/>
    <d v="2035-01-21T00:00:00"/>
    <s v=""/>
    <x v="7"/>
    <x v="0"/>
  </r>
  <r>
    <n v="78751815781"/>
    <n v="157"/>
    <d v="2035-01-22T00:00:00"/>
    <s v=""/>
    <x v="7"/>
    <x v="0"/>
  </r>
  <r>
    <n v="77517652937"/>
    <n v="246"/>
    <d v="2035-01-22T00:00:00"/>
    <s v=""/>
    <x v="7"/>
    <x v="0"/>
  </r>
  <r>
    <n v="76905248824"/>
    <n v="176"/>
    <d v="2035-01-22T00:00:00"/>
    <s v=""/>
    <x v="7"/>
    <x v="0"/>
  </r>
  <r>
    <n v="95422484658"/>
    <n v="127"/>
    <d v="2035-01-22T00:00:00"/>
    <m/>
    <x v="7"/>
    <x v="0"/>
  </r>
  <r>
    <n v="82844295835"/>
    <n v="132"/>
    <d v="2035-01-22T00:00:00"/>
    <s v=""/>
    <x v="7"/>
    <x v="0"/>
  </r>
  <r>
    <n v="23069937676"/>
    <n v="257"/>
    <d v="2035-01-22T00:00:00"/>
    <s v=""/>
    <x v="7"/>
    <x v="0"/>
  </r>
  <r>
    <n v="87932576043"/>
    <n v="133"/>
    <d v="2035-01-22T00:00:00"/>
    <s v=""/>
    <x v="7"/>
    <x v="0"/>
  </r>
  <r>
    <n v="31167953463"/>
    <n v="336"/>
    <d v="2035-01-22T00:00:00"/>
    <s v=""/>
    <x v="7"/>
    <x v="0"/>
  </r>
  <r>
    <n v="77936283147"/>
    <n v="330"/>
    <d v="2035-01-22T00:00:00"/>
    <m/>
    <x v="7"/>
    <x v="0"/>
  </r>
  <r>
    <n v="88395830324"/>
    <n v="82"/>
    <d v="2035-01-22T00:00:00"/>
    <s v=""/>
    <x v="7"/>
    <x v="0"/>
  </r>
  <r>
    <n v="29815378984"/>
    <n v="42"/>
    <d v="2035-01-22T00:00:00"/>
    <m/>
    <x v="7"/>
    <x v="0"/>
  </r>
  <r>
    <n v="18304388389"/>
    <n v="208"/>
    <d v="2035-01-22T00:00:00"/>
    <s v=""/>
    <x v="7"/>
    <x v="0"/>
  </r>
  <r>
    <n v="30947560525"/>
    <n v="290"/>
    <d v="2035-01-22T00:00:00"/>
    <s v=""/>
    <x v="7"/>
    <x v="0"/>
  </r>
  <r>
    <n v="31172169840"/>
    <n v="188"/>
    <d v="2035-01-22T00:00:00"/>
    <s v=""/>
    <x v="7"/>
    <x v="0"/>
  </r>
  <r>
    <n v="14487527377"/>
    <n v="14"/>
    <d v="2035-01-22T00:00:00"/>
    <s v=""/>
    <x v="7"/>
    <x v="0"/>
  </r>
  <r>
    <n v="16471762368"/>
    <n v="298"/>
    <d v="2035-01-22T00:00:00"/>
    <s v=""/>
    <x v="7"/>
    <x v="0"/>
  </r>
  <r>
    <n v="70201773234"/>
    <n v="68"/>
    <d v="2035-01-22T00:00:00"/>
    <s v=""/>
    <x v="7"/>
    <x v="0"/>
  </r>
  <r>
    <n v="23868170373"/>
    <n v="7"/>
    <d v="2035-01-22T00:00:00"/>
    <s v=""/>
    <x v="7"/>
    <x v="0"/>
  </r>
  <r>
    <n v="89875573969"/>
    <n v="225"/>
    <d v="2035-01-22T00:00:00"/>
    <m/>
    <x v="7"/>
    <x v="0"/>
  </r>
  <r>
    <n v="72312250883"/>
    <n v="105"/>
    <d v="2035-01-22T00:00:00"/>
    <m/>
    <x v="7"/>
    <x v="0"/>
  </r>
  <r>
    <n v="43744305219"/>
    <n v="206"/>
    <d v="2035-01-22T00:00:00"/>
    <s v=""/>
    <x v="7"/>
    <x v="0"/>
  </r>
  <r>
    <n v="56385687133"/>
    <n v="107"/>
    <d v="2035-01-22T00:00:00"/>
    <s v=""/>
    <x v="7"/>
    <x v="0"/>
  </r>
  <r>
    <n v="87368147155"/>
    <n v="334"/>
    <d v="2035-01-22T00:00:00"/>
    <s v=""/>
    <x v="7"/>
    <x v="0"/>
  </r>
  <r>
    <n v="13271937750"/>
    <n v="4"/>
    <d v="2035-01-22T00:00:00"/>
    <s v=""/>
    <x v="7"/>
    <x v="0"/>
  </r>
  <r>
    <n v="48521764937"/>
    <n v="331"/>
    <d v="2035-01-22T00:00:00"/>
    <s v=""/>
    <x v="7"/>
    <x v="0"/>
  </r>
  <r>
    <n v="49936522136"/>
    <n v="95"/>
    <d v="2035-01-22T00:00:00"/>
    <s v=""/>
    <x v="7"/>
    <x v="0"/>
  </r>
  <r>
    <n v="88071610990"/>
    <n v="84"/>
    <d v="2035-01-23T00:00:00"/>
    <s v=""/>
    <x v="7"/>
    <x v="0"/>
  </r>
  <r>
    <n v="35636609257"/>
    <n v="223"/>
    <d v="2035-01-23T00:00:00"/>
    <s v=""/>
    <x v="7"/>
    <x v="0"/>
  </r>
  <r>
    <n v="37665573312"/>
    <n v="65"/>
    <d v="2035-01-23T00:00:00"/>
    <s v=""/>
    <x v="7"/>
    <x v="0"/>
  </r>
  <r>
    <n v="39927253405"/>
    <n v="67"/>
    <d v="2035-01-23T00:00:00"/>
    <m/>
    <x v="7"/>
    <x v="0"/>
  </r>
  <r>
    <n v="12185545149"/>
    <n v="332"/>
    <d v="2035-01-23T00:00:00"/>
    <s v=""/>
    <x v="7"/>
    <x v="0"/>
  </r>
  <r>
    <n v="38744713646"/>
    <n v="115"/>
    <d v="2035-01-23T00:00:00"/>
    <s v=""/>
    <x v="7"/>
    <x v="0"/>
  </r>
  <r>
    <n v="70587639627"/>
    <n v="93"/>
    <d v="2035-01-23T00:00:00"/>
    <s v=""/>
    <x v="7"/>
    <x v="0"/>
  </r>
  <r>
    <n v="81085098492"/>
    <n v="315"/>
    <d v="2035-01-23T00:00:00"/>
    <s v=""/>
    <x v="7"/>
    <x v="0"/>
  </r>
  <r>
    <n v="55000359054"/>
    <n v="186"/>
    <d v="2035-01-23T00:00:00"/>
    <s v=""/>
    <x v="7"/>
    <x v="0"/>
  </r>
  <r>
    <n v="82366303691"/>
    <n v="106"/>
    <d v="2035-01-23T00:00:00"/>
    <m/>
    <x v="7"/>
    <x v="0"/>
  </r>
  <r>
    <n v="46512234080"/>
    <n v="221"/>
    <d v="2035-01-23T00:00:00"/>
    <s v=""/>
    <x v="7"/>
    <x v="0"/>
  </r>
  <r>
    <n v="65545355786"/>
    <n v="254"/>
    <d v="2035-01-23T00:00:00"/>
    <s v=""/>
    <x v="7"/>
    <x v="0"/>
  </r>
  <r>
    <n v="47771862596"/>
    <n v="128"/>
    <d v="2035-01-23T00:00:00"/>
    <s v=""/>
    <x v="7"/>
    <x v="0"/>
  </r>
  <r>
    <n v="78836409509"/>
    <n v="158"/>
    <d v="2035-01-23T00:00:00"/>
    <s v=""/>
    <x v="7"/>
    <x v="0"/>
  </r>
  <r>
    <n v="65251527231"/>
    <n v="186"/>
    <d v="2035-01-23T00:00:00"/>
    <s v=""/>
    <x v="7"/>
    <x v="0"/>
  </r>
  <r>
    <n v="42484244376"/>
    <n v="324"/>
    <d v="2035-01-23T00:00:00"/>
    <s v=""/>
    <x v="7"/>
    <x v="0"/>
  </r>
  <r>
    <n v="79252919590"/>
    <n v="179"/>
    <d v="2035-01-23T00:00:00"/>
    <m/>
    <x v="7"/>
    <x v="0"/>
  </r>
  <r>
    <n v="67691820499"/>
    <n v="166"/>
    <d v="2035-01-23T00:00:00"/>
    <s v=""/>
    <x v="7"/>
    <x v="0"/>
  </r>
  <r>
    <n v="24606487747"/>
    <n v="241"/>
    <d v="2035-01-23T00:00:00"/>
    <s v=""/>
    <x v="7"/>
    <x v="0"/>
  </r>
  <r>
    <n v="57973698134"/>
    <n v="326"/>
    <d v="2035-01-24T00:00:00"/>
    <s v=""/>
    <x v="7"/>
    <x v="0"/>
  </r>
  <r>
    <n v="38985516325"/>
    <n v="245"/>
    <d v="2035-01-24T00:00:00"/>
    <s v=""/>
    <x v="7"/>
    <x v="0"/>
  </r>
  <r>
    <n v="80404542023"/>
    <n v="135"/>
    <d v="2035-01-24T00:00:00"/>
    <s v=""/>
    <x v="7"/>
    <x v="0"/>
  </r>
  <r>
    <n v="77495490734"/>
    <n v="221"/>
    <d v="2035-01-24T00:00:00"/>
    <s v=""/>
    <x v="7"/>
    <x v="0"/>
  </r>
  <r>
    <n v="94521486117"/>
    <n v="194"/>
    <d v="2035-01-24T00:00:00"/>
    <s v=""/>
    <x v="7"/>
    <x v="0"/>
  </r>
  <r>
    <n v="67971786453"/>
    <n v="63"/>
    <d v="2035-01-24T00:00:00"/>
    <s v=""/>
    <x v="7"/>
    <x v="0"/>
  </r>
  <r>
    <n v="76883888154"/>
    <n v="333"/>
    <d v="2035-01-24T00:00:00"/>
    <s v=""/>
    <x v="7"/>
    <x v="0"/>
  </r>
  <r>
    <n v="12839079263"/>
    <n v="48"/>
    <d v="2035-01-24T00:00:00"/>
    <s v=""/>
    <x v="7"/>
    <x v="0"/>
  </r>
  <r>
    <n v="67755389538"/>
    <n v="214"/>
    <d v="2035-01-24T00:00:00"/>
    <m/>
    <x v="7"/>
    <x v="0"/>
  </r>
  <r>
    <n v="69335924676"/>
    <n v="39"/>
    <d v="2035-01-24T00:00:00"/>
    <s v=""/>
    <x v="7"/>
    <x v="0"/>
  </r>
  <r>
    <n v="92718120824"/>
    <n v="173"/>
    <d v="2035-01-24T00:00:00"/>
    <s v=""/>
    <x v="7"/>
    <x v="0"/>
  </r>
  <r>
    <n v="77857380535"/>
    <n v="225"/>
    <d v="2035-01-24T00:00:00"/>
    <s v=""/>
    <x v="7"/>
    <x v="0"/>
  </r>
  <r>
    <n v="87058364618"/>
    <n v="68"/>
    <d v="2035-01-24T00:00:00"/>
    <s v=""/>
    <x v="7"/>
    <x v="0"/>
  </r>
  <r>
    <n v="78479431415"/>
    <n v="183"/>
    <d v="2035-01-24T00:00:00"/>
    <s v=""/>
    <x v="7"/>
    <x v="0"/>
  </r>
  <r>
    <n v="74796657167"/>
    <n v="198"/>
    <d v="2035-01-24T00:00:00"/>
    <s v=""/>
    <x v="7"/>
    <x v="0"/>
  </r>
  <r>
    <n v="55220427205"/>
    <n v="200"/>
    <d v="2035-01-24T00:00:00"/>
    <s v=""/>
    <x v="7"/>
    <x v="0"/>
  </r>
  <r>
    <n v="76023901791"/>
    <n v="107"/>
    <d v="2035-01-24T00:00:00"/>
    <s v=""/>
    <x v="7"/>
    <x v="0"/>
  </r>
  <r>
    <n v="65992186436"/>
    <n v="319"/>
    <d v="2035-01-24T00:00:00"/>
    <s v=""/>
    <x v="7"/>
    <x v="0"/>
  </r>
  <r>
    <n v="77957160771"/>
    <n v="179"/>
    <d v="2035-01-24T00:00:00"/>
    <s v=""/>
    <x v="7"/>
    <x v="0"/>
  </r>
  <r>
    <n v="36218248809"/>
    <n v="105"/>
    <d v="2035-01-24T00:00:00"/>
    <m/>
    <x v="7"/>
    <x v="0"/>
  </r>
  <r>
    <n v="21203661739"/>
    <n v="226"/>
    <d v="2035-01-24T00:00:00"/>
    <s v=""/>
    <x v="7"/>
    <x v="0"/>
  </r>
  <r>
    <n v="53917164202"/>
    <n v="72"/>
    <d v="2035-01-24T00:00:00"/>
    <s v=""/>
    <x v="7"/>
    <x v="0"/>
  </r>
  <r>
    <n v="62476235224"/>
    <n v="72"/>
    <d v="2035-01-24T00:00:00"/>
    <s v=""/>
    <x v="7"/>
    <x v="0"/>
  </r>
  <r>
    <n v="61380541824"/>
    <n v="258"/>
    <d v="2035-01-24T00:00:00"/>
    <m/>
    <x v="7"/>
    <x v="0"/>
  </r>
  <r>
    <n v="54889318301"/>
    <n v="152"/>
    <d v="2035-01-24T00:00:00"/>
    <s v=""/>
    <x v="7"/>
    <x v="0"/>
  </r>
  <r>
    <n v="16759434809"/>
    <n v="292"/>
    <d v="2035-01-24T00:00:00"/>
    <s v=""/>
    <x v="7"/>
    <x v="0"/>
  </r>
  <r>
    <n v="92102907722"/>
    <n v="270"/>
    <d v="2035-01-24T00:00:00"/>
    <s v=""/>
    <x v="7"/>
    <x v="0"/>
  </r>
  <r>
    <n v="51809906087"/>
    <n v="197"/>
    <d v="2035-01-24T00:00:00"/>
    <d v="2035-01-30T00:00:00"/>
    <x v="7"/>
    <x v="8"/>
  </r>
  <r>
    <n v="28521681782"/>
    <n v="65"/>
    <d v="2035-01-25T00:00:00"/>
    <s v=""/>
    <x v="7"/>
    <x v="0"/>
  </r>
  <r>
    <n v="13134676717"/>
    <n v="30"/>
    <d v="2035-01-25T00:00:00"/>
    <s v=""/>
    <x v="7"/>
    <x v="0"/>
  </r>
  <r>
    <n v="33712816063"/>
    <n v="310"/>
    <d v="2035-01-25T00:00:00"/>
    <s v=""/>
    <x v="7"/>
    <x v="0"/>
  </r>
  <r>
    <n v="99263861732"/>
    <n v="75"/>
    <d v="2035-01-25T00:00:00"/>
    <s v=""/>
    <x v="7"/>
    <x v="0"/>
  </r>
  <r>
    <n v="18947255372"/>
    <n v="319"/>
    <d v="2035-01-25T00:00:00"/>
    <s v=""/>
    <x v="7"/>
    <x v="0"/>
  </r>
  <r>
    <n v="22232756641"/>
    <n v="308"/>
    <d v="2035-01-25T00:00:00"/>
    <s v=""/>
    <x v="7"/>
    <x v="0"/>
  </r>
  <r>
    <n v="49352603484"/>
    <n v="127"/>
    <d v="2035-01-25T00:00:00"/>
    <s v=""/>
    <x v="7"/>
    <x v="0"/>
  </r>
  <r>
    <n v="38234757674"/>
    <n v="226"/>
    <d v="2035-01-25T00:00:00"/>
    <s v=""/>
    <x v="7"/>
    <x v="0"/>
  </r>
  <r>
    <n v="46603527046"/>
    <n v="210"/>
    <d v="2035-01-25T00:00:00"/>
    <s v=""/>
    <x v="7"/>
    <x v="0"/>
  </r>
  <r>
    <n v="62619949337"/>
    <n v="157"/>
    <d v="2035-01-25T00:00:00"/>
    <s v=""/>
    <x v="7"/>
    <x v="0"/>
  </r>
  <r>
    <n v="51310642433"/>
    <n v="67"/>
    <d v="2035-01-25T00:00:00"/>
    <m/>
    <x v="7"/>
    <x v="0"/>
  </r>
  <r>
    <n v="80156800410"/>
    <n v="130"/>
    <d v="2035-01-25T00:00:00"/>
    <s v=""/>
    <x v="7"/>
    <x v="0"/>
  </r>
  <r>
    <n v="11339200243"/>
    <n v="84"/>
    <d v="2035-01-25T00:00:00"/>
    <s v=""/>
    <x v="7"/>
    <x v="0"/>
  </r>
  <r>
    <n v="92943063953"/>
    <n v="14"/>
    <d v="2035-01-25T00:00:00"/>
    <m/>
    <x v="7"/>
    <x v="0"/>
  </r>
  <r>
    <n v="17704135294"/>
    <n v="91"/>
    <d v="2035-01-25T00:00:00"/>
    <s v=""/>
    <x v="7"/>
    <x v="0"/>
  </r>
  <r>
    <n v="80600932962"/>
    <n v="114"/>
    <d v="2035-01-25T00:00:00"/>
    <s v=""/>
    <x v="7"/>
    <x v="0"/>
  </r>
  <r>
    <n v="86392533966"/>
    <n v="127"/>
    <d v="2035-01-25T00:00:00"/>
    <s v=""/>
    <x v="7"/>
    <x v="0"/>
  </r>
  <r>
    <n v="76124438212"/>
    <n v="177"/>
    <d v="2035-01-25T00:00:00"/>
    <s v=""/>
    <x v="7"/>
    <x v="0"/>
  </r>
  <r>
    <n v="36603031463"/>
    <n v="16"/>
    <d v="2035-01-25T00:00:00"/>
    <m/>
    <x v="7"/>
    <x v="0"/>
  </r>
  <r>
    <n v="69457448149"/>
    <n v="245"/>
    <d v="2035-01-25T00:00:00"/>
    <s v=""/>
    <x v="7"/>
    <x v="0"/>
  </r>
  <r>
    <n v="31117028599"/>
    <n v="48"/>
    <d v="2035-01-25T00:00:00"/>
    <s v=""/>
    <x v="7"/>
    <x v="0"/>
  </r>
  <r>
    <n v="26531992797"/>
    <n v="47"/>
    <d v="2035-01-25T00:00:00"/>
    <m/>
    <x v="7"/>
    <x v="0"/>
  </r>
  <r>
    <n v="16146120154"/>
    <n v="249"/>
    <d v="2035-01-25T00:00:00"/>
    <s v=""/>
    <x v="7"/>
    <x v="0"/>
  </r>
  <r>
    <n v="84862334118"/>
    <n v="243"/>
    <d v="2035-01-25T00:00:00"/>
    <s v=""/>
    <x v="7"/>
    <x v="0"/>
  </r>
  <r>
    <n v="95481038690"/>
    <n v="224"/>
    <d v="2035-01-25T00:00:00"/>
    <s v=""/>
    <x v="7"/>
    <x v="0"/>
  </r>
  <r>
    <n v="94535830584"/>
    <n v="286"/>
    <d v="2035-01-25T00:00:00"/>
    <s v=""/>
    <x v="7"/>
    <x v="0"/>
  </r>
  <r>
    <n v="95340134885"/>
    <n v="104"/>
    <d v="2035-01-25T00:00:00"/>
    <s v=""/>
    <x v="7"/>
    <x v="0"/>
  </r>
  <r>
    <n v="66527594253"/>
    <n v="12"/>
    <d v="2035-01-25T00:00:00"/>
    <m/>
    <x v="7"/>
    <x v="0"/>
  </r>
  <r>
    <n v="85033413798"/>
    <n v="199"/>
    <d v="2035-01-25T00:00:00"/>
    <s v=""/>
    <x v="7"/>
    <x v="0"/>
  </r>
  <r>
    <n v="26998353648"/>
    <n v="327"/>
    <d v="2035-01-25T00:00:00"/>
    <s v=""/>
    <x v="7"/>
    <x v="0"/>
  </r>
  <r>
    <n v="63315293745"/>
    <n v="121"/>
    <d v="2035-01-25T00:00:00"/>
    <s v=""/>
    <x v="7"/>
    <x v="0"/>
  </r>
  <r>
    <n v="98593474774"/>
    <n v="236"/>
    <d v="2035-01-25T00:00:00"/>
    <s v=""/>
    <x v="7"/>
    <x v="0"/>
  </r>
  <r>
    <n v="27872565755"/>
    <n v="165"/>
    <d v="2035-01-25T00:00:00"/>
    <s v=""/>
    <x v="7"/>
    <x v="0"/>
  </r>
  <r>
    <n v="14536029993"/>
    <n v="237"/>
    <d v="2035-01-26T00:00:00"/>
    <s v=""/>
    <x v="7"/>
    <x v="0"/>
  </r>
  <r>
    <n v="68553708859"/>
    <n v="201"/>
    <d v="2035-01-26T00:00:00"/>
    <s v=""/>
    <x v="7"/>
    <x v="0"/>
  </r>
  <r>
    <n v="87366970987"/>
    <n v="17"/>
    <d v="2035-01-26T00:00:00"/>
    <m/>
    <x v="7"/>
    <x v="0"/>
  </r>
  <r>
    <n v="92962625111"/>
    <n v="226"/>
    <d v="2035-01-26T00:00:00"/>
    <s v=""/>
    <x v="7"/>
    <x v="0"/>
  </r>
  <r>
    <n v="97989126023"/>
    <n v="297"/>
    <d v="2035-01-26T00:00:00"/>
    <s v=""/>
    <x v="7"/>
    <x v="0"/>
  </r>
  <r>
    <n v="31913265866"/>
    <n v="33"/>
    <d v="2035-01-26T00:00:00"/>
    <m/>
    <x v="7"/>
    <x v="0"/>
  </r>
  <r>
    <n v="54912296755"/>
    <n v="29"/>
    <d v="2035-01-26T00:00:00"/>
    <m/>
    <x v="7"/>
    <x v="0"/>
  </r>
  <r>
    <n v="81827490309"/>
    <n v="298"/>
    <d v="2035-01-26T00:00:00"/>
    <s v=""/>
    <x v="7"/>
    <x v="0"/>
  </r>
  <r>
    <n v="76912419755"/>
    <n v="240"/>
    <d v="2035-01-26T00:00:00"/>
    <s v=""/>
    <x v="7"/>
    <x v="0"/>
  </r>
  <r>
    <n v="66092650003"/>
    <n v="180"/>
    <d v="2035-01-26T00:00:00"/>
    <m/>
    <x v="7"/>
    <x v="0"/>
  </r>
  <r>
    <n v="37018776758"/>
    <n v="75"/>
    <d v="2035-01-26T00:00:00"/>
    <s v=""/>
    <x v="7"/>
    <x v="0"/>
  </r>
  <r>
    <n v="24578304910"/>
    <n v="106"/>
    <d v="2035-01-26T00:00:00"/>
    <s v=""/>
    <x v="7"/>
    <x v="0"/>
  </r>
  <r>
    <n v="76819387984"/>
    <n v="44"/>
    <d v="2035-01-26T00:00:00"/>
    <s v=""/>
    <x v="7"/>
    <x v="0"/>
  </r>
  <r>
    <n v="58073174289"/>
    <n v="311"/>
    <d v="2035-01-26T00:00:00"/>
    <s v=""/>
    <x v="7"/>
    <x v="0"/>
  </r>
  <r>
    <n v="32491024423"/>
    <n v="330"/>
    <d v="2035-01-26T00:00:00"/>
    <s v=""/>
    <x v="7"/>
    <x v="0"/>
  </r>
  <r>
    <n v="77639821576"/>
    <n v="239"/>
    <d v="2035-01-26T00:00:00"/>
    <s v=""/>
    <x v="7"/>
    <x v="0"/>
  </r>
  <r>
    <n v="57437445399"/>
    <n v="309"/>
    <d v="2035-01-26T00:00:00"/>
    <s v=""/>
    <x v="7"/>
    <x v="0"/>
  </r>
  <r>
    <n v="19760820790"/>
    <n v="207"/>
    <d v="2035-01-26T00:00:00"/>
    <s v=""/>
    <x v="7"/>
    <x v="0"/>
  </r>
  <r>
    <n v="23155564906"/>
    <n v="284"/>
    <d v="2035-01-26T00:00:00"/>
    <s v=""/>
    <x v="7"/>
    <x v="0"/>
  </r>
  <r>
    <n v="48470928039"/>
    <n v="286"/>
    <d v="2035-01-26T00:00:00"/>
    <s v=""/>
    <x v="7"/>
    <x v="0"/>
  </r>
  <r>
    <n v="62951378064"/>
    <n v="317"/>
    <d v="2035-01-26T00:00:00"/>
    <m/>
    <x v="7"/>
    <x v="0"/>
  </r>
  <r>
    <n v="93433682050"/>
    <n v="316"/>
    <d v="2035-01-26T00:00:00"/>
    <s v=""/>
    <x v="7"/>
    <x v="0"/>
  </r>
  <r>
    <n v="33332601805"/>
    <n v="95"/>
    <d v="2035-01-26T00:00:00"/>
    <s v=""/>
    <x v="7"/>
    <x v="0"/>
  </r>
  <r>
    <n v="30490358224"/>
    <n v="257"/>
    <d v="2035-01-26T00:00:00"/>
    <s v=""/>
    <x v="7"/>
    <x v="0"/>
  </r>
  <r>
    <n v="16396456278"/>
    <n v="205"/>
    <d v="2035-01-26T00:00:00"/>
    <m/>
    <x v="7"/>
    <x v="0"/>
  </r>
  <r>
    <n v="70620430036"/>
    <n v="166"/>
    <d v="2035-01-26T00:00:00"/>
    <s v=""/>
    <x v="7"/>
    <x v="0"/>
  </r>
  <r>
    <n v="64840117812"/>
    <n v="106"/>
    <d v="2035-01-26T00:00:00"/>
    <s v=""/>
    <x v="7"/>
    <x v="0"/>
  </r>
  <r>
    <n v="60615165152"/>
    <n v="109"/>
    <d v="2035-01-27T00:00:00"/>
    <s v=""/>
    <x v="7"/>
    <x v="0"/>
  </r>
  <r>
    <n v="16416794119"/>
    <n v="78"/>
    <d v="2035-01-27T00:00:00"/>
    <s v=""/>
    <x v="7"/>
    <x v="0"/>
  </r>
  <r>
    <n v="16630440440"/>
    <n v="146"/>
    <d v="2035-01-27T00:00:00"/>
    <s v=""/>
    <x v="7"/>
    <x v="0"/>
  </r>
  <r>
    <n v="39754421918"/>
    <n v="129"/>
    <d v="2035-01-27T00:00:00"/>
    <m/>
    <x v="7"/>
    <x v="0"/>
  </r>
  <r>
    <n v="13482538505"/>
    <n v="186"/>
    <d v="2035-01-27T00:00:00"/>
    <s v=""/>
    <x v="7"/>
    <x v="0"/>
  </r>
  <r>
    <n v="42106654415"/>
    <n v="59"/>
    <d v="2035-01-27T00:00:00"/>
    <s v=""/>
    <x v="7"/>
    <x v="0"/>
  </r>
  <r>
    <n v="51174909054"/>
    <n v="178"/>
    <d v="2035-01-27T00:00:00"/>
    <s v=""/>
    <x v="7"/>
    <x v="0"/>
  </r>
  <r>
    <n v="42292023160"/>
    <n v="227"/>
    <d v="2035-01-27T00:00:00"/>
    <s v=""/>
    <x v="7"/>
    <x v="0"/>
  </r>
  <r>
    <n v="55212567625"/>
    <n v="84"/>
    <d v="2035-01-27T00:00:00"/>
    <s v=""/>
    <x v="7"/>
    <x v="0"/>
  </r>
  <r>
    <n v="45524223131"/>
    <n v="21"/>
    <d v="2035-01-27T00:00:00"/>
    <m/>
    <x v="7"/>
    <x v="0"/>
  </r>
  <r>
    <n v="66626160718"/>
    <n v="110"/>
    <d v="2035-01-27T00:00:00"/>
    <m/>
    <x v="7"/>
    <x v="0"/>
  </r>
  <r>
    <n v="93659116707"/>
    <n v="176"/>
    <d v="2035-01-27T00:00:00"/>
    <s v=""/>
    <x v="7"/>
    <x v="0"/>
  </r>
  <r>
    <n v="19373005745"/>
    <n v="139"/>
    <d v="2035-01-27T00:00:00"/>
    <s v=""/>
    <x v="7"/>
    <x v="0"/>
  </r>
  <r>
    <n v="58807641560"/>
    <n v="266"/>
    <d v="2035-01-27T00:00:00"/>
    <m/>
    <x v="7"/>
    <x v="0"/>
  </r>
  <r>
    <n v="66173795901"/>
    <n v="316"/>
    <d v="2035-01-27T00:00:00"/>
    <m/>
    <x v="7"/>
    <x v="0"/>
  </r>
  <r>
    <n v="51953866215"/>
    <n v="254"/>
    <d v="2035-01-27T00:00:00"/>
    <s v=""/>
    <x v="7"/>
    <x v="0"/>
  </r>
  <r>
    <n v="89397654946"/>
    <n v="213"/>
    <d v="2035-01-27T00:00:00"/>
    <s v=""/>
    <x v="7"/>
    <x v="0"/>
  </r>
  <r>
    <n v="49392645289"/>
    <n v="109"/>
    <d v="2035-01-27T00:00:00"/>
    <s v=""/>
    <x v="7"/>
    <x v="0"/>
  </r>
  <r>
    <n v="11258157034"/>
    <n v="104"/>
    <d v="2035-01-27T00:00:00"/>
    <m/>
    <x v="7"/>
    <x v="0"/>
  </r>
  <r>
    <n v="54713060273"/>
    <n v="115"/>
    <d v="2035-01-27T00:00:00"/>
    <s v=""/>
    <x v="7"/>
    <x v="0"/>
  </r>
  <r>
    <n v="59725234342"/>
    <n v="111"/>
    <d v="2035-01-27T00:00:00"/>
    <m/>
    <x v="7"/>
    <x v="0"/>
  </r>
  <r>
    <n v="65070133117"/>
    <n v="191"/>
    <d v="2035-01-27T00:00:00"/>
    <s v=""/>
    <x v="7"/>
    <x v="0"/>
  </r>
  <r>
    <n v="60552724442"/>
    <n v="156"/>
    <d v="2035-01-27T00:00:00"/>
    <s v=""/>
    <x v="7"/>
    <x v="0"/>
  </r>
  <r>
    <n v="93255182507"/>
    <n v="202"/>
    <d v="2035-01-27T00:00:00"/>
    <s v=""/>
    <x v="7"/>
    <x v="0"/>
  </r>
  <r>
    <n v="45385912612"/>
    <n v="283"/>
    <d v="2035-01-27T00:00:00"/>
    <s v=""/>
    <x v="7"/>
    <x v="0"/>
  </r>
  <r>
    <n v="84387188899"/>
    <n v="232"/>
    <d v="2035-01-27T00:00:00"/>
    <m/>
    <x v="7"/>
    <x v="0"/>
  </r>
  <r>
    <n v="12637189303"/>
    <n v="76"/>
    <d v="2035-01-28T00:00:00"/>
    <s v=""/>
    <x v="7"/>
    <x v="0"/>
  </r>
  <r>
    <n v="30346016756"/>
    <n v="218"/>
    <d v="2035-01-28T00:00:00"/>
    <s v=""/>
    <x v="7"/>
    <x v="0"/>
  </r>
  <r>
    <n v="91118387343"/>
    <n v="215"/>
    <d v="2035-01-28T00:00:00"/>
    <m/>
    <x v="7"/>
    <x v="0"/>
  </r>
  <r>
    <n v="50740227179"/>
    <n v="143"/>
    <d v="2035-01-28T00:00:00"/>
    <s v=""/>
    <x v="7"/>
    <x v="0"/>
  </r>
  <r>
    <n v="26133362490"/>
    <n v="277"/>
    <d v="2035-01-28T00:00:00"/>
    <s v=""/>
    <x v="7"/>
    <x v="0"/>
  </r>
  <r>
    <n v="80324130495"/>
    <n v="156"/>
    <d v="2035-01-28T00:00:00"/>
    <s v=""/>
    <x v="7"/>
    <x v="0"/>
  </r>
  <r>
    <n v="61413574579"/>
    <n v="290"/>
    <d v="2035-01-28T00:00:00"/>
    <m/>
    <x v="7"/>
    <x v="0"/>
  </r>
  <r>
    <n v="66176048461"/>
    <n v="340"/>
    <d v="2035-01-28T00:00:00"/>
    <m/>
    <x v="7"/>
    <x v="0"/>
  </r>
  <r>
    <n v="82749830229"/>
    <n v="231"/>
    <d v="2035-01-28T00:00:00"/>
    <s v=""/>
    <x v="7"/>
    <x v="0"/>
  </r>
  <r>
    <n v="79958740626"/>
    <n v="51"/>
    <d v="2035-01-28T00:00:00"/>
    <s v=""/>
    <x v="7"/>
    <x v="0"/>
  </r>
  <r>
    <n v="95494162547"/>
    <n v="47"/>
    <d v="2035-01-28T00:00:00"/>
    <s v=""/>
    <x v="7"/>
    <x v="0"/>
  </r>
  <r>
    <n v="82047827139"/>
    <n v="147"/>
    <d v="2035-01-28T00:00:00"/>
    <s v=""/>
    <x v="7"/>
    <x v="0"/>
  </r>
  <r>
    <n v="69850091569"/>
    <n v="339"/>
    <d v="2035-01-28T00:00:00"/>
    <m/>
    <x v="7"/>
    <x v="0"/>
  </r>
  <r>
    <n v="31418345881"/>
    <n v="3"/>
    <d v="2035-01-28T00:00:00"/>
    <m/>
    <x v="7"/>
    <x v="0"/>
  </r>
  <r>
    <n v="51650490221"/>
    <n v="57"/>
    <d v="2035-01-28T00:00:00"/>
    <s v=""/>
    <x v="7"/>
    <x v="0"/>
  </r>
  <r>
    <n v="52524089490"/>
    <n v="59"/>
    <d v="2035-01-28T00:00:00"/>
    <m/>
    <x v="7"/>
    <x v="0"/>
  </r>
  <r>
    <n v="54236705843"/>
    <n v="90"/>
    <d v="2035-01-28T00:00:00"/>
    <s v=""/>
    <x v="7"/>
    <x v="0"/>
  </r>
  <r>
    <n v="56119254692"/>
    <n v="46"/>
    <d v="2035-01-28T00:00:00"/>
    <m/>
    <x v="7"/>
    <x v="0"/>
  </r>
  <r>
    <n v="51532988936"/>
    <n v="74"/>
    <d v="2035-01-28T00:00:00"/>
    <s v=""/>
    <x v="7"/>
    <x v="0"/>
  </r>
  <r>
    <n v="19898135107"/>
    <n v="235"/>
    <d v="2035-01-28T00:00:00"/>
    <s v=""/>
    <x v="7"/>
    <x v="0"/>
  </r>
  <r>
    <n v="87276780804"/>
    <n v="226"/>
    <d v="2035-01-28T00:00:00"/>
    <s v=""/>
    <x v="7"/>
    <x v="0"/>
  </r>
  <r>
    <n v="69193174152"/>
    <n v="182"/>
    <d v="2035-01-28T00:00:00"/>
    <m/>
    <x v="7"/>
    <x v="0"/>
  </r>
  <r>
    <n v="76176931351"/>
    <n v="120"/>
    <d v="2035-01-29T00:00:00"/>
    <s v=""/>
    <x v="7"/>
    <x v="0"/>
  </r>
  <r>
    <n v="18891839484"/>
    <n v="25"/>
    <d v="2035-01-29T00:00:00"/>
    <s v=""/>
    <x v="7"/>
    <x v="0"/>
  </r>
  <r>
    <n v="47724528943"/>
    <n v="199"/>
    <d v="2035-01-29T00:00:00"/>
    <s v=""/>
    <x v="7"/>
    <x v="0"/>
  </r>
  <r>
    <n v="97737041557"/>
    <n v="214"/>
    <d v="2035-01-29T00:00:00"/>
    <s v=""/>
    <x v="7"/>
    <x v="0"/>
  </r>
  <r>
    <n v="45512372244"/>
    <n v="322"/>
    <d v="2035-01-29T00:00:00"/>
    <s v=""/>
    <x v="7"/>
    <x v="0"/>
  </r>
  <r>
    <n v="87477854423"/>
    <n v="134"/>
    <d v="2035-01-29T00:00:00"/>
    <s v=""/>
    <x v="7"/>
    <x v="0"/>
  </r>
  <r>
    <n v="83765531837"/>
    <n v="278"/>
    <d v="2035-01-29T00:00:00"/>
    <s v=""/>
    <x v="7"/>
    <x v="0"/>
  </r>
  <r>
    <n v="66850018462"/>
    <n v="185"/>
    <d v="2035-01-29T00:00:00"/>
    <m/>
    <x v="7"/>
    <x v="0"/>
  </r>
  <r>
    <n v="17465421659"/>
    <n v="217"/>
    <d v="2035-01-29T00:00:00"/>
    <s v=""/>
    <x v="7"/>
    <x v="0"/>
  </r>
  <r>
    <n v="34006972816"/>
    <n v="91"/>
    <d v="2035-01-29T00:00:00"/>
    <m/>
    <x v="7"/>
    <x v="0"/>
  </r>
  <r>
    <n v="25203848674"/>
    <n v="67"/>
    <d v="2035-01-29T00:00:00"/>
    <s v=""/>
    <x v="7"/>
    <x v="0"/>
  </r>
  <r>
    <n v="22474371823"/>
    <n v="48"/>
    <d v="2035-01-29T00:00:00"/>
    <s v=""/>
    <x v="7"/>
    <x v="0"/>
  </r>
  <r>
    <n v="80277139381"/>
    <n v="147"/>
    <d v="2035-01-29T00:00:00"/>
    <s v=""/>
    <x v="7"/>
    <x v="0"/>
  </r>
  <r>
    <n v="58330949185"/>
    <n v="192"/>
    <d v="2035-01-29T00:00:00"/>
    <s v=""/>
    <x v="7"/>
    <x v="0"/>
  </r>
  <r>
    <n v="93956297896"/>
    <n v="207"/>
    <d v="2035-01-29T00:00:00"/>
    <s v=""/>
    <x v="7"/>
    <x v="0"/>
  </r>
  <r>
    <n v="46813714338"/>
    <n v="60"/>
    <d v="2035-01-29T00:00:00"/>
    <m/>
    <x v="7"/>
    <x v="0"/>
  </r>
  <r>
    <n v="40451579588"/>
    <n v="310"/>
    <d v="2035-01-29T00:00:00"/>
    <s v=""/>
    <x v="7"/>
    <x v="0"/>
  </r>
  <r>
    <n v="50729944925"/>
    <n v="57"/>
    <d v="2035-01-29T00:00:00"/>
    <m/>
    <x v="7"/>
    <x v="0"/>
  </r>
  <r>
    <n v="32014405973"/>
    <n v="106"/>
    <d v="2035-01-29T00:00:00"/>
    <m/>
    <x v="7"/>
    <x v="0"/>
  </r>
  <r>
    <n v="69255992754"/>
    <n v="8"/>
    <d v="2035-01-29T00:00:00"/>
    <s v=""/>
    <x v="7"/>
    <x v="0"/>
  </r>
  <r>
    <n v="36514347083"/>
    <n v="272"/>
    <d v="2035-01-29T00:00:00"/>
    <m/>
    <x v="7"/>
    <x v="0"/>
  </r>
  <r>
    <n v="60143043996"/>
    <n v="124"/>
    <d v="2035-01-29T00:00:00"/>
    <m/>
    <x v="7"/>
    <x v="0"/>
  </r>
  <r>
    <n v="57051659467"/>
    <n v="334"/>
    <d v="2035-01-29T00:00:00"/>
    <s v=""/>
    <x v="7"/>
    <x v="0"/>
  </r>
  <r>
    <n v="95454829176"/>
    <n v="215"/>
    <d v="2035-01-29T00:00:00"/>
    <m/>
    <x v="7"/>
    <x v="0"/>
  </r>
  <r>
    <n v="53240309565"/>
    <n v="1"/>
    <d v="2035-01-29T00:00:00"/>
    <m/>
    <x v="7"/>
    <x v="0"/>
  </r>
  <r>
    <n v="40386055528"/>
    <n v="248"/>
    <d v="2035-01-29T00:00:00"/>
    <s v=""/>
    <x v="7"/>
    <x v="0"/>
  </r>
  <r>
    <n v="27088222050"/>
    <n v="316"/>
    <d v="2035-01-29T00:00:00"/>
    <s v=""/>
    <x v="7"/>
    <x v="0"/>
  </r>
  <r>
    <n v="30229834226"/>
    <n v="90"/>
    <d v="2035-01-30T00:00:00"/>
    <m/>
    <x v="7"/>
    <x v="0"/>
  </r>
  <r>
    <n v="68398605170"/>
    <n v="9"/>
    <d v="2035-01-30T00:00:00"/>
    <s v=""/>
    <x v="7"/>
    <x v="0"/>
  </r>
  <r>
    <n v="51845754022"/>
    <n v="201"/>
    <d v="2035-01-30T00:00:00"/>
    <s v=""/>
    <x v="7"/>
    <x v="0"/>
  </r>
  <r>
    <n v="90587615735"/>
    <n v="148"/>
    <d v="2035-01-30T00:00:00"/>
    <s v=""/>
    <x v="7"/>
    <x v="0"/>
  </r>
  <r>
    <n v="22548081097"/>
    <n v="307"/>
    <d v="2035-01-30T00:00:00"/>
    <m/>
    <x v="7"/>
    <x v="0"/>
  </r>
  <r>
    <n v="38936120982"/>
    <n v="121"/>
    <d v="2035-01-30T00:00:00"/>
    <s v=""/>
    <x v="7"/>
    <x v="0"/>
  </r>
  <r>
    <n v="32096508707"/>
    <n v="289"/>
    <d v="2035-01-30T00:00:00"/>
    <s v=""/>
    <x v="7"/>
    <x v="0"/>
  </r>
  <r>
    <n v="75003954674"/>
    <n v="111"/>
    <d v="2035-01-30T00:00:00"/>
    <s v=""/>
    <x v="7"/>
    <x v="0"/>
  </r>
  <r>
    <n v="66938030220"/>
    <n v="238"/>
    <d v="2035-01-30T00:00:00"/>
    <m/>
    <x v="7"/>
    <x v="0"/>
  </r>
  <r>
    <n v="32375721132"/>
    <n v="250"/>
    <d v="2035-01-30T00:00:00"/>
    <s v=""/>
    <x v="7"/>
    <x v="0"/>
  </r>
  <r>
    <n v="35391061307"/>
    <n v="232"/>
    <d v="2035-01-30T00:00:00"/>
    <s v=""/>
    <x v="7"/>
    <x v="0"/>
  </r>
  <r>
    <n v="27815647582"/>
    <n v="101"/>
    <d v="2035-01-30T00:00:00"/>
    <s v=""/>
    <x v="7"/>
    <x v="0"/>
  </r>
  <r>
    <n v="40322729885"/>
    <n v="132"/>
    <d v="2035-01-30T00:00:00"/>
    <s v=""/>
    <x v="7"/>
    <x v="0"/>
  </r>
  <r>
    <n v="64594879599"/>
    <n v="48"/>
    <d v="2035-01-30T00:00:00"/>
    <s v=""/>
    <x v="7"/>
    <x v="0"/>
  </r>
  <r>
    <n v="98833522360"/>
    <n v="132"/>
    <d v="2035-01-30T00:00:00"/>
    <s v=""/>
    <x v="7"/>
    <x v="0"/>
  </r>
  <r>
    <n v="89168296853"/>
    <n v="292"/>
    <d v="2035-01-30T00:00:00"/>
    <s v=""/>
    <x v="7"/>
    <x v="0"/>
  </r>
  <r>
    <n v="52183974020"/>
    <n v="200"/>
    <d v="2035-01-30T00:00:00"/>
    <s v=""/>
    <x v="7"/>
    <x v="0"/>
  </r>
  <r>
    <n v="16073943944"/>
    <n v="37"/>
    <d v="2035-01-30T00:00:00"/>
    <s v=""/>
    <x v="7"/>
    <x v="0"/>
  </r>
  <r>
    <n v="34085258293"/>
    <n v="31"/>
    <d v="2035-01-30T00:00:00"/>
    <s v=""/>
    <x v="7"/>
    <x v="0"/>
  </r>
  <r>
    <n v="45709320556"/>
    <n v="155"/>
    <d v="2035-01-30T00:00:00"/>
    <s v=""/>
    <x v="7"/>
    <x v="0"/>
  </r>
  <r>
    <n v="50350186880"/>
    <n v="286"/>
    <d v="2035-01-30T00:00:00"/>
    <s v=""/>
    <x v="7"/>
    <x v="0"/>
  </r>
  <r>
    <n v="78407697041"/>
    <n v="167"/>
    <d v="2035-01-30T00:00:00"/>
    <s v=""/>
    <x v="7"/>
    <x v="0"/>
  </r>
  <r>
    <n v="21312861808"/>
    <n v="98"/>
    <d v="2035-01-30T00:00:00"/>
    <s v=""/>
    <x v="7"/>
    <x v="0"/>
  </r>
  <r>
    <n v="50319538088"/>
    <n v="151"/>
    <d v="2035-01-30T00:00:00"/>
    <s v=""/>
    <x v="7"/>
    <x v="0"/>
  </r>
  <r>
    <n v="83690615399"/>
    <n v="74"/>
    <d v="2035-01-30T00:00:00"/>
    <m/>
    <x v="7"/>
    <x v="0"/>
  </r>
  <r>
    <n v="88494368240"/>
    <n v="319"/>
    <d v="2035-01-30T00:00:00"/>
    <s v=""/>
    <x v="7"/>
    <x v="0"/>
  </r>
  <r>
    <n v="62003613315"/>
    <n v="266"/>
    <d v="2035-01-31T00:00:00"/>
    <s v=""/>
    <x v="7"/>
    <x v="0"/>
  </r>
  <r>
    <n v="24972913061"/>
    <n v="231"/>
    <d v="2035-01-31T00:00:00"/>
    <s v=""/>
    <x v="7"/>
    <x v="0"/>
  </r>
  <r>
    <n v="16498747593"/>
    <n v="24"/>
    <d v="2035-01-31T00:00:00"/>
    <m/>
    <x v="7"/>
    <x v="0"/>
  </r>
  <r>
    <n v="14386625958"/>
    <n v="15"/>
    <d v="2035-01-31T00:00:00"/>
    <m/>
    <x v="7"/>
    <x v="0"/>
  </r>
  <r>
    <n v="99433789617"/>
    <n v="126"/>
    <d v="2035-01-31T00:00:00"/>
    <s v=""/>
    <x v="7"/>
    <x v="0"/>
  </r>
  <r>
    <n v="72621862023"/>
    <n v="231"/>
    <d v="2035-01-31T00:00:00"/>
    <s v=""/>
    <x v="7"/>
    <x v="0"/>
  </r>
  <r>
    <n v="17788850756"/>
    <n v="154"/>
    <d v="2035-01-31T00:00:00"/>
    <s v=""/>
    <x v="7"/>
    <x v="0"/>
  </r>
  <r>
    <n v="92283404171"/>
    <n v="96"/>
    <d v="2035-01-31T00:00:00"/>
    <m/>
    <x v="7"/>
    <x v="0"/>
  </r>
  <r>
    <n v="93074953957"/>
    <n v="138"/>
    <d v="2035-01-31T00:00:00"/>
    <s v=""/>
    <x v="7"/>
    <x v="0"/>
  </r>
  <r>
    <n v="44674602764"/>
    <n v="63"/>
    <d v="2035-01-31T00:00:00"/>
    <m/>
    <x v="7"/>
    <x v="0"/>
  </r>
  <r>
    <n v="97953543559"/>
    <n v="128"/>
    <d v="2035-01-31T00:00:00"/>
    <s v=""/>
    <x v="7"/>
    <x v="0"/>
  </r>
  <r>
    <n v="61190594110"/>
    <n v="228"/>
    <d v="2035-01-31T00:00:00"/>
    <m/>
    <x v="7"/>
    <x v="0"/>
  </r>
  <r>
    <n v="12876986724"/>
    <n v="268"/>
    <d v="2035-01-31T00:00:00"/>
    <s v=""/>
    <x v="7"/>
    <x v="0"/>
  </r>
  <r>
    <n v="60773629463"/>
    <n v="184"/>
    <d v="2035-01-31T00:00:00"/>
    <s v=""/>
    <x v="7"/>
    <x v="0"/>
  </r>
  <r>
    <n v="87335387339"/>
    <n v="174"/>
    <d v="2035-01-31T00:00:00"/>
    <s v=""/>
    <x v="7"/>
    <x v="0"/>
  </r>
  <r>
    <n v="13206708906"/>
    <n v="252"/>
    <d v="2035-01-31T00:00:00"/>
    <m/>
    <x v="7"/>
    <x v="0"/>
  </r>
  <r>
    <n v="17684932280"/>
    <n v="68"/>
    <d v="2035-01-31T00:00:00"/>
    <s v=""/>
    <x v="7"/>
    <x v="0"/>
  </r>
  <r>
    <n v="63971971685"/>
    <n v="312"/>
    <d v="2035-01-31T00:00:00"/>
    <s v=""/>
    <x v="7"/>
    <x v="0"/>
  </r>
  <r>
    <n v="61693197066"/>
    <n v="211"/>
    <d v="2035-01-31T00:00:00"/>
    <s v=""/>
    <x v="7"/>
    <x v="0"/>
  </r>
  <r>
    <n v="92428257047"/>
    <n v="78"/>
    <d v="2035-01-31T00:00:00"/>
    <m/>
    <x v="7"/>
    <x v="0"/>
  </r>
  <r>
    <n v="20811056972"/>
    <n v="173"/>
    <d v="2035-01-31T00:00:00"/>
    <s v=""/>
    <x v="7"/>
    <x v="0"/>
  </r>
  <r>
    <n v="26020298425"/>
    <n v="300"/>
    <d v="2035-01-31T00:00:00"/>
    <s v=""/>
    <x v="7"/>
    <x v="0"/>
  </r>
  <r>
    <n v="46826559783"/>
    <n v="222"/>
    <d v="2035-02-01T00:00:00"/>
    <s v=""/>
    <x v="8"/>
    <x v="0"/>
  </r>
  <r>
    <n v="67027268047"/>
    <n v="120"/>
    <d v="2035-02-01T00:00:00"/>
    <s v=""/>
    <x v="8"/>
    <x v="0"/>
  </r>
  <r>
    <n v="91531837122"/>
    <n v="196"/>
    <d v="2035-02-01T00:00:00"/>
    <s v=""/>
    <x v="8"/>
    <x v="0"/>
  </r>
  <r>
    <n v="58220797895"/>
    <n v="307"/>
    <d v="2035-02-01T00:00:00"/>
    <s v=""/>
    <x v="8"/>
    <x v="0"/>
  </r>
  <r>
    <n v="81288150258"/>
    <n v="21"/>
    <d v="2035-02-01T00:00:00"/>
    <s v=""/>
    <x v="8"/>
    <x v="0"/>
  </r>
  <r>
    <n v="35477567984"/>
    <n v="166"/>
    <d v="2035-02-01T00:00:00"/>
    <s v=""/>
    <x v="8"/>
    <x v="0"/>
  </r>
  <r>
    <n v="53704124999"/>
    <n v="287"/>
    <d v="2035-02-01T00:00:00"/>
    <s v=""/>
    <x v="8"/>
    <x v="0"/>
  </r>
  <r>
    <n v="37151411428"/>
    <n v="30"/>
    <d v="2035-02-01T00:00:00"/>
    <s v=""/>
    <x v="8"/>
    <x v="0"/>
  </r>
  <r>
    <n v="45831267915"/>
    <n v="171"/>
    <d v="2035-02-01T00:00:00"/>
    <m/>
    <x v="8"/>
    <x v="0"/>
  </r>
  <r>
    <n v="67348652085"/>
    <n v="140"/>
    <d v="2035-02-01T00:00:00"/>
    <s v=""/>
    <x v="8"/>
    <x v="0"/>
  </r>
  <r>
    <n v="65887254150"/>
    <n v="144"/>
    <d v="2035-02-01T00:00:00"/>
    <m/>
    <x v="8"/>
    <x v="0"/>
  </r>
  <r>
    <n v="37530687254"/>
    <n v="246"/>
    <d v="2035-02-01T00:00:00"/>
    <s v=""/>
    <x v="8"/>
    <x v="0"/>
  </r>
  <r>
    <n v="79391054292"/>
    <n v="155"/>
    <d v="2035-02-01T00:00:00"/>
    <m/>
    <x v="8"/>
    <x v="0"/>
  </r>
  <r>
    <n v="64185844294"/>
    <n v="231"/>
    <d v="2035-02-01T00:00:00"/>
    <s v=""/>
    <x v="8"/>
    <x v="0"/>
  </r>
  <r>
    <n v="82318449911"/>
    <n v="286"/>
    <d v="2035-02-01T00:00:00"/>
    <s v=""/>
    <x v="8"/>
    <x v="0"/>
  </r>
  <r>
    <n v="86545411132"/>
    <n v="275"/>
    <d v="2035-02-01T00:00:00"/>
    <s v=""/>
    <x v="8"/>
    <x v="0"/>
  </r>
  <r>
    <n v="67380321749"/>
    <n v="141"/>
    <d v="2035-02-01T00:00:00"/>
    <s v=""/>
    <x v="8"/>
    <x v="0"/>
  </r>
  <r>
    <n v="23450439927"/>
    <n v="205"/>
    <d v="2035-02-01T00:00:00"/>
    <s v=""/>
    <x v="8"/>
    <x v="0"/>
  </r>
  <r>
    <n v="97983610866"/>
    <n v="155"/>
    <d v="2035-02-01T00:00:00"/>
    <s v=""/>
    <x v="8"/>
    <x v="0"/>
  </r>
  <r>
    <n v="75498811916"/>
    <n v="199"/>
    <d v="2035-02-01T00:00:00"/>
    <s v=""/>
    <x v="8"/>
    <x v="0"/>
  </r>
  <r>
    <n v="22103457500"/>
    <n v="89"/>
    <d v="2035-02-01T00:00:00"/>
    <s v=""/>
    <x v="8"/>
    <x v="0"/>
  </r>
  <r>
    <n v="61355664622"/>
    <n v="165"/>
    <d v="2035-02-01T00:00:00"/>
    <s v=""/>
    <x v="8"/>
    <x v="0"/>
  </r>
  <r>
    <n v="11509691958"/>
    <n v="7"/>
    <d v="2035-02-01T00:00:00"/>
    <s v=""/>
    <x v="8"/>
    <x v="0"/>
  </r>
  <r>
    <n v="41613137500"/>
    <n v="111"/>
    <d v="2035-02-01T00:00:00"/>
    <s v=""/>
    <x v="8"/>
    <x v="0"/>
  </r>
  <r>
    <n v="84025499550"/>
    <n v="250"/>
    <d v="2035-02-01T00:00:00"/>
    <s v=""/>
    <x v="8"/>
    <x v="0"/>
  </r>
  <r>
    <n v="27419898799"/>
    <n v="239"/>
    <d v="2035-02-01T00:00:00"/>
    <s v=""/>
    <x v="8"/>
    <x v="0"/>
  </r>
  <r>
    <n v="76243576063"/>
    <n v="294"/>
    <d v="2035-02-01T00:00:00"/>
    <s v=""/>
    <x v="8"/>
    <x v="0"/>
  </r>
  <r>
    <n v="57754509206"/>
    <n v="63"/>
    <d v="2035-02-01T00:00:00"/>
    <m/>
    <x v="8"/>
    <x v="0"/>
  </r>
  <r>
    <n v="28014932384"/>
    <n v="139"/>
    <d v="2035-02-01T00:00:00"/>
    <m/>
    <x v="8"/>
    <x v="0"/>
  </r>
  <r>
    <n v="42931957786"/>
    <n v="79"/>
    <d v="2035-02-01T00:00:00"/>
    <s v=""/>
    <x v="8"/>
    <x v="0"/>
  </r>
  <r>
    <n v="85855446991"/>
    <n v="236"/>
    <d v="2035-02-01T00:00:00"/>
    <s v=""/>
    <x v="8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05">
  <r>
    <n v="19797464187"/>
    <n v="9"/>
    <x v="0"/>
    <s v=""/>
    <x v="0"/>
    <x v="0"/>
  </r>
  <r>
    <n v="54808625754"/>
    <n v="10"/>
    <x v="0"/>
    <s v=""/>
    <x v="0"/>
    <x v="0"/>
  </r>
  <r>
    <n v="61978720710"/>
    <n v="37"/>
    <x v="0"/>
    <s v=""/>
    <x v="0"/>
    <x v="0"/>
  </r>
  <r>
    <n v="28403151297"/>
    <n v="43"/>
    <x v="0"/>
    <s v=""/>
    <x v="0"/>
    <x v="0"/>
  </r>
  <r>
    <n v="51475771178"/>
    <n v="49"/>
    <x v="0"/>
    <m/>
    <x v="0"/>
    <x v="0"/>
  </r>
  <r>
    <n v="58526540691"/>
    <n v="54"/>
    <x v="0"/>
    <s v=""/>
    <x v="0"/>
    <x v="0"/>
  </r>
  <r>
    <n v="75179825599"/>
    <n v="63"/>
    <x v="0"/>
    <s v=""/>
    <x v="0"/>
    <x v="0"/>
  </r>
  <r>
    <n v="79575596607"/>
    <n v="66"/>
    <x v="0"/>
    <m/>
    <x v="0"/>
    <x v="0"/>
  </r>
  <r>
    <n v="94593467641"/>
    <n v="67"/>
    <x v="0"/>
    <s v=""/>
    <x v="0"/>
    <x v="0"/>
  </r>
  <r>
    <n v="85706999212"/>
    <n v="92"/>
    <x v="0"/>
    <m/>
    <x v="0"/>
    <x v="0"/>
  </r>
  <r>
    <n v="68622980113"/>
    <n v="132"/>
    <x v="0"/>
    <s v=""/>
    <x v="0"/>
    <x v="0"/>
  </r>
  <r>
    <n v="80253330439"/>
    <n v="139"/>
    <x v="0"/>
    <s v=""/>
    <x v="0"/>
    <x v="0"/>
  </r>
  <r>
    <n v="55485643970"/>
    <n v="163"/>
    <x v="0"/>
    <m/>
    <x v="0"/>
    <x v="0"/>
  </r>
  <r>
    <n v="64500920291"/>
    <n v="174"/>
    <x v="0"/>
    <d v="2034-06-16T00:00:00"/>
    <x v="0"/>
    <x v="1"/>
  </r>
  <r>
    <n v="72912456724"/>
    <n v="179"/>
    <x v="0"/>
    <s v=""/>
    <x v="0"/>
    <x v="0"/>
  </r>
  <r>
    <n v="65667728917"/>
    <n v="192"/>
    <x v="0"/>
    <s v=""/>
    <x v="0"/>
    <x v="0"/>
  </r>
  <r>
    <n v="29498829985"/>
    <n v="207"/>
    <x v="0"/>
    <d v="2034-06-22T00:00:00"/>
    <x v="0"/>
    <x v="1"/>
  </r>
  <r>
    <n v="99947995195"/>
    <n v="220"/>
    <x v="0"/>
    <m/>
    <x v="0"/>
    <x v="0"/>
  </r>
  <r>
    <n v="75048331084"/>
    <n v="233"/>
    <x v="0"/>
    <s v=""/>
    <x v="0"/>
    <x v="0"/>
  </r>
  <r>
    <n v="22030167053"/>
    <n v="244"/>
    <x v="0"/>
    <s v=""/>
    <x v="0"/>
    <x v="0"/>
  </r>
  <r>
    <n v="97313214546"/>
    <n v="257"/>
    <x v="0"/>
    <s v=""/>
    <x v="0"/>
    <x v="0"/>
  </r>
  <r>
    <n v="62808703889"/>
    <n v="269"/>
    <x v="0"/>
    <d v="2034-06-13T00:00:00"/>
    <x v="0"/>
    <x v="1"/>
  </r>
  <r>
    <n v="16738043104"/>
    <n v="276"/>
    <x v="0"/>
    <s v=""/>
    <x v="0"/>
    <x v="0"/>
  </r>
  <r>
    <n v="83595093631"/>
    <n v="313"/>
    <x v="0"/>
    <s v=""/>
    <x v="0"/>
    <x v="0"/>
  </r>
  <r>
    <n v="78385067201"/>
    <n v="317"/>
    <x v="0"/>
    <s v=""/>
    <x v="0"/>
    <x v="0"/>
  </r>
  <r>
    <n v="44306405916"/>
    <n v="3"/>
    <x v="1"/>
    <m/>
    <x v="0"/>
    <x v="0"/>
  </r>
  <r>
    <n v="97553312828"/>
    <n v="20"/>
    <x v="1"/>
    <s v=""/>
    <x v="0"/>
    <x v="0"/>
  </r>
  <r>
    <n v="63312272052"/>
    <n v="21"/>
    <x v="1"/>
    <s v=""/>
    <x v="0"/>
    <x v="0"/>
  </r>
  <r>
    <n v="84675285827"/>
    <n v="24"/>
    <x v="1"/>
    <s v=""/>
    <x v="0"/>
    <x v="0"/>
  </r>
  <r>
    <n v="89067755842"/>
    <n v="38"/>
    <x v="1"/>
    <m/>
    <x v="0"/>
    <x v="0"/>
  </r>
  <r>
    <n v="97661729319"/>
    <n v="79"/>
    <x v="1"/>
    <s v=""/>
    <x v="0"/>
    <x v="0"/>
  </r>
  <r>
    <n v="71078196504"/>
    <n v="80"/>
    <x v="1"/>
    <d v="2034-07-12T00:00:00"/>
    <x v="0"/>
    <x v="2"/>
  </r>
  <r>
    <n v="68859493800"/>
    <n v="103"/>
    <x v="1"/>
    <s v=""/>
    <x v="0"/>
    <x v="0"/>
  </r>
  <r>
    <n v="51310937610"/>
    <n v="113"/>
    <x v="1"/>
    <s v=""/>
    <x v="0"/>
    <x v="0"/>
  </r>
  <r>
    <n v="17985992575"/>
    <n v="149"/>
    <x v="1"/>
    <d v="2034-07-22T00:00:00"/>
    <x v="0"/>
    <x v="2"/>
  </r>
  <r>
    <n v="92344335927"/>
    <n v="175"/>
    <x v="1"/>
    <s v=""/>
    <x v="0"/>
    <x v="0"/>
  </r>
  <r>
    <n v="40151593663"/>
    <n v="180"/>
    <x v="1"/>
    <s v=""/>
    <x v="0"/>
    <x v="0"/>
  </r>
  <r>
    <n v="38720666306"/>
    <n v="185"/>
    <x v="1"/>
    <s v=""/>
    <x v="0"/>
    <x v="0"/>
  </r>
  <r>
    <n v="48231569074"/>
    <n v="196"/>
    <x v="1"/>
    <s v=""/>
    <x v="0"/>
    <x v="0"/>
  </r>
  <r>
    <n v="24684376290"/>
    <n v="204"/>
    <x v="1"/>
    <d v="2034-09-29T00:00:00"/>
    <x v="0"/>
    <x v="3"/>
  </r>
  <r>
    <n v="25864935346"/>
    <n v="206"/>
    <x v="1"/>
    <d v="2034-07-07T00:00:00"/>
    <x v="0"/>
    <x v="2"/>
  </r>
  <r>
    <n v="33817417258"/>
    <n v="212"/>
    <x v="1"/>
    <s v=""/>
    <x v="0"/>
    <x v="0"/>
  </r>
  <r>
    <n v="52148869418"/>
    <n v="220"/>
    <x v="1"/>
    <m/>
    <x v="0"/>
    <x v="0"/>
  </r>
  <r>
    <n v="25693723998"/>
    <n v="226"/>
    <x v="1"/>
    <m/>
    <x v="0"/>
    <x v="0"/>
  </r>
  <r>
    <n v="68518364725"/>
    <n v="229"/>
    <x v="1"/>
    <s v=""/>
    <x v="0"/>
    <x v="0"/>
  </r>
  <r>
    <n v="41121975012"/>
    <n v="237"/>
    <x v="1"/>
    <s v=""/>
    <x v="0"/>
    <x v="0"/>
  </r>
  <r>
    <n v="67666228453"/>
    <n v="256"/>
    <x v="1"/>
    <s v=""/>
    <x v="0"/>
    <x v="0"/>
  </r>
  <r>
    <n v="53285055591"/>
    <n v="288"/>
    <x v="1"/>
    <s v=""/>
    <x v="0"/>
    <x v="0"/>
  </r>
  <r>
    <n v="13563146093"/>
    <n v="300"/>
    <x v="1"/>
    <m/>
    <x v="0"/>
    <x v="0"/>
  </r>
  <r>
    <n v="54332366001"/>
    <n v="335"/>
    <x v="1"/>
    <s v=""/>
    <x v="0"/>
    <x v="0"/>
  </r>
  <r>
    <n v="62461148056"/>
    <n v="336"/>
    <x v="1"/>
    <s v=""/>
    <x v="0"/>
    <x v="0"/>
  </r>
  <r>
    <n v="14298161081"/>
    <n v="7"/>
    <x v="2"/>
    <m/>
    <x v="0"/>
    <x v="0"/>
  </r>
  <r>
    <n v="98317258880"/>
    <n v="25"/>
    <x v="2"/>
    <s v=""/>
    <x v="0"/>
    <x v="0"/>
  </r>
  <r>
    <n v="34650918733"/>
    <n v="27"/>
    <x v="2"/>
    <d v="2034-08-19T00:00:00"/>
    <x v="0"/>
    <x v="4"/>
  </r>
  <r>
    <n v="48937844432"/>
    <n v="31"/>
    <x v="2"/>
    <s v=""/>
    <x v="0"/>
    <x v="0"/>
  </r>
  <r>
    <n v="84099720954"/>
    <n v="37"/>
    <x v="2"/>
    <m/>
    <x v="0"/>
    <x v="0"/>
  </r>
  <r>
    <n v="23523628914"/>
    <n v="70"/>
    <x v="2"/>
    <s v=""/>
    <x v="0"/>
    <x v="0"/>
  </r>
  <r>
    <n v="93089735190"/>
    <n v="76"/>
    <x v="2"/>
    <s v=""/>
    <x v="0"/>
    <x v="0"/>
  </r>
  <r>
    <n v="83496259240"/>
    <n v="84"/>
    <x v="2"/>
    <d v="2034-08-01T00:00:00"/>
    <x v="0"/>
    <x v="4"/>
  </r>
  <r>
    <n v="81452980476"/>
    <n v="113"/>
    <x v="2"/>
    <d v="2034-07-13T00:00:00"/>
    <x v="0"/>
    <x v="2"/>
  </r>
  <r>
    <n v="44433988919"/>
    <n v="132"/>
    <x v="2"/>
    <m/>
    <x v="0"/>
    <x v="0"/>
  </r>
  <r>
    <n v="14657560532"/>
    <n v="149"/>
    <x v="2"/>
    <s v=""/>
    <x v="0"/>
    <x v="0"/>
  </r>
  <r>
    <n v="25782504693"/>
    <n v="149"/>
    <x v="2"/>
    <m/>
    <x v="0"/>
    <x v="0"/>
  </r>
  <r>
    <n v="45552920259"/>
    <n v="160"/>
    <x v="2"/>
    <s v=""/>
    <x v="0"/>
    <x v="0"/>
  </r>
  <r>
    <n v="63073437128"/>
    <n v="163"/>
    <x v="2"/>
    <m/>
    <x v="0"/>
    <x v="0"/>
  </r>
  <r>
    <n v="98371504645"/>
    <n v="173"/>
    <x v="2"/>
    <s v=""/>
    <x v="0"/>
    <x v="0"/>
  </r>
  <r>
    <n v="92833192216"/>
    <n v="178"/>
    <x v="2"/>
    <m/>
    <x v="0"/>
    <x v="0"/>
  </r>
  <r>
    <n v="83773601754"/>
    <n v="195"/>
    <x v="2"/>
    <s v=""/>
    <x v="0"/>
    <x v="0"/>
  </r>
  <r>
    <n v="16532160760"/>
    <n v="197"/>
    <x v="2"/>
    <s v=""/>
    <x v="0"/>
    <x v="0"/>
  </r>
  <r>
    <n v="91925411950"/>
    <n v="197"/>
    <x v="2"/>
    <m/>
    <x v="0"/>
    <x v="0"/>
  </r>
  <r>
    <n v="61727785217"/>
    <n v="211"/>
    <x v="2"/>
    <s v=""/>
    <x v="0"/>
    <x v="0"/>
  </r>
  <r>
    <n v="51877094484"/>
    <n v="237"/>
    <x v="2"/>
    <d v="2034-06-27T00:00:00"/>
    <x v="0"/>
    <x v="1"/>
  </r>
  <r>
    <n v="23445980733"/>
    <n v="243"/>
    <x v="2"/>
    <d v="2034-06-29T00:00:00"/>
    <x v="0"/>
    <x v="1"/>
  </r>
  <r>
    <n v="20736724237"/>
    <n v="262"/>
    <x v="2"/>
    <s v=""/>
    <x v="0"/>
    <x v="0"/>
  </r>
  <r>
    <n v="66401252331"/>
    <n v="271"/>
    <x v="2"/>
    <s v=""/>
    <x v="0"/>
    <x v="0"/>
  </r>
  <r>
    <n v="67929085408"/>
    <n v="286"/>
    <x v="2"/>
    <d v="2034-07-04T00:00:00"/>
    <x v="0"/>
    <x v="2"/>
  </r>
  <r>
    <n v="61167481842"/>
    <n v="292"/>
    <x v="2"/>
    <s v=""/>
    <x v="0"/>
    <x v="0"/>
  </r>
  <r>
    <n v="94171582845"/>
    <n v="304"/>
    <x v="2"/>
    <s v=""/>
    <x v="0"/>
    <x v="0"/>
  </r>
  <r>
    <n v="62817224430"/>
    <n v="327"/>
    <x v="2"/>
    <d v="2034-07-12T00:00:00"/>
    <x v="0"/>
    <x v="2"/>
  </r>
  <r>
    <n v="76777025578"/>
    <n v="17"/>
    <x v="3"/>
    <s v=""/>
    <x v="0"/>
    <x v="0"/>
  </r>
  <r>
    <n v="87829283804"/>
    <n v="29"/>
    <x v="3"/>
    <d v="2034-06-11T00:00:00"/>
    <x v="0"/>
    <x v="1"/>
  </r>
  <r>
    <n v="36811208391"/>
    <n v="35"/>
    <x v="3"/>
    <s v=""/>
    <x v="0"/>
    <x v="0"/>
  </r>
  <r>
    <n v="11440065075"/>
    <n v="45"/>
    <x v="3"/>
    <s v=""/>
    <x v="0"/>
    <x v="0"/>
  </r>
  <r>
    <n v="11447295009"/>
    <n v="47"/>
    <x v="3"/>
    <s v=""/>
    <x v="0"/>
    <x v="0"/>
  </r>
  <r>
    <n v="65695665079"/>
    <n v="53"/>
    <x v="3"/>
    <s v=""/>
    <x v="0"/>
    <x v="0"/>
  </r>
  <r>
    <n v="17861885355"/>
    <n v="55"/>
    <x v="3"/>
    <s v=""/>
    <x v="0"/>
    <x v="0"/>
  </r>
  <r>
    <n v="32710064720"/>
    <n v="56"/>
    <x v="3"/>
    <s v=""/>
    <x v="0"/>
    <x v="0"/>
  </r>
  <r>
    <n v="18099518603"/>
    <n v="64"/>
    <x v="3"/>
    <s v=""/>
    <x v="0"/>
    <x v="0"/>
  </r>
  <r>
    <n v="80467421792"/>
    <n v="73"/>
    <x v="3"/>
    <d v="2034-10-01T00:00:00"/>
    <x v="0"/>
    <x v="5"/>
  </r>
  <r>
    <n v="91970535678"/>
    <n v="96"/>
    <x v="3"/>
    <m/>
    <x v="0"/>
    <x v="0"/>
  </r>
  <r>
    <n v="83470857628"/>
    <n v="105"/>
    <x v="3"/>
    <s v=""/>
    <x v="0"/>
    <x v="0"/>
  </r>
  <r>
    <n v="68344179710"/>
    <n v="148"/>
    <x v="3"/>
    <s v=""/>
    <x v="0"/>
    <x v="0"/>
  </r>
  <r>
    <n v="84562390951"/>
    <n v="177"/>
    <x v="3"/>
    <s v=""/>
    <x v="0"/>
    <x v="0"/>
  </r>
  <r>
    <n v="11139592028"/>
    <n v="189"/>
    <x v="3"/>
    <s v=""/>
    <x v="0"/>
    <x v="0"/>
  </r>
  <r>
    <n v="30282900450"/>
    <n v="195"/>
    <x v="3"/>
    <d v="2034-09-03T00:00:00"/>
    <x v="0"/>
    <x v="3"/>
  </r>
  <r>
    <n v="59335004798"/>
    <n v="206"/>
    <x v="3"/>
    <s v=""/>
    <x v="0"/>
    <x v="0"/>
  </r>
  <r>
    <n v="61958741227"/>
    <n v="208"/>
    <x v="3"/>
    <d v="2034-07-14T00:00:00"/>
    <x v="0"/>
    <x v="2"/>
  </r>
  <r>
    <n v="37278200645"/>
    <n v="220"/>
    <x v="3"/>
    <s v=""/>
    <x v="0"/>
    <x v="0"/>
  </r>
  <r>
    <n v="11539782471"/>
    <n v="225"/>
    <x v="3"/>
    <s v=""/>
    <x v="0"/>
    <x v="0"/>
  </r>
  <r>
    <n v="17570785395"/>
    <n v="236"/>
    <x v="3"/>
    <d v="2034-09-29T00:00:00"/>
    <x v="0"/>
    <x v="3"/>
  </r>
  <r>
    <n v="27500417384"/>
    <n v="236"/>
    <x v="3"/>
    <s v=""/>
    <x v="0"/>
    <x v="0"/>
  </r>
  <r>
    <n v="30681810272"/>
    <n v="256"/>
    <x v="3"/>
    <m/>
    <x v="0"/>
    <x v="0"/>
  </r>
  <r>
    <n v="87748308974"/>
    <n v="259"/>
    <x v="3"/>
    <m/>
    <x v="0"/>
    <x v="0"/>
  </r>
  <r>
    <n v="37660936317"/>
    <n v="273"/>
    <x v="3"/>
    <s v=""/>
    <x v="0"/>
    <x v="0"/>
  </r>
  <r>
    <n v="80913597524"/>
    <n v="283"/>
    <x v="3"/>
    <s v=""/>
    <x v="0"/>
    <x v="0"/>
  </r>
  <r>
    <n v="33493522229"/>
    <n v="285"/>
    <x v="3"/>
    <s v=""/>
    <x v="0"/>
    <x v="0"/>
  </r>
  <r>
    <n v="89588647459"/>
    <n v="312"/>
    <x v="3"/>
    <s v=""/>
    <x v="0"/>
    <x v="0"/>
  </r>
  <r>
    <n v="47102724651"/>
    <n v="319"/>
    <x v="3"/>
    <d v="2034-07-04T00:00:00"/>
    <x v="0"/>
    <x v="2"/>
  </r>
  <r>
    <n v="85494213717"/>
    <n v="328"/>
    <x v="3"/>
    <s v=""/>
    <x v="0"/>
    <x v="0"/>
  </r>
  <r>
    <n v="42518879407"/>
    <n v="331"/>
    <x v="3"/>
    <s v=""/>
    <x v="0"/>
    <x v="0"/>
  </r>
  <r>
    <n v="13658254445"/>
    <n v="336"/>
    <x v="3"/>
    <s v=""/>
    <x v="0"/>
    <x v="0"/>
  </r>
  <r>
    <n v="24098776063"/>
    <n v="337"/>
    <x v="3"/>
    <d v="2034-09-26T00:00:00"/>
    <x v="0"/>
    <x v="3"/>
  </r>
  <r>
    <n v="45480594740"/>
    <n v="19"/>
    <x v="4"/>
    <m/>
    <x v="0"/>
    <x v="0"/>
  </r>
  <r>
    <n v="56389259269"/>
    <n v="44"/>
    <x v="4"/>
    <s v=""/>
    <x v="0"/>
    <x v="0"/>
  </r>
  <r>
    <n v="54044939110"/>
    <n v="62"/>
    <x v="4"/>
    <s v=""/>
    <x v="0"/>
    <x v="0"/>
  </r>
  <r>
    <n v="74413770691"/>
    <n v="66"/>
    <x v="4"/>
    <d v="2034-08-31T00:00:00"/>
    <x v="0"/>
    <x v="4"/>
  </r>
  <r>
    <n v="52349663305"/>
    <n v="100"/>
    <x v="4"/>
    <m/>
    <x v="0"/>
    <x v="0"/>
  </r>
  <r>
    <n v="82737217828"/>
    <n v="119"/>
    <x v="4"/>
    <d v="2034-07-17T00:00:00"/>
    <x v="0"/>
    <x v="2"/>
  </r>
  <r>
    <n v="81894593644"/>
    <n v="123"/>
    <x v="4"/>
    <s v=""/>
    <x v="0"/>
    <x v="0"/>
  </r>
  <r>
    <n v="68663986578"/>
    <n v="131"/>
    <x v="4"/>
    <s v=""/>
    <x v="0"/>
    <x v="0"/>
  </r>
  <r>
    <n v="96603048332"/>
    <n v="161"/>
    <x v="4"/>
    <s v=""/>
    <x v="0"/>
    <x v="0"/>
  </r>
  <r>
    <n v="68442251362"/>
    <n v="175"/>
    <x v="4"/>
    <s v=""/>
    <x v="0"/>
    <x v="0"/>
  </r>
  <r>
    <n v="31403660181"/>
    <n v="198"/>
    <x v="4"/>
    <d v="2034-09-29T00:00:00"/>
    <x v="0"/>
    <x v="3"/>
  </r>
  <r>
    <n v="30408027907"/>
    <n v="244"/>
    <x v="4"/>
    <d v="2034-08-26T00:00:00"/>
    <x v="0"/>
    <x v="4"/>
  </r>
  <r>
    <n v="40262893439"/>
    <n v="245"/>
    <x v="4"/>
    <s v=""/>
    <x v="0"/>
    <x v="0"/>
  </r>
  <r>
    <n v="49000195592"/>
    <n v="255"/>
    <x v="4"/>
    <s v=""/>
    <x v="0"/>
    <x v="0"/>
  </r>
  <r>
    <n v="52940949514"/>
    <n v="264"/>
    <x v="4"/>
    <s v=""/>
    <x v="0"/>
    <x v="0"/>
  </r>
  <r>
    <n v="92198983293"/>
    <n v="267"/>
    <x v="4"/>
    <m/>
    <x v="0"/>
    <x v="0"/>
  </r>
  <r>
    <n v="54220913514"/>
    <n v="292"/>
    <x v="4"/>
    <m/>
    <x v="0"/>
    <x v="0"/>
  </r>
  <r>
    <n v="79159356875"/>
    <n v="303"/>
    <x v="4"/>
    <s v=""/>
    <x v="0"/>
    <x v="0"/>
  </r>
  <r>
    <n v="89002165412"/>
    <n v="305"/>
    <x v="4"/>
    <d v="2034-08-25T00:00:00"/>
    <x v="0"/>
    <x v="4"/>
  </r>
  <r>
    <n v="52193465909"/>
    <n v="316"/>
    <x v="4"/>
    <d v="2034-07-12T00:00:00"/>
    <x v="0"/>
    <x v="2"/>
  </r>
  <r>
    <n v="29638421062"/>
    <n v="321"/>
    <x v="4"/>
    <m/>
    <x v="0"/>
    <x v="0"/>
  </r>
  <r>
    <n v="54415848313"/>
    <n v="321"/>
    <x v="4"/>
    <s v=""/>
    <x v="0"/>
    <x v="0"/>
  </r>
  <r>
    <n v="30452376622"/>
    <n v="0"/>
    <x v="5"/>
    <s v=""/>
    <x v="0"/>
    <x v="0"/>
  </r>
  <r>
    <n v="49602868371"/>
    <n v="12"/>
    <x v="5"/>
    <d v="2034-08-16T00:00:00"/>
    <x v="0"/>
    <x v="4"/>
  </r>
  <r>
    <n v="68981738704"/>
    <n v="32"/>
    <x v="5"/>
    <s v=""/>
    <x v="0"/>
    <x v="0"/>
  </r>
  <r>
    <n v="28505290381"/>
    <n v="36"/>
    <x v="5"/>
    <s v=""/>
    <x v="0"/>
    <x v="0"/>
  </r>
  <r>
    <n v="22595611907"/>
    <n v="53"/>
    <x v="5"/>
    <d v="2034-07-06T00:00:00"/>
    <x v="0"/>
    <x v="2"/>
  </r>
  <r>
    <n v="33489958569"/>
    <n v="80"/>
    <x v="5"/>
    <s v=""/>
    <x v="0"/>
    <x v="0"/>
  </r>
  <r>
    <n v="64424388113"/>
    <n v="80"/>
    <x v="5"/>
    <s v=""/>
    <x v="0"/>
    <x v="0"/>
  </r>
  <r>
    <n v="25692838458"/>
    <n v="82"/>
    <x v="5"/>
    <s v=""/>
    <x v="0"/>
    <x v="0"/>
  </r>
  <r>
    <n v="19130622628"/>
    <n v="91"/>
    <x v="5"/>
    <d v="2034-06-21T00:00:00"/>
    <x v="0"/>
    <x v="1"/>
  </r>
  <r>
    <n v="73786944731"/>
    <n v="100"/>
    <x v="5"/>
    <s v=""/>
    <x v="0"/>
    <x v="0"/>
  </r>
  <r>
    <n v="45608462359"/>
    <n v="104"/>
    <x v="5"/>
    <s v=""/>
    <x v="0"/>
    <x v="0"/>
  </r>
  <r>
    <n v="73872394443"/>
    <n v="108"/>
    <x v="5"/>
    <d v="2034-09-22T00:00:00"/>
    <x v="0"/>
    <x v="3"/>
  </r>
  <r>
    <n v="48119834370"/>
    <n v="159"/>
    <x v="5"/>
    <s v=""/>
    <x v="0"/>
    <x v="0"/>
  </r>
  <r>
    <n v="12083000103"/>
    <n v="162"/>
    <x v="5"/>
    <s v=""/>
    <x v="0"/>
    <x v="0"/>
  </r>
  <r>
    <n v="57812898537"/>
    <n v="169"/>
    <x v="5"/>
    <s v=""/>
    <x v="0"/>
    <x v="0"/>
  </r>
  <r>
    <n v="96574786861"/>
    <n v="184"/>
    <x v="5"/>
    <s v=""/>
    <x v="0"/>
    <x v="0"/>
  </r>
  <r>
    <n v="90352683215"/>
    <n v="185"/>
    <x v="5"/>
    <m/>
    <x v="0"/>
    <x v="0"/>
  </r>
  <r>
    <n v="67390836972"/>
    <n v="185"/>
    <x v="5"/>
    <m/>
    <x v="0"/>
    <x v="0"/>
  </r>
  <r>
    <n v="23856397500"/>
    <n v="190"/>
    <x v="5"/>
    <s v=""/>
    <x v="0"/>
    <x v="0"/>
  </r>
  <r>
    <n v="98900253453"/>
    <n v="217"/>
    <x v="5"/>
    <d v="2034-06-20T00:00:00"/>
    <x v="0"/>
    <x v="1"/>
  </r>
  <r>
    <n v="89518193257"/>
    <n v="263"/>
    <x v="5"/>
    <d v="2034-08-14T00:00:00"/>
    <x v="0"/>
    <x v="4"/>
  </r>
  <r>
    <n v="75824928246"/>
    <n v="269"/>
    <x v="5"/>
    <s v=""/>
    <x v="0"/>
    <x v="0"/>
  </r>
  <r>
    <n v="49977649326"/>
    <n v="287"/>
    <x v="5"/>
    <s v=""/>
    <x v="0"/>
    <x v="0"/>
  </r>
  <r>
    <n v="21705381983"/>
    <n v="295"/>
    <x v="5"/>
    <s v=""/>
    <x v="0"/>
    <x v="0"/>
  </r>
  <r>
    <n v="68124840363"/>
    <n v="308"/>
    <x v="5"/>
    <m/>
    <x v="0"/>
    <x v="0"/>
  </r>
  <r>
    <n v="95503056289"/>
    <n v="330"/>
    <x v="5"/>
    <s v=""/>
    <x v="0"/>
    <x v="0"/>
  </r>
  <r>
    <n v="26355558319"/>
    <n v="340"/>
    <x v="5"/>
    <d v="2034-09-03T00:00:00"/>
    <x v="0"/>
    <x v="3"/>
  </r>
  <r>
    <n v="49061723505"/>
    <n v="4"/>
    <x v="6"/>
    <d v="2034-09-09T00:00:00"/>
    <x v="0"/>
    <x v="3"/>
  </r>
  <r>
    <n v="53546490102"/>
    <n v="11"/>
    <x v="6"/>
    <s v=""/>
    <x v="0"/>
    <x v="0"/>
  </r>
  <r>
    <n v="87157023141"/>
    <n v="40"/>
    <x v="6"/>
    <s v=""/>
    <x v="0"/>
    <x v="0"/>
  </r>
  <r>
    <n v="90969142315"/>
    <n v="41"/>
    <x v="6"/>
    <s v=""/>
    <x v="0"/>
    <x v="0"/>
  </r>
  <r>
    <n v="56817868837"/>
    <n v="41"/>
    <x v="6"/>
    <s v=""/>
    <x v="0"/>
    <x v="0"/>
  </r>
  <r>
    <n v="99410324373"/>
    <n v="66"/>
    <x v="6"/>
    <d v="2034-06-11T00:00:00"/>
    <x v="0"/>
    <x v="1"/>
  </r>
  <r>
    <n v="35716934981"/>
    <n v="78"/>
    <x v="6"/>
    <s v=""/>
    <x v="0"/>
    <x v="0"/>
  </r>
  <r>
    <n v="56804120393"/>
    <n v="104"/>
    <x v="6"/>
    <s v=""/>
    <x v="0"/>
    <x v="0"/>
  </r>
  <r>
    <n v="50727772213"/>
    <n v="105"/>
    <x v="6"/>
    <s v=""/>
    <x v="0"/>
    <x v="0"/>
  </r>
  <r>
    <n v="89874883804"/>
    <n v="109"/>
    <x v="6"/>
    <s v=""/>
    <x v="0"/>
    <x v="0"/>
  </r>
  <r>
    <n v="30526619105"/>
    <n v="113"/>
    <x v="6"/>
    <m/>
    <x v="0"/>
    <x v="0"/>
  </r>
  <r>
    <n v="39757848097"/>
    <n v="138"/>
    <x v="6"/>
    <s v=""/>
    <x v="0"/>
    <x v="0"/>
  </r>
  <r>
    <n v="39714125450"/>
    <n v="141"/>
    <x v="6"/>
    <s v=""/>
    <x v="0"/>
    <x v="0"/>
  </r>
  <r>
    <n v="40288599322"/>
    <n v="143"/>
    <x v="6"/>
    <s v=""/>
    <x v="0"/>
    <x v="0"/>
  </r>
  <r>
    <n v="30780679395"/>
    <n v="164"/>
    <x v="6"/>
    <s v=""/>
    <x v="0"/>
    <x v="0"/>
  </r>
  <r>
    <n v="51525174613"/>
    <n v="172"/>
    <x v="6"/>
    <d v="2034-08-06T00:00:00"/>
    <x v="0"/>
    <x v="4"/>
  </r>
  <r>
    <n v="28168515100"/>
    <n v="180"/>
    <x v="6"/>
    <m/>
    <x v="0"/>
    <x v="0"/>
  </r>
  <r>
    <n v="97899299443"/>
    <n v="189"/>
    <x v="6"/>
    <s v=""/>
    <x v="0"/>
    <x v="0"/>
  </r>
  <r>
    <n v="39149675165"/>
    <n v="236"/>
    <x v="6"/>
    <s v=""/>
    <x v="0"/>
    <x v="0"/>
  </r>
  <r>
    <n v="12283340089"/>
    <n v="253"/>
    <x v="6"/>
    <s v=""/>
    <x v="0"/>
    <x v="0"/>
  </r>
  <r>
    <n v="69004613131"/>
    <n v="257"/>
    <x v="6"/>
    <d v="2034-08-24T00:00:00"/>
    <x v="0"/>
    <x v="4"/>
  </r>
  <r>
    <n v="65566296177"/>
    <n v="262"/>
    <x v="6"/>
    <m/>
    <x v="0"/>
    <x v="0"/>
  </r>
  <r>
    <n v="28733099641"/>
    <n v="269"/>
    <x v="6"/>
    <s v=""/>
    <x v="0"/>
    <x v="0"/>
  </r>
  <r>
    <n v="51978844204"/>
    <n v="295"/>
    <x v="6"/>
    <s v=""/>
    <x v="0"/>
    <x v="0"/>
  </r>
  <r>
    <n v="64103501680"/>
    <n v="317"/>
    <x v="6"/>
    <d v="2034-07-28T00:00:00"/>
    <x v="0"/>
    <x v="2"/>
  </r>
  <r>
    <n v="60895409923"/>
    <n v="332"/>
    <x v="6"/>
    <d v="2034-06-24T00:00:00"/>
    <x v="0"/>
    <x v="1"/>
  </r>
  <r>
    <n v="86036356620"/>
    <n v="335"/>
    <x v="6"/>
    <s v=""/>
    <x v="0"/>
    <x v="0"/>
  </r>
  <r>
    <n v="42326882307"/>
    <n v="4"/>
    <x v="7"/>
    <d v="2034-09-15T00:00:00"/>
    <x v="0"/>
    <x v="3"/>
  </r>
  <r>
    <n v="52600355957"/>
    <n v="8"/>
    <x v="7"/>
    <s v=""/>
    <x v="0"/>
    <x v="0"/>
  </r>
  <r>
    <n v="44408803140"/>
    <n v="22"/>
    <x v="7"/>
    <s v=""/>
    <x v="0"/>
    <x v="0"/>
  </r>
  <r>
    <n v="86997567522"/>
    <n v="23"/>
    <x v="7"/>
    <s v=""/>
    <x v="0"/>
    <x v="0"/>
  </r>
  <r>
    <n v="48962964851"/>
    <n v="31"/>
    <x v="7"/>
    <s v=""/>
    <x v="0"/>
    <x v="0"/>
  </r>
  <r>
    <n v="83760591201"/>
    <n v="35"/>
    <x v="7"/>
    <s v=""/>
    <x v="0"/>
    <x v="0"/>
  </r>
  <r>
    <n v="79918640037"/>
    <n v="58"/>
    <x v="7"/>
    <d v="2034-07-03T00:00:00"/>
    <x v="0"/>
    <x v="2"/>
  </r>
  <r>
    <n v="12017329141"/>
    <n v="75"/>
    <x v="7"/>
    <s v=""/>
    <x v="0"/>
    <x v="0"/>
  </r>
  <r>
    <n v="29950026033"/>
    <n v="103"/>
    <x v="7"/>
    <m/>
    <x v="0"/>
    <x v="0"/>
  </r>
  <r>
    <n v="72611004481"/>
    <n v="113"/>
    <x v="7"/>
    <s v=""/>
    <x v="0"/>
    <x v="0"/>
  </r>
  <r>
    <n v="88822766623"/>
    <n v="120"/>
    <x v="7"/>
    <s v=""/>
    <x v="0"/>
    <x v="0"/>
  </r>
  <r>
    <n v="58982870897"/>
    <n v="135"/>
    <x v="7"/>
    <d v="2034-10-02T00:00:00"/>
    <x v="0"/>
    <x v="5"/>
  </r>
  <r>
    <n v="72595637444"/>
    <n v="144"/>
    <x v="7"/>
    <m/>
    <x v="0"/>
    <x v="0"/>
  </r>
  <r>
    <n v="74479231337"/>
    <n v="179"/>
    <x v="7"/>
    <s v=""/>
    <x v="0"/>
    <x v="0"/>
  </r>
  <r>
    <n v="20291302859"/>
    <n v="182"/>
    <x v="7"/>
    <s v=""/>
    <x v="0"/>
    <x v="0"/>
  </r>
  <r>
    <n v="66486145377"/>
    <n v="183"/>
    <x v="7"/>
    <d v="2034-09-25T00:00:00"/>
    <x v="0"/>
    <x v="3"/>
  </r>
  <r>
    <n v="90500713123"/>
    <n v="203"/>
    <x v="7"/>
    <s v=""/>
    <x v="0"/>
    <x v="0"/>
  </r>
  <r>
    <n v="70635010707"/>
    <n v="212"/>
    <x v="7"/>
    <m/>
    <x v="0"/>
    <x v="0"/>
  </r>
  <r>
    <n v="11397739114"/>
    <n v="224"/>
    <x v="7"/>
    <d v="2034-10-03T00:00:00"/>
    <x v="0"/>
    <x v="5"/>
  </r>
  <r>
    <n v="52759008905"/>
    <n v="227"/>
    <x v="7"/>
    <s v=""/>
    <x v="0"/>
    <x v="0"/>
  </r>
  <r>
    <n v="37827348854"/>
    <n v="282"/>
    <x v="7"/>
    <d v="2034-08-10T00:00:00"/>
    <x v="0"/>
    <x v="4"/>
  </r>
  <r>
    <n v="97933346811"/>
    <n v="287"/>
    <x v="7"/>
    <m/>
    <x v="0"/>
    <x v="0"/>
  </r>
  <r>
    <n v="16339287787"/>
    <n v="291"/>
    <x v="7"/>
    <s v=""/>
    <x v="0"/>
    <x v="0"/>
  </r>
  <r>
    <n v="21456037287"/>
    <n v="296"/>
    <x v="7"/>
    <d v="2034-10-03T00:00:00"/>
    <x v="0"/>
    <x v="5"/>
  </r>
  <r>
    <n v="89396160996"/>
    <n v="303"/>
    <x v="7"/>
    <s v=""/>
    <x v="0"/>
    <x v="0"/>
  </r>
  <r>
    <n v="47739418607"/>
    <n v="313"/>
    <x v="7"/>
    <m/>
    <x v="0"/>
    <x v="0"/>
  </r>
  <r>
    <n v="91831207751"/>
    <n v="340"/>
    <x v="7"/>
    <s v=""/>
    <x v="0"/>
    <x v="0"/>
  </r>
  <r>
    <n v="56724322673"/>
    <n v="88"/>
    <x v="8"/>
    <m/>
    <x v="0"/>
    <x v="0"/>
  </r>
  <r>
    <n v="57102947971"/>
    <n v="99"/>
    <x v="8"/>
    <m/>
    <x v="0"/>
    <x v="0"/>
  </r>
  <r>
    <n v="64086056554"/>
    <n v="109"/>
    <x v="8"/>
    <s v=""/>
    <x v="0"/>
    <x v="0"/>
  </r>
  <r>
    <n v="90783347673"/>
    <n v="117"/>
    <x v="8"/>
    <s v=""/>
    <x v="0"/>
    <x v="0"/>
  </r>
  <r>
    <n v="91398539092"/>
    <n v="129"/>
    <x v="8"/>
    <m/>
    <x v="0"/>
    <x v="0"/>
  </r>
  <r>
    <n v="51401320452"/>
    <n v="134"/>
    <x v="8"/>
    <m/>
    <x v="0"/>
    <x v="0"/>
  </r>
  <r>
    <n v="51888848323"/>
    <n v="147"/>
    <x v="8"/>
    <s v=""/>
    <x v="0"/>
    <x v="0"/>
  </r>
  <r>
    <n v="86375490438"/>
    <n v="168"/>
    <x v="8"/>
    <s v=""/>
    <x v="0"/>
    <x v="0"/>
  </r>
  <r>
    <n v="97298033943"/>
    <n v="185"/>
    <x v="8"/>
    <s v=""/>
    <x v="0"/>
    <x v="0"/>
  </r>
  <r>
    <n v="32086957056"/>
    <n v="208"/>
    <x v="8"/>
    <s v=""/>
    <x v="0"/>
    <x v="0"/>
  </r>
  <r>
    <n v="98609012350"/>
    <n v="221"/>
    <x v="8"/>
    <d v="2034-07-17T00:00:00"/>
    <x v="0"/>
    <x v="2"/>
  </r>
  <r>
    <n v="60571799869"/>
    <n v="265"/>
    <x v="8"/>
    <m/>
    <x v="0"/>
    <x v="0"/>
  </r>
  <r>
    <n v="97070945189"/>
    <n v="290"/>
    <x v="8"/>
    <s v=""/>
    <x v="0"/>
    <x v="0"/>
  </r>
  <r>
    <n v="53740076255"/>
    <n v="295"/>
    <x v="8"/>
    <s v=""/>
    <x v="0"/>
    <x v="0"/>
  </r>
  <r>
    <n v="81445821967"/>
    <n v="295"/>
    <x v="8"/>
    <s v=""/>
    <x v="0"/>
    <x v="0"/>
  </r>
  <r>
    <n v="50334320844"/>
    <n v="309"/>
    <x v="8"/>
    <d v="2034-09-03T00:00:00"/>
    <x v="0"/>
    <x v="3"/>
  </r>
  <r>
    <n v="92912775291"/>
    <n v="332"/>
    <x v="8"/>
    <s v=""/>
    <x v="0"/>
    <x v="0"/>
  </r>
  <r>
    <n v="42730388755"/>
    <n v="336"/>
    <x v="8"/>
    <s v=""/>
    <x v="0"/>
    <x v="0"/>
  </r>
  <r>
    <n v="48439991630"/>
    <n v="22"/>
    <x v="9"/>
    <m/>
    <x v="0"/>
    <x v="0"/>
  </r>
  <r>
    <n v="62025203193"/>
    <n v="33"/>
    <x v="9"/>
    <s v=""/>
    <x v="0"/>
    <x v="0"/>
  </r>
  <r>
    <n v="35771925753"/>
    <n v="35"/>
    <x v="9"/>
    <s v=""/>
    <x v="0"/>
    <x v="0"/>
  </r>
  <r>
    <n v="33925931179"/>
    <n v="42"/>
    <x v="9"/>
    <s v=""/>
    <x v="0"/>
    <x v="0"/>
  </r>
  <r>
    <n v="54432237912"/>
    <n v="75"/>
    <x v="9"/>
    <m/>
    <x v="0"/>
    <x v="0"/>
  </r>
  <r>
    <n v="51946754709"/>
    <n v="90"/>
    <x v="9"/>
    <d v="2034-07-13T00:00:00"/>
    <x v="0"/>
    <x v="2"/>
  </r>
  <r>
    <n v="97100992462"/>
    <n v="97"/>
    <x v="9"/>
    <m/>
    <x v="0"/>
    <x v="0"/>
  </r>
  <r>
    <n v="45927201699"/>
    <n v="129"/>
    <x v="9"/>
    <d v="2034-07-05T00:00:00"/>
    <x v="0"/>
    <x v="2"/>
  </r>
  <r>
    <n v="40876987569"/>
    <n v="134"/>
    <x v="9"/>
    <s v=""/>
    <x v="0"/>
    <x v="0"/>
  </r>
  <r>
    <n v="36629457271"/>
    <n v="160"/>
    <x v="9"/>
    <s v=""/>
    <x v="0"/>
    <x v="0"/>
  </r>
  <r>
    <n v="74043418930"/>
    <n v="182"/>
    <x v="9"/>
    <s v=""/>
    <x v="0"/>
    <x v="0"/>
  </r>
  <r>
    <n v="82450210670"/>
    <n v="200"/>
    <x v="9"/>
    <d v="2034-09-02T00:00:00"/>
    <x v="0"/>
    <x v="3"/>
  </r>
  <r>
    <n v="91044587618"/>
    <n v="224"/>
    <x v="9"/>
    <s v=""/>
    <x v="0"/>
    <x v="0"/>
  </r>
  <r>
    <n v="72116914058"/>
    <n v="229"/>
    <x v="9"/>
    <s v=""/>
    <x v="0"/>
    <x v="0"/>
  </r>
  <r>
    <n v="55048652983"/>
    <n v="237"/>
    <x v="9"/>
    <d v="2034-07-04T00:00:00"/>
    <x v="0"/>
    <x v="2"/>
  </r>
  <r>
    <n v="95716476838"/>
    <n v="242"/>
    <x v="9"/>
    <s v=""/>
    <x v="0"/>
    <x v="0"/>
  </r>
  <r>
    <n v="49947679400"/>
    <n v="243"/>
    <x v="9"/>
    <s v=""/>
    <x v="0"/>
    <x v="0"/>
  </r>
  <r>
    <n v="47936913634"/>
    <n v="255"/>
    <x v="9"/>
    <s v=""/>
    <x v="0"/>
    <x v="0"/>
  </r>
  <r>
    <n v="15795772622"/>
    <n v="262"/>
    <x v="9"/>
    <s v=""/>
    <x v="0"/>
    <x v="0"/>
  </r>
  <r>
    <n v="47887251756"/>
    <n v="266"/>
    <x v="9"/>
    <s v=""/>
    <x v="0"/>
    <x v="0"/>
  </r>
  <r>
    <n v="95408740402"/>
    <n v="285"/>
    <x v="9"/>
    <m/>
    <x v="0"/>
    <x v="0"/>
  </r>
  <r>
    <n v="73122446750"/>
    <n v="312"/>
    <x v="9"/>
    <s v=""/>
    <x v="0"/>
    <x v="0"/>
  </r>
  <r>
    <n v="16564247599"/>
    <n v="10"/>
    <x v="10"/>
    <s v=""/>
    <x v="0"/>
    <x v="0"/>
  </r>
  <r>
    <n v="79294948101"/>
    <n v="26"/>
    <x v="10"/>
    <m/>
    <x v="0"/>
    <x v="0"/>
  </r>
  <r>
    <n v="57130124164"/>
    <n v="34"/>
    <x v="10"/>
    <d v="2034-06-16T00:00:00"/>
    <x v="0"/>
    <x v="1"/>
  </r>
  <r>
    <n v="12507516163"/>
    <n v="39"/>
    <x v="10"/>
    <s v=""/>
    <x v="0"/>
    <x v="0"/>
  </r>
  <r>
    <n v="62119762787"/>
    <n v="57"/>
    <x v="10"/>
    <d v="2034-06-28T00:00:00"/>
    <x v="0"/>
    <x v="1"/>
  </r>
  <r>
    <n v="51929060073"/>
    <n v="81"/>
    <x v="10"/>
    <m/>
    <x v="0"/>
    <x v="0"/>
  </r>
  <r>
    <n v="62302915341"/>
    <n v="112"/>
    <x v="10"/>
    <s v=""/>
    <x v="0"/>
    <x v="0"/>
  </r>
  <r>
    <n v="68532993017"/>
    <n v="139"/>
    <x v="10"/>
    <m/>
    <x v="0"/>
    <x v="0"/>
  </r>
  <r>
    <n v="31808204510"/>
    <n v="148"/>
    <x v="10"/>
    <m/>
    <x v="0"/>
    <x v="0"/>
  </r>
  <r>
    <n v="20299178851"/>
    <n v="164"/>
    <x v="10"/>
    <d v="2034-06-16T00:00:00"/>
    <x v="0"/>
    <x v="1"/>
  </r>
  <r>
    <n v="78475663404"/>
    <n v="165"/>
    <x v="10"/>
    <s v=""/>
    <x v="0"/>
    <x v="0"/>
  </r>
  <r>
    <n v="71650831543"/>
    <n v="185"/>
    <x v="10"/>
    <d v="2034-09-27T00:00:00"/>
    <x v="0"/>
    <x v="3"/>
  </r>
  <r>
    <n v="25522572738"/>
    <n v="187"/>
    <x v="10"/>
    <s v=""/>
    <x v="0"/>
    <x v="0"/>
  </r>
  <r>
    <n v="64339211163"/>
    <n v="198"/>
    <x v="10"/>
    <m/>
    <x v="0"/>
    <x v="0"/>
  </r>
  <r>
    <n v="54384481287"/>
    <n v="228"/>
    <x v="10"/>
    <s v=""/>
    <x v="0"/>
    <x v="0"/>
  </r>
  <r>
    <n v="11875592074"/>
    <n v="230"/>
    <x v="10"/>
    <s v=""/>
    <x v="0"/>
    <x v="0"/>
  </r>
  <r>
    <n v="18696150076"/>
    <n v="234"/>
    <x v="10"/>
    <s v=""/>
    <x v="0"/>
    <x v="0"/>
  </r>
  <r>
    <n v="29987371915"/>
    <n v="238"/>
    <x v="10"/>
    <s v=""/>
    <x v="0"/>
    <x v="0"/>
  </r>
  <r>
    <n v="60107041099"/>
    <n v="248"/>
    <x v="10"/>
    <m/>
    <x v="0"/>
    <x v="0"/>
  </r>
  <r>
    <n v="54901049151"/>
    <n v="255"/>
    <x v="10"/>
    <s v=""/>
    <x v="0"/>
    <x v="0"/>
  </r>
  <r>
    <n v="87504251864"/>
    <n v="255"/>
    <x v="10"/>
    <s v=""/>
    <x v="0"/>
    <x v="0"/>
  </r>
  <r>
    <n v="52744432224"/>
    <n v="258"/>
    <x v="10"/>
    <d v="2034-08-18T00:00:00"/>
    <x v="0"/>
    <x v="4"/>
  </r>
  <r>
    <n v="23827158582"/>
    <n v="264"/>
    <x v="10"/>
    <s v=""/>
    <x v="0"/>
    <x v="0"/>
  </r>
  <r>
    <n v="42986304076"/>
    <n v="264"/>
    <x v="10"/>
    <s v=""/>
    <x v="0"/>
    <x v="0"/>
  </r>
  <r>
    <n v="50706529576"/>
    <n v="266"/>
    <x v="10"/>
    <d v="2034-08-26T00:00:00"/>
    <x v="0"/>
    <x v="4"/>
  </r>
  <r>
    <n v="63651035533"/>
    <n v="273"/>
    <x v="10"/>
    <m/>
    <x v="0"/>
    <x v="0"/>
  </r>
  <r>
    <n v="21441655286"/>
    <n v="274"/>
    <x v="10"/>
    <s v=""/>
    <x v="0"/>
    <x v="0"/>
  </r>
  <r>
    <n v="64793623057"/>
    <n v="284"/>
    <x v="10"/>
    <s v=""/>
    <x v="0"/>
    <x v="0"/>
  </r>
  <r>
    <n v="20444974273"/>
    <n v="287"/>
    <x v="10"/>
    <s v=""/>
    <x v="0"/>
    <x v="0"/>
  </r>
  <r>
    <n v="22396256593"/>
    <n v="294"/>
    <x v="10"/>
    <s v=""/>
    <x v="0"/>
    <x v="0"/>
  </r>
  <r>
    <n v="72670921426"/>
    <n v="309"/>
    <x v="10"/>
    <m/>
    <x v="0"/>
    <x v="0"/>
  </r>
  <r>
    <n v="23130222873"/>
    <n v="313"/>
    <x v="10"/>
    <d v="2034-09-17T00:00:00"/>
    <x v="0"/>
    <x v="3"/>
  </r>
  <r>
    <n v="89753082790"/>
    <n v="324"/>
    <x v="10"/>
    <s v=""/>
    <x v="0"/>
    <x v="0"/>
  </r>
  <r>
    <n v="13779621960"/>
    <n v="327"/>
    <x v="10"/>
    <s v=""/>
    <x v="0"/>
    <x v="0"/>
  </r>
  <r>
    <n v="74929221210"/>
    <n v="331"/>
    <x v="10"/>
    <s v=""/>
    <x v="0"/>
    <x v="0"/>
  </r>
  <r>
    <n v="71379982756"/>
    <n v="333"/>
    <x v="10"/>
    <m/>
    <x v="0"/>
    <x v="0"/>
  </r>
  <r>
    <n v="54012934457"/>
    <n v="334"/>
    <x v="10"/>
    <s v=""/>
    <x v="0"/>
    <x v="0"/>
  </r>
  <r>
    <n v="71248709513"/>
    <n v="9"/>
    <x v="11"/>
    <d v="2034-08-21T00:00:00"/>
    <x v="0"/>
    <x v="4"/>
  </r>
  <r>
    <n v="80053456136"/>
    <n v="19"/>
    <x v="11"/>
    <d v="2034-07-22T00:00:00"/>
    <x v="0"/>
    <x v="2"/>
  </r>
  <r>
    <n v="23528450909"/>
    <n v="25"/>
    <x v="11"/>
    <d v="2034-09-06T00:00:00"/>
    <x v="0"/>
    <x v="3"/>
  </r>
  <r>
    <n v="86370204609"/>
    <n v="37"/>
    <x v="11"/>
    <s v=""/>
    <x v="0"/>
    <x v="0"/>
  </r>
  <r>
    <n v="68809070776"/>
    <n v="41"/>
    <x v="11"/>
    <s v=""/>
    <x v="0"/>
    <x v="0"/>
  </r>
  <r>
    <n v="14724004635"/>
    <n v="51"/>
    <x v="11"/>
    <s v=""/>
    <x v="0"/>
    <x v="0"/>
  </r>
  <r>
    <n v="29627021626"/>
    <n v="65"/>
    <x v="11"/>
    <m/>
    <x v="0"/>
    <x v="0"/>
  </r>
  <r>
    <n v="63003892022"/>
    <n v="73"/>
    <x v="11"/>
    <m/>
    <x v="0"/>
    <x v="0"/>
  </r>
  <r>
    <n v="61187601147"/>
    <n v="99"/>
    <x v="11"/>
    <s v=""/>
    <x v="0"/>
    <x v="0"/>
  </r>
  <r>
    <n v="29289358803"/>
    <n v="109"/>
    <x v="11"/>
    <m/>
    <x v="0"/>
    <x v="0"/>
  </r>
  <r>
    <n v="92879270225"/>
    <n v="114"/>
    <x v="11"/>
    <s v=""/>
    <x v="0"/>
    <x v="0"/>
  </r>
  <r>
    <n v="76887312493"/>
    <n v="116"/>
    <x v="11"/>
    <s v=""/>
    <x v="0"/>
    <x v="0"/>
  </r>
  <r>
    <n v="96374996541"/>
    <n v="126"/>
    <x v="11"/>
    <s v=""/>
    <x v="0"/>
    <x v="0"/>
  </r>
  <r>
    <n v="89295718128"/>
    <n v="127"/>
    <x v="11"/>
    <m/>
    <x v="0"/>
    <x v="0"/>
  </r>
  <r>
    <n v="47668846734"/>
    <n v="144"/>
    <x v="11"/>
    <s v=""/>
    <x v="0"/>
    <x v="0"/>
  </r>
  <r>
    <n v="23408438681"/>
    <n v="150"/>
    <x v="11"/>
    <s v=""/>
    <x v="0"/>
    <x v="0"/>
  </r>
  <r>
    <n v="61855864468"/>
    <n v="153"/>
    <x v="11"/>
    <s v=""/>
    <x v="0"/>
    <x v="0"/>
  </r>
  <r>
    <n v="44102314047"/>
    <n v="169"/>
    <x v="11"/>
    <d v="2034-08-13T00:00:00"/>
    <x v="0"/>
    <x v="4"/>
  </r>
  <r>
    <n v="55212951693"/>
    <n v="194"/>
    <x v="11"/>
    <s v=""/>
    <x v="0"/>
    <x v="0"/>
  </r>
  <r>
    <n v="80604742850"/>
    <n v="203"/>
    <x v="11"/>
    <s v=""/>
    <x v="0"/>
    <x v="0"/>
  </r>
  <r>
    <n v="85754299905"/>
    <n v="203"/>
    <x v="11"/>
    <s v=""/>
    <x v="0"/>
    <x v="0"/>
  </r>
  <r>
    <n v="44156032294"/>
    <n v="206"/>
    <x v="11"/>
    <s v=""/>
    <x v="0"/>
    <x v="0"/>
  </r>
  <r>
    <n v="37909125073"/>
    <n v="223"/>
    <x v="11"/>
    <d v="2034-07-02T00:00:00"/>
    <x v="0"/>
    <x v="2"/>
  </r>
  <r>
    <n v="50037942469"/>
    <n v="233"/>
    <x v="11"/>
    <d v="2034-08-20T00:00:00"/>
    <x v="0"/>
    <x v="4"/>
  </r>
  <r>
    <n v="99319862523"/>
    <n v="238"/>
    <x v="11"/>
    <d v="2034-07-28T00:00:00"/>
    <x v="0"/>
    <x v="2"/>
  </r>
  <r>
    <n v="36205925517"/>
    <n v="244"/>
    <x v="11"/>
    <s v=""/>
    <x v="0"/>
    <x v="0"/>
  </r>
  <r>
    <n v="90061200054"/>
    <n v="272"/>
    <x v="11"/>
    <s v=""/>
    <x v="0"/>
    <x v="0"/>
  </r>
  <r>
    <n v="46435354222"/>
    <n v="293"/>
    <x v="11"/>
    <s v=""/>
    <x v="0"/>
    <x v="0"/>
  </r>
  <r>
    <n v="54735404832"/>
    <n v="321"/>
    <x v="11"/>
    <s v=""/>
    <x v="0"/>
    <x v="0"/>
  </r>
  <r>
    <n v="99434737070"/>
    <n v="2"/>
    <x v="12"/>
    <s v=""/>
    <x v="0"/>
    <x v="0"/>
  </r>
  <r>
    <n v="56199743596"/>
    <n v="4"/>
    <x v="12"/>
    <m/>
    <x v="0"/>
    <x v="0"/>
  </r>
  <r>
    <n v="14652678590"/>
    <n v="9"/>
    <x v="12"/>
    <s v=""/>
    <x v="0"/>
    <x v="0"/>
  </r>
  <r>
    <n v="69663441531"/>
    <n v="16"/>
    <x v="12"/>
    <d v="2034-07-21T00:00:00"/>
    <x v="0"/>
    <x v="2"/>
  </r>
  <r>
    <n v="63241550524"/>
    <n v="27"/>
    <x v="12"/>
    <d v="2034-09-22T00:00:00"/>
    <x v="0"/>
    <x v="3"/>
  </r>
  <r>
    <n v="12645608327"/>
    <n v="29"/>
    <x v="12"/>
    <s v=""/>
    <x v="0"/>
    <x v="0"/>
  </r>
  <r>
    <n v="74191410219"/>
    <n v="39"/>
    <x v="12"/>
    <s v=""/>
    <x v="0"/>
    <x v="0"/>
  </r>
  <r>
    <n v="79308144066"/>
    <n v="42"/>
    <x v="12"/>
    <d v="2034-06-13T00:00:00"/>
    <x v="0"/>
    <x v="1"/>
  </r>
  <r>
    <n v="51502044299"/>
    <n v="43"/>
    <x v="12"/>
    <s v=""/>
    <x v="0"/>
    <x v="0"/>
  </r>
  <r>
    <n v="35974939224"/>
    <n v="43"/>
    <x v="12"/>
    <s v=""/>
    <x v="0"/>
    <x v="0"/>
  </r>
  <r>
    <n v="23375685091"/>
    <n v="48"/>
    <x v="12"/>
    <d v="2034-06-15T00:00:00"/>
    <x v="0"/>
    <x v="1"/>
  </r>
  <r>
    <n v="55798151606"/>
    <n v="68"/>
    <x v="12"/>
    <d v="2034-10-07T00:00:00"/>
    <x v="0"/>
    <x v="5"/>
  </r>
  <r>
    <n v="23595702622"/>
    <n v="71"/>
    <x v="12"/>
    <m/>
    <x v="0"/>
    <x v="0"/>
  </r>
  <r>
    <n v="31876912454"/>
    <n v="74"/>
    <x v="12"/>
    <m/>
    <x v="0"/>
    <x v="0"/>
  </r>
  <r>
    <n v="23648505513"/>
    <n v="77"/>
    <x v="12"/>
    <s v=""/>
    <x v="0"/>
    <x v="0"/>
  </r>
  <r>
    <n v="56984563106"/>
    <n v="104"/>
    <x v="12"/>
    <d v="2034-08-31T00:00:00"/>
    <x v="0"/>
    <x v="4"/>
  </r>
  <r>
    <n v="25743018934"/>
    <n v="139"/>
    <x v="12"/>
    <s v=""/>
    <x v="0"/>
    <x v="0"/>
  </r>
  <r>
    <n v="44424098610"/>
    <n v="194"/>
    <x v="12"/>
    <m/>
    <x v="0"/>
    <x v="0"/>
  </r>
  <r>
    <n v="79701537110"/>
    <n v="210"/>
    <x v="12"/>
    <m/>
    <x v="0"/>
    <x v="0"/>
  </r>
  <r>
    <n v="62247581713"/>
    <n v="211"/>
    <x v="12"/>
    <m/>
    <x v="0"/>
    <x v="0"/>
  </r>
  <r>
    <n v="77528382923"/>
    <n v="221"/>
    <x v="12"/>
    <s v=""/>
    <x v="0"/>
    <x v="0"/>
  </r>
  <r>
    <n v="89674575384"/>
    <n v="225"/>
    <x v="12"/>
    <d v="2034-09-24T00:00:00"/>
    <x v="0"/>
    <x v="3"/>
  </r>
  <r>
    <n v="74014145400"/>
    <n v="256"/>
    <x v="12"/>
    <s v=""/>
    <x v="0"/>
    <x v="0"/>
  </r>
  <r>
    <n v="13388823949"/>
    <n v="266"/>
    <x v="12"/>
    <s v=""/>
    <x v="0"/>
    <x v="0"/>
  </r>
  <r>
    <n v="97174943406"/>
    <n v="280"/>
    <x v="12"/>
    <s v=""/>
    <x v="0"/>
    <x v="0"/>
  </r>
  <r>
    <n v="28210188923"/>
    <n v="282"/>
    <x v="12"/>
    <d v="2034-08-03T00:00:00"/>
    <x v="0"/>
    <x v="4"/>
  </r>
  <r>
    <n v="49217432457"/>
    <n v="287"/>
    <x v="12"/>
    <s v=""/>
    <x v="0"/>
    <x v="0"/>
  </r>
  <r>
    <n v="64432348990"/>
    <n v="290"/>
    <x v="12"/>
    <d v="2034-08-01T00:00:00"/>
    <x v="0"/>
    <x v="4"/>
  </r>
  <r>
    <n v="55985341230"/>
    <n v="291"/>
    <x v="12"/>
    <s v=""/>
    <x v="0"/>
    <x v="0"/>
  </r>
  <r>
    <n v="85658632145"/>
    <n v="307"/>
    <x v="12"/>
    <d v="2034-08-17T00:00:00"/>
    <x v="0"/>
    <x v="4"/>
  </r>
  <r>
    <n v="73542394783"/>
    <n v="308"/>
    <x v="12"/>
    <s v=""/>
    <x v="0"/>
    <x v="0"/>
  </r>
  <r>
    <n v="96618384212"/>
    <n v="311"/>
    <x v="12"/>
    <d v="2034-08-21T00:00:00"/>
    <x v="0"/>
    <x v="4"/>
  </r>
  <r>
    <n v="95816975387"/>
    <n v="327"/>
    <x v="12"/>
    <d v="2034-07-04T00:00:00"/>
    <x v="0"/>
    <x v="2"/>
  </r>
  <r>
    <n v="21995673548"/>
    <n v="330"/>
    <x v="12"/>
    <s v=""/>
    <x v="0"/>
    <x v="0"/>
  </r>
  <r>
    <n v="23049620330"/>
    <n v="333"/>
    <x v="12"/>
    <d v="2034-08-02T00:00:00"/>
    <x v="0"/>
    <x v="4"/>
  </r>
  <r>
    <n v="59177031739"/>
    <n v="337"/>
    <x v="12"/>
    <m/>
    <x v="0"/>
    <x v="0"/>
  </r>
  <r>
    <n v="37463165377"/>
    <n v="338"/>
    <x v="12"/>
    <s v=""/>
    <x v="0"/>
    <x v="0"/>
  </r>
  <r>
    <n v="46977566214"/>
    <n v="4"/>
    <x v="13"/>
    <s v=""/>
    <x v="0"/>
    <x v="0"/>
  </r>
  <r>
    <n v="77214004957"/>
    <n v="9"/>
    <x v="13"/>
    <d v="2034-06-15T00:00:00"/>
    <x v="0"/>
    <x v="1"/>
  </r>
  <r>
    <n v="56731754552"/>
    <n v="10"/>
    <x v="13"/>
    <d v="2034-08-31T00:00:00"/>
    <x v="0"/>
    <x v="4"/>
  </r>
  <r>
    <n v="17349583026"/>
    <n v="17"/>
    <x v="13"/>
    <m/>
    <x v="0"/>
    <x v="0"/>
  </r>
  <r>
    <n v="13005534210"/>
    <n v="39"/>
    <x v="13"/>
    <s v=""/>
    <x v="0"/>
    <x v="0"/>
  </r>
  <r>
    <n v="95067966187"/>
    <n v="73"/>
    <x v="13"/>
    <s v=""/>
    <x v="0"/>
    <x v="0"/>
  </r>
  <r>
    <n v="54934918776"/>
    <n v="85"/>
    <x v="13"/>
    <d v="2034-07-30T00:00:00"/>
    <x v="0"/>
    <x v="2"/>
  </r>
  <r>
    <n v="74265856160"/>
    <n v="89"/>
    <x v="13"/>
    <s v=""/>
    <x v="0"/>
    <x v="0"/>
  </r>
  <r>
    <n v="26800396801"/>
    <n v="90"/>
    <x v="13"/>
    <s v=""/>
    <x v="0"/>
    <x v="0"/>
  </r>
  <r>
    <n v="53254240436"/>
    <n v="92"/>
    <x v="13"/>
    <s v=""/>
    <x v="0"/>
    <x v="0"/>
  </r>
  <r>
    <n v="66482380537"/>
    <n v="104"/>
    <x v="13"/>
    <d v="2034-09-26T00:00:00"/>
    <x v="0"/>
    <x v="3"/>
  </r>
  <r>
    <n v="41700883500"/>
    <n v="119"/>
    <x v="13"/>
    <s v=""/>
    <x v="0"/>
    <x v="0"/>
  </r>
  <r>
    <n v="43000911141"/>
    <n v="123"/>
    <x v="13"/>
    <s v=""/>
    <x v="0"/>
    <x v="0"/>
  </r>
  <r>
    <n v="71538271240"/>
    <n v="126"/>
    <x v="13"/>
    <d v="2034-09-09T00:00:00"/>
    <x v="0"/>
    <x v="3"/>
  </r>
  <r>
    <n v="45492605380"/>
    <n v="143"/>
    <x v="13"/>
    <d v="2034-07-30T00:00:00"/>
    <x v="0"/>
    <x v="2"/>
  </r>
  <r>
    <n v="14510996826"/>
    <n v="152"/>
    <x v="13"/>
    <s v=""/>
    <x v="0"/>
    <x v="0"/>
  </r>
  <r>
    <n v="26545423302"/>
    <n v="153"/>
    <x v="13"/>
    <d v="2034-09-27T00:00:00"/>
    <x v="0"/>
    <x v="3"/>
  </r>
  <r>
    <n v="27940418301"/>
    <n v="154"/>
    <x v="13"/>
    <s v=""/>
    <x v="0"/>
    <x v="0"/>
  </r>
  <r>
    <n v="61881076924"/>
    <n v="175"/>
    <x v="13"/>
    <s v=""/>
    <x v="0"/>
    <x v="0"/>
  </r>
  <r>
    <n v="44981582888"/>
    <n v="179"/>
    <x v="13"/>
    <s v=""/>
    <x v="0"/>
    <x v="0"/>
  </r>
  <r>
    <n v="82336399318"/>
    <n v="199"/>
    <x v="13"/>
    <s v=""/>
    <x v="0"/>
    <x v="0"/>
  </r>
  <r>
    <n v="20571376693"/>
    <n v="222"/>
    <x v="13"/>
    <s v=""/>
    <x v="0"/>
    <x v="0"/>
  </r>
  <r>
    <n v="20207529693"/>
    <n v="244"/>
    <x v="13"/>
    <s v=""/>
    <x v="0"/>
    <x v="0"/>
  </r>
  <r>
    <n v="24034384134"/>
    <n v="251"/>
    <x v="13"/>
    <s v=""/>
    <x v="0"/>
    <x v="0"/>
  </r>
  <r>
    <n v="80261510585"/>
    <n v="269"/>
    <x v="13"/>
    <s v=""/>
    <x v="0"/>
    <x v="0"/>
  </r>
  <r>
    <n v="83001100691"/>
    <n v="277"/>
    <x v="13"/>
    <s v=""/>
    <x v="0"/>
    <x v="0"/>
  </r>
  <r>
    <n v="55564130029"/>
    <n v="296"/>
    <x v="13"/>
    <d v="2034-08-22T00:00:00"/>
    <x v="0"/>
    <x v="4"/>
  </r>
  <r>
    <n v="96282111210"/>
    <n v="307"/>
    <x v="13"/>
    <s v=""/>
    <x v="0"/>
    <x v="0"/>
  </r>
  <r>
    <n v="25691686090"/>
    <n v="331"/>
    <x v="13"/>
    <s v=""/>
    <x v="0"/>
    <x v="0"/>
  </r>
  <r>
    <n v="78909491626"/>
    <n v="15"/>
    <x v="14"/>
    <d v="2034-08-16T00:00:00"/>
    <x v="0"/>
    <x v="4"/>
  </r>
  <r>
    <n v="91531659593"/>
    <n v="16"/>
    <x v="14"/>
    <s v=""/>
    <x v="0"/>
    <x v="0"/>
  </r>
  <r>
    <n v="68094302684"/>
    <n v="18"/>
    <x v="14"/>
    <s v=""/>
    <x v="0"/>
    <x v="0"/>
  </r>
  <r>
    <n v="79240853865"/>
    <n v="20"/>
    <x v="14"/>
    <m/>
    <x v="0"/>
    <x v="0"/>
  </r>
  <r>
    <n v="93041615697"/>
    <n v="24"/>
    <x v="14"/>
    <s v=""/>
    <x v="0"/>
    <x v="0"/>
  </r>
  <r>
    <n v="54983901861"/>
    <n v="38"/>
    <x v="14"/>
    <m/>
    <x v="0"/>
    <x v="0"/>
  </r>
  <r>
    <n v="65583645786"/>
    <n v="45"/>
    <x v="14"/>
    <s v=""/>
    <x v="0"/>
    <x v="0"/>
  </r>
  <r>
    <n v="11332500827"/>
    <n v="54"/>
    <x v="14"/>
    <d v="2034-07-13T00:00:00"/>
    <x v="0"/>
    <x v="2"/>
  </r>
  <r>
    <n v="91226465058"/>
    <n v="54"/>
    <x v="14"/>
    <s v=""/>
    <x v="0"/>
    <x v="0"/>
  </r>
  <r>
    <n v="44492911862"/>
    <n v="81"/>
    <x v="14"/>
    <s v=""/>
    <x v="0"/>
    <x v="0"/>
  </r>
  <r>
    <n v="78938622655"/>
    <n v="112"/>
    <x v="14"/>
    <s v=""/>
    <x v="0"/>
    <x v="0"/>
  </r>
  <r>
    <n v="37215243064"/>
    <n v="116"/>
    <x v="14"/>
    <m/>
    <x v="0"/>
    <x v="0"/>
  </r>
  <r>
    <n v="94831446933"/>
    <n v="136"/>
    <x v="14"/>
    <s v=""/>
    <x v="0"/>
    <x v="0"/>
  </r>
  <r>
    <n v="47836579701"/>
    <n v="144"/>
    <x v="14"/>
    <m/>
    <x v="0"/>
    <x v="0"/>
  </r>
  <r>
    <n v="14631487643"/>
    <n v="191"/>
    <x v="14"/>
    <s v=""/>
    <x v="0"/>
    <x v="0"/>
  </r>
  <r>
    <n v="30470294987"/>
    <n v="205"/>
    <x v="14"/>
    <s v=""/>
    <x v="0"/>
    <x v="0"/>
  </r>
  <r>
    <n v="39045300938"/>
    <n v="210"/>
    <x v="14"/>
    <s v=""/>
    <x v="0"/>
    <x v="0"/>
  </r>
  <r>
    <n v="90043903556"/>
    <n v="214"/>
    <x v="14"/>
    <d v="2034-08-15T00:00:00"/>
    <x v="0"/>
    <x v="4"/>
  </r>
  <r>
    <n v="46652462939"/>
    <n v="217"/>
    <x v="14"/>
    <s v=""/>
    <x v="0"/>
    <x v="0"/>
  </r>
  <r>
    <n v="76860732303"/>
    <n v="223"/>
    <x v="14"/>
    <m/>
    <x v="0"/>
    <x v="0"/>
  </r>
  <r>
    <n v="31167769367"/>
    <n v="223"/>
    <x v="14"/>
    <d v="2034-08-02T00:00:00"/>
    <x v="0"/>
    <x v="4"/>
  </r>
  <r>
    <n v="73960456202"/>
    <n v="238"/>
    <x v="14"/>
    <s v=""/>
    <x v="0"/>
    <x v="0"/>
  </r>
  <r>
    <n v="19435287831"/>
    <n v="248"/>
    <x v="14"/>
    <d v="2034-08-25T00:00:00"/>
    <x v="0"/>
    <x v="4"/>
  </r>
  <r>
    <n v="25637261358"/>
    <n v="251"/>
    <x v="14"/>
    <m/>
    <x v="0"/>
    <x v="0"/>
  </r>
  <r>
    <n v="43367328675"/>
    <n v="258"/>
    <x v="14"/>
    <s v=""/>
    <x v="0"/>
    <x v="0"/>
  </r>
  <r>
    <n v="40528961571"/>
    <n v="264"/>
    <x v="14"/>
    <s v=""/>
    <x v="0"/>
    <x v="0"/>
  </r>
  <r>
    <n v="42698807077"/>
    <n v="266"/>
    <x v="14"/>
    <d v="2034-06-22T00:00:00"/>
    <x v="0"/>
    <x v="1"/>
  </r>
  <r>
    <n v="45577878463"/>
    <n v="281"/>
    <x v="14"/>
    <s v=""/>
    <x v="0"/>
    <x v="0"/>
  </r>
  <r>
    <n v="88573831822"/>
    <n v="288"/>
    <x v="14"/>
    <s v=""/>
    <x v="0"/>
    <x v="0"/>
  </r>
  <r>
    <n v="76401997823"/>
    <n v="294"/>
    <x v="14"/>
    <s v=""/>
    <x v="0"/>
    <x v="0"/>
  </r>
  <r>
    <n v="71800294026"/>
    <n v="296"/>
    <x v="14"/>
    <s v=""/>
    <x v="0"/>
    <x v="0"/>
  </r>
  <r>
    <n v="38232664367"/>
    <n v="302"/>
    <x v="14"/>
    <s v=""/>
    <x v="0"/>
    <x v="0"/>
  </r>
  <r>
    <n v="28245004359"/>
    <n v="309"/>
    <x v="14"/>
    <d v="2034-06-19T00:00:00"/>
    <x v="0"/>
    <x v="1"/>
  </r>
  <r>
    <n v="94582652645"/>
    <n v="312"/>
    <x v="14"/>
    <s v=""/>
    <x v="0"/>
    <x v="0"/>
  </r>
  <r>
    <n v="90594514381"/>
    <n v="329"/>
    <x v="14"/>
    <s v=""/>
    <x v="0"/>
    <x v="0"/>
  </r>
  <r>
    <n v="42177960497"/>
    <n v="0"/>
    <x v="15"/>
    <s v=""/>
    <x v="0"/>
    <x v="0"/>
  </r>
  <r>
    <n v="90172708129"/>
    <n v="1"/>
    <x v="15"/>
    <s v=""/>
    <x v="0"/>
    <x v="0"/>
  </r>
  <r>
    <n v="82823223669"/>
    <n v="14"/>
    <x v="15"/>
    <s v=""/>
    <x v="0"/>
    <x v="0"/>
  </r>
  <r>
    <n v="91635176733"/>
    <n v="17"/>
    <x v="15"/>
    <d v="2034-10-09T00:00:00"/>
    <x v="0"/>
    <x v="5"/>
  </r>
  <r>
    <n v="59578824729"/>
    <n v="27"/>
    <x v="15"/>
    <d v="2034-06-19T00:00:00"/>
    <x v="0"/>
    <x v="1"/>
  </r>
  <r>
    <n v="72844856800"/>
    <n v="31"/>
    <x v="15"/>
    <s v=""/>
    <x v="0"/>
    <x v="0"/>
  </r>
  <r>
    <n v="33374171050"/>
    <n v="38"/>
    <x v="15"/>
    <s v=""/>
    <x v="0"/>
    <x v="0"/>
  </r>
  <r>
    <n v="92609295034"/>
    <n v="59"/>
    <x v="15"/>
    <m/>
    <x v="0"/>
    <x v="0"/>
  </r>
  <r>
    <n v="71637818176"/>
    <n v="82"/>
    <x v="15"/>
    <d v="2034-07-28T00:00:00"/>
    <x v="0"/>
    <x v="2"/>
  </r>
  <r>
    <n v="55516996293"/>
    <n v="85"/>
    <x v="15"/>
    <s v=""/>
    <x v="0"/>
    <x v="0"/>
  </r>
  <r>
    <n v="68357200302"/>
    <n v="93"/>
    <x v="15"/>
    <s v=""/>
    <x v="0"/>
    <x v="0"/>
  </r>
  <r>
    <n v="45877587505"/>
    <n v="97"/>
    <x v="15"/>
    <s v=""/>
    <x v="0"/>
    <x v="0"/>
  </r>
  <r>
    <n v="40373828439"/>
    <n v="100"/>
    <x v="15"/>
    <s v=""/>
    <x v="0"/>
    <x v="0"/>
  </r>
  <r>
    <n v="43313905300"/>
    <n v="101"/>
    <x v="15"/>
    <s v=""/>
    <x v="0"/>
    <x v="0"/>
  </r>
  <r>
    <n v="30261884560"/>
    <n v="112"/>
    <x v="15"/>
    <s v=""/>
    <x v="0"/>
    <x v="0"/>
  </r>
  <r>
    <n v="28228148696"/>
    <n v="117"/>
    <x v="15"/>
    <s v=""/>
    <x v="0"/>
    <x v="0"/>
  </r>
  <r>
    <n v="70914499125"/>
    <n v="123"/>
    <x v="15"/>
    <m/>
    <x v="0"/>
    <x v="0"/>
  </r>
  <r>
    <n v="13837900546"/>
    <n v="145"/>
    <x v="15"/>
    <m/>
    <x v="0"/>
    <x v="0"/>
  </r>
  <r>
    <n v="67861617550"/>
    <n v="163"/>
    <x v="15"/>
    <m/>
    <x v="0"/>
    <x v="0"/>
  </r>
  <r>
    <n v="20617472291"/>
    <n v="170"/>
    <x v="15"/>
    <m/>
    <x v="0"/>
    <x v="0"/>
  </r>
  <r>
    <n v="98904237154"/>
    <n v="171"/>
    <x v="15"/>
    <s v=""/>
    <x v="0"/>
    <x v="0"/>
  </r>
  <r>
    <n v="15147549330"/>
    <n v="182"/>
    <x v="15"/>
    <s v=""/>
    <x v="0"/>
    <x v="0"/>
  </r>
  <r>
    <n v="82677957921"/>
    <n v="188"/>
    <x v="15"/>
    <d v="2034-07-21T00:00:00"/>
    <x v="0"/>
    <x v="2"/>
  </r>
  <r>
    <n v="48392889827"/>
    <n v="211"/>
    <x v="15"/>
    <s v=""/>
    <x v="0"/>
    <x v="0"/>
  </r>
  <r>
    <n v="60367710787"/>
    <n v="216"/>
    <x v="15"/>
    <s v=""/>
    <x v="0"/>
    <x v="0"/>
  </r>
  <r>
    <n v="84564344704"/>
    <n v="227"/>
    <x v="15"/>
    <s v=""/>
    <x v="0"/>
    <x v="0"/>
  </r>
  <r>
    <n v="56534338989"/>
    <n v="234"/>
    <x v="15"/>
    <d v="2034-09-29T00:00:00"/>
    <x v="0"/>
    <x v="3"/>
  </r>
  <r>
    <n v="33895669976"/>
    <n v="260"/>
    <x v="15"/>
    <d v="2034-06-23T00:00:00"/>
    <x v="0"/>
    <x v="1"/>
  </r>
  <r>
    <n v="99259593938"/>
    <n v="283"/>
    <x v="15"/>
    <s v=""/>
    <x v="0"/>
    <x v="0"/>
  </r>
  <r>
    <n v="14886303279"/>
    <n v="288"/>
    <x v="15"/>
    <s v=""/>
    <x v="0"/>
    <x v="0"/>
  </r>
  <r>
    <n v="25868700504"/>
    <n v="289"/>
    <x v="15"/>
    <s v=""/>
    <x v="0"/>
    <x v="0"/>
  </r>
  <r>
    <n v="96741561672"/>
    <n v="293"/>
    <x v="15"/>
    <s v=""/>
    <x v="0"/>
    <x v="0"/>
  </r>
  <r>
    <n v="76015109882"/>
    <n v="302"/>
    <x v="15"/>
    <s v=""/>
    <x v="0"/>
    <x v="0"/>
  </r>
  <r>
    <n v="32896332847"/>
    <n v="314"/>
    <x v="15"/>
    <s v=""/>
    <x v="0"/>
    <x v="0"/>
  </r>
  <r>
    <n v="22287226570"/>
    <n v="319"/>
    <x v="15"/>
    <s v=""/>
    <x v="0"/>
    <x v="0"/>
  </r>
  <r>
    <n v="55805365270"/>
    <n v="336"/>
    <x v="15"/>
    <s v=""/>
    <x v="0"/>
    <x v="0"/>
  </r>
  <r>
    <n v="29053710284"/>
    <n v="2"/>
    <x v="16"/>
    <d v="2034-07-18T00:00:00"/>
    <x v="0"/>
    <x v="2"/>
  </r>
  <r>
    <n v="26937759469"/>
    <n v="19"/>
    <x v="16"/>
    <s v=""/>
    <x v="0"/>
    <x v="0"/>
  </r>
  <r>
    <n v="80666822686"/>
    <n v="46"/>
    <x v="16"/>
    <s v=""/>
    <x v="0"/>
    <x v="0"/>
  </r>
  <r>
    <n v="79951220624"/>
    <n v="59"/>
    <x v="16"/>
    <s v=""/>
    <x v="0"/>
    <x v="0"/>
  </r>
  <r>
    <n v="79518651477"/>
    <n v="68"/>
    <x v="16"/>
    <d v="2034-08-03T00:00:00"/>
    <x v="0"/>
    <x v="4"/>
  </r>
  <r>
    <n v="39063667492"/>
    <n v="72"/>
    <x v="16"/>
    <s v=""/>
    <x v="0"/>
    <x v="0"/>
  </r>
  <r>
    <n v="96408294656"/>
    <n v="75"/>
    <x v="16"/>
    <s v=""/>
    <x v="0"/>
    <x v="0"/>
  </r>
  <r>
    <n v="26541229834"/>
    <n v="78"/>
    <x v="16"/>
    <s v=""/>
    <x v="0"/>
    <x v="0"/>
  </r>
  <r>
    <n v="64342206206"/>
    <n v="99"/>
    <x v="16"/>
    <s v=""/>
    <x v="0"/>
    <x v="0"/>
  </r>
  <r>
    <n v="19457902114"/>
    <n v="101"/>
    <x v="16"/>
    <s v=""/>
    <x v="0"/>
    <x v="0"/>
  </r>
  <r>
    <n v="19709471953"/>
    <n v="115"/>
    <x v="16"/>
    <d v="2034-09-07T00:00:00"/>
    <x v="0"/>
    <x v="3"/>
  </r>
  <r>
    <n v="95384100713"/>
    <n v="117"/>
    <x v="16"/>
    <d v="2034-08-20T00:00:00"/>
    <x v="0"/>
    <x v="4"/>
  </r>
  <r>
    <n v="60562837550"/>
    <n v="126"/>
    <x v="16"/>
    <s v=""/>
    <x v="0"/>
    <x v="0"/>
  </r>
  <r>
    <n v="98328218258"/>
    <n v="133"/>
    <x v="16"/>
    <s v=""/>
    <x v="0"/>
    <x v="0"/>
  </r>
  <r>
    <n v="20391415814"/>
    <n v="164"/>
    <x v="16"/>
    <s v=""/>
    <x v="0"/>
    <x v="0"/>
  </r>
  <r>
    <n v="57811364146"/>
    <n v="166"/>
    <x v="16"/>
    <s v=""/>
    <x v="0"/>
    <x v="0"/>
  </r>
  <r>
    <n v="15584073123"/>
    <n v="167"/>
    <x v="16"/>
    <d v="2034-09-07T00:00:00"/>
    <x v="0"/>
    <x v="3"/>
  </r>
  <r>
    <n v="71790035042"/>
    <n v="182"/>
    <x v="16"/>
    <d v="2034-09-10T00:00:00"/>
    <x v="0"/>
    <x v="3"/>
  </r>
  <r>
    <n v="14496157112"/>
    <n v="212"/>
    <x v="16"/>
    <s v=""/>
    <x v="0"/>
    <x v="0"/>
  </r>
  <r>
    <n v="82375358875"/>
    <n v="242"/>
    <x v="16"/>
    <m/>
    <x v="0"/>
    <x v="0"/>
  </r>
  <r>
    <n v="37615059784"/>
    <n v="254"/>
    <x v="16"/>
    <s v=""/>
    <x v="0"/>
    <x v="0"/>
  </r>
  <r>
    <n v="50111933896"/>
    <n v="261"/>
    <x v="16"/>
    <s v=""/>
    <x v="0"/>
    <x v="0"/>
  </r>
  <r>
    <n v="89659478147"/>
    <n v="263"/>
    <x v="16"/>
    <s v=""/>
    <x v="0"/>
    <x v="0"/>
  </r>
  <r>
    <n v="57478701962"/>
    <n v="267"/>
    <x v="16"/>
    <s v=""/>
    <x v="0"/>
    <x v="0"/>
  </r>
  <r>
    <n v="33924049001"/>
    <n v="287"/>
    <x v="16"/>
    <s v=""/>
    <x v="0"/>
    <x v="0"/>
  </r>
  <r>
    <n v="79890296508"/>
    <n v="318"/>
    <x v="16"/>
    <m/>
    <x v="0"/>
    <x v="0"/>
  </r>
  <r>
    <n v="66637127658"/>
    <n v="323"/>
    <x v="16"/>
    <s v=""/>
    <x v="0"/>
    <x v="0"/>
  </r>
  <r>
    <n v="55744140421"/>
    <n v="336"/>
    <x v="16"/>
    <d v="2034-07-20T00:00:00"/>
    <x v="0"/>
    <x v="2"/>
  </r>
  <r>
    <n v="32186038644"/>
    <n v="338"/>
    <x v="16"/>
    <s v=""/>
    <x v="0"/>
    <x v="0"/>
  </r>
  <r>
    <n v="51571927888"/>
    <n v="6"/>
    <x v="17"/>
    <s v=""/>
    <x v="0"/>
    <x v="0"/>
  </r>
  <r>
    <n v="54943287429"/>
    <n v="6"/>
    <x v="17"/>
    <s v=""/>
    <x v="0"/>
    <x v="0"/>
  </r>
  <r>
    <n v="26076092469"/>
    <n v="12"/>
    <x v="17"/>
    <s v=""/>
    <x v="0"/>
    <x v="0"/>
  </r>
  <r>
    <n v="27319559740"/>
    <n v="25"/>
    <x v="17"/>
    <s v=""/>
    <x v="0"/>
    <x v="0"/>
  </r>
  <r>
    <n v="53972951404"/>
    <n v="32"/>
    <x v="17"/>
    <s v=""/>
    <x v="0"/>
    <x v="0"/>
  </r>
  <r>
    <n v="59313825847"/>
    <n v="34"/>
    <x v="17"/>
    <d v="2034-10-09T00:00:00"/>
    <x v="0"/>
    <x v="5"/>
  </r>
  <r>
    <n v="16310796902"/>
    <n v="37"/>
    <x v="17"/>
    <s v=""/>
    <x v="0"/>
    <x v="0"/>
  </r>
  <r>
    <n v="31133701444"/>
    <n v="41"/>
    <x v="17"/>
    <s v=""/>
    <x v="0"/>
    <x v="0"/>
  </r>
  <r>
    <n v="92939296722"/>
    <n v="49"/>
    <x v="17"/>
    <s v=""/>
    <x v="0"/>
    <x v="0"/>
  </r>
  <r>
    <n v="93570663098"/>
    <n v="66"/>
    <x v="17"/>
    <d v="2034-09-15T00:00:00"/>
    <x v="0"/>
    <x v="3"/>
  </r>
  <r>
    <n v="27012250743"/>
    <n v="70"/>
    <x v="17"/>
    <s v=""/>
    <x v="0"/>
    <x v="0"/>
  </r>
  <r>
    <n v="68579618516"/>
    <n v="74"/>
    <x v="17"/>
    <s v=""/>
    <x v="0"/>
    <x v="0"/>
  </r>
  <r>
    <n v="41270542524"/>
    <n v="82"/>
    <x v="17"/>
    <d v="2034-06-22T00:00:00"/>
    <x v="0"/>
    <x v="1"/>
  </r>
  <r>
    <n v="57522391455"/>
    <n v="111"/>
    <x v="17"/>
    <s v=""/>
    <x v="0"/>
    <x v="0"/>
  </r>
  <r>
    <n v="19552202403"/>
    <n v="115"/>
    <x v="17"/>
    <s v=""/>
    <x v="0"/>
    <x v="0"/>
  </r>
  <r>
    <n v="54958394059"/>
    <n v="119"/>
    <x v="17"/>
    <s v=""/>
    <x v="0"/>
    <x v="0"/>
  </r>
  <r>
    <n v="47422543382"/>
    <n v="136"/>
    <x v="17"/>
    <s v=""/>
    <x v="0"/>
    <x v="0"/>
  </r>
  <r>
    <n v="17330372728"/>
    <n v="139"/>
    <x v="17"/>
    <m/>
    <x v="0"/>
    <x v="0"/>
  </r>
  <r>
    <n v="26364072676"/>
    <n v="152"/>
    <x v="17"/>
    <d v="2034-06-20T00:00:00"/>
    <x v="0"/>
    <x v="1"/>
  </r>
  <r>
    <n v="97453667148"/>
    <n v="160"/>
    <x v="17"/>
    <d v="2034-08-05T00:00:00"/>
    <x v="0"/>
    <x v="4"/>
  </r>
  <r>
    <n v="52156239337"/>
    <n v="172"/>
    <x v="17"/>
    <m/>
    <x v="0"/>
    <x v="0"/>
  </r>
  <r>
    <n v="94172228074"/>
    <n v="175"/>
    <x v="17"/>
    <s v=""/>
    <x v="0"/>
    <x v="0"/>
  </r>
  <r>
    <n v="70422717645"/>
    <n v="182"/>
    <x v="17"/>
    <s v=""/>
    <x v="0"/>
    <x v="0"/>
  </r>
  <r>
    <n v="82975611764"/>
    <n v="184"/>
    <x v="17"/>
    <d v="2034-08-19T00:00:00"/>
    <x v="0"/>
    <x v="4"/>
  </r>
  <r>
    <n v="84420140412"/>
    <n v="201"/>
    <x v="17"/>
    <m/>
    <x v="0"/>
    <x v="0"/>
  </r>
  <r>
    <n v="46686471524"/>
    <n v="205"/>
    <x v="17"/>
    <s v=""/>
    <x v="0"/>
    <x v="0"/>
  </r>
  <r>
    <n v="89788551641"/>
    <n v="211"/>
    <x v="17"/>
    <d v="2034-10-11T00:00:00"/>
    <x v="0"/>
    <x v="5"/>
  </r>
  <r>
    <n v="55717030250"/>
    <n v="242"/>
    <x v="17"/>
    <s v=""/>
    <x v="0"/>
    <x v="0"/>
  </r>
  <r>
    <n v="18131363500"/>
    <n v="253"/>
    <x v="17"/>
    <s v=""/>
    <x v="0"/>
    <x v="0"/>
  </r>
  <r>
    <n v="32529627066"/>
    <n v="315"/>
    <x v="17"/>
    <d v="2034-09-01T00:00:00"/>
    <x v="0"/>
    <x v="3"/>
  </r>
  <r>
    <n v="45475720449"/>
    <n v="315"/>
    <x v="17"/>
    <m/>
    <x v="0"/>
    <x v="0"/>
  </r>
  <r>
    <n v="99946487496"/>
    <n v="326"/>
    <x v="17"/>
    <s v=""/>
    <x v="0"/>
    <x v="0"/>
  </r>
  <r>
    <n v="81791155637"/>
    <n v="334"/>
    <x v="17"/>
    <s v=""/>
    <x v="0"/>
    <x v="0"/>
  </r>
  <r>
    <n v="32537063791"/>
    <n v="339"/>
    <x v="17"/>
    <s v=""/>
    <x v="0"/>
    <x v="0"/>
  </r>
  <r>
    <n v="96334428002"/>
    <n v="26"/>
    <x v="18"/>
    <s v=""/>
    <x v="0"/>
    <x v="0"/>
  </r>
  <r>
    <n v="52641553572"/>
    <n v="30"/>
    <x v="18"/>
    <s v=""/>
    <x v="0"/>
    <x v="0"/>
  </r>
  <r>
    <n v="18606397329"/>
    <n v="39"/>
    <x v="18"/>
    <m/>
    <x v="0"/>
    <x v="0"/>
  </r>
  <r>
    <n v="65724771311"/>
    <n v="56"/>
    <x v="18"/>
    <d v="2034-09-18T00:00:00"/>
    <x v="0"/>
    <x v="3"/>
  </r>
  <r>
    <n v="81993628410"/>
    <n v="89"/>
    <x v="18"/>
    <s v=""/>
    <x v="0"/>
    <x v="0"/>
  </r>
  <r>
    <n v="72580366602"/>
    <n v="91"/>
    <x v="18"/>
    <m/>
    <x v="0"/>
    <x v="0"/>
  </r>
  <r>
    <n v="62731185872"/>
    <n v="94"/>
    <x v="18"/>
    <d v="2034-09-10T00:00:00"/>
    <x v="0"/>
    <x v="3"/>
  </r>
  <r>
    <n v="17255612685"/>
    <n v="95"/>
    <x v="18"/>
    <d v="2034-06-25T00:00:00"/>
    <x v="0"/>
    <x v="1"/>
  </r>
  <r>
    <n v="42338124468"/>
    <n v="105"/>
    <x v="18"/>
    <m/>
    <x v="0"/>
    <x v="0"/>
  </r>
  <r>
    <n v="56800821837"/>
    <n v="106"/>
    <x v="18"/>
    <s v=""/>
    <x v="0"/>
    <x v="0"/>
  </r>
  <r>
    <n v="51668627840"/>
    <n v="107"/>
    <x v="18"/>
    <s v=""/>
    <x v="0"/>
    <x v="0"/>
  </r>
  <r>
    <n v="11566683365"/>
    <n v="113"/>
    <x v="18"/>
    <d v="2034-07-08T00:00:00"/>
    <x v="0"/>
    <x v="2"/>
  </r>
  <r>
    <n v="80614638749"/>
    <n v="115"/>
    <x v="18"/>
    <s v=""/>
    <x v="0"/>
    <x v="0"/>
  </r>
  <r>
    <n v="47030316689"/>
    <n v="128"/>
    <x v="18"/>
    <s v=""/>
    <x v="0"/>
    <x v="0"/>
  </r>
  <r>
    <n v="40762659999"/>
    <n v="136"/>
    <x v="18"/>
    <d v="2034-09-23T00:00:00"/>
    <x v="0"/>
    <x v="3"/>
  </r>
  <r>
    <n v="30462124470"/>
    <n v="168"/>
    <x v="18"/>
    <s v=""/>
    <x v="0"/>
    <x v="0"/>
  </r>
  <r>
    <n v="76901500760"/>
    <n v="170"/>
    <x v="18"/>
    <d v="2034-08-27T00:00:00"/>
    <x v="0"/>
    <x v="4"/>
  </r>
  <r>
    <n v="28981326032"/>
    <n v="178"/>
    <x v="18"/>
    <d v="2034-09-15T00:00:00"/>
    <x v="0"/>
    <x v="3"/>
  </r>
  <r>
    <n v="36287905745"/>
    <n v="202"/>
    <x v="18"/>
    <s v=""/>
    <x v="0"/>
    <x v="0"/>
  </r>
  <r>
    <n v="47569024479"/>
    <n v="218"/>
    <x v="18"/>
    <s v=""/>
    <x v="0"/>
    <x v="0"/>
  </r>
  <r>
    <n v="28959069513"/>
    <n v="229"/>
    <x v="18"/>
    <d v="2034-07-25T00:00:00"/>
    <x v="0"/>
    <x v="2"/>
  </r>
  <r>
    <n v="18816690077"/>
    <n v="235"/>
    <x v="18"/>
    <s v=""/>
    <x v="0"/>
    <x v="0"/>
  </r>
  <r>
    <n v="38798644576"/>
    <n v="246"/>
    <x v="18"/>
    <s v=""/>
    <x v="0"/>
    <x v="0"/>
  </r>
  <r>
    <n v="53400804477"/>
    <n v="266"/>
    <x v="18"/>
    <s v=""/>
    <x v="0"/>
    <x v="0"/>
  </r>
  <r>
    <n v="36591959460"/>
    <n v="267"/>
    <x v="18"/>
    <s v=""/>
    <x v="0"/>
    <x v="0"/>
  </r>
  <r>
    <n v="88235747253"/>
    <n v="283"/>
    <x v="18"/>
    <m/>
    <x v="0"/>
    <x v="0"/>
  </r>
  <r>
    <n v="87658544110"/>
    <n v="292"/>
    <x v="18"/>
    <s v=""/>
    <x v="0"/>
    <x v="0"/>
  </r>
  <r>
    <n v="70866150095"/>
    <n v="310"/>
    <x v="18"/>
    <s v=""/>
    <x v="0"/>
    <x v="0"/>
  </r>
  <r>
    <n v="39947883773"/>
    <n v="314"/>
    <x v="18"/>
    <s v=""/>
    <x v="0"/>
    <x v="0"/>
  </r>
  <r>
    <n v="66639587660"/>
    <n v="324"/>
    <x v="18"/>
    <d v="2034-09-25T00:00:00"/>
    <x v="0"/>
    <x v="3"/>
  </r>
  <r>
    <n v="86085918906"/>
    <n v="337"/>
    <x v="18"/>
    <d v="2034-08-05T00:00:00"/>
    <x v="0"/>
    <x v="4"/>
  </r>
  <r>
    <n v="85337613206"/>
    <n v="7"/>
    <x v="19"/>
    <d v="2034-10-04T00:00:00"/>
    <x v="0"/>
    <x v="5"/>
  </r>
  <r>
    <n v="52856554284"/>
    <n v="12"/>
    <x v="19"/>
    <s v=""/>
    <x v="0"/>
    <x v="0"/>
  </r>
  <r>
    <n v="11142816321"/>
    <n v="13"/>
    <x v="19"/>
    <d v="2034-06-26T00:00:00"/>
    <x v="0"/>
    <x v="1"/>
  </r>
  <r>
    <n v="46323510362"/>
    <n v="24"/>
    <x v="19"/>
    <s v=""/>
    <x v="0"/>
    <x v="0"/>
  </r>
  <r>
    <n v="12071908303"/>
    <n v="28"/>
    <x v="19"/>
    <d v="2034-08-16T00:00:00"/>
    <x v="0"/>
    <x v="4"/>
  </r>
  <r>
    <n v="78991489127"/>
    <n v="38"/>
    <x v="19"/>
    <s v=""/>
    <x v="0"/>
    <x v="0"/>
  </r>
  <r>
    <n v="34121521151"/>
    <n v="47"/>
    <x v="19"/>
    <s v=""/>
    <x v="0"/>
    <x v="0"/>
  </r>
  <r>
    <n v="64584641256"/>
    <n v="48"/>
    <x v="19"/>
    <d v="2034-07-11T00:00:00"/>
    <x v="0"/>
    <x v="2"/>
  </r>
  <r>
    <n v="30774026730"/>
    <n v="51"/>
    <x v="19"/>
    <d v="2034-07-06T00:00:00"/>
    <x v="0"/>
    <x v="2"/>
  </r>
  <r>
    <n v="31351325437"/>
    <n v="77"/>
    <x v="19"/>
    <s v=""/>
    <x v="0"/>
    <x v="0"/>
  </r>
  <r>
    <n v="49421511530"/>
    <n v="82"/>
    <x v="19"/>
    <d v="2034-09-06T00:00:00"/>
    <x v="0"/>
    <x v="3"/>
  </r>
  <r>
    <n v="64125500138"/>
    <n v="89"/>
    <x v="19"/>
    <d v="2034-06-26T00:00:00"/>
    <x v="0"/>
    <x v="1"/>
  </r>
  <r>
    <n v="16914923484"/>
    <n v="97"/>
    <x v="19"/>
    <s v=""/>
    <x v="0"/>
    <x v="0"/>
  </r>
  <r>
    <n v="75911092481"/>
    <n v="102"/>
    <x v="19"/>
    <s v=""/>
    <x v="0"/>
    <x v="0"/>
  </r>
  <r>
    <n v="27684302130"/>
    <n v="116"/>
    <x v="19"/>
    <s v=""/>
    <x v="0"/>
    <x v="0"/>
  </r>
  <r>
    <n v="68634812540"/>
    <n v="141"/>
    <x v="19"/>
    <s v=""/>
    <x v="0"/>
    <x v="0"/>
  </r>
  <r>
    <n v="72694318739"/>
    <n v="153"/>
    <x v="19"/>
    <s v=""/>
    <x v="0"/>
    <x v="0"/>
  </r>
  <r>
    <n v="62212263512"/>
    <n v="153"/>
    <x v="19"/>
    <s v=""/>
    <x v="0"/>
    <x v="0"/>
  </r>
  <r>
    <n v="95249480560"/>
    <n v="159"/>
    <x v="19"/>
    <d v="2034-07-04T00:00:00"/>
    <x v="0"/>
    <x v="2"/>
  </r>
  <r>
    <n v="89613149274"/>
    <n v="163"/>
    <x v="19"/>
    <s v=""/>
    <x v="0"/>
    <x v="0"/>
  </r>
  <r>
    <n v="49408922679"/>
    <n v="170"/>
    <x v="19"/>
    <s v=""/>
    <x v="0"/>
    <x v="0"/>
  </r>
  <r>
    <n v="99506373294"/>
    <n v="174"/>
    <x v="19"/>
    <s v=""/>
    <x v="0"/>
    <x v="0"/>
  </r>
  <r>
    <n v="71520203627"/>
    <n v="177"/>
    <x v="19"/>
    <d v="2034-09-12T00:00:00"/>
    <x v="0"/>
    <x v="3"/>
  </r>
  <r>
    <n v="92293197080"/>
    <n v="182"/>
    <x v="19"/>
    <s v=""/>
    <x v="0"/>
    <x v="0"/>
  </r>
  <r>
    <n v="21604756572"/>
    <n v="188"/>
    <x v="19"/>
    <s v=""/>
    <x v="0"/>
    <x v="0"/>
  </r>
  <r>
    <n v="82512947308"/>
    <n v="195"/>
    <x v="19"/>
    <d v="2034-10-02T00:00:00"/>
    <x v="0"/>
    <x v="5"/>
  </r>
  <r>
    <n v="67726237221"/>
    <n v="202"/>
    <x v="19"/>
    <s v=""/>
    <x v="0"/>
    <x v="0"/>
  </r>
  <r>
    <n v="11420464250"/>
    <n v="216"/>
    <x v="19"/>
    <d v="2034-06-26T00:00:00"/>
    <x v="0"/>
    <x v="1"/>
  </r>
  <r>
    <n v="78737983933"/>
    <n v="222"/>
    <x v="19"/>
    <s v=""/>
    <x v="0"/>
    <x v="0"/>
  </r>
  <r>
    <n v="99768877460"/>
    <n v="238"/>
    <x v="19"/>
    <m/>
    <x v="0"/>
    <x v="0"/>
  </r>
  <r>
    <n v="71718883524"/>
    <n v="251"/>
    <x v="19"/>
    <s v=""/>
    <x v="0"/>
    <x v="0"/>
  </r>
  <r>
    <n v="89989440154"/>
    <n v="287"/>
    <x v="19"/>
    <m/>
    <x v="0"/>
    <x v="0"/>
  </r>
  <r>
    <n v="67743901880"/>
    <n v="293"/>
    <x v="19"/>
    <d v="2034-10-09T00:00:00"/>
    <x v="0"/>
    <x v="5"/>
  </r>
  <r>
    <n v="12861010424"/>
    <n v="297"/>
    <x v="19"/>
    <s v=""/>
    <x v="0"/>
    <x v="0"/>
  </r>
  <r>
    <n v="68642315941"/>
    <n v="298"/>
    <x v="19"/>
    <s v=""/>
    <x v="0"/>
    <x v="0"/>
  </r>
  <r>
    <n v="14343386135"/>
    <n v="28"/>
    <x v="20"/>
    <s v=""/>
    <x v="0"/>
    <x v="0"/>
  </r>
  <r>
    <n v="49145493045"/>
    <n v="28"/>
    <x v="20"/>
    <s v=""/>
    <x v="0"/>
    <x v="0"/>
  </r>
  <r>
    <n v="21045497400"/>
    <n v="43"/>
    <x v="20"/>
    <s v=""/>
    <x v="0"/>
    <x v="0"/>
  </r>
  <r>
    <n v="78564476950"/>
    <n v="69"/>
    <x v="20"/>
    <s v=""/>
    <x v="0"/>
    <x v="0"/>
  </r>
  <r>
    <n v="42454454681"/>
    <n v="87"/>
    <x v="20"/>
    <s v=""/>
    <x v="0"/>
    <x v="0"/>
  </r>
  <r>
    <n v="88773722932"/>
    <n v="110"/>
    <x v="20"/>
    <s v=""/>
    <x v="0"/>
    <x v="0"/>
  </r>
  <r>
    <n v="36278216957"/>
    <n v="119"/>
    <x v="20"/>
    <s v=""/>
    <x v="0"/>
    <x v="0"/>
  </r>
  <r>
    <n v="75083743224"/>
    <n v="132"/>
    <x v="20"/>
    <d v="2034-08-15T00:00:00"/>
    <x v="0"/>
    <x v="4"/>
  </r>
  <r>
    <n v="51523930309"/>
    <n v="137"/>
    <x v="20"/>
    <d v="2034-07-26T00:00:00"/>
    <x v="0"/>
    <x v="2"/>
  </r>
  <r>
    <n v="45525747369"/>
    <n v="149"/>
    <x v="20"/>
    <m/>
    <x v="0"/>
    <x v="0"/>
  </r>
  <r>
    <n v="29910895242"/>
    <n v="154"/>
    <x v="20"/>
    <s v=""/>
    <x v="0"/>
    <x v="0"/>
  </r>
  <r>
    <n v="62498982726"/>
    <n v="155"/>
    <x v="20"/>
    <s v=""/>
    <x v="0"/>
    <x v="0"/>
  </r>
  <r>
    <n v="89114890366"/>
    <n v="156"/>
    <x v="20"/>
    <m/>
    <x v="0"/>
    <x v="0"/>
  </r>
  <r>
    <n v="60775003858"/>
    <n v="170"/>
    <x v="20"/>
    <m/>
    <x v="0"/>
    <x v="0"/>
  </r>
  <r>
    <n v="66330386371"/>
    <n v="220"/>
    <x v="20"/>
    <m/>
    <x v="0"/>
    <x v="0"/>
  </r>
  <r>
    <n v="88833096912"/>
    <n v="254"/>
    <x v="20"/>
    <s v=""/>
    <x v="0"/>
    <x v="0"/>
  </r>
  <r>
    <n v="89781336327"/>
    <n v="263"/>
    <x v="20"/>
    <m/>
    <x v="0"/>
    <x v="0"/>
  </r>
  <r>
    <n v="26912080818"/>
    <n v="263"/>
    <x v="20"/>
    <s v=""/>
    <x v="0"/>
    <x v="0"/>
  </r>
  <r>
    <n v="68471959274"/>
    <n v="298"/>
    <x v="20"/>
    <d v="2034-07-09T00:00:00"/>
    <x v="0"/>
    <x v="2"/>
  </r>
  <r>
    <n v="22712987119"/>
    <n v="308"/>
    <x v="20"/>
    <d v="2034-06-25T00:00:00"/>
    <x v="0"/>
    <x v="1"/>
  </r>
  <r>
    <n v="24313203890"/>
    <n v="311"/>
    <x v="20"/>
    <s v=""/>
    <x v="0"/>
    <x v="0"/>
  </r>
  <r>
    <n v="99514845211"/>
    <n v="320"/>
    <x v="20"/>
    <m/>
    <x v="0"/>
    <x v="0"/>
  </r>
  <r>
    <n v="76816895285"/>
    <n v="321"/>
    <x v="20"/>
    <s v=""/>
    <x v="0"/>
    <x v="0"/>
  </r>
  <r>
    <n v="87600971847"/>
    <n v="327"/>
    <x v="20"/>
    <s v=""/>
    <x v="0"/>
    <x v="0"/>
  </r>
  <r>
    <n v="30877105272"/>
    <n v="335"/>
    <x v="20"/>
    <s v=""/>
    <x v="0"/>
    <x v="0"/>
  </r>
  <r>
    <n v="84427127702"/>
    <n v="340"/>
    <x v="20"/>
    <s v=""/>
    <x v="0"/>
    <x v="0"/>
  </r>
  <r>
    <n v="46434112476"/>
    <n v="10"/>
    <x v="21"/>
    <s v=""/>
    <x v="0"/>
    <x v="0"/>
  </r>
  <r>
    <n v="47755595174"/>
    <n v="43"/>
    <x v="21"/>
    <s v=""/>
    <x v="0"/>
    <x v="0"/>
  </r>
  <r>
    <n v="76862096653"/>
    <n v="63"/>
    <x v="21"/>
    <s v=""/>
    <x v="0"/>
    <x v="0"/>
  </r>
  <r>
    <n v="99449830056"/>
    <n v="77"/>
    <x v="21"/>
    <s v=""/>
    <x v="0"/>
    <x v="0"/>
  </r>
  <r>
    <n v="30521065395"/>
    <n v="86"/>
    <x v="21"/>
    <s v=""/>
    <x v="0"/>
    <x v="0"/>
  </r>
  <r>
    <n v="73077704740"/>
    <n v="94"/>
    <x v="21"/>
    <m/>
    <x v="0"/>
    <x v="0"/>
  </r>
  <r>
    <n v="24213589086"/>
    <n v="108"/>
    <x v="21"/>
    <m/>
    <x v="0"/>
    <x v="0"/>
  </r>
  <r>
    <n v="98214939779"/>
    <n v="132"/>
    <x v="21"/>
    <s v=""/>
    <x v="0"/>
    <x v="0"/>
  </r>
  <r>
    <n v="89599258784"/>
    <n v="140"/>
    <x v="21"/>
    <d v="2034-09-27T00:00:00"/>
    <x v="0"/>
    <x v="3"/>
  </r>
  <r>
    <n v="37296258557"/>
    <n v="143"/>
    <x v="21"/>
    <s v=""/>
    <x v="0"/>
    <x v="0"/>
  </r>
  <r>
    <n v="50424887906"/>
    <n v="148"/>
    <x v="21"/>
    <s v=""/>
    <x v="0"/>
    <x v="0"/>
  </r>
  <r>
    <n v="22308672622"/>
    <n v="152"/>
    <x v="21"/>
    <s v=""/>
    <x v="0"/>
    <x v="0"/>
  </r>
  <r>
    <n v="33659269406"/>
    <n v="156"/>
    <x v="21"/>
    <s v=""/>
    <x v="0"/>
    <x v="0"/>
  </r>
  <r>
    <n v="42592269239"/>
    <n v="163"/>
    <x v="21"/>
    <m/>
    <x v="0"/>
    <x v="0"/>
  </r>
  <r>
    <n v="29832085295"/>
    <n v="182"/>
    <x v="21"/>
    <d v="2034-10-11T00:00:00"/>
    <x v="0"/>
    <x v="5"/>
  </r>
  <r>
    <n v="72820664733"/>
    <n v="188"/>
    <x v="21"/>
    <s v=""/>
    <x v="0"/>
    <x v="0"/>
  </r>
  <r>
    <n v="77073468873"/>
    <n v="192"/>
    <x v="21"/>
    <s v=""/>
    <x v="0"/>
    <x v="0"/>
  </r>
  <r>
    <n v="31353927368"/>
    <n v="196"/>
    <x v="21"/>
    <s v=""/>
    <x v="0"/>
    <x v="0"/>
  </r>
  <r>
    <n v="96321883066"/>
    <n v="198"/>
    <x v="21"/>
    <s v=""/>
    <x v="0"/>
    <x v="0"/>
  </r>
  <r>
    <n v="48497190026"/>
    <n v="208"/>
    <x v="21"/>
    <d v="2034-09-28T00:00:00"/>
    <x v="0"/>
    <x v="3"/>
  </r>
  <r>
    <n v="98215622961"/>
    <n v="215"/>
    <x v="21"/>
    <s v=""/>
    <x v="0"/>
    <x v="0"/>
  </r>
  <r>
    <n v="39575027006"/>
    <n v="217"/>
    <x v="21"/>
    <s v=""/>
    <x v="0"/>
    <x v="0"/>
  </r>
  <r>
    <n v="51425792346"/>
    <n v="217"/>
    <x v="21"/>
    <d v="2034-07-16T00:00:00"/>
    <x v="0"/>
    <x v="2"/>
  </r>
  <r>
    <n v="80221538036"/>
    <n v="222"/>
    <x v="21"/>
    <s v=""/>
    <x v="0"/>
    <x v="0"/>
  </r>
  <r>
    <n v="28293372655"/>
    <n v="248"/>
    <x v="21"/>
    <s v=""/>
    <x v="0"/>
    <x v="0"/>
  </r>
  <r>
    <n v="56026837863"/>
    <n v="269"/>
    <x v="21"/>
    <s v=""/>
    <x v="0"/>
    <x v="0"/>
  </r>
  <r>
    <n v="85168319185"/>
    <n v="314"/>
    <x v="21"/>
    <s v=""/>
    <x v="0"/>
    <x v="0"/>
  </r>
  <r>
    <n v="85089520717"/>
    <n v="315"/>
    <x v="21"/>
    <m/>
    <x v="0"/>
    <x v="0"/>
  </r>
  <r>
    <n v="80997651016"/>
    <n v="319"/>
    <x v="21"/>
    <s v=""/>
    <x v="0"/>
    <x v="0"/>
  </r>
  <r>
    <n v="49344286814"/>
    <n v="331"/>
    <x v="21"/>
    <m/>
    <x v="0"/>
    <x v="0"/>
  </r>
  <r>
    <n v="94653395468"/>
    <n v="9"/>
    <x v="22"/>
    <s v=""/>
    <x v="0"/>
    <x v="0"/>
  </r>
  <r>
    <n v="48736025960"/>
    <n v="9"/>
    <x v="22"/>
    <m/>
    <x v="0"/>
    <x v="0"/>
  </r>
  <r>
    <n v="23328446864"/>
    <n v="12"/>
    <x v="22"/>
    <s v=""/>
    <x v="0"/>
    <x v="0"/>
  </r>
  <r>
    <n v="58160735927"/>
    <n v="21"/>
    <x v="22"/>
    <s v=""/>
    <x v="0"/>
    <x v="0"/>
  </r>
  <r>
    <n v="41766472122"/>
    <n v="24"/>
    <x v="22"/>
    <m/>
    <x v="0"/>
    <x v="0"/>
  </r>
  <r>
    <n v="99957451170"/>
    <n v="35"/>
    <x v="22"/>
    <s v=""/>
    <x v="0"/>
    <x v="0"/>
  </r>
  <r>
    <n v="31270787993"/>
    <n v="38"/>
    <x v="22"/>
    <s v=""/>
    <x v="0"/>
    <x v="0"/>
  </r>
  <r>
    <n v="67931877588"/>
    <n v="38"/>
    <x v="22"/>
    <s v=""/>
    <x v="0"/>
    <x v="0"/>
  </r>
  <r>
    <n v="74558848345"/>
    <n v="38"/>
    <x v="22"/>
    <s v=""/>
    <x v="0"/>
    <x v="0"/>
  </r>
  <r>
    <n v="41309531750"/>
    <n v="51"/>
    <x v="22"/>
    <s v=""/>
    <x v="0"/>
    <x v="0"/>
  </r>
  <r>
    <n v="34978879554"/>
    <n v="58"/>
    <x v="22"/>
    <s v=""/>
    <x v="0"/>
    <x v="0"/>
  </r>
  <r>
    <n v="95814467719"/>
    <n v="91"/>
    <x v="22"/>
    <m/>
    <x v="0"/>
    <x v="0"/>
  </r>
  <r>
    <n v="87314472981"/>
    <n v="107"/>
    <x v="22"/>
    <s v=""/>
    <x v="0"/>
    <x v="0"/>
  </r>
  <r>
    <n v="42273895445"/>
    <n v="108"/>
    <x v="22"/>
    <m/>
    <x v="0"/>
    <x v="0"/>
  </r>
  <r>
    <n v="63250797404"/>
    <n v="111"/>
    <x v="22"/>
    <s v=""/>
    <x v="0"/>
    <x v="0"/>
  </r>
  <r>
    <n v="73388622688"/>
    <n v="126"/>
    <x v="22"/>
    <s v=""/>
    <x v="0"/>
    <x v="0"/>
  </r>
  <r>
    <n v="25429853324"/>
    <n v="148"/>
    <x v="22"/>
    <s v=""/>
    <x v="0"/>
    <x v="0"/>
  </r>
  <r>
    <n v="71920956504"/>
    <n v="155"/>
    <x v="22"/>
    <s v=""/>
    <x v="0"/>
    <x v="0"/>
  </r>
  <r>
    <n v="35002577285"/>
    <n v="187"/>
    <x v="22"/>
    <d v="2034-07-29T00:00:00"/>
    <x v="0"/>
    <x v="2"/>
  </r>
  <r>
    <n v="60029401074"/>
    <n v="208"/>
    <x v="22"/>
    <s v=""/>
    <x v="0"/>
    <x v="0"/>
  </r>
  <r>
    <n v="42464936292"/>
    <n v="242"/>
    <x v="22"/>
    <s v=""/>
    <x v="0"/>
    <x v="0"/>
  </r>
  <r>
    <n v="69286287719"/>
    <n v="244"/>
    <x v="22"/>
    <m/>
    <x v="0"/>
    <x v="0"/>
  </r>
  <r>
    <n v="54067931243"/>
    <n v="258"/>
    <x v="22"/>
    <m/>
    <x v="0"/>
    <x v="0"/>
  </r>
  <r>
    <n v="42749943635"/>
    <n v="308"/>
    <x v="22"/>
    <m/>
    <x v="0"/>
    <x v="0"/>
  </r>
  <r>
    <n v="45144142743"/>
    <n v="314"/>
    <x v="22"/>
    <s v=""/>
    <x v="0"/>
    <x v="0"/>
  </r>
  <r>
    <n v="25309721332"/>
    <n v="333"/>
    <x v="22"/>
    <s v=""/>
    <x v="0"/>
    <x v="0"/>
  </r>
  <r>
    <n v="16361497688"/>
    <n v="8"/>
    <x v="23"/>
    <s v=""/>
    <x v="0"/>
    <x v="0"/>
  </r>
  <r>
    <n v="30034189700"/>
    <n v="23"/>
    <x v="23"/>
    <m/>
    <x v="0"/>
    <x v="0"/>
  </r>
  <r>
    <n v="74318531486"/>
    <n v="26"/>
    <x v="23"/>
    <s v=""/>
    <x v="0"/>
    <x v="0"/>
  </r>
  <r>
    <n v="41938184580"/>
    <n v="41"/>
    <x v="23"/>
    <m/>
    <x v="0"/>
    <x v="0"/>
  </r>
  <r>
    <n v="88732019715"/>
    <n v="43"/>
    <x v="23"/>
    <s v=""/>
    <x v="0"/>
    <x v="0"/>
  </r>
  <r>
    <n v="19525675770"/>
    <n v="65"/>
    <x v="23"/>
    <s v=""/>
    <x v="0"/>
    <x v="0"/>
  </r>
  <r>
    <n v="52941894383"/>
    <n v="76"/>
    <x v="23"/>
    <s v=""/>
    <x v="0"/>
    <x v="0"/>
  </r>
  <r>
    <n v="42321415990"/>
    <n v="78"/>
    <x v="23"/>
    <s v=""/>
    <x v="0"/>
    <x v="0"/>
  </r>
  <r>
    <n v="12065646048"/>
    <n v="80"/>
    <x v="23"/>
    <m/>
    <x v="0"/>
    <x v="0"/>
  </r>
  <r>
    <n v="76559094489"/>
    <n v="105"/>
    <x v="23"/>
    <m/>
    <x v="0"/>
    <x v="0"/>
  </r>
  <r>
    <n v="13210988579"/>
    <n v="107"/>
    <x v="23"/>
    <s v=""/>
    <x v="0"/>
    <x v="0"/>
  </r>
  <r>
    <n v="73267379211"/>
    <n v="121"/>
    <x v="23"/>
    <s v=""/>
    <x v="0"/>
    <x v="0"/>
  </r>
  <r>
    <n v="64618713469"/>
    <n v="131"/>
    <x v="23"/>
    <s v=""/>
    <x v="0"/>
    <x v="0"/>
  </r>
  <r>
    <n v="32389305260"/>
    <n v="147"/>
    <x v="23"/>
    <s v=""/>
    <x v="0"/>
    <x v="0"/>
  </r>
  <r>
    <n v="66739952156"/>
    <n v="172"/>
    <x v="23"/>
    <d v="2034-10-09T00:00:00"/>
    <x v="0"/>
    <x v="5"/>
  </r>
  <r>
    <n v="34101970722"/>
    <n v="202"/>
    <x v="23"/>
    <s v=""/>
    <x v="0"/>
    <x v="0"/>
  </r>
  <r>
    <n v="82877382576"/>
    <n v="206"/>
    <x v="23"/>
    <s v=""/>
    <x v="0"/>
    <x v="0"/>
  </r>
  <r>
    <n v="25430753940"/>
    <n v="206"/>
    <x v="23"/>
    <d v="2034-08-24T00:00:00"/>
    <x v="0"/>
    <x v="4"/>
  </r>
  <r>
    <n v="82565916808"/>
    <n v="212"/>
    <x v="23"/>
    <m/>
    <x v="0"/>
    <x v="0"/>
  </r>
  <r>
    <n v="27561695060"/>
    <n v="220"/>
    <x v="23"/>
    <s v=""/>
    <x v="0"/>
    <x v="0"/>
  </r>
  <r>
    <n v="83071441370"/>
    <n v="230"/>
    <x v="23"/>
    <s v=""/>
    <x v="0"/>
    <x v="0"/>
  </r>
  <r>
    <n v="68913181997"/>
    <n v="241"/>
    <x v="23"/>
    <s v=""/>
    <x v="0"/>
    <x v="0"/>
  </r>
  <r>
    <n v="93881537658"/>
    <n v="243"/>
    <x v="23"/>
    <s v=""/>
    <x v="0"/>
    <x v="0"/>
  </r>
  <r>
    <n v="11686497228"/>
    <n v="253"/>
    <x v="23"/>
    <d v="2034-07-15T00:00:00"/>
    <x v="0"/>
    <x v="2"/>
  </r>
  <r>
    <n v="50724858788"/>
    <n v="255"/>
    <x v="23"/>
    <s v=""/>
    <x v="0"/>
    <x v="0"/>
  </r>
  <r>
    <n v="13240826394"/>
    <n v="257"/>
    <x v="23"/>
    <d v="2034-10-05T00:00:00"/>
    <x v="0"/>
    <x v="5"/>
  </r>
  <r>
    <n v="32963137068"/>
    <n v="271"/>
    <x v="23"/>
    <m/>
    <x v="0"/>
    <x v="0"/>
  </r>
  <r>
    <n v="43936653484"/>
    <n v="274"/>
    <x v="23"/>
    <d v="2034-07-18T00:00:00"/>
    <x v="0"/>
    <x v="2"/>
  </r>
  <r>
    <n v="84945659161"/>
    <n v="277"/>
    <x v="23"/>
    <s v=""/>
    <x v="0"/>
    <x v="0"/>
  </r>
  <r>
    <n v="43548639626"/>
    <n v="300"/>
    <x v="23"/>
    <m/>
    <x v="0"/>
    <x v="0"/>
  </r>
  <r>
    <n v="99962298514"/>
    <n v="304"/>
    <x v="23"/>
    <s v=""/>
    <x v="0"/>
    <x v="0"/>
  </r>
  <r>
    <n v="69615886139"/>
    <n v="314"/>
    <x v="23"/>
    <s v=""/>
    <x v="0"/>
    <x v="0"/>
  </r>
  <r>
    <n v="39773169370"/>
    <n v="322"/>
    <x v="23"/>
    <s v=""/>
    <x v="0"/>
    <x v="0"/>
  </r>
  <r>
    <n v="98521990045"/>
    <n v="10"/>
    <x v="24"/>
    <m/>
    <x v="0"/>
    <x v="0"/>
  </r>
  <r>
    <n v="70368318300"/>
    <n v="35"/>
    <x v="24"/>
    <s v=""/>
    <x v="0"/>
    <x v="0"/>
  </r>
  <r>
    <n v="40037850256"/>
    <n v="36"/>
    <x v="24"/>
    <m/>
    <x v="0"/>
    <x v="0"/>
  </r>
  <r>
    <n v="66819335113"/>
    <n v="74"/>
    <x v="24"/>
    <s v=""/>
    <x v="0"/>
    <x v="0"/>
  </r>
  <r>
    <n v="92135679735"/>
    <n v="84"/>
    <x v="24"/>
    <d v="2034-08-19T00:00:00"/>
    <x v="0"/>
    <x v="4"/>
  </r>
  <r>
    <n v="56258163125"/>
    <n v="84"/>
    <x v="24"/>
    <s v=""/>
    <x v="0"/>
    <x v="0"/>
  </r>
  <r>
    <n v="99718226466"/>
    <n v="93"/>
    <x v="24"/>
    <m/>
    <x v="0"/>
    <x v="0"/>
  </r>
  <r>
    <n v="33483290206"/>
    <n v="98"/>
    <x v="24"/>
    <s v=""/>
    <x v="0"/>
    <x v="0"/>
  </r>
  <r>
    <n v="93199434455"/>
    <n v="103"/>
    <x v="24"/>
    <m/>
    <x v="0"/>
    <x v="0"/>
  </r>
  <r>
    <n v="58107069339"/>
    <n v="136"/>
    <x v="24"/>
    <s v=""/>
    <x v="0"/>
    <x v="0"/>
  </r>
  <r>
    <n v="84259711458"/>
    <n v="137"/>
    <x v="24"/>
    <m/>
    <x v="0"/>
    <x v="0"/>
  </r>
  <r>
    <n v="68216442714"/>
    <n v="140"/>
    <x v="24"/>
    <d v="2034-06-26T00:00:00"/>
    <x v="0"/>
    <x v="1"/>
  </r>
  <r>
    <n v="46815094050"/>
    <n v="165"/>
    <x v="24"/>
    <s v=""/>
    <x v="0"/>
    <x v="0"/>
  </r>
  <r>
    <n v="14635710714"/>
    <n v="176"/>
    <x v="24"/>
    <d v="2034-07-02T00:00:00"/>
    <x v="0"/>
    <x v="2"/>
  </r>
  <r>
    <n v="58174807191"/>
    <n v="193"/>
    <x v="24"/>
    <d v="2034-09-28T00:00:00"/>
    <x v="0"/>
    <x v="3"/>
  </r>
  <r>
    <n v="20787693597"/>
    <n v="199"/>
    <x v="24"/>
    <s v=""/>
    <x v="0"/>
    <x v="0"/>
  </r>
  <r>
    <n v="11885609273"/>
    <n v="232"/>
    <x v="24"/>
    <s v=""/>
    <x v="0"/>
    <x v="0"/>
  </r>
  <r>
    <n v="69966644391"/>
    <n v="240"/>
    <x v="24"/>
    <s v=""/>
    <x v="0"/>
    <x v="0"/>
  </r>
  <r>
    <n v="60974202230"/>
    <n v="241"/>
    <x v="24"/>
    <s v=""/>
    <x v="0"/>
    <x v="0"/>
  </r>
  <r>
    <n v="55001368140"/>
    <n v="246"/>
    <x v="24"/>
    <s v=""/>
    <x v="0"/>
    <x v="0"/>
  </r>
  <r>
    <n v="66457957384"/>
    <n v="247"/>
    <x v="24"/>
    <s v=""/>
    <x v="0"/>
    <x v="0"/>
  </r>
  <r>
    <n v="59547522286"/>
    <n v="268"/>
    <x v="24"/>
    <m/>
    <x v="0"/>
    <x v="0"/>
  </r>
  <r>
    <n v="71758383126"/>
    <n v="273"/>
    <x v="24"/>
    <s v=""/>
    <x v="0"/>
    <x v="0"/>
  </r>
  <r>
    <n v="48466343173"/>
    <n v="320"/>
    <x v="24"/>
    <s v=""/>
    <x v="0"/>
    <x v="0"/>
  </r>
  <r>
    <n v="95441523261"/>
    <n v="34"/>
    <x v="25"/>
    <s v=""/>
    <x v="0"/>
    <x v="0"/>
  </r>
  <r>
    <n v="42949245134"/>
    <n v="34"/>
    <x v="25"/>
    <s v=""/>
    <x v="0"/>
    <x v="0"/>
  </r>
  <r>
    <n v="81159111037"/>
    <n v="50"/>
    <x v="25"/>
    <d v="2034-10-03T00:00:00"/>
    <x v="0"/>
    <x v="5"/>
  </r>
  <r>
    <n v="86546372920"/>
    <n v="53"/>
    <x v="25"/>
    <s v=""/>
    <x v="0"/>
    <x v="0"/>
  </r>
  <r>
    <n v="18144477384"/>
    <n v="84"/>
    <x v="25"/>
    <d v="2034-09-05T00:00:00"/>
    <x v="0"/>
    <x v="3"/>
  </r>
  <r>
    <n v="62331595011"/>
    <n v="98"/>
    <x v="25"/>
    <d v="2034-09-17T00:00:00"/>
    <x v="0"/>
    <x v="3"/>
  </r>
  <r>
    <n v="38736908132"/>
    <n v="105"/>
    <x v="25"/>
    <m/>
    <x v="0"/>
    <x v="0"/>
  </r>
  <r>
    <n v="87354219247"/>
    <n v="113"/>
    <x v="25"/>
    <s v=""/>
    <x v="0"/>
    <x v="0"/>
  </r>
  <r>
    <n v="34609547704"/>
    <n v="124"/>
    <x v="25"/>
    <d v="2034-10-03T00:00:00"/>
    <x v="0"/>
    <x v="5"/>
  </r>
  <r>
    <n v="65793398297"/>
    <n v="132"/>
    <x v="25"/>
    <s v=""/>
    <x v="0"/>
    <x v="0"/>
  </r>
  <r>
    <n v="95587144776"/>
    <n v="136"/>
    <x v="25"/>
    <s v=""/>
    <x v="0"/>
    <x v="0"/>
  </r>
  <r>
    <n v="63173321861"/>
    <n v="142"/>
    <x v="25"/>
    <s v=""/>
    <x v="0"/>
    <x v="0"/>
  </r>
  <r>
    <n v="82115273741"/>
    <n v="169"/>
    <x v="25"/>
    <s v=""/>
    <x v="0"/>
    <x v="0"/>
  </r>
  <r>
    <n v="11590486350"/>
    <n v="174"/>
    <x v="25"/>
    <d v="2034-09-07T00:00:00"/>
    <x v="0"/>
    <x v="3"/>
  </r>
  <r>
    <n v="84910823894"/>
    <n v="185"/>
    <x v="25"/>
    <d v="2034-10-15T00:00:00"/>
    <x v="0"/>
    <x v="5"/>
  </r>
  <r>
    <n v="92981096369"/>
    <n v="202"/>
    <x v="25"/>
    <d v="2034-07-27T00:00:00"/>
    <x v="0"/>
    <x v="2"/>
  </r>
  <r>
    <n v="39793931625"/>
    <n v="206"/>
    <x v="25"/>
    <s v=""/>
    <x v="0"/>
    <x v="0"/>
  </r>
  <r>
    <n v="94169318658"/>
    <n v="210"/>
    <x v="25"/>
    <s v=""/>
    <x v="0"/>
    <x v="0"/>
  </r>
  <r>
    <n v="47476874820"/>
    <n v="223"/>
    <x v="25"/>
    <s v=""/>
    <x v="0"/>
    <x v="0"/>
  </r>
  <r>
    <n v="56247334117"/>
    <n v="237"/>
    <x v="25"/>
    <s v=""/>
    <x v="0"/>
    <x v="0"/>
  </r>
  <r>
    <n v="24957627792"/>
    <n v="277"/>
    <x v="25"/>
    <m/>
    <x v="0"/>
    <x v="0"/>
  </r>
  <r>
    <n v="20535771562"/>
    <n v="283"/>
    <x v="25"/>
    <s v=""/>
    <x v="0"/>
    <x v="0"/>
  </r>
  <r>
    <n v="73280621696"/>
    <n v="293"/>
    <x v="25"/>
    <s v=""/>
    <x v="0"/>
    <x v="0"/>
  </r>
  <r>
    <n v="99913725386"/>
    <n v="303"/>
    <x v="25"/>
    <s v=""/>
    <x v="0"/>
    <x v="0"/>
  </r>
  <r>
    <n v="57415942424"/>
    <n v="304"/>
    <x v="25"/>
    <s v=""/>
    <x v="0"/>
    <x v="0"/>
  </r>
  <r>
    <n v="43047990447"/>
    <n v="322"/>
    <x v="25"/>
    <s v=""/>
    <x v="0"/>
    <x v="0"/>
  </r>
  <r>
    <n v="47699480470"/>
    <n v="14"/>
    <x v="26"/>
    <d v="2034-07-29T00:00:00"/>
    <x v="0"/>
    <x v="2"/>
  </r>
  <r>
    <n v="79054538341"/>
    <n v="14"/>
    <x v="26"/>
    <d v="2034-10-02T00:00:00"/>
    <x v="0"/>
    <x v="5"/>
  </r>
  <r>
    <n v="70616557469"/>
    <n v="19"/>
    <x v="26"/>
    <s v=""/>
    <x v="0"/>
    <x v="0"/>
  </r>
  <r>
    <n v="44404908329"/>
    <n v="26"/>
    <x v="26"/>
    <s v=""/>
    <x v="0"/>
    <x v="0"/>
  </r>
  <r>
    <n v="53356730104"/>
    <n v="27"/>
    <x v="26"/>
    <s v=""/>
    <x v="0"/>
    <x v="0"/>
  </r>
  <r>
    <n v="45539195308"/>
    <n v="55"/>
    <x v="26"/>
    <s v=""/>
    <x v="0"/>
    <x v="0"/>
  </r>
  <r>
    <n v="27812806974"/>
    <n v="58"/>
    <x v="26"/>
    <s v=""/>
    <x v="0"/>
    <x v="0"/>
  </r>
  <r>
    <n v="98403130680"/>
    <n v="75"/>
    <x v="26"/>
    <d v="2034-09-10T00:00:00"/>
    <x v="0"/>
    <x v="3"/>
  </r>
  <r>
    <n v="81838135784"/>
    <n v="81"/>
    <x v="26"/>
    <d v="2034-10-10T00:00:00"/>
    <x v="0"/>
    <x v="5"/>
  </r>
  <r>
    <n v="33325467724"/>
    <n v="87"/>
    <x v="26"/>
    <s v=""/>
    <x v="0"/>
    <x v="0"/>
  </r>
  <r>
    <n v="16132224538"/>
    <n v="99"/>
    <x v="26"/>
    <s v=""/>
    <x v="0"/>
    <x v="0"/>
  </r>
  <r>
    <n v="80604899826"/>
    <n v="124"/>
    <x v="26"/>
    <s v=""/>
    <x v="0"/>
    <x v="0"/>
  </r>
  <r>
    <n v="53433268697"/>
    <n v="133"/>
    <x v="26"/>
    <d v="2034-09-12T00:00:00"/>
    <x v="0"/>
    <x v="3"/>
  </r>
  <r>
    <n v="77687226541"/>
    <n v="155"/>
    <x v="26"/>
    <s v=""/>
    <x v="0"/>
    <x v="0"/>
  </r>
  <r>
    <n v="26513159795"/>
    <n v="162"/>
    <x v="26"/>
    <s v=""/>
    <x v="0"/>
    <x v="0"/>
  </r>
  <r>
    <n v="48724441539"/>
    <n v="163"/>
    <x v="26"/>
    <s v=""/>
    <x v="0"/>
    <x v="0"/>
  </r>
  <r>
    <n v="34399707292"/>
    <n v="164"/>
    <x v="26"/>
    <s v=""/>
    <x v="0"/>
    <x v="0"/>
  </r>
  <r>
    <n v="11443957938"/>
    <n v="164"/>
    <x v="26"/>
    <s v=""/>
    <x v="0"/>
    <x v="0"/>
  </r>
  <r>
    <n v="32079262178"/>
    <n v="177"/>
    <x v="26"/>
    <s v=""/>
    <x v="0"/>
    <x v="0"/>
  </r>
  <r>
    <n v="36034081109"/>
    <n v="177"/>
    <x v="26"/>
    <m/>
    <x v="0"/>
    <x v="0"/>
  </r>
  <r>
    <n v="54121901961"/>
    <n v="187"/>
    <x v="26"/>
    <d v="2034-09-13T00:00:00"/>
    <x v="0"/>
    <x v="3"/>
  </r>
  <r>
    <n v="42469886221"/>
    <n v="216"/>
    <x v="26"/>
    <m/>
    <x v="0"/>
    <x v="0"/>
  </r>
  <r>
    <n v="39417898936"/>
    <n v="218"/>
    <x v="26"/>
    <d v="2034-08-27T00:00:00"/>
    <x v="0"/>
    <x v="4"/>
  </r>
  <r>
    <n v="39970754683"/>
    <n v="273"/>
    <x v="26"/>
    <s v=""/>
    <x v="0"/>
    <x v="0"/>
  </r>
  <r>
    <n v="46600302138"/>
    <n v="275"/>
    <x v="26"/>
    <s v=""/>
    <x v="0"/>
    <x v="0"/>
  </r>
  <r>
    <n v="38875344270"/>
    <n v="277"/>
    <x v="26"/>
    <s v=""/>
    <x v="0"/>
    <x v="0"/>
  </r>
  <r>
    <n v="90104868272"/>
    <n v="278"/>
    <x v="26"/>
    <s v=""/>
    <x v="0"/>
    <x v="0"/>
  </r>
  <r>
    <n v="47881138746"/>
    <n v="307"/>
    <x v="26"/>
    <s v=""/>
    <x v="0"/>
    <x v="0"/>
  </r>
  <r>
    <n v="61065302537"/>
    <n v="322"/>
    <x v="26"/>
    <s v=""/>
    <x v="0"/>
    <x v="0"/>
  </r>
  <r>
    <n v="42828927693"/>
    <n v="325"/>
    <x v="26"/>
    <d v="2034-08-12T00:00:00"/>
    <x v="0"/>
    <x v="4"/>
  </r>
  <r>
    <n v="81924306760"/>
    <n v="34"/>
    <x v="27"/>
    <s v=""/>
    <x v="0"/>
    <x v="0"/>
  </r>
  <r>
    <n v="58116034858"/>
    <n v="38"/>
    <x v="27"/>
    <d v="2034-08-27T00:00:00"/>
    <x v="0"/>
    <x v="4"/>
  </r>
  <r>
    <n v="92562281322"/>
    <n v="41"/>
    <x v="27"/>
    <s v=""/>
    <x v="0"/>
    <x v="0"/>
  </r>
  <r>
    <n v="45536164253"/>
    <n v="49"/>
    <x v="27"/>
    <s v=""/>
    <x v="0"/>
    <x v="0"/>
  </r>
  <r>
    <n v="48706504819"/>
    <n v="65"/>
    <x v="27"/>
    <m/>
    <x v="0"/>
    <x v="0"/>
  </r>
  <r>
    <n v="74309087993"/>
    <n v="79"/>
    <x v="27"/>
    <d v="2034-07-26T00:00:00"/>
    <x v="0"/>
    <x v="2"/>
  </r>
  <r>
    <n v="46553557203"/>
    <n v="81"/>
    <x v="27"/>
    <s v=""/>
    <x v="0"/>
    <x v="0"/>
  </r>
  <r>
    <n v="32924117087"/>
    <n v="85"/>
    <x v="27"/>
    <m/>
    <x v="0"/>
    <x v="0"/>
  </r>
  <r>
    <n v="21711116675"/>
    <n v="87"/>
    <x v="27"/>
    <m/>
    <x v="0"/>
    <x v="0"/>
  </r>
  <r>
    <n v="45770135809"/>
    <n v="127"/>
    <x v="27"/>
    <s v=""/>
    <x v="0"/>
    <x v="0"/>
  </r>
  <r>
    <n v="89149096085"/>
    <n v="211"/>
    <x v="27"/>
    <d v="2034-08-03T00:00:00"/>
    <x v="0"/>
    <x v="4"/>
  </r>
  <r>
    <n v="12865599957"/>
    <n v="213"/>
    <x v="27"/>
    <d v="2034-07-06T00:00:00"/>
    <x v="0"/>
    <x v="2"/>
  </r>
  <r>
    <n v="48399733342"/>
    <n v="224"/>
    <x v="27"/>
    <m/>
    <x v="0"/>
    <x v="0"/>
  </r>
  <r>
    <n v="67247070705"/>
    <n v="241"/>
    <x v="27"/>
    <m/>
    <x v="0"/>
    <x v="0"/>
  </r>
  <r>
    <n v="14547197633"/>
    <n v="253"/>
    <x v="27"/>
    <m/>
    <x v="0"/>
    <x v="0"/>
  </r>
  <r>
    <n v="48403463231"/>
    <n v="257"/>
    <x v="27"/>
    <s v=""/>
    <x v="0"/>
    <x v="0"/>
  </r>
  <r>
    <n v="83272360691"/>
    <n v="270"/>
    <x v="27"/>
    <m/>
    <x v="0"/>
    <x v="0"/>
  </r>
  <r>
    <n v="33154790361"/>
    <n v="299"/>
    <x v="27"/>
    <s v=""/>
    <x v="0"/>
    <x v="0"/>
  </r>
  <r>
    <n v="23971017017"/>
    <n v="301"/>
    <x v="27"/>
    <s v=""/>
    <x v="0"/>
    <x v="0"/>
  </r>
  <r>
    <n v="66139149065"/>
    <n v="321"/>
    <x v="27"/>
    <m/>
    <x v="0"/>
    <x v="0"/>
  </r>
  <r>
    <n v="56811261634"/>
    <n v="324"/>
    <x v="27"/>
    <m/>
    <x v="0"/>
    <x v="0"/>
  </r>
  <r>
    <n v="91557912533"/>
    <n v="326"/>
    <x v="27"/>
    <s v=""/>
    <x v="0"/>
    <x v="0"/>
  </r>
  <r>
    <n v="63741923021"/>
    <n v="333"/>
    <x v="27"/>
    <m/>
    <x v="0"/>
    <x v="0"/>
  </r>
  <r>
    <n v="87504700820"/>
    <n v="5"/>
    <x v="28"/>
    <m/>
    <x v="0"/>
    <x v="0"/>
  </r>
  <r>
    <n v="61973555842"/>
    <n v="31"/>
    <x v="28"/>
    <d v="2034-09-02T00:00:00"/>
    <x v="0"/>
    <x v="3"/>
  </r>
  <r>
    <n v="93944570468"/>
    <n v="46"/>
    <x v="28"/>
    <s v=""/>
    <x v="0"/>
    <x v="0"/>
  </r>
  <r>
    <n v="81419666440"/>
    <n v="54"/>
    <x v="28"/>
    <s v=""/>
    <x v="0"/>
    <x v="0"/>
  </r>
  <r>
    <n v="29436738076"/>
    <n v="63"/>
    <x v="28"/>
    <m/>
    <x v="0"/>
    <x v="0"/>
  </r>
  <r>
    <n v="27060404735"/>
    <n v="67"/>
    <x v="28"/>
    <s v=""/>
    <x v="0"/>
    <x v="0"/>
  </r>
  <r>
    <n v="45884479832"/>
    <n v="74"/>
    <x v="28"/>
    <s v=""/>
    <x v="0"/>
    <x v="0"/>
  </r>
  <r>
    <n v="88232186588"/>
    <n v="76"/>
    <x v="28"/>
    <s v=""/>
    <x v="0"/>
    <x v="0"/>
  </r>
  <r>
    <n v="27137406885"/>
    <n v="80"/>
    <x v="28"/>
    <m/>
    <x v="0"/>
    <x v="0"/>
  </r>
  <r>
    <n v="18735526676"/>
    <n v="106"/>
    <x v="28"/>
    <s v=""/>
    <x v="0"/>
    <x v="0"/>
  </r>
  <r>
    <n v="18389132051"/>
    <n v="131"/>
    <x v="28"/>
    <s v=""/>
    <x v="0"/>
    <x v="0"/>
  </r>
  <r>
    <n v="26675958214"/>
    <n v="132"/>
    <x v="28"/>
    <m/>
    <x v="0"/>
    <x v="0"/>
  </r>
  <r>
    <n v="53207430505"/>
    <n v="156"/>
    <x v="28"/>
    <d v="2034-09-19T00:00:00"/>
    <x v="0"/>
    <x v="3"/>
  </r>
  <r>
    <n v="58164715539"/>
    <n v="167"/>
    <x v="28"/>
    <s v=""/>
    <x v="0"/>
    <x v="0"/>
  </r>
  <r>
    <n v="82939861040"/>
    <n v="170"/>
    <x v="28"/>
    <s v=""/>
    <x v="0"/>
    <x v="0"/>
  </r>
  <r>
    <n v="43144680688"/>
    <n v="172"/>
    <x v="28"/>
    <s v=""/>
    <x v="0"/>
    <x v="0"/>
  </r>
  <r>
    <n v="79517428260"/>
    <n v="172"/>
    <x v="28"/>
    <s v=""/>
    <x v="0"/>
    <x v="0"/>
  </r>
  <r>
    <n v="37667378140"/>
    <n v="173"/>
    <x v="28"/>
    <s v=""/>
    <x v="0"/>
    <x v="0"/>
  </r>
  <r>
    <n v="78137937475"/>
    <n v="210"/>
    <x v="28"/>
    <s v=""/>
    <x v="0"/>
    <x v="0"/>
  </r>
  <r>
    <n v="77326099748"/>
    <n v="235"/>
    <x v="28"/>
    <s v=""/>
    <x v="0"/>
    <x v="0"/>
  </r>
  <r>
    <n v="56328586999"/>
    <n v="258"/>
    <x v="28"/>
    <s v=""/>
    <x v="0"/>
    <x v="0"/>
  </r>
  <r>
    <n v="35531491430"/>
    <n v="284"/>
    <x v="28"/>
    <s v=""/>
    <x v="0"/>
    <x v="0"/>
  </r>
  <r>
    <n v="53288734842"/>
    <n v="304"/>
    <x v="28"/>
    <m/>
    <x v="0"/>
    <x v="0"/>
  </r>
  <r>
    <n v="88584283836"/>
    <n v="331"/>
    <x v="28"/>
    <d v="2034-09-18T00:00:00"/>
    <x v="0"/>
    <x v="3"/>
  </r>
  <r>
    <n v="28750443238"/>
    <n v="3"/>
    <x v="29"/>
    <m/>
    <x v="0"/>
    <x v="0"/>
  </r>
  <r>
    <n v="76041601855"/>
    <n v="20"/>
    <x v="29"/>
    <d v="2034-09-16T00:00:00"/>
    <x v="0"/>
    <x v="3"/>
  </r>
  <r>
    <n v="82754263583"/>
    <n v="30"/>
    <x v="29"/>
    <d v="2034-08-30T00:00:00"/>
    <x v="0"/>
    <x v="4"/>
  </r>
  <r>
    <n v="58616609092"/>
    <n v="32"/>
    <x v="29"/>
    <s v=""/>
    <x v="0"/>
    <x v="0"/>
  </r>
  <r>
    <n v="52784225667"/>
    <n v="43"/>
    <x v="29"/>
    <s v=""/>
    <x v="0"/>
    <x v="0"/>
  </r>
  <r>
    <n v="73538942801"/>
    <n v="58"/>
    <x v="29"/>
    <m/>
    <x v="0"/>
    <x v="0"/>
  </r>
  <r>
    <n v="98289925565"/>
    <n v="80"/>
    <x v="29"/>
    <m/>
    <x v="0"/>
    <x v="0"/>
  </r>
  <r>
    <n v="11988368769"/>
    <n v="110"/>
    <x v="29"/>
    <s v=""/>
    <x v="0"/>
    <x v="0"/>
  </r>
  <r>
    <n v="56187951936"/>
    <n v="112"/>
    <x v="29"/>
    <d v="2034-07-27T00:00:00"/>
    <x v="0"/>
    <x v="2"/>
  </r>
  <r>
    <n v="73528405165"/>
    <n v="119"/>
    <x v="29"/>
    <d v="2034-07-01T00:00:00"/>
    <x v="0"/>
    <x v="2"/>
  </r>
  <r>
    <n v="24076084288"/>
    <n v="124"/>
    <x v="29"/>
    <d v="2034-08-22T00:00:00"/>
    <x v="0"/>
    <x v="4"/>
  </r>
  <r>
    <n v="45140495647"/>
    <n v="139"/>
    <x v="29"/>
    <m/>
    <x v="0"/>
    <x v="0"/>
  </r>
  <r>
    <n v="77059291140"/>
    <n v="152"/>
    <x v="29"/>
    <s v=""/>
    <x v="0"/>
    <x v="0"/>
  </r>
  <r>
    <n v="66866342994"/>
    <n v="184"/>
    <x v="29"/>
    <s v=""/>
    <x v="0"/>
    <x v="0"/>
  </r>
  <r>
    <n v="67602448349"/>
    <n v="191"/>
    <x v="29"/>
    <s v=""/>
    <x v="0"/>
    <x v="0"/>
  </r>
  <r>
    <n v="80253047093"/>
    <n v="236"/>
    <x v="29"/>
    <s v=""/>
    <x v="0"/>
    <x v="0"/>
  </r>
  <r>
    <n v="38471034630"/>
    <n v="263"/>
    <x v="29"/>
    <m/>
    <x v="0"/>
    <x v="0"/>
  </r>
  <r>
    <n v="88730976583"/>
    <n v="287"/>
    <x v="29"/>
    <s v=""/>
    <x v="0"/>
    <x v="0"/>
  </r>
  <r>
    <n v="39942173399"/>
    <n v="291"/>
    <x v="29"/>
    <s v=""/>
    <x v="0"/>
    <x v="0"/>
  </r>
  <r>
    <n v="81658649032"/>
    <n v="292"/>
    <x v="29"/>
    <m/>
    <x v="0"/>
    <x v="0"/>
  </r>
  <r>
    <n v="35660727677"/>
    <n v="311"/>
    <x v="29"/>
    <s v=""/>
    <x v="0"/>
    <x v="0"/>
  </r>
  <r>
    <n v="51248643688"/>
    <n v="312"/>
    <x v="29"/>
    <s v=""/>
    <x v="0"/>
    <x v="0"/>
  </r>
  <r>
    <n v="85597588840"/>
    <n v="2"/>
    <x v="30"/>
    <s v=""/>
    <x v="1"/>
    <x v="0"/>
  </r>
  <r>
    <n v="92481886532"/>
    <n v="23"/>
    <x v="30"/>
    <m/>
    <x v="1"/>
    <x v="0"/>
  </r>
  <r>
    <n v="67383012930"/>
    <n v="39"/>
    <x v="30"/>
    <s v=""/>
    <x v="1"/>
    <x v="0"/>
  </r>
  <r>
    <n v="60974686343"/>
    <n v="40"/>
    <x v="30"/>
    <s v=""/>
    <x v="1"/>
    <x v="0"/>
  </r>
  <r>
    <n v="86370576590"/>
    <n v="46"/>
    <x v="30"/>
    <s v=""/>
    <x v="1"/>
    <x v="0"/>
  </r>
  <r>
    <n v="91809130622"/>
    <n v="87"/>
    <x v="30"/>
    <d v="2034-07-27T00:00:00"/>
    <x v="1"/>
    <x v="2"/>
  </r>
  <r>
    <n v="98051540035"/>
    <n v="96"/>
    <x v="30"/>
    <d v="2034-10-24T00:00:00"/>
    <x v="1"/>
    <x v="5"/>
  </r>
  <r>
    <n v="13637592571"/>
    <n v="96"/>
    <x v="30"/>
    <s v=""/>
    <x v="1"/>
    <x v="0"/>
  </r>
  <r>
    <n v="20685575326"/>
    <n v="112"/>
    <x v="30"/>
    <s v=""/>
    <x v="1"/>
    <x v="0"/>
  </r>
  <r>
    <n v="59373563851"/>
    <n v="120"/>
    <x v="30"/>
    <s v=""/>
    <x v="1"/>
    <x v="0"/>
  </r>
  <r>
    <n v="92336037120"/>
    <n v="161"/>
    <x v="30"/>
    <s v=""/>
    <x v="1"/>
    <x v="0"/>
  </r>
  <r>
    <n v="37355318107"/>
    <n v="172"/>
    <x v="30"/>
    <d v="2034-09-10T00:00:00"/>
    <x v="1"/>
    <x v="3"/>
  </r>
  <r>
    <n v="30487113130"/>
    <n v="175"/>
    <x v="30"/>
    <d v="2034-07-04T00:00:00"/>
    <x v="1"/>
    <x v="2"/>
  </r>
  <r>
    <n v="96454120029"/>
    <n v="180"/>
    <x v="30"/>
    <s v=""/>
    <x v="1"/>
    <x v="0"/>
  </r>
  <r>
    <n v="73547296448"/>
    <n v="184"/>
    <x v="30"/>
    <s v=""/>
    <x v="1"/>
    <x v="0"/>
  </r>
  <r>
    <n v="91122993858"/>
    <n v="190"/>
    <x v="30"/>
    <d v="2034-09-09T00:00:00"/>
    <x v="1"/>
    <x v="3"/>
  </r>
  <r>
    <n v="82438682711"/>
    <n v="190"/>
    <x v="30"/>
    <s v=""/>
    <x v="1"/>
    <x v="0"/>
  </r>
  <r>
    <n v="92193766367"/>
    <n v="196"/>
    <x v="30"/>
    <s v=""/>
    <x v="1"/>
    <x v="0"/>
  </r>
  <r>
    <n v="58089163987"/>
    <n v="220"/>
    <x v="30"/>
    <s v=""/>
    <x v="1"/>
    <x v="0"/>
  </r>
  <r>
    <n v="33861321904"/>
    <n v="232"/>
    <x v="30"/>
    <s v=""/>
    <x v="1"/>
    <x v="0"/>
  </r>
  <r>
    <n v="76058655338"/>
    <n v="238"/>
    <x v="30"/>
    <m/>
    <x v="1"/>
    <x v="0"/>
  </r>
  <r>
    <n v="91836022701"/>
    <n v="245"/>
    <x v="30"/>
    <s v=""/>
    <x v="1"/>
    <x v="0"/>
  </r>
  <r>
    <n v="21376510085"/>
    <n v="260"/>
    <x v="30"/>
    <s v=""/>
    <x v="1"/>
    <x v="0"/>
  </r>
  <r>
    <n v="25148112272"/>
    <n v="261"/>
    <x v="30"/>
    <s v=""/>
    <x v="1"/>
    <x v="0"/>
  </r>
  <r>
    <n v="35233435278"/>
    <n v="268"/>
    <x v="30"/>
    <s v=""/>
    <x v="1"/>
    <x v="0"/>
  </r>
  <r>
    <n v="26257771630"/>
    <n v="274"/>
    <x v="30"/>
    <m/>
    <x v="1"/>
    <x v="0"/>
  </r>
  <r>
    <n v="21842597103"/>
    <n v="289"/>
    <x v="30"/>
    <s v=""/>
    <x v="1"/>
    <x v="0"/>
  </r>
  <r>
    <n v="61148579356"/>
    <n v="289"/>
    <x v="30"/>
    <s v=""/>
    <x v="1"/>
    <x v="0"/>
  </r>
  <r>
    <n v="69195622129"/>
    <n v="312"/>
    <x v="30"/>
    <s v=""/>
    <x v="1"/>
    <x v="0"/>
  </r>
  <r>
    <n v="38155186358"/>
    <n v="332"/>
    <x v="30"/>
    <s v=""/>
    <x v="1"/>
    <x v="0"/>
  </r>
  <r>
    <n v="14162203218"/>
    <n v="336"/>
    <x v="30"/>
    <s v=""/>
    <x v="1"/>
    <x v="0"/>
  </r>
  <r>
    <n v="14506369237"/>
    <n v="1"/>
    <x v="31"/>
    <d v="2034-10-14T00:00:00"/>
    <x v="1"/>
    <x v="5"/>
  </r>
  <r>
    <n v="75278138310"/>
    <n v="5"/>
    <x v="31"/>
    <d v="2034-10-17T00:00:00"/>
    <x v="1"/>
    <x v="5"/>
  </r>
  <r>
    <n v="33055692727"/>
    <n v="17"/>
    <x v="31"/>
    <s v=""/>
    <x v="1"/>
    <x v="0"/>
  </r>
  <r>
    <n v="55651533536"/>
    <n v="39"/>
    <x v="31"/>
    <m/>
    <x v="1"/>
    <x v="0"/>
  </r>
  <r>
    <n v="73482366047"/>
    <n v="43"/>
    <x v="31"/>
    <s v=""/>
    <x v="1"/>
    <x v="0"/>
  </r>
  <r>
    <n v="95890894836"/>
    <n v="47"/>
    <x v="31"/>
    <s v=""/>
    <x v="1"/>
    <x v="0"/>
  </r>
  <r>
    <n v="48698908159"/>
    <n v="49"/>
    <x v="31"/>
    <s v=""/>
    <x v="1"/>
    <x v="0"/>
  </r>
  <r>
    <n v="68199923393"/>
    <n v="53"/>
    <x v="31"/>
    <s v=""/>
    <x v="1"/>
    <x v="0"/>
  </r>
  <r>
    <n v="29465609449"/>
    <n v="57"/>
    <x v="31"/>
    <m/>
    <x v="1"/>
    <x v="0"/>
  </r>
  <r>
    <n v="31183270027"/>
    <n v="96"/>
    <x v="31"/>
    <m/>
    <x v="1"/>
    <x v="0"/>
  </r>
  <r>
    <n v="82209764401"/>
    <n v="130"/>
    <x v="31"/>
    <s v=""/>
    <x v="1"/>
    <x v="0"/>
  </r>
  <r>
    <n v="24331051008"/>
    <n v="136"/>
    <x v="31"/>
    <s v=""/>
    <x v="1"/>
    <x v="0"/>
  </r>
  <r>
    <n v="11898312281"/>
    <n v="137"/>
    <x v="31"/>
    <d v="2034-09-03T00:00:00"/>
    <x v="1"/>
    <x v="3"/>
  </r>
  <r>
    <n v="87078594163"/>
    <n v="156"/>
    <x v="31"/>
    <d v="2034-10-01T00:00:00"/>
    <x v="1"/>
    <x v="5"/>
  </r>
  <r>
    <n v="55898908290"/>
    <n v="164"/>
    <x v="31"/>
    <s v=""/>
    <x v="1"/>
    <x v="0"/>
  </r>
  <r>
    <n v="30932071097"/>
    <n v="195"/>
    <x v="31"/>
    <s v=""/>
    <x v="1"/>
    <x v="0"/>
  </r>
  <r>
    <n v="76676708268"/>
    <n v="199"/>
    <x v="31"/>
    <s v=""/>
    <x v="1"/>
    <x v="0"/>
  </r>
  <r>
    <n v="88583341190"/>
    <n v="200"/>
    <x v="31"/>
    <s v=""/>
    <x v="1"/>
    <x v="0"/>
  </r>
  <r>
    <n v="14278083367"/>
    <n v="253"/>
    <x v="31"/>
    <m/>
    <x v="1"/>
    <x v="0"/>
  </r>
  <r>
    <n v="44728123168"/>
    <n v="272"/>
    <x v="31"/>
    <d v="2034-10-28T00:00:00"/>
    <x v="1"/>
    <x v="5"/>
  </r>
  <r>
    <n v="36571233624"/>
    <n v="280"/>
    <x v="31"/>
    <m/>
    <x v="1"/>
    <x v="0"/>
  </r>
  <r>
    <n v="17294567116"/>
    <n v="286"/>
    <x v="31"/>
    <d v="2034-07-09T00:00:00"/>
    <x v="1"/>
    <x v="2"/>
  </r>
  <r>
    <n v="62715446958"/>
    <n v="329"/>
    <x v="31"/>
    <m/>
    <x v="1"/>
    <x v="0"/>
  </r>
  <r>
    <n v="21152426434"/>
    <n v="335"/>
    <x v="31"/>
    <s v=""/>
    <x v="1"/>
    <x v="0"/>
  </r>
  <r>
    <n v="71051588983"/>
    <n v="22"/>
    <x v="32"/>
    <d v="2034-10-11T00:00:00"/>
    <x v="1"/>
    <x v="5"/>
  </r>
  <r>
    <n v="63866622804"/>
    <n v="27"/>
    <x v="32"/>
    <d v="2034-08-10T00:00:00"/>
    <x v="1"/>
    <x v="4"/>
  </r>
  <r>
    <n v="80684223971"/>
    <n v="28"/>
    <x v="32"/>
    <m/>
    <x v="1"/>
    <x v="0"/>
  </r>
  <r>
    <n v="87648209992"/>
    <n v="42"/>
    <x v="32"/>
    <s v=""/>
    <x v="1"/>
    <x v="0"/>
  </r>
  <r>
    <n v="13317253263"/>
    <n v="50"/>
    <x v="32"/>
    <s v=""/>
    <x v="1"/>
    <x v="0"/>
  </r>
  <r>
    <n v="99978378492"/>
    <n v="50"/>
    <x v="32"/>
    <m/>
    <x v="1"/>
    <x v="0"/>
  </r>
  <r>
    <n v="82427963656"/>
    <n v="52"/>
    <x v="32"/>
    <s v=""/>
    <x v="1"/>
    <x v="0"/>
  </r>
  <r>
    <n v="84435766652"/>
    <n v="96"/>
    <x v="32"/>
    <d v="2034-10-22T00:00:00"/>
    <x v="1"/>
    <x v="5"/>
  </r>
  <r>
    <n v="35427365921"/>
    <n v="106"/>
    <x v="32"/>
    <s v=""/>
    <x v="1"/>
    <x v="0"/>
  </r>
  <r>
    <n v="19748476661"/>
    <n v="131"/>
    <x v="32"/>
    <d v="2034-09-06T00:00:00"/>
    <x v="1"/>
    <x v="3"/>
  </r>
  <r>
    <n v="75773453186"/>
    <n v="139"/>
    <x v="32"/>
    <s v=""/>
    <x v="1"/>
    <x v="0"/>
  </r>
  <r>
    <n v="20793290391"/>
    <n v="141"/>
    <x v="32"/>
    <d v="2034-08-19T00:00:00"/>
    <x v="1"/>
    <x v="4"/>
  </r>
  <r>
    <n v="60035900277"/>
    <n v="144"/>
    <x v="32"/>
    <s v=""/>
    <x v="1"/>
    <x v="0"/>
  </r>
  <r>
    <n v="38262429586"/>
    <n v="156"/>
    <x v="32"/>
    <s v=""/>
    <x v="1"/>
    <x v="0"/>
  </r>
  <r>
    <n v="40807810151"/>
    <n v="181"/>
    <x v="32"/>
    <s v=""/>
    <x v="1"/>
    <x v="0"/>
  </r>
  <r>
    <n v="81690402837"/>
    <n v="199"/>
    <x v="32"/>
    <d v="2034-10-22T00:00:00"/>
    <x v="1"/>
    <x v="5"/>
  </r>
  <r>
    <n v="87707724896"/>
    <n v="237"/>
    <x v="32"/>
    <s v=""/>
    <x v="1"/>
    <x v="0"/>
  </r>
  <r>
    <n v="57781674671"/>
    <n v="246"/>
    <x v="32"/>
    <d v="2034-07-08T00:00:00"/>
    <x v="1"/>
    <x v="2"/>
  </r>
  <r>
    <n v="22204674324"/>
    <n v="277"/>
    <x v="32"/>
    <s v=""/>
    <x v="1"/>
    <x v="0"/>
  </r>
  <r>
    <n v="39382682676"/>
    <n v="283"/>
    <x v="32"/>
    <m/>
    <x v="1"/>
    <x v="0"/>
  </r>
  <r>
    <n v="49939236227"/>
    <n v="288"/>
    <x v="32"/>
    <s v=""/>
    <x v="1"/>
    <x v="0"/>
  </r>
  <r>
    <n v="33727478211"/>
    <n v="296"/>
    <x v="32"/>
    <s v=""/>
    <x v="1"/>
    <x v="0"/>
  </r>
  <r>
    <n v="18570918924"/>
    <n v="305"/>
    <x v="32"/>
    <d v="2034-09-06T00:00:00"/>
    <x v="1"/>
    <x v="3"/>
  </r>
  <r>
    <n v="94339233802"/>
    <n v="313"/>
    <x v="32"/>
    <d v="2034-07-06T00:00:00"/>
    <x v="1"/>
    <x v="2"/>
  </r>
  <r>
    <n v="58119032587"/>
    <n v="320"/>
    <x v="32"/>
    <s v=""/>
    <x v="1"/>
    <x v="0"/>
  </r>
  <r>
    <n v="64102121145"/>
    <n v="335"/>
    <x v="32"/>
    <s v=""/>
    <x v="1"/>
    <x v="0"/>
  </r>
  <r>
    <n v="22001153346"/>
    <n v="11"/>
    <x v="33"/>
    <s v=""/>
    <x v="1"/>
    <x v="0"/>
  </r>
  <r>
    <n v="15233929936"/>
    <n v="25"/>
    <x v="33"/>
    <d v="2034-10-12T00:00:00"/>
    <x v="1"/>
    <x v="5"/>
  </r>
  <r>
    <n v="36360576085"/>
    <n v="48"/>
    <x v="33"/>
    <s v=""/>
    <x v="1"/>
    <x v="0"/>
  </r>
  <r>
    <n v="94880719426"/>
    <n v="54"/>
    <x v="33"/>
    <s v=""/>
    <x v="1"/>
    <x v="0"/>
  </r>
  <r>
    <n v="54620706745"/>
    <n v="55"/>
    <x v="33"/>
    <s v=""/>
    <x v="1"/>
    <x v="0"/>
  </r>
  <r>
    <n v="15335905269"/>
    <n v="85"/>
    <x v="33"/>
    <m/>
    <x v="1"/>
    <x v="0"/>
  </r>
  <r>
    <n v="48725289104"/>
    <n v="88"/>
    <x v="33"/>
    <s v=""/>
    <x v="1"/>
    <x v="0"/>
  </r>
  <r>
    <n v="94864439735"/>
    <n v="102"/>
    <x v="33"/>
    <d v="2034-09-13T00:00:00"/>
    <x v="1"/>
    <x v="3"/>
  </r>
  <r>
    <n v="63931672081"/>
    <n v="103"/>
    <x v="33"/>
    <d v="2034-08-19T00:00:00"/>
    <x v="1"/>
    <x v="4"/>
  </r>
  <r>
    <n v="90471655199"/>
    <n v="105"/>
    <x v="33"/>
    <s v=""/>
    <x v="1"/>
    <x v="0"/>
  </r>
  <r>
    <n v="36591141070"/>
    <n v="115"/>
    <x v="33"/>
    <d v="2034-09-20T00:00:00"/>
    <x v="1"/>
    <x v="3"/>
  </r>
  <r>
    <n v="24965621616"/>
    <n v="142"/>
    <x v="33"/>
    <s v=""/>
    <x v="1"/>
    <x v="0"/>
  </r>
  <r>
    <n v="85202821059"/>
    <n v="157"/>
    <x v="33"/>
    <d v="2034-07-05T00:00:00"/>
    <x v="1"/>
    <x v="2"/>
  </r>
  <r>
    <n v="63743097516"/>
    <n v="163"/>
    <x v="33"/>
    <m/>
    <x v="1"/>
    <x v="0"/>
  </r>
  <r>
    <n v="61676886514"/>
    <n v="163"/>
    <x v="33"/>
    <s v=""/>
    <x v="1"/>
    <x v="0"/>
  </r>
  <r>
    <n v="69588527557"/>
    <n v="171"/>
    <x v="33"/>
    <m/>
    <x v="1"/>
    <x v="0"/>
  </r>
  <r>
    <n v="97186100003"/>
    <n v="173"/>
    <x v="33"/>
    <m/>
    <x v="1"/>
    <x v="0"/>
  </r>
  <r>
    <n v="31475179914"/>
    <n v="180"/>
    <x v="33"/>
    <s v=""/>
    <x v="1"/>
    <x v="0"/>
  </r>
  <r>
    <n v="40596272278"/>
    <n v="180"/>
    <x v="33"/>
    <m/>
    <x v="1"/>
    <x v="0"/>
  </r>
  <r>
    <n v="99027420975"/>
    <n v="216"/>
    <x v="33"/>
    <m/>
    <x v="1"/>
    <x v="0"/>
  </r>
  <r>
    <n v="53465157692"/>
    <n v="227"/>
    <x v="33"/>
    <s v=""/>
    <x v="1"/>
    <x v="0"/>
  </r>
  <r>
    <n v="38677598171"/>
    <n v="232"/>
    <x v="33"/>
    <s v=""/>
    <x v="1"/>
    <x v="0"/>
  </r>
  <r>
    <n v="22357882899"/>
    <n v="245"/>
    <x v="33"/>
    <s v=""/>
    <x v="1"/>
    <x v="0"/>
  </r>
  <r>
    <n v="60093542683"/>
    <n v="246"/>
    <x v="33"/>
    <m/>
    <x v="1"/>
    <x v="0"/>
  </r>
  <r>
    <n v="76674842828"/>
    <n v="248"/>
    <x v="33"/>
    <m/>
    <x v="1"/>
    <x v="0"/>
  </r>
  <r>
    <n v="44103956387"/>
    <n v="251"/>
    <x v="33"/>
    <d v="2034-09-11T00:00:00"/>
    <x v="1"/>
    <x v="3"/>
  </r>
  <r>
    <n v="31056433940"/>
    <n v="272"/>
    <x v="33"/>
    <s v=""/>
    <x v="1"/>
    <x v="0"/>
  </r>
  <r>
    <n v="97138491934"/>
    <n v="280"/>
    <x v="33"/>
    <m/>
    <x v="1"/>
    <x v="0"/>
  </r>
  <r>
    <n v="70142518678"/>
    <n v="308"/>
    <x v="33"/>
    <m/>
    <x v="1"/>
    <x v="0"/>
  </r>
  <r>
    <n v="48379156255"/>
    <n v="308"/>
    <x v="33"/>
    <s v=""/>
    <x v="1"/>
    <x v="0"/>
  </r>
  <r>
    <n v="94436566573"/>
    <n v="327"/>
    <x v="33"/>
    <s v=""/>
    <x v="1"/>
    <x v="0"/>
  </r>
  <r>
    <n v="28155667999"/>
    <n v="335"/>
    <x v="33"/>
    <s v=""/>
    <x v="1"/>
    <x v="0"/>
  </r>
  <r>
    <n v="24526886618"/>
    <n v="336"/>
    <x v="33"/>
    <d v="2034-07-13T00:00:00"/>
    <x v="1"/>
    <x v="2"/>
  </r>
  <r>
    <n v="82666800824"/>
    <n v="29"/>
    <x v="34"/>
    <s v=""/>
    <x v="1"/>
    <x v="0"/>
  </r>
  <r>
    <n v="23036646766"/>
    <n v="41"/>
    <x v="34"/>
    <s v=""/>
    <x v="1"/>
    <x v="0"/>
  </r>
  <r>
    <n v="65668948194"/>
    <n v="41"/>
    <x v="34"/>
    <d v="2034-10-28T00:00:00"/>
    <x v="1"/>
    <x v="5"/>
  </r>
  <r>
    <n v="18964842667"/>
    <n v="53"/>
    <x v="34"/>
    <s v=""/>
    <x v="1"/>
    <x v="0"/>
  </r>
  <r>
    <n v="61045719788"/>
    <n v="63"/>
    <x v="34"/>
    <s v=""/>
    <x v="1"/>
    <x v="0"/>
  </r>
  <r>
    <n v="99698481153"/>
    <n v="71"/>
    <x v="34"/>
    <m/>
    <x v="1"/>
    <x v="0"/>
  </r>
  <r>
    <n v="22332102375"/>
    <n v="71"/>
    <x v="34"/>
    <s v=""/>
    <x v="1"/>
    <x v="0"/>
  </r>
  <r>
    <n v="33390716518"/>
    <n v="87"/>
    <x v="34"/>
    <s v=""/>
    <x v="1"/>
    <x v="0"/>
  </r>
  <r>
    <n v="94683463154"/>
    <n v="93"/>
    <x v="34"/>
    <m/>
    <x v="1"/>
    <x v="0"/>
  </r>
  <r>
    <n v="45476578092"/>
    <n v="111"/>
    <x v="34"/>
    <s v=""/>
    <x v="1"/>
    <x v="0"/>
  </r>
  <r>
    <n v="68059835764"/>
    <n v="112"/>
    <x v="34"/>
    <m/>
    <x v="1"/>
    <x v="0"/>
  </r>
  <r>
    <n v="56420121290"/>
    <n v="129"/>
    <x v="34"/>
    <s v=""/>
    <x v="1"/>
    <x v="0"/>
  </r>
  <r>
    <n v="89791861202"/>
    <n v="146"/>
    <x v="34"/>
    <s v=""/>
    <x v="1"/>
    <x v="0"/>
  </r>
  <r>
    <n v="16567254715"/>
    <n v="164"/>
    <x v="34"/>
    <d v="2034-08-25T00:00:00"/>
    <x v="1"/>
    <x v="4"/>
  </r>
  <r>
    <n v="62722648617"/>
    <n v="190"/>
    <x v="34"/>
    <s v=""/>
    <x v="1"/>
    <x v="0"/>
  </r>
  <r>
    <n v="11159722480"/>
    <n v="196"/>
    <x v="34"/>
    <d v="2034-07-29T00:00:00"/>
    <x v="1"/>
    <x v="2"/>
  </r>
  <r>
    <n v="21141488862"/>
    <n v="213"/>
    <x v="34"/>
    <s v=""/>
    <x v="1"/>
    <x v="0"/>
  </r>
  <r>
    <n v="21698082799"/>
    <n v="218"/>
    <x v="34"/>
    <s v=""/>
    <x v="1"/>
    <x v="0"/>
  </r>
  <r>
    <n v="52470133794"/>
    <n v="224"/>
    <x v="34"/>
    <s v=""/>
    <x v="1"/>
    <x v="0"/>
  </r>
  <r>
    <n v="90535474327"/>
    <n v="245"/>
    <x v="34"/>
    <d v="2034-10-30T00:00:00"/>
    <x v="1"/>
    <x v="5"/>
  </r>
  <r>
    <n v="90729927642"/>
    <n v="303"/>
    <x v="34"/>
    <s v=""/>
    <x v="1"/>
    <x v="0"/>
  </r>
  <r>
    <n v="52487021382"/>
    <n v="305"/>
    <x v="34"/>
    <s v=""/>
    <x v="1"/>
    <x v="0"/>
  </r>
  <r>
    <n v="34862733445"/>
    <n v="308"/>
    <x v="34"/>
    <s v=""/>
    <x v="1"/>
    <x v="0"/>
  </r>
  <r>
    <n v="31650006791"/>
    <n v="322"/>
    <x v="34"/>
    <s v=""/>
    <x v="1"/>
    <x v="0"/>
  </r>
  <r>
    <n v="18309119852"/>
    <n v="2"/>
    <x v="35"/>
    <m/>
    <x v="1"/>
    <x v="0"/>
  </r>
  <r>
    <n v="48555402208"/>
    <n v="21"/>
    <x v="35"/>
    <s v=""/>
    <x v="1"/>
    <x v="0"/>
  </r>
  <r>
    <n v="42097405825"/>
    <n v="31"/>
    <x v="35"/>
    <s v=""/>
    <x v="1"/>
    <x v="0"/>
  </r>
  <r>
    <n v="66110010656"/>
    <n v="62"/>
    <x v="35"/>
    <d v="2034-07-28T00:00:00"/>
    <x v="1"/>
    <x v="2"/>
  </r>
  <r>
    <n v="31729892548"/>
    <n v="64"/>
    <x v="35"/>
    <m/>
    <x v="1"/>
    <x v="0"/>
  </r>
  <r>
    <n v="68638272032"/>
    <n v="70"/>
    <x v="35"/>
    <d v="2034-07-26T00:00:00"/>
    <x v="1"/>
    <x v="2"/>
  </r>
  <r>
    <n v="77613531944"/>
    <n v="83"/>
    <x v="35"/>
    <s v=""/>
    <x v="1"/>
    <x v="0"/>
  </r>
  <r>
    <n v="57037112020"/>
    <n v="85"/>
    <x v="35"/>
    <m/>
    <x v="1"/>
    <x v="0"/>
  </r>
  <r>
    <n v="62417887438"/>
    <n v="88"/>
    <x v="35"/>
    <d v="2034-08-17T00:00:00"/>
    <x v="1"/>
    <x v="4"/>
  </r>
  <r>
    <n v="22129529237"/>
    <n v="103"/>
    <x v="35"/>
    <s v=""/>
    <x v="1"/>
    <x v="0"/>
  </r>
  <r>
    <n v="21958648234"/>
    <n v="120"/>
    <x v="35"/>
    <s v=""/>
    <x v="1"/>
    <x v="0"/>
  </r>
  <r>
    <n v="85619274560"/>
    <n v="125"/>
    <x v="35"/>
    <s v=""/>
    <x v="1"/>
    <x v="0"/>
  </r>
  <r>
    <n v="81195357353"/>
    <n v="128"/>
    <x v="35"/>
    <s v=""/>
    <x v="1"/>
    <x v="0"/>
  </r>
  <r>
    <n v="45720043231"/>
    <n v="175"/>
    <x v="35"/>
    <s v=""/>
    <x v="1"/>
    <x v="0"/>
  </r>
  <r>
    <n v="88073394775"/>
    <n v="189"/>
    <x v="35"/>
    <m/>
    <x v="1"/>
    <x v="0"/>
  </r>
  <r>
    <n v="85290612906"/>
    <n v="193"/>
    <x v="35"/>
    <s v=""/>
    <x v="1"/>
    <x v="0"/>
  </r>
  <r>
    <n v="46173520385"/>
    <n v="195"/>
    <x v="35"/>
    <s v=""/>
    <x v="1"/>
    <x v="0"/>
  </r>
  <r>
    <n v="12975982717"/>
    <n v="213"/>
    <x v="35"/>
    <s v=""/>
    <x v="1"/>
    <x v="0"/>
  </r>
  <r>
    <n v="86578442466"/>
    <n v="230"/>
    <x v="35"/>
    <d v="2034-09-21T00:00:00"/>
    <x v="1"/>
    <x v="3"/>
  </r>
  <r>
    <n v="22003807183"/>
    <n v="233"/>
    <x v="35"/>
    <s v=""/>
    <x v="1"/>
    <x v="0"/>
  </r>
  <r>
    <n v="47138136788"/>
    <n v="242"/>
    <x v="35"/>
    <s v=""/>
    <x v="1"/>
    <x v="0"/>
  </r>
  <r>
    <n v="75696909250"/>
    <n v="247"/>
    <x v="35"/>
    <s v=""/>
    <x v="1"/>
    <x v="0"/>
  </r>
  <r>
    <n v="60783752189"/>
    <n v="259"/>
    <x v="35"/>
    <s v=""/>
    <x v="1"/>
    <x v="0"/>
  </r>
  <r>
    <n v="24605368133"/>
    <n v="265"/>
    <x v="35"/>
    <s v=""/>
    <x v="1"/>
    <x v="0"/>
  </r>
  <r>
    <n v="16344182084"/>
    <n v="288"/>
    <x v="35"/>
    <s v=""/>
    <x v="1"/>
    <x v="0"/>
  </r>
  <r>
    <n v="78223769377"/>
    <n v="291"/>
    <x v="35"/>
    <m/>
    <x v="1"/>
    <x v="0"/>
  </r>
  <r>
    <n v="21028790392"/>
    <n v="306"/>
    <x v="35"/>
    <s v=""/>
    <x v="1"/>
    <x v="0"/>
  </r>
  <r>
    <n v="23669274576"/>
    <n v="43"/>
    <x v="36"/>
    <s v=""/>
    <x v="1"/>
    <x v="0"/>
  </r>
  <r>
    <n v="22271397748"/>
    <n v="55"/>
    <x v="36"/>
    <s v=""/>
    <x v="1"/>
    <x v="0"/>
  </r>
  <r>
    <n v="61531224712"/>
    <n v="57"/>
    <x v="36"/>
    <s v=""/>
    <x v="1"/>
    <x v="0"/>
  </r>
  <r>
    <n v="49498180410"/>
    <n v="86"/>
    <x v="36"/>
    <d v="2034-08-01T00:00:00"/>
    <x v="1"/>
    <x v="4"/>
  </r>
  <r>
    <n v="20176583884"/>
    <n v="104"/>
    <x v="36"/>
    <m/>
    <x v="1"/>
    <x v="0"/>
  </r>
  <r>
    <n v="22905130306"/>
    <n v="115"/>
    <x v="36"/>
    <s v=""/>
    <x v="1"/>
    <x v="0"/>
  </r>
  <r>
    <n v="85036881962"/>
    <n v="133"/>
    <x v="36"/>
    <s v=""/>
    <x v="1"/>
    <x v="0"/>
  </r>
  <r>
    <n v="27699207440"/>
    <n v="151"/>
    <x v="36"/>
    <s v=""/>
    <x v="1"/>
    <x v="0"/>
  </r>
  <r>
    <n v="58673124694"/>
    <n v="176"/>
    <x v="36"/>
    <s v=""/>
    <x v="1"/>
    <x v="0"/>
  </r>
  <r>
    <n v="68636625831"/>
    <n v="194"/>
    <x v="36"/>
    <s v=""/>
    <x v="1"/>
    <x v="0"/>
  </r>
  <r>
    <n v="59019403496"/>
    <n v="224"/>
    <x v="36"/>
    <s v=""/>
    <x v="1"/>
    <x v="0"/>
  </r>
  <r>
    <n v="87082985068"/>
    <n v="254"/>
    <x v="36"/>
    <s v=""/>
    <x v="1"/>
    <x v="0"/>
  </r>
  <r>
    <n v="82306968127"/>
    <n v="263"/>
    <x v="36"/>
    <s v=""/>
    <x v="1"/>
    <x v="0"/>
  </r>
  <r>
    <n v="50436319128"/>
    <n v="274"/>
    <x v="36"/>
    <s v=""/>
    <x v="1"/>
    <x v="0"/>
  </r>
  <r>
    <n v="30828925618"/>
    <n v="277"/>
    <x v="36"/>
    <m/>
    <x v="1"/>
    <x v="0"/>
  </r>
  <r>
    <n v="42724275731"/>
    <n v="292"/>
    <x v="36"/>
    <d v="2034-08-22T00:00:00"/>
    <x v="1"/>
    <x v="4"/>
  </r>
  <r>
    <n v="40333280688"/>
    <n v="322"/>
    <x v="36"/>
    <s v=""/>
    <x v="1"/>
    <x v="0"/>
  </r>
  <r>
    <n v="84483655090"/>
    <n v="329"/>
    <x v="36"/>
    <s v=""/>
    <x v="1"/>
    <x v="0"/>
  </r>
  <r>
    <n v="62183462776"/>
    <n v="335"/>
    <x v="36"/>
    <d v="2034-07-17T00:00:00"/>
    <x v="1"/>
    <x v="2"/>
  </r>
  <r>
    <n v="62262752475"/>
    <n v="0"/>
    <x v="37"/>
    <m/>
    <x v="1"/>
    <x v="0"/>
  </r>
  <r>
    <n v="16926845395"/>
    <n v="2"/>
    <x v="37"/>
    <d v="2034-07-15T00:00:00"/>
    <x v="1"/>
    <x v="2"/>
  </r>
  <r>
    <n v="44594633412"/>
    <n v="16"/>
    <x v="37"/>
    <m/>
    <x v="1"/>
    <x v="0"/>
  </r>
  <r>
    <n v="54575637391"/>
    <n v="29"/>
    <x v="37"/>
    <s v=""/>
    <x v="1"/>
    <x v="0"/>
  </r>
  <r>
    <n v="62150858125"/>
    <n v="34"/>
    <x v="37"/>
    <s v=""/>
    <x v="1"/>
    <x v="0"/>
  </r>
  <r>
    <n v="22090934788"/>
    <n v="55"/>
    <x v="37"/>
    <s v=""/>
    <x v="1"/>
    <x v="0"/>
  </r>
  <r>
    <n v="55042282942"/>
    <n v="78"/>
    <x v="37"/>
    <m/>
    <x v="1"/>
    <x v="0"/>
  </r>
  <r>
    <n v="78847698496"/>
    <n v="80"/>
    <x v="37"/>
    <m/>
    <x v="1"/>
    <x v="0"/>
  </r>
  <r>
    <n v="86699548216"/>
    <n v="94"/>
    <x v="37"/>
    <s v=""/>
    <x v="1"/>
    <x v="0"/>
  </r>
  <r>
    <n v="77920343068"/>
    <n v="101"/>
    <x v="37"/>
    <s v=""/>
    <x v="1"/>
    <x v="0"/>
  </r>
  <r>
    <n v="58972175437"/>
    <n v="105"/>
    <x v="37"/>
    <d v="2034-08-22T00:00:00"/>
    <x v="1"/>
    <x v="4"/>
  </r>
  <r>
    <n v="81138136040"/>
    <n v="119"/>
    <x v="37"/>
    <d v="2034-10-02T00:00:00"/>
    <x v="1"/>
    <x v="5"/>
  </r>
  <r>
    <n v="50637120097"/>
    <n v="128"/>
    <x v="37"/>
    <d v="2034-10-06T00:00:00"/>
    <x v="1"/>
    <x v="5"/>
  </r>
  <r>
    <n v="71757309240"/>
    <n v="134"/>
    <x v="37"/>
    <d v="2034-09-15T00:00:00"/>
    <x v="1"/>
    <x v="3"/>
  </r>
  <r>
    <n v="52383226822"/>
    <n v="147"/>
    <x v="37"/>
    <s v=""/>
    <x v="1"/>
    <x v="0"/>
  </r>
  <r>
    <n v="16260923814"/>
    <n v="148"/>
    <x v="37"/>
    <d v="2034-09-02T00:00:00"/>
    <x v="1"/>
    <x v="3"/>
  </r>
  <r>
    <n v="91607117949"/>
    <n v="171"/>
    <x v="37"/>
    <s v=""/>
    <x v="1"/>
    <x v="0"/>
  </r>
  <r>
    <n v="22827388681"/>
    <n v="175"/>
    <x v="37"/>
    <s v=""/>
    <x v="1"/>
    <x v="0"/>
  </r>
  <r>
    <n v="49227941318"/>
    <n v="175"/>
    <x v="37"/>
    <s v=""/>
    <x v="1"/>
    <x v="0"/>
  </r>
  <r>
    <n v="52174283643"/>
    <n v="197"/>
    <x v="37"/>
    <s v=""/>
    <x v="1"/>
    <x v="0"/>
  </r>
  <r>
    <n v="44995671139"/>
    <n v="199"/>
    <x v="37"/>
    <s v=""/>
    <x v="1"/>
    <x v="0"/>
  </r>
  <r>
    <n v="83769435455"/>
    <n v="222"/>
    <x v="37"/>
    <s v=""/>
    <x v="1"/>
    <x v="0"/>
  </r>
  <r>
    <n v="45424381867"/>
    <n v="225"/>
    <x v="37"/>
    <s v=""/>
    <x v="1"/>
    <x v="0"/>
  </r>
  <r>
    <n v="13838408173"/>
    <n v="246"/>
    <x v="37"/>
    <s v=""/>
    <x v="1"/>
    <x v="0"/>
  </r>
  <r>
    <n v="82960452603"/>
    <n v="251"/>
    <x v="37"/>
    <s v=""/>
    <x v="1"/>
    <x v="0"/>
  </r>
  <r>
    <n v="91286865856"/>
    <n v="272"/>
    <x v="37"/>
    <m/>
    <x v="1"/>
    <x v="0"/>
  </r>
  <r>
    <n v="88517856199"/>
    <n v="287"/>
    <x v="37"/>
    <s v=""/>
    <x v="1"/>
    <x v="0"/>
  </r>
  <r>
    <n v="41103930963"/>
    <n v="309"/>
    <x v="37"/>
    <s v=""/>
    <x v="1"/>
    <x v="0"/>
  </r>
  <r>
    <n v="13875750654"/>
    <n v="312"/>
    <x v="37"/>
    <s v=""/>
    <x v="1"/>
    <x v="0"/>
  </r>
  <r>
    <n v="24802891281"/>
    <n v="312"/>
    <x v="37"/>
    <s v=""/>
    <x v="1"/>
    <x v="0"/>
  </r>
  <r>
    <n v="18623904439"/>
    <n v="314"/>
    <x v="37"/>
    <s v=""/>
    <x v="1"/>
    <x v="0"/>
  </r>
  <r>
    <n v="37591518620"/>
    <n v="7"/>
    <x v="38"/>
    <s v=""/>
    <x v="1"/>
    <x v="0"/>
  </r>
  <r>
    <n v="34476751574"/>
    <n v="9"/>
    <x v="38"/>
    <s v=""/>
    <x v="1"/>
    <x v="0"/>
  </r>
  <r>
    <n v="44468146119"/>
    <n v="21"/>
    <x v="38"/>
    <s v=""/>
    <x v="1"/>
    <x v="0"/>
  </r>
  <r>
    <n v="56255613067"/>
    <n v="33"/>
    <x v="38"/>
    <s v=""/>
    <x v="1"/>
    <x v="0"/>
  </r>
  <r>
    <n v="42454624438"/>
    <n v="59"/>
    <x v="38"/>
    <d v="2034-10-21T00:00:00"/>
    <x v="1"/>
    <x v="5"/>
  </r>
  <r>
    <n v="32144073033"/>
    <n v="72"/>
    <x v="38"/>
    <s v=""/>
    <x v="1"/>
    <x v="0"/>
  </r>
  <r>
    <n v="40417023839"/>
    <n v="84"/>
    <x v="38"/>
    <s v=""/>
    <x v="1"/>
    <x v="0"/>
  </r>
  <r>
    <n v="72163524340"/>
    <n v="87"/>
    <x v="38"/>
    <d v="2034-08-14T00:00:00"/>
    <x v="1"/>
    <x v="4"/>
  </r>
  <r>
    <n v="75108870050"/>
    <n v="94"/>
    <x v="38"/>
    <d v="2034-07-28T00:00:00"/>
    <x v="1"/>
    <x v="2"/>
  </r>
  <r>
    <n v="66198245667"/>
    <n v="112"/>
    <x v="38"/>
    <m/>
    <x v="1"/>
    <x v="0"/>
  </r>
  <r>
    <n v="34072182090"/>
    <n v="123"/>
    <x v="38"/>
    <s v=""/>
    <x v="1"/>
    <x v="0"/>
  </r>
  <r>
    <n v="76659416746"/>
    <n v="128"/>
    <x v="38"/>
    <s v=""/>
    <x v="1"/>
    <x v="0"/>
  </r>
  <r>
    <n v="16991618458"/>
    <n v="134"/>
    <x v="38"/>
    <m/>
    <x v="1"/>
    <x v="0"/>
  </r>
  <r>
    <n v="31012749168"/>
    <n v="176"/>
    <x v="38"/>
    <d v="2034-08-12T00:00:00"/>
    <x v="1"/>
    <x v="4"/>
  </r>
  <r>
    <n v="64020627936"/>
    <n v="183"/>
    <x v="38"/>
    <m/>
    <x v="1"/>
    <x v="0"/>
  </r>
  <r>
    <n v="26717890557"/>
    <n v="199"/>
    <x v="38"/>
    <s v=""/>
    <x v="1"/>
    <x v="0"/>
  </r>
  <r>
    <n v="19910644693"/>
    <n v="223"/>
    <x v="38"/>
    <s v=""/>
    <x v="1"/>
    <x v="0"/>
  </r>
  <r>
    <n v="32163862809"/>
    <n v="227"/>
    <x v="38"/>
    <s v=""/>
    <x v="1"/>
    <x v="0"/>
  </r>
  <r>
    <n v="59813379210"/>
    <n v="252"/>
    <x v="38"/>
    <d v="2034-07-31T00:00:00"/>
    <x v="1"/>
    <x v="2"/>
  </r>
  <r>
    <n v="63171219880"/>
    <n v="272"/>
    <x v="38"/>
    <m/>
    <x v="1"/>
    <x v="0"/>
  </r>
  <r>
    <n v="37360204114"/>
    <n v="309"/>
    <x v="38"/>
    <m/>
    <x v="1"/>
    <x v="0"/>
  </r>
  <r>
    <n v="65124752809"/>
    <n v="320"/>
    <x v="38"/>
    <s v=""/>
    <x v="1"/>
    <x v="0"/>
  </r>
  <r>
    <n v="83052916050"/>
    <n v="330"/>
    <x v="38"/>
    <s v=""/>
    <x v="1"/>
    <x v="0"/>
  </r>
  <r>
    <n v="87080665474"/>
    <n v="11"/>
    <x v="39"/>
    <s v=""/>
    <x v="1"/>
    <x v="0"/>
  </r>
  <r>
    <n v="88012195650"/>
    <n v="12"/>
    <x v="39"/>
    <s v=""/>
    <x v="1"/>
    <x v="0"/>
  </r>
  <r>
    <n v="57323006821"/>
    <n v="14"/>
    <x v="39"/>
    <s v=""/>
    <x v="1"/>
    <x v="0"/>
  </r>
  <r>
    <n v="93063582676"/>
    <n v="23"/>
    <x v="39"/>
    <s v=""/>
    <x v="1"/>
    <x v="0"/>
  </r>
  <r>
    <n v="28552881712"/>
    <n v="24"/>
    <x v="39"/>
    <s v=""/>
    <x v="1"/>
    <x v="0"/>
  </r>
  <r>
    <n v="40370179477"/>
    <n v="25"/>
    <x v="39"/>
    <m/>
    <x v="1"/>
    <x v="0"/>
  </r>
  <r>
    <n v="60075197162"/>
    <n v="36"/>
    <x v="39"/>
    <d v="2034-10-02T00:00:00"/>
    <x v="1"/>
    <x v="5"/>
  </r>
  <r>
    <n v="11980143407"/>
    <n v="45"/>
    <x v="39"/>
    <d v="2034-07-16T00:00:00"/>
    <x v="1"/>
    <x v="2"/>
  </r>
  <r>
    <n v="84381747810"/>
    <n v="53"/>
    <x v="39"/>
    <d v="2034-09-06T00:00:00"/>
    <x v="1"/>
    <x v="3"/>
  </r>
  <r>
    <n v="72485336065"/>
    <n v="66"/>
    <x v="39"/>
    <s v=""/>
    <x v="1"/>
    <x v="0"/>
  </r>
  <r>
    <n v="87903203875"/>
    <n v="68"/>
    <x v="39"/>
    <s v=""/>
    <x v="1"/>
    <x v="0"/>
  </r>
  <r>
    <n v="48556706223"/>
    <n v="72"/>
    <x v="39"/>
    <m/>
    <x v="1"/>
    <x v="0"/>
  </r>
  <r>
    <n v="89792875823"/>
    <n v="74"/>
    <x v="39"/>
    <s v=""/>
    <x v="1"/>
    <x v="0"/>
  </r>
  <r>
    <n v="83001707157"/>
    <n v="79"/>
    <x v="39"/>
    <s v=""/>
    <x v="1"/>
    <x v="0"/>
  </r>
  <r>
    <n v="48448930905"/>
    <n v="107"/>
    <x v="39"/>
    <m/>
    <x v="1"/>
    <x v="0"/>
  </r>
  <r>
    <n v="34042896504"/>
    <n v="113"/>
    <x v="39"/>
    <s v=""/>
    <x v="1"/>
    <x v="0"/>
  </r>
  <r>
    <n v="78522345818"/>
    <n v="128"/>
    <x v="39"/>
    <s v=""/>
    <x v="1"/>
    <x v="0"/>
  </r>
  <r>
    <n v="35138320951"/>
    <n v="136"/>
    <x v="39"/>
    <s v=""/>
    <x v="1"/>
    <x v="0"/>
  </r>
  <r>
    <n v="14672851719"/>
    <n v="138"/>
    <x v="39"/>
    <s v=""/>
    <x v="1"/>
    <x v="0"/>
  </r>
  <r>
    <n v="65755303158"/>
    <n v="156"/>
    <x v="39"/>
    <s v=""/>
    <x v="1"/>
    <x v="0"/>
  </r>
  <r>
    <n v="59797869205"/>
    <n v="157"/>
    <x v="39"/>
    <s v=""/>
    <x v="1"/>
    <x v="0"/>
  </r>
  <r>
    <n v="48915576454"/>
    <n v="180"/>
    <x v="39"/>
    <s v=""/>
    <x v="1"/>
    <x v="0"/>
  </r>
  <r>
    <n v="13246139023"/>
    <n v="184"/>
    <x v="39"/>
    <m/>
    <x v="1"/>
    <x v="0"/>
  </r>
  <r>
    <n v="72131776398"/>
    <n v="195"/>
    <x v="39"/>
    <d v="2034-09-15T00:00:00"/>
    <x v="1"/>
    <x v="3"/>
  </r>
  <r>
    <n v="95610002309"/>
    <n v="198"/>
    <x v="39"/>
    <s v=""/>
    <x v="1"/>
    <x v="0"/>
  </r>
  <r>
    <n v="84675239459"/>
    <n v="215"/>
    <x v="39"/>
    <s v=""/>
    <x v="1"/>
    <x v="0"/>
  </r>
  <r>
    <n v="46620050714"/>
    <n v="216"/>
    <x v="39"/>
    <s v=""/>
    <x v="1"/>
    <x v="0"/>
  </r>
  <r>
    <n v="26572627436"/>
    <n v="242"/>
    <x v="39"/>
    <s v=""/>
    <x v="1"/>
    <x v="0"/>
  </r>
  <r>
    <n v="54657718696"/>
    <n v="249"/>
    <x v="39"/>
    <s v=""/>
    <x v="1"/>
    <x v="0"/>
  </r>
  <r>
    <n v="25315104992"/>
    <n v="255"/>
    <x v="39"/>
    <m/>
    <x v="1"/>
    <x v="0"/>
  </r>
  <r>
    <n v="18780883885"/>
    <n v="259"/>
    <x v="39"/>
    <s v=""/>
    <x v="1"/>
    <x v="0"/>
  </r>
  <r>
    <n v="23984338823"/>
    <n v="269"/>
    <x v="39"/>
    <s v=""/>
    <x v="1"/>
    <x v="0"/>
  </r>
  <r>
    <n v="93796056517"/>
    <n v="285"/>
    <x v="39"/>
    <d v="2034-09-18T00:00:00"/>
    <x v="1"/>
    <x v="3"/>
  </r>
  <r>
    <n v="24979610495"/>
    <n v="291"/>
    <x v="39"/>
    <d v="2034-10-13T00:00:00"/>
    <x v="1"/>
    <x v="5"/>
  </r>
  <r>
    <n v="95517205808"/>
    <n v="300"/>
    <x v="39"/>
    <s v=""/>
    <x v="1"/>
    <x v="0"/>
  </r>
  <r>
    <n v="20117876658"/>
    <n v="305"/>
    <x v="39"/>
    <s v=""/>
    <x v="1"/>
    <x v="0"/>
  </r>
  <r>
    <n v="69961058149"/>
    <n v="306"/>
    <x v="39"/>
    <d v="2034-08-21T00:00:00"/>
    <x v="1"/>
    <x v="4"/>
  </r>
  <r>
    <n v="59553935654"/>
    <n v="306"/>
    <x v="39"/>
    <s v=""/>
    <x v="1"/>
    <x v="0"/>
  </r>
  <r>
    <n v="58707168576"/>
    <n v="318"/>
    <x v="39"/>
    <s v=""/>
    <x v="1"/>
    <x v="0"/>
  </r>
  <r>
    <n v="23112289245"/>
    <n v="333"/>
    <x v="39"/>
    <d v="2034-09-10T00:00:00"/>
    <x v="1"/>
    <x v="3"/>
  </r>
  <r>
    <n v="70730692444"/>
    <n v="6"/>
    <x v="40"/>
    <s v=""/>
    <x v="1"/>
    <x v="0"/>
  </r>
  <r>
    <n v="51941436149"/>
    <n v="15"/>
    <x v="40"/>
    <s v=""/>
    <x v="1"/>
    <x v="0"/>
  </r>
  <r>
    <n v="43867666363"/>
    <n v="25"/>
    <x v="40"/>
    <s v=""/>
    <x v="1"/>
    <x v="0"/>
  </r>
  <r>
    <n v="13968201913"/>
    <n v="47"/>
    <x v="40"/>
    <d v="2034-07-13T00:00:00"/>
    <x v="1"/>
    <x v="2"/>
  </r>
  <r>
    <n v="88546765967"/>
    <n v="55"/>
    <x v="40"/>
    <s v=""/>
    <x v="1"/>
    <x v="0"/>
  </r>
  <r>
    <n v="11248075650"/>
    <n v="59"/>
    <x v="40"/>
    <m/>
    <x v="1"/>
    <x v="0"/>
  </r>
  <r>
    <n v="15007957644"/>
    <n v="69"/>
    <x v="40"/>
    <s v=""/>
    <x v="1"/>
    <x v="0"/>
  </r>
  <r>
    <n v="26951281581"/>
    <n v="71"/>
    <x v="40"/>
    <d v="2034-11-04T00:00:00"/>
    <x v="1"/>
    <x v="6"/>
  </r>
  <r>
    <n v="14627174114"/>
    <n v="74"/>
    <x v="40"/>
    <s v=""/>
    <x v="1"/>
    <x v="0"/>
  </r>
  <r>
    <n v="26810711389"/>
    <n v="74"/>
    <x v="40"/>
    <s v=""/>
    <x v="1"/>
    <x v="0"/>
  </r>
  <r>
    <n v="60316369542"/>
    <n v="74"/>
    <x v="40"/>
    <s v=""/>
    <x v="1"/>
    <x v="0"/>
  </r>
  <r>
    <n v="60352478421"/>
    <n v="82"/>
    <x v="40"/>
    <m/>
    <x v="1"/>
    <x v="0"/>
  </r>
  <r>
    <n v="47314041034"/>
    <n v="91"/>
    <x v="40"/>
    <s v=""/>
    <x v="1"/>
    <x v="0"/>
  </r>
  <r>
    <n v="79424739746"/>
    <n v="98"/>
    <x v="40"/>
    <s v=""/>
    <x v="1"/>
    <x v="0"/>
  </r>
  <r>
    <n v="14256185166"/>
    <n v="123"/>
    <x v="40"/>
    <d v="2034-10-09T00:00:00"/>
    <x v="1"/>
    <x v="5"/>
  </r>
  <r>
    <n v="60266834925"/>
    <n v="125"/>
    <x v="40"/>
    <d v="2034-09-29T00:00:00"/>
    <x v="1"/>
    <x v="3"/>
  </r>
  <r>
    <n v="18761583681"/>
    <n v="130"/>
    <x v="40"/>
    <m/>
    <x v="1"/>
    <x v="0"/>
  </r>
  <r>
    <n v="97018959655"/>
    <n v="133"/>
    <x v="40"/>
    <d v="2034-08-27T00:00:00"/>
    <x v="1"/>
    <x v="4"/>
  </r>
  <r>
    <n v="83057201811"/>
    <n v="140"/>
    <x v="40"/>
    <d v="2034-08-30T00:00:00"/>
    <x v="1"/>
    <x v="4"/>
  </r>
  <r>
    <n v="78894468515"/>
    <n v="147"/>
    <x v="40"/>
    <s v=""/>
    <x v="1"/>
    <x v="0"/>
  </r>
  <r>
    <n v="33286256015"/>
    <n v="154"/>
    <x v="40"/>
    <m/>
    <x v="1"/>
    <x v="0"/>
  </r>
  <r>
    <n v="67085925516"/>
    <n v="193"/>
    <x v="40"/>
    <s v=""/>
    <x v="1"/>
    <x v="0"/>
  </r>
  <r>
    <n v="24618484138"/>
    <n v="199"/>
    <x v="40"/>
    <s v=""/>
    <x v="1"/>
    <x v="0"/>
  </r>
  <r>
    <n v="70141577788"/>
    <n v="203"/>
    <x v="40"/>
    <s v=""/>
    <x v="1"/>
    <x v="0"/>
  </r>
  <r>
    <n v="59491007445"/>
    <n v="214"/>
    <x v="40"/>
    <d v="2034-08-20T00:00:00"/>
    <x v="1"/>
    <x v="4"/>
  </r>
  <r>
    <n v="37545853067"/>
    <n v="224"/>
    <x v="40"/>
    <s v=""/>
    <x v="1"/>
    <x v="0"/>
  </r>
  <r>
    <n v="39247218528"/>
    <n v="240"/>
    <x v="40"/>
    <s v=""/>
    <x v="1"/>
    <x v="0"/>
  </r>
  <r>
    <n v="23139658474"/>
    <n v="241"/>
    <x v="40"/>
    <s v=""/>
    <x v="1"/>
    <x v="0"/>
  </r>
  <r>
    <n v="80316056267"/>
    <n v="249"/>
    <x v="40"/>
    <s v=""/>
    <x v="1"/>
    <x v="0"/>
  </r>
  <r>
    <n v="48433728433"/>
    <n v="296"/>
    <x v="40"/>
    <d v="2034-07-25T00:00:00"/>
    <x v="1"/>
    <x v="2"/>
  </r>
  <r>
    <n v="32241820591"/>
    <n v="302"/>
    <x v="40"/>
    <s v=""/>
    <x v="1"/>
    <x v="0"/>
  </r>
  <r>
    <n v="44783012488"/>
    <n v="310"/>
    <x v="40"/>
    <s v=""/>
    <x v="1"/>
    <x v="0"/>
  </r>
  <r>
    <n v="11595234929"/>
    <n v="328"/>
    <x v="40"/>
    <s v=""/>
    <x v="1"/>
    <x v="0"/>
  </r>
  <r>
    <n v="25645809151"/>
    <n v="4"/>
    <x v="41"/>
    <s v=""/>
    <x v="1"/>
    <x v="0"/>
  </r>
  <r>
    <n v="86648289589"/>
    <n v="8"/>
    <x v="41"/>
    <s v=""/>
    <x v="1"/>
    <x v="0"/>
  </r>
  <r>
    <n v="28194385980"/>
    <n v="11"/>
    <x v="41"/>
    <s v=""/>
    <x v="1"/>
    <x v="0"/>
  </r>
  <r>
    <n v="65501609538"/>
    <n v="14"/>
    <x v="41"/>
    <s v=""/>
    <x v="1"/>
    <x v="0"/>
  </r>
  <r>
    <n v="63660981762"/>
    <n v="54"/>
    <x v="41"/>
    <d v="2034-10-19T00:00:00"/>
    <x v="1"/>
    <x v="5"/>
  </r>
  <r>
    <n v="20326204269"/>
    <n v="81"/>
    <x v="41"/>
    <d v="2034-08-17T00:00:00"/>
    <x v="1"/>
    <x v="4"/>
  </r>
  <r>
    <n v="33469621915"/>
    <n v="101"/>
    <x v="41"/>
    <s v=""/>
    <x v="1"/>
    <x v="0"/>
  </r>
  <r>
    <n v="82186420348"/>
    <n v="126"/>
    <x v="41"/>
    <m/>
    <x v="1"/>
    <x v="0"/>
  </r>
  <r>
    <n v="37942198183"/>
    <n v="149"/>
    <x v="41"/>
    <s v=""/>
    <x v="1"/>
    <x v="0"/>
  </r>
  <r>
    <n v="49534039674"/>
    <n v="163"/>
    <x v="41"/>
    <s v=""/>
    <x v="1"/>
    <x v="0"/>
  </r>
  <r>
    <n v="43090428248"/>
    <n v="169"/>
    <x v="41"/>
    <s v=""/>
    <x v="1"/>
    <x v="0"/>
  </r>
  <r>
    <n v="99905380883"/>
    <n v="175"/>
    <x v="41"/>
    <d v="2034-11-09T00:00:00"/>
    <x v="1"/>
    <x v="6"/>
  </r>
  <r>
    <n v="26337687448"/>
    <n v="182"/>
    <x v="41"/>
    <d v="2034-09-15T00:00:00"/>
    <x v="1"/>
    <x v="3"/>
  </r>
  <r>
    <n v="22057594435"/>
    <n v="187"/>
    <x v="41"/>
    <s v=""/>
    <x v="1"/>
    <x v="0"/>
  </r>
  <r>
    <n v="78109183660"/>
    <n v="203"/>
    <x v="41"/>
    <d v="2034-07-20T00:00:00"/>
    <x v="1"/>
    <x v="2"/>
  </r>
  <r>
    <n v="49824519645"/>
    <n v="220"/>
    <x v="41"/>
    <d v="2034-10-15T00:00:00"/>
    <x v="1"/>
    <x v="5"/>
  </r>
  <r>
    <n v="41023751976"/>
    <n v="263"/>
    <x v="41"/>
    <d v="2034-11-03T00:00:00"/>
    <x v="1"/>
    <x v="6"/>
  </r>
  <r>
    <n v="48892846770"/>
    <n v="275"/>
    <x v="41"/>
    <d v="2034-07-30T00:00:00"/>
    <x v="1"/>
    <x v="2"/>
  </r>
  <r>
    <n v="59048018032"/>
    <n v="277"/>
    <x v="41"/>
    <d v="2034-09-24T00:00:00"/>
    <x v="1"/>
    <x v="3"/>
  </r>
  <r>
    <n v="44096878950"/>
    <n v="290"/>
    <x v="41"/>
    <m/>
    <x v="1"/>
    <x v="0"/>
  </r>
  <r>
    <n v="23746024566"/>
    <n v="300"/>
    <x v="41"/>
    <m/>
    <x v="1"/>
    <x v="0"/>
  </r>
  <r>
    <n v="64745071151"/>
    <n v="305"/>
    <x v="41"/>
    <m/>
    <x v="1"/>
    <x v="0"/>
  </r>
  <r>
    <n v="95852057690"/>
    <n v="309"/>
    <x v="41"/>
    <s v=""/>
    <x v="1"/>
    <x v="0"/>
  </r>
  <r>
    <n v="98622328984"/>
    <n v="323"/>
    <x v="41"/>
    <s v=""/>
    <x v="1"/>
    <x v="0"/>
  </r>
  <r>
    <n v="33918368800"/>
    <n v="0"/>
    <x v="42"/>
    <s v=""/>
    <x v="1"/>
    <x v="0"/>
  </r>
  <r>
    <n v="19244668817"/>
    <n v="10"/>
    <x v="42"/>
    <d v="2034-11-01T00:00:00"/>
    <x v="1"/>
    <x v="6"/>
  </r>
  <r>
    <n v="48718455651"/>
    <n v="11"/>
    <x v="42"/>
    <m/>
    <x v="1"/>
    <x v="0"/>
  </r>
  <r>
    <n v="23740748270"/>
    <n v="11"/>
    <x v="42"/>
    <m/>
    <x v="1"/>
    <x v="0"/>
  </r>
  <r>
    <n v="50556398438"/>
    <n v="19"/>
    <x v="42"/>
    <d v="2034-10-30T00:00:00"/>
    <x v="1"/>
    <x v="5"/>
  </r>
  <r>
    <n v="30207722157"/>
    <n v="21"/>
    <x v="42"/>
    <s v=""/>
    <x v="1"/>
    <x v="0"/>
  </r>
  <r>
    <n v="46098534373"/>
    <n v="23"/>
    <x v="42"/>
    <s v=""/>
    <x v="1"/>
    <x v="0"/>
  </r>
  <r>
    <n v="91767966589"/>
    <n v="44"/>
    <x v="42"/>
    <s v=""/>
    <x v="1"/>
    <x v="0"/>
  </r>
  <r>
    <n v="32773491528"/>
    <n v="114"/>
    <x v="42"/>
    <d v="2034-08-01T00:00:00"/>
    <x v="1"/>
    <x v="4"/>
  </r>
  <r>
    <n v="87699070762"/>
    <n v="129"/>
    <x v="42"/>
    <s v=""/>
    <x v="1"/>
    <x v="0"/>
  </r>
  <r>
    <n v="99388514355"/>
    <n v="147"/>
    <x v="42"/>
    <m/>
    <x v="1"/>
    <x v="0"/>
  </r>
  <r>
    <n v="92067624597"/>
    <n v="149"/>
    <x v="42"/>
    <s v=""/>
    <x v="1"/>
    <x v="0"/>
  </r>
  <r>
    <n v="80507228799"/>
    <n v="154"/>
    <x v="42"/>
    <s v=""/>
    <x v="1"/>
    <x v="0"/>
  </r>
  <r>
    <n v="47182300718"/>
    <n v="159"/>
    <x v="42"/>
    <m/>
    <x v="1"/>
    <x v="0"/>
  </r>
  <r>
    <n v="99563380288"/>
    <n v="191"/>
    <x v="42"/>
    <s v=""/>
    <x v="1"/>
    <x v="0"/>
  </r>
  <r>
    <n v="55687455763"/>
    <n v="204"/>
    <x v="42"/>
    <s v=""/>
    <x v="1"/>
    <x v="0"/>
  </r>
  <r>
    <n v="56848451832"/>
    <n v="222"/>
    <x v="42"/>
    <d v="2034-08-31T00:00:00"/>
    <x v="1"/>
    <x v="4"/>
  </r>
  <r>
    <n v="78063973885"/>
    <n v="228"/>
    <x v="42"/>
    <s v=""/>
    <x v="1"/>
    <x v="0"/>
  </r>
  <r>
    <n v="36397590668"/>
    <n v="256"/>
    <x v="42"/>
    <d v="2034-08-18T00:00:00"/>
    <x v="1"/>
    <x v="4"/>
  </r>
  <r>
    <n v="41031825787"/>
    <n v="264"/>
    <x v="42"/>
    <s v=""/>
    <x v="1"/>
    <x v="0"/>
  </r>
  <r>
    <n v="23404051452"/>
    <n v="268"/>
    <x v="42"/>
    <m/>
    <x v="1"/>
    <x v="0"/>
  </r>
  <r>
    <n v="30262953212"/>
    <n v="284"/>
    <x v="42"/>
    <m/>
    <x v="1"/>
    <x v="0"/>
  </r>
  <r>
    <n v="87238853788"/>
    <n v="43"/>
    <x v="43"/>
    <s v=""/>
    <x v="1"/>
    <x v="0"/>
  </r>
  <r>
    <n v="15152467408"/>
    <n v="43"/>
    <x v="43"/>
    <s v=""/>
    <x v="1"/>
    <x v="0"/>
  </r>
  <r>
    <n v="74206201903"/>
    <n v="57"/>
    <x v="43"/>
    <s v=""/>
    <x v="1"/>
    <x v="0"/>
  </r>
  <r>
    <n v="99404335018"/>
    <n v="58"/>
    <x v="43"/>
    <s v=""/>
    <x v="1"/>
    <x v="0"/>
  </r>
  <r>
    <n v="32889615625"/>
    <n v="92"/>
    <x v="43"/>
    <s v=""/>
    <x v="1"/>
    <x v="0"/>
  </r>
  <r>
    <n v="24585006657"/>
    <n v="101"/>
    <x v="43"/>
    <s v=""/>
    <x v="1"/>
    <x v="0"/>
  </r>
  <r>
    <n v="55822806203"/>
    <n v="116"/>
    <x v="43"/>
    <s v=""/>
    <x v="1"/>
    <x v="0"/>
  </r>
  <r>
    <n v="20676225210"/>
    <n v="118"/>
    <x v="43"/>
    <s v=""/>
    <x v="1"/>
    <x v="0"/>
  </r>
  <r>
    <n v="84920602697"/>
    <n v="128"/>
    <x v="43"/>
    <m/>
    <x v="1"/>
    <x v="0"/>
  </r>
  <r>
    <n v="34978500144"/>
    <n v="139"/>
    <x v="43"/>
    <s v=""/>
    <x v="1"/>
    <x v="0"/>
  </r>
  <r>
    <n v="80507755554"/>
    <n v="142"/>
    <x v="43"/>
    <d v="2034-09-30T00:00:00"/>
    <x v="1"/>
    <x v="3"/>
  </r>
  <r>
    <n v="57695134194"/>
    <n v="171"/>
    <x v="43"/>
    <m/>
    <x v="1"/>
    <x v="0"/>
  </r>
  <r>
    <n v="63932830491"/>
    <n v="180"/>
    <x v="43"/>
    <s v=""/>
    <x v="1"/>
    <x v="0"/>
  </r>
  <r>
    <n v="39096817197"/>
    <n v="222"/>
    <x v="43"/>
    <s v=""/>
    <x v="1"/>
    <x v="0"/>
  </r>
  <r>
    <n v="80305691069"/>
    <n v="227"/>
    <x v="43"/>
    <s v=""/>
    <x v="1"/>
    <x v="0"/>
  </r>
  <r>
    <n v="40227431114"/>
    <n v="234"/>
    <x v="43"/>
    <s v=""/>
    <x v="1"/>
    <x v="0"/>
  </r>
  <r>
    <n v="17626365760"/>
    <n v="241"/>
    <x v="43"/>
    <s v=""/>
    <x v="1"/>
    <x v="0"/>
  </r>
  <r>
    <n v="72844953989"/>
    <n v="245"/>
    <x v="43"/>
    <s v=""/>
    <x v="1"/>
    <x v="0"/>
  </r>
  <r>
    <n v="22782407817"/>
    <n v="253"/>
    <x v="43"/>
    <s v=""/>
    <x v="1"/>
    <x v="0"/>
  </r>
  <r>
    <n v="49507996609"/>
    <n v="278"/>
    <x v="43"/>
    <s v=""/>
    <x v="1"/>
    <x v="0"/>
  </r>
  <r>
    <n v="89335413200"/>
    <n v="299"/>
    <x v="43"/>
    <s v=""/>
    <x v="1"/>
    <x v="0"/>
  </r>
  <r>
    <n v="65415617313"/>
    <n v="320"/>
    <x v="43"/>
    <s v=""/>
    <x v="1"/>
    <x v="0"/>
  </r>
  <r>
    <n v="21532015388"/>
    <n v="6"/>
    <x v="44"/>
    <d v="2034-10-01T00:00:00"/>
    <x v="1"/>
    <x v="5"/>
  </r>
  <r>
    <n v="96257260880"/>
    <n v="17"/>
    <x v="44"/>
    <d v="2034-09-23T00:00:00"/>
    <x v="1"/>
    <x v="3"/>
  </r>
  <r>
    <n v="83050794368"/>
    <n v="40"/>
    <x v="44"/>
    <s v=""/>
    <x v="1"/>
    <x v="0"/>
  </r>
  <r>
    <n v="90485595579"/>
    <n v="40"/>
    <x v="44"/>
    <d v="2034-09-11T00:00:00"/>
    <x v="1"/>
    <x v="3"/>
  </r>
  <r>
    <n v="62556653783"/>
    <n v="56"/>
    <x v="44"/>
    <m/>
    <x v="1"/>
    <x v="0"/>
  </r>
  <r>
    <n v="45532981311"/>
    <n v="74"/>
    <x v="44"/>
    <s v=""/>
    <x v="1"/>
    <x v="0"/>
  </r>
  <r>
    <n v="31296810837"/>
    <n v="98"/>
    <x v="44"/>
    <s v=""/>
    <x v="1"/>
    <x v="0"/>
  </r>
  <r>
    <n v="33540266131"/>
    <n v="110"/>
    <x v="44"/>
    <s v=""/>
    <x v="1"/>
    <x v="0"/>
  </r>
  <r>
    <n v="27353863560"/>
    <n v="118"/>
    <x v="44"/>
    <s v=""/>
    <x v="1"/>
    <x v="0"/>
  </r>
  <r>
    <n v="39343133426"/>
    <n v="158"/>
    <x v="44"/>
    <s v=""/>
    <x v="1"/>
    <x v="0"/>
  </r>
  <r>
    <n v="97866428304"/>
    <n v="160"/>
    <x v="44"/>
    <d v="2034-10-09T00:00:00"/>
    <x v="1"/>
    <x v="5"/>
  </r>
  <r>
    <n v="34074858218"/>
    <n v="182"/>
    <x v="44"/>
    <d v="2034-10-13T00:00:00"/>
    <x v="1"/>
    <x v="5"/>
  </r>
  <r>
    <n v="19651343968"/>
    <n v="208"/>
    <x v="44"/>
    <s v=""/>
    <x v="1"/>
    <x v="0"/>
  </r>
  <r>
    <n v="76972268872"/>
    <n v="220"/>
    <x v="44"/>
    <d v="2034-08-26T00:00:00"/>
    <x v="1"/>
    <x v="4"/>
  </r>
  <r>
    <n v="41780044781"/>
    <n v="237"/>
    <x v="44"/>
    <m/>
    <x v="1"/>
    <x v="0"/>
  </r>
  <r>
    <n v="59926104611"/>
    <n v="239"/>
    <x v="44"/>
    <m/>
    <x v="1"/>
    <x v="0"/>
  </r>
  <r>
    <n v="67136855235"/>
    <n v="243"/>
    <x v="44"/>
    <s v=""/>
    <x v="1"/>
    <x v="0"/>
  </r>
  <r>
    <n v="93392742986"/>
    <n v="260"/>
    <x v="44"/>
    <s v=""/>
    <x v="1"/>
    <x v="0"/>
  </r>
  <r>
    <n v="86731980137"/>
    <n v="261"/>
    <x v="44"/>
    <s v=""/>
    <x v="1"/>
    <x v="0"/>
  </r>
  <r>
    <n v="68876487019"/>
    <n v="277"/>
    <x v="44"/>
    <s v=""/>
    <x v="1"/>
    <x v="0"/>
  </r>
  <r>
    <n v="23866123351"/>
    <n v="281"/>
    <x v="44"/>
    <d v="2034-11-02T00:00:00"/>
    <x v="1"/>
    <x v="6"/>
  </r>
  <r>
    <n v="76327385799"/>
    <n v="284"/>
    <x v="44"/>
    <s v=""/>
    <x v="1"/>
    <x v="0"/>
  </r>
  <r>
    <n v="78298287198"/>
    <n v="284"/>
    <x v="44"/>
    <s v=""/>
    <x v="1"/>
    <x v="0"/>
  </r>
  <r>
    <n v="75511643545"/>
    <n v="297"/>
    <x v="44"/>
    <s v=""/>
    <x v="1"/>
    <x v="0"/>
  </r>
  <r>
    <n v="36155346799"/>
    <n v="306"/>
    <x v="44"/>
    <s v=""/>
    <x v="1"/>
    <x v="0"/>
  </r>
  <r>
    <n v="86914069128"/>
    <n v="316"/>
    <x v="44"/>
    <s v=""/>
    <x v="1"/>
    <x v="0"/>
  </r>
  <r>
    <n v="37797819762"/>
    <n v="321"/>
    <x v="44"/>
    <d v="2034-10-11T00:00:00"/>
    <x v="1"/>
    <x v="5"/>
  </r>
  <r>
    <n v="91763568997"/>
    <n v="324"/>
    <x v="44"/>
    <s v=""/>
    <x v="1"/>
    <x v="0"/>
  </r>
  <r>
    <n v="13251507138"/>
    <n v="328"/>
    <x v="44"/>
    <m/>
    <x v="1"/>
    <x v="0"/>
  </r>
  <r>
    <n v="59679660356"/>
    <n v="10"/>
    <x v="45"/>
    <d v="2034-09-17T00:00:00"/>
    <x v="1"/>
    <x v="3"/>
  </r>
  <r>
    <n v="77098245858"/>
    <n v="11"/>
    <x v="45"/>
    <s v=""/>
    <x v="1"/>
    <x v="0"/>
  </r>
  <r>
    <n v="51868754408"/>
    <n v="56"/>
    <x v="45"/>
    <s v=""/>
    <x v="1"/>
    <x v="0"/>
  </r>
  <r>
    <n v="43960292501"/>
    <n v="60"/>
    <x v="45"/>
    <s v=""/>
    <x v="1"/>
    <x v="0"/>
  </r>
  <r>
    <n v="37297082805"/>
    <n v="64"/>
    <x v="45"/>
    <s v=""/>
    <x v="1"/>
    <x v="0"/>
  </r>
  <r>
    <n v="52967193206"/>
    <n v="87"/>
    <x v="45"/>
    <s v=""/>
    <x v="1"/>
    <x v="0"/>
  </r>
  <r>
    <n v="27868433723"/>
    <n v="95"/>
    <x v="45"/>
    <s v=""/>
    <x v="1"/>
    <x v="0"/>
  </r>
  <r>
    <n v="29294769958"/>
    <n v="101"/>
    <x v="45"/>
    <m/>
    <x v="1"/>
    <x v="0"/>
  </r>
  <r>
    <n v="31339743208"/>
    <n v="119"/>
    <x v="45"/>
    <m/>
    <x v="1"/>
    <x v="0"/>
  </r>
  <r>
    <n v="96629488227"/>
    <n v="154"/>
    <x v="45"/>
    <s v=""/>
    <x v="1"/>
    <x v="0"/>
  </r>
  <r>
    <n v="23087911259"/>
    <n v="155"/>
    <x v="45"/>
    <d v="2034-07-16T00:00:00"/>
    <x v="1"/>
    <x v="2"/>
  </r>
  <r>
    <n v="79916678114"/>
    <n v="193"/>
    <x v="45"/>
    <s v=""/>
    <x v="1"/>
    <x v="0"/>
  </r>
  <r>
    <n v="49736387177"/>
    <n v="238"/>
    <x v="45"/>
    <s v=""/>
    <x v="1"/>
    <x v="0"/>
  </r>
  <r>
    <n v="69240000846"/>
    <n v="246"/>
    <x v="45"/>
    <s v=""/>
    <x v="1"/>
    <x v="0"/>
  </r>
  <r>
    <n v="87566302748"/>
    <n v="256"/>
    <x v="45"/>
    <m/>
    <x v="1"/>
    <x v="0"/>
  </r>
  <r>
    <n v="65836938941"/>
    <n v="258"/>
    <x v="45"/>
    <s v=""/>
    <x v="1"/>
    <x v="0"/>
  </r>
  <r>
    <n v="41627495299"/>
    <n v="276"/>
    <x v="45"/>
    <s v=""/>
    <x v="1"/>
    <x v="0"/>
  </r>
  <r>
    <n v="12226974826"/>
    <n v="276"/>
    <x v="45"/>
    <s v=""/>
    <x v="1"/>
    <x v="0"/>
  </r>
  <r>
    <n v="81390419388"/>
    <n v="280"/>
    <x v="45"/>
    <s v=""/>
    <x v="1"/>
    <x v="0"/>
  </r>
  <r>
    <n v="93641081019"/>
    <n v="320"/>
    <x v="45"/>
    <s v=""/>
    <x v="1"/>
    <x v="0"/>
  </r>
  <r>
    <n v="27070429593"/>
    <n v="336"/>
    <x v="45"/>
    <d v="2034-10-17T00:00:00"/>
    <x v="1"/>
    <x v="5"/>
  </r>
  <r>
    <n v="91402114623"/>
    <n v="339"/>
    <x v="45"/>
    <d v="2034-08-29T00:00:00"/>
    <x v="1"/>
    <x v="4"/>
  </r>
  <r>
    <n v="77775797473"/>
    <n v="340"/>
    <x v="45"/>
    <d v="2034-07-23T00:00:00"/>
    <x v="1"/>
    <x v="2"/>
  </r>
  <r>
    <n v="89948959945"/>
    <n v="4"/>
    <x v="46"/>
    <m/>
    <x v="1"/>
    <x v="0"/>
  </r>
  <r>
    <n v="18419780593"/>
    <n v="5"/>
    <x v="46"/>
    <s v=""/>
    <x v="1"/>
    <x v="0"/>
  </r>
  <r>
    <n v="78556523873"/>
    <n v="16"/>
    <x v="46"/>
    <s v=""/>
    <x v="1"/>
    <x v="0"/>
  </r>
  <r>
    <n v="86491534434"/>
    <n v="17"/>
    <x v="46"/>
    <m/>
    <x v="1"/>
    <x v="0"/>
  </r>
  <r>
    <n v="68849619365"/>
    <n v="29"/>
    <x v="46"/>
    <s v=""/>
    <x v="1"/>
    <x v="0"/>
  </r>
  <r>
    <n v="35773615334"/>
    <n v="37"/>
    <x v="46"/>
    <m/>
    <x v="1"/>
    <x v="0"/>
  </r>
  <r>
    <n v="66095559872"/>
    <n v="44"/>
    <x v="46"/>
    <d v="2034-09-28T00:00:00"/>
    <x v="1"/>
    <x v="3"/>
  </r>
  <r>
    <n v="64402787526"/>
    <n v="55"/>
    <x v="46"/>
    <s v=""/>
    <x v="1"/>
    <x v="0"/>
  </r>
  <r>
    <n v="18118120652"/>
    <n v="79"/>
    <x v="46"/>
    <s v=""/>
    <x v="1"/>
    <x v="0"/>
  </r>
  <r>
    <n v="18818370414"/>
    <n v="104"/>
    <x v="46"/>
    <d v="2034-09-30T00:00:00"/>
    <x v="1"/>
    <x v="3"/>
  </r>
  <r>
    <n v="24895543311"/>
    <n v="158"/>
    <x v="46"/>
    <s v=""/>
    <x v="1"/>
    <x v="0"/>
  </r>
  <r>
    <n v="67145834979"/>
    <n v="161"/>
    <x v="46"/>
    <m/>
    <x v="1"/>
    <x v="0"/>
  </r>
  <r>
    <n v="97598088690"/>
    <n v="166"/>
    <x v="46"/>
    <m/>
    <x v="1"/>
    <x v="0"/>
  </r>
  <r>
    <n v="41730712328"/>
    <n v="168"/>
    <x v="46"/>
    <s v=""/>
    <x v="1"/>
    <x v="0"/>
  </r>
  <r>
    <n v="41566118487"/>
    <n v="204"/>
    <x v="46"/>
    <s v=""/>
    <x v="1"/>
    <x v="0"/>
  </r>
  <r>
    <n v="54127669903"/>
    <n v="206"/>
    <x v="46"/>
    <d v="2034-08-23T00:00:00"/>
    <x v="1"/>
    <x v="4"/>
  </r>
  <r>
    <n v="54823011639"/>
    <n v="238"/>
    <x v="46"/>
    <m/>
    <x v="1"/>
    <x v="0"/>
  </r>
  <r>
    <n v="11332647580"/>
    <n v="246"/>
    <x v="46"/>
    <s v=""/>
    <x v="1"/>
    <x v="0"/>
  </r>
  <r>
    <n v="92897131872"/>
    <n v="325"/>
    <x v="46"/>
    <s v=""/>
    <x v="1"/>
    <x v="0"/>
  </r>
  <r>
    <n v="41492926595"/>
    <n v="9"/>
    <x v="47"/>
    <s v=""/>
    <x v="1"/>
    <x v="0"/>
  </r>
  <r>
    <n v="25987726536"/>
    <n v="23"/>
    <x v="47"/>
    <s v=""/>
    <x v="1"/>
    <x v="0"/>
  </r>
  <r>
    <n v="91381772114"/>
    <n v="39"/>
    <x v="47"/>
    <s v=""/>
    <x v="1"/>
    <x v="0"/>
  </r>
  <r>
    <n v="84862140722"/>
    <n v="59"/>
    <x v="47"/>
    <s v=""/>
    <x v="1"/>
    <x v="0"/>
  </r>
  <r>
    <n v="74523023374"/>
    <n v="64"/>
    <x v="47"/>
    <s v=""/>
    <x v="1"/>
    <x v="0"/>
  </r>
  <r>
    <n v="67178614084"/>
    <n v="78"/>
    <x v="47"/>
    <s v=""/>
    <x v="1"/>
    <x v="0"/>
  </r>
  <r>
    <n v="20107921325"/>
    <n v="89"/>
    <x v="47"/>
    <d v="2034-09-29T00:00:00"/>
    <x v="1"/>
    <x v="3"/>
  </r>
  <r>
    <n v="49636765561"/>
    <n v="112"/>
    <x v="47"/>
    <m/>
    <x v="1"/>
    <x v="0"/>
  </r>
  <r>
    <n v="34866835999"/>
    <n v="126"/>
    <x v="47"/>
    <m/>
    <x v="1"/>
    <x v="0"/>
  </r>
  <r>
    <n v="14741907808"/>
    <n v="159"/>
    <x v="47"/>
    <s v=""/>
    <x v="1"/>
    <x v="0"/>
  </r>
  <r>
    <n v="15642272260"/>
    <n v="161"/>
    <x v="47"/>
    <s v=""/>
    <x v="1"/>
    <x v="0"/>
  </r>
  <r>
    <n v="45952913351"/>
    <n v="163"/>
    <x v="47"/>
    <s v=""/>
    <x v="1"/>
    <x v="0"/>
  </r>
  <r>
    <n v="43667098795"/>
    <n v="189"/>
    <x v="47"/>
    <s v=""/>
    <x v="1"/>
    <x v="0"/>
  </r>
  <r>
    <n v="69803614849"/>
    <n v="202"/>
    <x v="47"/>
    <s v=""/>
    <x v="1"/>
    <x v="0"/>
  </r>
  <r>
    <n v="43308705381"/>
    <n v="215"/>
    <x v="47"/>
    <d v="2034-10-16T00:00:00"/>
    <x v="1"/>
    <x v="5"/>
  </r>
  <r>
    <n v="19023878318"/>
    <n v="230"/>
    <x v="47"/>
    <d v="2034-09-11T00:00:00"/>
    <x v="1"/>
    <x v="3"/>
  </r>
  <r>
    <n v="72359450513"/>
    <n v="233"/>
    <x v="47"/>
    <s v=""/>
    <x v="1"/>
    <x v="0"/>
  </r>
  <r>
    <n v="13288697228"/>
    <n v="244"/>
    <x v="47"/>
    <s v=""/>
    <x v="1"/>
    <x v="0"/>
  </r>
  <r>
    <n v="70341557676"/>
    <n v="245"/>
    <x v="47"/>
    <s v=""/>
    <x v="1"/>
    <x v="0"/>
  </r>
  <r>
    <n v="13249654769"/>
    <n v="248"/>
    <x v="47"/>
    <s v=""/>
    <x v="1"/>
    <x v="0"/>
  </r>
  <r>
    <n v="33446849377"/>
    <n v="255"/>
    <x v="47"/>
    <s v=""/>
    <x v="1"/>
    <x v="0"/>
  </r>
  <r>
    <n v="93119955349"/>
    <n v="273"/>
    <x v="47"/>
    <s v=""/>
    <x v="1"/>
    <x v="0"/>
  </r>
  <r>
    <n v="65126626404"/>
    <n v="302"/>
    <x v="47"/>
    <s v=""/>
    <x v="1"/>
    <x v="0"/>
  </r>
  <r>
    <n v="31946707156"/>
    <n v="303"/>
    <x v="47"/>
    <s v=""/>
    <x v="1"/>
    <x v="0"/>
  </r>
  <r>
    <n v="46958649124"/>
    <n v="314"/>
    <x v="47"/>
    <s v=""/>
    <x v="1"/>
    <x v="0"/>
  </r>
  <r>
    <n v="71388120390"/>
    <n v="340"/>
    <x v="47"/>
    <s v=""/>
    <x v="1"/>
    <x v="0"/>
  </r>
  <r>
    <n v="78597313905"/>
    <n v="27"/>
    <x v="48"/>
    <s v=""/>
    <x v="1"/>
    <x v="0"/>
  </r>
  <r>
    <n v="46077662104"/>
    <n v="34"/>
    <x v="48"/>
    <s v=""/>
    <x v="1"/>
    <x v="0"/>
  </r>
  <r>
    <n v="50085905188"/>
    <n v="38"/>
    <x v="48"/>
    <s v=""/>
    <x v="1"/>
    <x v="0"/>
  </r>
  <r>
    <n v="32659350184"/>
    <n v="70"/>
    <x v="48"/>
    <m/>
    <x v="1"/>
    <x v="0"/>
  </r>
  <r>
    <n v="42249078819"/>
    <n v="71"/>
    <x v="48"/>
    <d v="2034-10-30T00:00:00"/>
    <x v="1"/>
    <x v="5"/>
  </r>
  <r>
    <n v="63514927072"/>
    <n v="75"/>
    <x v="48"/>
    <s v=""/>
    <x v="1"/>
    <x v="0"/>
  </r>
  <r>
    <n v="43909521820"/>
    <n v="77"/>
    <x v="48"/>
    <s v=""/>
    <x v="1"/>
    <x v="0"/>
  </r>
  <r>
    <n v="90466578841"/>
    <n v="79"/>
    <x v="48"/>
    <s v=""/>
    <x v="1"/>
    <x v="0"/>
  </r>
  <r>
    <n v="35177226759"/>
    <n v="88"/>
    <x v="48"/>
    <s v=""/>
    <x v="1"/>
    <x v="0"/>
  </r>
  <r>
    <n v="39769600586"/>
    <n v="102"/>
    <x v="48"/>
    <s v=""/>
    <x v="1"/>
    <x v="0"/>
  </r>
  <r>
    <n v="62112399635"/>
    <n v="105"/>
    <x v="48"/>
    <s v=""/>
    <x v="1"/>
    <x v="0"/>
  </r>
  <r>
    <n v="72206450704"/>
    <n v="114"/>
    <x v="48"/>
    <s v=""/>
    <x v="1"/>
    <x v="0"/>
  </r>
  <r>
    <n v="64798255688"/>
    <n v="149"/>
    <x v="48"/>
    <s v=""/>
    <x v="1"/>
    <x v="0"/>
  </r>
  <r>
    <n v="49576180245"/>
    <n v="152"/>
    <x v="48"/>
    <s v=""/>
    <x v="1"/>
    <x v="0"/>
  </r>
  <r>
    <n v="59543190928"/>
    <n v="180"/>
    <x v="48"/>
    <s v=""/>
    <x v="1"/>
    <x v="0"/>
  </r>
  <r>
    <n v="25003479827"/>
    <n v="182"/>
    <x v="48"/>
    <s v=""/>
    <x v="1"/>
    <x v="0"/>
  </r>
  <r>
    <n v="37167189675"/>
    <n v="199"/>
    <x v="48"/>
    <d v="2034-07-22T00:00:00"/>
    <x v="1"/>
    <x v="2"/>
  </r>
  <r>
    <n v="23172936946"/>
    <n v="209"/>
    <x v="48"/>
    <s v=""/>
    <x v="1"/>
    <x v="0"/>
  </r>
  <r>
    <n v="47193934838"/>
    <n v="234"/>
    <x v="48"/>
    <d v="2034-09-01T00:00:00"/>
    <x v="1"/>
    <x v="3"/>
  </r>
  <r>
    <n v="70497562333"/>
    <n v="245"/>
    <x v="48"/>
    <s v=""/>
    <x v="1"/>
    <x v="0"/>
  </r>
  <r>
    <n v="46890136415"/>
    <n v="278"/>
    <x v="48"/>
    <s v=""/>
    <x v="1"/>
    <x v="0"/>
  </r>
  <r>
    <n v="43463529276"/>
    <n v="300"/>
    <x v="48"/>
    <s v=""/>
    <x v="1"/>
    <x v="0"/>
  </r>
  <r>
    <n v="91552388118"/>
    <n v="306"/>
    <x v="48"/>
    <s v=""/>
    <x v="1"/>
    <x v="0"/>
  </r>
  <r>
    <n v="88325077574"/>
    <n v="309"/>
    <x v="48"/>
    <s v=""/>
    <x v="1"/>
    <x v="0"/>
  </r>
  <r>
    <n v="21192999281"/>
    <n v="31"/>
    <x v="49"/>
    <s v=""/>
    <x v="1"/>
    <x v="0"/>
  </r>
  <r>
    <n v="13686592624"/>
    <n v="32"/>
    <x v="49"/>
    <s v=""/>
    <x v="1"/>
    <x v="0"/>
  </r>
  <r>
    <n v="85608824489"/>
    <n v="39"/>
    <x v="49"/>
    <d v="2034-08-08T00:00:00"/>
    <x v="1"/>
    <x v="4"/>
  </r>
  <r>
    <n v="78578072457"/>
    <n v="54"/>
    <x v="49"/>
    <s v=""/>
    <x v="1"/>
    <x v="0"/>
  </r>
  <r>
    <n v="33338200390"/>
    <n v="88"/>
    <x v="49"/>
    <s v=""/>
    <x v="1"/>
    <x v="0"/>
  </r>
  <r>
    <n v="42464261977"/>
    <n v="99"/>
    <x v="49"/>
    <s v=""/>
    <x v="1"/>
    <x v="0"/>
  </r>
  <r>
    <n v="42428271915"/>
    <n v="99"/>
    <x v="49"/>
    <m/>
    <x v="1"/>
    <x v="0"/>
  </r>
  <r>
    <n v="62679548257"/>
    <n v="106"/>
    <x v="49"/>
    <s v=""/>
    <x v="1"/>
    <x v="0"/>
  </r>
  <r>
    <n v="17285419358"/>
    <n v="109"/>
    <x v="49"/>
    <s v=""/>
    <x v="1"/>
    <x v="0"/>
  </r>
  <r>
    <n v="53101769965"/>
    <n v="113"/>
    <x v="49"/>
    <s v=""/>
    <x v="1"/>
    <x v="0"/>
  </r>
  <r>
    <n v="59240322277"/>
    <n v="121"/>
    <x v="49"/>
    <d v="2034-10-17T00:00:00"/>
    <x v="1"/>
    <x v="5"/>
  </r>
  <r>
    <n v="99916712821"/>
    <n v="195"/>
    <x v="49"/>
    <s v=""/>
    <x v="1"/>
    <x v="0"/>
  </r>
  <r>
    <n v="82780660927"/>
    <n v="210"/>
    <x v="49"/>
    <s v=""/>
    <x v="1"/>
    <x v="0"/>
  </r>
  <r>
    <n v="65086436020"/>
    <n v="225"/>
    <x v="49"/>
    <m/>
    <x v="1"/>
    <x v="0"/>
  </r>
  <r>
    <n v="42911039475"/>
    <n v="225"/>
    <x v="49"/>
    <s v=""/>
    <x v="1"/>
    <x v="0"/>
  </r>
  <r>
    <n v="72091008370"/>
    <n v="237"/>
    <x v="49"/>
    <d v="2034-10-06T00:00:00"/>
    <x v="1"/>
    <x v="5"/>
  </r>
  <r>
    <n v="93681802394"/>
    <n v="249"/>
    <x v="49"/>
    <d v="2034-08-20T00:00:00"/>
    <x v="1"/>
    <x v="4"/>
  </r>
  <r>
    <n v="66556230264"/>
    <n v="259"/>
    <x v="49"/>
    <m/>
    <x v="1"/>
    <x v="0"/>
  </r>
  <r>
    <n v="30555691339"/>
    <n v="266"/>
    <x v="49"/>
    <d v="2034-07-21T00:00:00"/>
    <x v="1"/>
    <x v="2"/>
  </r>
  <r>
    <n v="84542160902"/>
    <n v="309"/>
    <x v="49"/>
    <s v=""/>
    <x v="1"/>
    <x v="0"/>
  </r>
  <r>
    <n v="71737191330"/>
    <n v="313"/>
    <x v="49"/>
    <d v="2034-09-15T00:00:00"/>
    <x v="1"/>
    <x v="3"/>
  </r>
  <r>
    <n v="18741199026"/>
    <n v="329"/>
    <x v="49"/>
    <s v=""/>
    <x v="1"/>
    <x v="0"/>
  </r>
  <r>
    <n v="20028830289"/>
    <n v="334"/>
    <x v="49"/>
    <d v="2034-10-25T00:00:00"/>
    <x v="1"/>
    <x v="5"/>
  </r>
  <r>
    <n v="16624300321"/>
    <n v="9"/>
    <x v="50"/>
    <d v="2034-09-28T00:00:00"/>
    <x v="1"/>
    <x v="3"/>
  </r>
  <r>
    <n v="76733036336"/>
    <n v="29"/>
    <x v="50"/>
    <s v=""/>
    <x v="1"/>
    <x v="0"/>
  </r>
  <r>
    <n v="16492810003"/>
    <n v="31"/>
    <x v="50"/>
    <d v="2034-09-08T00:00:00"/>
    <x v="1"/>
    <x v="3"/>
  </r>
  <r>
    <n v="33706397325"/>
    <n v="49"/>
    <x v="50"/>
    <s v=""/>
    <x v="1"/>
    <x v="0"/>
  </r>
  <r>
    <n v="22994798050"/>
    <n v="50"/>
    <x v="50"/>
    <s v=""/>
    <x v="1"/>
    <x v="0"/>
  </r>
  <r>
    <n v="28485171147"/>
    <n v="65"/>
    <x v="50"/>
    <s v=""/>
    <x v="1"/>
    <x v="0"/>
  </r>
  <r>
    <n v="54277106114"/>
    <n v="68"/>
    <x v="50"/>
    <s v=""/>
    <x v="1"/>
    <x v="0"/>
  </r>
  <r>
    <n v="80092376340"/>
    <n v="75"/>
    <x v="50"/>
    <s v=""/>
    <x v="1"/>
    <x v="0"/>
  </r>
  <r>
    <n v="53114851651"/>
    <n v="145"/>
    <x v="50"/>
    <d v="2034-11-06T00:00:00"/>
    <x v="1"/>
    <x v="6"/>
  </r>
  <r>
    <n v="16130163146"/>
    <n v="152"/>
    <x v="50"/>
    <m/>
    <x v="1"/>
    <x v="0"/>
  </r>
  <r>
    <n v="22271486716"/>
    <n v="157"/>
    <x v="50"/>
    <s v=""/>
    <x v="1"/>
    <x v="0"/>
  </r>
  <r>
    <n v="99982715860"/>
    <n v="157"/>
    <x v="50"/>
    <s v=""/>
    <x v="1"/>
    <x v="0"/>
  </r>
  <r>
    <n v="80377129868"/>
    <n v="173"/>
    <x v="50"/>
    <s v=""/>
    <x v="1"/>
    <x v="0"/>
  </r>
  <r>
    <n v="55524292153"/>
    <n v="175"/>
    <x v="50"/>
    <d v="2034-10-29T00:00:00"/>
    <x v="1"/>
    <x v="5"/>
  </r>
  <r>
    <n v="87192739071"/>
    <n v="210"/>
    <x v="50"/>
    <s v=""/>
    <x v="1"/>
    <x v="0"/>
  </r>
  <r>
    <n v="37328669481"/>
    <n v="226"/>
    <x v="50"/>
    <s v=""/>
    <x v="1"/>
    <x v="0"/>
  </r>
  <r>
    <n v="33968540993"/>
    <n v="230"/>
    <x v="50"/>
    <d v="2034-09-12T00:00:00"/>
    <x v="1"/>
    <x v="3"/>
  </r>
  <r>
    <n v="94755187190"/>
    <n v="250"/>
    <x v="50"/>
    <s v=""/>
    <x v="1"/>
    <x v="0"/>
  </r>
  <r>
    <n v="74938670905"/>
    <n v="275"/>
    <x v="50"/>
    <m/>
    <x v="1"/>
    <x v="0"/>
  </r>
  <r>
    <n v="78807434967"/>
    <n v="308"/>
    <x v="50"/>
    <d v="2034-09-30T00:00:00"/>
    <x v="1"/>
    <x v="3"/>
  </r>
  <r>
    <n v="27347704398"/>
    <n v="339"/>
    <x v="50"/>
    <d v="2034-07-23T00:00:00"/>
    <x v="1"/>
    <x v="2"/>
  </r>
  <r>
    <n v="51309608438"/>
    <n v="7"/>
    <x v="51"/>
    <s v=""/>
    <x v="1"/>
    <x v="0"/>
  </r>
  <r>
    <n v="92178756143"/>
    <n v="16"/>
    <x v="51"/>
    <s v=""/>
    <x v="1"/>
    <x v="0"/>
  </r>
  <r>
    <n v="35097139790"/>
    <n v="18"/>
    <x v="51"/>
    <s v=""/>
    <x v="1"/>
    <x v="0"/>
  </r>
  <r>
    <n v="73001107690"/>
    <n v="28"/>
    <x v="51"/>
    <m/>
    <x v="1"/>
    <x v="0"/>
  </r>
  <r>
    <n v="73738876888"/>
    <n v="54"/>
    <x v="51"/>
    <s v=""/>
    <x v="1"/>
    <x v="0"/>
  </r>
  <r>
    <n v="16652801829"/>
    <n v="64"/>
    <x v="51"/>
    <s v=""/>
    <x v="1"/>
    <x v="0"/>
  </r>
  <r>
    <n v="89716530950"/>
    <n v="80"/>
    <x v="51"/>
    <m/>
    <x v="1"/>
    <x v="0"/>
  </r>
  <r>
    <n v="18058327390"/>
    <n v="83"/>
    <x v="51"/>
    <s v=""/>
    <x v="1"/>
    <x v="0"/>
  </r>
  <r>
    <n v="16415270889"/>
    <n v="85"/>
    <x v="51"/>
    <m/>
    <x v="1"/>
    <x v="0"/>
  </r>
  <r>
    <n v="90386509125"/>
    <n v="90"/>
    <x v="51"/>
    <m/>
    <x v="1"/>
    <x v="0"/>
  </r>
  <r>
    <n v="35112058659"/>
    <n v="90"/>
    <x v="51"/>
    <d v="2034-11-14T00:00:00"/>
    <x v="1"/>
    <x v="6"/>
  </r>
  <r>
    <n v="80663110373"/>
    <n v="90"/>
    <x v="51"/>
    <d v="2034-08-29T00:00:00"/>
    <x v="1"/>
    <x v="4"/>
  </r>
  <r>
    <n v="47994806538"/>
    <n v="96"/>
    <x v="51"/>
    <s v=""/>
    <x v="1"/>
    <x v="0"/>
  </r>
  <r>
    <n v="73979608841"/>
    <n v="127"/>
    <x v="51"/>
    <s v=""/>
    <x v="1"/>
    <x v="0"/>
  </r>
  <r>
    <n v="48235671216"/>
    <n v="134"/>
    <x v="51"/>
    <s v=""/>
    <x v="1"/>
    <x v="0"/>
  </r>
  <r>
    <n v="93301598481"/>
    <n v="136"/>
    <x v="51"/>
    <m/>
    <x v="1"/>
    <x v="0"/>
  </r>
  <r>
    <n v="71308708279"/>
    <n v="138"/>
    <x v="51"/>
    <s v=""/>
    <x v="1"/>
    <x v="0"/>
  </r>
  <r>
    <n v="56389127610"/>
    <n v="140"/>
    <x v="51"/>
    <s v=""/>
    <x v="1"/>
    <x v="0"/>
  </r>
  <r>
    <n v="37179472991"/>
    <n v="150"/>
    <x v="51"/>
    <s v=""/>
    <x v="1"/>
    <x v="0"/>
  </r>
  <r>
    <n v="36432127278"/>
    <n v="161"/>
    <x v="51"/>
    <s v=""/>
    <x v="1"/>
    <x v="0"/>
  </r>
  <r>
    <n v="56326728863"/>
    <n v="161"/>
    <x v="51"/>
    <d v="2034-08-19T00:00:00"/>
    <x v="1"/>
    <x v="4"/>
  </r>
  <r>
    <n v="75292296223"/>
    <n v="175"/>
    <x v="51"/>
    <s v=""/>
    <x v="1"/>
    <x v="0"/>
  </r>
  <r>
    <n v="91915196884"/>
    <n v="181"/>
    <x v="51"/>
    <s v=""/>
    <x v="1"/>
    <x v="0"/>
  </r>
  <r>
    <n v="94514821042"/>
    <n v="188"/>
    <x v="51"/>
    <s v=""/>
    <x v="1"/>
    <x v="0"/>
  </r>
  <r>
    <n v="26696884386"/>
    <n v="189"/>
    <x v="51"/>
    <s v=""/>
    <x v="1"/>
    <x v="0"/>
  </r>
  <r>
    <n v="88440823910"/>
    <n v="204"/>
    <x v="51"/>
    <m/>
    <x v="1"/>
    <x v="0"/>
  </r>
  <r>
    <n v="69144087696"/>
    <n v="227"/>
    <x v="51"/>
    <d v="2034-08-24T00:00:00"/>
    <x v="1"/>
    <x v="4"/>
  </r>
  <r>
    <n v="83500253673"/>
    <n v="227"/>
    <x v="51"/>
    <d v="2034-11-13T00:00:00"/>
    <x v="1"/>
    <x v="6"/>
  </r>
  <r>
    <n v="25631260966"/>
    <n v="233"/>
    <x v="51"/>
    <s v=""/>
    <x v="1"/>
    <x v="0"/>
  </r>
  <r>
    <n v="69890825470"/>
    <n v="234"/>
    <x v="51"/>
    <m/>
    <x v="1"/>
    <x v="0"/>
  </r>
  <r>
    <n v="12852029948"/>
    <n v="243"/>
    <x v="51"/>
    <s v=""/>
    <x v="1"/>
    <x v="0"/>
  </r>
  <r>
    <n v="40395532921"/>
    <n v="247"/>
    <x v="51"/>
    <s v=""/>
    <x v="1"/>
    <x v="0"/>
  </r>
  <r>
    <n v="97403464333"/>
    <n v="267"/>
    <x v="51"/>
    <s v=""/>
    <x v="1"/>
    <x v="0"/>
  </r>
  <r>
    <n v="86156959572"/>
    <n v="270"/>
    <x v="51"/>
    <s v=""/>
    <x v="1"/>
    <x v="0"/>
  </r>
  <r>
    <n v="53095634532"/>
    <n v="282"/>
    <x v="51"/>
    <s v=""/>
    <x v="1"/>
    <x v="0"/>
  </r>
  <r>
    <n v="23546741465"/>
    <n v="284"/>
    <x v="51"/>
    <s v=""/>
    <x v="1"/>
    <x v="0"/>
  </r>
  <r>
    <n v="62121124301"/>
    <n v="296"/>
    <x v="51"/>
    <d v="2034-11-08T00:00:00"/>
    <x v="1"/>
    <x v="6"/>
  </r>
  <r>
    <n v="17688942312"/>
    <n v="301"/>
    <x v="51"/>
    <m/>
    <x v="1"/>
    <x v="0"/>
  </r>
  <r>
    <n v="81554517588"/>
    <n v="330"/>
    <x v="51"/>
    <s v=""/>
    <x v="1"/>
    <x v="0"/>
  </r>
  <r>
    <n v="82307037207"/>
    <n v="29"/>
    <x v="52"/>
    <s v=""/>
    <x v="1"/>
    <x v="0"/>
  </r>
  <r>
    <n v="43748541462"/>
    <n v="41"/>
    <x v="52"/>
    <s v=""/>
    <x v="1"/>
    <x v="0"/>
  </r>
  <r>
    <n v="75697725997"/>
    <n v="62"/>
    <x v="52"/>
    <s v=""/>
    <x v="1"/>
    <x v="0"/>
  </r>
  <r>
    <n v="90057741508"/>
    <n v="73"/>
    <x v="52"/>
    <s v=""/>
    <x v="1"/>
    <x v="0"/>
  </r>
  <r>
    <n v="95126954019"/>
    <n v="102"/>
    <x v="52"/>
    <d v="2034-10-01T00:00:00"/>
    <x v="1"/>
    <x v="5"/>
  </r>
  <r>
    <n v="27407722662"/>
    <n v="103"/>
    <x v="52"/>
    <s v=""/>
    <x v="1"/>
    <x v="0"/>
  </r>
  <r>
    <n v="88744250446"/>
    <n v="116"/>
    <x v="52"/>
    <s v=""/>
    <x v="1"/>
    <x v="0"/>
  </r>
  <r>
    <n v="19039660491"/>
    <n v="122"/>
    <x v="52"/>
    <s v=""/>
    <x v="1"/>
    <x v="0"/>
  </r>
  <r>
    <n v="54100765165"/>
    <n v="126"/>
    <x v="52"/>
    <s v=""/>
    <x v="1"/>
    <x v="0"/>
  </r>
  <r>
    <n v="48557101362"/>
    <n v="133"/>
    <x v="52"/>
    <s v=""/>
    <x v="1"/>
    <x v="0"/>
  </r>
  <r>
    <n v="47529978253"/>
    <n v="134"/>
    <x v="52"/>
    <s v=""/>
    <x v="1"/>
    <x v="0"/>
  </r>
  <r>
    <n v="11749188620"/>
    <n v="141"/>
    <x v="52"/>
    <d v="2034-10-12T00:00:00"/>
    <x v="1"/>
    <x v="5"/>
  </r>
  <r>
    <n v="30213117318"/>
    <n v="143"/>
    <x v="52"/>
    <s v=""/>
    <x v="1"/>
    <x v="0"/>
  </r>
  <r>
    <n v="89269709439"/>
    <n v="154"/>
    <x v="52"/>
    <d v="2034-11-14T00:00:00"/>
    <x v="1"/>
    <x v="6"/>
  </r>
  <r>
    <n v="72856271710"/>
    <n v="165"/>
    <x v="52"/>
    <s v=""/>
    <x v="1"/>
    <x v="0"/>
  </r>
  <r>
    <n v="15925444994"/>
    <n v="172"/>
    <x v="52"/>
    <s v=""/>
    <x v="1"/>
    <x v="0"/>
  </r>
  <r>
    <n v="20942396884"/>
    <n v="224"/>
    <x v="52"/>
    <d v="2034-10-29T00:00:00"/>
    <x v="1"/>
    <x v="5"/>
  </r>
  <r>
    <n v="84605026196"/>
    <n v="226"/>
    <x v="52"/>
    <s v=""/>
    <x v="1"/>
    <x v="0"/>
  </r>
  <r>
    <n v="18604515997"/>
    <n v="226"/>
    <x v="52"/>
    <d v="2034-09-01T00:00:00"/>
    <x v="1"/>
    <x v="3"/>
  </r>
  <r>
    <n v="32049312109"/>
    <n v="233"/>
    <x v="52"/>
    <s v=""/>
    <x v="1"/>
    <x v="0"/>
  </r>
  <r>
    <n v="61141295438"/>
    <n v="234"/>
    <x v="52"/>
    <d v="2034-08-14T00:00:00"/>
    <x v="1"/>
    <x v="4"/>
  </r>
  <r>
    <n v="33668961560"/>
    <n v="252"/>
    <x v="52"/>
    <s v=""/>
    <x v="1"/>
    <x v="0"/>
  </r>
  <r>
    <n v="81504317654"/>
    <n v="258"/>
    <x v="52"/>
    <s v=""/>
    <x v="1"/>
    <x v="0"/>
  </r>
  <r>
    <n v="42430518373"/>
    <n v="285"/>
    <x v="52"/>
    <s v=""/>
    <x v="1"/>
    <x v="0"/>
  </r>
  <r>
    <n v="13972357320"/>
    <n v="314"/>
    <x v="52"/>
    <m/>
    <x v="1"/>
    <x v="0"/>
  </r>
  <r>
    <n v="30854413636"/>
    <n v="314"/>
    <x v="52"/>
    <s v=""/>
    <x v="1"/>
    <x v="0"/>
  </r>
  <r>
    <n v="26242094959"/>
    <n v="325"/>
    <x v="52"/>
    <s v=""/>
    <x v="1"/>
    <x v="0"/>
  </r>
  <r>
    <n v="53597709966"/>
    <n v="329"/>
    <x v="52"/>
    <s v=""/>
    <x v="1"/>
    <x v="0"/>
  </r>
  <r>
    <n v="27449624091"/>
    <n v="29"/>
    <x v="53"/>
    <d v="2034-11-09T00:00:00"/>
    <x v="1"/>
    <x v="6"/>
  </r>
  <r>
    <n v="27686145305"/>
    <n v="53"/>
    <x v="53"/>
    <s v=""/>
    <x v="1"/>
    <x v="0"/>
  </r>
  <r>
    <n v="39869900688"/>
    <n v="62"/>
    <x v="53"/>
    <s v=""/>
    <x v="1"/>
    <x v="0"/>
  </r>
  <r>
    <n v="68713075111"/>
    <n v="65"/>
    <x v="53"/>
    <m/>
    <x v="1"/>
    <x v="0"/>
  </r>
  <r>
    <n v="17364429284"/>
    <n v="77"/>
    <x v="53"/>
    <s v=""/>
    <x v="1"/>
    <x v="0"/>
  </r>
  <r>
    <n v="25026134456"/>
    <n v="97"/>
    <x v="53"/>
    <d v="2034-10-28T00:00:00"/>
    <x v="1"/>
    <x v="5"/>
  </r>
  <r>
    <n v="79656394698"/>
    <n v="110"/>
    <x v="53"/>
    <s v=""/>
    <x v="1"/>
    <x v="0"/>
  </r>
  <r>
    <n v="75071504995"/>
    <n v="111"/>
    <x v="53"/>
    <s v=""/>
    <x v="1"/>
    <x v="0"/>
  </r>
  <r>
    <n v="96621222477"/>
    <n v="123"/>
    <x v="53"/>
    <m/>
    <x v="1"/>
    <x v="0"/>
  </r>
  <r>
    <n v="37240814245"/>
    <n v="135"/>
    <x v="53"/>
    <d v="2034-08-15T00:00:00"/>
    <x v="1"/>
    <x v="4"/>
  </r>
  <r>
    <n v="18806267350"/>
    <n v="182"/>
    <x v="53"/>
    <d v="2034-09-06T00:00:00"/>
    <x v="1"/>
    <x v="3"/>
  </r>
  <r>
    <n v="45029187971"/>
    <n v="197"/>
    <x v="53"/>
    <d v="2034-11-15T00:00:00"/>
    <x v="1"/>
    <x v="6"/>
  </r>
  <r>
    <n v="15262334252"/>
    <n v="216"/>
    <x v="53"/>
    <s v=""/>
    <x v="1"/>
    <x v="0"/>
  </r>
  <r>
    <n v="31406060429"/>
    <n v="221"/>
    <x v="53"/>
    <s v=""/>
    <x v="1"/>
    <x v="0"/>
  </r>
  <r>
    <n v="68299709383"/>
    <n v="222"/>
    <x v="53"/>
    <s v=""/>
    <x v="1"/>
    <x v="0"/>
  </r>
  <r>
    <n v="46704653403"/>
    <n v="223"/>
    <x v="53"/>
    <s v=""/>
    <x v="1"/>
    <x v="0"/>
  </r>
  <r>
    <n v="55183202243"/>
    <n v="228"/>
    <x v="53"/>
    <s v=""/>
    <x v="1"/>
    <x v="0"/>
  </r>
  <r>
    <n v="74378708199"/>
    <n v="239"/>
    <x v="53"/>
    <s v=""/>
    <x v="1"/>
    <x v="0"/>
  </r>
  <r>
    <n v="20755901426"/>
    <n v="250"/>
    <x v="53"/>
    <s v=""/>
    <x v="1"/>
    <x v="0"/>
  </r>
  <r>
    <n v="43082318039"/>
    <n v="255"/>
    <x v="53"/>
    <s v=""/>
    <x v="1"/>
    <x v="0"/>
  </r>
  <r>
    <n v="33183534556"/>
    <n v="276"/>
    <x v="53"/>
    <m/>
    <x v="1"/>
    <x v="0"/>
  </r>
  <r>
    <n v="38686685007"/>
    <n v="281"/>
    <x v="53"/>
    <d v="2034-10-09T00:00:00"/>
    <x v="1"/>
    <x v="5"/>
  </r>
  <r>
    <n v="81939517481"/>
    <n v="283"/>
    <x v="53"/>
    <s v=""/>
    <x v="1"/>
    <x v="0"/>
  </r>
  <r>
    <n v="18375363806"/>
    <n v="302"/>
    <x v="53"/>
    <s v=""/>
    <x v="1"/>
    <x v="0"/>
  </r>
  <r>
    <n v="94688507234"/>
    <n v="324"/>
    <x v="53"/>
    <s v=""/>
    <x v="1"/>
    <x v="0"/>
  </r>
  <r>
    <n v="54663320752"/>
    <n v="325"/>
    <x v="53"/>
    <d v="2034-09-26T00:00:00"/>
    <x v="1"/>
    <x v="3"/>
  </r>
  <r>
    <n v="85141384408"/>
    <n v="325"/>
    <x v="53"/>
    <s v=""/>
    <x v="1"/>
    <x v="0"/>
  </r>
  <r>
    <n v="76422012279"/>
    <n v="334"/>
    <x v="53"/>
    <m/>
    <x v="1"/>
    <x v="0"/>
  </r>
  <r>
    <n v="90346727738"/>
    <n v="6"/>
    <x v="54"/>
    <s v=""/>
    <x v="1"/>
    <x v="0"/>
  </r>
  <r>
    <n v="48307526178"/>
    <n v="25"/>
    <x v="54"/>
    <s v=""/>
    <x v="1"/>
    <x v="0"/>
  </r>
  <r>
    <n v="74672651744"/>
    <n v="33"/>
    <x v="54"/>
    <s v=""/>
    <x v="1"/>
    <x v="0"/>
  </r>
  <r>
    <n v="31716402145"/>
    <n v="53"/>
    <x v="54"/>
    <s v=""/>
    <x v="1"/>
    <x v="0"/>
  </r>
  <r>
    <n v="50768594952"/>
    <n v="143"/>
    <x v="54"/>
    <s v=""/>
    <x v="1"/>
    <x v="0"/>
  </r>
  <r>
    <n v="51668786516"/>
    <n v="193"/>
    <x v="54"/>
    <s v=""/>
    <x v="1"/>
    <x v="0"/>
  </r>
  <r>
    <n v="20146178178"/>
    <n v="242"/>
    <x v="54"/>
    <m/>
    <x v="1"/>
    <x v="0"/>
  </r>
  <r>
    <n v="32763747467"/>
    <n v="253"/>
    <x v="54"/>
    <s v=""/>
    <x v="1"/>
    <x v="0"/>
  </r>
  <r>
    <n v="30556930716"/>
    <n v="255"/>
    <x v="54"/>
    <d v="2034-11-10T00:00:00"/>
    <x v="1"/>
    <x v="6"/>
  </r>
  <r>
    <n v="43709876690"/>
    <n v="267"/>
    <x v="54"/>
    <s v=""/>
    <x v="1"/>
    <x v="0"/>
  </r>
  <r>
    <n v="68346514069"/>
    <n v="288"/>
    <x v="54"/>
    <s v=""/>
    <x v="1"/>
    <x v="0"/>
  </r>
  <r>
    <n v="78028431714"/>
    <n v="294"/>
    <x v="54"/>
    <d v="2034-07-29T00:00:00"/>
    <x v="1"/>
    <x v="2"/>
  </r>
  <r>
    <n v="61170329314"/>
    <n v="301"/>
    <x v="54"/>
    <d v="2034-09-03T00:00:00"/>
    <x v="1"/>
    <x v="3"/>
  </r>
  <r>
    <n v="80842132142"/>
    <n v="306"/>
    <x v="54"/>
    <d v="2034-07-31T00:00:00"/>
    <x v="1"/>
    <x v="2"/>
  </r>
  <r>
    <n v="25355679963"/>
    <n v="316"/>
    <x v="54"/>
    <s v=""/>
    <x v="1"/>
    <x v="0"/>
  </r>
  <r>
    <n v="40926331260"/>
    <n v="318"/>
    <x v="54"/>
    <d v="2034-10-19T00:00:00"/>
    <x v="1"/>
    <x v="5"/>
  </r>
  <r>
    <n v="59047152206"/>
    <n v="321"/>
    <x v="54"/>
    <m/>
    <x v="1"/>
    <x v="0"/>
  </r>
  <r>
    <n v="19254583742"/>
    <n v="327"/>
    <x v="54"/>
    <s v=""/>
    <x v="1"/>
    <x v="0"/>
  </r>
  <r>
    <n v="27836596635"/>
    <n v="327"/>
    <x v="54"/>
    <s v=""/>
    <x v="1"/>
    <x v="0"/>
  </r>
  <r>
    <n v="70463821980"/>
    <n v="330"/>
    <x v="54"/>
    <s v=""/>
    <x v="1"/>
    <x v="0"/>
  </r>
  <r>
    <n v="44570631272"/>
    <n v="338"/>
    <x v="54"/>
    <s v=""/>
    <x v="1"/>
    <x v="0"/>
  </r>
  <r>
    <n v="56507333045"/>
    <n v="0"/>
    <x v="55"/>
    <s v=""/>
    <x v="1"/>
    <x v="0"/>
  </r>
  <r>
    <n v="76325960832"/>
    <n v="1"/>
    <x v="55"/>
    <s v=""/>
    <x v="1"/>
    <x v="0"/>
  </r>
  <r>
    <n v="39534055766"/>
    <n v="14"/>
    <x v="55"/>
    <m/>
    <x v="1"/>
    <x v="0"/>
  </r>
  <r>
    <n v="31931873004"/>
    <n v="18"/>
    <x v="55"/>
    <m/>
    <x v="1"/>
    <x v="0"/>
  </r>
  <r>
    <n v="70159402948"/>
    <n v="57"/>
    <x v="55"/>
    <s v=""/>
    <x v="1"/>
    <x v="0"/>
  </r>
  <r>
    <n v="25182580259"/>
    <n v="59"/>
    <x v="55"/>
    <s v=""/>
    <x v="1"/>
    <x v="0"/>
  </r>
  <r>
    <n v="68000264345"/>
    <n v="87"/>
    <x v="55"/>
    <s v=""/>
    <x v="1"/>
    <x v="0"/>
  </r>
  <r>
    <n v="73520238747"/>
    <n v="114"/>
    <x v="55"/>
    <s v=""/>
    <x v="1"/>
    <x v="0"/>
  </r>
  <r>
    <n v="96332781395"/>
    <n v="114"/>
    <x v="55"/>
    <d v="2034-09-11T00:00:00"/>
    <x v="1"/>
    <x v="3"/>
  </r>
  <r>
    <n v="33500406123"/>
    <n v="135"/>
    <x v="55"/>
    <s v=""/>
    <x v="1"/>
    <x v="0"/>
  </r>
  <r>
    <n v="73554912833"/>
    <n v="150"/>
    <x v="55"/>
    <s v=""/>
    <x v="1"/>
    <x v="0"/>
  </r>
  <r>
    <n v="37412270909"/>
    <n v="170"/>
    <x v="55"/>
    <d v="2034-09-29T00:00:00"/>
    <x v="1"/>
    <x v="3"/>
  </r>
  <r>
    <n v="43253555439"/>
    <n v="181"/>
    <x v="55"/>
    <s v=""/>
    <x v="1"/>
    <x v="0"/>
  </r>
  <r>
    <n v="95701555869"/>
    <n v="182"/>
    <x v="55"/>
    <s v=""/>
    <x v="1"/>
    <x v="0"/>
  </r>
  <r>
    <n v="92691948202"/>
    <n v="187"/>
    <x v="55"/>
    <s v=""/>
    <x v="1"/>
    <x v="0"/>
  </r>
  <r>
    <n v="17004125842"/>
    <n v="197"/>
    <x v="55"/>
    <s v=""/>
    <x v="1"/>
    <x v="0"/>
  </r>
  <r>
    <n v="79548649538"/>
    <n v="204"/>
    <x v="55"/>
    <s v=""/>
    <x v="1"/>
    <x v="0"/>
  </r>
  <r>
    <n v="20392999566"/>
    <n v="233"/>
    <x v="55"/>
    <s v=""/>
    <x v="1"/>
    <x v="0"/>
  </r>
  <r>
    <n v="92113887398"/>
    <n v="257"/>
    <x v="55"/>
    <s v=""/>
    <x v="1"/>
    <x v="0"/>
  </r>
  <r>
    <n v="98483436903"/>
    <n v="258"/>
    <x v="55"/>
    <s v=""/>
    <x v="1"/>
    <x v="0"/>
  </r>
  <r>
    <n v="81850099882"/>
    <n v="260"/>
    <x v="55"/>
    <d v="2034-08-25T00:00:00"/>
    <x v="1"/>
    <x v="4"/>
  </r>
  <r>
    <n v="67803947589"/>
    <n v="261"/>
    <x v="55"/>
    <m/>
    <x v="1"/>
    <x v="0"/>
  </r>
  <r>
    <n v="28853062942"/>
    <n v="262"/>
    <x v="55"/>
    <m/>
    <x v="1"/>
    <x v="0"/>
  </r>
  <r>
    <n v="53877932750"/>
    <n v="274"/>
    <x v="55"/>
    <s v=""/>
    <x v="1"/>
    <x v="0"/>
  </r>
  <r>
    <n v="29055297950"/>
    <n v="286"/>
    <x v="55"/>
    <s v=""/>
    <x v="1"/>
    <x v="0"/>
  </r>
  <r>
    <n v="89304439557"/>
    <n v="305"/>
    <x v="55"/>
    <d v="2034-08-02T00:00:00"/>
    <x v="1"/>
    <x v="4"/>
  </r>
  <r>
    <n v="71760851511"/>
    <n v="3"/>
    <x v="56"/>
    <s v=""/>
    <x v="1"/>
    <x v="0"/>
  </r>
  <r>
    <n v="92299181151"/>
    <n v="3"/>
    <x v="56"/>
    <s v=""/>
    <x v="1"/>
    <x v="0"/>
  </r>
  <r>
    <n v="72873090382"/>
    <n v="11"/>
    <x v="56"/>
    <s v=""/>
    <x v="1"/>
    <x v="0"/>
  </r>
  <r>
    <n v="48490259137"/>
    <n v="38"/>
    <x v="56"/>
    <s v=""/>
    <x v="1"/>
    <x v="0"/>
  </r>
  <r>
    <n v="68502028178"/>
    <n v="49"/>
    <x v="56"/>
    <s v=""/>
    <x v="1"/>
    <x v="0"/>
  </r>
  <r>
    <n v="57447131140"/>
    <n v="79"/>
    <x v="56"/>
    <s v=""/>
    <x v="1"/>
    <x v="0"/>
  </r>
  <r>
    <n v="87421355345"/>
    <n v="100"/>
    <x v="56"/>
    <s v=""/>
    <x v="1"/>
    <x v="0"/>
  </r>
  <r>
    <n v="15150488071"/>
    <n v="106"/>
    <x v="56"/>
    <s v=""/>
    <x v="1"/>
    <x v="0"/>
  </r>
  <r>
    <n v="69736160592"/>
    <n v="124"/>
    <x v="56"/>
    <d v="2034-09-08T00:00:00"/>
    <x v="1"/>
    <x v="3"/>
  </r>
  <r>
    <n v="36547662483"/>
    <n v="132"/>
    <x v="56"/>
    <s v=""/>
    <x v="1"/>
    <x v="0"/>
  </r>
  <r>
    <n v="82149169114"/>
    <n v="202"/>
    <x v="56"/>
    <s v=""/>
    <x v="1"/>
    <x v="0"/>
  </r>
  <r>
    <n v="77883328755"/>
    <n v="206"/>
    <x v="56"/>
    <s v=""/>
    <x v="1"/>
    <x v="0"/>
  </r>
  <r>
    <n v="77367227565"/>
    <n v="210"/>
    <x v="56"/>
    <s v=""/>
    <x v="1"/>
    <x v="0"/>
  </r>
  <r>
    <n v="21601358812"/>
    <n v="221"/>
    <x v="56"/>
    <d v="2034-10-15T00:00:00"/>
    <x v="1"/>
    <x v="5"/>
  </r>
  <r>
    <n v="54116953352"/>
    <n v="239"/>
    <x v="56"/>
    <s v=""/>
    <x v="1"/>
    <x v="0"/>
  </r>
  <r>
    <n v="31286431130"/>
    <n v="261"/>
    <x v="56"/>
    <d v="2034-10-22T00:00:00"/>
    <x v="1"/>
    <x v="5"/>
  </r>
  <r>
    <n v="88065975581"/>
    <n v="263"/>
    <x v="56"/>
    <s v=""/>
    <x v="1"/>
    <x v="0"/>
  </r>
  <r>
    <n v="91812190016"/>
    <n v="270"/>
    <x v="56"/>
    <s v=""/>
    <x v="1"/>
    <x v="0"/>
  </r>
  <r>
    <n v="45013193736"/>
    <n v="272"/>
    <x v="56"/>
    <d v="2034-10-14T00:00:00"/>
    <x v="1"/>
    <x v="5"/>
  </r>
  <r>
    <n v="50569658047"/>
    <n v="275"/>
    <x v="56"/>
    <m/>
    <x v="1"/>
    <x v="0"/>
  </r>
  <r>
    <n v="31434509926"/>
    <n v="279"/>
    <x v="56"/>
    <d v="2034-08-06T00:00:00"/>
    <x v="1"/>
    <x v="4"/>
  </r>
  <r>
    <n v="51787062082"/>
    <n v="279"/>
    <x v="56"/>
    <d v="2034-08-26T00:00:00"/>
    <x v="1"/>
    <x v="4"/>
  </r>
  <r>
    <n v="73975156091"/>
    <n v="280"/>
    <x v="56"/>
    <s v=""/>
    <x v="1"/>
    <x v="0"/>
  </r>
  <r>
    <n v="88571070556"/>
    <n v="286"/>
    <x v="56"/>
    <m/>
    <x v="1"/>
    <x v="0"/>
  </r>
  <r>
    <n v="68624430508"/>
    <n v="305"/>
    <x v="56"/>
    <d v="2034-07-29T00:00:00"/>
    <x v="1"/>
    <x v="2"/>
  </r>
  <r>
    <n v="47371871800"/>
    <n v="309"/>
    <x v="56"/>
    <s v=""/>
    <x v="1"/>
    <x v="0"/>
  </r>
  <r>
    <n v="23597519048"/>
    <n v="312"/>
    <x v="56"/>
    <m/>
    <x v="1"/>
    <x v="0"/>
  </r>
  <r>
    <n v="60124945204"/>
    <n v="318"/>
    <x v="56"/>
    <d v="2034-09-03T00:00:00"/>
    <x v="1"/>
    <x v="3"/>
  </r>
  <r>
    <n v="80545923586"/>
    <n v="332"/>
    <x v="56"/>
    <s v=""/>
    <x v="1"/>
    <x v="0"/>
  </r>
  <r>
    <n v="46260782883"/>
    <n v="3"/>
    <x v="57"/>
    <d v="2034-08-25T00:00:00"/>
    <x v="1"/>
    <x v="4"/>
  </r>
  <r>
    <n v="83457948269"/>
    <n v="12"/>
    <x v="57"/>
    <d v="2034-10-20T00:00:00"/>
    <x v="1"/>
    <x v="5"/>
  </r>
  <r>
    <n v="65197318559"/>
    <n v="80"/>
    <x v="57"/>
    <m/>
    <x v="1"/>
    <x v="0"/>
  </r>
  <r>
    <n v="61461131882"/>
    <n v="87"/>
    <x v="57"/>
    <s v=""/>
    <x v="1"/>
    <x v="0"/>
  </r>
  <r>
    <n v="45816102610"/>
    <n v="89"/>
    <x v="57"/>
    <s v=""/>
    <x v="1"/>
    <x v="0"/>
  </r>
  <r>
    <n v="36221990164"/>
    <n v="97"/>
    <x v="57"/>
    <s v=""/>
    <x v="1"/>
    <x v="0"/>
  </r>
  <r>
    <n v="31870015594"/>
    <n v="110"/>
    <x v="57"/>
    <s v=""/>
    <x v="1"/>
    <x v="0"/>
  </r>
  <r>
    <n v="34197861129"/>
    <n v="115"/>
    <x v="57"/>
    <s v=""/>
    <x v="1"/>
    <x v="0"/>
  </r>
  <r>
    <n v="60575924002"/>
    <n v="136"/>
    <x v="57"/>
    <s v=""/>
    <x v="1"/>
    <x v="0"/>
  </r>
  <r>
    <n v="24739371952"/>
    <n v="141"/>
    <x v="57"/>
    <s v=""/>
    <x v="1"/>
    <x v="0"/>
  </r>
  <r>
    <n v="88400990419"/>
    <n v="155"/>
    <x v="57"/>
    <d v="2034-10-09T00:00:00"/>
    <x v="1"/>
    <x v="5"/>
  </r>
  <r>
    <n v="96154970314"/>
    <n v="161"/>
    <x v="57"/>
    <s v=""/>
    <x v="1"/>
    <x v="0"/>
  </r>
  <r>
    <n v="28555975129"/>
    <n v="175"/>
    <x v="57"/>
    <d v="2034-11-14T00:00:00"/>
    <x v="1"/>
    <x v="6"/>
  </r>
  <r>
    <n v="86544074154"/>
    <n v="176"/>
    <x v="57"/>
    <s v=""/>
    <x v="1"/>
    <x v="0"/>
  </r>
  <r>
    <n v="78091932993"/>
    <n v="208"/>
    <x v="57"/>
    <s v=""/>
    <x v="1"/>
    <x v="0"/>
  </r>
  <r>
    <n v="39024335094"/>
    <n v="215"/>
    <x v="57"/>
    <s v=""/>
    <x v="1"/>
    <x v="0"/>
  </r>
  <r>
    <n v="48996578978"/>
    <n v="216"/>
    <x v="57"/>
    <m/>
    <x v="1"/>
    <x v="0"/>
  </r>
  <r>
    <n v="96269664193"/>
    <n v="224"/>
    <x v="57"/>
    <m/>
    <x v="1"/>
    <x v="0"/>
  </r>
  <r>
    <n v="40623421723"/>
    <n v="252"/>
    <x v="57"/>
    <s v=""/>
    <x v="1"/>
    <x v="0"/>
  </r>
  <r>
    <n v="62392965661"/>
    <n v="316"/>
    <x v="57"/>
    <d v="2034-09-06T00:00:00"/>
    <x v="1"/>
    <x v="3"/>
  </r>
  <r>
    <n v="22335020051"/>
    <n v="326"/>
    <x v="57"/>
    <s v=""/>
    <x v="1"/>
    <x v="0"/>
  </r>
  <r>
    <n v="30116213306"/>
    <n v="333"/>
    <x v="57"/>
    <s v=""/>
    <x v="1"/>
    <x v="0"/>
  </r>
  <r>
    <n v="29740736829"/>
    <n v="335"/>
    <x v="57"/>
    <m/>
    <x v="1"/>
    <x v="0"/>
  </r>
  <r>
    <n v="93406206179"/>
    <n v="340"/>
    <x v="57"/>
    <s v=""/>
    <x v="1"/>
    <x v="0"/>
  </r>
  <r>
    <n v="60689463958"/>
    <n v="1"/>
    <x v="58"/>
    <s v=""/>
    <x v="1"/>
    <x v="0"/>
  </r>
  <r>
    <n v="95227982688"/>
    <n v="22"/>
    <x v="58"/>
    <d v="2034-09-28T00:00:00"/>
    <x v="1"/>
    <x v="3"/>
  </r>
  <r>
    <n v="51622529885"/>
    <n v="27"/>
    <x v="58"/>
    <s v=""/>
    <x v="1"/>
    <x v="0"/>
  </r>
  <r>
    <n v="43428230947"/>
    <n v="37"/>
    <x v="58"/>
    <s v=""/>
    <x v="1"/>
    <x v="0"/>
  </r>
  <r>
    <n v="43355369425"/>
    <n v="40"/>
    <x v="58"/>
    <s v=""/>
    <x v="1"/>
    <x v="0"/>
  </r>
  <r>
    <n v="81883306705"/>
    <n v="50"/>
    <x v="58"/>
    <s v=""/>
    <x v="1"/>
    <x v="0"/>
  </r>
  <r>
    <n v="46046461150"/>
    <n v="58"/>
    <x v="58"/>
    <s v=""/>
    <x v="1"/>
    <x v="0"/>
  </r>
  <r>
    <n v="52076802524"/>
    <n v="60"/>
    <x v="58"/>
    <d v="2034-11-25T00:00:00"/>
    <x v="1"/>
    <x v="6"/>
  </r>
  <r>
    <n v="74049775593"/>
    <n v="101"/>
    <x v="58"/>
    <d v="2034-10-22T00:00:00"/>
    <x v="1"/>
    <x v="5"/>
  </r>
  <r>
    <n v="36130064274"/>
    <n v="105"/>
    <x v="58"/>
    <s v=""/>
    <x v="1"/>
    <x v="0"/>
  </r>
  <r>
    <n v="26080908600"/>
    <n v="109"/>
    <x v="58"/>
    <s v=""/>
    <x v="1"/>
    <x v="0"/>
  </r>
  <r>
    <n v="85844017157"/>
    <n v="110"/>
    <x v="58"/>
    <d v="2034-09-10T00:00:00"/>
    <x v="1"/>
    <x v="3"/>
  </r>
  <r>
    <n v="57012757879"/>
    <n v="124"/>
    <x v="58"/>
    <s v=""/>
    <x v="1"/>
    <x v="0"/>
  </r>
  <r>
    <n v="17616568557"/>
    <n v="132"/>
    <x v="58"/>
    <s v=""/>
    <x v="1"/>
    <x v="0"/>
  </r>
  <r>
    <n v="16124985022"/>
    <n v="138"/>
    <x v="58"/>
    <m/>
    <x v="1"/>
    <x v="0"/>
  </r>
  <r>
    <n v="69010426298"/>
    <n v="144"/>
    <x v="58"/>
    <s v=""/>
    <x v="1"/>
    <x v="0"/>
  </r>
  <r>
    <n v="22200150323"/>
    <n v="187"/>
    <x v="58"/>
    <m/>
    <x v="1"/>
    <x v="0"/>
  </r>
  <r>
    <n v="18338440086"/>
    <n v="187"/>
    <x v="58"/>
    <s v=""/>
    <x v="1"/>
    <x v="0"/>
  </r>
  <r>
    <n v="94704139121"/>
    <n v="191"/>
    <x v="58"/>
    <s v=""/>
    <x v="1"/>
    <x v="0"/>
  </r>
  <r>
    <n v="54945623738"/>
    <n v="205"/>
    <x v="58"/>
    <s v=""/>
    <x v="1"/>
    <x v="0"/>
  </r>
  <r>
    <n v="95621650154"/>
    <n v="216"/>
    <x v="58"/>
    <s v=""/>
    <x v="1"/>
    <x v="0"/>
  </r>
  <r>
    <n v="72763503987"/>
    <n v="218"/>
    <x v="58"/>
    <d v="2034-11-23T00:00:00"/>
    <x v="1"/>
    <x v="6"/>
  </r>
  <r>
    <n v="97349254090"/>
    <n v="223"/>
    <x v="58"/>
    <d v="2034-08-02T00:00:00"/>
    <x v="1"/>
    <x v="4"/>
  </r>
  <r>
    <n v="34788371146"/>
    <n v="234"/>
    <x v="58"/>
    <m/>
    <x v="1"/>
    <x v="0"/>
  </r>
  <r>
    <n v="21234984388"/>
    <n v="248"/>
    <x v="58"/>
    <d v="2034-11-20T00:00:00"/>
    <x v="1"/>
    <x v="6"/>
  </r>
  <r>
    <n v="84979617447"/>
    <n v="287"/>
    <x v="58"/>
    <d v="2034-08-28T00:00:00"/>
    <x v="1"/>
    <x v="4"/>
  </r>
  <r>
    <n v="45126996875"/>
    <n v="324"/>
    <x v="58"/>
    <s v=""/>
    <x v="1"/>
    <x v="0"/>
  </r>
  <r>
    <n v="54501452176"/>
    <n v="325"/>
    <x v="58"/>
    <s v=""/>
    <x v="1"/>
    <x v="0"/>
  </r>
  <r>
    <n v="42188556436"/>
    <n v="328"/>
    <x v="58"/>
    <s v=""/>
    <x v="1"/>
    <x v="0"/>
  </r>
  <r>
    <n v="59217896373"/>
    <n v="2"/>
    <x v="59"/>
    <m/>
    <x v="1"/>
    <x v="0"/>
  </r>
  <r>
    <n v="90813532436"/>
    <n v="3"/>
    <x v="59"/>
    <m/>
    <x v="1"/>
    <x v="0"/>
  </r>
  <r>
    <n v="87618999023"/>
    <n v="31"/>
    <x v="59"/>
    <d v="2034-11-16T00:00:00"/>
    <x v="1"/>
    <x v="6"/>
  </r>
  <r>
    <n v="78486044470"/>
    <n v="40"/>
    <x v="59"/>
    <s v=""/>
    <x v="1"/>
    <x v="0"/>
  </r>
  <r>
    <n v="34020676674"/>
    <n v="44"/>
    <x v="59"/>
    <s v=""/>
    <x v="1"/>
    <x v="0"/>
  </r>
  <r>
    <n v="75777634915"/>
    <n v="59"/>
    <x v="59"/>
    <s v=""/>
    <x v="1"/>
    <x v="0"/>
  </r>
  <r>
    <n v="86814388679"/>
    <n v="75"/>
    <x v="59"/>
    <m/>
    <x v="1"/>
    <x v="0"/>
  </r>
  <r>
    <n v="95098323030"/>
    <n v="84"/>
    <x v="59"/>
    <s v=""/>
    <x v="1"/>
    <x v="0"/>
  </r>
  <r>
    <n v="55056282087"/>
    <n v="110"/>
    <x v="59"/>
    <m/>
    <x v="1"/>
    <x v="0"/>
  </r>
  <r>
    <n v="61124179180"/>
    <n v="121"/>
    <x v="59"/>
    <s v=""/>
    <x v="1"/>
    <x v="0"/>
  </r>
  <r>
    <n v="16866542600"/>
    <n v="127"/>
    <x v="59"/>
    <m/>
    <x v="1"/>
    <x v="0"/>
  </r>
  <r>
    <n v="56508422179"/>
    <n v="144"/>
    <x v="59"/>
    <d v="2034-10-31T00:00:00"/>
    <x v="1"/>
    <x v="5"/>
  </r>
  <r>
    <n v="12358386817"/>
    <n v="146"/>
    <x v="59"/>
    <s v=""/>
    <x v="1"/>
    <x v="0"/>
  </r>
  <r>
    <n v="96303426211"/>
    <n v="149"/>
    <x v="59"/>
    <d v="2034-10-12T00:00:00"/>
    <x v="1"/>
    <x v="5"/>
  </r>
  <r>
    <n v="59531967148"/>
    <n v="151"/>
    <x v="59"/>
    <d v="2034-08-02T00:00:00"/>
    <x v="1"/>
    <x v="4"/>
  </r>
  <r>
    <n v="34106657166"/>
    <n v="159"/>
    <x v="59"/>
    <s v=""/>
    <x v="1"/>
    <x v="0"/>
  </r>
  <r>
    <n v="88474919767"/>
    <n v="173"/>
    <x v="59"/>
    <d v="2034-11-01T00:00:00"/>
    <x v="1"/>
    <x v="6"/>
  </r>
  <r>
    <n v="76717973116"/>
    <n v="184"/>
    <x v="59"/>
    <d v="2034-08-01T00:00:00"/>
    <x v="1"/>
    <x v="4"/>
  </r>
  <r>
    <n v="12141451894"/>
    <n v="186"/>
    <x v="59"/>
    <d v="2034-08-29T00:00:00"/>
    <x v="1"/>
    <x v="4"/>
  </r>
  <r>
    <n v="28091160060"/>
    <n v="207"/>
    <x v="59"/>
    <s v=""/>
    <x v="1"/>
    <x v="0"/>
  </r>
  <r>
    <n v="38210578453"/>
    <n v="208"/>
    <x v="59"/>
    <s v=""/>
    <x v="1"/>
    <x v="0"/>
  </r>
  <r>
    <n v="97920451787"/>
    <n v="225"/>
    <x v="59"/>
    <d v="2034-11-03T00:00:00"/>
    <x v="1"/>
    <x v="6"/>
  </r>
  <r>
    <n v="81156179282"/>
    <n v="239"/>
    <x v="59"/>
    <s v=""/>
    <x v="1"/>
    <x v="0"/>
  </r>
  <r>
    <n v="19056804870"/>
    <n v="239"/>
    <x v="59"/>
    <m/>
    <x v="1"/>
    <x v="0"/>
  </r>
  <r>
    <n v="31091243591"/>
    <n v="255"/>
    <x v="59"/>
    <s v=""/>
    <x v="1"/>
    <x v="0"/>
  </r>
  <r>
    <n v="69256075199"/>
    <n v="270"/>
    <x v="59"/>
    <d v="2034-11-23T00:00:00"/>
    <x v="1"/>
    <x v="6"/>
  </r>
  <r>
    <n v="66727925965"/>
    <n v="286"/>
    <x v="59"/>
    <s v=""/>
    <x v="1"/>
    <x v="0"/>
  </r>
  <r>
    <n v="66218745929"/>
    <n v="298"/>
    <x v="59"/>
    <s v=""/>
    <x v="1"/>
    <x v="0"/>
  </r>
  <r>
    <n v="64463957419"/>
    <n v="301"/>
    <x v="59"/>
    <s v=""/>
    <x v="1"/>
    <x v="0"/>
  </r>
  <r>
    <n v="52367310654"/>
    <n v="302"/>
    <x v="59"/>
    <m/>
    <x v="1"/>
    <x v="0"/>
  </r>
  <r>
    <n v="93296187700"/>
    <n v="317"/>
    <x v="59"/>
    <d v="2034-08-16T00:00:00"/>
    <x v="1"/>
    <x v="4"/>
  </r>
  <r>
    <n v="65496378824"/>
    <n v="322"/>
    <x v="59"/>
    <s v=""/>
    <x v="1"/>
    <x v="0"/>
  </r>
  <r>
    <n v="38476929211"/>
    <n v="328"/>
    <x v="59"/>
    <s v=""/>
    <x v="1"/>
    <x v="0"/>
  </r>
  <r>
    <n v="74662333996"/>
    <n v="334"/>
    <x v="59"/>
    <m/>
    <x v="1"/>
    <x v="0"/>
  </r>
  <r>
    <n v="21738621719"/>
    <n v="57"/>
    <x v="60"/>
    <s v=""/>
    <x v="1"/>
    <x v="0"/>
  </r>
  <r>
    <n v="87673567845"/>
    <n v="57"/>
    <x v="60"/>
    <s v=""/>
    <x v="1"/>
    <x v="0"/>
  </r>
  <r>
    <n v="13884787596"/>
    <n v="59"/>
    <x v="60"/>
    <s v=""/>
    <x v="1"/>
    <x v="0"/>
  </r>
  <r>
    <n v="90900836845"/>
    <n v="84"/>
    <x v="60"/>
    <s v=""/>
    <x v="1"/>
    <x v="0"/>
  </r>
  <r>
    <n v="29588699548"/>
    <n v="86"/>
    <x v="60"/>
    <d v="2034-08-29T00:00:00"/>
    <x v="1"/>
    <x v="4"/>
  </r>
  <r>
    <n v="38913046091"/>
    <n v="89"/>
    <x v="60"/>
    <s v=""/>
    <x v="1"/>
    <x v="0"/>
  </r>
  <r>
    <n v="44307932403"/>
    <n v="116"/>
    <x v="60"/>
    <s v=""/>
    <x v="1"/>
    <x v="0"/>
  </r>
  <r>
    <n v="55080891550"/>
    <n v="121"/>
    <x v="60"/>
    <s v=""/>
    <x v="1"/>
    <x v="0"/>
  </r>
  <r>
    <n v="80314378521"/>
    <n v="140"/>
    <x v="60"/>
    <m/>
    <x v="1"/>
    <x v="0"/>
  </r>
  <r>
    <n v="58369926643"/>
    <n v="141"/>
    <x v="60"/>
    <s v=""/>
    <x v="1"/>
    <x v="0"/>
  </r>
  <r>
    <n v="77760270552"/>
    <n v="178"/>
    <x v="60"/>
    <s v=""/>
    <x v="1"/>
    <x v="0"/>
  </r>
  <r>
    <n v="48958589886"/>
    <n v="185"/>
    <x v="60"/>
    <s v=""/>
    <x v="1"/>
    <x v="0"/>
  </r>
  <r>
    <n v="55765092648"/>
    <n v="187"/>
    <x v="60"/>
    <s v=""/>
    <x v="1"/>
    <x v="0"/>
  </r>
  <r>
    <n v="60495428572"/>
    <n v="225"/>
    <x v="60"/>
    <s v=""/>
    <x v="1"/>
    <x v="0"/>
  </r>
  <r>
    <n v="36276835926"/>
    <n v="247"/>
    <x v="60"/>
    <m/>
    <x v="1"/>
    <x v="0"/>
  </r>
  <r>
    <n v="11429735254"/>
    <n v="269"/>
    <x v="60"/>
    <s v=""/>
    <x v="1"/>
    <x v="0"/>
  </r>
  <r>
    <n v="71538551671"/>
    <n v="314"/>
    <x v="60"/>
    <s v=""/>
    <x v="1"/>
    <x v="0"/>
  </r>
  <r>
    <n v="11235423687"/>
    <n v="319"/>
    <x v="60"/>
    <d v="2034-10-19T00:00:00"/>
    <x v="1"/>
    <x v="5"/>
  </r>
  <r>
    <n v="92361561981"/>
    <n v="13"/>
    <x v="61"/>
    <s v=""/>
    <x v="2"/>
    <x v="0"/>
  </r>
  <r>
    <n v="59816584428"/>
    <n v="13"/>
    <x v="61"/>
    <s v=""/>
    <x v="2"/>
    <x v="0"/>
  </r>
  <r>
    <n v="91843653151"/>
    <n v="14"/>
    <x v="61"/>
    <d v="2034-09-16T00:00:00"/>
    <x v="2"/>
    <x v="3"/>
  </r>
  <r>
    <n v="84528103773"/>
    <n v="21"/>
    <x v="61"/>
    <s v=""/>
    <x v="2"/>
    <x v="0"/>
  </r>
  <r>
    <n v="68158996217"/>
    <n v="22"/>
    <x v="61"/>
    <m/>
    <x v="2"/>
    <x v="0"/>
  </r>
  <r>
    <n v="43478194132"/>
    <n v="46"/>
    <x v="61"/>
    <m/>
    <x v="2"/>
    <x v="0"/>
  </r>
  <r>
    <n v="26431203700"/>
    <n v="81"/>
    <x v="61"/>
    <s v=""/>
    <x v="2"/>
    <x v="0"/>
  </r>
  <r>
    <n v="45778448155"/>
    <n v="97"/>
    <x v="61"/>
    <s v=""/>
    <x v="2"/>
    <x v="0"/>
  </r>
  <r>
    <n v="90153575083"/>
    <n v="113"/>
    <x v="61"/>
    <s v=""/>
    <x v="2"/>
    <x v="0"/>
  </r>
  <r>
    <n v="49113905900"/>
    <n v="127"/>
    <x v="61"/>
    <d v="2034-10-18T00:00:00"/>
    <x v="2"/>
    <x v="5"/>
  </r>
  <r>
    <n v="76151003408"/>
    <n v="138"/>
    <x v="61"/>
    <s v=""/>
    <x v="2"/>
    <x v="0"/>
  </r>
  <r>
    <n v="33793212157"/>
    <n v="155"/>
    <x v="61"/>
    <s v=""/>
    <x v="2"/>
    <x v="0"/>
  </r>
  <r>
    <n v="35147123943"/>
    <n v="157"/>
    <x v="61"/>
    <s v=""/>
    <x v="2"/>
    <x v="0"/>
  </r>
  <r>
    <n v="99079995200"/>
    <n v="166"/>
    <x v="61"/>
    <m/>
    <x v="2"/>
    <x v="0"/>
  </r>
  <r>
    <n v="27760122881"/>
    <n v="173"/>
    <x v="61"/>
    <s v=""/>
    <x v="2"/>
    <x v="0"/>
  </r>
  <r>
    <n v="42409794017"/>
    <n v="190"/>
    <x v="61"/>
    <s v=""/>
    <x v="2"/>
    <x v="0"/>
  </r>
  <r>
    <n v="84675849237"/>
    <n v="199"/>
    <x v="61"/>
    <s v=""/>
    <x v="2"/>
    <x v="0"/>
  </r>
  <r>
    <n v="44982428786"/>
    <n v="218"/>
    <x v="61"/>
    <s v=""/>
    <x v="2"/>
    <x v="0"/>
  </r>
  <r>
    <n v="28797944464"/>
    <n v="222"/>
    <x v="61"/>
    <s v=""/>
    <x v="2"/>
    <x v="0"/>
  </r>
  <r>
    <n v="93928028240"/>
    <n v="232"/>
    <x v="61"/>
    <s v=""/>
    <x v="2"/>
    <x v="0"/>
  </r>
  <r>
    <n v="92117815769"/>
    <n v="249"/>
    <x v="61"/>
    <s v=""/>
    <x v="2"/>
    <x v="0"/>
  </r>
  <r>
    <n v="50503541348"/>
    <n v="256"/>
    <x v="61"/>
    <s v=""/>
    <x v="2"/>
    <x v="0"/>
  </r>
  <r>
    <n v="32723448286"/>
    <n v="256"/>
    <x v="61"/>
    <d v="2034-08-03T00:00:00"/>
    <x v="2"/>
    <x v="4"/>
  </r>
  <r>
    <n v="11320705218"/>
    <n v="257"/>
    <x v="61"/>
    <s v=""/>
    <x v="2"/>
    <x v="0"/>
  </r>
  <r>
    <n v="68917008783"/>
    <n v="259"/>
    <x v="61"/>
    <s v=""/>
    <x v="2"/>
    <x v="0"/>
  </r>
  <r>
    <n v="44825446005"/>
    <n v="263"/>
    <x v="61"/>
    <s v=""/>
    <x v="2"/>
    <x v="0"/>
  </r>
  <r>
    <n v="40816200883"/>
    <n v="286"/>
    <x v="61"/>
    <d v="2034-10-12T00:00:00"/>
    <x v="2"/>
    <x v="5"/>
  </r>
  <r>
    <n v="71360708177"/>
    <n v="289"/>
    <x v="61"/>
    <s v=""/>
    <x v="2"/>
    <x v="0"/>
  </r>
  <r>
    <n v="73707685036"/>
    <n v="294"/>
    <x v="61"/>
    <s v=""/>
    <x v="2"/>
    <x v="0"/>
  </r>
  <r>
    <n v="38403060769"/>
    <n v="304"/>
    <x v="61"/>
    <d v="2034-08-28T00:00:00"/>
    <x v="2"/>
    <x v="4"/>
  </r>
  <r>
    <n v="84318595830"/>
    <n v="336"/>
    <x v="61"/>
    <s v=""/>
    <x v="2"/>
    <x v="0"/>
  </r>
  <r>
    <n v="21554017919"/>
    <n v="12"/>
    <x v="62"/>
    <m/>
    <x v="2"/>
    <x v="0"/>
  </r>
  <r>
    <n v="58546927512"/>
    <n v="15"/>
    <x v="62"/>
    <s v=""/>
    <x v="2"/>
    <x v="0"/>
  </r>
  <r>
    <n v="45966083166"/>
    <n v="33"/>
    <x v="62"/>
    <s v=""/>
    <x v="2"/>
    <x v="0"/>
  </r>
  <r>
    <n v="54248234642"/>
    <n v="40"/>
    <x v="62"/>
    <d v="2034-09-02T00:00:00"/>
    <x v="2"/>
    <x v="3"/>
  </r>
  <r>
    <n v="43002880400"/>
    <n v="56"/>
    <x v="62"/>
    <s v=""/>
    <x v="2"/>
    <x v="0"/>
  </r>
  <r>
    <n v="66068127427"/>
    <n v="126"/>
    <x v="62"/>
    <s v=""/>
    <x v="2"/>
    <x v="0"/>
  </r>
  <r>
    <n v="61019924283"/>
    <n v="128"/>
    <x v="62"/>
    <s v=""/>
    <x v="2"/>
    <x v="0"/>
  </r>
  <r>
    <n v="32480144448"/>
    <n v="144"/>
    <x v="62"/>
    <m/>
    <x v="2"/>
    <x v="0"/>
  </r>
  <r>
    <n v="54159685297"/>
    <n v="152"/>
    <x v="62"/>
    <m/>
    <x v="2"/>
    <x v="0"/>
  </r>
  <r>
    <n v="62939475692"/>
    <n v="160"/>
    <x v="62"/>
    <m/>
    <x v="2"/>
    <x v="0"/>
  </r>
  <r>
    <n v="51174044261"/>
    <n v="164"/>
    <x v="62"/>
    <d v="2034-09-23T00:00:00"/>
    <x v="2"/>
    <x v="3"/>
  </r>
  <r>
    <n v="79470127798"/>
    <n v="190"/>
    <x v="62"/>
    <s v=""/>
    <x v="2"/>
    <x v="0"/>
  </r>
  <r>
    <n v="71394839565"/>
    <n v="206"/>
    <x v="62"/>
    <s v=""/>
    <x v="2"/>
    <x v="0"/>
  </r>
  <r>
    <n v="43360995493"/>
    <n v="212"/>
    <x v="62"/>
    <d v="2034-10-22T00:00:00"/>
    <x v="2"/>
    <x v="5"/>
  </r>
  <r>
    <n v="43270935845"/>
    <n v="246"/>
    <x v="62"/>
    <s v=""/>
    <x v="2"/>
    <x v="0"/>
  </r>
  <r>
    <n v="83454855229"/>
    <n v="271"/>
    <x v="62"/>
    <m/>
    <x v="2"/>
    <x v="0"/>
  </r>
  <r>
    <n v="88122814968"/>
    <n v="274"/>
    <x v="62"/>
    <s v=""/>
    <x v="2"/>
    <x v="0"/>
  </r>
  <r>
    <n v="59054273136"/>
    <n v="323"/>
    <x v="62"/>
    <s v=""/>
    <x v="2"/>
    <x v="0"/>
  </r>
  <r>
    <n v="56051707355"/>
    <n v="329"/>
    <x v="62"/>
    <d v="2034-10-15T00:00:00"/>
    <x v="2"/>
    <x v="5"/>
  </r>
  <r>
    <n v="34603176662"/>
    <n v="34"/>
    <x v="63"/>
    <m/>
    <x v="2"/>
    <x v="0"/>
  </r>
  <r>
    <n v="98637002009"/>
    <n v="47"/>
    <x v="63"/>
    <s v=""/>
    <x v="2"/>
    <x v="0"/>
  </r>
  <r>
    <n v="78133245588"/>
    <n v="86"/>
    <x v="63"/>
    <m/>
    <x v="2"/>
    <x v="0"/>
  </r>
  <r>
    <n v="58501923477"/>
    <n v="144"/>
    <x v="63"/>
    <m/>
    <x v="2"/>
    <x v="0"/>
  </r>
  <r>
    <n v="63381973497"/>
    <n v="146"/>
    <x v="63"/>
    <s v=""/>
    <x v="2"/>
    <x v="0"/>
  </r>
  <r>
    <n v="16919450947"/>
    <n v="148"/>
    <x v="63"/>
    <s v=""/>
    <x v="2"/>
    <x v="0"/>
  </r>
  <r>
    <n v="94205400465"/>
    <n v="195"/>
    <x v="63"/>
    <s v=""/>
    <x v="2"/>
    <x v="0"/>
  </r>
  <r>
    <n v="60451512602"/>
    <n v="205"/>
    <x v="63"/>
    <s v=""/>
    <x v="2"/>
    <x v="0"/>
  </r>
  <r>
    <n v="35060471236"/>
    <n v="244"/>
    <x v="63"/>
    <d v="2034-10-23T00:00:00"/>
    <x v="2"/>
    <x v="5"/>
  </r>
  <r>
    <n v="29409607753"/>
    <n v="254"/>
    <x v="63"/>
    <s v=""/>
    <x v="2"/>
    <x v="0"/>
  </r>
  <r>
    <n v="42928515875"/>
    <n v="276"/>
    <x v="63"/>
    <s v=""/>
    <x v="2"/>
    <x v="0"/>
  </r>
  <r>
    <n v="32242793034"/>
    <n v="288"/>
    <x v="63"/>
    <s v=""/>
    <x v="2"/>
    <x v="0"/>
  </r>
  <r>
    <n v="33033794001"/>
    <n v="304"/>
    <x v="63"/>
    <d v="2034-10-13T00:00:00"/>
    <x v="2"/>
    <x v="5"/>
  </r>
  <r>
    <n v="24098734101"/>
    <n v="316"/>
    <x v="63"/>
    <s v=""/>
    <x v="2"/>
    <x v="0"/>
  </r>
  <r>
    <n v="31321233839"/>
    <n v="331"/>
    <x v="63"/>
    <s v=""/>
    <x v="2"/>
    <x v="0"/>
  </r>
  <r>
    <n v="78739435644"/>
    <n v="333"/>
    <x v="63"/>
    <s v=""/>
    <x v="2"/>
    <x v="0"/>
  </r>
  <r>
    <n v="36489193175"/>
    <n v="33"/>
    <x v="64"/>
    <s v=""/>
    <x v="2"/>
    <x v="0"/>
  </r>
  <r>
    <n v="83120095945"/>
    <n v="47"/>
    <x v="64"/>
    <m/>
    <x v="2"/>
    <x v="0"/>
  </r>
  <r>
    <n v="97612597558"/>
    <n v="62"/>
    <x v="64"/>
    <m/>
    <x v="2"/>
    <x v="0"/>
  </r>
  <r>
    <n v="96165690155"/>
    <n v="107"/>
    <x v="64"/>
    <s v=""/>
    <x v="2"/>
    <x v="0"/>
  </r>
  <r>
    <n v="70055981916"/>
    <n v="131"/>
    <x v="64"/>
    <s v=""/>
    <x v="2"/>
    <x v="0"/>
  </r>
  <r>
    <n v="80288337566"/>
    <n v="152"/>
    <x v="64"/>
    <d v="2034-11-16T00:00:00"/>
    <x v="2"/>
    <x v="6"/>
  </r>
  <r>
    <n v="29932728051"/>
    <n v="158"/>
    <x v="64"/>
    <m/>
    <x v="2"/>
    <x v="0"/>
  </r>
  <r>
    <n v="70622756239"/>
    <n v="202"/>
    <x v="64"/>
    <s v=""/>
    <x v="2"/>
    <x v="0"/>
  </r>
  <r>
    <n v="77185146588"/>
    <n v="207"/>
    <x v="64"/>
    <s v=""/>
    <x v="2"/>
    <x v="0"/>
  </r>
  <r>
    <n v="65707000952"/>
    <n v="208"/>
    <x v="64"/>
    <s v=""/>
    <x v="2"/>
    <x v="0"/>
  </r>
  <r>
    <n v="94075834088"/>
    <n v="230"/>
    <x v="64"/>
    <s v=""/>
    <x v="2"/>
    <x v="0"/>
  </r>
  <r>
    <n v="81292396193"/>
    <n v="240"/>
    <x v="64"/>
    <s v=""/>
    <x v="2"/>
    <x v="0"/>
  </r>
  <r>
    <n v="89850406464"/>
    <n v="242"/>
    <x v="64"/>
    <d v="2034-12-02T00:00:00"/>
    <x v="2"/>
    <x v="7"/>
  </r>
  <r>
    <n v="90626995973"/>
    <n v="316"/>
    <x v="64"/>
    <s v=""/>
    <x v="2"/>
    <x v="0"/>
  </r>
  <r>
    <n v="60219641224"/>
    <n v="14"/>
    <x v="65"/>
    <d v="2034-09-27T00:00:00"/>
    <x v="2"/>
    <x v="3"/>
  </r>
  <r>
    <n v="37001072094"/>
    <n v="17"/>
    <x v="65"/>
    <s v=""/>
    <x v="2"/>
    <x v="0"/>
  </r>
  <r>
    <n v="54005198397"/>
    <n v="38"/>
    <x v="65"/>
    <s v=""/>
    <x v="2"/>
    <x v="0"/>
  </r>
  <r>
    <n v="51068080788"/>
    <n v="41"/>
    <x v="65"/>
    <s v=""/>
    <x v="2"/>
    <x v="0"/>
  </r>
  <r>
    <n v="50610107072"/>
    <n v="58"/>
    <x v="65"/>
    <s v=""/>
    <x v="2"/>
    <x v="0"/>
  </r>
  <r>
    <n v="42886351727"/>
    <n v="64"/>
    <x v="65"/>
    <s v=""/>
    <x v="2"/>
    <x v="0"/>
  </r>
  <r>
    <n v="16933277417"/>
    <n v="64"/>
    <x v="65"/>
    <s v=""/>
    <x v="2"/>
    <x v="0"/>
  </r>
  <r>
    <n v="20789536931"/>
    <n v="69"/>
    <x v="65"/>
    <d v="2034-08-06T00:00:00"/>
    <x v="2"/>
    <x v="4"/>
  </r>
  <r>
    <n v="76599422903"/>
    <n v="84"/>
    <x v="65"/>
    <m/>
    <x v="2"/>
    <x v="0"/>
  </r>
  <r>
    <n v="87413795240"/>
    <n v="118"/>
    <x v="65"/>
    <m/>
    <x v="2"/>
    <x v="0"/>
  </r>
  <r>
    <n v="20270821641"/>
    <n v="149"/>
    <x v="65"/>
    <d v="2034-09-11T00:00:00"/>
    <x v="2"/>
    <x v="3"/>
  </r>
  <r>
    <n v="76743173510"/>
    <n v="165"/>
    <x v="65"/>
    <s v=""/>
    <x v="2"/>
    <x v="0"/>
  </r>
  <r>
    <n v="84296347950"/>
    <n v="190"/>
    <x v="65"/>
    <s v=""/>
    <x v="2"/>
    <x v="0"/>
  </r>
  <r>
    <n v="94491093736"/>
    <n v="200"/>
    <x v="65"/>
    <s v=""/>
    <x v="2"/>
    <x v="0"/>
  </r>
  <r>
    <n v="56799038383"/>
    <n v="200"/>
    <x v="65"/>
    <m/>
    <x v="2"/>
    <x v="0"/>
  </r>
  <r>
    <n v="39230156270"/>
    <n v="201"/>
    <x v="65"/>
    <s v=""/>
    <x v="2"/>
    <x v="0"/>
  </r>
  <r>
    <n v="43020745504"/>
    <n v="205"/>
    <x v="65"/>
    <s v=""/>
    <x v="2"/>
    <x v="0"/>
  </r>
  <r>
    <n v="96172892477"/>
    <n v="214"/>
    <x v="65"/>
    <s v=""/>
    <x v="2"/>
    <x v="0"/>
  </r>
  <r>
    <n v="43048616534"/>
    <n v="220"/>
    <x v="65"/>
    <s v=""/>
    <x v="2"/>
    <x v="0"/>
  </r>
  <r>
    <n v="43214180428"/>
    <n v="233"/>
    <x v="65"/>
    <m/>
    <x v="2"/>
    <x v="0"/>
  </r>
  <r>
    <n v="31106429386"/>
    <n v="234"/>
    <x v="65"/>
    <s v=""/>
    <x v="2"/>
    <x v="0"/>
  </r>
  <r>
    <n v="55534977201"/>
    <n v="238"/>
    <x v="65"/>
    <s v=""/>
    <x v="2"/>
    <x v="0"/>
  </r>
  <r>
    <n v="19761634123"/>
    <n v="251"/>
    <x v="65"/>
    <s v=""/>
    <x v="2"/>
    <x v="0"/>
  </r>
  <r>
    <n v="70803680998"/>
    <n v="276"/>
    <x v="65"/>
    <d v="2034-11-04T00:00:00"/>
    <x v="2"/>
    <x v="6"/>
  </r>
  <r>
    <n v="54486107158"/>
    <n v="294"/>
    <x v="65"/>
    <s v=""/>
    <x v="2"/>
    <x v="0"/>
  </r>
  <r>
    <n v="85505686006"/>
    <n v="311"/>
    <x v="65"/>
    <s v=""/>
    <x v="2"/>
    <x v="0"/>
  </r>
  <r>
    <n v="30541245196"/>
    <n v="338"/>
    <x v="65"/>
    <d v="2034-10-05T00:00:00"/>
    <x v="2"/>
    <x v="5"/>
  </r>
  <r>
    <n v="90404149800"/>
    <n v="8"/>
    <x v="66"/>
    <s v=""/>
    <x v="2"/>
    <x v="0"/>
  </r>
  <r>
    <n v="52207982576"/>
    <n v="16"/>
    <x v="66"/>
    <m/>
    <x v="2"/>
    <x v="0"/>
  </r>
  <r>
    <n v="84423535063"/>
    <n v="19"/>
    <x v="66"/>
    <s v=""/>
    <x v="2"/>
    <x v="0"/>
  </r>
  <r>
    <n v="48324100936"/>
    <n v="23"/>
    <x v="66"/>
    <s v=""/>
    <x v="2"/>
    <x v="0"/>
  </r>
  <r>
    <n v="99727638662"/>
    <n v="36"/>
    <x v="66"/>
    <s v=""/>
    <x v="2"/>
    <x v="0"/>
  </r>
  <r>
    <n v="57186355912"/>
    <n v="46"/>
    <x v="66"/>
    <s v=""/>
    <x v="2"/>
    <x v="0"/>
  </r>
  <r>
    <n v="29317621936"/>
    <n v="47"/>
    <x v="66"/>
    <s v=""/>
    <x v="2"/>
    <x v="0"/>
  </r>
  <r>
    <n v="34534163795"/>
    <n v="105"/>
    <x v="66"/>
    <d v="2034-10-03T00:00:00"/>
    <x v="2"/>
    <x v="5"/>
  </r>
  <r>
    <n v="39197055728"/>
    <n v="111"/>
    <x v="66"/>
    <s v=""/>
    <x v="2"/>
    <x v="0"/>
  </r>
  <r>
    <n v="62509010423"/>
    <n v="115"/>
    <x v="66"/>
    <s v=""/>
    <x v="2"/>
    <x v="0"/>
  </r>
  <r>
    <n v="50648553298"/>
    <n v="123"/>
    <x v="66"/>
    <s v=""/>
    <x v="2"/>
    <x v="0"/>
  </r>
  <r>
    <n v="98628367034"/>
    <n v="135"/>
    <x v="66"/>
    <s v=""/>
    <x v="2"/>
    <x v="0"/>
  </r>
  <r>
    <n v="82963969778"/>
    <n v="151"/>
    <x v="66"/>
    <s v=""/>
    <x v="2"/>
    <x v="0"/>
  </r>
  <r>
    <n v="48799942531"/>
    <n v="178"/>
    <x v="66"/>
    <s v=""/>
    <x v="2"/>
    <x v="0"/>
  </r>
  <r>
    <n v="80684049499"/>
    <n v="185"/>
    <x v="66"/>
    <s v=""/>
    <x v="2"/>
    <x v="0"/>
  </r>
  <r>
    <n v="44333130078"/>
    <n v="213"/>
    <x v="66"/>
    <s v=""/>
    <x v="2"/>
    <x v="0"/>
  </r>
  <r>
    <n v="23961115690"/>
    <n v="230"/>
    <x v="66"/>
    <s v=""/>
    <x v="2"/>
    <x v="0"/>
  </r>
  <r>
    <n v="76907593219"/>
    <n v="242"/>
    <x v="66"/>
    <s v=""/>
    <x v="2"/>
    <x v="0"/>
  </r>
  <r>
    <n v="67608245481"/>
    <n v="253"/>
    <x v="66"/>
    <d v="2034-09-07T00:00:00"/>
    <x v="2"/>
    <x v="3"/>
  </r>
  <r>
    <n v="70360784043"/>
    <n v="259"/>
    <x v="66"/>
    <s v=""/>
    <x v="2"/>
    <x v="0"/>
  </r>
  <r>
    <n v="23599653324"/>
    <n v="282"/>
    <x v="66"/>
    <d v="2034-08-24T00:00:00"/>
    <x v="2"/>
    <x v="4"/>
  </r>
  <r>
    <n v="24116123261"/>
    <n v="289"/>
    <x v="66"/>
    <m/>
    <x v="2"/>
    <x v="0"/>
  </r>
  <r>
    <n v="61008671853"/>
    <n v="316"/>
    <x v="66"/>
    <s v=""/>
    <x v="2"/>
    <x v="0"/>
  </r>
  <r>
    <n v="47180208242"/>
    <n v="325"/>
    <x v="66"/>
    <s v=""/>
    <x v="2"/>
    <x v="0"/>
  </r>
  <r>
    <n v="89115803525"/>
    <n v="22"/>
    <x v="67"/>
    <d v="2034-08-25T00:00:00"/>
    <x v="2"/>
    <x v="4"/>
  </r>
  <r>
    <n v="60413949604"/>
    <n v="50"/>
    <x v="67"/>
    <d v="2034-08-22T00:00:00"/>
    <x v="2"/>
    <x v="4"/>
  </r>
  <r>
    <n v="76095825632"/>
    <n v="56"/>
    <x v="67"/>
    <s v=""/>
    <x v="2"/>
    <x v="0"/>
  </r>
  <r>
    <n v="90885946417"/>
    <n v="93"/>
    <x v="67"/>
    <s v=""/>
    <x v="2"/>
    <x v="0"/>
  </r>
  <r>
    <n v="13073504413"/>
    <n v="95"/>
    <x v="67"/>
    <s v=""/>
    <x v="2"/>
    <x v="0"/>
  </r>
  <r>
    <n v="85565411013"/>
    <n v="105"/>
    <x v="67"/>
    <s v=""/>
    <x v="2"/>
    <x v="0"/>
  </r>
  <r>
    <n v="26870047993"/>
    <n v="114"/>
    <x v="67"/>
    <m/>
    <x v="2"/>
    <x v="0"/>
  </r>
  <r>
    <n v="77038818208"/>
    <n v="120"/>
    <x v="67"/>
    <m/>
    <x v="2"/>
    <x v="0"/>
  </r>
  <r>
    <n v="38625186922"/>
    <n v="128"/>
    <x v="67"/>
    <s v=""/>
    <x v="2"/>
    <x v="0"/>
  </r>
  <r>
    <n v="86330646325"/>
    <n v="141"/>
    <x v="67"/>
    <s v=""/>
    <x v="2"/>
    <x v="0"/>
  </r>
  <r>
    <n v="37913741268"/>
    <n v="144"/>
    <x v="67"/>
    <d v="2034-11-15T00:00:00"/>
    <x v="2"/>
    <x v="6"/>
  </r>
  <r>
    <n v="50039265775"/>
    <n v="153"/>
    <x v="67"/>
    <s v=""/>
    <x v="2"/>
    <x v="0"/>
  </r>
  <r>
    <n v="51735025683"/>
    <n v="170"/>
    <x v="67"/>
    <s v=""/>
    <x v="2"/>
    <x v="0"/>
  </r>
  <r>
    <n v="16108636223"/>
    <n v="181"/>
    <x v="67"/>
    <s v=""/>
    <x v="2"/>
    <x v="0"/>
  </r>
  <r>
    <n v="26996583633"/>
    <n v="186"/>
    <x v="67"/>
    <m/>
    <x v="2"/>
    <x v="0"/>
  </r>
  <r>
    <n v="51394234580"/>
    <n v="187"/>
    <x v="67"/>
    <s v=""/>
    <x v="2"/>
    <x v="0"/>
  </r>
  <r>
    <n v="36250900182"/>
    <n v="195"/>
    <x v="67"/>
    <d v="2034-12-01T00:00:00"/>
    <x v="2"/>
    <x v="7"/>
  </r>
  <r>
    <n v="57956876074"/>
    <n v="199"/>
    <x v="67"/>
    <m/>
    <x v="2"/>
    <x v="0"/>
  </r>
  <r>
    <n v="18308693109"/>
    <n v="202"/>
    <x v="67"/>
    <d v="2034-09-11T00:00:00"/>
    <x v="2"/>
    <x v="3"/>
  </r>
  <r>
    <n v="85023887032"/>
    <n v="221"/>
    <x v="67"/>
    <d v="2034-08-26T00:00:00"/>
    <x v="2"/>
    <x v="4"/>
  </r>
  <r>
    <n v="97555683046"/>
    <n v="231"/>
    <x v="67"/>
    <s v=""/>
    <x v="2"/>
    <x v="0"/>
  </r>
  <r>
    <n v="86270542963"/>
    <n v="237"/>
    <x v="67"/>
    <d v="2034-11-16T00:00:00"/>
    <x v="2"/>
    <x v="6"/>
  </r>
  <r>
    <n v="57603412835"/>
    <n v="257"/>
    <x v="67"/>
    <d v="2034-12-04T00:00:00"/>
    <x v="2"/>
    <x v="7"/>
  </r>
  <r>
    <n v="96620365402"/>
    <n v="264"/>
    <x v="67"/>
    <s v=""/>
    <x v="2"/>
    <x v="0"/>
  </r>
  <r>
    <n v="67455767152"/>
    <n v="302"/>
    <x v="67"/>
    <s v=""/>
    <x v="2"/>
    <x v="0"/>
  </r>
  <r>
    <n v="84465125000"/>
    <n v="328"/>
    <x v="67"/>
    <s v=""/>
    <x v="2"/>
    <x v="0"/>
  </r>
  <r>
    <n v="51251401076"/>
    <n v="333"/>
    <x v="67"/>
    <d v="2034-11-05T00:00:00"/>
    <x v="2"/>
    <x v="6"/>
  </r>
  <r>
    <n v="78307455223"/>
    <n v="336"/>
    <x v="67"/>
    <d v="2034-08-21T00:00:00"/>
    <x v="2"/>
    <x v="4"/>
  </r>
  <r>
    <n v="82861831167"/>
    <n v="14"/>
    <x v="68"/>
    <m/>
    <x v="2"/>
    <x v="0"/>
  </r>
  <r>
    <n v="97301292379"/>
    <n v="50"/>
    <x v="68"/>
    <s v=""/>
    <x v="2"/>
    <x v="0"/>
  </r>
  <r>
    <n v="46248368895"/>
    <n v="52"/>
    <x v="68"/>
    <d v="2034-09-23T00:00:00"/>
    <x v="2"/>
    <x v="3"/>
  </r>
  <r>
    <n v="45385133720"/>
    <n v="58"/>
    <x v="68"/>
    <s v=""/>
    <x v="2"/>
    <x v="0"/>
  </r>
  <r>
    <n v="81286443151"/>
    <n v="61"/>
    <x v="68"/>
    <s v=""/>
    <x v="2"/>
    <x v="0"/>
  </r>
  <r>
    <n v="40659697771"/>
    <n v="69"/>
    <x v="68"/>
    <s v=""/>
    <x v="2"/>
    <x v="0"/>
  </r>
  <r>
    <n v="66786844509"/>
    <n v="99"/>
    <x v="68"/>
    <s v=""/>
    <x v="2"/>
    <x v="0"/>
  </r>
  <r>
    <n v="78075079287"/>
    <n v="119"/>
    <x v="68"/>
    <s v=""/>
    <x v="2"/>
    <x v="0"/>
  </r>
  <r>
    <n v="54956216360"/>
    <n v="130"/>
    <x v="68"/>
    <s v=""/>
    <x v="2"/>
    <x v="0"/>
  </r>
  <r>
    <n v="64512139354"/>
    <n v="153"/>
    <x v="68"/>
    <s v=""/>
    <x v="2"/>
    <x v="0"/>
  </r>
  <r>
    <n v="84920261442"/>
    <n v="162"/>
    <x v="68"/>
    <m/>
    <x v="2"/>
    <x v="0"/>
  </r>
  <r>
    <n v="27892077619"/>
    <n v="183"/>
    <x v="68"/>
    <m/>
    <x v="2"/>
    <x v="0"/>
  </r>
  <r>
    <n v="76052873897"/>
    <n v="204"/>
    <x v="68"/>
    <m/>
    <x v="2"/>
    <x v="0"/>
  </r>
  <r>
    <n v="54020666885"/>
    <n v="215"/>
    <x v="68"/>
    <s v=""/>
    <x v="2"/>
    <x v="0"/>
  </r>
  <r>
    <n v="73706695482"/>
    <n v="234"/>
    <x v="68"/>
    <s v=""/>
    <x v="2"/>
    <x v="0"/>
  </r>
  <r>
    <n v="28039493894"/>
    <n v="246"/>
    <x v="68"/>
    <s v=""/>
    <x v="2"/>
    <x v="0"/>
  </r>
  <r>
    <n v="75748390520"/>
    <n v="284"/>
    <x v="68"/>
    <s v=""/>
    <x v="2"/>
    <x v="0"/>
  </r>
  <r>
    <n v="48089539884"/>
    <n v="288"/>
    <x v="68"/>
    <s v=""/>
    <x v="2"/>
    <x v="0"/>
  </r>
  <r>
    <n v="90781011815"/>
    <n v="290"/>
    <x v="68"/>
    <d v="2034-12-04T00:00:00"/>
    <x v="2"/>
    <x v="7"/>
  </r>
  <r>
    <n v="29817575147"/>
    <n v="301"/>
    <x v="68"/>
    <d v="2034-09-28T00:00:00"/>
    <x v="2"/>
    <x v="3"/>
  </r>
  <r>
    <n v="41811159939"/>
    <n v="334"/>
    <x v="68"/>
    <d v="2034-10-14T00:00:00"/>
    <x v="2"/>
    <x v="5"/>
  </r>
  <r>
    <n v="98441537737"/>
    <n v="0"/>
    <x v="69"/>
    <s v=""/>
    <x v="2"/>
    <x v="0"/>
  </r>
  <r>
    <n v="23027282574"/>
    <n v="7"/>
    <x v="69"/>
    <s v=""/>
    <x v="2"/>
    <x v="0"/>
  </r>
  <r>
    <n v="37404099326"/>
    <n v="8"/>
    <x v="69"/>
    <m/>
    <x v="2"/>
    <x v="0"/>
  </r>
  <r>
    <n v="71911565159"/>
    <n v="23"/>
    <x v="69"/>
    <s v=""/>
    <x v="2"/>
    <x v="0"/>
  </r>
  <r>
    <n v="74859663699"/>
    <n v="25"/>
    <x v="69"/>
    <s v=""/>
    <x v="2"/>
    <x v="0"/>
  </r>
  <r>
    <n v="39060375941"/>
    <n v="34"/>
    <x v="69"/>
    <d v="2034-09-29T00:00:00"/>
    <x v="2"/>
    <x v="3"/>
  </r>
  <r>
    <n v="51105193231"/>
    <n v="44"/>
    <x v="69"/>
    <s v=""/>
    <x v="2"/>
    <x v="0"/>
  </r>
  <r>
    <n v="40953896264"/>
    <n v="58"/>
    <x v="69"/>
    <d v="2034-08-09T00:00:00"/>
    <x v="2"/>
    <x v="4"/>
  </r>
  <r>
    <n v="36012420993"/>
    <n v="68"/>
    <x v="69"/>
    <d v="2034-09-27T00:00:00"/>
    <x v="2"/>
    <x v="3"/>
  </r>
  <r>
    <n v="93912746655"/>
    <n v="81"/>
    <x v="69"/>
    <s v=""/>
    <x v="2"/>
    <x v="0"/>
  </r>
  <r>
    <n v="57491985142"/>
    <n v="91"/>
    <x v="69"/>
    <m/>
    <x v="2"/>
    <x v="0"/>
  </r>
  <r>
    <n v="58132139349"/>
    <n v="125"/>
    <x v="69"/>
    <s v=""/>
    <x v="2"/>
    <x v="0"/>
  </r>
  <r>
    <n v="23603877313"/>
    <n v="131"/>
    <x v="69"/>
    <s v=""/>
    <x v="2"/>
    <x v="0"/>
  </r>
  <r>
    <n v="63153207502"/>
    <n v="142"/>
    <x v="69"/>
    <s v=""/>
    <x v="2"/>
    <x v="0"/>
  </r>
  <r>
    <n v="72953101313"/>
    <n v="142"/>
    <x v="69"/>
    <s v=""/>
    <x v="2"/>
    <x v="0"/>
  </r>
  <r>
    <n v="21334835986"/>
    <n v="150"/>
    <x v="69"/>
    <s v=""/>
    <x v="2"/>
    <x v="0"/>
  </r>
  <r>
    <n v="32834281650"/>
    <n v="192"/>
    <x v="69"/>
    <d v="2034-09-07T00:00:00"/>
    <x v="2"/>
    <x v="3"/>
  </r>
  <r>
    <n v="83000014181"/>
    <n v="215"/>
    <x v="69"/>
    <s v=""/>
    <x v="2"/>
    <x v="0"/>
  </r>
  <r>
    <n v="40938186566"/>
    <n v="238"/>
    <x v="69"/>
    <s v=""/>
    <x v="2"/>
    <x v="0"/>
  </r>
  <r>
    <n v="13687287800"/>
    <n v="256"/>
    <x v="69"/>
    <m/>
    <x v="2"/>
    <x v="0"/>
  </r>
  <r>
    <n v="73819021208"/>
    <n v="258"/>
    <x v="69"/>
    <d v="2034-10-10T00:00:00"/>
    <x v="2"/>
    <x v="5"/>
  </r>
  <r>
    <n v="71412338624"/>
    <n v="273"/>
    <x v="69"/>
    <m/>
    <x v="2"/>
    <x v="0"/>
  </r>
  <r>
    <n v="65761119202"/>
    <n v="290"/>
    <x v="69"/>
    <m/>
    <x v="2"/>
    <x v="0"/>
  </r>
  <r>
    <n v="20154667294"/>
    <n v="310"/>
    <x v="69"/>
    <s v=""/>
    <x v="2"/>
    <x v="0"/>
  </r>
  <r>
    <n v="78570424588"/>
    <n v="318"/>
    <x v="69"/>
    <s v=""/>
    <x v="2"/>
    <x v="0"/>
  </r>
  <r>
    <n v="81297046938"/>
    <n v="8"/>
    <x v="70"/>
    <d v="2034-09-11T00:00:00"/>
    <x v="2"/>
    <x v="3"/>
  </r>
  <r>
    <n v="95211021932"/>
    <n v="19"/>
    <x v="70"/>
    <s v=""/>
    <x v="2"/>
    <x v="0"/>
  </r>
  <r>
    <n v="76820078128"/>
    <n v="30"/>
    <x v="70"/>
    <s v=""/>
    <x v="2"/>
    <x v="0"/>
  </r>
  <r>
    <n v="33258653697"/>
    <n v="54"/>
    <x v="70"/>
    <d v="2034-12-04T00:00:00"/>
    <x v="2"/>
    <x v="7"/>
  </r>
  <r>
    <n v="33000829293"/>
    <n v="55"/>
    <x v="70"/>
    <s v=""/>
    <x v="2"/>
    <x v="0"/>
  </r>
  <r>
    <n v="40137503561"/>
    <n v="92"/>
    <x v="70"/>
    <d v="2034-11-30T00:00:00"/>
    <x v="2"/>
    <x v="6"/>
  </r>
  <r>
    <n v="34938633418"/>
    <n v="95"/>
    <x v="70"/>
    <d v="2034-09-17T00:00:00"/>
    <x v="2"/>
    <x v="3"/>
  </r>
  <r>
    <n v="41213775689"/>
    <n v="103"/>
    <x v="70"/>
    <d v="2034-09-20T00:00:00"/>
    <x v="2"/>
    <x v="3"/>
  </r>
  <r>
    <n v="76028758453"/>
    <n v="107"/>
    <x v="70"/>
    <d v="2034-09-04T00:00:00"/>
    <x v="2"/>
    <x v="3"/>
  </r>
  <r>
    <n v="58233670709"/>
    <n v="110"/>
    <x v="70"/>
    <s v=""/>
    <x v="2"/>
    <x v="0"/>
  </r>
  <r>
    <n v="88751405288"/>
    <n v="115"/>
    <x v="70"/>
    <m/>
    <x v="2"/>
    <x v="0"/>
  </r>
  <r>
    <n v="49470176290"/>
    <n v="140"/>
    <x v="70"/>
    <s v=""/>
    <x v="2"/>
    <x v="0"/>
  </r>
  <r>
    <n v="46574981792"/>
    <n v="152"/>
    <x v="70"/>
    <s v=""/>
    <x v="2"/>
    <x v="0"/>
  </r>
  <r>
    <n v="91241014241"/>
    <n v="191"/>
    <x v="70"/>
    <s v=""/>
    <x v="2"/>
    <x v="0"/>
  </r>
  <r>
    <n v="24357531290"/>
    <n v="215"/>
    <x v="70"/>
    <m/>
    <x v="2"/>
    <x v="0"/>
  </r>
  <r>
    <n v="65421302781"/>
    <n v="265"/>
    <x v="70"/>
    <d v="2034-08-28T00:00:00"/>
    <x v="2"/>
    <x v="4"/>
  </r>
  <r>
    <n v="97257395469"/>
    <n v="277"/>
    <x v="70"/>
    <s v=""/>
    <x v="2"/>
    <x v="0"/>
  </r>
  <r>
    <n v="94348738345"/>
    <n v="301"/>
    <x v="70"/>
    <s v=""/>
    <x v="2"/>
    <x v="0"/>
  </r>
  <r>
    <n v="44977388322"/>
    <n v="311"/>
    <x v="70"/>
    <d v="2034-10-10T00:00:00"/>
    <x v="2"/>
    <x v="5"/>
  </r>
  <r>
    <n v="56796581364"/>
    <n v="7"/>
    <x v="71"/>
    <d v="2034-10-01T00:00:00"/>
    <x v="2"/>
    <x v="5"/>
  </r>
  <r>
    <n v="30522087890"/>
    <n v="8"/>
    <x v="71"/>
    <s v=""/>
    <x v="2"/>
    <x v="0"/>
  </r>
  <r>
    <n v="78747594519"/>
    <n v="75"/>
    <x v="71"/>
    <d v="2034-11-06T00:00:00"/>
    <x v="2"/>
    <x v="6"/>
  </r>
  <r>
    <n v="93989075461"/>
    <n v="94"/>
    <x v="71"/>
    <m/>
    <x v="2"/>
    <x v="0"/>
  </r>
  <r>
    <n v="30013707638"/>
    <n v="124"/>
    <x v="71"/>
    <s v=""/>
    <x v="2"/>
    <x v="0"/>
  </r>
  <r>
    <n v="64830649719"/>
    <n v="124"/>
    <x v="71"/>
    <s v=""/>
    <x v="2"/>
    <x v="0"/>
  </r>
  <r>
    <n v="63153796101"/>
    <n v="132"/>
    <x v="71"/>
    <s v=""/>
    <x v="2"/>
    <x v="0"/>
  </r>
  <r>
    <n v="49058353390"/>
    <n v="148"/>
    <x v="71"/>
    <s v=""/>
    <x v="2"/>
    <x v="0"/>
  </r>
  <r>
    <n v="15129876332"/>
    <n v="149"/>
    <x v="71"/>
    <s v=""/>
    <x v="2"/>
    <x v="0"/>
  </r>
  <r>
    <n v="79840864773"/>
    <n v="157"/>
    <x v="71"/>
    <s v=""/>
    <x v="2"/>
    <x v="0"/>
  </r>
  <r>
    <n v="30635210876"/>
    <n v="162"/>
    <x v="71"/>
    <m/>
    <x v="2"/>
    <x v="0"/>
  </r>
  <r>
    <n v="13233794737"/>
    <n v="166"/>
    <x v="71"/>
    <s v=""/>
    <x v="2"/>
    <x v="0"/>
  </r>
  <r>
    <n v="28910415025"/>
    <n v="185"/>
    <x v="71"/>
    <s v=""/>
    <x v="2"/>
    <x v="0"/>
  </r>
  <r>
    <n v="48524647133"/>
    <n v="198"/>
    <x v="71"/>
    <d v="2034-09-14T00:00:00"/>
    <x v="2"/>
    <x v="3"/>
  </r>
  <r>
    <n v="33781857130"/>
    <n v="201"/>
    <x v="71"/>
    <s v=""/>
    <x v="2"/>
    <x v="0"/>
  </r>
  <r>
    <n v="33667573853"/>
    <n v="230"/>
    <x v="71"/>
    <s v=""/>
    <x v="2"/>
    <x v="0"/>
  </r>
  <r>
    <n v="44809069453"/>
    <n v="237"/>
    <x v="71"/>
    <m/>
    <x v="2"/>
    <x v="0"/>
  </r>
  <r>
    <n v="90969263333"/>
    <n v="240"/>
    <x v="71"/>
    <s v=""/>
    <x v="2"/>
    <x v="0"/>
  </r>
  <r>
    <n v="58608009978"/>
    <n v="260"/>
    <x v="71"/>
    <s v=""/>
    <x v="2"/>
    <x v="0"/>
  </r>
  <r>
    <n v="40441266373"/>
    <n v="273"/>
    <x v="71"/>
    <d v="2034-09-16T00:00:00"/>
    <x v="2"/>
    <x v="3"/>
  </r>
  <r>
    <n v="58253294989"/>
    <n v="281"/>
    <x v="71"/>
    <s v=""/>
    <x v="2"/>
    <x v="0"/>
  </r>
  <r>
    <n v="18155390416"/>
    <n v="287"/>
    <x v="71"/>
    <d v="2034-08-19T00:00:00"/>
    <x v="2"/>
    <x v="4"/>
  </r>
  <r>
    <n v="82058128900"/>
    <n v="290"/>
    <x v="71"/>
    <m/>
    <x v="2"/>
    <x v="0"/>
  </r>
  <r>
    <n v="90417168307"/>
    <n v="293"/>
    <x v="71"/>
    <s v=""/>
    <x v="2"/>
    <x v="0"/>
  </r>
  <r>
    <n v="64506366097"/>
    <n v="306"/>
    <x v="71"/>
    <d v="2034-12-08T00:00:00"/>
    <x v="2"/>
    <x v="7"/>
  </r>
  <r>
    <n v="14778185314"/>
    <n v="11"/>
    <x v="72"/>
    <s v=""/>
    <x v="2"/>
    <x v="0"/>
  </r>
  <r>
    <n v="88779324349"/>
    <n v="36"/>
    <x v="72"/>
    <s v=""/>
    <x v="2"/>
    <x v="0"/>
  </r>
  <r>
    <n v="26020352333"/>
    <n v="54"/>
    <x v="72"/>
    <d v="2034-12-06T00:00:00"/>
    <x v="2"/>
    <x v="7"/>
  </r>
  <r>
    <n v="25439973492"/>
    <n v="64"/>
    <x v="72"/>
    <s v=""/>
    <x v="2"/>
    <x v="0"/>
  </r>
  <r>
    <n v="78654833041"/>
    <n v="98"/>
    <x v="72"/>
    <s v=""/>
    <x v="2"/>
    <x v="0"/>
  </r>
  <r>
    <n v="16924443207"/>
    <n v="110"/>
    <x v="72"/>
    <s v=""/>
    <x v="2"/>
    <x v="0"/>
  </r>
  <r>
    <n v="30310528460"/>
    <n v="112"/>
    <x v="72"/>
    <s v=""/>
    <x v="2"/>
    <x v="0"/>
  </r>
  <r>
    <n v="38016487835"/>
    <n v="112"/>
    <x v="72"/>
    <s v=""/>
    <x v="2"/>
    <x v="0"/>
  </r>
  <r>
    <n v="15385217157"/>
    <n v="165"/>
    <x v="72"/>
    <d v="2034-12-07T00:00:00"/>
    <x v="2"/>
    <x v="7"/>
  </r>
  <r>
    <n v="41204718055"/>
    <n v="173"/>
    <x v="72"/>
    <s v=""/>
    <x v="2"/>
    <x v="0"/>
  </r>
  <r>
    <n v="91743120045"/>
    <n v="179"/>
    <x v="72"/>
    <s v=""/>
    <x v="2"/>
    <x v="0"/>
  </r>
  <r>
    <n v="26022907523"/>
    <n v="183"/>
    <x v="72"/>
    <s v=""/>
    <x v="2"/>
    <x v="0"/>
  </r>
  <r>
    <n v="43763814202"/>
    <n v="211"/>
    <x v="72"/>
    <s v=""/>
    <x v="2"/>
    <x v="0"/>
  </r>
  <r>
    <n v="56420092453"/>
    <n v="224"/>
    <x v="72"/>
    <s v=""/>
    <x v="2"/>
    <x v="0"/>
  </r>
  <r>
    <n v="27648148815"/>
    <n v="252"/>
    <x v="72"/>
    <s v=""/>
    <x v="2"/>
    <x v="0"/>
  </r>
  <r>
    <n v="76473511259"/>
    <n v="255"/>
    <x v="72"/>
    <s v=""/>
    <x v="2"/>
    <x v="0"/>
  </r>
  <r>
    <n v="75113438461"/>
    <n v="291"/>
    <x v="72"/>
    <s v=""/>
    <x v="2"/>
    <x v="0"/>
  </r>
  <r>
    <n v="71452978471"/>
    <n v="319"/>
    <x v="72"/>
    <s v=""/>
    <x v="2"/>
    <x v="0"/>
  </r>
  <r>
    <n v="33054200715"/>
    <n v="328"/>
    <x v="72"/>
    <s v=""/>
    <x v="2"/>
    <x v="0"/>
  </r>
  <r>
    <n v="61176513402"/>
    <n v="334"/>
    <x v="72"/>
    <s v=""/>
    <x v="2"/>
    <x v="0"/>
  </r>
  <r>
    <n v="85359887079"/>
    <n v="339"/>
    <x v="72"/>
    <m/>
    <x v="2"/>
    <x v="0"/>
  </r>
  <r>
    <n v="41803840882"/>
    <n v="4"/>
    <x v="73"/>
    <d v="2034-11-09T00:00:00"/>
    <x v="2"/>
    <x v="6"/>
  </r>
  <r>
    <n v="72914659394"/>
    <n v="5"/>
    <x v="73"/>
    <s v=""/>
    <x v="2"/>
    <x v="0"/>
  </r>
  <r>
    <n v="40637222564"/>
    <n v="25"/>
    <x v="73"/>
    <d v="2034-11-19T00:00:00"/>
    <x v="2"/>
    <x v="6"/>
  </r>
  <r>
    <n v="37614374210"/>
    <n v="35"/>
    <x v="73"/>
    <s v=""/>
    <x v="2"/>
    <x v="0"/>
  </r>
  <r>
    <n v="50282250511"/>
    <n v="86"/>
    <x v="73"/>
    <s v=""/>
    <x v="2"/>
    <x v="0"/>
  </r>
  <r>
    <n v="12725158977"/>
    <n v="105"/>
    <x v="73"/>
    <d v="2034-08-21T00:00:00"/>
    <x v="2"/>
    <x v="4"/>
  </r>
  <r>
    <n v="15764766184"/>
    <n v="120"/>
    <x v="73"/>
    <s v=""/>
    <x v="2"/>
    <x v="0"/>
  </r>
  <r>
    <n v="58162084500"/>
    <n v="128"/>
    <x v="73"/>
    <s v=""/>
    <x v="2"/>
    <x v="0"/>
  </r>
  <r>
    <n v="77496164720"/>
    <n v="174"/>
    <x v="73"/>
    <d v="2034-09-15T00:00:00"/>
    <x v="2"/>
    <x v="3"/>
  </r>
  <r>
    <n v="98592572118"/>
    <n v="178"/>
    <x v="73"/>
    <s v=""/>
    <x v="2"/>
    <x v="0"/>
  </r>
  <r>
    <n v="83529800230"/>
    <n v="189"/>
    <x v="73"/>
    <s v=""/>
    <x v="2"/>
    <x v="0"/>
  </r>
  <r>
    <n v="47783371009"/>
    <n v="196"/>
    <x v="73"/>
    <s v=""/>
    <x v="2"/>
    <x v="0"/>
  </r>
  <r>
    <n v="30920859610"/>
    <n v="198"/>
    <x v="73"/>
    <s v=""/>
    <x v="2"/>
    <x v="0"/>
  </r>
  <r>
    <n v="20926017907"/>
    <n v="205"/>
    <x v="73"/>
    <m/>
    <x v="2"/>
    <x v="0"/>
  </r>
  <r>
    <n v="97150608475"/>
    <n v="209"/>
    <x v="73"/>
    <d v="2034-08-15T00:00:00"/>
    <x v="2"/>
    <x v="4"/>
  </r>
  <r>
    <n v="82352704355"/>
    <n v="234"/>
    <x v="73"/>
    <s v=""/>
    <x v="2"/>
    <x v="0"/>
  </r>
  <r>
    <n v="24090331832"/>
    <n v="274"/>
    <x v="73"/>
    <d v="2034-10-14T00:00:00"/>
    <x v="2"/>
    <x v="5"/>
  </r>
  <r>
    <n v="21684363278"/>
    <n v="275"/>
    <x v="73"/>
    <s v=""/>
    <x v="2"/>
    <x v="0"/>
  </r>
  <r>
    <n v="26533805694"/>
    <n v="276"/>
    <x v="73"/>
    <s v=""/>
    <x v="2"/>
    <x v="0"/>
  </r>
  <r>
    <n v="38270616166"/>
    <n v="295"/>
    <x v="73"/>
    <m/>
    <x v="2"/>
    <x v="0"/>
  </r>
  <r>
    <n v="54676171855"/>
    <n v="329"/>
    <x v="73"/>
    <s v=""/>
    <x v="2"/>
    <x v="0"/>
  </r>
  <r>
    <n v="12058627094"/>
    <n v="35"/>
    <x v="74"/>
    <s v=""/>
    <x v="2"/>
    <x v="0"/>
  </r>
  <r>
    <n v="21011104886"/>
    <n v="58"/>
    <x v="74"/>
    <s v=""/>
    <x v="2"/>
    <x v="0"/>
  </r>
  <r>
    <n v="13432594521"/>
    <n v="75"/>
    <x v="74"/>
    <d v="2034-12-12T00:00:00"/>
    <x v="2"/>
    <x v="7"/>
  </r>
  <r>
    <n v="49305145505"/>
    <n v="91"/>
    <x v="74"/>
    <s v=""/>
    <x v="2"/>
    <x v="0"/>
  </r>
  <r>
    <n v="49892544854"/>
    <n v="130"/>
    <x v="74"/>
    <s v=""/>
    <x v="2"/>
    <x v="0"/>
  </r>
  <r>
    <n v="54241099885"/>
    <n v="164"/>
    <x v="74"/>
    <d v="2034-10-16T00:00:00"/>
    <x v="2"/>
    <x v="5"/>
  </r>
  <r>
    <n v="91651012700"/>
    <n v="173"/>
    <x v="74"/>
    <s v=""/>
    <x v="2"/>
    <x v="0"/>
  </r>
  <r>
    <n v="57224593567"/>
    <n v="190"/>
    <x v="74"/>
    <d v="2034-08-15T00:00:00"/>
    <x v="2"/>
    <x v="4"/>
  </r>
  <r>
    <n v="19392035521"/>
    <n v="191"/>
    <x v="74"/>
    <s v=""/>
    <x v="2"/>
    <x v="0"/>
  </r>
  <r>
    <n v="66293438071"/>
    <n v="215"/>
    <x v="74"/>
    <s v=""/>
    <x v="2"/>
    <x v="0"/>
  </r>
  <r>
    <n v="48740924876"/>
    <n v="235"/>
    <x v="74"/>
    <s v=""/>
    <x v="2"/>
    <x v="0"/>
  </r>
  <r>
    <n v="70163085344"/>
    <n v="260"/>
    <x v="74"/>
    <s v=""/>
    <x v="2"/>
    <x v="0"/>
  </r>
  <r>
    <n v="52561319643"/>
    <n v="327"/>
    <x v="74"/>
    <m/>
    <x v="2"/>
    <x v="0"/>
  </r>
  <r>
    <n v="22130114285"/>
    <n v="1"/>
    <x v="75"/>
    <m/>
    <x v="2"/>
    <x v="0"/>
  </r>
  <r>
    <n v="13451602367"/>
    <n v="9"/>
    <x v="75"/>
    <d v="2034-08-16T00:00:00"/>
    <x v="2"/>
    <x v="4"/>
  </r>
  <r>
    <n v="62555300496"/>
    <n v="13"/>
    <x v="75"/>
    <s v=""/>
    <x v="2"/>
    <x v="0"/>
  </r>
  <r>
    <n v="44312892340"/>
    <n v="59"/>
    <x v="75"/>
    <s v=""/>
    <x v="2"/>
    <x v="0"/>
  </r>
  <r>
    <n v="33775388156"/>
    <n v="67"/>
    <x v="75"/>
    <s v=""/>
    <x v="2"/>
    <x v="0"/>
  </r>
  <r>
    <n v="89593877645"/>
    <n v="77"/>
    <x v="75"/>
    <d v="2034-08-26T00:00:00"/>
    <x v="2"/>
    <x v="4"/>
  </r>
  <r>
    <n v="49544418034"/>
    <n v="84"/>
    <x v="75"/>
    <d v="2034-12-05T00:00:00"/>
    <x v="2"/>
    <x v="7"/>
  </r>
  <r>
    <n v="51343210002"/>
    <n v="97"/>
    <x v="75"/>
    <d v="2034-08-24T00:00:00"/>
    <x v="2"/>
    <x v="4"/>
  </r>
  <r>
    <n v="89291518736"/>
    <n v="165"/>
    <x v="75"/>
    <m/>
    <x v="2"/>
    <x v="0"/>
  </r>
  <r>
    <n v="11840077812"/>
    <n v="165"/>
    <x v="75"/>
    <m/>
    <x v="2"/>
    <x v="0"/>
  </r>
  <r>
    <n v="20782426453"/>
    <n v="233"/>
    <x v="75"/>
    <s v=""/>
    <x v="2"/>
    <x v="0"/>
  </r>
  <r>
    <n v="83211368115"/>
    <n v="241"/>
    <x v="75"/>
    <d v="2034-10-27T00:00:00"/>
    <x v="2"/>
    <x v="5"/>
  </r>
  <r>
    <n v="15182677184"/>
    <n v="246"/>
    <x v="75"/>
    <s v=""/>
    <x v="2"/>
    <x v="0"/>
  </r>
  <r>
    <n v="61620877315"/>
    <n v="254"/>
    <x v="75"/>
    <s v=""/>
    <x v="2"/>
    <x v="0"/>
  </r>
  <r>
    <n v="25227024838"/>
    <n v="300"/>
    <x v="75"/>
    <s v=""/>
    <x v="2"/>
    <x v="0"/>
  </r>
  <r>
    <n v="80513600382"/>
    <n v="304"/>
    <x v="75"/>
    <m/>
    <x v="2"/>
    <x v="0"/>
  </r>
  <r>
    <n v="25931979716"/>
    <n v="313"/>
    <x v="75"/>
    <d v="2034-09-25T00:00:00"/>
    <x v="2"/>
    <x v="3"/>
  </r>
  <r>
    <n v="20742136191"/>
    <n v="323"/>
    <x v="75"/>
    <s v=""/>
    <x v="2"/>
    <x v="0"/>
  </r>
  <r>
    <n v="26679816806"/>
    <n v="10"/>
    <x v="76"/>
    <s v=""/>
    <x v="2"/>
    <x v="0"/>
  </r>
  <r>
    <n v="43525130372"/>
    <n v="14"/>
    <x v="76"/>
    <s v=""/>
    <x v="2"/>
    <x v="0"/>
  </r>
  <r>
    <n v="65703755003"/>
    <n v="34"/>
    <x v="76"/>
    <d v="2034-12-11T00:00:00"/>
    <x v="2"/>
    <x v="7"/>
  </r>
  <r>
    <n v="64097036240"/>
    <n v="71"/>
    <x v="76"/>
    <s v=""/>
    <x v="2"/>
    <x v="0"/>
  </r>
  <r>
    <n v="30058404113"/>
    <n v="84"/>
    <x v="76"/>
    <s v=""/>
    <x v="2"/>
    <x v="0"/>
  </r>
  <r>
    <n v="95411277511"/>
    <n v="92"/>
    <x v="76"/>
    <d v="2034-11-12T00:00:00"/>
    <x v="2"/>
    <x v="6"/>
  </r>
  <r>
    <n v="61619947035"/>
    <n v="96"/>
    <x v="76"/>
    <s v=""/>
    <x v="2"/>
    <x v="0"/>
  </r>
  <r>
    <n v="35723535549"/>
    <n v="107"/>
    <x v="76"/>
    <s v=""/>
    <x v="2"/>
    <x v="0"/>
  </r>
  <r>
    <n v="35872395570"/>
    <n v="116"/>
    <x v="76"/>
    <s v=""/>
    <x v="2"/>
    <x v="0"/>
  </r>
  <r>
    <n v="69588972051"/>
    <n v="117"/>
    <x v="76"/>
    <d v="2034-09-15T00:00:00"/>
    <x v="2"/>
    <x v="3"/>
  </r>
  <r>
    <n v="79557331093"/>
    <n v="150"/>
    <x v="76"/>
    <m/>
    <x v="2"/>
    <x v="0"/>
  </r>
  <r>
    <n v="85490112021"/>
    <n v="150"/>
    <x v="76"/>
    <s v=""/>
    <x v="2"/>
    <x v="0"/>
  </r>
  <r>
    <n v="27195582973"/>
    <n v="153"/>
    <x v="76"/>
    <d v="2034-10-13T00:00:00"/>
    <x v="2"/>
    <x v="5"/>
  </r>
  <r>
    <n v="29151595583"/>
    <n v="164"/>
    <x v="76"/>
    <s v=""/>
    <x v="2"/>
    <x v="0"/>
  </r>
  <r>
    <n v="93610280949"/>
    <n v="170"/>
    <x v="76"/>
    <s v=""/>
    <x v="2"/>
    <x v="0"/>
  </r>
  <r>
    <n v="52160336050"/>
    <n v="175"/>
    <x v="76"/>
    <s v=""/>
    <x v="2"/>
    <x v="0"/>
  </r>
  <r>
    <n v="99030425279"/>
    <n v="198"/>
    <x v="76"/>
    <s v=""/>
    <x v="2"/>
    <x v="0"/>
  </r>
  <r>
    <n v="43394252865"/>
    <n v="201"/>
    <x v="76"/>
    <d v="2034-09-11T00:00:00"/>
    <x v="2"/>
    <x v="3"/>
  </r>
  <r>
    <n v="81307194086"/>
    <n v="205"/>
    <x v="76"/>
    <s v=""/>
    <x v="2"/>
    <x v="0"/>
  </r>
  <r>
    <n v="95877988309"/>
    <n v="229"/>
    <x v="76"/>
    <m/>
    <x v="2"/>
    <x v="0"/>
  </r>
  <r>
    <n v="33490749940"/>
    <n v="329"/>
    <x v="76"/>
    <s v=""/>
    <x v="2"/>
    <x v="0"/>
  </r>
  <r>
    <n v="52731712412"/>
    <n v="9"/>
    <x v="77"/>
    <s v=""/>
    <x v="2"/>
    <x v="0"/>
  </r>
  <r>
    <n v="21112848134"/>
    <n v="22"/>
    <x v="77"/>
    <s v=""/>
    <x v="2"/>
    <x v="0"/>
  </r>
  <r>
    <n v="58220392556"/>
    <n v="24"/>
    <x v="77"/>
    <d v="2034-12-04T00:00:00"/>
    <x v="2"/>
    <x v="7"/>
  </r>
  <r>
    <n v="37466989845"/>
    <n v="58"/>
    <x v="77"/>
    <d v="2034-12-07T00:00:00"/>
    <x v="2"/>
    <x v="7"/>
  </r>
  <r>
    <n v="56073590346"/>
    <n v="89"/>
    <x v="77"/>
    <s v=""/>
    <x v="2"/>
    <x v="0"/>
  </r>
  <r>
    <n v="79515182961"/>
    <n v="94"/>
    <x v="77"/>
    <s v=""/>
    <x v="2"/>
    <x v="0"/>
  </r>
  <r>
    <n v="51672648963"/>
    <n v="97"/>
    <x v="77"/>
    <m/>
    <x v="2"/>
    <x v="0"/>
  </r>
  <r>
    <n v="24323484962"/>
    <n v="99"/>
    <x v="77"/>
    <s v=""/>
    <x v="2"/>
    <x v="0"/>
  </r>
  <r>
    <n v="76192602983"/>
    <n v="103"/>
    <x v="77"/>
    <s v=""/>
    <x v="2"/>
    <x v="0"/>
  </r>
  <r>
    <n v="90853673757"/>
    <n v="109"/>
    <x v="77"/>
    <m/>
    <x v="2"/>
    <x v="0"/>
  </r>
  <r>
    <n v="77109061500"/>
    <n v="168"/>
    <x v="77"/>
    <s v=""/>
    <x v="2"/>
    <x v="0"/>
  </r>
  <r>
    <n v="50495431113"/>
    <n v="196"/>
    <x v="77"/>
    <m/>
    <x v="2"/>
    <x v="0"/>
  </r>
  <r>
    <n v="45412331482"/>
    <n v="203"/>
    <x v="77"/>
    <s v=""/>
    <x v="2"/>
    <x v="0"/>
  </r>
  <r>
    <n v="49356982495"/>
    <n v="234"/>
    <x v="77"/>
    <m/>
    <x v="2"/>
    <x v="0"/>
  </r>
  <r>
    <n v="81041044370"/>
    <n v="235"/>
    <x v="77"/>
    <d v="2034-11-04T00:00:00"/>
    <x v="2"/>
    <x v="6"/>
  </r>
  <r>
    <n v="62423950619"/>
    <n v="238"/>
    <x v="77"/>
    <s v=""/>
    <x v="2"/>
    <x v="0"/>
  </r>
  <r>
    <n v="94982832301"/>
    <n v="244"/>
    <x v="77"/>
    <s v=""/>
    <x v="2"/>
    <x v="0"/>
  </r>
  <r>
    <n v="87282161384"/>
    <n v="252"/>
    <x v="77"/>
    <m/>
    <x v="2"/>
    <x v="0"/>
  </r>
  <r>
    <n v="52502316429"/>
    <n v="253"/>
    <x v="77"/>
    <s v=""/>
    <x v="2"/>
    <x v="0"/>
  </r>
  <r>
    <n v="72736582305"/>
    <n v="276"/>
    <x v="77"/>
    <s v=""/>
    <x v="2"/>
    <x v="0"/>
  </r>
  <r>
    <n v="92703422800"/>
    <n v="293"/>
    <x v="77"/>
    <s v=""/>
    <x v="2"/>
    <x v="0"/>
  </r>
  <r>
    <n v="34263668827"/>
    <n v="302"/>
    <x v="77"/>
    <s v=""/>
    <x v="2"/>
    <x v="0"/>
  </r>
  <r>
    <n v="30285813485"/>
    <n v="320"/>
    <x v="77"/>
    <s v=""/>
    <x v="2"/>
    <x v="0"/>
  </r>
  <r>
    <n v="36523520055"/>
    <n v="326"/>
    <x v="77"/>
    <s v=""/>
    <x v="2"/>
    <x v="0"/>
  </r>
  <r>
    <n v="98948017834"/>
    <n v="326"/>
    <x v="77"/>
    <d v="2034-11-05T00:00:00"/>
    <x v="2"/>
    <x v="6"/>
  </r>
  <r>
    <n v="74730872469"/>
    <n v="31"/>
    <x v="78"/>
    <d v="2034-12-14T00:00:00"/>
    <x v="2"/>
    <x v="7"/>
  </r>
  <r>
    <n v="29583650585"/>
    <n v="36"/>
    <x v="78"/>
    <d v="2034-12-04T00:00:00"/>
    <x v="2"/>
    <x v="7"/>
  </r>
  <r>
    <n v="65815515862"/>
    <n v="37"/>
    <x v="78"/>
    <s v=""/>
    <x v="2"/>
    <x v="0"/>
  </r>
  <r>
    <n v="37107090388"/>
    <n v="61"/>
    <x v="78"/>
    <s v=""/>
    <x v="2"/>
    <x v="0"/>
  </r>
  <r>
    <n v="53372617574"/>
    <n v="70"/>
    <x v="78"/>
    <m/>
    <x v="2"/>
    <x v="0"/>
  </r>
  <r>
    <n v="96323551787"/>
    <n v="73"/>
    <x v="78"/>
    <s v=""/>
    <x v="2"/>
    <x v="0"/>
  </r>
  <r>
    <n v="95918220378"/>
    <n v="90"/>
    <x v="78"/>
    <d v="2034-10-29T00:00:00"/>
    <x v="2"/>
    <x v="5"/>
  </r>
  <r>
    <n v="51166213884"/>
    <n v="96"/>
    <x v="78"/>
    <s v=""/>
    <x v="2"/>
    <x v="0"/>
  </r>
  <r>
    <n v="71632987496"/>
    <n v="108"/>
    <x v="78"/>
    <d v="2034-09-14T00:00:00"/>
    <x v="2"/>
    <x v="3"/>
  </r>
  <r>
    <n v="70873577141"/>
    <n v="111"/>
    <x v="78"/>
    <d v="2034-09-02T00:00:00"/>
    <x v="2"/>
    <x v="3"/>
  </r>
  <r>
    <n v="98330573270"/>
    <n v="113"/>
    <x v="78"/>
    <m/>
    <x v="2"/>
    <x v="0"/>
  </r>
  <r>
    <n v="36688024134"/>
    <n v="117"/>
    <x v="78"/>
    <s v=""/>
    <x v="2"/>
    <x v="0"/>
  </r>
  <r>
    <n v="27980271502"/>
    <n v="150"/>
    <x v="78"/>
    <d v="2034-11-23T00:00:00"/>
    <x v="2"/>
    <x v="6"/>
  </r>
  <r>
    <n v="97186913070"/>
    <n v="158"/>
    <x v="78"/>
    <s v=""/>
    <x v="2"/>
    <x v="0"/>
  </r>
  <r>
    <n v="72299635350"/>
    <n v="161"/>
    <x v="78"/>
    <s v=""/>
    <x v="2"/>
    <x v="0"/>
  </r>
  <r>
    <n v="32801292282"/>
    <n v="210"/>
    <x v="78"/>
    <d v="2034-11-24T00:00:00"/>
    <x v="2"/>
    <x v="6"/>
  </r>
  <r>
    <n v="67959414174"/>
    <n v="229"/>
    <x v="78"/>
    <d v="2034-09-24T00:00:00"/>
    <x v="2"/>
    <x v="3"/>
  </r>
  <r>
    <n v="82664822830"/>
    <n v="254"/>
    <x v="78"/>
    <s v=""/>
    <x v="2"/>
    <x v="0"/>
  </r>
  <r>
    <n v="99425591347"/>
    <n v="276"/>
    <x v="78"/>
    <d v="2034-10-29T00:00:00"/>
    <x v="2"/>
    <x v="5"/>
  </r>
  <r>
    <n v="97386097994"/>
    <n v="286"/>
    <x v="78"/>
    <s v=""/>
    <x v="2"/>
    <x v="0"/>
  </r>
  <r>
    <n v="57208653195"/>
    <n v="288"/>
    <x v="78"/>
    <s v=""/>
    <x v="2"/>
    <x v="0"/>
  </r>
  <r>
    <n v="56481695595"/>
    <n v="289"/>
    <x v="78"/>
    <s v=""/>
    <x v="2"/>
    <x v="0"/>
  </r>
  <r>
    <n v="54768019285"/>
    <n v="324"/>
    <x v="78"/>
    <d v="2034-10-12T00:00:00"/>
    <x v="2"/>
    <x v="5"/>
  </r>
  <r>
    <n v="13640455725"/>
    <n v="14"/>
    <x v="79"/>
    <s v=""/>
    <x v="2"/>
    <x v="0"/>
  </r>
  <r>
    <n v="95222989933"/>
    <n v="24"/>
    <x v="79"/>
    <m/>
    <x v="2"/>
    <x v="0"/>
  </r>
  <r>
    <n v="89495622312"/>
    <n v="28"/>
    <x v="79"/>
    <s v=""/>
    <x v="2"/>
    <x v="0"/>
  </r>
  <r>
    <n v="47149499414"/>
    <n v="48"/>
    <x v="79"/>
    <s v=""/>
    <x v="2"/>
    <x v="0"/>
  </r>
  <r>
    <n v="60371158253"/>
    <n v="52"/>
    <x v="79"/>
    <s v=""/>
    <x v="2"/>
    <x v="0"/>
  </r>
  <r>
    <n v="96851450314"/>
    <n v="68"/>
    <x v="79"/>
    <s v=""/>
    <x v="2"/>
    <x v="0"/>
  </r>
  <r>
    <n v="74657281615"/>
    <n v="90"/>
    <x v="79"/>
    <s v=""/>
    <x v="2"/>
    <x v="0"/>
  </r>
  <r>
    <n v="30657026834"/>
    <n v="96"/>
    <x v="79"/>
    <d v="2034-10-21T00:00:00"/>
    <x v="2"/>
    <x v="5"/>
  </r>
  <r>
    <n v="48756259129"/>
    <n v="138"/>
    <x v="79"/>
    <s v=""/>
    <x v="2"/>
    <x v="0"/>
  </r>
  <r>
    <n v="75368089957"/>
    <n v="141"/>
    <x v="79"/>
    <s v=""/>
    <x v="2"/>
    <x v="0"/>
  </r>
  <r>
    <n v="94108612694"/>
    <n v="143"/>
    <x v="79"/>
    <d v="2034-11-07T00:00:00"/>
    <x v="2"/>
    <x v="6"/>
  </r>
  <r>
    <n v="76194272752"/>
    <n v="151"/>
    <x v="79"/>
    <s v=""/>
    <x v="2"/>
    <x v="0"/>
  </r>
  <r>
    <n v="98137973587"/>
    <n v="160"/>
    <x v="79"/>
    <m/>
    <x v="2"/>
    <x v="0"/>
  </r>
  <r>
    <n v="68832226801"/>
    <n v="160"/>
    <x v="79"/>
    <s v=""/>
    <x v="2"/>
    <x v="0"/>
  </r>
  <r>
    <n v="46933717410"/>
    <n v="166"/>
    <x v="79"/>
    <d v="2034-12-15T00:00:00"/>
    <x v="2"/>
    <x v="7"/>
  </r>
  <r>
    <n v="79066061623"/>
    <n v="182"/>
    <x v="79"/>
    <m/>
    <x v="2"/>
    <x v="0"/>
  </r>
  <r>
    <n v="58935440493"/>
    <n v="187"/>
    <x v="79"/>
    <m/>
    <x v="2"/>
    <x v="0"/>
  </r>
  <r>
    <n v="98806937668"/>
    <n v="206"/>
    <x v="79"/>
    <s v=""/>
    <x v="2"/>
    <x v="0"/>
  </r>
  <r>
    <n v="57559605684"/>
    <n v="209"/>
    <x v="79"/>
    <s v=""/>
    <x v="2"/>
    <x v="0"/>
  </r>
  <r>
    <n v="73243724003"/>
    <n v="225"/>
    <x v="79"/>
    <s v=""/>
    <x v="2"/>
    <x v="0"/>
  </r>
  <r>
    <n v="98287829588"/>
    <n v="259"/>
    <x v="79"/>
    <s v=""/>
    <x v="2"/>
    <x v="0"/>
  </r>
  <r>
    <n v="83234967341"/>
    <n v="262"/>
    <x v="79"/>
    <s v=""/>
    <x v="2"/>
    <x v="0"/>
  </r>
  <r>
    <n v="12253436966"/>
    <n v="282"/>
    <x v="79"/>
    <d v="2034-09-23T00:00:00"/>
    <x v="2"/>
    <x v="3"/>
  </r>
  <r>
    <n v="46622353825"/>
    <n v="289"/>
    <x v="79"/>
    <s v=""/>
    <x v="2"/>
    <x v="0"/>
  </r>
  <r>
    <n v="76668210512"/>
    <n v="292"/>
    <x v="79"/>
    <d v="2034-11-01T00:00:00"/>
    <x v="2"/>
    <x v="6"/>
  </r>
  <r>
    <n v="38675550074"/>
    <n v="298"/>
    <x v="79"/>
    <d v="2034-09-28T00:00:00"/>
    <x v="2"/>
    <x v="3"/>
  </r>
  <r>
    <n v="24343798699"/>
    <n v="299"/>
    <x v="79"/>
    <s v=""/>
    <x v="2"/>
    <x v="0"/>
  </r>
  <r>
    <n v="39551670088"/>
    <n v="305"/>
    <x v="79"/>
    <s v=""/>
    <x v="2"/>
    <x v="0"/>
  </r>
  <r>
    <n v="11521116332"/>
    <n v="308"/>
    <x v="79"/>
    <s v=""/>
    <x v="2"/>
    <x v="0"/>
  </r>
  <r>
    <n v="20628507133"/>
    <n v="327"/>
    <x v="79"/>
    <d v="2034-12-06T00:00:00"/>
    <x v="2"/>
    <x v="7"/>
  </r>
  <r>
    <n v="33356560548"/>
    <n v="327"/>
    <x v="79"/>
    <d v="2034-09-21T00:00:00"/>
    <x v="2"/>
    <x v="3"/>
  </r>
  <r>
    <n v="55852176677"/>
    <n v="8"/>
    <x v="80"/>
    <m/>
    <x v="2"/>
    <x v="0"/>
  </r>
  <r>
    <n v="54565176914"/>
    <n v="13"/>
    <x v="80"/>
    <s v=""/>
    <x v="2"/>
    <x v="0"/>
  </r>
  <r>
    <n v="46615194903"/>
    <n v="30"/>
    <x v="80"/>
    <m/>
    <x v="2"/>
    <x v="0"/>
  </r>
  <r>
    <n v="25272231377"/>
    <n v="67"/>
    <x v="80"/>
    <m/>
    <x v="2"/>
    <x v="0"/>
  </r>
  <r>
    <n v="95079254038"/>
    <n v="102"/>
    <x v="80"/>
    <s v=""/>
    <x v="2"/>
    <x v="0"/>
  </r>
  <r>
    <n v="53153251780"/>
    <n v="112"/>
    <x v="80"/>
    <s v=""/>
    <x v="2"/>
    <x v="0"/>
  </r>
  <r>
    <n v="28381639640"/>
    <n v="116"/>
    <x v="80"/>
    <m/>
    <x v="2"/>
    <x v="0"/>
  </r>
  <r>
    <n v="36032283326"/>
    <n v="121"/>
    <x v="80"/>
    <d v="2034-08-24T00:00:00"/>
    <x v="2"/>
    <x v="4"/>
  </r>
  <r>
    <n v="24107470218"/>
    <n v="124"/>
    <x v="80"/>
    <s v=""/>
    <x v="2"/>
    <x v="0"/>
  </r>
  <r>
    <n v="51625412662"/>
    <n v="124"/>
    <x v="80"/>
    <d v="2034-10-09T00:00:00"/>
    <x v="2"/>
    <x v="5"/>
  </r>
  <r>
    <n v="28809433892"/>
    <n v="128"/>
    <x v="80"/>
    <d v="2034-12-06T00:00:00"/>
    <x v="2"/>
    <x v="7"/>
  </r>
  <r>
    <n v="73991346705"/>
    <n v="133"/>
    <x v="80"/>
    <d v="2034-10-12T00:00:00"/>
    <x v="2"/>
    <x v="5"/>
  </r>
  <r>
    <n v="28916070337"/>
    <n v="136"/>
    <x v="80"/>
    <m/>
    <x v="2"/>
    <x v="0"/>
  </r>
  <r>
    <n v="47056129089"/>
    <n v="143"/>
    <x v="80"/>
    <d v="2034-09-15T00:00:00"/>
    <x v="2"/>
    <x v="3"/>
  </r>
  <r>
    <n v="16379209383"/>
    <n v="169"/>
    <x v="80"/>
    <s v=""/>
    <x v="2"/>
    <x v="0"/>
  </r>
  <r>
    <n v="67232530546"/>
    <n v="192"/>
    <x v="80"/>
    <m/>
    <x v="2"/>
    <x v="0"/>
  </r>
  <r>
    <n v="56463247638"/>
    <n v="204"/>
    <x v="80"/>
    <m/>
    <x v="2"/>
    <x v="0"/>
  </r>
  <r>
    <n v="93744129785"/>
    <n v="213"/>
    <x v="80"/>
    <s v=""/>
    <x v="2"/>
    <x v="0"/>
  </r>
  <r>
    <n v="36553812196"/>
    <n v="235"/>
    <x v="80"/>
    <m/>
    <x v="2"/>
    <x v="0"/>
  </r>
  <r>
    <n v="78153828007"/>
    <n v="248"/>
    <x v="80"/>
    <s v=""/>
    <x v="2"/>
    <x v="0"/>
  </r>
  <r>
    <n v="74944760775"/>
    <n v="256"/>
    <x v="80"/>
    <m/>
    <x v="2"/>
    <x v="0"/>
  </r>
  <r>
    <n v="23138889411"/>
    <n v="271"/>
    <x v="80"/>
    <m/>
    <x v="2"/>
    <x v="0"/>
  </r>
  <r>
    <n v="76670615335"/>
    <n v="273"/>
    <x v="80"/>
    <s v=""/>
    <x v="2"/>
    <x v="0"/>
  </r>
  <r>
    <n v="11124873907"/>
    <n v="287"/>
    <x v="80"/>
    <s v=""/>
    <x v="2"/>
    <x v="0"/>
  </r>
  <r>
    <n v="29388830387"/>
    <n v="291"/>
    <x v="80"/>
    <s v=""/>
    <x v="2"/>
    <x v="0"/>
  </r>
  <r>
    <n v="52078632720"/>
    <n v="297"/>
    <x v="80"/>
    <s v=""/>
    <x v="2"/>
    <x v="0"/>
  </r>
  <r>
    <n v="16422889578"/>
    <n v="21"/>
    <x v="81"/>
    <m/>
    <x v="2"/>
    <x v="0"/>
  </r>
  <r>
    <n v="46082208801"/>
    <n v="29"/>
    <x v="81"/>
    <s v=""/>
    <x v="2"/>
    <x v="0"/>
  </r>
  <r>
    <n v="65075505934"/>
    <n v="30"/>
    <x v="81"/>
    <s v=""/>
    <x v="2"/>
    <x v="0"/>
  </r>
  <r>
    <n v="96547994657"/>
    <n v="38"/>
    <x v="81"/>
    <s v=""/>
    <x v="2"/>
    <x v="0"/>
  </r>
  <r>
    <n v="54880186182"/>
    <n v="73"/>
    <x v="81"/>
    <d v="2034-10-22T00:00:00"/>
    <x v="2"/>
    <x v="5"/>
  </r>
  <r>
    <n v="22205939337"/>
    <n v="90"/>
    <x v="81"/>
    <s v=""/>
    <x v="2"/>
    <x v="0"/>
  </r>
  <r>
    <n v="73622285068"/>
    <n v="90"/>
    <x v="81"/>
    <d v="2034-12-10T00:00:00"/>
    <x v="2"/>
    <x v="7"/>
  </r>
  <r>
    <n v="20997327207"/>
    <n v="113"/>
    <x v="81"/>
    <d v="2034-11-29T00:00:00"/>
    <x v="2"/>
    <x v="6"/>
  </r>
  <r>
    <n v="97809732078"/>
    <n v="129"/>
    <x v="81"/>
    <d v="2034-09-29T00:00:00"/>
    <x v="2"/>
    <x v="3"/>
  </r>
  <r>
    <n v="33904365619"/>
    <n v="136"/>
    <x v="81"/>
    <s v=""/>
    <x v="2"/>
    <x v="0"/>
  </r>
  <r>
    <n v="43925108238"/>
    <n v="178"/>
    <x v="81"/>
    <s v=""/>
    <x v="2"/>
    <x v="0"/>
  </r>
  <r>
    <n v="14820302412"/>
    <n v="184"/>
    <x v="81"/>
    <s v=""/>
    <x v="2"/>
    <x v="0"/>
  </r>
  <r>
    <n v="95706733452"/>
    <n v="188"/>
    <x v="81"/>
    <d v="2034-11-19T00:00:00"/>
    <x v="2"/>
    <x v="6"/>
  </r>
  <r>
    <n v="82954917836"/>
    <n v="196"/>
    <x v="81"/>
    <m/>
    <x v="2"/>
    <x v="0"/>
  </r>
  <r>
    <n v="12703278401"/>
    <n v="216"/>
    <x v="81"/>
    <s v=""/>
    <x v="2"/>
    <x v="0"/>
  </r>
  <r>
    <n v="93033369991"/>
    <n v="217"/>
    <x v="81"/>
    <d v="2034-10-20T00:00:00"/>
    <x v="2"/>
    <x v="5"/>
  </r>
  <r>
    <n v="23913032188"/>
    <n v="239"/>
    <x v="81"/>
    <s v=""/>
    <x v="2"/>
    <x v="0"/>
  </r>
  <r>
    <n v="94647370349"/>
    <n v="247"/>
    <x v="81"/>
    <m/>
    <x v="2"/>
    <x v="0"/>
  </r>
  <r>
    <n v="27356930771"/>
    <n v="247"/>
    <x v="81"/>
    <m/>
    <x v="2"/>
    <x v="0"/>
  </r>
  <r>
    <n v="73978794721"/>
    <n v="258"/>
    <x v="81"/>
    <s v=""/>
    <x v="2"/>
    <x v="0"/>
  </r>
  <r>
    <n v="85750991960"/>
    <n v="282"/>
    <x v="81"/>
    <s v=""/>
    <x v="2"/>
    <x v="0"/>
  </r>
  <r>
    <n v="47253157745"/>
    <n v="287"/>
    <x v="81"/>
    <s v=""/>
    <x v="2"/>
    <x v="0"/>
  </r>
  <r>
    <n v="45393113332"/>
    <n v="299"/>
    <x v="81"/>
    <s v=""/>
    <x v="2"/>
    <x v="0"/>
  </r>
  <r>
    <n v="98667553292"/>
    <n v="316"/>
    <x v="81"/>
    <s v=""/>
    <x v="2"/>
    <x v="0"/>
  </r>
  <r>
    <n v="87609993552"/>
    <n v="317"/>
    <x v="81"/>
    <d v="2034-12-04T00:00:00"/>
    <x v="2"/>
    <x v="7"/>
  </r>
  <r>
    <n v="26398082603"/>
    <n v="322"/>
    <x v="81"/>
    <s v=""/>
    <x v="2"/>
    <x v="0"/>
  </r>
  <r>
    <n v="60661420512"/>
    <n v="322"/>
    <x v="81"/>
    <d v="2034-12-19T00:00:00"/>
    <x v="2"/>
    <x v="7"/>
  </r>
  <r>
    <n v="43899334692"/>
    <n v="16"/>
    <x v="82"/>
    <s v=""/>
    <x v="2"/>
    <x v="0"/>
  </r>
  <r>
    <n v="55863813957"/>
    <n v="26"/>
    <x v="82"/>
    <s v=""/>
    <x v="2"/>
    <x v="0"/>
  </r>
  <r>
    <n v="90235948435"/>
    <n v="31"/>
    <x v="82"/>
    <s v=""/>
    <x v="2"/>
    <x v="0"/>
  </r>
  <r>
    <n v="63593084914"/>
    <n v="33"/>
    <x v="82"/>
    <s v=""/>
    <x v="2"/>
    <x v="0"/>
  </r>
  <r>
    <n v="23623224082"/>
    <n v="57"/>
    <x v="82"/>
    <s v=""/>
    <x v="2"/>
    <x v="0"/>
  </r>
  <r>
    <n v="36591759011"/>
    <n v="65"/>
    <x v="82"/>
    <s v=""/>
    <x v="2"/>
    <x v="0"/>
  </r>
  <r>
    <n v="76799900064"/>
    <n v="81"/>
    <x v="82"/>
    <m/>
    <x v="2"/>
    <x v="0"/>
  </r>
  <r>
    <n v="12858644842"/>
    <n v="117"/>
    <x v="82"/>
    <m/>
    <x v="2"/>
    <x v="0"/>
  </r>
  <r>
    <n v="72179296893"/>
    <n v="129"/>
    <x v="82"/>
    <s v=""/>
    <x v="2"/>
    <x v="0"/>
  </r>
  <r>
    <n v="87789733412"/>
    <n v="136"/>
    <x v="82"/>
    <s v=""/>
    <x v="2"/>
    <x v="0"/>
  </r>
  <r>
    <n v="16802531143"/>
    <n v="140"/>
    <x v="82"/>
    <s v=""/>
    <x v="2"/>
    <x v="0"/>
  </r>
  <r>
    <n v="49749628417"/>
    <n v="158"/>
    <x v="82"/>
    <s v=""/>
    <x v="2"/>
    <x v="0"/>
  </r>
  <r>
    <n v="26858440756"/>
    <n v="173"/>
    <x v="82"/>
    <s v=""/>
    <x v="2"/>
    <x v="0"/>
  </r>
  <r>
    <n v="52314592599"/>
    <n v="184"/>
    <x v="82"/>
    <m/>
    <x v="2"/>
    <x v="0"/>
  </r>
  <r>
    <n v="95564924724"/>
    <n v="186"/>
    <x v="82"/>
    <s v=""/>
    <x v="2"/>
    <x v="0"/>
  </r>
  <r>
    <n v="12013591314"/>
    <n v="226"/>
    <x v="82"/>
    <s v=""/>
    <x v="2"/>
    <x v="0"/>
  </r>
  <r>
    <n v="65838017795"/>
    <n v="236"/>
    <x v="82"/>
    <s v=""/>
    <x v="2"/>
    <x v="0"/>
  </r>
  <r>
    <n v="99623915295"/>
    <n v="245"/>
    <x v="82"/>
    <s v=""/>
    <x v="2"/>
    <x v="0"/>
  </r>
  <r>
    <n v="32262346715"/>
    <n v="269"/>
    <x v="82"/>
    <s v=""/>
    <x v="2"/>
    <x v="0"/>
  </r>
  <r>
    <n v="35857323733"/>
    <n v="291"/>
    <x v="82"/>
    <s v=""/>
    <x v="2"/>
    <x v="0"/>
  </r>
  <r>
    <n v="54081661536"/>
    <n v="291"/>
    <x v="82"/>
    <m/>
    <x v="2"/>
    <x v="0"/>
  </r>
  <r>
    <n v="61998582284"/>
    <n v="293"/>
    <x v="82"/>
    <s v=""/>
    <x v="2"/>
    <x v="0"/>
  </r>
  <r>
    <n v="54558172132"/>
    <n v="297"/>
    <x v="82"/>
    <s v=""/>
    <x v="2"/>
    <x v="0"/>
  </r>
  <r>
    <n v="19210587905"/>
    <n v="322"/>
    <x v="82"/>
    <s v=""/>
    <x v="2"/>
    <x v="0"/>
  </r>
  <r>
    <n v="57034742930"/>
    <n v="325"/>
    <x v="82"/>
    <d v="2034-09-27T00:00:00"/>
    <x v="2"/>
    <x v="3"/>
  </r>
  <r>
    <n v="76992951778"/>
    <n v="329"/>
    <x v="82"/>
    <s v=""/>
    <x v="2"/>
    <x v="0"/>
  </r>
  <r>
    <n v="26455410414"/>
    <n v="2"/>
    <x v="83"/>
    <s v=""/>
    <x v="2"/>
    <x v="0"/>
  </r>
  <r>
    <n v="90440917123"/>
    <n v="5"/>
    <x v="83"/>
    <s v=""/>
    <x v="2"/>
    <x v="0"/>
  </r>
  <r>
    <n v="22974730929"/>
    <n v="45"/>
    <x v="83"/>
    <s v=""/>
    <x v="2"/>
    <x v="0"/>
  </r>
  <r>
    <n v="41010808494"/>
    <n v="69"/>
    <x v="83"/>
    <s v=""/>
    <x v="2"/>
    <x v="0"/>
  </r>
  <r>
    <n v="16360964013"/>
    <n v="71"/>
    <x v="83"/>
    <d v="2034-11-05T00:00:00"/>
    <x v="2"/>
    <x v="6"/>
  </r>
  <r>
    <n v="78361960244"/>
    <n v="84"/>
    <x v="83"/>
    <s v=""/>
    <x v="2"/>
    <x v="0"/>
  </r>
  <r>
    <n v="42789258086"/>
    <n v="108"/>
    <x v="83"/>
    <m/>
    <x v="2"/>
    <x v="0"/>
  </r>
  <r>
    <n v="19234352163"/>
    <n v="128"/>
    <x v="83"/>
    <s v=""/>
    <x v="2"/>
    <x v="0"/>
  </r>
  <r>
    <n v="64824468586"/>
    <n v="130"/>
    <x v="83"/>
    <s v=""/>
    <x v="2"/>
    <x v="0"/>
  </r>
  <r>
    <n v="65563690422"/>
    <n v="142"/>
    <x v="83"/>
    <s v=""/>
    <x v="2"/>
    <x v="0"/>
  </r>
  <r>
    <n v="57157794621"/>
    <n v="149"/>
    <x v="83"/>
    <m/>
    <x v="2"/>
    <x v="0"/>
  </r>
  <r>
    <n v="87506553836"/>
    <n v="150"/>
    <x v="83"/>
    <s v=""/>
    <x v="2"/>
    <x v="0"/>
  </r>
  <r>
    <n v="90615992497"/>
    <n v="159"/>
    <x v="83"/>
    <d v="2034-10-01T00:00:00"/>
    <x v="2"/>
    <x v="5"/>
  </r>
  <r>
    <n v="70242299505"/>
    <n v="168"/>
    <x v="83"/>
    <m/>
    <x v="2"/>
    <x v="0"/>
  </r>
  <r>
    <n v="57098645733"/>
    <n v="172"/>
    <x v="83"/>
    <s v=""/>
    <x v="2"/>
    <x v="0"/>
  </r>
  <r>
    <n v="59675028926"/>
    <n v="173"/>
    <x v="83"/>
    <s v=""/>
    <x v="2"/>
    <x v="0"/>
  </r>
  <r>
    <n v="33288395616"/>
    <n v="178"/>
    <x v="83"/>
    <s v=""/>
    <x v="2"/>
    <x v="0"/>
  </r>
  <r>
    <n v="71316549009"/>
    <n v="209"/>
    <x v="83"/>
    <m/>
    <x v="2"/>
    <x v="0"/>
  </r>
  <r>
    <n v="25339743367"/>
    <n v="226"/>
    <x v="83"/>
    <d v="2034-12-20T00:00:00"/>
    <x v="2"/>
    <x v="7"/>
  </r>
  <r>
    <n v="98513990668"/>
    <n v="242"/>
    <x v="83"/>
    <s v=""/>
    <x v="2"/>
    <x v="0"/>
  </r>
  <r>
    <n v="93051478565"/>
    <n v="242"/>
    <x v="83"/>
    <s v=""/>
    <x v="2"/>
    <x v="0"/>
  </r>
  <r>
    <n v="49070467726"/>
    <n v="257"/>
    <x v="83"/>
    <s v=""/>
    <x v="2"/>
    <x v="0"/>
  </r>
  <r>
    <n v="49201455776"/>
    <n v="269"/>
    <x v="83"/>
    <d v="2034-11-17T00:00:00"/>
    <x v="2"/>
    <x v="6"/>
  </r>
  <r>
    <n v="59121447122"/>
    <n v="279"/>
    <x v="83"/>
    <d v="2034-09-19T00:00:00"/>
    <x v="2"/>
    <x v="3"/>
  </r>
  <r>
    <n v="79350262783"/>
    <n v="293"/>
    <x v="83"/>
    <s v=""/>
    <x v="2"/>
    <x v="0"/>
  </r>
  <r>
    <n v="63022130558"/>
    <n v="294"/>
    <x v="83"/>
    <s v=""/>
    <x v="2"/>
    <x v="0"/>
  </r>
  <r>
    <n v="63997597784"/>
    <n v="297"/>
    <x v="83"/>
    <m/>
    <x v="2"/>
    <x v="0"/>
  </r>
  <r>
    <n v="37959296971"/>
    <n v="317"/>
    <x v="83"/>
    <s v=""/>
    <x v="2"/>
    <x v="0"/>
  </r>
  <r>
    <n v="11854454378"/>
    <n v="326"/>
    <x v="83"/>
    <d v="2034-11-30T00:00:00"/>
    <x v="2"/>
    <x v="6"/>
  </r>
  <r>
    <n v="42706154808"/>
    <n v="328"/>
    <x v="83"/>
    <s v=""/>
    <x v="2"/>
    <x v="0"/>
  </r>
  <r>
    <n v="81815529577"/>
    <n v="6"/>
    <x v="84"/>
    <d v="2034-08-30T00:00:00"/>
    <x v="2"/>
    <x v="4"/>
  </r>
  <r>
    <n v="15183410718"/>
    <n v="13"/>
    <x v="84"/>
    <s v=""/>
    <x v="2"/>
    <x v="0"/>
  </r>
  <r>
    <n v="18773954955"/>
    <n v="20"/>
    <x v="84"/>
    <s v=""/>
    <x v="2"/>
    <x v="0"/>
  </r>
  <r>
    <n v="60953538195"/>
    <n v="27"/>
    <x v="84"/>
    <s v=""/>
    <x v="2"/>
    <x v="0"/>
  </r>
  <r>
    <n v="26838082025"/>
    <n v="38"/>
    <x v="84"/>
    <d v="2034-08-28T00:00:00"/>
    <x v="2"/>
    <x v="4"/>
  </r>
  <r>
    <n v="66328149594"/>
    <n v="55"/>
    <x v="84"/>
    <s v=""/>
    <x v="2"/>
    <x v="0"/>
  </r>
  <r>
    <n v="69177441314"/>
    <n v="86"/>
    <x v="84"/>
    <s v=""/>
    <x v="2"/>
    <x v="0"/>
  </r>
  <r>
    <n v="57443932108"/>
    <n v="101"/>
    <x v="84"/>
    <s v=""/>
    <x v="2"/>
    <x v="0"/>
  </r>
  <r>
    <n v="53643041351"/>
    <n v="121"/>
    <x v="84"/>
    <d v="2034-10-17T00:00:00"/>
    <x v="2"/>
    <x v="5"/>
  </r>
  <r>
    <n v="14186843834"/>
    <n v="124"/>
    <x v="84"/>
    <d v="2034-09-17T00:00:00"/>
    <x v="2"/>
    <x v="3"/>
  </r>
  <r>
    <n v="71129266281"/>
    <n v="126"/>
    <x v="84"/>
    <s v=""/>
    <x v="2"/>
    <x v="0"/>
  </r>
  <r>
    <n v="65724146743"/>
    <n v="156"/>
    <x v="84"/>
    <m/>
    <x v="2"/>
    <x v="0"/>
  </r>
  <r>
    <n v="89536396863"/>
    <n v="194"/>
    <x v="84"/>
    <s v=""/>
    <x v="2"/>
    <x v="0"/>
  </r>
  <r>
    <n v="79631748728"/>
    <n v="195"/>
    <x v="84"/>
    <m/>
    <x v="2"/>
    <x v="0"/>
  </r>
  <r>
    <n v="67907777309"/>
    <n v="202"/>
    <x v="84"/>
    <s v=""/>
    <x v="2"/>
    <x v="0"/>
  </r>
  <r>
    <n v="98143411709"/>
    <n v="230"/>
    <x v="84"/>
    <s v=""/>
    <x v="2"/>
    <x v="0"/>
  </r>
  <r>
    <n v="45328601215"/>
    <n v="235"/>
    <x v="84"/>
    <s v=""/>
    <x v="2"/>
    <x v="0"/>
  </r>
  <r>
    <n v="61735381854"/>
    <n v="299"/>
    <x v="84"/>
    <m/>
    <x v="2"/>
    <x v="0"/>
  </r>
  <r>
    <n v="67474250340"/>
    <n v="311"/>
    <x v="84"/>
    <s v=""/>
    <x v="2"/>
    <x v="0"/>
  </r>
  <r>
    <n v="63337970865"/>
    <n v="17"/>
    <x v="85"/>
    <s v=""/>
    <x v="2"/>
    <x v="0"/>
  </r>
  <r>
    <n v="72317320702"/>
    <n v="25"/>
    <x v="85"/>
    <m/>
    <x v="2"/>
    <x v="0"/>
  </r>
  <r>
    <n v="27112294397"/>
    <n v="43"/>
    <x v="85"/>
    <d v="2034-09-22T00:00:00"/>
    <x v="2"/>
    <x v="3"/>
  </r>
  <r>
    <n v="91018075816"/>
    <n v="55"/>
    <x v="85"/>
    <d v="2034-10-12T00:00:00"/>
    <x v="2"/>
    <x v="5"/>
  </r>
  <r>
    <n v="22604586451"/>
    <n v="75"/>
    <x v="85"/>
    <m/>
    <x v="2"/>
    <x v="0"/>
  </r>
  <r>
    <n v="58500335201"/>
    <n v="77"/>
    <x v="85"/>
    <d v="2034-09-20T00:00:00"/>
    <x v="2"/>
    <x v="3"/>
  </r>
  <r>
    <n v="81478912152"/>
    <n v="89"/>
    <x v="85"/>
    <m/>
    <x v="2"/>
    <x v="0"/>
  </r>
  <r>
    <n v="79937334740"/>
    <n v="94"/>
    <x v="85"/>
    <s v=""/>
    <x v="2"/>
    <x v="0"/>
  </r>
  <r>
    <n v="19120314528"/>
    <n v="118"/>
    <x v="85"/>
    <s v=""/>
    <x v="2"/>
    <x v="0"/>
  </r>
  <r>
    <n v="95810519452"/>
    <n v="128"/>
    <x v="85"/>
    <s v=""/>
    <x v="2"/>
    <x v="0"/>
  </r>
  <r>
    <n v="75886687471"/>
    <n v="140"/>
    <x v="85"/>
    <s v=""/>
    <x v="2"/>
    <x v="0"/>
  </r>
  <r>
    <n v="25395981078"/>
    <n v="146"/>
    <x v="85"/>
    <s v=""/>
    <x v="2"/>
    <x v="0"/>
  </r>
  <r>
    <n v="48575901190"/>
    <n v="154"/>
    <x v="85"/>
    <s v=""/>
    <x v="2"/>
    <x v="0"/>
  </r>
  <r>
    <n v="60805239192"/>
    <n v="176"/>
    <x v="85"/>
    <d v="2034-10-14T00:00:00"/>
    <x v="2"/>
    <x v="5"/>
  </r>
  <r>
    <n v="41810499860"/>
    <n v="179"/>
    <x v="85"/>
    <s v=""/>
    <x v="2"/>
    <x v="0"/>
  </r>
  <r>
    <n v="47040885419"/>
    <n v="198"/>
    <x v="85"/>
    <s v=""/>
    <x v="2"/>
    <x v="0"/>
  </r>
  <r>
    <n v="15802611698"/>
    <n v="207"/>
    <x v="85"/>
    <d v="2034-11-25T00:00:00"/>
    <x v="2"/>
    <x v="6"/>
  </r>
  <r>
    <n v="88299237142"/>
    <n v="221"/>
    <x v="85"/>
    <m/>
    <x v="2"/>
    <x v="0"/>
  </r>
  <r>
    <n v="76410873800"/>
    <n v="229"/>
    <x v="85"/>
    <s v=""/>
    <x v="2"/>
    <x v="0"/>
  </r>
  <r>
    <n v="44058371467"/>
    <n v="255"/>
    <x v="85"/>
    <s v=""/>
    <x v="2"/>
    <x v="0"/>
  </r>
  <r>
    <n v="74688087675"/>
    <n v="270"/>
    <x v="85"/>
    <s v=""/>
    <x v="2"/>
    <x v="0"/>
  </r>
  <r>
    <n v="41748395533"/>
    <n v="285"/>
    <x v="85"/>
    <s v=""/>
    <x v="2"/>
    <x v="0"/>
  </r>
  <r>
    <n v="20596247646"/>
    <n v="291"/>
    <x v="85"/>
    <s v=""/>
    <x v="2"/>
    <x v="0"/>
  </r>
  <r>
    <n v="12436761371"/>
    <n v="291"/>
    <x v="85"/>
    <s v=""/>
    <x v="2"/>
    <x v="0"/>
  </r>
  <r>
    <n v="95644530891"/>
    <n v="292"/>
    <x v="85"/>
    <s v=""/>
    <x v="2"/>
    <x v="0"/>
  </r>
  <r>
    <n v="91250770751"/>
    <n v="303"/>
    <x v="85"/>
    <m/>
    <x v="2"/>
    <x v="0"/>
  </r>
  <r>
    <n v="93592790498"/>
    <n v="306"/>
    <x v="85"/>
    <d v="2034-10-06T00:00:00"/>
    <x v="2"/>
    <x v="5"/>
  </r>
  <r>
    <n v="93315708484"/>
    <n v="7"/>
    <x v="86"/>
    <s v=""/>
    <x v="2"/>
    <x v="0"/>
  </r>
  <r>
    <n v="51094986170"/>
    <n v="39"/>
    <x v="86"/>
    <d v="2034-11-21T00:00:00"/>
    <x v="2"/>
    <x v="6"/>
  </r>
  <r>
    <n v="39931689537"/>
    <n v="41"/>
    <x v="86"/>
    <s v=""/>
    <x v="2"/>
    <x v="0"/>
  </r>
  <r>
    <n v="33263873833"/>
    <n v="50"/>
    <x v="86"/>
    <m/>
    <x v="2"/>
    <x v="0"/>
  </r>
  <r>
    <n v="59689353707"/>
    <n v="72"/>
    <x v="86"/>
    <s v=""/>
    <x v="2"/>
    <x v="0"/>
  </r>
  <r>
    <n v="67529325895"/>
    <n v="75"/>
    <x v="86"/>
    <d v="2034-09-13T00:00:00"/>
    <x v="2"/>
    <x v="3"/>
  </r>
  <r>
    <n v="24535307489"/>
    <n v="128"/>
    <x v="86"/>
    <s v=""/>
    <x v="2"/>
    <x v="0"/>
  </r>
  <r>
    <n v="98860855548"/>
    <n v="134"/>
    <x v="86"/>
    <s v=""/>
    <x v="2"/>
    <x v="0"/>
  </r>
  <r>
    <n v="49896240115"/>
    <n v="138"/>
    <x v="86"/>
    <s v=""/>
    <x v="2"/>
    <x v="0"/>
  </r>
  <r>
    <n v="82513729358"/>
    <n v="142"/>
    <x v="86"/>
    <s v=""/>
    <x v="2"/>
    <x v="0"/>
  </r>
  <r>
    <n v="88039992590"/>
    <n v="144"/>
    <x v="86"/>
    <m/>
    <x v="2"/>
    <x v="0"/>
  </r>
  <r>
    <n v="20173197097"/>
    <n v="147"/>
    <x v="86"/>
    <d v="2034-08-28T00:00:00"/>
    <x v="2"/>
    <x v="4"/>
  </r>
  <r>
    <n v="37329427289"/>
    <n v="158"/>
    <x v="86"/>
    <s v=""/>
    <x v="2"/>
    <x v="0"/>
  </r>
  <r>
    <n v="74353646852"/>
    <n v="174"/>
    <x v="86"/>
    <s v=""/>
    <x v="2"/>
    <x v="0"/>
  </r>
  <r>
    <n v="83047969475"/>
    <n v="191"/>
    <x v="86"/>
    <s v=""/>
    <x v="2"/>
    <x v="0"/>
  </r>
  <r>
    <n v="80858079273"/>
    <n v="210"/>
    <x v="86"/>
    <s v=""/>
    <x v="2"/>
    <x v="0"/>
  </r>
  <r>
    <n v="35225054772"/>
    <n v="221"/>
    <x v="86"/>
    <d v="2034-12-21T00:00:00"/>
    <x v="2"/>
    <x v="7"/>
  </r>
  <r>
    <n v="15227636716"/>
    <n v="222"/>
    <x v="86"/>
    <s v=""/>
    <x v="2"/>
    <x v="0"/>
  </r>
  <r>
    <n v="66623927747"/>
    <n v="234"/>
    <x v="86"/>
    <s v=""/>
    <x v="2"/>
    <x v="0"/>
  </r>
  <r>
    <n v="85286548361"/>
    <n v="247"/>
    <x v="86"/>
    <s v=""/>
    <x v="2"/>
    <x v="0"/>
  </r>
  <r>
    <n v="77926541238"/>
    <n v="250"/>
    <x v="86"/>
    <d v="2034-10-24T00:00:00"/>
    <x v="2"/>
    <x v="5"/>
  </r>
  <r>
    <n v="36334303668"/>
    <n v="270"/>
    <x v="86"/>
    <d v="2034-09-03T00:00:00"/>
    <x v="2"/>
    <x v="3"/>
  </r>
  <r>
    <n v="67411223449"/>
    <n v="274"/>
    <x v="86"/>
    <m/>
    <x v="2"/>
    <x v="0"/>
  </r>
  <r>
    <n v="66947619131"/>
    <n v="281"/>
    <x v="86"/>
    <d v="2034-09-02T00:00:00"/>
    <x v="2"/>
    <x v="3"/>
  </r>
  <r>
    <n v="61843435077"/>
    <n v="291"/>
    <x v="86"/>
    <d v="2034-11-24T00:00:00"/>
    <x v="2"/>
    <x v="6"/>
  </r>
  <r>
    <n v="91861851828"/>
    <n v="296"/>
    <x v="86"/>
    <d v="2034-10-17T00:00:00"/>
    <x v="2"/>
    <x v="5"/>
  </r>
  <r>
    <n v="54073137368"/>
    <n v="319"/>
    <x v="86"/>
    <s v=""/>
    <x v="2"/>
    <x v="0"/>
  </r>
  <r>
    <n v="76668332915"/>
    <n v="25"/>
    <x v="87"/>
    <s v=""/>
    <x v="2"/>
    <x v="0"/>
  </r>
  <r>
    <n v="41572629842"/>
    <n v="26"/>
    <x v="87"/>
    <s v=""/>
    <x v="2"/>
    <x v="0"/>
  </r>
  <r>
    <n v="43491762440"/>
    <n v="38"/>
    <x v="87"/>
    <s v=""/>
    <x v="2"/>
    <x v="0"/>
  </r>
  <r>
    <n v="62549084161"/>
    <n v="75"/>
    <x v="87"/>
    <s v=""/>
    <x v="2"/>
    <x v="0"/>
  </r>
  <r>
    <n v="29080043429"/>
    <n v="86"/>
    <x v="87"/>
    <d v="2034-11-15T00:00:00"/>
    <x v="2"/>
    <x v="6"/>
  </r>
  <r>
    <n v="24165422714"/>
    <n v="87"/>
    <x v="87"/>
    <s v=""/>
    <x v="2"/>
    <x v="0"/>
  </r>
  <r>
    <n v="52545758847"/>
    <n v="115"/>
    <x v="87"/>
    <d v="2034-12-13T00:00:00"/>
    <x v="2"/>
    <x v="7"/>
  </r>
  <r>
    <n v="16682506899"/>
    <n v="117"/>
    <x v="87"/>
    <d v="2034-09-24T00:00:00"/>
    <x v="2"/>
    <x v="3"/>
  </r>
  <r>
    <n v="68792044007"/>
    <n v="148"/>
    <x v="87"/>
    <s v=""/>
    <x v="2"/>
    <x v="0"/>
  </r>
  <r>
    <n v="58816137012"/>
    <n v="154"/>
    <x v="87"/>
    <s v=""/>
    <x v="2"/>
    <x v="0"/>
  </r>
  <r>
    <n v="59644551292"/>
    <n v="191"/>
    <x v="87"/>
    <s v=""/>
    <x v="2"/>
    <x v="0"/>
  </r>
  <r>
    <n v="57713594493"/>
    <n v="199"/>
    <x v="87"/>
    <m/>
    <x v="2"/>
    <x v="0"/>
  </r>
  <r>
    <n v="40001354737"/>
    <n v="206"/>
    <x v="87"/>
    <s v=""/>
    <x v="2"/>
    <x v="0"/>
  </r>
  <r>
    <n v="24526379564"/>
    <n v="218"/>
    <x v="87"/>
    <s v=""/>
    <x v="2"/>
    <x v="0"/>
  </r>
  <r>
    <n v="62921655242"/>
    <n v="218"/>
    <x v="87"/>
    <s v=""/>
    <x v="2"/>
    <x v="0"/>
  </r>
  <r>
    <n v="83801836531"/>
    <n v="234"/>
    <x v="87"/>
    <m/>
    <x v="2"/>
    <x v="0"/>
  </r>
  <r>
    <n v="49156014860"/>
    <n v="252"/>
    <x v="87"/>
    <d v="2034-10-18T00:00:00"/>
    <x v="2"/>
    <x v="5"/>
  </r>
  <r>
    <n v="83053451765"/>
    <n v="269"/>
    <x v="87"/>
    <s v=""/>
    <x v="2"/>
    <x v="0"/>
  </r>
  <r>
    <n v="68550510184"/>
    <n v="275"/>
    <x v="87"/>
    <s v=""/>
    <x v="2"/>
    <x v="0"/>
  </r>
  <r>
    <n v="63972819685"/>
    <n v="279"/>
    <x v="87"/>
    <d v="2034-11-25T00:00:00"/>
    <x v="2"/>
    <x v="6"/>
  </r>
  <r>
    <n v="68107613343"/>
    <n v="297"/>
    <x v="87"/>
    <d v="2034-09-11T00:00:00"/>
    <x v="2"/>
    <x v="3"/>
  </r>
  <r>
    <n v="23840250102"/>
    <n v="312"/>
    <x v="87"/>
    <s v=""/>
    <x v="2"/>
    <x v="0"/>
  </r>
  <r>
    <n v="34348566933"/>
    <n v="333"/>
    <x v="87"/>
    <s v=""/>
    <x v="2"/>
    <x v="0"/>
  </r>
  <r>
    <n v="11195642926"/>
    <n v="334"/>
    <x v="87"/>
    <s v=""/>
    <x v="2"/>
    <x v="0"/>
  </r>
  <r>
    <n v="49821170226"/>
    <n v="24"/>
    <x v="88"/>
    <s v=""/>
    <x v="2"/>
    <x v="0"/>
  </r>
  <r>
    <n v="28127647356"/>
    <n v="25"/>
    <x v="88"/>
    <d v="2034-10-06T00:00:00"/>
    <x v="2"/>
    <x v="5"/>
  </r>
  <r>
    <n v="95771455980"/>
    <n v="27"/>
    <x v="88"/>
    <s v=""/>
    <x v="2"/>
    <x v="0"/>
  </r>
  <r>
    <n v="89296641330"/>
    <n v="49"/>
    <x v="88"/>
    <m/>
    <x v="2"/>
    <x v="0"/>
  </r>
  <r>
    <n v="40650943058"/>
    <n v="90"/>
    <x v="88"/>
    <s v=""/>
    <x v="2"/>
    <x v="0"/>
  </r>
  <r>
    <n v="70147363300"/>
    <n v="96"/>
    <x v="88"/>
    <m/>
    <x v="2"/>
    <x v="0"/>
  </r>
  <r>
    <n v="30578040722"/>
    <n v="111"/>
    <x v="88"/>
    <s v=""/>
    <x v="2"/>
    <x v="0"/>
  </r>
  <r>
    <n v="46249366946"/>
    <n v="118"/>
    <x v="88"/>
    <m/>
    <x v="2"/>
    <x v="0"/>
  </r>
  <r>
    <n v="60673475794"/>
    <n v="138"/>
    <x v="88"/>
    <s v=""/>
    <x v="2"/>
    <x v="0"/>
  </r>
  <r>
    <n v="87084605194"/>
    <n v="144"/>
    <x v="88"/>
    <m/>
    <x v="2"/>
    <x v="0"/>
  </r>
  <r>
    <n v="31685024414"/>
    <n v="183"/>
    <x v="88"/>
    <s v=""/>
    <x v="2"/>
    <x v="0"/>
  </r>
  <r>
    <n v="93813827336"/>
    <n v="201"/>
    <x v="88"/>
    <s v=""/>
    <x v="2"/>
    <x v="0"/>
  </r>
  <r>
    <n v="39749974842"/>
    <n v="229"/>
    <x v="88"/>
    <s v=""/>
    <x v="2"/>
    <x v="0"/>
  </r>
  <r>
    <n v="50736822163"/>
    <n v="270"/>
    <x v="88"/>
    <d v="2034-12-19T00:00:00"/>
    <x v="2"/>
    <x v="7"/>
  </r>
  <r>
    <n v="68899600388"/>
    <n v="274"/>
    <x v="88"/>
    <s v=""/>
    <x v="2"/>
    <x v="0"/>
  </r>
  <r>
    <n v="21363203985"/>
    <n v="18"/>
    <x v="89"/>
    <s v=""/>
    <x v="2"/>
    <x v="0"/>
  </r>
  <r>
    <n v="74846085916"/>
    <n v="54"/>
    <x v="89"/>
    <s v=""/>
    <x v="2"/>
    <x v="0"/>
  </r>
  <r>
    <n v="92267970162"/>
    <n v="56"/>
    <x v="89"/>
    <m/>
    <x v="2"/>
    <x v="0"/>
  </r>
  <r>
    <n v="92024765612"/>
    <n v="74"/>
    <x v="89"/>
    <s v=""/>
    <x v="2"/>
    <x v="0"/>
  </r>
  <r>
    <n v="78311191230"/>
    <n v="101"/>
    <x v="89"/>
    <s v=""/>
    <x v="2"/>
    <x v="0"/>
  </r>
  <r>
    <n v="25583125468"/>
    <n v="116"/>
    <x v="89"/>
    <s v=""/>
    <x v="2"/>
    <x v="0"/>
  </r>
  <r>
    <n v="21989145331"/>
    <n v="139"/>
    <x v="89"/>
    <s v=""/>
    <x v="2"/>
    <x v="0"/>
  </r>
  <r>
    <n v="84301317267"/>
    <n v="163"/>
    <x v="89"/>
    <s v=""/>
    <x v="2"/>
    <x v="0"/>
  </r>
  <r>
    <n v="69417242571"/>
    <n v="211"/>
    <x v="89"/>
    <s v=""/>
    <x v="2"/>
    <x v="0"/>
  </r>
  <r>
    <n v="57617870518"/>
    <n v="239"/>
    <x v="89"/>
    <s v=""/>
    <x v="2"/>
    <x v="0"/>
  </r>
  <r>
    <n v="94286394667"/>
    <n v="270"/>
    <x v="89"/>
    <d v="2034-10-20T00:00:00"/>
    <x v="2"/>
    <x v="5"/>
  </r>
  <r>
    <n v="14900781619"/>
    <n v="288"/>
    <x v="89"/>
    <d v="2034-09-28T00:00:00"/>
    <x v="2"/>
    <x v="3"/>
  </r>
  <r>
    <n v="19647874119"/>
    <n v="303"/>
    <x v="89"/>
    <s v=""/>
    <x v="2"/>
    <x v="0"/>
  </r>
  <r>
    <n v="49533757680"/>
    <n v="336"/>
    <x v="89"/>
    <s v=""/>
    <x v="2"/>
    <x v="0"/>
  </r>
  <r>
    <n v="74095363544"/>
    <n v="19"/>
    <x v="90"/>
    <d v="2034-10-11T00:00:00"/>
    <x v="2"/>
    <x v="5"/>
  </r>
  <r>
    <n v="51839495593"/>
    <n v="27"/>
    <x v="90"/>
    <s v=""/>
    <x v="2"/>
    <x v="0"/>
  </r>
  <r>
    <n v="81443353648"/>
    <n v="27"/>
    <x v="90"/>
    <d v="2034-11-30T00:00:00"/>
    <x v="2"/>
    <x v="6"/>
  </r>
  <r>
    <n v="49356243208"/>
    <n v="41"/>
    <x v="90"/>
    <m/>
    <x v="2"/>
    <x v="0"/>
  </r>
  <r>
    <n v="89391111594"/>
    <n v="52"/>
    <x v="90"/>
    <d v="2034-12-06T00:00:00"/>
    <x v="2"/>
    <x v="7"/>
  </r>
  <r>
    <n v="47477470914"/>
    <n v="87"/>
    <x v="90"/>
    <s v=""/>
    <x v="2"/>
    <x v="0"/>
  </r>
  <r>
    <n v="17225876220"/>
    <n v="103"/>
    <x v="90"/>
    <s v=""/>
    <x v="2"/>
    <x v="0"/>
  </r>
  <r>
    <n v="20341485932"/>
    <n v="104"/>
    <x v="90"/>
    <d v="2034-09-20T00:00:00"/>
    <x v="2"/>
    <x v="3"/>
  </r>
  <r>
    <n v="95549227467"/>
    <n v="117"/>
    <x v="90"/>
    <m/>
    <x v="2"/>
    <x v="0"/>
  </r>
  <r>
    <n v="80783014409"/>
    <n v="132"/>
    <x v="90"/>
    <m/>
    <x v="2"/>
    <x v="0"/>
  </r>
  <r>
    <n v="41329312694"/>
    <n v="198"/>
    <x v="90"/>
    <d v="2034-11-09T00:00:00"/>
    <x v="2"/>
    <x v="6"/>
  </r>
  <r>
    <n v="59554655319"/>
    <n v="201"/>
    <x v="90"/>
    <m/>
    <x v="2"/>
    <x v="0"/>
  </r>
  <r>
    <n v="81224736578"/>
    <n v="205"/>
    <x v="90"/>
    <s v=""/>
    <x v="2"/>
    <x v="0"/>
  </r>
  <r>
    <n v="70347517200"/>
    <n v="225"/>
    <x v="90"/>
    <s v=""/>
    <x v="2"/>
    <x v="0"/>
  </r>
  <r>
    <n v="76921055932"/>
    <n v="227"/>
    <x v="90"/>
    <m/>
    <x v="2"/>
    <x v="0"/>
  </r>
  <r>
    <n v="65598488675"/>
    <n v="234"/>
    <x v="90"/>
    <s v=""/>
    <x v="2"/>
    <x v="0"/>
  </r>
  <r>
    <n v="86388397710"/>
    <n v="243"/>
    <x v="90"/>
    <s v=""/>
    <x v="2"/>
    <x v="0"/>
  </r>
  <r>
    <n v="57509074363"/>
    <n v="244"/>
    <x v="90"/>
    <s v=""/>
    <x v="2"/>
    <x v="0"/>
  </r>
  <r>
    <n v="56735076961"/>
    <n v="250"/>
    <x v="90"/>
    <s v=""/>
    <x v="2"/>
    <x v="0"/>
  </r>
  <r>
    <n v="35634648391"/>
    <n v="262"/>
    <x v="90"/>
    <d v="2034-11-17T00:00:00"/>
    <x v="2"/>
    <x v="6"/>
  </r>
  <r>
    <n v="47382849610"/>
    <n v="273"/>
    <x v="90"/>
    <s v=""/>
    <x v="2"/>
    <x v="0"/>
  </r>
  <r>
    <n v="85259797101"/>
    <n v="283"/>
    <x v="90"/>
    <s v=""/>
    <x v="2"/>
    <x v="0"/>
  </r>
  <r>
    <n v="98085589300"/>
    <n v="327"/>
    <x v="90"/>
    <d v="2034-11-18T00:00:00"/>
    <x v="2"/>
    <x v="6"/>
  </r>
  <r>
    <n v="16360224234"/>
    <n v="336"/>
    <x v="90"/>
    <s v=""/>
    <x v="2"/>
    <x v="0"/>
  </r>
  <r>
    <n v="75966246711"/>
    <n v="338"/>
    <x v="90"/>
    <s v=""/>
    <x v="2"/>
    <x v="0"/>
  </r>
  <r>
    <n v="72309972138"/>
    <n v="2"/>
    <x v="91"/>
    <m/>
    <x v="2"/>
    <x v="0"/>
  </r>
  <r>
    <n v="75583704460"/>
    <n v="39"/>
    <x v="91"/>
    <s v=""/>
    <x v="2"/>
    <x v="0"/>
  </r>
  <r>
    <n v="65714834862"/>
    <n v="54"/>
    <x v="91"/>
    <s v=""/>
    <x v="2"/>
    <x v="0"/>
  </r>
  <r>
    <n v="81323235089"/>
    <n v="56"/>
    <x v="91"/>
    <d v="2034-11-13T00:00:00"/>
    <x v="2"/>
    <x v="6"/>
  </r>
  <r>
    <n v="57578357628"/>
    <n v="63"/>
    <x v="91"/>
    <m/>
    <x v="2"/>
    <x v="0"/>
  </r>
  <r>
    <n v="68750617037"/>
    <n v="92"/>
    <x v="91"/>
    <s v=""/>
    <x v="2"/>
    <x v="0"/>
  </r>
  <r>
    <n v="49305025974"/>
    <n v="94"/>
    <x v="91"/>
    <s v=""/>
    <x v="2"/>
    <x v="0"/>
  </r>
  <r>
    <n v="19332995657"/>
    <n v="146"/>
    <x v="91"/>
    <s v=""/>
    <x v="2"/>
    <x v="0"/>
  </r>
  <r>
    <n v="22665248363"/>
    <n v="156"/>
    <x v="91"/>
    <m/>
    <x v="2"/>
    <x v="0"/>
  </r>
  <r>
    <n v="58520310782"/>
    <n v="186"/>
    <x v="91"/>
    <s v=""/>
    <x v="2"/>
    <x v="0"/>
  </r>
  <r>
    <n v="89288626983"/>
    <n v="189"/>
    <x v="91"/>
    <s v=""/>
    <x v="2"/>
    <x v="0"/>
  </r>
  <r>
    <n v="40311559919"/>
    <n v="190"/>
    <x v="91"/>
    <s v=""/>
    <x v="2"/>
    <x v="0"/>
  </r>
  <r>
    <n v="72626818882"/>
    <n v="209"/>
    <x v="91"/>
    <d v="2034-12-24T00:00:00"/>
    <x v="2"/>
    <x v="7"/>
  </r>
  <r>
    <n v="32993133202"/>
    <n v="219"/>
    <x v="91"/>
    <d v="2034-12-15T00:00:00"/>
    <x v="2"/>
    <x v="7"/>
  </r>
  <r>
    <n v="89802731260"/>
    <n v="250"/>
    <x v="91"/>
    <s v=""/>
    <x v="2"/>
    <x v="0"/>
  </r>
  <r>
    <n v="92725213610"/>
    <n v="272"/>
    <x v="91"/>
    <s v=""/>
    <x v="2"/>
    <x v="0"/>
  </r>
  <r>
    <n v="85588678383"/>
    <n v="279"/>
    <x v="91"/>
    <s v=""/>
    <x v="2"/>
    <x v="0"/>
  </r>
  <r>
    <n v="18870438842"/>
    <n v="296"/>
    <x v="91"/>
    <d v="2034-09-08T00:00:00"/>
    <x v="2"/>
    <x v="3"/>
  </r>
  <r>
    <n v="61174457580"/>
    <n v="303"/>
    <x v="91"/>
    <s v=""/>
    <x v="2"/>
    <x v="0"/>
  </r>
  <r>
    <n v="24799332906"/>
    <n v="312"/>
    <x v="91"/>
    <s v=""/>
    <x v="2"/>
    <x v="0"/>
  </r>
  <r>
    <n v="58765541307"/>
    <n v="312"/>
    <x v="91"/>
    <s v=""/>
    <x v="2"/>
    <x v="0"/>
  </r>
  <r>
    <n v="62416739127"/>
    <n v="330"/>
    <x v="91"/>
    <s v=""/>
    <x v="2"/>
    <x v="0"/>
  </r>
  <r>
    <n v="25420254741"/>
    <n v="331"/>
    <x v="91"/>
    <s v=""/>
    <x v="2"/>
    <x v="0"/>
  </r>
  <r>
    <n v="37108102546"/>
    <n v="27"/>
    <x v="92"/>
    <s v=""/>
    <x v="3"/>
    <x v="0"/>
  </r>
  <r>
    <n v="50175033232"/>
    <n v="63"/>
    <x v="92"/>
    <d v="2034-11-30T00:00:00"/>
    <x v="3"/>
    <x v="6"/>
  </r>
  <r>
    <n v="62545236108"/>
    <n v="76"/>
    <x v="92"/>
    <s v=""/>
    <x v="3"/>
    <x v="0"/>
  </r>
  <r>
    <n v="84524457825"/>
    <n v="92"/>
    <x v="92"/>
    <s v=""/>
    <x v="3"/>
    <x v="0"/>
  </r>
  <r>
    <n v="62914654800"/>
    <n v="119"/>
    <x v="92"/>
    <s v=""/>
    <x v="3"/>
    <x v="0"/>
  </r>
  <r>
    <n v="92713290904"/>
    <n v="120"/>
    <x v="92"/>
    <d v="2034-10-25T00:00:00"/>
    <x v="3"/>
    <x v="5"/>
  </r>
  <r>
    <n v="30240119398"/>
    <n v="136"/>
    <x v="92"/>
    <s v=""/>
    <x v="3"/>
    <x v="0"/>
  </r>
  <r>
    <n v="65057776954"/>
    <n v="143"/>
    <x v="92"/>
    <s v=""/>
    <x v="3"/>
    <x v="0"/>
  </r>
  <r>
    <n v="35859759052"/>
    <n v="150"/>
    <x v="92"/>
    <s v=""/>
    <x v="3"/>
    <x v="0"/>
  </r>
  <r>
    <n v="72010463329"/>
    <n v="161"/>
    <x v="92"/>
    <s v=""/>
    <x v="3"/>
    <x v="0"/>
  </r>
  <r>
    <n v="99218148587"/>
    <n v="173"/>
    <x v="92"/>
    <s v=""/>
    <x v="3"/>
    <x v="0"/>
  </r>
  <r>
    <n v="76259729755"/>
    <n v="202"/>
    <x v="92"/>
    <s v=""/>
    <x v="3"/>
    <x v="0"/>
  </r>
  <r>
    <n v="35169231239"/>
    <n v="239"/>
    <x v="92"/>
    <d v="2034-10-15T00:00:00"/>
    <x v="3"/>
    <x v="5"/>
  </r>
  <r>
    <n v="91937525470"/>
    <n v="240"/>
    <x v="92"/>
    <s v=""/>
    <x v="3"/>
    <x v="0"/>
  </r>
  <r>
    <n v="12694011686"/>
    <n v="256"/>
    <x v="92"/>
    <s v=""/>
    <x v="3"/>
    <x v="0"/>
  </r>
  <r>
    <n v="69872802386"/>
    <n v="259"/>
    <x v="92"/>
    <s v=""/>
    <x v="3"/>
    <x v="0"/>
  </r>
  <r>
    <n v="25324967655"/>
    <n v="280"/>
    <x v="92"/>
    <d v="2034-09-11T00:00:00"/>
    <x v="3"/>
    <x v="3"/>
  </r>
  <r>
    <n v="54211383660"/>
    <n v="298"/>
    <x v="92"/>
    <d v="2034-12-17T00:00:00"/>
    <x v="3"/>
    <x v="7"/>
  </r>
  <r>
    <n v="44558050416"/>
    <n v="300"/>
    <x v="92"/>
    <s v=""/>
    <x v="3"/>
    <x v="0"/>
  </r>
  <r>
    <n v="35492642414"/>
    <n v="308"/>
    <x v="92"/>
    <m/>
    <x v="3"/>
    <x v="0"/>
  </r>
  <r>
    <n v="89141643045"/>
    <n v="313"/>
    <x v="92"/>
    <m/>
    <x v="3"/>
    <x v="0"/>
  </r>
  <r>
    <n v="86634802210"/>
    <n v="321"/>
    <x v="92"/>
    <s v=""/>
    <x v="3"/>
    <x v="0"/>
  </r>
  <r>
    <n v="85604780138"/>
    <n v="326"/>
    <x v="92"/>
    <m/>
    <x v="3"/>
    <x v="0"/>
  </r>
  <r>
    <n v="72067930019"/>
    <n v="327"/>
    <x v="92"/>
    <m/>
    <x v="3"/>
    <x v="0"/>
  </r>
  <r>
    <n v="14170844626"/>
    <n v="329"/>
    <x v="92"/>
    <m/>
    <x v="3"/>
    <x v="0"/>
  </r>
  <r>
    <n v="77403064604"/>
    <n v="335"/>
    <x v="92"/>
    <s v=""/>
    <x v="3"/>
    <x v="0"/>
  </r>
  <r>
    <n v="43143344315"/>
    <n v="339"/>
    <x v="92"/>
    <s v=""/>
    <x v="3"/>
    <x v="0"/>
  </r>
  <r>
    <n v="93705214428"/>
    <n v="16"/>
    <x v="93"/>
    <s v=""/>
    <x v="3"/>
    <x v="0"/>
  </r>
  <r>
    <n v="71666711269"/>
    <n v="26"/>
    <x v="93"/>
    <m/>
    <x v="3"/>
    <x v="0"/>
  </r>
  <r>
    <n v="64541211064"/>
    <n v="30"/>
    <x v="93"/>
    <d v="2034-10-05T00:00:00"/>
    <x v="3"/>
    <x v="5"/>
  </r>
  <r>
    <n v="35619195951"/>
    <n v="32"/>
    <x v="93"/>
    <d v="2034-12-10T00:00:00"/>
    <x v="3"/>
    <x v="7"/>
  </r>
  <r>
    <n v="56575215626"/>
    <n v="44"/>
    <x v="93"/>
    <d v="2034-10-14T00:00:00"/>
    <x v="3"/>
    <x v="5"/>
  </r>
  <r>
    <n v="91432974533"/>
    <n v="47"/>
    <x v="93"/>
    <d v="2034-10-19T00:00:00"/>
    <x v="3"/>
    <x v="5"/>
  </r>
  <r>
    <n v="66073737309"/>
    <n v="57"/>
    <x v="93"/>
    <s v=""/>
    <x v="3"/>
    <x v="0"/>
  </r>
  <r>
    <n v="62603332071"/>
    <n v="67"/>
    <x v="93"/>
    <m/>
    <x v="3"/>
    <x v="0"/>
  </r>
  <r>
    <n v="75915454882"/>
    <n v="107"/>
    <x v="93"/>
    <m/>
    <x v="3"/>
    <x v="0"/>
  </r>
  <r>
    <n v="58160144946"/>
    <n v="110"/>
    <x v="93"/>
    <m/>
    <x v="3"/>
    <x v="0"/>
  </r>
  <r>
    <n v="84653278931"/>
    <n v="121"/>
    <x v="93"/>
    <m/>
    <x v="3"/>
    <x v="0"/>
  </r>
  <r>
    <n v="84541655880"/>
    <n v="132"/>
    <x v="93"/>
    <s v=""/>
    <x v="3"/>
    <x v="0"/>
  </r>
  <r>
    <n v="79236119445"/>
    <n v="134"/>
    <x v="93"/>
    <m/>
    <x v="3"/>
    <x v="0"/>
  </r>
  <r>
    <n v="99490306418"/>
    <n v="134"/>
    <x v="93"/>
    <s v=""/>
    <x v="3"/>
    <x v="0"/>
  </r>
  <r>
    <n v="73620905894"/>
    <n v="186"/>
    <x v="93"/>
    <d v="2034-09-12T00:00:00"/>
    <x v="3"/>
    <x v="3"/>
  </r>
  <r>
    <n v="22753257786"/>
    <n v="207"/>
    <x v="93"/>
    <d v="2034-10-15T00:00:00"/>
    <x v="3"/>
    <x v="5"/>
  </r>
  <r>
    <n v="64676582520"/>
    <n v="242"/>
    <x v="93"/>
    <d v="2034-10-01T00:00:00"/>
    <x v="3"/>
    <x v="5"/>
  </r>
  <r>
    <n v="24445775338"/>
    <n v="248"/>
    <x v="93"/>
    <d v="2034-10-31T00:00:00"/>
    <x v="3"/>
    <x v="5"/>
  </r>
  <r>
    <n v="85631969493"/>
    <n v="261"/>
    <x v="93"/>
    <d v="2034-09-14T00:00:00"/>
    <x v="3"/>
    <x v="3"/>
  </r>
  <r>
    <n v="86103002305"/>
    <n v="268"/>
    <x v="93"/>
    <m/>
    <x v="3"/>
    <x v="0"/>
  </r>
  <r>
    <n v="52305182631"/>
    <n v="277"/>
    <x v="93"/>
    <m/>
    <x v="3"/>
    <x v="0"/>
  </r>
  <r>
    <n v="76478463422"/>
    <n v="289"/>
    <x v="93"/>
    <s v=""/>
    <x v="3"/>
    <x v="0"/>
  </r>
  <r>
    <n v="61768718201"/>
    <n v="297"/>
    <x v="93"/>
    <d v="2034-11-27T00:00:00"/>
    <x v="3"/>
    <x v="6"/>
  </r>
  <r>
    <n v="26861585576"/>
    <n v="307"/>
    <x v="93"/>
    <s v=""/>
    <x v="3"/>
    <x v="0"/>
  </r>
  <r>
    <n v="77416740025"/>
    <n v="314"/>
    <x v="93"/>
    <m/>
    <x v="3"/>
    <x v="0"/>
  </r>
  <r>
    <n v="69858479526"/>
    <n v="13"/>
    <x v="94"/>
    <m/>
    <x v="3"/>
    <x v="0"/>
  </r>
  <r>
    <n v="39615774756"/>
    <n v="39"/>
    <x v="94"/>
    <s v=""/>
    <x v="3"/>
    <x v="0"/>
  </r>
  <r>
    <n v="94319800050"/>
    <n v="53"/>
    <x v="94"/>
    <d v="2034-12-14T00:00:00"/>
    <x v="3"/>
    <x v="7"/>
  </r>
  <r>
    <n v="22464349822"/>
    <n v="66"/>
    <x v="94"/>
    <s v=""/>
    <x v="3"/>
    <x v="0"/>
  </r>
  <r>
    <n v="76698367328"/>
    <n v="73"/>
    <x v="94"/>
    <m/>
    <x v="3"/>
    <x v="0"/>
  </r>
  <r>
    <n v="95829519457"/>
    <n v="84"/>
    <x v="94"/>
    <s v=""/>
    <x v="3"/>
    <x v="0"/>
  </r>
  <r>
    <n v="66168921291"/>
    <n v="105"/>
    <x v="94"/>
    <s v=""/>
    <x v="3"/>
    <x v="0"/>
  </r>
  <r>
    <n v="49237462311"/>
    <n v="126"/>
    <x v="94"/>
    <s v=""/>
    <x v="3"/>
    <x v="0"/>
  </r>
  <r>
    <n v="28025621762"/>
    <n v="156"/>
    <x v="94"/>
    <m/>
    <x v="3"/>
    <x v="0"/>
  </r>
  <r>
    <n v="28734138979"/>
    <n v="169"/>
    <x v="94"/>
    <m/>
    <x v="3"/>
    <x v="0"/>
  </r>
  <r>
    <n v="74055104077"/>
    <n v="169"/>
    <x v="94"/>
    <s v=""/>
    <x v="3"/>
    <x v="0"/>
  </r>
  <r>
    <n v="46216887407"/>
    <n v="173"/>
    <x v="94"/>
    <s v=""/>
    <x v="3"/>
    <x v="0"/>
  </r>
  <r>
    <n v="22594183565"/>
    <n v="202"/>
    <x v="94"/>
    <s v=""/>
    <x v="3"/>
    <x v="0"/>
  </r>
  <r>
    <n v="12635840047"/>
    <n v="204"/>
    <x v="94"/>
    <s v=""/>
    <x v="3"/>
    <x v="0"/>
  </r>
  <r>
    <n v="66611057800"/>
    <n v="258"/>
    <x v="94"/>
    <m/>
    <x v="3"/>
    <x v="0"/>
  </r>
  <r>
    <n v="28787535214"/>
    <n v="295"/>
    <x v="94"/>
    <s v=""/>
    <x v="3"/>
    <x v="0"/>
  </r>
  <r>
    <n v="34185149204"/>
    <n v="311"/>
    <x v="94"/>
    <s v=""/>
    <x v="3"/>
    <x v="0"/>
  </r>
  <r>
    <n v="55997506418"/>
    <n v="317"/>
    <x v="94"/>
    <s v=""/>
    <x v="3"/>
    <x v="0"/>
  </r>
  <r>
    <n v="29148003090"/>
    <n v="318"/>
    <x v="94"/>
    <m/>
    <x v="3"/>
    <x v="0"/>
  </r>
  <r>
    <n v="85528765176"/>
    <n v="320"/>
    <x v="94"/>
    <s v=""/>
    <x v="3"/>
    <x v="0"/>
  </r>
  <r>
    <n v="58433727401"/>
    <n v="328"/>
    <x v="94"/>
    <s v=""/>
    <x v="3"/>
    <x v="0"/>
  </r>
  <r>
    <n v="53426379075"/>
    <n v="0"/>
    <x v="95"/>
    <s v=""/>
    <x v="3"/>
    <x v="0"/>
  </r>
  <r>
    <n v="72429457400"/>
    <n v="3"/>
    <x v="95"/>
    <s v=""/>
    <x v="3"/>
    <x v="0"/>
  </r>
  <r>
    <n v="56290356203"/>
    <n v="39"/>
    <x v="95"/>
    <s v=""/>
    <x v="3"/>
    <x v="0"/>
  </r>
  <r>
    <n v="79103230271"/>
    <n v="49"/>
    <x v="95"/>
    <s v=""/>
    <x v="3"/>
    <x v="0"/>
  </r>
  <r>
    <n v="43911150885"/>
    <n v="50"/>
    <x v="95"/>
    <s v=""/>
    <x v="3"/>
    <x v="0"/>
  </r>
  <r>
    <n v="94282040623"/>
    <n v="74"/>
    <x v="95"/>
    <s v=""/>
    <x v="3"/>
    <x v="0"/>
  </r>
  <r>
    <n v="90331816445"/>
    <n v="80"/>
    <x v="95"/>
    <s v=""/>
    <x v="3"/>
    <x v="0"/>
  </r>
  <r>
    <n v="27194033614"/>
    <n v="129"/>
    <x v="95"/>
    <d v="2034-10-21T00:00:00"/>
    <x v="3"/>
    <x v="5"/>
  </r>
  <r>
    <n v="79823297869"/>
    <n v="134"/>
    <x v="95"/>
    <s v=""/>
    <x v="3"/>
    <x v="0"/>
  </r>
  <r>
    <n v="45922054573"/>
    <n v="150"/>
    <x v="95"/>
    <d v="2034-12-31T00:00:00"/>
    <x v="3"/>
    <x v="7"/>
  </r>
  <r>
    <n v="13179125472"/>
    <n v="152"/>
    <x v="95"/>
    <d v="2034-10-26T00:00:00"/>
    <x v="3"/>
    <x v="5"/>
  </r>
  <r>
    <n v="47118046888"/>
    <n v="158"/>
    <x v="95"/>
    <d v="2034-10-20T00:00:00"/>
    <x v="3"/>
    <x v="5"/>
  </r>
  <r>
    <n v="33924910995"/>
    <n v="163"/>
    <x v="95"/>
    <m/>
    <x v="3"/>
    <x v="0"/>
  </r>
  <r>
    <n v="89847922257"/>
    <n v="216"/>
    <x v="95"/>
    <s v=""/>
    <x v="3"/>
    <x v="0"/>
  </r>
  <r>
    <n v="97140208257"/>
    <n v="226"/>
    <x v="95"/>
    <s v=""/>
    <x v="3"/>
    <x v="0"/>
  </r>
  <r>
    <n v="97664956808"/>
    <n v="231"/>
    <x v="95"/>
    <m/>
    <x v="3"/>
    <x v="0"/>
  </r>
  <r>
    <n v="74348938518"/>
    <n v="239"/>
    <x v="95"/>
    <s v=""/>
    <x v="3"/>
    <x v="0"/>
  </r>
  <r>
    <n v="36371586917"/>
    <n v="246"/>
    <x v="95"/>
    <s v=""/>
    <x v="3"/>
    <x v="0"/>
  </r>
  <r>
    <n v="53254376853"/>
    <n v="254"/>
    <x v="95"/>
    <m/>
    <x v="3"/>
    <x v="0"/>
  </r>
  <r>
    <n v="33474643096"/>
    <n v="289"/>
    <x v="95"/>
    <s v=""/>
    <x v="3"/>
    <x v="0"/>
  </r>
  <r>
    <n v="78272917019"/>
    <n v="324"/>
    <x v="95"/>
    <d v="2034-09-12T00:00:00"/>
    <x v="3"/>
    <x v="3"/>
  </r>
  <r>
    <n v="15713070395"/>
    <n v="324"/>
    <x v="95"/>
    <s v=""/>
    <x v="3"/>
    <x v="0"/>
  </r>
  <r>
    <n v="95456929574"/>
    <n v="325"/>
    <x v="95"/>
    <s v=""/>
    <x v="3"/>
    <x v="0"/>
  </r>
  <r>
    <n v="89019866654"/>
    <n v="326"/>
    <x v="95"/>
    <s v=""/>
    <x v="3"/>
    <x v="0"/>
  </r>
  <r>
    <n v="25897734937"/>
    <n v="9"/>
    <x v="96"/>
    <d v="2034-11-20T00:00:00"/>
    <x v="3"/>
    <x v="6"/>
  </r>
  <r>
    <n v="16627539777"/>
    <n v="10"/>
    <x v="96"/>
    <m/>
    <x v="3"/>
    <x v="0"/>
  </r>
  <r>
    <n v="95645248614"/>
    <n v="20"/>
    <x v="96"/>
    <s v=""/>
    <x v="3"/>
    <x v="0"/>
  </r>
  <r>
    <n v="89962965788"/>
    <n v="58"/>
    <x v="96"/>
    <d v="2034-09-10T00:00:00"/>
    <x v="3"/>
    <x v="3"/>
  </r>
  <r>
    <n v="85209000246"/>
    <n v="73"/>
    <x v="96"/>
    <s v=""/>
    <x v="3"/>
    <x v="0"/>
  </r>
  <r>
    <n v="99362707718"/>
    <n v="113"/>
    <x v="96"/>
    <s v=""/>
    <x v="3"/>
    <x v="0"/>
  </r>
  <r>
    <n v="50298329403"/>
    <n v="122"/>
    <x v="96"/>
    <s v=""/>
    <x v="3"/>
    <x v="0"/>
  </r>
  <r>
    <n v="38114042321"/>
    <n v="126"/>
    <x v="96"/>
    <s v=""/>
    <x v="3"/>
    <x v="0"/>
  </r>
  <r>
    <n v="47091409761"/>
    <n v="143"/>
    <x v="96"/>
    <s v=""/>
    <x v="3"/>
    <x v="0"/>
  </r>
  <r>
    <n v="74151298652"/>
    <n v="155"/>
    <x v="96"/>
    <d v="2034-12-17T00:00:00"/>
    <x v="3"/>
    <x v="7"/>
  </r>
  <r>
    <n v="76380401508"/>
    <n v="179"/>
    <x v="96"/>
    <d v="2034-10-20T00:00:00"/>
    <x v="3"/>
    <x v="5"/>
  </r>
  <r>
    <n v="86466397730"/>
    <n v="190"/>
    <x v="96"/>
    <s v=""/>
    <x v="3"/>
    <x v="0"/>
  </r>
  <r>
    <n v="35907275328"/>
    <n v="199"/>
    <x v="96"/>
    <m/>
    <x v="3"/>
    <x v="0"/>
  </r>
  <r>
    <n v="60923357369"/>
    <n v="203"/>
    <x v="96"/>
    <s v=""/>
    <x v="3"/>
    <x v="0"/>
  </r>
  <r>
    <n v="71861670296"/>
    <n v="212"/>
    <x v="96"/>
    <d v="2034-10-18T00:00:00"/>
    <x v="3"/>
    <x v="5"/>
  </r>
  <r>
    <n v="73433625192"/>
    <n v="218"/>
    <x v="96"/>
    <m/>
    <x v="3"/>
    <x v="0"/>
  </r>
  <r>
    <n v="51009577834"/>
    <n v="255"/>
    <x v="96"/>
    <s v=""/>
    <x v="3"/>
    <x v="0"/>
  </r>
  <r>
    <n v="97573488894"/>
    <n v="263"/>
    <x v="96"/>
    <s v=""/>
    <x v="3"/>
    <x v="0"/>
  </r>
  <r>
    <n v="48238859594"/>
    <n v="278"/>
    <x v="96"/>
    <d v="2034-09-20T00:00:00"/>
    <x v="3"/>
    <x v="3"/>
  </r>
  <r>
    <n v="25706574922"/>
    <n v="282"/>
    <x v="96"/>
    <s v=""/>
    <x v="3"/>
    <x v="0"/>
  </r>
  <r>
    <n v="80583681369"/>
    <n v="284"/>
    <x v="96"/>
    <d v="2034-12-08T00:00:00"/>
    <x v="3"/>
    <x v="7"/>
  </r>
  <r>
    <n v="55307292899"/>
    <n v="293"/>
    <x v="96"/>
    <s v=""/>
    <x v="3"/>
    <x v="0"/>
  </r>
  <r>
    <n v="44259007388"/>
    <n v="293"/>
    <x v="96"/>
    <s v=""/>
    <x v="3"/>
    <x v="0"/>
  </r>
  <r>
    <n v="90525911265"/>
    <n v="318"/>
    <x v="96"/>
    <s v=""/>
    <x v="3"/>
    <x v="0"/>
  </r>
  <r>
    <n v="66268370054"/>
    <n v="335"/>
    <x v="96"/>
    <d v="2034-10-11T00:00:00"/>
    <x v="3"/>
    <x v="5"/>
  </r>
  <r>
    <n v="90367301815"/>
    <n v="338"/>
    <x v="96"/>
    <s v=""/>
    <x v="3"/>
    <x v="0"/>
  </r>
  <r>
    <n v="93782621436"/>
    <n v="338"/>
    <x v="96"/>
    <d v="2034-11-29T00:00:00"/>
    <x v="3"/>
    <x v="6"/>
  </r>
  <r>
    <n v="69099357430"/>
    <n v="25"/>
    <x v="97"/>
    <s v=""/>
    <x v="3"/>
    <x v="0"/>
  </r>
  <r>
    <n v="14110676582"/>
    <n v="29"/>
    <x v="97"/>
    <s v=""/>
    <x v="3"/>
    <x v="0"/>
  </r>
  <r>
    <n v="41410798638"/>
    <n v="36"/>
    <x v="97"/>
    <d v="2034-10-15T00:00:00"/>
    <x v="3"/>
    <x v="5"/>
  </r>
  <r>
    <n v="41004371039"/>
    <n v="40"/>
    <x v="97"/>
    <s v=""/>
    <x v="3"/>
    <x v="0"/>
  </r>
  <r>
    <n v="34990454811"/>
    <n v="103"/>
    <x v="97"/>
    <m/>
    <x v="3"/>
    <x v="0"/>
  </r>
  <r>
    <n v="70963915030"/>
    <n v="134"/>
    <x v="97"/>
    <d v="2035-01-01T00:00:00"/>
    <x v="3"/>
    <x v="8"/>
  </r>
  <r>
    <n v="69570463510"/>
    <n v="137"/>
    <x v="97"/>
    <s v=""/>
    <x v="3"/>
    <x v="0"/>
  </r>
  <r>
    <n v="18252708952"/>
    <n v="154"/>
    <x v="97"/>
    <d v="2034-11-09T00:00:00"/>
    <x v="3"/>
    <x v="6"/>
  </r>
  <r>
    <n v="22544023159"/>
    <n v="167"/>
    <x v="97"/>
    <s v=""/>
    <x v="3"/>
    <x v="0"/>
  </r>
  <r>
    <n v="79882631286"/>
    <n v="169"/>
    <x v="97"/>
    <s v=""/>
    <x v="3"/>
    <x v="0"/>
  </r>
  <r>
    <n v="96496491849"/>
    <n v="178"/>
    <x v="97"/>
    <s v=""/>
    <x v="3"/>
    <x v="0"/>
  </r>
  <r>
    <n v="97670525121"/>
    <n v="179"/>
    <x v="97"/>
    <d v="2034-10-02T00:00:00"/>
    <x v="3"/>
    <x v="5"/>
  </r>
  <r>
    <n v="39923750863"/>
    <n v="216"/>
    <x v="97"/>
    <m/>
    <x v="3"/>
    <x v="0"/>
  </r>
  <r>
    <n v="15716717617"/>
    <n v="222"/>
    <x v="97"/>
    <s v=""/>
    <x v="3"/>
    <x v="0"/>
  </r>
  <r>
    <n v="86605218079"/>
    <n v="241"/>
    <x v="97"/>
    <s v=""/>
    <x v="3"/>
    <x v="0"/>
  </r>
  <r>
    <n v="81570517299"/>
    <n v="251"/>
    <x v="97"/>
    <d v="2034-12-13T00:00:00"/>
    <x v="3"/>
    <x v="7"/>
  </r>
  <r>
    <n v="75882980860"/>
    <n v="264"/>
    <x v="97"/>
    <s v=""/>
    <x v="3"/>
    <x v="0"/>
  </r>
  <r>
    <n v="14477977149"/>
    <n v="265"/>
    <x v="97"/>
    <d v="2034-12-19T00:00:00"/>
    <x v="3"/>
    <x v="7"/>
  </r>
  <r>
    <n v="91160243630"/>
    <n v="275"/>
    <x v="97"/>
    <m/>
    <x v="3"/>
    <x v="0"/>
  </r>
  <r>
    <n v="88809893784"/>
    <n v="300"/>
    <x v="97"/>
    <s v=""/>
    <x v="3"/>
    <x v="0"/>
  </r>
  <r>
    <n v="29041792961"/>
    <n v="318"/>
    <x v="97"/>
    <s v=""/>
    <x v="3"/>
    <x v="0"/>
  </r>
  <r>
    <n v="48967532880"/>
    <n v="329"/>
    <x v="97"/>
    <s v=""/>
    <x v="3"/>
    <x v="0"/>
  </r>
  <r>
    <n v="23727283376"/>
    <n v="333"/>
    <x v="97"/>
    <s v=""/>
    <x v="3"/>
    <x v="0"/>
  </r>
  <r>
    <n v="61364020934"/>
    <n v="0"/>
    <x v="98"/>
    <s v=""/>
    <x v="3"/>
    <x v="0"/>
  </r>
  <r>
    <n v="48654585382"/>
    <n v="4"/>
    <x v="98"/>
    <s v=""/>
    <x v="3"/>
    <x v="0"/>
  </r>
  <r>
    <n v="46362947101"/>
    <n v="9"/>
    <x v="98"/>
    <s v=""/>
    <x v="3"/>
    <x v="0"/>
  </r>
  <r>
    <n v="59523870179"/>
    <n v="19"/>
    <x v="98"/>
    <d v="2034-12-07T00:00:00"/>
    <x v="3"/>
    <x v="7"/>
  </r>
  <r>
    <n v="33488842875"/>
    <n v="21"/>
    <x v="98"/>
    <m/>
    <x v="3"/>
    <x v="0"/>
  </r>
  <r>
    <n v="40598789792"/>
    <n v="50"/>
    <x v="98"/>
    <d v="2034-11-29T00:00:00"/>
    <x v="3"/>
    <x v="6"/>
  </r>
  <r>
    <n v="25370817215"/>
    <n v="61"/>
    <x v="98"/>
    <s v=""/>
    <x v="3"/>
    <x v="0"/>
  </r>
  <r>
    <n v="76955808770"/>
    <n v="120"/>
    <x v="98"/>
    <m/>
    <x v="3"/>
    <x v="0"/>
  </r>
  <r>
    <n v="55133310726"/>
    <n v="128"/>
    <x v="98"/>
    <m/>
    <x v="3"/>
    <x v="0"/>
  </r>
  <r>
    <n v="28676086505"/>
    <n v="144"/>
    <x v="98"/>
    <s v=""/>
    <x v="3"/>
    <x v="0"/>
  </r>
  <r>
    <n v="43657269701"/>
    <n v="145"/>
    <x v="98"/>
    <s v=""/>
    <x v="3"/>
    <x v="0"/>
  </r>
  <r>
    <n v="48772566307"/>
    <n v="157"/>
    <x v="98"/>
    <s v=""/>
    <x v="3"/>
    <x v="0"/>
  </r>
  <r>
    <n v="39097040319"/>
    <n v="168"/>
    <x v="98"/>
    <m/>
    <x v="3"/>
    <x v="0"/>
  </r>
  <r>
    <n v="11639759261"/>
    <n v="173"/>
    <x v="98"/>
    <m/>
    <x v="3"/>
    <x v="0"/>
  </r>
  <r>
    <n v="33736916940"/>
    <n v="181"/>
    <x v="98"/>
    <s v=""/>
    <x v="3"/>
    <x v="0"/>
  </r>
  <r>
    <n v="46451639042"/>
    <n v="218"/>
    <x v="98"/>
    <d v="2034-12-27T00:00:00"/>
    <x v="3"/>
    <x v="7"/>
  </r>
  <r>
    <n v="94513939137"/>
    <n v="221"/>
    <x v="98"/>
    <s v=""/>
    <x v="3"/>
    <x v="0"/>
  </r>
  <r>
    <n v="42451707747"/>
    <n v="230"/>
    <x v="98"/>
    <d v="2034-10-15T00:00:00"/>
    <x v="3"/>
    <x v="5"/>
  </r>
  <r>
    <n v="66074847246"/>
    <n v="236"/>
    <x v="98"/>
    <s v=""/>
    <x v="3"/>
    <x v="0"/>
  </r>
  <r>
    <n v="11896026111"/>
    <n v="244"/>
    <x v="98"/>
    <d v="2034-11-20T00:00:00"/>
    <x v="3"/>
    <x v="6"/>
  </r>
  <r>
    <n v="76893196087"/>
    <n v="244"/>
    <x v="98"/>
    <s v=""/>
    <x v="3"/>
    <x v="0"/>
  </r>
  <r>
    <n v="16501442430"/>
    <n v="256"/>
    <x v="98"/>
    <s v=""/>
    <x v="3"/>
    <x v="0"/>
  </r>
  <r>
    <n v="60821544596"/>
    <n v="267"/>
    <x v="98"/>
    <s v=""/>
    <x v="3"/>
    <x v="0"/>
  </r>
  <r>
    <n v="31830620165"/>
    <n v="309"/>
    <x v="98"/>
    <s v=""/>
    <x v="3"/>
    <x v="0"/>
  </r>
  <r>
    <n v="75036179722"/>
    <n v="310"/>
    <x v="98"/>
    <d v="2034-12-19T00:00:00"/>
    <x v="3"/>
    <x v="7"/>
  </r>
  <r>
    <n v="37000778558"/>
    <n v="314"/>
    <x v="98"/>
    <s v=""/>
    <x v="3"/>
    <x v="0"/>
  </r>
  <r>
    <n v="34427126008"/>
    <n v="318"/>
    <x v="98"/>
    <s v=""/>
    <x v="3"/>
    <x v="0"/>
  </r>
  <r>
    <n v="70168349958"/>
    <n v="22"/>
    <x v="99"/>
    <d v="2034-09-24T00:00:00"/>
    <x v="3"/>
    <x v="3"/>
  </r>
  <r>
    <n v="11151402084"/>
    <n v="28"/>
    <x v="99"/>
    <d v="2034-12-29T00:00:00"/>
    <x v="3"/>
    <x v="7"/>
  </r>
  <r>
    <n v="33901752365"/>
    <n v="50"/>
    <x v="99"/>
    <s v=""/>
    <x v="3"/>
    <x v="0"/>
  </r>
  <r>
    <n v="28778787332"/>
    <n v="78"/>
    <x v="99"/>
    <s v=""/>
    <x v="3"/>
    <x v="0"/>
  </r>
  <r>
    <n v="22725896300"/>
    <n v="93"/>
    <x v="99"/>
    <d v="2034-09-16T00:00:00"/>
    <x v="3"/>
    <x v="3"/>
  </r>
  <r>
    <n v="94126125735"/>
    <n v="103"/>
    <x v="99"/>
    <d v="2034-09-12T00:00:00"/>
    <x v="3"/>
    <x v="3"/>
  </r>
  <r>
    <n v="31468795206"/>
    <n v="103"/>
    <x v="99"/>
    <d v="2034-10-15T00:00:00"/>
    <x v="3"/>
    <x v="5"/>
  </r>
  <r>
    <n v="63119109521"/>
    <n v="158"/>
    <x v="99"/>
    <s v=""/>
    <x v="3"/>
    <x v="0"/>
  </r>
  <r>
    <n v="56346253366"/>
    <n v="160"/>
    <x v="99"/>
    <s v=""/>
    <x v="3"/>
    <x v="0"/>
  </r>
  <r>
    <n v="91751877852"/>
    <n v="211"/>
    <x v="99"/>
    <m/>
    <x v="3"/>
    <x v="0"/>
  </r>
  <r>
    <n v="39308147749"/>
    <n v="221"/>
    <x v="99"/>
    <s v=""/>
    <x v="3"/>
    <x v="0"/>
  </r>
  <r>
    <n v="12413591605"/>
    <n v="230"/>
    <x v="99"/>
    <s v=""/>
    <x v="3"/>
    <x v="0"/>
  </r>
  <r>
    <n v="19191657724"/>
    <n v="288"/>
    <x v="99"/>
    <s v=""/>
    <x v="3"/>
    <x v="0"/>
  </r>
  <r>
    <n v="25751507102"/>
    <n v="300"/>
    <x v="99"/>
    <m/>
    <x v="3"/>
    <x v="0"/>
  </r>
  <r>
    <n v="63880945468"/>
    <n v="329"/>
    <x v="99"/>
    <m/>
    <x v="3"/>
    <x v="0"/>
  </r>
  <r>
    <n v="30102121747"/>
    <n v="334"/>
    <x v="99"/>
    <d v="2034-12-03T00:00:00"/>
    <x v="3"/>
    <x v="7"/>
  </r>
  <r>
    <n v="98913473325"/>
    <n v="12"/>
    <x v="100"/>
    <s v=""/>
    <x v="3"/>
    <x v="0"/>
  </r>
  <r>
    <n v="80396303065"/>
    <n v="21"/>
    <x v="100"/>
    <s v=""/>
    <x v="3"/>
    <x v="0"/>
  </r>
  <r>
    <n v="79628141460"/>
    <n v="28"/>
    <x v="100"/>
    <s v=""/>
    <x v="3"/>
    <x v="0"/>
  </r>
  <r>
    <n v="79445337304"/>
    <n v="30"/>
    <x v="100"/>
    <s v=""/>
    <x v="3"/>
    <x v="0"/>
  </r>
  <r>
    <n v="88062783061"/>
    <n v="34"/>
    <x v="100"/>
    <s v=""/>
    <x v="3"/>
    <x v="0"/>
  </r>
  <r>
    <n v="47266367533"/>
    <n v="39"/>
    <x v="100"/>
    <s v=""/>
    <x v="3"/>
    <x v="0"/>
  </r>
  <r>
    <n v="55176629159"/>
    <n v="45"/>
    <x v="100"/>
    <s v=""/>
    <x v="3"/>
    <x v="0"/>
  </r>
  <r>
    <n v="75246527875"/>
    <n v="49"/>
    <x v="100"/>
    <s v=""/>
    <x v="3"/>
    <x v="0"/>
  </r>
  <r>
    <n v="18639245341"/>
    <n v="64"/>
    <x v="100"/>
    <s v=""/>
    <x v="3"/>
    <x v="0"/>
  </r>
  <r>
    <n v="37354000028"/>
    <n v="107"/>
    <x v="100"/>
    <d v="2034-09-24T00:00:00"/>
    <x v="3"/>
    <x v="3"/>
  </r>
  <r>
    <n v="42158484982"/>
    <n v="110"/>
    <x v="100"/>
    <s v=""/>
    <x v="3"/>
    <x v="0"/>
  </r>
  <r>
    <n v="98043735407"/>
    <n v="116"/>
    <x v="100"/>
    <s v=""/>
    <x v="3"/>
    <x v="0"/>
  </r>
  <r>
    <n v="17807123472"/>
    <n v="138"/>
    <x v="100"/>
    <m/>
    <x v="3"/>
    <x v="0"/>
  </r>
  <r>
    <n v="46958969461"/>
    <n v="173"/>
    <x v="100"/>
    <m/>
    <x v="3"/>
    <x v="0"/>
  </r>
  <r>
    <n v="38037882582"/>
    <n v="184"/>
    <x v="100"/>
    <s v=""/>
    <x v="3"/>
    <x v="0"/>
  </r>
  <r>
    <n v="50517753471"/>
    <n v="230"/>
    <x v="100"/>
    <s v=""/>
    <x v="3"/>
    <x v="0"/>
  </r>
  <r>
    <n v="29368028242"/>
    <n v="242"/>
    <x v="100"/>
    <s v=""/>
    <x v="3"/>
    <x v="0"/>
  </r>
  <r>
    <n v="52332944607"/>
    <n v="316"/>
    <x v="100"/>
    <d v="2034-12-20T00:00:00"/>
    <x v="3"/>
    <x v="7"/>
  </r>
  <r>
    <n v="30220699855"/>
    <n v="36"/>
    <x v="101"/>
    <s v=""/>
    <x v="3"/>
    <x v="0"/>
  </r>
  <r>
    <n v="32508306823"/>
    <n v="50"/>
    <x v="101"/>
    <s v=""/>
    <x v="3"/>
    <x v="0"/>
  </r>
  <r>
    <n v="13938760632"/>
    <n v="55"/>
    <x v="101"/>
    <m/>
    <x v="3"/>
    <x v="0"/>
  </r>
  <r>
    <n v="30234542503"/>
    <n v="91"/>
    <x v="101"/>
    <m/>
    <x v="3"/>
    <x v="0"/>
  </r>
  <r>
    <n v="68341002595"/>
    <n v="152"/>
    <x v="101"/>
    <s v=""/>
    <x v="3"/>
    <x v="0"/>
  </r>
  <r>
    <n v="24987770759"/>
    <n v="163"/>
    <x v="101"/>
    <m/>
    <x v="3"/>
    <x v="0"/>
  </r>
  <r>
    <n v="70619537441"/>
    <n v="181"/>
    <x v="101"/>
    <d v="2034-11-05T00:00:00"/>
    <x v="3"/>
    <x v="6"/>
  </r>
  <r>
    <n v="77539473477"/>
    <n v="208"/>
    <x v="101"/>
    <s v=""/>
    <x v="3"/>
    <x v="0"/>
  </r>
  <r>
    <n v="33962410335"/>
    <n v="213"/>
    <x v="101"/>
    <s v=""/>
    <x v="3"/>
    <x v="0"/>
  </r>
  <r>
    <n v="76743512461"/>
    <n v="222"/>
    <x v="101"/>
    <s v=""/>
    <x v="3"/>
    <x v="0"/>
  </r>
  <r>
    <n v="93629449695"/>
    <n v="232"/>
    <x v="101"/>
    <s v=""/>
    <x v="3"/>
    <x v="0"/>
  </r>
  <r>
    <n v="48826922500"/>
    <n v="244"/>
    <x v="101"/>
    <d v="2034-12-28T00:00:00"/>
    <x v="3"/>
    <x v="7"/>
  </r>
  <r>
    <n v="33526599362"/>
    <n v="255"/>
    <x v="101"/>
    <s v=""/>
    <x v="3"/>
    <x v="0"/>
  </r>
  <r>
    <n v="21155095704"/>
    <n v="260"/>
    <x v="101"/>
    <s v=""/>
    <x v="3"/>
    <x v="0"/>
  </r>
  <r>
    <n v="78903880762"/>
    <n v="278"/>
    <x v="101"/>
    <s v=""/>
    <x v="3"/>
    <x v="0"/>
  </r>
  <r>
    <n v="81581797889"/>
    <n v="280"/>
    <x v="101"/>
    <m/>
    <x v="3"/>
    <x v="0"/>
  </r>
  <r>
    <n v="78164362293"/>
    <n v="282"/>
    <x v="101"/>
    <m/>
    <x v="3"/>
    <x v="0"/>
  </r>
  <r>
    <n v="68231355043"/>
    <n v="296"/>
    <x v="101"/>
    <s v=""/>
    <x v="3"/>
    <x v="0"/>
  </r>
  <r>
    <n v="90426062739"/>
    <n v="303"/>
    <x v="101"/>
    <s v=""/>
    <x v="3"/>
    <x v="0"/>
  </r>
  <r>
    <n v="43669631007"/>
    <n v="307"/>
    <x v="101"/>
    <d v="2034-12-07T00:00:00"/>
    <x v="3"/>
    <x v="7"/>
  </r>
  <r>
    <n v="13124971946"/>
    <n v="317"/>
    <x v="101"/>
    <m/>
    <x v="3"/>
    <x v="0"/>
  </r>
  <r>
    <n v="92036052340"/>
    <n v="318"/>
    <x v="101"/>
    <d v="2034-10-26T00:00:00"/>
    <x v="3"/>
    <x v="5"/>
  </r>
  <r>
    <n v="85463563435"/>
    <n v="324"/>
    <x v="101"/>
    <s v=""/>
    <x v="3"/>
    <x v="0"/>
  </r>
  <r>
    <n v="77221612317"/>
    <n v="330"/>
    <x v="101"/>
    <s v=""/>
    <x v="3"/>
    <x v="0"/>
  </r>
  <r>
    <n v="97938807663"/>
    <n v="6"/>
    <x v="102"/>
    <m/>
    <x v="3"/>
    <x v="0"/>
  </r>
  <r>
    <n v="37988148801"/>
    <n v="8"/>
    <x v="102"/>
    <s v=""/>
    <x v="3"/>
    <x v="0"/>
  </r>
  <r>
    <n v="84412448491"/>
    <n v="22"/>
    <x v="102"/>
    <s v=""/>
    <x v="3"/>
    <x v="0"/>
  </r>
  <r>
    <n v="60243325060"/>
    <n v="46"/>
    <x v="102"/>
    <s v=""/>
    <x v="3"/>
    <x v="0"/>
  </r>
  <r>
    <n v="64934211257"/>
    <n v="98"/>
    <x v="102"/>
    <s v=""/>
    <x v="3"/>
    <x v="0"/>
  </r>
  <r>
    <n v="34743930840"/>
    <n v="116"/>
    <x v="102"/>
    <s v=""/>
    <x v="3"/>
    <x v="0"/>
  </r>
  <r>
    <n v="63544860714"/>
    <n v="125"/>
    <x v="102"/>
    <d v="2034-12-16T00:00:00"/>
    <x v="3"/>
    <x v="7"/>
  </r>
  <r>
    <n v="75064562380"/>
    <n v="143"/>
    <x v="102"/>
    <s v=""/>
    <x v="3"/>
    <x v="0"/>
  </r>
  <r>
    <n v="77343224888"/>
    <n v="148"/>
    <x v="102"/>
    <s v=""/>
    <x v="3"/>
    <x v="0"/>
  </r>
  <r>
    <n v="29142500462"/>
    <n v="149"/>
    <x v="102"/>
    <d v="2034-11-15T00:00:00"/>
    <x v="3"/>
    <x v="6"/>
  </r>
  <r>
    <n v="98965314431"/>
    <n v="157"/>
    <x v="102"/>
    <s v=""/>
    <x v="3"/>
    <x v="0"/>
  </r>
  <r>
    <n v="28680314296"/>
    <n v="177"/>
    <x v="102"/>
    <s v=""/>
    <x v="3"/>
    <x v="0"/>
  </r>
  <r>
    <n v="91727551256"/>
    <n v="187"/>
    <x v="102"/>
    <s v=""/>
    <x v="3"/>
    <x v="0"/>
  </r>
  <r>
    <n v="77484279838"/>
    <n v="197"/>
    <x v="102"/>
    <m/>
    <x v="3"/>
    <x v="0"/>
  </r>
  <r>
    <n v="45123692958"/>
    <n v="250"/>
    <x v="102"/>
    <d v="2034-09-19T00:00:00"/>
    <x v="3"/>
    <x v="3"/>
  </r>
  <r>
    <n v="92379872076"/>
    <n v="274"/>
    <x v="102"/>
    <s v=""/>
    <x v="3"/>
    <x v="0"/>
  </r>
  <r>
    <n v="73426277974"/>
    <n v="277"/>
    <x v="102"/>
    <s v=""/>
    <x v="3"/>
    <x v="0"/>
  </r>
  <r>
    <n v="50093477578"/>
    <n v="305"/>
    <x v="102"/>
    <s v=""/>
    <x v="3"/>
    <x v="0"/>
  </r>
  <r>
    <n v="90662196366"/>
    <n v="311"/>
    <x v="102"/>
    <s v=""/>
    <x v="3"/>
    <x v="0"/>
  </r>
  <r>
    <n v="36801513441"/>
    <n v="316"/>
    <x v="102"/>
    <s v=""/>
    <x v="3"/>
    <x v="0"/>
  </r>
  <r>
    <n v="30530133987"/>
    <n v="13"/>
    <x v="103"/>
    <s v=""/>
    <x v="3"/>
    <x v="0"/>
  </r>
  <r>
    <n v="20965242970"/>
    <n v="21"/>
    <x v="103"/>
    <s v=""/>
    <x v="3"/>
    <x v="0"/>
  </r>
  <r>
    <n v="80202560192"/>
    <n v="27"/>
    <x v="103"/>
    <s v=""/>
    <x v="3"/>
    <x v="0"/>
  </r>
  <r>
    <n v="93977785868"/>
    <n v="30"/>
    <x v="103"/>
    <s v=""/>
    <x v="3"/>
    <x v="0"/>
  </r>
  <r>
    <n v="50033748203"/>
    <n v="38"/>
    <x v="103"/>
    <d v="2034-12-28T00:00:00"/>
    <x v="3"/>
    <x v="7"/>
  </r>
  <r>
    <n v="35616081116"/>
    <n v="63"/>
    <x v="103"/>
    <d v="2034-09-18T00:00:00"/>
    <x v="3"/>
    <x v="3"/>
  </r>
  <r>
    <n v="85159855241"/>
    <n v="63"/>
    <x v="103"/>
    <s v=""/>
    <x v="3"/>
    <x v="0"/>
  </r>
  <r>
    <n v="22424129348"/>
    <n v="65"/>
    <x v="103"/>
    <m/>
    <x v="3"/>
    <x v="0"/>
  </r>
  <r>
    <n v="32409691233"/>
    <n v="94"/>
    <x v="103"/>
    <m/>
    <x v="3"/>
    <x v="0"/>
  </r>
  <r>
    <n v="79763292733"/>
    <n v="136"/>
    <x v="103"/>
    <s v=""/>
    <x v="3"/>
    <x v="0"/>
  </r>
  <r>
    <n v="99122585428"/>
    <n v="143"/>
    <x v="103"/>
    <m/>
    <x v="3"/>
    <x v="0"/>
  </r>
  <r>
    <n v="91014811643"/>
    <n v="155"/>
    <x v="103"/>
    <m/>
    <x v="3"/>
    <x v="0"/>
  </r>
  <r>
    <n v="34082592641"/>
    <n v="172"/>
    <x v="103"/>
    <d v="2034-11-08T00:00:00"/>
    <x v="3"/>
    <x v="6"/>
  </r>
  <r>
    <n v="82721995333"/>
    <n v="181"/>
    <x v="103"/>
    <s v=""/>
    <x v="3"/>
    <x v="0"/>
  </r>
  <r>
    <n v="21411358286"/>
    <n v="182"/>
    <x v="103"/>
    <s v=""/>
    <x v="3"/>
    <x v="0"/>
  </r>
  <r>
    <n v="41789102856"/>
    <n v="190"/>
    <x v="103"/>
    <s v=""/>
    <x v="3"/>
    <x v="0"/>
  </r>
  <r>
    <n v="62874457589"/>
    <n v="197"/>
    <x v="103"/>
    <d v="2034-09-13T00:00:00"/>
    <x v="3"/>
    <x v="3"/>
  </r>
  <r>
    <n v="83307364661"/>
    <n v="199"/>
    <x v="103"/>
    <s v=""/>
    <x v="3"/>
    <x v="0"/>
  </r>
  <r>
    <n v="30063549249"/>
    <n v="223"/>
    <x v="103"/>
    <s v=""/>
    <x v="3"/>
    <x v="0"/>
  </r>
  <r>
    <n v="99209071936"/>
    <n v="235"/>
    <x v="103"/>
    <s v=""/>
    <x v="3"/>
    <x v="0"/>
  </r>
  <r>
    <n v="57427827508"/>
    <n v="277"/>
    <x v="103"/>
    <d v="2034-10-23T00:00:00"/>
    <x v="3"/>
    <x v="5"/>
  </r>
  <r>
    <n v="93580894599"/>
    <n v="303"/>
    <x v="103"/>
    <m/>
    <x v="3"/>
    <x v="0"/>
  </r>
  <r>
    <n v="28406355682"/>
    <n v="306"/>
    <x v="103"/>
    <m/>
    <x v="3"/>
    <x v="0"/>
  </r>
  <r>
    <n v="45314695347"/>
    <n v="331"/>
    <x v="103"/>
    <s v=""/>
    <x v="3"/>
    <x v="0"/>
  </r>
  <r>
    <n v="12353144655"/>
    <n v="32"/>
    <x v="104"/>
    <d v="2034-10-28T00:00:00"/>
    <x v="3"/>
    <x v="5"/>
  </r>
  <r>
    <n v="58125780905"/>
    <n v="74"/>
    <x v="104"/>
    <m/>
    <x v="3"/>
    <x v="0"/>
  </r>
  <r>
    <n v="99042247735"/>
    <n v="103"/>
    <x v="104"/>
    <s v=""/>
    <x v="3"/>
    <x v="0"/>
  </r>
  <r>
    <n v="58815065905"/>
    <n v="111"/>
    <x v="104"/>
    <s v=""/>
    <x v="3"/>
    <x v="0"/>
  </r>
  <r>
    <n v="29940760197"/>
    <n v="142"/>
    <x v="104"/>
    <s v=""/>
    <x v="3"/>
    <x v="0"/>
  </r>
  <r>
    <n v="69205896458"/>
    <n v="159"/>
    <x v="104"/>
    <s v=""/>
    <x v="3"/>
    <x v="0"/>
  </r>
  <r>
    <n v="67881001573"/>
    <n v="165"/>
    <x v="104"/>
    <s v=""/>
    <x v="3"/>
    <x v="0"/>
  </r>
  <r>
    <n v="80528499000"/>
    <n v="184"/>
    <x v="104"/>
    <s v=""/>
    <x v="3"/>
    <x v="0"/>
  </r>
  <r>
    <n v="23082992959"/>
    <n v="191"/>
    <x v="104"/>
    <m/>
    <x v="3"/>
    <x v="0"/>
  </r>
  <r>
    <n v="66631134390"/>
    <n v="199"/>
    <x v="104"/>
    <s v=""/>
    <x v="3"/>
    <x v="0"/>
  </r>
  <r>
    <n v="12991609695"/>
    <n v="201"/>
    <x v="104"/>
    <s v=""/>
    <x v="3"/>
    <x v="0"/>
  </r>
  <r>
    <n v="88825339882"/>
    <n v="211"/>
    <x v="104"/>
    <s v=""/>
    <x v="3"/>
    <x v="0"/>
  </r>
  <r>
    <n v="22602418957"/>
    <n v="240"/>
    <x v="104"/>
    <m/>
    <x v="3"/>
    <x v="0"/>
  </r>
  <r>
    <n v="59896675916"/>
    <n v="265"/>
    <x v="104"/>
    <s v=""/>
    <x v="3"/>
    <x v="0"/>
  </r>
  <r>
    <n v="12463662703"/>
    <n v="274"/>
    <x v="104"/>
    <s v=""/>
    <x v="3"/>
    <x v="0"/>
  </r>
  <r>
    <n v="18332216394"/>
    <n v="3"/>
    <x v="105"/>
    <m/>
    <x v="3"/>
    <x v="0"/>
  </r>
  <r>
    <n v="35842589470"/>
    <n v="8"/>
    <x v="105"/>
    <m/>
    <x v="3"/>
    <x v="0"/>
  </r>
  <r>
    <n v="75465984942"/>
    <n v="12"/>
    <x v="105"/>
    <s v=""/>
    <x v="3"/>
    <x v="0"/>
  </r>
  <r>
    <n v="56601840378"/>
    <n v="24"/>
    <x v="105"/>
    <d v="2034-11-22T00:00:00"/>
    <x v="3"/>
    <x v="6"/>
  </r>
  <r>
    <n v="48461349618"/>
    <n v="25"/>
    <x v="105"/>
    <m/>
    <x v="3"/>
    <x v="0"/>
  </r>
  <r>
    <n v="14735677781"/>
    <n v="25"/>
    <x v="105"/>
    <s v=""/>
    <x v="3"/>
    <x v="0"/>
  </r>
  <r>
    <n v="70655332493"/>
    <n v="33"/>
    <x v="105"/>
    <s v=""/>
    <x v="3"/>
    <x v="0"/>
  </r>
  <r>
    <n v="68483264813"/>
    <n v="37"/>
    <x v="105"/>
    <s v=""/>
    <x v="3"/>
    <x v="0"/>
  </r>
  <r>
    <n v="15464509795"/>
    <n v="52"/>
    <x v="105"/>
    <s v=""/>
    <x v="3"/>
    <x v="0"/>
  </r>
  <r>
    <n v="19134771900"/>
    <n v="53"/>
    <x v="105"/>
    <d v="2034-12-17T00:00:00"/>
    <x v="3"/>
    <x v="7"/>
  </r>
  <r>
    <n v="93815564987"/>
    <n v="58"/>
    <x v="105"/>
    <s v=""/>
    <x v="3"/>
    <x v="0"/>
  </r>
  <r>
    <n v="84281088288"/>
    <n v="73"/>
    <x v="105"/>
    <s v=""/>
    <x v="3"/>
    <x v="0"/>
  </r>
  <r>
    <n v="71562071667"/>
    <n v="75"/>
    <x v="105"/>
    <s v=""/>
    <x v="3"/>
    <x v="0"/>
  </r>
  <r>
    <n v="19353981345"/>
    <n v="80"/>
    <x v="105"/>
    <d v="2034-09-15T00:00:00"/>
    <x v="3"/>
    <x v="3"/>
  </r>
  <r>
    <n v="87361112227"/>
    <n v="107"/>
    <x v="105"/>
    <d v="2034-12-05T00:00:00"/>
    <x v="3"/>
    <x v="7"/>
  </r>
  <r>
    <n v="53326233567"/>
    <n v="114"/>
    <x v="105"/>
    <s v=""/>
    <x v="3"/>
    <x v="0"/>
  </r>
  <r>
    <n v="46302306991"/>
    <n v="125"/>
    <x v="105"/>
    <s v=""/>
    <x v="3"/>
    <x v="0"/>
  </r>
  <r>
    <n v="58437585393"/>
    <n v="132"/>
    <x v="105"/>
    <s v=""/>
    <x v="3"/>
    <x v="0"/>
  </r>
  <r>
    <n v="51654157620"/>
    <n v="138"/>
    <x v="105"/>
    <s v=""/>
    <x v="3"/>
    <x v="0"/>
  </r>
  <r>
    <n v="90334329840"/>
    <n v="156"/>
    <x v="105"/>
    <s v=""/>
    <x v="3"/>
    <x v="0"/>
  </r>
  <r>
    <n v="66667303726"/>
    <n v="168"/>
    <x v="105"/>
    <s v=""/>
    <x v="3"/>
    <x v="0"/>
  </r>
  <r>
    <n v="93162029016"/>
    <n v="172"/>
    <x v="105"/>
    <d v="2034-10-02T00:00:00"/>
    <x v="3"/>
    <x v="5"/>
  </r>
  <r>
    <n v="20392133249"/>
    <n v="178"/>
    <x v="105"/>
    <m/>
    <x v="3"/>
    <x v="0"/>
  </r>
  <r>
    <n v="31302796606"/>
    <n v="191"/>
    <x v="105"/>
    <d v="2034-11-08T00:00:00"/>
    <x v="3"/>
    <x v="6"/>
  </r>
  <r>
    <n v="43790776024"/>
    <n v="195"/>
    <x v="105"/>
    <m/>
    <x v="3"/>
    <x v="0"/>
  </r>
  <r>
    <n v="70173474694"/>
    <n v="207"/>
    <x v="105"/>
    <s v=""/>
    <x v="3"/>
    <x v="0"/>
  </r>
  <r>
    <n v="50775468666"/>
    <n v="208"/>
    <x v="105"/>
    <s v=""/>
    <x v="3"/>
    <x v="0"/>
  </r>
  <r>
    <n v="21823931269"/>
    <n v="209"/>
    <x v="105"/>
    <s v=""/>
    <x v="3"/>
    <x v="0"/>
  </r>
  <r>
    <n v="25718770465"/>
    <n v="233"/>
    <x v="105"/>
    <m/>
    <x v="3"/>
    <x v="0"/>
  </r>
  <r>
    <n v="31707406734"/>
    <n v="247"/>
    <x v="105"/>
    <d v="2035-01-04T00:00:00"/>
    <x v="3"/>
    <x v="8"/>
  </r>
  <r>
    <n v="18606959229"/>
    <n v="255"/>
    <x v="105"/>
    <m/>
    <x v="3"/>
    <x v="0"/>
  </r>
  <r>
    <n v="66251064569"/>
    <n v="269"/>
    <x v="105"/>
    <s v=""/>
    <x v="3"/>
    <x v="0"/>
  </r>
  <r>
    <n v="24874146469"/>
    <n v="271"/>
    <x v="105"/>
    <d v="2034-09-29T00:00:00"/>
    <x v="3"/>
    <x v="3"/>
  </r>
  <r>
    <n v="64276567179"/>
    <n v="278"/>
    <x v="105"/>
    <s v=""/>
    <x v="3"/>
    <x v="0"/>
  </r>
  <r>
    <n v="66519346631"/>
    <n v="299"/>
    <x v="105"/>
    <d v="2034-12-19T00:00:00"/>
    <x v="3"/>
    <x v="7"/>
  </r>
  <r>
    <n v="80555065189"/>
    <n v="13"/>
    <x v="106"/>
    <s v=""/>
    <x v="3"/>
    <x v="0"/>
  </r>
  <r>
    <n v="51794645262"/>
    <n v="14"/>
    <x v="106"/>
    <s v=""/>
    <x v="3"/>
    <x v="0"/>
  </r>
  <r>
    <n v="40073604841"/>
    <n v="17"/>
    <x v="106"/>
    <s v=""/>
    <x v="3"/>
    <x v="0"/>
  </r>
  <r>
    <n v="80412428606"/>
    <n v="29"/>
    <x v="106"/>
    <s v=""/>
    <x v="3"/>
    <x v="0"/>
  </r>
  <r>
    <n v="63190043232"/>
    <n v="43"/>
    <x v="106"/>
    <d v="2034-12-27T00:00:00"/>
    <x v="3"/>
    <x v="7"/>
  </r>
  <r>
    <n v="34204745274"/>
    <n v="59"/>
    <x v="106"/>
    <s v=""/>
    <x v="3"/>
    <x v="0"/>
  </r>
  <r>
    <n v="27686098159"/>
    <n v="83"/>
    <x v="106"/>
    <s v=""/>
    <x v="3"/>
    <x v="0"/>
  </r>
  <r>
    <n v="19453356092"/>
    <n v="92"/>
    <x v="106"/>
    <s v=""/>
    <x v="3"/>
    <x v="0"/>
  </r>
  <r>
    <n v="97407183199"/>
    <n v="106"/>
    <x v="106"/>
    <s v=""/>
    <x v="3"/>
    <x v="0"/>
  </r>
  <r>
    <n v="12142425875"/>
    <n v="113"/>
    <x v="106"/>
    <s v=""/>
    <x v="3"/>
    <x v="0"/>
  </r>
  <r>
    <n v="97034855014"/>
    <n v="118"/>
    <x v="106"/>
    <m/>
    <x v="3"/>
    <x v="0"/>
  </r>
  <r>
    <n v="19544625993"/>
    <n v="121"/>
    <x v="106"/>
    <s v=""/>
    <x v="3"/>
    <x v="0"/>
  </r>
  <r>
    <n v="73220107813"/>
    <n v="138"/>
    <x v="106"/>
    <d v="2034-10-23T00:00:00"/>
    <x v="3"/>
    <x v="5"/>
  </r>
  <r>
    <n v="33096264039"/>
    <n v="145"/>
    <x v="106"/>
    <m/>
    <x v="3"/>
    <x v="0"/>
  </r>
  <r>
    <n v="46826298451"/>
    <n v="147"/>
    <x v="106"/>
    <d v="2034-09-22T00:00:00"/>
    <x v="3"/>
    <x v="3"/>
  </r>
  <r>
    <n v="81456594097"/>
    <n v="148"/>
    <x v="106"/>
    <d v="2034-10-26T00:00:00"/>
    <x v="3"/>
    <x v="5"/>
  </r>
  <r>
    <n v="80537910851"/>
    <n v="157"/>
    <x v="106"/>
    <s v=""/>
    <x v="3"/>
    <x v="0"/>
  </r>
  <r>
    <n v="91325447101"/>
    <n v="157"/>
    <x v="106"/>
    <s v=""/>
    <x v="3"/>
    <x v="0"/>
  </r>
  <r>
    <n v="69832092965"/>
    <n v="158"/>
    <x v="106"/>
    <s v=""/>
    <x v="3"/>
    <x v="0"/>
  </r>
  <r>
    <n v="41311365154"/>
    <n v="187"/>
    <x v="106"/>
    <s v=""/>
    <x v="3"/>
    <x v="0"/>
  </r>
  <r>
    <n v="53753188385"/>
    <n v="195"/>
    <x v="106"/>
    <s v=""/>
    <x v="3"/>
    <x v="0"/>
  </r>
  <r>
    <n v="97582604359"/>
    <n v="203"/>
    <x v="106"/>
    <d v="2034-10-02T00:00:00"/>
    <x v="3"/>
    <x v="5"/>
  </r>
  <r>
    <n v="86723079987"/>
    <n v="230"/>
    <x v="106"/>
    <d v="2034-12-27T00:00:00"/>
    <x v="3"/>
    <x v="7"/>
  </r>
  <r>
    <n v="78488327742"/>
    <n v="269"/>
    <x v="106"/>
    <s v=""/>
    <x v="3"/>
    <x v="0"/>
  </r>
  <r>
    <n v="65977202382"/>
    <n v="283"/>
    <x v="106"/>
    <d v="2034-11-28T00:00:00"/>
    <x v="3"/>
    <x v="6"/>
  </r>
  <r>
    <n v="95691057239"/>
    <n v="285"/>
    <x v="106"/>
    <d v="2034-11-02T00:00:00"/>
    <x v="3"/>
    <x v="6"/>
  </r>
  <r>
    <n v="57143888609"/>
    <n v="290"/>
    <x v="106"/>
    <m/>
    <x v="3"/>
    <x v="0"/>
  </r>
  <r>
    <n v="68332165705"/>
    <n v="300"/>
    <x v="106"/>
    <d v="2034-11-21T00:00:00"/>
    <x v="3"/>
    <x v="6"/>
  </r>
  <r>
    <n v="76208358665"/>
    <n v="306"/>
    <x v="106"/>
    <s v=""/>
    <x v="3"/>
    <x v="0"/>
  </r>
  <r>
    <n v="45522024070"/>
    <n v="325"/>
    <x v="106"/>
    <d v="2034-10-27T00:00:00"/>
    <x v="3"/>
    <x v="5"/>
  </r>
  <r>
    <n v="60017541239"/>
    <n v="334"/>
    <x v="106"/>
    <d v="2034-11-12T00:00:00"/>
    <x v="3"/>
    <x v="6"/>
  </r>
  <r>
    <n v="79550512885"/>
    <n v="335"/>
    <x v="106"/>
    <d v="2034-12-02T00:00:00"/>
    <x v="3"/>
    <x v="7"/>
  </r>
  <r>
    <n v="91447340834"/>
    <n v="6"/>
    <x v="107"/>
    <s v=""/>
    <x v="3"/>
    <x v="0"/>
  </r>
  <r>
    <n v="19084014471"/>
    <n v="37"/>
    <x v="107"/>
    <s v=""/>
    <x v="3"/>
    <x v="0"/>
  </r>
  <r>
    <n v="32003589218"/>
    <n v="41"/>
    <x v="107"/>
    <s v=""/>
    <x v="3"/>
    <x v="0"/>
  </r>
  <r>
    <n v="75769371124"/>
    <n v="66"/>
    <x v="107"/>
    <m/>
    <x v="3"/>
    <x v="0"/>
  </r>
  <r>
    <n v="59914240557"/>
    <n v="84"/>
    <x v="107"/>
    <s v=""/>
    <x v="3"/>
    <x v="0"/>
  </r>
  <r>
    <n v="47958791139"/>
    <n v="152"/>
    <x v="107"/>
    <s v=""/>
    <x v="3"/>
    <x v="0"/>
  </r>
  <r>
    <n v="38562267342"/>
    <n v="154"/>
    <x v="107"/>
    <s v=""/>
    <x v="3"/>
    <x v="0"/>
  </r>
  <r>
    <n v="20588485193"/>
    <n v="169"/>
    <x v="107"/>
    <s v=""/>
    <x v="3"/>
    <x v="0"/>
  </r>
  <r>
    <n v="28919544610"/>
    <n v="218"/>
    <x v="107"/>
    <s v=""/>
    <x v="3"/>
    <x v="0"/>
  </r>
  <r>
    <n v="94742230913"/>
    <n v="224"/>
    <x v="107"/>
    <s v=""/>
    <x v="3"/>
    <x v="0"/>
  </r>
  <r>
    <n v="86281493652"/>
    <n v="226"/>
    <x v="107"/>
    <d v="2034-12-12T00:00:00"/>
    <x v="3"/>
    <x v="7"/>
  </r>
  <r>
    <n v="94394782228"/>
    <n v="230"/>
    <x v="107"/>
    <s v=""/>
    <x v="3"/>
    <x v="0"/>
  </r>
  <r>
    <n v="33967945989"/>
    <n v="231"/>
    <x v="107"/>
    <s v=""/>
    <x v="3"/>
    <x v="0"/>
  </r>
  <r>
    <n v="74309669950"/>
    <n v="245"/>
    <x v="107"/>
    <d v="2034-12-12T00:00:00"/>
    <x v="3"/>
    <x v="7"/>
  </r>
  <r>
    <n v="35423505307"/>
    <n v="247"/>
    <x v="107"/>
    <s v=""/>
    <x v="3"/>
    <x v="0"/>
  </r>
  <r>
    <n v="31316609570"/>
    <n v="251"/>
    <x v="107"/>
    <d v="2034-10-08T00:00:00"/>
    <x v="3"/>
    <x v="5"/>
  </r>
  <r>
    <n v="55906670927"/>
    <n v="261"/>
    <x v="107"/>
    <s v=""/>
    <x v="3"/>
    <x v="0"/>
  </r>
  <r>
    <n v="27622417063"/>
    <n v="282"/>
    <x v="107"/>
    <s v=""/>
    <x v="3"/>
    <x v="0"/>
  </r>
  <r>
    <n v="40884554289"/>
    <n v="285"/>
    <x v="107"/>
    <s v=""/>
    <x v="3"/>
    <x v="0"/>
  </r>
  <r>
    <n v="68061005432"/>
    <n v="6"/>
    <x v="108"/>
    <s v=""/>
    <x v="3"/>
    <x v="0"/>
  </r>
  <r>
    <n v="91541544344"/>
    <n v="20"/>
    <x v="108"/>
    <s v=""/>
    <x v="3"/>
    <x v="0"/>
  </r>
  <r>
    <n v="76259864966"/>
    <n v="21"/>
    <x v="108"/>
    <s v=""/>
    <x v="3"/>
    <x v="0"/>
  </r>
  <r>
    <n v="15744634888"/>
    <n v="48"/>
    <x v="108"/>
    <d v="2035-01-04T00:00:00"/>
    <x v="3"/>
    <x v="8"/>
  </r>
  <r>
    <n v="84497049637"/>
    <n v="61"/>
    <x v="108"/>
    <d v="2034-11-10T00:00:00"/>
    <x v="3"/>
    <x v="6"/>
  </r>
  <r>
    <n v="81629317348"/>
    <n v="63"/>
    <x v="108"/>
    <m/>
    <x v="3"/>
    <x v="0"/>
  </r>
  <r>
    <n v="85746919179"/>
    <n v="64"/>
    <x v="108"/>
    <s v=""/>
    <x v="3"/>
    <x v="0"/>
  </r>
  <r>
    <n v="13408241443"/>
    <n v="67"/>
    <x v="108"/>
    <d v="2034-11-09T00:00:00"/>
    <x v="3"/>
    <x v="6"/>
  </r>
  <r>
    <n v="61664956750"/>
    <n v="69"/>
    <x v="108"/>
    <s v=""/>
    <x v="3"/>
    <x v="0"/>
  </r>
  <r>
    <n v="42139133377"/>
    <n v="75"/>
    <x v="108"/>
    <m/>
    <x v="3"/>
    <x v="0"/>
  </r>
  <r>
    <n v="30941135445"/>
    <n v="77"/>
    <x v="108"/>
    <s v=""/>
    <x v="3"/>
    <x v="0"/>
  </r>
  <r>
    <n v="39631171964"/>
    <n v="110"/>
    <x v="108"/>
    <s v=""/>
    <x v="3"/>
    <x v="0"/>
  </r>
  <r>
    <n v="57633449586"/>
    <n v="121"/>
    <x v="108"/>
    <s v=""/>
    <x v="3"/>
    <x v="0"/>
  </r>
  <r>
    <n v="95020519210"/>
    <n v="123"/>
    <x v="108"/>
    <d v="2035-01-02T00:00:00"/>
    <x v="3"/>
    <x v="8"/>
  </r>
  <r>
    <n v="23910512364"/>
    <n v="125"/>
    <x v="108"/>
    <d v="2034-09-25T00:00:00"/>
    <x v="3"/>
    <x v="3"/>
  </r>
  <r>
    <n v="65893452023"/>
    <n v="164"/>
    <x v="108"/>
    <d v="2034-11-26T00:00:00"/>
    <x v="3"/>
    <x v="6"/>
  </r>
  <r>
    <n v="38037924195"/>
    <n v="182"/>
    <x v="108"/>
    <s v=""/>
    <x v="3"/>
    <x v="0"/>
  </r>
  <r>
    <n v="82861813995"/>
    <n v="184"/>
    <x v="108"/>
    <s v=""/>
    <x v="3"/>
    <x v="0"/>
  </r>
  <r>
    <n v="80851986196"/>
    <n v="249"/>
    <x v="108"/>
    <s v=""/>
    <x v="3"/>
    <x v="0"/>
  </r>
  <r>
    <n v="93167150728"/>
    <n v="254"/>
    <x v="108"/>
    <s v=""/>
    <x v="3"/>
    <x v="0"/>
  </r>
  <r>
    <n v="77414885492"/>
    <n v="273"/>
    <x v="108"/>
    <s v=""/>
    <x v="3"/>
    <x v="0"/>
  </r>
  <r>
    <n v="98756626566"/>
    <n v="273"/>
    <x v="108"/>
    <d v="2034-10-22T00:00:00"/>
    <x v="3"/>
    <x v="5"/>
  </r>
  <r>
    <n v="49789321665"/>
    <n v="301"/>
    <x v="108"/>
    <s v=""/>
    <x v="3"/>
    <x v="0"/>
  </r>
  <r>
    <n v="94545388150"/>
    <n v="303"/>
    <x v="108"/>
    <s v=""/>
    <x v="3"/>
    <x v="0"/>
  </r>
  <r>
    <n v="93375620489"/>
    <n v="317"/>
    <x v="108"/>
    <m/>
    <x v="3"/>
    <x v="0"/>
  </r>
  <r>
    <n v="30404767377"/>
    <n v="326"/>
    <x v="108"/>
    <m/>
    <x v="3"/>
    <x v="0"/>
  </r>
  <r>
    <n v="23555163107"/>
    <n v="1"/>
    <x v="109"/>
    <s v=""/>
    <x v="3"/>
    <x v="0"/>
  </r>
  <r>
    <n v="51723409984"/>
    <n v="3"/>
    <x v="109"/>
    <s v=""/>
    <x v="3"/>
    <x v="0"/>
  </r>
  <r>
    <n v="97232164541"/>
    <n v="4"/>
    <x v="109"/>
    <s v=""/>
    <x v="3"/>
    <x v="0"/>
  </r>
  <r>
    <n v="87980681657"/>
    <n v="14"/>
    <x v="109"/>
    <s v=""/>
    <x v="3"/>
    <x v="0"/>
  </r>
  <r>
    <n v="43533911251"/>
    <n v="23"/>
    <x v="109"/>
    <d v="2034-11-15T00:00:00"/>
    <x v="3"/>
    <x v="6"/>
  </r>
  <r>
    <n v="90841136863"/>
    <n v="43"/>
    <x v="109"/>
    <d v="2034-10-16T00:00:00"/>
    <x v="3"/>
    <x v="5"/>
  </r>
  <r>
    <n v="74758082975"/>
    <n v="47"/>
    <x v="109"/>
    <s v=""/>
    <x v="3"/>
    <x v="0"/>
  </r>
  <r>
    <n v="48147930181"/>
    <n v="70"/>
    <x v="109"/>
    <s v=""/>
    <x v="3"/>
    <x v="0"/>
  </r>
  <r>
    <n v="65669883326"/>
    <n v="87"/>
    <x v="109"/>
    <m/>
    <x v="3"/>
    <x v="0"/>
  </r>
  <r>
    <n v="64461365664"/>
    <n v="92"/>
    <x v="109"/>
    <s v=""/>
    <x v="3"/>
    <x v="0"/>
  </r>
  <r>
    <n v="86469054624"/>
    <n v="119"/>
    <x v="109"/>
    <m/>
    <x v="3"/>
    <x v="0"/>
  </r>
  <r>
    <n v="12426802632"/>
    <n v="121"/>
    <x v="109"/>
    <s v=""/>
    <x v="3"/>
    <x v="0"/>
  </r>
  <r>
    <n v="17292492463"/>
    <n v="135"/>
    <x v="109"/>
    <m/>
    <x v="3"/>
    <x v="0"/>
  </r>
  <r>
    <n v="16564623802"/>
    <n v="173"/>
    <x v="109"/>
    <s v=""/>
    <x v="3"/>
    <x v="0"/>
  </r>
  <r>
    <n v="16250473013"/>
    <n v="185"/>
    <x v="109"/>
    <s v=""/>
    <x v="3"/>
    <x v="0"/>
  </r>
  <r>
    <n v="39989299147"/>
    <n v="192"/>
    <x v="109"/>
    <s v=""/>
    <x v="3"/>
    <x v="0"/>
  </r>
  <r>
    <n v="58413275788"/>
    <n v="195"/>
    <x v="109"/>
    <s v=""/>
    <x v="3"/>
    <x v="0"/>
  </r>
  <r>
    <n v="25900644665"/>
    <n v="197"/>
    <x v="109"/>
    <s v=""/>
    <x v="3"/>
    <x v="0"/>
  </r>
  <r>
    <n v="88220286665"/>
    <n v="203"/>
    <x v="109"/>
    <d v="2034-09-20T00:00:00"/>
    <x v="3"/>
    <x v="3"/>
  </r>
  <r>
    <n v="96151605926"/>
    <n v="208"/>
    <x v="109"/>
    <s v=""/>
    <x v="3"/>
    <x v="0"/>
  </r>
  <r>
    <n v="30201337372"/>
    <n v="241"/>
    <x v="109"/>
    <s v=""/>
    <x v="3"/>
    <x v="0"/>
  </r>
  <r>
    <n v="25700099888"/>
    <n v="247"/>
    <x v="109"/>
    <s v=""/>
    <x v="3"/>
    <x v="0"/>
  </r>
  <r>
    <n v="64182881281"/>
    <n v="248"/>
    <x v="109"/>
    <s v=""/>
    <x v="3"/>
    <x v="0"/>
  </r>
  <r>
    <n v="60542397715"/>
    <n v="264"/>
    <x v="109"/>
    <m/>
    <x v="3"/>
    <x v="0"/>
  </r>
  <r>
    <n v="27715299470"/>
    <n v="280"/>
    <x v="109"/>
    <s v=""/>
    <x v="3"/>
    <x v="0"/>
  </r>
  <r>
    <n v="70366085290"/>
    <n v="285"/>
    <x v="109"/>
    <s v=""/>
    <x v="3"/>
    <x v="0"/>
  </r>
  <r>
    <n v="51029498243"/>
    <n v="286"/>
    <x v="109"/>
    <d v="2034-12-14T00:00:00"/>
    <x v="3"/>
    <x v="7"/>
  </r>
  <r>
    <n v="84700722164"/>
    <n v="309"/>
    <x v="109"/>
    <s v=""/>
    <x v="3"/>
    <x v="0"/>
  </r>
  <r>
    <n v="63251970956"/>
    <n v="313"/>
    <x v="109"/>
    <s v=""/>
    <x v="3"/>
    <x v="0"/>
  </r>
  <r>
    <n v="15937751591"/>
    <n v="320"/>
    <x v="109"/>
    <d v="2034-11-03T00:00:00"/>
    <x v="3"/>
    <x v="6"/>
  </r>
  <r>
    <n v="38852265577"/>
    <n v="335"/>
    <x v="109"/>
    <s v=""/>
    <x v="3"/>
    <x v="0"/>
  </r>
  <r>
    <n v="44945552208"/>
    <n v="7"/>
    <x v="110"/>
    <d v="2034-10-18T00:00:00"/>
    <x v="3"/>
    <x v="5"/>
  </r>
  <r>
    <n v="82530531357"/>
    <n v="21"/>
    <x v="110"/>
    <s v=""/>
    <x v="3"/>
    <x v="0"/>
  </r>
  <r>
    <n v="14288429567"/>
    <n v="35"/>
    <x v="110"/>
    <d v="2034-12-23T00:00:00"/>
    <x v="3"/>
    <x v="7"/>
  </r>
  <r>
    <n v="24210764116"/>
    <n v="54"/>
    <x v="110"/>
    <s v=""/>
    <x v="3"/>
    <x v="0"/>
  </r>
  <r>
    <n v="24006418608"/>
    <n v="59"/>
    <x v="110"/>
    <s v=""/>
    <x v="3"/>
    <x v="0"/>
  </r>
  <r>
    <n v="28817093909"/>
    <n v="67"/>
    <x v="110"/>
    <m/>
    <x v="3"/>
    <x v="0"/>
  </r>
  <r>
    <n v="97042837415"/>
    <n v="80"/>
    <x v="110"/>
    <s v=""/>
    <x v="3"/>
    <x v="0"/>
  </r>
  <r>
    <n v="32437004077"/>
    <n v="81"/>
    <x v="110"/>
    <s v=""/>
    <x v="3"/>
    <x v="0"/>
  </r>
  <r>
    <n v="58790932706"/>
    <n v="92"/>
    <x v="110"/>
    <s v=""/>
    <x v="3"/>
    <x v="0"/>
  </r>
  <r>
    <n v="41211486546"/>
    <n v="98"/>
    <x v="110"/>
    <s v=""/>
    <x v="3"/>
    <x v="0"/>
  </r>
  <r>
    <n v="12356928200"/>
    <n v="164"/>
    <x v="110"/>
    <d v="2034-10-01T00:00:00"/>
    <x v="3"/>
    <x v="5"/>
  </r>
  <r>
    <n v="49171671939"/>
    <n v="172"/>
    <x v="110"/>
    <s v=""/>
    <x v="3"/>
    <x v="0"/>
  </r>
  <r>
    <n v="28904937031"/>
    <n v="174"/>
    <x v="110"/>
    <m/>
    <x v="3"/>
    <x v="0"/>
  </r>
  <r>
    <n v="21532430886"/>
    <n v="185"/>
    <x v="110"/>
    <s v=""/>
    <x v="3"/>
    <x v="0"/>
  </r>
  <r>
    <n v="47263788650"/>
    <n v="190"/>
    <x v="110"/>
    <s v=""/>
    <x v="3"/>
    <x v="0"/>
  </r>
  <r>
    <n v="17245192108"/>
    <n v="229"/>
    <x v="110"/>
    <d v="2034-12-29T00:00:00"/>
    <x v="3"/>
    <x v="7"/>
  </r>
  <r>
    <n v="68933489787"/>
    <n v="242"/>
    <x v="110"/>
    <m/>
    <x v="3"/>
    <x v="0"/>
  </r>
  <r>
    <n v="93257149993"/>
    <n v="243"/>
    <x v="110"/>
    <s v=""/>
    <x v="3"/>
    <x v="0"/>
  </r>
  <r>
    <n v="99890275800"/>
    <n v="244"/>
    <x v="110"/>
    <m/>
    <x v="3"/>
    <x v="0"/>
  </r>
  <r>
    <n v="31755039776"/>
    <n v="244"/>
    <x v="110"/>
    <m/>
    <x v="3"/>
    <x v="0"/>
  </r>
  <r>
    <n v="55115214579"/>
    <n v="255"/>
    <x v="110"/>
    <s v=""/>
    <x v="3"/>
    <x v="0"/>
  </r>
  <r>
    <n v="40545326946"/>
    <n v="269"/>
    <x v="110"/>
    <s v=""/>
    <x v="3"/>
    <x v="0"/>
  </r>
  <r>
    <n v="87121270860"/>
    <n v="271"/>
    <x v="110"/>
    <s v=""/>
    <x v="3"/>
    <x v="0"/>
  </r>
  <r>
    <n v="59256887885"/>
    <n v="275"/>
    <x v="110"/>
    <m/>
    <x v="3"/>
    <x v="0"/>
  </r>
  <r>
    <n v="35163671113"/>
    <n v="307"/>
    <x v="110"/>
    <s v=""/>
    <x v="3"/>
    <x v="0"/>
  </r>
  <r>
    <n v="76420962885"/>
    <n v="62"/>
    <x v="111"/>
    <s v=""/>
    <x v="3"/>
    <x v="0"/>
  </r>
  <r>
    <n v="99979112639"/>
    <n v="78"/>
    <x v="111"/>
    <m/>
    <x v="3"/>
    <x v="0"/>
  </r>
  <r>
    <n v="54228949570"/>
    <n v="86"/>
    <x v="111"/>
    <d v="2034-12-16T00:00:00"/>
    <x v="3"/>
    <x v="7"/>
  </r>
  <r>
    <n v="85160761535"/>
    <n v="109"/>
    <x v="111"/>
    <d v="2034-09-27T00:00:00"/>
    <x v="3"/>
    <x v="3"/>
  </r>
  <r>
    <n v="56907084086"/>
    <n v="116"/>
    <x v="111"/>
    <m/>
    <x v="3"/>
    <x v="0"/>
  </r>
  <r>
    <n v="51167971393"/>
    <n v="148"/>
    <x v="111"/>
    <s v=""/>
    <x v="3"/>
    <x v="0"/>
  </r>
  <r>
    <n v="54864938285"/>
    <n v="171"/>
    <x v="111"/>
    <m/>
    <x v="3"/>
    <x v="0"/>
  </r>
  <r>
    <n v="60669708330"/>
    <n v="172"/>
    <x v="111"/>
    <s v=""/>
    <x v="3"/>
    <x v="0"/>
  </r>
  <r>
    <n v="49282557595"/>
    <n v="191"/>
    <x v="111"/>
    <s v=""/>
    <x v="3"/>
    <x v="0"/>
  </r>
  <r>
    <n v="29439849195"/>
    <n v="224"/>
    <x v="111"/>
    <s v=""/>
    <x v="3"/>
    <x v="0"/>
  </r>
  <r>
    <n v="93061969585"/>
    <n v="225"/>
    <x v="111"/>
    <d v="2034-10-31T00:00:00"/>
    <x v="3"/>
    <x v="5"/>
  </r>
  <r>
    <n v="20257499289"/>
    <n v="232"/>
    <x v="111"/>
    <s v=""/>
    <x v="3"/>
    <x v="0"/>
  </r>
  <r>
    <n v="60612227419"/>
    <n v="243"/>
    <x v="111"/>
    <s v=""/>
    <x v="3"/>
    <x v="0"/>
  </r>
  <r>
    <n v="72135182029"/>
    <n v="252"/>
    <x v="111"/>
    <m/>
    <x v="3"/>
    <x v="0"/>
  </r>
  <r>
    <n v="30430204993"/>
    <n v="254"/>
    <x v="111"/>
    <s v=""/>
    <x v="3"/>
    <x v="0"/>
  </r>
  <r>
    <n v="54573362989"/>
    <n v="265"/>
    <x v="111"/>
    <s v=""/>
    <x v="3"/>
    <x v="0"/>
  </r>
  <r>
    <n v="43919392530"/>
    <n v="268"/>
    <x v="111"/>
    <s v=""/>
    <x v="3"/>
    <x v="0"/>
  </r>
  <r>
    <n v="29143798593"/>
    <n v="276"/>
    <x v="111"/>
    <s v=""/>
    <x v="3"/>
    <x v="0"/>
  </r>
  <r>
    <n v="53121244224"/>
    <n v="278"/>
    <x v="111"/>
    <d v="2034-09-23T00:00:00"/>
    <x v="3"/>
    <x v="3"/>
  </r>
  <r>
    <n v="76866960495"/>
    <n v="300"/>
    <x v="111"/>
    <s v=""/>
    <x v="3"/>
    <x v="0"/>
  </r>
  <r>
    <n v="44511960295"/>
    <n v="326"/>
    <x v="111"/>
    <s v=""/>
    <x v="3"/>
    <x v="0"/>
  </r>
  <r>
    <n v="17873959272"/>
    <n v="340"/>
    <x v="111"/>
    <s v=""/>
    <x v="3"/>
    <x v="0"/>
  </r>
  <r>
    <n v="50569829277"/>
    <n v="23"/>
    <x v="112"/>
    <d v="2034-09-25T00:00:00"/>
    <x v="3"/>
    <x v="3"/>
  </r>
  <r>
    <n v="78006314519"/>
    <n v="71"/>
    <x v="112"/>
    <m/>
    <x v="3"/>
    <x v="0"/>
  </r>
  <r>
    <n v="92592685669"/>
    <n v="82"/>
    <x v="112"/>
    <s v=""/>
    <x v="3"/>
    <x v="0"/>
  </r>
  <r>
    <n v="50652919886"/>
    <n v="87"/>
    <x v="112"/>
    <s v=""/>
    <x v="3"/>
    <x v="0"/>
  </r>
  <r>
    <n v="56507799231"/>
    <n v="117"/>
    <x v="112"/>
    <d v="2034-10-19T00:00:00"/>
    <x v="3"/>
    <x v="5"/>
  </r>
  <r>
    <n v="29926898065"/>
    <n v="148"/>
    <x v="112"/>
    <d v="2034-09-24T00:00:00"/>
    <x v="3"/>
    <x v="3"/>
  </r>
  <r>
    <n v="49413451509"/>
    <n v="178"/>
    <x v="112"/>
    <d v="2034-10-22T00:00:00"/>
    <x v="3"/>
    <x v="5"/>
  </r>
  <r>
    <n v="77416880949"/>
    <n v="187"/>
    <x v="112"/>
    <s v=""/>
    <x v="3"/>
    <x v="0"/>
  </r>
  <r>
    <n v="29146680339"/>
    <n v="208"/>
    <x v="112"/>
    <s v=""/>
    <x v="3"/>
    <x v="0"/>
  </r>
  <r>
    <n v="87191988372"/>
    <n v="217"/>
    <x v="112"/>
    <s v=""/>
    <x v="3"/>
    <x v="0"/>
  </r>
  <r>
    <n v="29565368139"/>
    <n v="227"/>
    <x v="112"/>
    <m/>
    <x v="3"/>
    <x v="0"/>
  </r>
  <r>
    <n v="89144613779"/>
    <n v="229"/>
    <x v="112"/>
    <s v=""/>
    <x v="3"/>
    <x v="0"/>
  </r>
  <r>
    <n v="15410416717"/>
    <n v="269"/>
    <x v="112"/>
    <d v="2035-01-15T00:00:00"/>
    <x v="3"/>
    <x v="8"/>
  </r>
  <r>
    <n v="36305011983"/>
    <n v="270"/>
    <x v="112"/>
    <s v=""/>
    <x v="3"/>
    <x v="0"/>
  </r>
  <r>
    <n v="75848679918"/>
    <n v="273"/>
    <x v="112"/>
    <d v="2034-10-10T00:00:00"/>
    <x v="3"/>
    <x v="5"/>
  </r>
  <r>
    <n v="60712207566"/>
    <n v="287"/>
    <x v="112"/>
    <m/>
    <x v="3"/>
    <x v="0"/>
  </r>
  <r>
    <n v="72482503654"/>
    <n v="289"/>
    <x v="112"/>
    <s v=""/>
    <x v="3"/>
    <x v="0"/>
  </r>
  <r>
    <n v="22809644187"/>
    <n v="303"/>
    <x v="112"/>
    <s v=""/>
    <x v="3"/>
    <x v="0"/>
  </r>
  <r>
    <n v="24438633868"/>
    <n v="306"/>
    <x v="112"/>
    <s v=""/>
    <x v="3"/>
    <x v="0"/>
  </r>
  <r>
    <n v="93682113711"/>
    <n v="306"/>
    <x v="112"/>
    <d v="2034-12-14T00:00:00"/>
    <x v="3"/>
    <x v="7"/>
  </r>
  <r>
    <n v="78556570896"/>
    <n v="320"/>
    <x v="112"/>
    <s v=""/>
    <x v="3"/>
    <x v="0"/>
  </r>
  <r>
    <n v="75075792319"/>
    <n v="336"/>
    <x v="112"/>
    <m/>
    <x v="3"/>
    <x v="0"/>
  </r>
  <r>
    <n v="95652020915"/>
    <n v="0"/>
    <x v="113"/>
    <d v="2034-12-31T00:00:00"/>
    <x v="3"/>
    <x v="7"/>
  </r>
  <r>
    <n v="56001615502"/>
    <n v="18"/>
    <x v="113"/>
    <d v="2035-01-01T00:00:00"/>
    <x v="3"/>
    <x v="8"/>
  </r>
  <r>
    <n v="40131634086"/>
    <n v="29"/>
    <x v="113"/>
    <s v=""/>
    <x v="3"/>
    <x v="0"/>
  </r>
  <r>
    <n v="51718627818"/>
    <n v="31"/>
    <x v="113"/>
    <s v=""/>
    <x v="3"/>
    <x v="0"/>
  </r>
  <r>
    <n v="49043840719"/>
    <n v="57"/>
    <x v="113"/>
    <s v=""/>
    <x v="3"/>
    <x v="0"/>
  </r>
  <r>
    <n v="23028080944"/>
    <n v="71"/>
    <x v="113"/>
    <m/>
    <x v="3"/>
    <x v="0"/>
  </r>
  <r>
    <n v="35091198884"/>
    <n v="84"/>
    <x v="113"/>
    <s v=""/>
    <x v="3"/>
    <x v="0"/>
  </r>
  <r>
    <n v="52651187834"/>
    <n v="85"/>
    <x v="113"/>
    <s v=""/>
    <x v="3"/>
    <x v="0"/>
  </r>
  <r>
    <n v="13793121804"/>
    <n v="105"/>
    <x v="113"/>
    <s v=""/>
    <x v="3"/>
    <x v="0"/>
  </r>
  <r>
    <n v="27800819303"/>
    <n v="132"/>
    <x v="113"/>
    <s v=""/>
    <x v="3"/>
    <x v="0"/>
  </r>
  <r>
    <n v="81399241726"/>
    <n v="172"/>
    <x v="113"/>
    <s v=""/>
    <x v="3"/>
    <x v="0"/>
  </r>
  <r>
    <n v="38250035509"/>
    <n v="174"/>
    <x v="113"/>
    <m/>
    <x v="3"/>
    <x v="0"/>
  </r>
  <r>
    <n v="25835472248"/>
    <n v="187"/>
    <x v="113"/>
    <s v=""/>
    <x v="3"/>
    <x v="0"/>
  </r>
  <r>
    <n v="97164253437"/>
    <n v="188"/>
    <x v="113"/>
    <s v=""/>
    <x v="3"/>
    <x v="0"/>
  </r>
  <r>
    <n v="88175439020"/>
    <n v="191"/>
    <x v="113"/>
    <s v=""/>
    <x v="3"/>
    <x v="0"/>
  </r>
  <r>
    <n v="44988024764"/>
    <n v="197"/>
    <x v="113"/>
    <s v=""/>
    <x v="3"/>
    <x v="0"/>
  </r>
  <r>
    <n v="29271982382"/>
    <n v="216"/>
    <x v="113"/>
    <d v="2034-12-01T00:00:00"/>
    <x v="3"/>
    <x v="7"/>
  </r>
  <r>
    <n v="72685225186"/>
    <n v="216"/>
    <x v="113"/>
    <s v=""/>
    <x v="3"/>
    <x v="0"/>
  </r>
  <r>
    <n v="79844090248"/>
    <n v="217"/>
    <x v="113"/>
    <s v=""/>
    <x v="3"/>
    <x v="0"/>
  </r>
  <r>
    <n v="17827544665"/>
    <n v="239"/>
    <x v="113"/>
    <s v=""/>
    <x v="3"/>
    <x v="0"/>
  </r>
  <r>
    <n v="13435506342"/>
    <n v="250"/>
    <x v="113"/>
    <s v=""/>
    <x v="3"/>
    <x v="0"/>
  </r>
  <r>
    <n v="82542844736"/>
    <n v="250"/>
    <x v="113"/>
    <m/>
    <x v="3"/>
    <x v="0"/>
  </r>
  <r>
    <n v="62119167337"/>
    <n v="276"/>
    <x v="113"/>
    <s v=""/>
    <x v="3"/>
    <x v="0"/>
  </r>
  <r>
    <n v="56107798372"/>
    <n v="287"/>
    <x v="113"/>
    <s v=""/>
    <x v="3"/>
    <x v="0"/>
  </r>
  <r>
    <n v="50900477821"/>
    <n v="292"/>
    <x v="113"/>
    <s v=""/>
    <x v="3"/>
    <x v="0"/>
  </r>
  <r>
    <n v="31105896183"/>
    <n v="4"/>
    <x v="114"/>
    <m/>
    <x v="3"/>
    <x v="0"/>
  </r>
  <r>
    <n v="73488082934"/>
    <n v="29"/>
    <x v="114"/>
    <s v=""/>
    <x v="3"/>
    <x v="0"/>
  </r>
  <r>
    <n v="30047285700"/>
    <n v="55"/>
    <x v="114"/>
    <m/>
    <x v="3"/>
    <x v="0"/>
  </r>
  <r>
    <n v="59709561393"/>
    <n v="59"/>
    <x v="114"/>
    <s v=""/>
    <x v="3"/>
    <x v="0"/>
  </r>
  <r>
    <n v="71297580862"/>
    <n v="89"/>
    <x v="114"/>
    <m/>
    <x v="3"/>
    <x v="0"/>
  </r>
  <r>
    <n v="23678282244"/>
    <n v="101"/>
    <x v="114"/>
    <s v=""/>
    <x v="3"/>
    <x v="0"/>
  </r>
  <r>
    <n v="53754036764"/>
    <n v="118"/>
    <x v="114"/>
    <s v=""/>
    <x v="3"/>
    <x v="0"/>
  </r>
  <r>
    <n v="63088818351"/>
    <n v="142"/>
    <x v="114"/>
    <s v=""/>
    <x v="3"/>
    <x v="0"/>
  </r>
  <r>
    <n v="23760224761"/>
    <n v="147"/>
    <x v="114"/>
    <d v="2034-12-25T00:00:00"/>
    <x v="3"/>
    <x v="7"/>
  </r>
  <r>
    <n v="52663454196"/>
    <n v="175"/>
    <x v="114"/>
    <m/>
    <x v="3"/>
    <x v="0"/>
  </r>
  <r>
    <n v="58886844614"/>
    <n v="179"/>
    <x v="114"/>
    <s v=""/>
    <x v="3"/>
    <x v="0"/>
  </r>
  <r>
    <n v="25219857825"/>
    <n v="216"/>
    <x v="114"/>
    <s v=""/>
    <x v="3"/>
    <x v="0"/>
  </r>
  <r>
    <n v="44609694512"/>
    <n v="233"/>
    <x v="114"/>
    <s v=""/>
    <x v="3"/>
    <x v="0"/>
  </r>
  <r>
    <n v="48877045471"/>
    <n v="256"/>
    <x v="114"/>
    <d v="2034-10-04T00:00:00"/>
    <x v="3"/>
    <x v="5"/>
  </r>
  <r>
    <n v="95053738513"/>
    <n v="267"/>
    <x v="114"/>
    <s v=""/>
    <x v="3"/>
    <x v="0"/>
  </r>
  <r>
    <n v="87982569543"/>
    <n v="273"/>
    <x v="114"/>
    <s v=""/>
    <x v="3"/>
    <x v="0"/>
  </r>
  <r>
    <n v="99307843985"/>
    <n v="276"/>
    <x v="114"/>
    <s v=""/>
    <x v="3"/>
    <x v="0"/>
  </r>
  <r>
    <n v="65465561707"/>
    <n v="276"/>
    <x v="114"/>
    <s v=""/>
    <x v="3"/>
    <x v="0"/>
  </r>
  <r>
    <n v="84795330890"/>
    <n v="297"/>
    <x v="114"/>
    <s v=""/>
    <x v="3"/>
    <x v="0"/>
  </r>
  <r>
    <n v="88107144600"/>
    <n v="328"/>
    <x v="114"/>
    <s v=""/>
    <x v="3"/>
    <x v="0"/>
  </r>
  <r>
    <n v="55986579079"/>
    <n v="338"/>
    <x v="114"/>
    <m/>
    <x v="3"/>
    <x v="0"/>
  </r>
  <r>
    <n v="37029933294"/>
    <n v="16"/>
    <x v="115"/>
    <s v=""/>
    <x v="3"/>
    <x v="0"/>
  </r>
  <r>
    <n v="31053307624"/>
    <n v="41"/>
    <x v="115"/>
    <s v=""/>
    <x v="3"/>
    <x v="0"/>
  </r>
  <r>
    <n v="85303482423"/>
    <n v="50"/>
    <x v="115"/>
    <m/>
    <x v="3"/>
    <x v="0"/>
  </r>
  <r>
    <n v="21457725341"/>
    <n v="56"/>
    <x v="115"/>
    <d v="2035-01-14T00:00:00"/>
    <x v="3"/>
    <x v="8"/>
  </r>
  <r>
    <n v="11634499493"/>
    <n v="62"/>
    <x v="115"/>
    <d v="2034-12-28T00:00:00"/>
    <x v="3"/>
    <x v="7"/>
  </r>
  <r>
    <n v="29162271193"/>
    <n v="99"/>
    <x v="115"/>
    <d v="2034-10-09T00:00:00"/>
    <x v="3"/>
    <x v="5"/>
  </r>
  <r>
    <n v="93573325451"/>
    <n v="101"/>
    <x v="115"/>
    <s v=""/>
    <x v="3"/>
    <x v="0"/>
  </r>
  <r>
    <n v="47367884675"/>
    <n v="111"/>
    <x v="115"/>
    <s v=""/>
    <x v="3"/>
    <x v="0"/>
  </r>
  <r>
    <n v="66842848392"/>
    <n v="113"/>
    <x v="115"/>
    <s v=""/>
    <x v="3"/>
    <x v="0"/>
  </r>
  <r>
    <n v="62534012814"/>
    <n v="141"/>
    <x v="115"/>
    <m/>
    <x v="3"/>
    <x v="0"/>
  </r>
  <r>
    <n v="54569224466"/>
    <n v="149"/>
    <x v="115"/>
    <m/>
    <x v="3"/>
    <x v="0"/>
  </r>
  <r>
    <n v="77005107057"/>
    <n v="188"/>
    <x v="115"/>
    <d v="2035-01-16T00:00:00"/>
    <x v="3"/>
    <x v="8"/>
  </r>
  <r>
    <n v="90842877904"/>
    <n v="197"/>
    <x v="115"/>
    <s v=""/>
    <x v="3"/>
    <x v="0"/>
  </r>
  <r>
    <n v="97236554633"/>
    <n v="211"/>
    <x v="115"/>
    <m/>
    <x v="3"/>
    <x v="0"/>
  </r>
  <r>
    <n v="46982823333"/>
    <n v="241"/>
    <x v="115"/>
    <s v=""/>
    <x v="3"/>
    <x v="0"/>
  </r>
  <r>
    <n v="91210845470"/>
    <n v="244"/>
    <x v="115"/>
    <s v=""/>
    <x v="3"/>
    <x v="0"/>
  </r>
  <r>
    <n v="64854501971"/>
    <n v="253"/>
    <x v="115"/>
    <s v=""/>
    <x v="3"/>
    <x v="0"/>
  </r>
  <r>
    <n v="74405248912"/>
    <n v="265"/>
    <x v="115"/>
    <d v="2034-12-26T00:00:00"/>
    <x v="3"/>
    <x v="7"/>
  </r>
  <r>
    <n v="61863841453"/>
    <n v="301"/>
    <x v="115"/>
    <d v="2034-11-16T00:00:00"/>
    <x v="3"/>
    <x v="6"/>
  </r>
  <r>
    <n v="81216444357"/>
    <n v="10"/>
    <x v="116"/>
    <d v="2034-11-09T00:00:00"/>
    <x v="3"/>
    <x v="6"/>
  </r>
  <r>
    <n v="13190508045"/>
    <n v="20"/>
    <x v="116"/>
    <s v=""/>
    <x v="3"/>
    <x v="0"/>
  </r>
  <r>
    <n v="82640386469"/>
    <n v="41"/>
    <x v="116"/>
    <d v="2034-10-13T00:00:00"/>
    <x v="3"/>
    <x v="5"/>
  </r>
  <r>
    <n v="62194776823"/>
    <n v="42"/>
    <x v="116"/>
    <m/>
    <x v="3"/>
    <x v="0"/>
  </r>
  <r>
    <n v="89193063744"/>
    <n v="45"/>
    <x v="116"/>
    <s v=""/>
    <x v="3"/>
    <x v="0"/>
  </r>
  <r>
    <n v="85543604011"/>
    <n v="55"/>
    <x v="116"/>
    <d v="2034-11-03T00:00:00"/>
    <x v="3"/>
    <x v="6"/>
  </r>
  <r>
    <n v="14267580221"/>
    <n v="71"/>
    <x v="116"/>
    <s v=""/>
    <x v="3"/>
    <x v="0"/>
  </r>
  <r>
    <n v="74266874624"/>
    <n v="99"/>
    <x v="116"/>
    <s v=""/>
    <x v="3"/>
    <x v="0"/>
  </r>
  <r>
    <n v="96881557287"/>
    <n v="101"/>
    <x v="116"/>
    <s v=""/>
    <x v="3"/>
    <x v="0"/>
  </r>
  <r>
    <n v="31319829828"/>
    <n v="135"/>
    <x v="116"/>
    <s v=""/>
    <x v="3"/>
    <x v="0"/>
  </r>
  <r>
    <n v="70662412129"/>
    <n v="136"/>
    <x v="116"/>
    <s v=""/>
    <x v="3"/>
    <x v="0"/>
  </r>
  <r>
    <n v="63783114170"/>
    <n v="156"/>
    <x v="116"/>
    <s v=""/>
    <x v="3"/>
    <x v="0"/>
  </r>
  <r>
    <n v="37850379596"/>
    <n v="157"/>
    <x v="116"/>
    <d v="2034-10-03T00:00:00"/>
    <x v="3"/>
    <x v="5"/>
  </r>
  <r>
    <n v="30732007976"/>
    <n v="201"/>
    <x v="116"/>
    <d v="2034-09-28T00:00:00"/>
    <x v="3"/>
    <x v="3"/>
  </r>
  <r>
    <n v="26602482808"/>
    <n v="205"/>
    <x v="116"/>
    <d v="2035-01-03T00:00:00"/>
    <x v="3"/>
    <x v="8"/>
  </r>
  <r>
    <n v="93927798029"/>
    <n v="218"/>
    <x v="116"/>
    <d v="2034-11-12T00:00:00"/>
    <x v="3"/>
    <x v="6"/>
  </r>
  <r>
    <n v="92687983670"/>
    <n v="234"/>
    <x v="116"/>
    <s v=""/>
    <x v="3"/>
    <x v="0"/>
  </r>
  <r>
    <n v="65488519823"/>
    <n v="257"/>
    <x v="116"/>
    <d v="2034-11-23T00:00:00"/>
    <x v="3"/>
    <x v="6"/>
  </r>
  <r>
    <n v="54795531680"/>
    <n v="270"/>
    <x v="116"/>
    <m/>
    <x v="3"/>
    <x v="0"/>
  </r>
  <r>
    <n v="16698193936"/>
    <n v="303"/>
    <x v="116"/>
    <s v=""/>
    <x v="3"/>
    <x v="0"/>
  </r>
  <r>
    <n v="52354738727"/>
    <n v="323"/>
    <x v="116"/>
    <s v=""/>
    <x v="3"/>
    <x v="0"/>
  </r>
  <r>
    <n v="88574107202"/>
    <n v="337"/>
    <x v="116"/>
    <d v="2034-11-17T00:00:00"/>
    <x v="3"/>
    <x v="6"/>
  </r>
  <r>
    <n v="59680626668"/>
    <n v="340"/>
    <x v="116"/>
    <s v=""/>
    <x v="3"/>
    <x v="0"/>
  </r>
  <r>
    <n v="31037329170"/>
    <n v="15"/>
    <x v="117"/>
    <s v=""/>
    <x v="3"/>
    <x v="0"/>
  </r>
  <r>
    <n v="16045407722"/>
    <n v="19"/>
    <x v="117"/>
    <m/>
    <x v="3"/>
    <x v="0"/>
  </r>
  <r>
    <n v="37359281167"/>
    <n v="21"/>
    <x v="117"/>
    <s v=""/>
    <x v="3"/>
    <x v="0"/>
  </r>
  <r>
    <n v="34989698378"/>
    <n v="23"/>
    <x v="117"/>
    <m/>
    <x v="3"/>
    <x v="0"/>
  </r>
  <r>
    <n v="91366966663"/>
    <n v="26"/>
    <x v="117"/>
    <s v=""/>
    <x v="3"/>
    <x v="0"/>
  </r>
  <r>
    <n v="89594360363"/>
    <n v="26"/>
    <x v="117"/>
    <m/>
    <x v="3"/>
    <x v="0"/>
  </r>
  <r>
    <n v="36132448002"/>
    <n v="27"/>
    <x v="117"/>
    <s v=""/>
    <x v="3"/>
    <x v="0"/>
  </r>
  <r>
    <n v="27552242265"/>
    <n v="79"/>
    <x v="117"/>
    <m/>
    <x v="3"/>
    <x v="0"/>
  </r>
  <r>
    <n v="75328114468"/>
    <n v="89"/>
    <x v="117"/>
    <s v=""/>
    <x v="3"/>
    <x v="0"/>
  </r>
  <r>
    <n v="94163702049"/>
    <n v="98"/>
    <x v="117"/>
    <s v=""/>
    <x v="3"/>
    <x v="0"/>
  </r>
  <r>
    <n v="42185994758"/>
    <n v="115"/>
    <x v="117"/>
    <s v=""/>
    <x v="3"/>
    <x v="0"/>
  </r>
  <r>
    <n v="91427294128"/>
    <n v="121"/>
    <x v="117"/>
    <s v=""/>
    <x v="3"/>
    <x v="0"/>
  </r>
  <r>
    <n v="37150890980"/>
    <n v="143"/>
    <x v="117"/>
    <d v="2034-10-15T00:00:00"/>
    <x v="3"/>
    <x v="5"/>
  </r>
  <r>
    <n v="31939934139"/>
    <n v="155"/>
    <x v="117"/>
    <m/>
    <x v="3"/>
    <x v="0"/>
  </r>
  <r>
    <n v="66115728067"/>
    <n v="174"/>
    <x v="117"/>
    <m/>
    <x v="3"/>
    <x v="0"/>
  </r>
  <r>
    <n v="60351674853"/>
    <n v="177"/>
    <x v="117"/>
    <s v=""/>
    <x v="3"/>
    <x v="0"/>
  </r>
  <r>
    <n v="65448514086"/>
    <n v="194"/>
    <x v="117"/>
    <s v=""/>
    <x v="3"/>
    <x v="0"/>
  </r>
  <r>
    <n v="53877385465"/>
    <n v="195"/>
    <x v="117"/>
    <m/>
    <x v="3"/>
    <x v="0"/>
  </r>
  <r>
    <n v="75184308874"/>
    <n v="217"/>
    <x v="117"/>
    <m/>
    <x v="3"/>
    <x v="0"/>
  </r>
  <r>
    <n v="45654699695"/>
    <n v="220"/>
    <x v="117"/>
    <s v=""/>
    <x v="3"/>
    <x v="0"/>
  </r>
  <r>
    <n v="45179862753"/>
    <n v="224"/>
    <x v="117"/>
    <s v=""/>
    <x v="3"/>
    <x v="0"/>
  </r>
  <r>
    <n v="64741501300"/>
    <n v="225"/>
    <x v="117"/>
    <m/>
    <x v="3"/>
    <x v="0"/>
  </r>
  <r>
    <n v="66206688988"/>
    <n v="261"/>
    <x v="117"/>
    <s v=""/>
    <x v="3"/>
    <x v="0"/>
  </r>
  <r>
    <n v="50580101785"/>
    <n v="326"/>
    <x v="117"/>
    <s v=""/>
    <x v="3"/>
    <x v="0"/>
  </r>
  <r>
    <n v="51453379354"/>
    <n v="14"/>
    <x v="118"/>
    <m/>
    <x v="3"/>
    <x v="0"/>
  </r>
  <r>
    <n v="27961712542"/>
    <n v="44"/>
    <x v="118"/>
    <s v=""/>
    <x v="3"/>
    <x v="0"/>
  </r>
  <r>
    <n v="91774978561"/>
    <n v="81"/>
    <x v="118"/>
    <s v=""/>
    <x v="3"/>
    <x v="0"/>
  </r>
  <r>
    <n v="48670181442"/>
    <n v="144"/>
    <x v="118"/>
    <s v=""/>
    <x v="3"/>
    <x v="0"/>
  </r>
  <r>
    <n v="84819988969"/>
    <n v="149"/>
    <x v="118"/>
    <s v=""/>
    <x v="3"/>
    <x v="0"/>
  </r>
  <r>
    <n v="82126237810"/>
    <n v="150"/>
    <x v="118"/>
    <s v=""/>
    <x v="3"/>
    <x v="0"/>
  </r>
  <r>
    <n v="33011702970"/>
    <n v="165"/>
    <x v="118"/>
    <s v=""/>
    <x v="3"/>
    <x v="0"/>
  </r>
  <r>
    <n v="88575806029"/>
    <n v="177"/>
    <x v="118"/>
    <d v="2034-10-25T00:00:00"/>
    <x v="3"/>
    <x v="5"/>
  </r>
  <r>
    <n v="42274927191"/>
    <n v="178"/>
    <x v="118"/>
    <d v="2035-01-12T00:00:00"/>
    <x v="3"/>
    <x v="8"/>
  </r>
  <r>
    <n v="69843349057"/>
    <n v="188"/>
    <x v="118"/>
    <s v=""/>
    <x v="3"/>
    <x v="0"/>
  </r>
  <r>
    <n v="44979726175"/>
    <n v="190"/>
    <x v="118"/>
    <s v=""/>
    <x v="3"/>
    <x v="0"/>
  </r>
  <r>
    <n v="98799290180"/>
    <n v="250"/>
    <x v="118"/>
    <d v="2035-01-20T00:00:00"/>
    <x v="3"/>
    <x v="8"/>
  </r>
  <r>
    <n v="66127955426"/>
    <n v="277"/>
    <x v="118"/>
    <s v=""/>
    <x v="3"/>
    <x v="0"/>
  </r>
  <r>
    <n v="23371146990"/>
    <n v="279"/>
    <x v="118"/>
    <d v="2034-10-23T00:00:00"/>
    <x v="3"/>
    <x v="5"/>
  </r>
  <r>
    <n v="55454832640"/>
    <n v="279"/>
    <x v="118"/>
    <s v=""/>
    <x v="3"/>
    <x v="0"/>
  </r>
  <r>
    <n v="33373886699"/>
    <n v="296"/>
    <x v="118"/>
    <s v=""/>
    <x v="3"/>
    <x v="0"/>
  </r>
  <r>
    <n v="82858595487"/>
    <n v="299"/>
    <x v="118"/>
    <s v=""/>
    <x v="3"/>
    <x v="0"/>
  </r>
  <r>
    <n v="65489541317"/>
    <n v="333"/>
    <x v="118"/>
    <s v=""/>
    <x v="3"/>
    <x v="0"/>
  </r>
  <r>
    <n v="84486350696"/>
    <n v="7"/>
    <x v="119"/>
    <d v="2034-12-09T00:00:00"/>
    <x v="3"/>
    <x v="7"/>
  </r>
  <r>
    <n v="76082241743"/>
    <n v="9"/>
    <x v="119"/>
    <s v=""/>
    <x v="3"/>
    <x v="0"/>
  </r>
  <r>
    <n v="68447334639"/>
    <n v="18"/>
    <x v="119"/>
    <s v=""/>
    <x v="3"/>
    <x v="0"/>
  </r>
  <r>
    <n v="65716753048"/>
    <n v="21"/>
    <x v="119"/>
    <s v=""/>
    <x v="3"/>
    <x v="0"/>
  </r>
  <r>
    <n v="20088441224"/>
    <n v="23"/>
    <x v="119"/>
    <s v=""/>
    <x v="3"/>
    <x v="0"/>
  </r>
  <r>
    <n v="60351982988"/>
    <n v="29"/>
    <x v="119"/>
    <d v="2034-10-15T00:00:00"/>
    <x v="3"/>
    <x v="5"/>
  </r>
  <r>
    <n v="24362204197"/>
    <n v="57"/>
    <x v="119"/>
    <d v="2034-11-07T00:00:00"/>
    <x v="3"/>
    <x v="6"/>
  </r>
  <r>
    <n v="31874220377"/>
    <n v="81"/>
    <x v="119"/>
    <s v=""/>
    <x v="3"/>
    <x v="0"/>
  </r>
  <r>
    <n v="45049285307"/>
    <n v="86"/>
    <x v="119"/>
    <s v=""/>
    <x v="3"/>
    <x v="0"/>
  </r>
  <r>
    <n v="18327079432"/>
    <n v="88"/>
    <x v="119"/>
    <s v=""/>
    <x v="3"/>
    <x v="0"/>
  </r>
  <r>
    <n v="32912210785"/>
    <n v="96"/>
    <x v="119"/>
    <s v=""/>
    <x v="3"/>
    <x v="0"/>
  </r>
  <r>
    <n v="59995538251"/>
    <n v="97"/>
    <x v="119"/>
    <d v="2034-12-01T00:00:00"/>
    <x v="3"/>
    <x v="7"/>
  </r>
  <r>
    <n v="58187668003"/>
    <n v="109"/>
    <x v="119"/>
    <d v="2034-12-17T00:00:00"/>
    <x v="3"/>
    <x v="7"/>
  </r>
  <r>
    <n v="54153504772"/>
    <n v="112"/>
    <x v="119"/>
    <s v=""/>
    <x v="3"/>
    <x v="0"/>
  </r>
  <r>
    <n v="92610926962"/>
    <n v="123"/>
    <x v="119"/>
    <d v="2034-12-01T00:00:00"/>
    <x v="3"/>
    <x v="7"/>
  </r>
  <r>
    <n v="81091356532"/>
    <n v="142"/>
    <x v="119"/>
    <d v="2034-12-18T00:00:00"/>
    <x v="3"/>
    <x v="7"/>
  </r>
  <r>
    <n v="84337409319"/>
    <n v="147"/>
    <x v="119"/>
    <d v="2034-12-12T00:00:00"/>
    <x v="3"/>
    <x v="7"/>
  </r>
  <r>
    <n v="74216066700"/>
    <n v="168"/>
    <x v="119"/>
    <d v="2034-12-01T00:00:00"/>
    <x v="3"/>
    <x v="7"/>
  </r>
  <r>
    <n v="43758527633"/>
    <n v="183"/>
    <x v="119"/>
    <s v=""/>
    <x v="3"/>
    <x v="0"/>
  </r>
  <r>
    <n v="49451360558"/>
    <n v="252"/>
    <x v="119"/>
    <s v=""/>
    <x v="3"/>
    <x v="0"/>
  </r>
  <r>
    <n v="90817937463"/>
    <n v="261"/>
    <x v="119"/>
    <s v=""/>
    <x v="3"/>
    <x v="0"/>
  </r>
  <r>
    <n v="19622900639"/>
    <n v="299"/>
    <x v="119"/>
    <m/>
    <x v="3"/>
    <x v="0"/>
  </r>
  <r>
    <n v="54482356403"/>
    <n v="319"/>
    <x v="119"/>
    <s v=""/>
    <x v="3"/>
    <x v="0"/>
  </r>
  <r>
    <n v="61640327601"/>
    <n v="323"/>
    <x v="119"/>
    <s v=""/>
    <x v="3"/>
    <x v="0"/>
  </r>
  <r>
    <n v="69212806135"/>
    <n v="338"/>
    <x v="119"/>
    <s v=""/>
    <x v="3"/>
    <x v="0"/>
  </r>
  <r>
    <n v="28067257069"/>
    <n v="60"/>
    <x v="120"/>
    <m/>
    <x v="3"/>
    <x v="0"/>
  </r>
  <r>
    <n v="34284658184"/>
    <n v="67"/>
    <x v="120"/>
    <m/>
    <x v="3"/>
    <x v="0"/>
  </r>
  <r>
    <n v="47565690542"/>
    <n v="77"/>
    <x v="120"/>
    <d v="2034-12-07T00:00:00"/>
    <x v="3"/>
    <x v="7"/>
  </r>
  <r>
    <n v="75421384146"/>
    <n v="89"/>
    <x v="120"/>
    <d v="2034-11-24T00:00:00"/>
    <x v="3"/>
    <x v="6"/>
  </r>
  <r>
    <n v="36346301253"/>
    <n v="137"/>
    <x v="120"/>
    <s v=""/>
    <x v="3"/>
    <x v="0"/>
  </r>
  <r>
    <n v="58577217764"/>
    <n v="168"/>
    <x v="120"/>
    <s v=""/>
    <x v="3"/>
    <x v="0"/>
  </r>
  <r>
    <n v="65975997602"/>
    <n v="190"/>
    <x v="120"/>
    <s v=""/>
    <x v="3"/>
    <x v="0"/>
  </r>
  <r>
    <n v="77711612648"/>
    <n v="192"/>
    <x v="120"/>
    <m/>
    <x v="3"/>
    <x v="0"/>
  </r>
  <r>
    <n v="45966911405"/>
    <n v="225"/>
    <x v="120"/>
    <s v=""/>
    <x v="3"/>
    <x v="0"/>
  </r>
  <r>
    <n v="87785933971"/>
    <n v="231"/>
    <x v="120"/>
    <m/>
    <x v="3"/>
    <x v="0"/>
  </r>
  <r>
    <n v="57694420308"/>
    <n v="238"/>
    <x v="120"/>
    <s v=""/>
    <x v="3"/>
    <x v="0"/>
  </r>
  <r>
    <n v="18285494853"/>
    <n v="247"/>
    <x v="120"/>
    <s v=""/>
    <x v="3"/>
    <x v="0"/>
  </r>
  <r>
    <n v="22885403006"/>
    <n v="254"/>
    <x v="120"/>
    <d v="2034-12-29T00:00:00"/>
    <x v="3"/>
    <x v="7"/>
  </r>
  <r>
    <n v="31136056849"/>
    <n v="295"/>
    <x v="120"/>
    <s v=""/>
    <x v="3"/>
    <x v="0"/>
  </r>
  <r>
    <n v="28605600659"/>
    <n v="309"/>
    <x v="120"/>
    <m/>
    <x v="3"/>
    <x v="0"/>
  </r>
  <r>
    <n v="78067929214"/>
    <n v="318"/>
    <x v="120"/>
    <s v=""/>
    <x v="3"/>
    <x v="0"/>
  </r>
  <r>
    <n v="52355039646"/>
    <n v="335"/>
    <x v="120"/>
    <s v=""/>
    <x v="3"/>
    <x v="0"/>
  </r>
  <r>
    <n v="33791606558"/>
    <n v="16"/>
    <x v="121"/>
    <s v=""/>
    <x v="3"/>
    <x v="0"/>
  </r>
  <r>
    <n v="46973442612"/>
    <n v="23"/>
    <x v="121"/>
    <m/>
    <x v="3"/>
    <x v="0"/>
  </r>
  <r>
    <n v="18128439461"/>
    <n v="24"/>
    <x v="121"/>
    <m/>
    <x v="3"/>
    <x v="0"/>
  </r>
  <r>
    <n v="59821786991"/>
    <n v="26"/>
    <x v="121"/>
    <s v=""/>
    <x v="3"/>
    <x v="0"/>
  </r>
  <r>
    <n v="46448535308"/>
    <n v="26"/>
    <x v="121"/>
    <m/>
    <x v="3"/>
    <x v="0"/>
  </r>
  <r>
    <n v="56968658767"/>
    <n v="70"/>
    <x v="121"/>
    <s v=""/>
    <x v="3"/>
    <x v="0"/>
  </r>
  <r>
    <n v="78664396183"/>
    <n v="85"/>
    <x v="121"/>
    <d v="2035-01-17T00:00:00"/>
    <x v="3"/>
    <x v="8"/>
  </r>
  <r>
    <n v="95753349189"/>
    <n v="96"/>
    <x v="121"/>
    <s v=""/>
    <x v="3"/>
    <x v="0"/>
  </r>
  <r>
    <n v="61422132390"/>
    <n v="121"/>
    <x v="121"/>
    <s v=""/>
    <x v="3"/>
    <x v="0"/>
  </r>
  <r>
    <n v="65329630584"/>
    <n v="124"/>
    <x v="121"/>
    <d v="2035-01-21T00:00:00"/>
    <x v="3"/>
    <x v="8"/>
  </r>
  <r>
    <n v="95360883733"/>
    <n v="148"/>
    <x v="121"/>
    <s v=""/>
    <x v="3"/>
    <x v="0"/>
  </r>
  <r>
    <n v="17136211460"/>
    <n v="151"/>
    <x v="121"/>
    <d v="2035-01-24T00:00:00"/>
    <x v="3"/>
    <x v="8"/>
  </r>
  <r>
    <n v="52759659306"/>
    <n v="183"/>
    <x v="121"/>
    <m/>
    <x v="3"/>
    <x v="0"/>
  </r>
  <r>
    <n v="59719210584"/>
    <n v="207"/>
    <x v="121"/>
    <s v=""/>
    <x v="3"/>
    <x v="0"/>
  </r>
  <r>
    <n v="51081359511"/>
    <n v="238"/>
    <x v="121"/>
    <m/>
    <x v="3"/>
    <x v="0"/>
  </r>
  <r>
    <n v="40475278000"/>
    <n v="274"/>
    <x v="121"/>
    <d v="2034-12-31T00:00:00"/>
    <x v="3"/>
    <x v="7"/>
  </r>
  <r>
    <n v="16611832456"/>
    <n v="290"/>
    <x v="121"/>
    <s v=""/>
    <x v="3"/>
    <x v="0"/>
  </r>
  <r>
    <n v="57004518261"/>
    <n v="302"/>
    <x v="121"/>
    <s v=""/>
    <x v="3"/>
    <x v="0"/>
  </r>
  <r>
    <n v="92857212951"/>
    <n v="312"/>
    <x v="121"/>
    <d v="2034-10-22T00:00:00"/>
    <x v="3"/>
    <x v="5"/>
  </r>
  <r>
    <n v="85188640163"/>
    <n v="317"/>
    <x v="121"/>
    <m/>
    <x v="3"/>
    <x v="0"/>
  </r>
  <r>
    <n v="37913350962"/>
    <n v="320"/>
    <x v="121"/>
    <s v=""/>
    <x v="3"/>
    <x v="0"/>
  </r>
  <r>
    <n v="74745671375"/>
    <n v="340"/>
    <x v="121"/>
    <d v="2035-01-13T00:00:00"/>
    <x v="3"/>
    <x v="8"/>
  </r>
  <r>
    <n v="31685208410"/>
    <n v="41"/>
    <x v="122"/>
    <d v="2034-10-20T00:00:00"/>
    <x v="4"/>
    <x v="5"/>
  </r>
  <r>
    <n v="62080586561"/>
    <n v="48"/>
    <x v="122"/>
    <d v="2035-01-04T00:00:00"/>
    <x v="4"/>
    <x v="8"/>
  </r>
  <r>
    <n v="60333257748"/>
    <n v="65"/>
    <x v="122"/>
    <s v=""/>
    <x v="4"/>
    <x v="0"/>
  </r>
  <r>
    <n v="34135677104"/>
    <n v="69"/>
    <x v="122"/>
    <s v=""/>
    <x v="4"/>
    <x v="0"/>
  </r>
  <r>
    <n v="70266681790"/>
    <n v="81"/>
    <x v="122"/>
    <d v="2034-11-11T00:00:00"/>
    <x v="4"/>
    <x v="6"/>
  </r>
  <r>
    <n v="73161937694"/>
    <n v="97"/>
    <x v="122"/>
    <s v=""/>
    <x v="4"/>
    <x v="0"/>
  </r>
  <r>
    <n v="15049825238"/>
    <n v="111"/>
    <x v="122"/>
    <m/>
    <x v="4"/>
    <x v="0"/>
  </r>
  <r>
    <n v="65343017170"/>
    <n v="117"/>
    <x v="122"/>
    <s v=""/>
    <x v="4"/>
    <x v="0"/>
  </r>
  <r>
    <n v="92222289798"/>
    <n v="120"/>
    <x v="122"/>
    <s v=""/>
    <x v="4"/>
    <x v="0"/>
  </r>
  <r>
    <n v="36190466650"/>
    <n v="138"/>
    <x v="122"/>
    <s v=""/>
    <x v="4"/>
    <x v="0"/>
  </r>
  <r>
    <n v="79984531554"/>
    <n v="149"/>
    <x v="122"/>
    <m/>
    <x v="4"/>
    <x v="0"/>
  </r>
  <r>
    <n v="79034727071"/>
    <n v="161"/>
    <x v="122"/>
    <s v=""/>
    <x v="4"/>
    <x v="0"/>
  </r>
  <r>
    <n v="88904755265"/>
    <n v="164"/>
    <x v="122"/>
    <m/>
    <x v="4"/>
    <x v="0"/>
  </r>
  <r>
    <n v="68963250817"/>
    <n v="164"/>
    <x v="122"/>
    <s v=""/>
    <x v="4"/>
    <x v="0"/>
  </r>
  <r>
    <n v="54620541972"/>
    <n v="180"/>
    <x v="122"/>
    <m/>
    <x v="4"/>
    <x v="0"/>
  </r>
  <r>
    <n v="34975527403"/>
    <n v="288"/>
    <x v="122"/>
    <d v="2034-12-31T00:00:00"/>
    <x v="4"/>
    <x v="7"/>
  </r>
  <r>
    <n v="88985442349"/>
    <n v="297"/>
    <x v="122"/>
    <m/>
    <x v="4"/>
    <x v="0"/>
  </r>
  <r>
    <n v="70586292878"/>
    <n v="301"/>
    <x v="122"/>
    <s v=""/>
    <x v="4"/>
    <x v="0"/>
  </r>
  <r>
    <n v="29607532301"/>
    <n v="303"/>
    <x v="122"/>
    <s v=""/>
    <x v="4"/>
    <x v="0"/>
  </r>
  <r>
    <n v="81588566520"/>
    <n v="315"/>
    <x v="122"/>
    <s v=""/>
    <x v="4"/>
    <x v="0"/>
  </r>
  <r>
    <n v="74745934023"/>
    <n v="317"/>
    <x v="122"/>
    <s v=""/>
    <x v="4"/>
    <x v="0"/>
  </r>
  <r>
    <n v="78640464087"/>
    <n v="317"/>
    <x v="122"/>
    <d v="2035-01-16T00:00:00"/>
    <x v="4"/>
    <x v="8"/>
  </r>
  <r>
    <n v="60650446474"/>
    <n v="320"/>
    <x v="122"/>
    <d v="2034-12-11T00:00:00"/>
    <x v="4"/>
    <x v="7"/>
  </r>
  <r>
    <n v="36937495184"/>
    <n v="326"/>
    <x v="122"/>
    <s v=""/>
    <x v="4"/>
    <x v="0"/>
  </r>
  <r>
    <n v="64613616072"/>
    <n v="0"/>
    <x v="123"/>
    <d v="2034-11-20T00:00:00"/>
    <x v="4"/>
    <x v="6"/>
  </r>
  <r>
    <n v="34476946544"/>
    <n v="8"/>
    <x v="123"/>
    <s v=""/>
    <x v="4"/>
    <x v="0"/>
  </r>
  <r>
    <n v="34357081515"/>
    <n v="18"/>
    <x v="123"/>
    <d v="2035-01-17T00:00:00"/>
    <x v="4"/>
    <x v="8"/>
  </r>
  <r>
    <n v="59614889926"/>
    <n v="19"/>
    <x v="123"/>
    <m/>
    <x v="4"/>
    <x v="0"/>
  </r>
  <r>
    <n v="90556119079"/>
    <n v="33"/>
    <x v="123"/>
    <d v="2034-11-23T00:00:00"/>
    <x v="4"/>
    <x v="6"/>
  </r>
  <r>
    <n v="87537082431"/>
    <n v="43"/>
    <x v="123"/>
    <d v="2034-11-21T00:00:00"/>
    <x v="4"/>
    <x v="6"/>
  </r>
  <r>
    <n v="74787910243"/>
    <n v="49"/>
    <x v="123"/>
    <m/>
    <x v="4"/>
    <x v="0"/>
  </r>
  <r>
    <n v="64105522125"/>
    <n v="95"/>
    <x v="123"/>
    <d v="2035-01-05T00:00:00"/>
    <x v="4"/>
    <x v="8"/>
  </r>
  <r>
    <n v="65087052025"/>
    <n v="118"/>
    <x v="123"/>
    <s v=""/>
    <x v="4"/>
    <x v="0"/>
  </r>
  <r>
    <n v="57343594933"/>
    <n v="119"/>
    <x v="123"/>
    <s v=""/>
    <x v="4"/>
    <x v="0"/>
  </r>
  <r>
    <n v="63035551017"/>
    <n v="149"/>
    <x v="123"/>
    <d v="2034-12-06T00:00:00"/>
    <x v="4"/>
    <x v="7"/>
  </r>
  <r>
    <n v="81375624905"/>
    <n v="170"/>
    <x v="123"/>
    <s v=""/>
    <x v="4"/>
    <x v="0"/>
  </r>
  <r>
    <n v="70002133541"/>
    <n v="170"/>
    <x v="123"/>
    <d v="2034-12-22T00:00:00"/>
    <x v="4"/>
    <x v="7"/>
  </r>
  <r>
    <n v="15110517907"/>
    <n v="189"/>
    <x v="123"/>
    <s v=""/>
    <x v="4"/>
    <x v="0"/>
  </r>
  <r>
    <n v="82614362556"/>
    <n v="192"/>
    <x v="123"/>
    <s v=""/>
    <x v="4"/>
    <x v="0"/>
  </r>
  <r>
    <n v="90280762469"/>
    <n v="211"/>
    <x v="123"/>
    <s v=""/>
    <x v="4"/>
    <x v="0"/>
  </r>
  <r>
    <n v="89931160570"/>
    <n v="230"/>
    <x v="123"/>
    <s v=""/>
    <x v="4"/>
    <x v="0"/>
  </r>
  <r>
    <n v="82760802054"/>
    <n v="239"/>
    <x v="123"/>
    <m/>
    <x v="4"/>
    <x v="0"/>
  </r>
  <r>
    <n v="19065228033"/>
    <n v="267"/>
    <x v="123"/>
    <s v=""/>
    <x v="4"/>
    <x v="0"/>
  </r>
  <r>
    <n v="56935189482"/>
    <n v="308"/>
    <x v="123"/>
    <s v=""/>
    <x v="4"/>
    <x v="0"/>
  </r>
  <r>
    <n v="58796466481"/>
    <n v="324"/>
    <x v="123"/>
    <d v="2034-12-19T00:00:00"/>
    <x v="4"/>
    <x v="7"/>
  </r>
  <r>
    <n v="56352367597"/>
    <n v="325"/>
    <x v="123"/>
    <m/>
    <x v="4"/>
    <x v="0"/>
  </r>
  <r>
    <n v="96359961287"/>
    <n v="326"/>
    <x v="123"/>
    <s v=""/>
    <x v="4"/>
    <x v="0"/>
  </r>
  <r>
    <n v="72828981104"/>
    <n v="334"/>
    <x v="123"/>
    <s v=""/>
    <x v="4"/>
    <x v="0"/>
  </r>
  <r>
    <n v="80238258917"/>
    <n v="4"/>
    <x v="124"/>
    <d v="2035-01-01T00:00:00"/>
    <x v="4"/>
    <x v="8"/>
  </r>
  <r>
    <n v="56662805953"/>
    <n v="28"/>
    <x v="124"/>
    <m/>
    <x v="4"/>
    <x v="0"/>
  </r>
  <r>
    <n v="67570902592"/>
    <n v="64"/>
    <x v="124"/>
    <s v=""/>
    <x v="4"/>
    <x v="0"/>
  </r>
  <r>
    <n v="23680690339"/>
    <n v="98"/>
    <x v="124"/>
    <s v=""/>
    <x v="4"/>
    <x v="0"/>
  </r>
  <r>
    <n v="89643518465"/>
    <n v="99"/>
    <x v="124"/>
    <s v=""/>
    <x v="4"/>
    <x v="0"/>
  </r>
  <r>
    <n v="29482372589"/>
    <n v="122"/>
    <x v="124"/>
    <s v=""/>
    <x v="4"/>
    <x v="0"/>
  </r>
  <r>
    <n v="54176670207"/>
    <n v="127"/>
    <x v="124"/>
    <s v=""/>
    <x v="4"/>
    <x v="0"/>
  </r>
  <r>
    <n v="70209876982"/>
    <n v="129"/>
    <x v="124"/>
    <d v="2034-12-01T00:00:00"/>
    <x v="4"/>
    <x v="7"/>
  </r>
  <r>
    <n v="56922942366"/>
    <n v="131"/>
    <x v="124"/>
    <s v=""/>
    <x v="4"/>
    <x v="0"/>
  </r>
  <r>
    <n v="49090380769"/>
    <n v="162"/>
    <x v="124"/>
    <s v=""/>
    <x v="4"/>
    <x v="0"/>
  </r>
  <r>
    <n v="65885575518"/>
    <n v="191"/>
    <x v="124"/>
    <s v=""/>
    <x v="4"/>
    <x v="0"/>
  </r>
  <r>
    <n v="90864196169"/>
    <n v="193"/>
    <x v="124"/>
    <d v="2034-11-29T00:00:00"/>
    <x v="4"/>
    <x v="6"/>
  </r>
  <r>
    <n v="74062163234"/>
    <n v="205"/>
    <x v="124"/>
    <s v=""/>
    <x v="4"/>
    <x v="0"/>
  </r>
  <r>
    <n v="94201536105"/>
    <n v="228"/>
    <x v="124"/>
    <s v=""/>
    <x v="4"/>
    <x v="0"/>
  </r>
  <r>
    <n v="41433086614"/>
    <n v="228"/>
    <x v="124"/>
    <d v="2035-01-13T00:00:00"/>
    <x v="4"/>
    <x v="8"/>
  </r>
  <r>
    <n v="71194139658"/>
    <n v="235"/>
    <x v="124"/>
    <s v=""/>
    <x v="4"/>
    <x v="0"/>
  </r>
  <r>
    <n v="99946012111"/>
    <n v="293"/>
    <x v="124"/>
    <d v="2035-01-15T00:00:00"/>
    <x v="4"/>
    <x v="8"/>
  </r>
  <r>
    <n v="64497290028"/>
    <n v="325"/>
    <x v="124"/>
    <s v=""/>
    <x v="4"/>
    <x v="0"/>
  </r>
  <r>
    <n v="45958977953"/>
    <n v="336"/>
    <x v="124"/>
    <s v=""/>
    <x v="4"/>
    <x v="0"/>
  </r>
  <r>
    <n v="96602816744"/>
    <n v="340"/>
    <x v="124"/>
    <s v=""/>
    <x v="4"/>
    <x v="0"/>
  </r>
  <r>
    <n v="96397077767"/>
    <n v="4"/>
    <x v="125"/>
    <s v=""/>
    <x v="4"/>
    <x v="0"/>
  </r>
  <r>
    <n v="31904705093"/>
    <n v="6"/>
    <x v="125"/>
    <s v=""/>
    <x v="4"/>
    <x v="0"/>
  </r>
  <r>
    <n v="62839303478"/>
    <n v="14"/>
    <x v="125"/>
    <s v=""/>
    <x v="4"/>
    <x v="0"/>
  </r>
  <r>
    <n v="43644263831"/>
    <n v="20"/>
    <x v="125"/>
    <m/>
    <x v="4"/>
    <x v="0"/>
  </r>
  <r>
    <n v="34766189472"/>
    <n v="41"/>
    <x v="125"/>
    <s v=""/>
    <x v="4"/>
    <x v="0"/>
  </r>
  <r>
    <n v="51972542139"/>
    <n v="92"/>
    <x v="125"/>
    <s v=""/>
    <x v="4"/>
    <x v="0"/>
  </r>
  <r>
    <n v="59968263580"/>
    <n v="99"/>
    <x v="125"/>
    <s v=""/>
    <x v="4"/>
    <x v="0"/>
  </r>
  <r>
    <n v="86960727353"/>
    <n v="115"/>
    <x v="125"/>
    <d v="2035-01-26T00:00:00"/>
    <x v="4"/>
    <x v="8"/>
  </r>
  <r>
    <n v="87051335657"/>
    <n v="118"/>
    <x v="125"/>
    <d v="2035-01-26T00:00:00"/>
    <x v="4"/>
    <x v="8"/>
  </r>
  <r>
    <n v="35797581735"/>
    <n v="145"/>
    <x v="125"/>
    <m/>
    <x v="4"/>
    <x v="0"/>
  </r>
  <r>
    <n v="78857189707"/>
    <n v="163"/>
    <x v="125"/>
    <s v=""/>
    <x v="4"/>
    <x v="0"/>
  </r>
  <r>
    <n v="35244990534"/>
    <n v="167"/>
    <x v="125"/>
    <s v=""/>
    <x v="4"/>
    <x v="0"/>
  </r>
  <r>
    <n v="25391374490"/>
    <n v="177"/>
    <x v="125"/>
    <s v=""/>
    <x v="4"/>
    <x v="0"/>
  </r>
  <r>
    <n v="97872336105"/>
    <n v="195"/>
    <x v="125"/>
    <m/>
    <x v="4"/>
    <x v="0"/>
  </r>
  <r>
    <n v="58164605794"/>
    <n v="215"/>
    <x v="125"/>
    <s v=""/>
    <x v="4"/>
    <x v="0"/>
  </r>
  <r>
    <n v="57862725009"/>
    <n v="222"/>
    <x v="125"/>
    <s v=""/>
    <x v="4"/>
    <x v="0"/>
  </r>
  <r>
    <n v="22940870009"/>
    <n v="223"/>
    <x v="125"/>
    <s v=""/>
    <x v="4"/>
    <x v="0"/>
  </r>
  <r>
    <n v="84746570079"/>
    <n v="233"/>
    <x v="125"/>
    <d v="2034-11-28T00:00:00"/>
    <x v="4"/>
    <x v="6"/>
  </r>
  <r>
    <n v="33426858919"/>
    <n v="233"/>
    <x v="125"/>
    <s v=""/>
    <x v="4"/>
    <x v="0"/>
  </r>
  <r>
    <n v="51109963282"/>
    <n v="267"/>
    <x v="125"/>
    <m/>
    <x v="4"/>
    <x v="0"/>
  </r>
  <r>
    <n v="58212405077"/>
    <n v="0"/>
    <x v="126"/>
    <s v=""/>
    <x v="4"/>
    <x v="0"/>
  </r>
  <r>
    <n v="66448161871"/>
    <n v="2"/>
    <x v="126"/>
    <s v=""/>
    <x v="4"/>
    <x v="0"/>
  </r>
  <r>
    <n v="19727163711"/>
    <n v="76"/>
    <x v="126"/>
    <d v="2034-10-25T00:00:00"/>
    <x v="4"/>
    <x v="5"/>
  </r>
  <r>
    <n v="32417274520"/>
    <n v="116"/>
    <x v="126"/>
    <d v="2035-01-12T00:00:00"/>
    <x v="4"/>
    <x v="8"/>
  </r>
  <r>
    <n v="75506101587"/>
    <n v="153"/>
    <x v="126"/>
    <s v=""/>
    <x v="4"/>
    <x v="0"/>
  </r>
  <r>
    <n v="25371630028"/>
    <n v="164"/>
    <x v="126"/>
    <m/>
    <x v="4"/>
    <x v="0"/>
  </r>
  <r>
    <n v="28605671830"/>
    <n v="189"/>
    <x v="126"/>
    <s v=""/>
    <x v="4"/>
    <x v="0"/>
  </r>
  <r>
    <n v="93564386691"/>
    <n v="193"/>
    <x v="126"/>
    <s v=""/>
    <x v="4"/>
    <x v="0"/>
  </r>
  <r>
    <n v="25616960129"/>
    <n v="204"/>
    <x v="126"/>
    <m/>
    <x v="4"/>
    <x v="0"/>
  </r>
  <r>
    <n v="11144554065"/>
    <n v="204"/>
    <x v="126"/>
    <d v="2034-12-19T00:00:00"/>
    <x v="4"/>
    <x v="7"/>
  </r>
  <r>
    <n v="43603144545"/>
    <n v="209"/>
    <x v="126"/>
    <s v=""/>
    <x v="4"/>
    <x v="0"/>
  </r>
  <r>
    <n v="91193358546"/>
    <n v="212"/>
    <x v="126"/>
    <d v="2034-12-04T00:00:00"/>
    <x v="4"/>
    <x v="7"/>
  </r>
  <r>
    <n v="36139501955"/>
    <n v="254"/>
    <x v="126"/>
    <m/>
    <x v="4"/>
    <x v="0"/>
  </r>
  <r>
    <n v="14555969825"/>
    <n v="277"/>
    <x v="126"/>
    <d v="2034-12-10T00:00:00"/>
    <x v="4"/>
    <x v="7"/>
  </r>
  <r>
    <n v="59353316326"/>
    <n v="280"/>
    <x v="126"/>
    <d v="2034-11-12T00:00:00"/>
    <x v="4"/>
    <x v="6"/>
  </r>
  <r>
    <n v="41971205795"/>
    <n v="319"/>
    <x v="126"/>
    <d v="2034-11-02T00:00:00"/>
    <x v="4"/>
    <x v="6"/>
  </r>
  <r>
    <n v="46102833460"/>
    <n v="7"/>
    <x v="127"/>
    <m/>
    <x v="4"/>
    <x v="0"/>
  </r>
  <r>
    <n v="41586471581"/>
    <n v="22"/>
    <x v="127"/>
    <d v="2035-01-27T00:00:00"/>
    <x v="4"/>
    <x v="8"/>
  </r>
  <r>
    <n v="74658431822"/>
    <n v="36"/>
    <x v="127"/>
    <s v=""/>
    <x v="4"/>
    <x v="0"/>
  </r>
  <r>
    <n v="22966967367"/>
    <n v="37"/>
    <x v="127"/>
    <d v="2034-10-10T00:00:00"/>
    <x v="4"/>
    <x v="5"/>
  </r>
  <r>
    <n v="20827397657"/>
    <n v="38"/>
    <x v="127"/>
    <d v="2034-12-04T00:00:00"/>
    <x v="4"/>
    <x v="7"/>
  </r>
  <r>
    <n v="98516292889"/>
    <n v="55"/>
    <x v="127"/>
    <s v=""/>
    <x v="4"/>
    <x v="0"/>
  </r>
  <r>
    <n v="79521546734"/>
    <n v="68"/>
    <x v="127"/>
    <m/>
    <x v="4"/>
    <x v="0"/>
  </r>
  <r>
    <n v="93078833188"/>
    <n v="80"/>
    <x v="127"/>
    <s v=""/>
    <x v="4"/>
    <x v="0"/>
  </r>
  <r>
    <n v="49129927497"/>
    <n v="81"/>
    <x v="127"/>
    <s v=""/>
    <x v="4"/>
    <x v="0"/>
  </r>
  <r>
    <n v="60800299232"/>
    <n v="93"/>
    <x v="127"/>
    <s v=""/>
    <x v="4"/>
    <x v="0"/>
  </r>
  <r>
    <n v="74427240040"/>
    <n v="95"/>
    <x v="127"/>
    <m/>
    <x v="4"/>
    <x v="0"/>
  </r>
  <r>
    <n v="79786017157"/>
    <n v="117"/>
    <x v="127"/>
    <s v=""/>
    <x v="4"/>
    <x v="0"/>
  </r>
  <r>
    <n v="49832141580"/>
    <n v="117"/>
    <x v="127"/>
    <s v=""/>
    <x v="4"/>
    <x v="0"/>
  </r>
  <r>
    <n v="28942893593"/>
    <n v="149"/>
    <x v="127"/>
    <m/>
    <x v="4"/>
    <x v="0"/>
  </r>
  <r>
    <n v="84679727108"/>
    <n v="154"/>
    <x v="127"/>
    <s v=""/>
    <x v="4"/>
    <x v="0"/>
  </r>
  <r>
    <n v="33631181674"/>
    <n v="214"/>
    <x v="127"/>
    <s v=""/>
    <x v="4"/>
    <x v="0"/>
  </r>
  <r>
    <n v="61661110358"/>
    <n v="217"/>
    <x v="127"/>
    <s v=""/>
    <x v="4"/>
    <x v="0"/>
  </r>
  <r>
    <n v="59582244093"/>
    <n v="218"/>
    <x v="127"/>
    <s v=""/>
    <x v="4"/>
    <x v="0"/>
  </r>
  <r>
    <n v="58890378597"/>
    <n v="231"/>
    <x v="127"/>
    <s v=""/>
    <x v="4"/>
    <x v="0"/>
  </r>
  <r>
    <n v="86451688347"/>
    <n v="269"/>
    <x v="127"/>
    <s v=""/>
    <x v="4"/>
    <x v="0"/>
  </r>
  <r>
    <n v="29216232331"/>
    <n v="279"/>
    <x v="127"/>
    <d v="2034-12-02T00:00:00"/>
    <x v="4"/>
    <x v="7"/>
  </r>
  <r>
    <n v="87343011752"/>
    <n v="299"/>
    <x v="127"/>
    <s v=""/>
    <x v="4"/>
    <x v="0"/>
  </r>
  <r>
    <n v="25040747423"/>
    <n v="311"/>
    <x v="127"/>
    <s v=""/>
    <x v="4"/>
    <x v="0"/>
  </r>
  <r>
    <n v="66637482579"/>
    <n v="312"/>
    <x v="127"/>
    <d v="2034-10-26T00:00:00"/>
    <x v="4"/>
    <x v="5"/>
  </r>
  <r>
    <n v="94593918989"/>
    <n v="8"/>
    <x v="128"/>
    <m/>
    <x v="4"/>
    <x v="0"/>
  </r>
  <r>
    <n v="11897495697"/>
    <n v="33"/>
    <x v="128"/>
    <s v=""/>
    <x v="4"/>
    <x v="0"/>
  </r>
  <r>
    <n v="80320348378"/>
    <n v="41"/>
    <x v="128"/>
    <m/>
    <x v="4"/>
    <x v="0"/>
  </r>
  <r>
    <n v="74831319817"/>
    <n v="52"/>
    <x v="128"/>
    <m/>
    <x v="4"/>
    <x v="0"/>
  </r>
  <r>
    <n v="31176471490"/>
    <n v="61"/>
    <x v="128"/>
    <d v="2034-11-16T00:00:00"/>
    <x v="4"/>
    <x v="6"/>
  </r>
  <r>
    <n v="86447891542"/>
    <n v="72"/>
    <x v="128"/>
    <d v="2034-10-11T00:00:00"/>
    <x v="4"/>
    <x v="5"/>
  </r>
  <r>
    <n v="51391777055"/>
    <n v="85"/>
    <x v="128"/>
    <s v=""/>
    <x v="4"/>
    <x v="0"/>
  </r>
  <r>
    <n v="13223825461"/>
    <n v="88"/>
    <x v="128"/>
    <s v=""/>
    <x v="4"/>
    <x v="0"/>
  </r>
  <r>
    <n v="40580513983"/>
    <n v="98"/>
    <x v="128"/>
    <s v=""/>
    <x v="4"/>
    <x v="0"/>
  </r>
  <r>
    <n v="48810627404"/>
    <n v="138"/>
    <x v="128"/>
    <s v=""/>
    <x v="4"/>
    <x v="0"/>
  </r>
  <r>
    <n v="90777250296"/>
    <n v="140"/>
    <x v="128"/>
    <s v=""/>
    <x v="4"/>
    <x v="0"/>
  </r>
  <r>
    <n v="75056841591"/>
    <n v="147"/>
    <x v="128"/>
    <s v=""/>
    <x v="4"/>
    <x v="0"/>
  </r>
  <r>
    <n v="21415062027"/>
    <n v="174"/>
    <x v="128"/>
    <s v=""/>
    <x v="4"/>
    <x v="0"/>
  </r>
  <r>
    <n v="72672441699"/>
    <n v="203"/>
    <x v="128"/>
    <s v=""/>
    <x v="4"/>
    <x v="0"/>
  </r>
  <r>
    <n v="90565800713"/>
    <n v="233"/>
    <x v="128"/>
    <d v="2034-12-14T00:00:00"/>
    <x v="4"/>
    <x v="7"/>
  </r>
  <r>
    <n v="50749122838"/>
    <n v="248"/>
    <x v="128"/>
    <s v=""/>
    <x v="4"/>
    <x v="0"/>
  </r>
  <r>
    <n v="31425042917"/>
    <n v="289"/>
    <x v="128"/>
    <m/>
    <x v="4"/>
    <x v="0"/>
  </r>
  <r>
    <n v="86136469918"/>
    <n v="7"/>
    <x v="129"/>
    <s v=""/>
    <x v="4"/>
    <x v="0"/>
  </r>
  <r>
    <n v="58795463870"/>
    <n v="19"/>
    <x v="129"/>
    <m/>
    <x v="4"/>
    <x v="0"/>
  </r>
  <r>
    <n v="71595942425"/>
    <n v="30"/>
    <x v="129"/>
    <s v=""/>
    <x v="4"/>
    <x v="0"/>
  </r>
  <r>
    <n v="47677680747"/>
    <n v="68"/>
    <x v="129"/>
    <s v=""/>
    <x v="4"/>
    <x v="0"/>
  </r>
  <r>
    <n v="76458092751"/>
    <n v="105"/>
    <x v="129"/>
    <s v=""/>
    <x v="4"/>
    <x v="0"/>
  </r>
  <r>
    <n v="87880617033"/>
    <n v="106"/>
    <x v="129"/>
    <m/>
    <x v="4"/>
    <x v="0"/>
  </r>
  <r>
    <n v="74049587347"/>
    <n v="115"/>
    <x v="129"/>
    <s v=""/>
    <x v="4"/>
    <x v="0"/>
  </r>
  <r>
    <n v="14331031847"/>
    <n v="116"/>
    <x v="129"/>
    <s v=""/>
    <x v="4"/>
    <x v="0"/>
  </r>
  <r>
    <n v="65106722886"/>
    <n v="160"/>
    <x v="129"/>
    <s v=""/>
    <x v="4"/>
    <x v="0"/>
  </r>
  <r>
    <n v="79895244567"/>
    <n v="163"/>
    <x v="129"/>
    <s v=""/>
    <x v="4"/>
    <x v="0"/>
  </r>
  <r>
    <n v="54198738770"/>
    <n v="181"/>
    <x v="129"/>
    <s v=""/>
    <x v="4"/>
    <x v="0"/>
  </r>
  <r>
    <n v="23141217648"/>
    <n v="215"/>
    <x v="129"/>
    <d v="2034-12-26T00:00:00"/>
    <x v="4"/>
    <x v="7"/>
  </r>
  <r>
    <n v="20144024440"/>
    <n v="217"/>
    <x v="129"/>
    <m/>
    <x v="4"/>
    <x v="0"/>
  </r>
  <r>
    <n v="36728286918"/>
    <n v="240"/>
    <x v="129"/>
    <s v=""/>
    <x v="4"/>
    <x v="0"/>
  </r>
  <r>
    <n v="50007124650"/>
    <n v="303"/>
    <x v="129"/>
    <d v="2034-11-07T00:00:00"/>
    <x v="4"/>
    <x v="6"/>
  </r>
  <r>
    <n v="16066737671"/>
    <n v="339"/>
    <x v="129"/>
    <d v="2034-12-11T00:00:00"/>
    <x v="4"/>
    <x v="7"/>
  </r>
  <r>
    <n v="44106910953"/>
    <n v="12"/>
    <x v="130"/>
    <s v=""/>
    <x v="4"/>
    <x v="0"/>
  </r>
  <r>
    <n v="25665894533"/>
    <n v="31"/>
    <x v="130"/>
    <s v=""/>
    <x v="4"/>
    <x v="0"/>
  </r>
  <r>
    <n v="97108857956"/>
    <n v="39"/>
    <x v="130"/>
    <m/>
    <x v="4"/>
    <x v="0"/>
  </r>
  <r>
    <n v="24356434709"/>
    <n v="41"/>
    <x v="130"/>
    <s v=""/>
    <x v="4"/>
    <x v="0"/>
  </r>
  <r>
    <n v="43254775717"/>
    <n v="48"/>
    <x v="130"/>
    <d v="2034-11-17T00:00:00"/>
    <x v="4"/>
    <x v="6"/>
  </r>
  <r>
    <n v="47544028394"/>
    <n v="50"/>
    <x v="130"/>
    <s v=""/>
    <x v="4"/>
    <x v="0"/>
  </r>
  <r>
    <n v="39864884085"/>
    <n v="51"/>
    <x v="130"/>
    <s v=""/>
    <x v="4"/>
    <x v="0"/>
  </r>
  <r>
    <n v="83750227612"/>
    <n v="65"/>
    <x v="130"/>
    <s v=""/>
    <x v="4"/>
    <x v="0"/>
  </r>
  <r>
    <n v="27036753322"/>
    <n v="67"/>
    <x v="130"/>
    <s v=""/>
    <x v="4"/>
    <x v="0"/>
  </r>
  <r>
    <n v="40871778046"/>
    <n v="93"/>
    <x v="130"/>
    <d v="2034-12-01T00:00:00"/>
    <x v="4"/>
    <x v="7"/>
  </r>
  <r>
    <n v="30745938497"/>
    <n v="112"/>
    <x v="130"/>
    <s v=""/>
    <x v="4"/>
    <x v="0"/>
  </r>
  <r>
    <n v="27409862069"/>
    <n v="114"/>
    <x v="130"/>
    <d v="2034-10-15T00:00:00"/>
    <x v="4"/>
    <x v="5"/>
  </r>
  <r>
    <n v="70308603299"/>
    <n v="122"/>
    <x v="130"/>
    <s v=""/>
    <x v="4"/>
    <x v="0"/>
  </r>
  <r>
    <n v="44411226092"/>
    <n v="144"/>
    <x v="130"/>
    <s v=""/>
    <x v="4"/>
    <x v="0"/>
  </r>
  <r>
    <n v="37386085875"/>
    <n v="145"/>
    <x v="130"/>
    <s v=""/>
    <x v="4"/>
    <x v="0"/>
  </r>
  <r>
    <n v="55211319840"/>
    <n v="166"/>
    <x v="130"/>
    <m/>
    <x v="4"/>
    <x v="0"/>
  </r>
  <r>
    <n v="93563433498"/>
    <n v="176"/>
    <x v="130"/>
    <s v=""/>
    <x v="4"/>
    <x v="0"/>
  </r>
  <r>
    <n v="21860552912"/>
    <n v="178"/>
    <x v="130"/>
    <d v="2034-12-09T00:00:00"/>
    <x v="4"/>
    <x v="7"/>
  </r>
  <r>
    <n v="87391553579"/>
    <n v="180"/>
    <x v="130"/>
    <d v="2034-11-15T00:00:00"/>
    <x v="4"/>
    <x v="6"/>
  </r>
  <r>
    <n v="69639747325"/>
    <n v="221"/>
    <x v="130"/>
    <s v=""/>
    <x v="4"/>
    <x v="0"/>
  </r>
  <r>
    <n v="77189430694"/>
    <n v="228"/>
    <x v="130"/>
    <m/>
    <x v="4"/>
    <x v="0"/>
  </r>
  <r>
    <n v="20021576922"/>
    <n v="252"/>
    <x v="130"/>
    <s v=""/>
    <x v="4"/>
    <x v="0"/>
  </r>
  <r>
    <n v="51512481662"/>
    <n v="255"/>
    <x v="130"/>
    <d v="2034-12-05T00:00:00"/>
    <x v="4"/>
    <x v="7"/>
  </r>
  <r>
    <n v="71536634303"/>
    <n v="260"/>
    <x v="130"/>
    <s v=""/>
    <x v="4"/>
    <x v="0"/>
  </r>
  <r>
    <n v="48078126332"/>
    <n v="262"/>
    <x v="130"/>
    <d v="2034-10-18T00:00:00"/>
    <x v="4"/>
    <x v="5"/>
  </r>
  <r>
    <n v="26926238852"/>
    <n v="297"/>
    <x v="130"/>
    <s v=""/>
    <x v="4"/>
    <x v="0"/>
  </r>
  <r>
    <n v="90446906440"/>
    <n v="302"/>
    <x v="130"/>
    <s v=""/>
    <x v="4"/>
    <x v="0"/>
  </r>
  <r>
    <n v="21035935046"/>
    <n v="320"/>
    <x v="130"/>
    <d v="2035-01-21T00:00:00"/>
    <x v="4"/>
    <x v="8"/>
  </r>
  <r>
    <n v="34615488171"/>
    <n v="320"/>
    <x v="130"/>
    <s v=""/>
    <x v="4"/>
    <x v="0"/>
  </r>
  <r>
    <n v="23691049433"/>
    <n v="329"/>
    <x v="130"/>
    <d v="2034-12-27T00:00:00"/>
    <x v="4"/>
    <x v="7"/>
  </r>
  <r>
    <n v="31410562647"/>
    <n v="18"/>
    <x v="131"/>
    <s v=""/>
    <x v="4"/>
    <x v="0"/>
  </r>
  <r>
    <n v="28969603526"/>
    <n v="29"/>
    <x v="131"/>
    <s v=""/>
    <x v="4"/>
    <x v="0"/>
  </r>
  <r>
    <n v="14925807003"/>
    <n v="40"/>
    <x v="131"/>
    <s v=""/>
    <x v="4"/>
    <x v="0"/>
  </r>
  <r>
    <n v="33605788037"/>
    <n v="46"/>
    <x v="131"/>
    <d v="2034-10-10T00:00:00"/>
    <x v="4"/>
    <x v="5"/>
  </r>
  <r>
    <n v="71688057337"/>
    <n v="46"/>
    <x v="131"/>
    <s v=""/>
    <x v="4"/>
    <x v="0"/>
  </r>
  <r>
    <n v="74632620118"/>
    <n v="89"/>
    <x v="131"/>
    <s v=""/>
    <x v="4"/>
    <x v="0"/>
  </r>
  <r>
    <n v="51621813477"/>
    <n v="102"/>
    <x v="131"/>
    <s v=""/>
    <x v="4"/>
    <x v="0"/>
  </r>
  <r>
    <n v="96634616676"/>
    <n v="117"/>
    <x v="131"/>
    <m/>
    <x v="4"/>
    <x v="0"/>
  </r>
  <r>
    <n v="68368542215"/>
    <n v="144"/>
    <x v="131"/>
    <s v=""/>
    <x v="4"/>
    <x v="0"/>
  </r>
  <r>
    <n v="79055052921"/>
    <n v="154"/>
    <x v="131"/>
    <s v=""/>
    <x v="4"/>
    <x v="0"/>
  </r>
  <r>
    <n v="36179524148"/>
    <n v="160"/>
    <x v="131"/>
    <s v=""/>
    <x v="4"/>
    <x v="0"/>
  </r>
  <r>
    <n v="92526915938"/>
    <n v="164"/>
    <x v="131"/>
    <s v=""/>
    <x v="4"/>
    <x v="0"/>
  </r>
  <r>
    <n v="16625538314"/>
    <n v="171"/>
    <x v="131"/>
    <d v="2035-01-04T00:00:00"/>
    <x v="4"/>
    <x v="8"/>
  </r>
  <r>
    <n v="99359198495"/>
    <n v="185"/>
    <x v="131"/>
    <m/>
    <x v="4"/>
    <x v="0"/>
  </r>
  <r>
    <n v="93006068550"/>
    <n v="200"/>
    <x v="131"/>
    <s v=""/>
    <x v="4"/>
    <x v="0"/>
  </r>
  <r>
    <n v="13445478334"/>
    <n v="205"/>
    <x v="131"/>
    <s v=""/>
    <x v="4"/>
    <x v="0"/>
  </r>
  <r>
    <n v="70679123454"/>
    <n v="209"/>
    <x v="131"/>
    <d v="2035-01-02T00:00:00"/>
    <x v="4"/>
    <x v="8"/>
  </r>
  <r>
    <n v="62583239561"/>
    <n v="265"/>
    <x v="131"/>
    <m/>
    <x v="4"/>
    <x v="0"/>
  </r>
  <r>
    <n v="41536302426"/>
    <n v="274"/>
    <x v="131"/>
    <s v=""/>
    <x v="4"/>
    <x v="0"/>
  </r>
  <r>
    <n v="52635177378"/>
    <n v="282"/>
    <x v="131"/>
    <s v=""/>
    <x v="4"/>
    <x v="0"/>
  </r>
  <r>
    <n v="86860482500"/>
    <n v="284"/>
    <x v="131"/>
    <s v=""/>
    <x v="4"/>
    <x v="0"/>
  </r>
  <r>
    <n v="44352773184"/>
    <n v="311"/>
    <x v="131"/>
    <s v=""/>
    <x v="4"/>
    <x v="0"/>
  </r>
  <r>
    <n v="43532879102"/>
    <n v="329"/>
    <x v="131"/>
    <d v="2034-10-24T00:00:00"/>
    <x v="4"/>
    <x v="5"/>
  </r>
  <r>
    <n v="62779929114"/>
    <n v="21"/>
    <x v="132"/>
    <s v=""/>
    <x v="4"/>
    <x v="0"/>
  </r>
  <r>
    <n v="37797323079"/>
    <n v="29"/>
    <x v="132"/>
    <d v="2034-11-11T00:00:00"/>
    <x v="4"/>
    <x v="6"/>
  </r>
  <r>
    <n v="40099259381"/>
    <n v="31"/>
    <x v="132"/>
    <s v=""/>
    <x v="4"/>
    <x v="0"/>
  </r>
  <r>
    <n v="15058577605"/>
    <n v="32"/>
    <x v="132"/>
    <d v="2034-12-14T00:00:00"/>
    <x v="4"/>
    <x v="7"/>
  </r>
  <r>
    <n v="25119732224"/>
    <n v="43"/>
    <x v="132"/>
    <m/>
    <x v="4"/>
    <x v="0"/>
  </r>
  <r>
    <n v="75653297379"/>
    <n v="49"/>
    <x v="132"/>
    <s v=""/>
    <x v="4"/>
    <x v="0"/>
  </r>
  <r>
    <n v="92566776811"/>
    <n v="81"/>
    <x v="132"/>
    <s v=""/>
    <x v="4"/>
    <x v="0"/>
  </r>
  <r>
    <n v="16576654291"/>
    <n v="81"/>
    <x v="132"/>
    <s v=""/>
    <x v="4"/>
    <x v="0"/>
  </r>
  <r>
    <n v="40688857320"/>
    <n v="90"/>
    <x v="132"/>
    <s v=""/>
    <x v="4"/>
    <x v="0"/>
  </r>
  <r>
    <n v="24862214464"/>
    <n v="91"/>
    <x v="132"/>
    <d v="2034-11-01T00:00:00"/>
    <x v="4"/>
    <x v="6"/>
  </r>
  <r>
    <n v="52538018985"/>
    <n v="106"/>
    <x v="132"/>
    <d v="2034-12-27T00:00:00"/>
    <x v="4"/>
    <x v="7"/>
  </r>
  <r>
    <n v="94766264668"/>
    <n v="109"/>
    <x v="132"/>
    <s v=""/>
    <x v="4"/>
    <x v="0"/>
  </r>
  <r>
    <n v="66833483124"/>
    <n v="124"/>
    <x v="132"/>
    <s v=""/>
    <x v="4"/>
    <x v="0"/>
  </r>
  <r>
    <n v="41516605694"/>
    <n v="150"/>
    <x v="132"/>
    <s v=""/>
    <x v="4"/>
    <x v="0"/>
  </r>
  <r>
    <n v="33520458604"/>
    <n v="156"/>
    <x v="132"/>
    <s v=""/>
    <x v="4"/>
    <x v="0"/>
  </r>
  <r>
    <n v="65433031435"/>
    <n v="168"/>
    <x v="132"/>
    <s v=""/>
    <x v="4"/>
    <x v="0"/>
  </r>
  <r>
    <n v="64058772297"/>
    <n v="199"/>
    <x v="132"/>
    <s v=""/>
    <x v="4"/>
    <x v="0"/>
  </r>
  <r>
    <n v="40005211493"/>
    <n v="245"/>
    <x v="132"/>
    <s v=""/>
    <x v="4"/>
    <x v="0"/>
  </r>
  <r>
    <n v="28046858563"/>
    <n v="248"/>
    <x v="132"/>
    <m/>
    <x v="4"/>
    <x v="0"/>
  </r>
  <r>
    <n v="48416069678"/>
    <n v="252"/>
    <x v="132"/>
    <m/>
    <x v="4"/>
    <x v="0"/>
  </r>
  <r>
    <n v="95101372104"/>
    <n v="279"/>
    <x v="132"/>
    <m/>
    <x v="4"/>
    <x v="0"/>
  </r>
  <r>
    <n v="27100417672"/>
    <n v="291"/>
    <x v="132"/>
    <m/>
    <x v="4"/>
    <x v="0"/>
  </r>
  <r>
    <n v="20466245223"/>
    <n v="313"/>
    <x v="132"/>
    <m/>
    <x v="4"/>
    <x v="0"/>
  </r>
  <r>
    <n v="15307008156"/>
    <n v="325"/>
    <x v="132"/>
    <s v=""/>
    <x v="4"/>
    <x v="0"/>
  </r>
  <r>
    <n v="58405356246"/>
    <n v="332"/>
    <x v="132"/>
    <m/>
    <x v="4"/>
    <x v="0"/>
  </r>
  <r>
    <n v="88588566135"/>
    <n v="332"/>
    <x v="132"/>
    <s v=""/>
    <x v="4"/>
    <x v="0"/>
  </r>
  <r>
    <n v="29411392579"/>
    <n v="25"/>
    <x v="133"/>
    <d v="2035-01-02T00:00:00"/>
    <x v="4"/>
    <x v="8"/>
  </r>
  <r>
    <n v="42667366004"/>
    <n v="28"/>
    <x v="133"/>
    <s v=""/>
    <x v="4"/>
    <x v="0"/>
  </r>
  <r>
    <n v="93204023853"/>
    <n v="44"/>
    <x v="133"/>
    <s v=""/>
    <x v="4"/>
    <x v="0"/>
  </r>
  <r>
    <n v="86756498592"/>
    <n v="82"/>
    <x v="133"/>
    <s v=""/>
    <x v="4"/>
    <x v="0"/>
  </r>
  <r>
    <n v="19856614618"/>
    <n v="131"/>
    <x v="133"/>
    <m/>
    <x v="4"/>
    <x v="0"/>
  </r>
  <r>
    <n v="36161112010"/>
    <n v="160"/>
    <x v="133"/>
    <s v=""/>
    <x v="4"/>
    <x v="0"/>
  </r>
  <r>
    <n v="69495201538"/>
    <n v="167"/>
    <x v="133"/>
    <d v="2034-12-24T00:00:00"/>
    <x v="4"/>
    <x v="7"/>
  </r>
  <r>
    <n v="50794265374"/>
    <n v="177"/>
    <x v="133"/>
    <d v="2034-11-13T00:00:00"/>
    <x v="4"/>
    <x v="6"/>
  </r>
  <r>
    <n v="66098573839"/>
    <n v="231"/>
    <x v="133"/>
    <s v=""/>
    <x v="4"/>
    <x v="0"/>
  </r>
  <r>
    <n v="96637054906"/>
    <n v="278"/>
    <x v="133"/>
    <s v=""/>
    <x v="4"/>
    <x v="0"/>
  </r>
  <r>
    <n v="76840970907"/>
    <n v="290"/>
    <x v="133"/>
    <s v=""/>
    <x v="4"/>
    <x v="0"/>
  </r>
  <r>
    <n v="85411068791"/>
    <n v="296"/>
    <x v="133"/>
    <d v="2034-11-09T00:00:00"/>
    <x v="4"/>
    <x v="6"/>
  </r>
  <r>
    <n v="68806307965"/>
    <n v="334"/>
    <x v="133"/>
    <s v=""/>
    <x v="4"/>
    <x v="0"/>
  </r>
  <r>
    <n v="60069029869"/>
    <n v="1"/>
    <x v="134"/>
    <s v=""/>
    <x v="4"/>
    <x v="0"/>
  </r>
  <r>
    <n v="52232693743"/>
    <n v="31"/>
    <x v="134"/>
    <s v=""/>
    <x v="4"/>
    <x v="0"/>
  </r>
  <r>
    <n v="63003601450"/>
    <n v="61"/>
    <x v="134"/>
    <s v=""/>
    <x v="4"/>
    <x v="0"/>
  </r>
  <r>
    <n v="83382220861"/>
    <n v="82"/>
    <x v="134"/>
    <m/>
    <x v="4"/>
    <x v="0"/>
  </r>
  <r>
    <n v="61142601709"/>
    <n v="148"/>
    <x v="134"/>
    <s v=""/>
    <x v="4"/>
    <x v="0"/>
  </r>
  <r>
    <n v="17664552451"/>
    <n v="149"/>
    <x v="134"/>
    <d v="2034-12-08T00:00:00"/>
    <x v="4"/>
    <x v="7"/>
  </r>
  <r>
    <n v="16982415176"/>
    <n v="189"/>
    <x v="134"/>
    <s v=""/>
    <x v="4"/>
    <x v="0"/>
  </r>
  <r>
    <n v="76312336091"/>
    <n v="204"/>
    <x v="134"/>
    <s v=""/>
    <x v="4"/>
    <x v="0"/>
  </r>
  <r>
    <n v="98914448315"/>
    <n v="231"/>
    <x v="134"/>
    <s v=""/>
    <x v="4"/>
    <x v="0"/>
  </r>
  <r>
    <n v="17121639406"/>
    <n v="238"/>
    <x v="134"/>
    <s v=""/>
    <x v="4"/>
    <x v="0"/>
  </r>
  <r>
    <n v="63635585564"/>
    <n v="245"/>
    <x v="134"/>
    <m/>
    <x v="4"/>
    <x v="0"/>
  </r>
  <r>
    <n v="42340908132"/>
    <n v="262"/>
    <x v="134"/>
    <d v="2035-01-21T00:00:00"/>
    <x v="4"/>
    <x v="8"/>
  </r>
  <r>
    <n v="42513896670"/>
    <n v="272"/>
    <x v="134"/>
    <s v=""/>
    <x v="4"/>
    <x v="0"/>
  </r>
  <r>
    <n v="68567693018"/>
    <n v="288"/>
    <x v="134"/>
    <d v="2034-10-23T00:00:00"/>
    <x v="4"/>
    <x v="5"/>
  </r>
  <r>
    <n v="62111650885"/>
    <n v="301"/>
    <x v="134"/>
    <s v=""/>
    <x v="4"/>
    <x v="0"/>
  </r>
  <r>
    <n v="43115645788"/>
    <n v="313"/>
    <x v="134"/>
    <s v=""/>
    <x v="4"/>
    <x v="0"/>
  </r>
  <r>
    <n v="96833230884"/>
    <n v="318"/>
    <x v="134"/>
    <s v=""/>
    <x v="4"/>
    <x v="0"/>
  </r>
  <r>
    <n v="94591728946"/>
    <n v="335"/>
    <x v="134"/>
    <m/>
    <x v="4"/>
    <x v="0"/>
  </r>
  <r>
    <n v="11415186808"/>
    <n v="12"/>
    <x v="135"/>
    <s v=""/>
    <x v="4"/>
    <x v="0"/>
  </r>
  <r>
    <n v="55474553061"/>
    <n v="22"/>
    <x v="135"/>
    <s v=""/>
    <x v="4"/>
    <x v="0"/>
  </r>
  <r>
    <n v="19459187675"/>
    <n v="39"/>
    <x v="135"/>
    <s v=""/>
    <x v="4"/>
    <x v="0"/>
  </r>
  <r>
    <n v="45498256651"/>
    <n v="62"/>
    <x v="135"/>
    <s v=""/>
    <x v="4"/>
    <x v="0"/>
  </r>
  <r>
    <n v="36993499368"/>
    <n v="75"/>
    <x v="135"/>
    <s v=""/>
    <x v="4"/>
    <x v="0"/>
  </r>
  <r>
    <n v="92968245126"/>
    <n v="108"/>
    <x v="135"/>
    <s v=""/>
    <x v="4"/>
    <x v="0"/>
  </r>
  <r>
    <n v="29895280582"/>
    <n v="129"/>
    <x v="135"/>
    <s v=""/>
    <x v="4"/>
    <x v="0"/>
  </r>
  <r>
    <n v="97946472607"/>
    <n v="142"/>
    <x v="135"/>
    <s v=""/>
    <x v="4"/>
    <x v="0"/>
  </r>
  <r>
    <n v="75181799567"/>
    <n v="150"/>
    <x v="135"/>
    <s v=""/>
    <x v="4"/>
    <x v="0"/>
  </r>
  <r>
    <n v="17123052084"/>
    <n v="194"/>
    <x v="135"/>
    <m/>
    <x v="4"/>
    <x v="0"/>
  </r>
  <r>
    <n v="86347489945"/>
    <n v="215"/>
    <x v="135"/>
    <s v=""/>
    <x v="4"/>
    <x v="0"/>
  </r>
  <r>
    <n v="24186569609"/>
    <n v="258"/>
    <x v="135"/>
    <m/>
    <x v="4"/>
    <x v="0"/>
  </r>
  <r>
    <n v="13092584883"/>
    <n v="290"/>
    <x v="135"/>
    <s v=""/>
    <x v="4"/>
    <x v="0"/>
  </r>
  <r>
    <n v="52788969933"/>
    <n v="294"/>
    <x v="135"/>
    <s v=""/>
    <x v="4"/>
    <x v="0"/>
  </r>
  <r>
    <n v="61995961058"/>
    <n v="311"/>
    <x v="135"/>
    <s v=""/>
    <x v="4"/>
    <x v="0"/>
  </r>
  <r>
    <n v="71768216741"/>
    <n v="327"/>
    <x v="135"/>
    <d v="2034-10-27T00:00:00"/>
    <x v="4"/>
    <x v="5"/>
  </r>
  <r>
    <n v="91720121024"/>
    <n v="329"/>
    <x v="135"/>
    <s v=""/>
    <x v="4"/>
    <x v="0"/>
  </r>
  <r>
    <n v="77566372468"/>
    <n v="329"/>
    <x v="135"/>
    <d v="2034-11-06T00:00:00"/>
    <x v="4"/>
    <x v="6"/>
  </r>
  <r>
    <n v="13453079334"/>
    <n v="306"/>
    <x v="136"/>
    <s v=""/>
    <x v="4"/>
    <x v="0"/>
  </r>
  <r>
    <n v="42855520870"/>
    <n v="27"/>
    <x v="136"/>
    <s v=""/>
    <x v="4"/>
    <x v="0"/>
  </r>
  <r>
    <n v="55457283399"/>
    <n v="179"/>
    <x v="136"/>
    <m/>
    <x v="4"/>
    <x v="0"/>
  </r>
  <r>
    <n v="20536817726"/>
    <n v="159"/>
    <x v="136"/>
    <s v=""/>
    <x v="4"/>
    <x v="0"/>
  </r>
  <r>
    <n v="37840313820"/>
    <n v="339"/>
    <x v="136"/>
    <s v=""/>
    <x v="4"/>
    <x v="0"/>
  </r>
  <r>
    <n v="13628478945"/>
    <n v="157"/>
    <x v="136"/>
    <d v="2034-11-27T00:00:00"/>
    <x v="4"/>
    <x v="6"/>
  </r>
  <r>
    <n v="74169981035"/>
    <n v="65"/>
    <x v="136"/>
    <s v=""/>
    <x v="4"/>
    <x v="0"/>
  </r>
  <r>
    <n v="18052041752"/>
    <n v="265"/>
    <x v="136"/>
    <s v=""/>
    <x v="4"/>
    <x v="0"/>
  </r>
  <r>
    <n v="65805999143"/>
    <n v="178"/>
    <x v="136"/>
    <s v=""/>
    <x v="4"/>
    <x v="0"/>
  </r>
  <r>
    <n v="63241376235"/>
    <n v="209"/>
    <x v="136"/>
    <m/>
    <x v="4"/>
    <x v="0"/>
  </r>
  <r>
    <n v="50936995604"/>
    <n v="246"/>
    <x v="136"/>
    <m/>
    <x v="4"/>
    <x v="0"/>
  </r>
  <r>
    <n v="62036852165"/>
    <n v="89"/>
    <x v="136"/>
    <s v=""/>
    <x v="4"/>
    <x v="0"/>
  </r>
  <r>
    <n v="72348957585"/>
    <n v="46"/>
    <x v="136"/>
    <s v=""/>
    <x v="4"/>
    <x v="0"/>
  </r>
  <r>
    <n v="17837476240"/>
    <n v="310"/>
    <x v="136"/>
    <m/>
    <x v="4"/>
    <x v="0"/>
  </r>
  <r>
    <n v="46439770924"/>
    <n v="114"/>
    <x v="136"/>
    <s v=""/>
    <x v="4"/>
    <x v="0"/>
  </r>
  <r>
    <n v="34610749149"/>
    <n v="76"/>
    <x v="136"/>
    <m/>
    <x v="4"/>
    <x v="0"/>
  </r>
  <r>
    <n v="99429620556"/>
    <n v="250"/>
    <x v="136"/>
    <s v=""/>
    <x v="4"/>
    <x v="0"/>
  </r>
  <r>
    <n v="88538480487"/>
    <n v="183"/>
    <x v="136"/>
    <s v=""/>
    <x v="4"/>
    <x v="0"/>
  </r>
  <r>
    <n v="87197257661"/>
    <n v="144"/>
    <x v="136"/>
    <s v=""/>
    <x v="4"/>
    <x v="0"/>
  </r>
  <r>
    <n v="11160555213"/>
    <n v="117"/>
    <x v="136"/>
    <s v=""/>
    <x v="4"/>
    <x v="0"/>
  </r>
  <r>
    <n v="33376946469"/>
    <n v="153"/>
    <x v="136"/>
    <d v="2035-01-25T00:00:00"/>
    <x v="4"/>
    <x v="8"/>
  </r>
  <r>
    <n v="29179365554"/>
    <n v="128"/>
    <x v="136"/>
    <s v=""/>
    <x v="4"/>
    <x v="0"/>
  </r>
  <r>
    <n v="22532950744"/>
    <n v="250"/>
    <x v="136"/>
    <d v="2035-01-08T00:00:00"/>
    <x v="4"/>
    <x v="8"/>
  </r>
  <r>
    <n v="83304023388"/>
    <n v="121"/>
    <x v="137"/>
    <d v="2034-12-07T00:00:00"/>
    <x v="4"/>
    <x v="7"/>
  </r>
  <r>
    <n v="28983658054"/>
    <n v="135"/>
    <x v="137"/>
    <s v=""/>
    <x v="4"/>
    <x v="0"/>
  </r>
  <r>
    <n v="14819774718"/>
    <n v="94"/>
    <x v="137"/>
    <s v=""/>
    <x v="4"/>
    <x v="0"/>
  </r>
  <r>
    <n v="32691793896"/>
    <n v="160"/>
    <x v="137"/>
    <d v="2034-12-25T00:00:00"/>
    <x v="4"/>
    <x v="7"/>
  </r>
  <r>
    <n v="42938286718"/>
    <n v="292"/>
    <x v="137"/>
    <s v=""/>
    <x v="4"/>
    <x v="0"/>
  </r>
  <r>
    <n v="94351823456"/>
    <n v="251"/>
    <x v="137"/>
    <s v=""/>
    <x v="4"/>
    <x v="0"/>
  </r>
  <r>
    <n v="92164001879"/>
    <n v="190"/>
    <x v="137"/>
    <s v=""/>
    <x v="4"/>
    <x v="0"/>
  </r>
  <r>
    <n v="74470028044"/>
    <n v="335"/>
    <x v="137"/>
    <s v=""/>
    <x v="4"/>
    <x v="0"/>
  </r>
  <r>
    <n v="19477121714"/>
    <n v="199"/>
    <x v="137"/>
    <d v="2035-01-28T00:00:00"/>
    <x v="4"/>
    <x v="8"/>
  </r>
  <r>
    <n v="19990498868"/>
    <n v="107"/>
    <x v="137"/>
    <s v=""/>
    <x v="4"/>
    <x v="0"/>
  </r>
  <r>
    <n v="97173082361"/>
    <n v="136"/>
    <x v="137"/>
    <s v=""/>
    <x v="4"/>
    <x v="0"/>
  </r>
  <r>
    <n v="57666317754"/>
    <n v="92"/>
    <x v="137"/>
    <s v=""/>
    <x v="4"/>
    <x v="0"/>
  </r>
  <r>
    <n v="32691448426"/>
    <n v="242"/>
    <x v="137"/>
    <s v=""/>
    <x v="4"/>
    <x v="0"/>
  </r>
  <r>
    <n v="47962389995"/>
    <n v="232"/>
    <x v="137"/>
    <s v=""/>
    <x v="4"/>
    <x v="0"/>
  </r>
  <r>
    <n v="40105071944"/>
    <n v="260"/>
    <x v="137"/>
    <d v="2034-12-05T00:00:00"/>
    <x v="4"/>
    <x v="7"/>
  </r>
  <r>
    <n v="11887613606"/>
    <n v="137"/>
    <x v="137"/>
    <m/>
    <x v="4"/>
    <x v="0"/>
  </r>
  <r>
    <n v="20244041829"/>
    <n v="104"/>
    <x v="137"/>
    <m/>
    <x v="4"/>
    <x v="0"/>
  </r>
  <r>
    <n v="24733287026"/>
    <n v="165"/>
    <x v="137"/>
    <s v=""/>
    <x v="4"/>
    <x v="0"/>
  </r>
  <r>
    <n v="56914449332"/>
    <n v="147"/>
    <x v="137"/>
    <s v=""/>
    <x v="4"/>
    <x v="0"/>
  </r>
  <r>
    <n v="68552710853"/>
    <n v="337"/>
    <x v="137"/>
    <d v="2034-10-31T00:00:00"/>
    <x v="4"/>
    <x v="5"/>
  </r>
  <r>
    <n v="59483737879"/>
    <n v="278"/>
    <x v="137"/>
    <s v=""/>
    <x v="4"/>
    <x v="0"/>
  </r>
  <r>
    <n v="73977769502"/>
    <n v="3"/>
    <x v="137"/>
    <s v=""/>
    <x v="4"/>
    <x v="0"/>
  </r>
  <r>
    <n v="22012311760"/>
    <n v="19"/>
    <x v="137"/>
    <s v=""/>
    <x v="4"/>
    <x v="0"/>
  </r>
  <r>
    <n v="96730647720"/>
    <n v="136"/>
    <x v="137"/>
    <m/>
    <x v="4"/>
    <x v="0"/>
  </r>
  <r>
    <n v="68994626326"/>
    <n v="239"/>
    <x v="137"/>
    <d v="2034-11-13T00:00:00"/>
    <x v="4"/>
    <x v="6"/>
  </r>
  <r>
    <n v="11777449302"/>
    <n v="297"/>
    <x v="137"/>
    <s v=""/>
    <x v="4"/>
    <x v="0"/>
  </r>
  <r>
    <n v="72774379337"/>
    <n v="134"/>
    <x v="137"/>
    <s v=""/>
    <x v="4"/>
    <x v="0"/>
  </r>
  <r>
    <n v="51648883053"/>
    <n v="113"/>
    <x v="138"/>
    <m/>
    <x v="4"/>
    <x v="0"/>
  </r>
  <r>
    <n v="15156796452"/>
    <n v="224"/>
    <x v="138"/>
    <m/>
    <x v="4"/>
    <x v="0"/>
  </r>
  <r>
    <n v="64444237841"/>
    <n v="317"/>
    <x v="138"/>
    <m/>
    <x v="4"/>
    <x v="0"/>
  </r>
  <r>
    <n v="92756488592"/>
    <n v="77"/>
    <x v="138"/>
    <d v="2035-01-12T00:00:00"/>
    <x v="4"/>
    <x v="8"/>
  </r>
  <r>
    <n v="69484135219"/>
    <n v="335"/>
    <x v="138"/>
    <s v=""/>
    <x v="4"/>
    <x v="0"/>
  </r>
  <r>
    <n v="73058716315"/>
    <n v="13"/>
    <x v="138"/>
    <s v=""/>
    <x v="4"/>
    <x v="0"/>
  </r>
  <r>
    <n v="24679266365"/>
    <n v="243"/>
    <x v="138"/>
    <s v=""/>
    <x v="4"/>
    <x v="0"/>
  </r>
  <r>
    <n v="90194040157"/>
    <n v="30"/>
    <x v="138"/>
    <s v=""/>
    <x v="4"/>
    <x v="0"/>
  </r>
  <r>
    <n v="11716189361"/>
    <n v="127"/>
    <x v="138"/>
    <m/>
    <x v="4"/>
    <x v="0"/>
  </r>
  <r>
    <n v="65165123604"/>
    <n v="192"/>
    <x v="138"/>
    <s v=""/>
    <x v="4"/>
    <x v="0"/>
  </r>
  <r>
    <n v="70179608330"/>
    <n v="30"/>
    <x v="138"/>
    <s v=""/>
    <x v="4"/>
    <x v="0"/>
  </r>
  <r>
    <n v="94251904334"/>
    <n v="225"/>
    <x v="138"/>
    <s v=""/>
    <x v="4"/>
    <x v="0"/>
  </r>
  <r>
    <n v="57984517383"/>
    <n v="122"/>
    <x v="138"/>
    <s v=""/>
    <x v="4"/>
    <x v="0"/>
  </r>
  <r>
    <n v="44779636300"/>
    <n v="14"/>
    <x v="138"/>
    <s v=""/>
    <x v="4"/>
    <x v="0"/>
  </r>
  <r>
    <n v="48379034212"/>
    <n v="179"/>
    <x v="138"/>
    <s v=""/>
    <x v="4"/>
    <x v="0"/>
  </r>
  <r>
    <n v="76869652577"/>
    <n v="176"/>
    <x v="138"/>
    <s v=""/>
    <x v="4"/>
    <x v="0"/>
  </r>
  <r>
    <n v="17836437233"/>
    <n v="327"/>
    <x v="138"/>
    <s v=""/>
    <x v="4"/>
    <x v="0"/>
  </r>
  <r>
    <n v="36703119378"/>
    <n v="54"/>
    <x v="138"/>
    <s v=""/>
    <x v="4"/>
    <x v="0"/>
  </r>
  <r>
    <n v="78194932286"/>
    <n v="168"/>
    <x v="138"/>
    <s v=""/>
    <x v="4"/>
    <x v="0"/>
  </r>
  <r>
    <n v="87598576787"/>
    <n v="313"/>
    <x v="138"/>
    <m/>
    <x v="4"/>
    <x v="0"/>
  </r>
  <r>
    <n v="36826122264"/>
    <n v="11"/>
    <x v="139"/>
    <s v=""/>
    <x v="4"/>
    <x v="0"/>
  </r>
  <r>
    <n v="77405013471"/>
    <n v="35"/>
    <x v="139"/>
    <s v=""/>
    <x v="4"/>
    <x v="0"/>
  </r>
  <r>
    <n v="17939984285"/>
    <n v="338"/>
    <x v="139"/>
    <s v=""/>
    <x v="4"/>
    <x v="0"/>
  </r>
  <r>
    <n v="15847964301"/>
    <n v="330"/>
    <x v="139"/>
    <s v=""/>
    <x v="4"/>
    <x v="0"/>
  </r>
  <r>
    <n v="90076572057"/>
    <n v="49"/>
    <x v="139"/>
    <m/>
    <x v="4"/>
    <x v="0"/>
  </r>
  <r>
    <n v="70384672221"/>
    <n v="209"/>
    <x v="139"/>
    <s v=""/>
    <x v="4"/>
    <x v="0"/>
  </r>
  <r>
    <n v="40836389211"/>
    <n v="131"/>
    <x v="139"/>
    <s v=""/>
    <x v="4"/>
    <x v="0"/>
  </r>
  <r>
    <n v="34078062756"/>
    <n v="169"/>
    <x v="139"/>
    <s v=""/>
    <x v="4"/>
    <x v="0"/>
  </r>
  <r>
    <n v="61158673636"/>
    <n v="290"/>
    <x v="139"/>
    <d v="2035-01-28T00:00:00"/>
    <x v="4"/>
    <x v="8"/>
  </r>
  <r>
    <n v="66519834897"/>
    <n v="93"/>
    <x v="139"/>
    <s v=""/>
    <x v="4"/>
    <x v="0"/>
  </r>
  <r>
    <n v="16515993058"/>
    <n v="95"/>
    <x v="139"/>
    <m/>
    <x v="4"/>
    <x v="0"/>
  </r>
  <r>
    <n v="70849896450"/>
    <n v="66"/>
    <x v="139"/>
    <s v=""/>
    <x v="4"/>
    <x v="0"/>
  </r>
  <r>
    <n v="28353245517"/>
    <n v="24"/>
    <x v="139"/>
    <s v=""/>
    <x v="4"/>
    <x v="0"/>
  </r>
  <r>
    <n v="24914127733"/>
    <n v="211"/>
    <x v="139"/>
    <s v=""/>
    <x v="4"/>
    <x v="0"/>
  </r>
  <r>
    <n v="49944878084"/>
    <n v="169"/>
    <x v="139"/>
    <s v=""/>
    <x v="4"/>
    <x v="0"/>
  </r>
  <r>
    <n v="84692341738"/>
    <n v="23"/>
    <x v="139"/>
    <m/>
    <x v="4"/>
    <x v="0"/>
  </r>
  <r>
    <n v="63903976497"/>
    <n v="41"/>
    <x v="139"/>
    <d v="2034-12-24T00:00:00"/>
    <x v="4"/>
    <x v="7"/>
  </r>
  <r>
    <n v="76247641026"/>
    <n v="339"/>
    <x v="139"/>
    <s v=""/>
    <x v="4"/>
    <x v="0"/>
  </r>
  <r>
    <n v="72178629286"/>
    <n v="197"/>
    <x v="139"/>
    <s v=""/>
    <x v="4"/>
    <x v="0"/>
  </r>
  <r>
    <n v="66571865527"/>
    <n v="16"/>
    <x v="139"/>
    <s v=""/>
    <x v="4"/>
    <x v="0"/>
  </r>
  <r>
    <n v="16625333769"/>
    <n v="210"/>
    <x v="139"/>
    <s v=""/>
    <x v="4"/>
    <x v="0"/>
  </r>
  <r>
    <n v="77899695327"/>
    <n v="165"/>
    <x v="139"/>
    <s v=""/>
    <x v="4"/>
    <x v="0"/>
  </r>
  <r>
    <n v="50055127713"/>
    <n v="41"/>
    <x v="139"/>
    <s v=""/>
    <x v="4"/>
    <x v="0"/>
  </r>
  <r>
    <n v="75825064851"/>
    <n v="176"/>
    <x v="139"/>
    <m/>
    <x v="4"/>
    <x v="0"/>
  </r>
  <r>
    <n v="78302811598"/>
    <n v="260"/>
    <x v="139"/>
    <m/>
    <x v="4"/>
    <x v="0"/>
  </r>
  <r>
    <n v="23726386533"/>
    <n v="76"/>
    <x v="139"/>
    <m/>
    <x v="4"/>
    <x v="0"/>
  </r>
  <r>
    <n v="80847838999"/>
    <n v="177"/>
    <x v="139"/>
    <d v="2034-12-07T00:00:00"/>
    <x v="4"/>
    <x v="7"/>
  </r>
  <r>
    <n v="69116417624"/>
    <n v="208"/>
    <x v="139"/>
    <s v=""/>
    <x v="4"/>
    <x v="0"/>
  </r>
  <r>
    <n v="87981698370"/>
    <n v="235"/>
    <x v="139"/>
    <d v="2035-02-08T00:00:00"/>
    <x v="4"/>
    <x v="9"/>
  </r>
  <r>
    <n v="23310334203"/>
    <n v="259"/>
    <x v="140"/>
    <d v="2034-11-25T00:00:00"/>
    <x v="4"/>
    <x v="6"/>
  </r>
  <r>
    <n v="98924585566"/>
    <n v="307"/>
    <x v="140"/>
    <s v=""/>
    <x v="4"/>
    <x v="0"/>
  </r>
  <r>
    <n v="36229009685"/>
    <n v="271"/>
    <x v="140"/>
    <s v=""/>
    <x v="4"/>
    <x v="0"/>
  </r>
  <r>
    <n v="49857751339"/>
    <n v="272"/>
    <x v="140"/>
    <s v=""/>
    <x v="4"/>
    <x v="0"/>
  </r>
  <r>
    <n v="57320102001"/>
    <n v="188"/>
    <x v="140"/>
    <s v=""/>
    <x v="4"/>
    <x v="0"/>
  </r>
  <r>
    <n v="11780658450"/>
    <n v="135"/>
    <x v="140"/>
    <s v=""/>
    <x v="4"/>
    <x v="0"/>
  </r>
  <r>
    <n v="34438320199"/>
    <n v="102"/>
    <x v="140"/>
    <s v=""/>
    <x v="4"/>
    <x v="0"/>
  </r>
  <r>
    <n v="18363524931"/>
    <n v="241"/>
    <x v="140"/>
    <d v="2034-11-09T00:00:00"/>
    <x v="4"/>
    <x v="6"/>
  </r>
  <r>
    <n v="22247528206"/>
    <n v="328"/>
    <x v="140"/>
    <s v=""/>
    <x v="4"/>
    <x v="0"/>
  </r>
  <r>
    <n v="20869198995"/>
    <n v="254"/>
    <x v="140"/>
    <s v=""/>
    <x v="4"/>
    <x v="0"/>
  </r>
  <r>
    <n v="97365833050"/>
    <n v="214"/>
    <x v="140"/>
    <d v="2035-01-27T00:00:00"/>
    <x v="4"/>
    <x v="8"/>
  </r>
  <r>
    <n v="14226003605"/>
    <n v="272"/>
    <x v="140"/>
    <m/>
    <x v="4"/>
    <x v="0"/>
  </r>
  <r>
    <n v="47300071034"/>
    <n v="210"/>
    <x v="140"/>
    <s v=""/>
    <x v="4"/>
    <x v="0"/>
  </r>
  <r>
    <n v="30585836173"/>
    <n v="282"/>
    <x v="140"/>
    <s v=""/>
    <x v="4"/>
    <x v="0"/>
  </r>
  <r>
    <n v="84967558961"/>
    <n v="296"/>
    <x v="140"/>
    <s v=""/>
    <x v="4"/>
    <x v="0"/>
  </r>
  <r>
    <n v="24098796691"/>
    <n v="180"/>
    <x v="140"/>
    <d v="2035-01-10T00:00:00"/>
    <x v="4"/>
    <x v="8"/>
  </r>
  <r>
    <n v="45417382922"/>
    <n v="299"/>
    <x v="140"/>
    <d v="2034-12-16T00:00:00"/>
    <x v="4"/>
    <x v="7"/>
  </r>
  <r>
    <n v="74977464280"/>
    <n v="59"/>
    <x v="140"/>
    <d v="2035-01-10T00:00:00"/>
    <x v="4"/>
    <x v="8"/>
  </r>
  <r>
    <n v="56725347771"/>
    <n v="140"/>
    <x v="140"/>
    <s v=""/>
    <x v="4"/>
    <x v="0"/>
  </r>
  <r>
    <n v="56032621508"/>
    <n v="30"/>
    <x v="140"/>
    <m/>
    <x v="4"/>
    <x v="0"/>
  </r>
  <r>
    <n v="67787941226"/>
    <n v="300"/>
    <x v="140"/>
    <m/>
    <x v="4"/>
    <x v="0"/>
  </r>
  <r>
    <n v="52076224264"/>
    <n v="223"/>
    <x v="140"/>
    <s v=""/>
    <x v="4"/>
    <x v="0"/>
  </r>
  <r>
    <n v="60078366144"/>
    <n v="110"/>
    <x v="140"/>
    <s v=""/>
    <x v="4"/>
    <x v="0"/>
  </r>
  <r>
    <n v="42347493003"/>
    <n v="291"/>
    <x v="140"/>
    <s v=""/>
    <x v="4"/>
    <x v="0"/>
  </r>
  <r>
    <n v="65216111818"/>
    <n v="212"/>
    <x v="140"/>
    <s v=""/>
    <x v="4"/>
    <x v="0"/>
  </r>
  <r>
    <n v="23457970109"/>
    <n v="219"/>
    <x v="140"/>
    <s v=""/>
    <x v="4"/>
    <x v="0"/>
  </r>
  <r>
    <n v="27103830594"/>
    <n v="245"/>
    <x v="140"/>
    <s v=""/>
    <x v="4"/>
    <x v="0"/>
  </r>
  <r>
    <n v="12272348853"/>
    <n v="23"/>
    <x v="140"/>
    <s v=""/>
    <x v="4"/>
    <x v="0"/>
  </r>
  <r>
    <n v="46138761903"/>
    <n v="118"/>
    <x v="140"/>
    <m/>
    <x v="4"/>
    <x v="0"/>
  </r>
  <r>
    <n v="68814660396"/>
    <n v="255"/>
    <x v="140"/>
    <d v="2034-10-24T00:00:00"/>
    <x v="4"/>
    <x v="5"/>
  </r>
  <r>
    <n v="25185712977"/>
    <n v="156"/>
    <x v="141"/>
    <m/>
    <x v="4"/>
    <x v="0"/>
  </r>
  <r>
    <n v="58094687768"/>
    <n v="120"/>
    <x v="141"/>
    <m/>
    <x v="4"/>
    <x v="0"/>
  </r>
  <r>
    <n v="40126826506"/>
    <n v="155"/>
    <x v="141"/>
    <s v=""/>
    <x v="4"/>
    <x v="0"/>
  </r>
  <r>
    <n v="84850594467"/>
    <n v="318"/>
    <x v="141"/>
    <m/>
    <x v="4"/>
    <x v="0"/>
  </r>
  <r>
    <n v="68663326069"/>
    <n v="274"/>
    <x v="141"/>
    <s v=""/>
    <x v="4"/>
    <x v="0"/>
  </r>
  <r>
    <n v="89265681799"/>
    <n v="106"/>
    <x v="141"/>
    <m/>
    <x v="4"/>
    <x v="0"/>
  </r>
  <r>
    <n v="80855238439"/>
    <n v="67"/>
    <x v="141"/>
    <d v="2034-12-09T00:00:00"/>
    <x v="4"/>
    <x v="7"/>
  </r>
  <r>
    <n v="85675848308"/>
    <n v="25"/>
    <x v="141"/>
    <s v=""/>
    <x v="4"/>
    <x v="0"/>
  </r>
  <r>
    <n v="53765711488"/>
    <n v="198"/>
    <x v="141"/>
    <s v=""/>
    <x v="4"/>
    <x v="0"/>
  </r>
  <r>
    <n v="69795134662"/>
    <n v="78"/>
    <x v="141"/>
    <s v=""/>
    <x v="4"/>
    <x v="0"/>
  </r>
  <r>
    <n v="97808281082"/>
    <n v="311"/>
    <x v="141"/>
    <s v=""/>
    <x v="4"/>
    <x v="0"/>
  </r>
  <r>
    <n v="41999184589"/>
    <n v="213"/>
    <x v="141"/>
    <s v=""/>
    <x v="4"/>
    <x v="0"/>
  </r>
  <r>
    <n v="88141440790"/>
    <n v="189"/>
    <x v="141"/>
    <s v=""/>
    <x v="4"/>
    <x v="0"/>
  </r>
  <r>
    <n v="27191150458"/>
    <n v="82"/>
    <x v="141"/>
    <m/>
    <x v="4"/>
    <x v="0"/>
  </r>
  <r>
    <n v="53349419533"/>
    <n v="244"/>
    <x v="141"/>
    <s v=""/>
    <x v="4"/>
    <x v="0"/>
  </r>
  <r>
    <n v="76510367811"/>
    <n v="23"/>
    <x v="141"/>
    <d v="2034-11-06T00:00:00"/>
    <x v="4"/>
    <x v="6"/>
  </r>
  <r>
    <n v="98348243186"/>
    <n v="30"/>
    <x v="141"/>
    <s v=""/>
    <x v="4"/>
    <x v="0"/>
  </r>
  <r>
    <n v="96191931719"/>
    <n v="213"/>
    <x v="141"/>
    <m/>
    <x v="4"/>
    <x v="0"/>
  </r>
  <r>
    <n v="45839270522"/>
    <n v="272"/>
    <x v="141"/>
    <s v=""/>
    <x v="4"/>
    <x v="0"/>
  </r>
  <r>
    <n v="44409031762"/>
    <n v="60"/>
    <x v="141"/>
    <d v="2034-10-31T00:00:00"/>
    <x v="4"/>
    <x v="5"/>
  </r>
  <r>
    <n v="51797354039"/>
    <n v="97"/>
    <x v="142"/>
    <m/>
    <x v="4"/>
    <x v="0"/>
  </r>
  <r>
    <n v="77819990222"/>
    <n v="12"/>
    <x v="142"/>
    <s v=""/>
    <x v="4"/>
    <x v="0"/>
  </r>
  <r>
    <n v="51771504666"/>
    <n v="165"/>
    <x v="142"/>
    <s v=""/>
    <x v="4"/>
    <x v="0"/>
  </r>
  <r>
    <n v="26210468256"/>
    <n v="35"/>
    <x v="142"/>
    <s v=""/>
    <x v="4"/>
    <x v="0"/>
  </r>
  <r>
    <n v="49913752055"/>
    <n v="187"/>
    <x v="142"/>
    <s v=""/>
    <x v="4"/>
    <x v="0"/>
  </r>
  <r>
    <n v="15449950610"/>
    <n v="261"/>
    <x v="142"/>
    <s v=""/>
    <x v="4"/>
    <x v="0"/>
  </r>
  <r>
    <n v="66354838939"/>
    <n v="98"/>
    <x v="142"/>
    <m/>
    <x v="4"/>
    <x v="0"/>
  </r>
  <r>
    <n v="59236302034"/>
    <n v="104"/>
    <x v="142"/>
    <m/>
    <x v="4"/>
    <x v="0"/>
  </r>
  <r>
    <n v="28071017920"/>
    <n v="189"/>
    <x v="142"/>
    <m/>
    <x v="4"/>
    <x v="0"/>
  </r>
  <r>
    <n v="88780846765"/>
    <n v="240"/>
    <x v="142"/>
    <s v=""/>
    <x v="4"/>
    <x v="0"/>
  </r>
  <r>
    <n v="45815168729"/>
    <n v="323"/>
    <x v="142"/>
    <s v=""/>
    <x v="4"/>
    <x v="0"/>
  </r>
  <r>
    <n v="77405596672"/>
    <n v="123"/>
    <x v="142"/>
    <s v=""/>
    <x v="4"/>
    <x v="0"/>
  </r>
  <r>
    <n v="95234774891"/>
    <n v="162"/>
    <x v="142"/>
    <s v=""/>
    <x v="4"/>
    <x v="0"/>
  </r>
  <r>
    <n v="27335828967"/>
    <n v="164"/>
    <x v="142"/>
    <s v=""/>
    <x v="4"/>
    <x v="0"/>
  </r>
  <r>
    <n v="54971435444"/>
    <n v="252"/>
    <x v="142"/>
    <d v="2034-12-06T00:00:00"/>
    <x v="4"/>
    <x v="7"/>
  </r>
  <r>
    <n v="31792697704"/>
    <n v="2"/>
    <x v="142"/>
    <d v="2034-10-29T00:00:00"/>
    <x v="4"/>
    <x v="5"/>
  </r>
  <r>
    <n v="44554122224"/>
    <n v="17"/>
    <x v="142"/>
    <d v="2034-10-28T00:00:00"/>
    <x v="4"/>
    <x v="5"/>
  </r>
  <r>
    <n v="84934479903"/>
    <n v="174"/>
    <x v="142"/>
    <s v=""/>
    <x v="4"/>
    <x v="0"/>
  </r>
  <r>
    <n v="40430264216"/>
    <n v="154"/>
    <x v="142"/>
    <d v="2035-02-13T00:00:00"/>
    <x v="4"/>
    <x v="9"/>
  </r>
  <r>
    <n v="33042398992"/>
    <n v="195"/>
    <x v="142"/>
    <s v=""/>
    <x v="4"/>
    <x v="0"/>
  </r>
  <r>
    <n v="49695080631"/>
    <n v="157"/>
    <x v="142"/>
    <s v=""/>
    <x v="4"/>
    <x v="0"/>
  </r>
  <r>
    <n v="46415595836"/>
    <n v="144"/>
    <x v="142"/>
    <s v=""/>
    <x v="4"/>
    <x v="0"/>
  </r>
  <r>
    <n v="38348697260"/>
    <n v="28"/>
    <x v="143"/>
    <s v=""/>
    <x v="4"/>
    <x v="0"/>
  </r>
  <r>
    <n v="89752489766"/>
    <n v="317"/>
    <x v="143"/>
    <m/>
    <x v="4"/>
    <x v="0"/>
  </r>
  <r>
    <n v="70694938945"/>
    <n v="301"/>
    <x v="143"/>
    <s v=""/>
    <x v="4"/>
    <x v="0"/>
  </r>
  <r>
    <n v="55019345429"/>
    <n v="267"/>
    <x v="143"/>
    <s v=""/>
    <x v="4"/>
    <x v="0"/>
  </r>
  <r>
    <n v="78306231543"/>
    <n v="63"/>
    <x v="143"/>
    <d v="2034-10-27T00:00:00"/>
    <x v="4"/>
    <x v="5"/>
  </r>
  <r>
    <n v="70203348508"/>
    <n v="297"/>
    <x v="143"/>
    <s v=""/>
    <x v="4"/>
    <x v="0"/>
  </r>
  <r>
    <n v="40391533852"/>
    <n v="158"/>
    <x v="143"/>
    <s v=""/>
    <x v="4"/>
    <x v="0"/>
  </r>
  <r>
    <n v="19752471990"/>
    <n v="4"/>
    <x v="143"/>
    <s v=""/>
    <x v="4"/>
    <x v="0"/>
  </r>
  <r>
    <n v="14839303979"/>
    <n v="51"/>
    <x v="143"/>
    <s v=""/>
    <x v="4"/>
    <x v="0"/>
  </r>
  <r>
    <n v="78434632190"/>
    <n v="78"/>
    <x v="143"/>
    <d v="2035-01-31T00:00:00"/>
    <x v="4"/>
    <x v="8"/>
  </r>
  <r>
    <n v="95506309348"/>
    <n v="69"/>
    <x v="143"/>
    <m/>
    <x v="4"/>
    <x v="0"/>
  </r>
  <r>
    <n v="87541011132"/>
    <n v="124"/>
    <x v="143"/>
    <s v=""/>
    <x v="4"/>
    <x v="0"/>
  </r>
  <r>
    <n v="87916510512"/>
    <n v="1"/>
    <x v="143"/>
    <s v=""/>
    <x v="4"/>
    <x v="0"/>
  </r>
  <r>
    <n v="19692110561"/>
    <n v="39"/>
    <x v="143"/>
    <d v="2034-12-22T00:00:00"/>
    <x v="4"/>
    <x v="7"/>
  </r>
  <r>
    <n v="90506259723"/>
    <n v="167"/>
    <x v="143"/>
    <m/>
    <x v="4"/>
    <x v="0"/>
  </r>
  <r>
    <n v="52987320166"/>
    <n v="100"/>
    <x v="143"/>
    <s v=""/>
    <x v="4"/>
    <x v="0"/>
  </r>
  <r>
    <n v="97082765101"/>
    <n v="88"/>
    <x v="143"/>
    <m/>
    <x v="4"/>
    <x v="0"/>
  </r>
  <r>
    <n v="59823246974"/>
    <n v="295"/>
    <x v="143"/>
    <s v=""/>
    <x v="4"/>
    <x v="0"/>
  </r>
  <r>
    <n v="37469199940"/>
    <n v="308"/>
    <x v="143"/>
    <d v="2034-11-26T00:00:00"/>
    <x v="4"/>
    <x v="6"/>
  </r>
  <r>
    <n v="60641712997"/>
    <n v="46"/>
    <x v="143"/>
    <s v=""/>
    <x v="4"/>
    <x v="0"/>
  </r>
  <r>
    <n v="58368477458"/>
    <n v="183"/>
    <x v="143"/>
    <d v="2035-01-06T00:00:00"/>
    <x v="4"/>
    <x v="8"/>
  </r>
  <r>
    <n v="11858027865"/>
    <n v="319"/>
    <x v="143"/>
    <s v=""/>
    <x v="4"/>
    <x v="0"/>
  </r>
  <r>
    <n v="24780479173"/>
    <n v="86"/>
    <x v="143"/>
    <s v=""/>
    <x v="4"/>
    <x v="0"/>
  </r>
  <r>
    <n v="88004458501"/>
    <n v="44"/>
    <x v="143"/>
    <s v=""/>
    <x v="4"/>
    <x v="0"/>
  </r>
  <r>
    <n v="46766046794"/>
    <n v="9"/>
    <x v="143"/>
    <d v="2035-01-03T00:00:00"/>
    <x v="4"/>
    <x v="8"/>
  </r>
  <r>
    <n v="38815809949"/>
    <n v="48"/>
    <x v="143"/>
    <s v=""/>
    <x v="4"/>
    <x v="0"/>
  </r>
  <r>
    <n v="26417008389"/>
    <n v="233"/>
    <x v="143"/>
    <d v="2035-01-19T00:00:00"/>
    <x v="4"/>
    <x v="8"/>
  </r>
  <r>
    <n v="90695326162"/>
    <n v="224"/>
    <x v="143"/>
    <s v=""/>
    <x v="4"/>
    <x v="0"/>
  </r>
  <r>
    <n v="54024569509"/>
    <n v="66"/>
    <x v="143"/>
    <s v=""/>
    <x v="4"/>
    <x v="0"/>
  </r>
  <r>
    <n v="64304796705"/>
    <n v="52"/>
    <x v="143"/>
    <s v=""/>
    <x v="4"/>
    <x v="0"/>
  </r>
  <r>
    <n v="97977243294"/>
    <n v="92"/>
    <x v="144"/>
    <d v="2034-11-11T00:00:00"/>
    <x v="4"/>
    <x v="6"/>
  </r>
  <r>
    <n v="38935193323"/>
    <n v="121"/>
    <x v="144"/>
    <m/>
    <x v="4"/>
    <x v="0"/>
  </r>
  <r>
    <n v="93678403460"/>
    <n v="237"/>
    <x v="144"/>
    <d v="2034-11-24T00:00:00"/>
    <x v="4"/>
    <x v="6"/>
  </r>
  <r>
    <n v="24988669257"/>
    <n v="109"/>
    <x v="144"/>
    <s v=""/>
    <x v="4"/>
    <x v="0"/>
  </r>
  <r>
    <n v="48983974010"/>
    <n v="185"/>
    <x v="144"/>
    <s v=""/>
    <x v="4"/>
    <x v="0"/>
  </r>
  <r>
    <n v="66977288628"/>
    <n v="72"/>
    <x v="144"/>
    <s v=""/>
    <x v="4"/>
    <x v="0"/>
  </r>
  <r>
    <n v="27844916310"/>
    <n v="74"/>
    <x v="144"/>
    <s v=""/>
    <x v="4"/>
    <x v="0"/>
  </r>
  <r>
    <n v="58692293984"/>
    <n v="36"/>
    <x v="144"/>
    <s v=""/>
    <x v="4"/>
    <x v="0"/>
  </r>
  <r>
    <n v="19517647503"/>
    <n v="66"/>
    <x v="144"/>
    <m/>
    <x v="4"/>
    <x v="0"/>
  </r>
  <r>
    <n v="75312465683"/>
    <n v="63"/>
    <x v="144"/>
    <s v=""/>
    <x v="4"/>
    <x v="0"/>
  </r>
  <r>
    <n v="59487012575"/>
    <n v="99"/>
    <x v="144"/>
    <s v=""/>
    <x v="4"/>
    <x v="0"/>
  </r>
  <r>
    <n v="23177030587"/>
    <n v="73"/>
    <x v="144"/>
    <m/>
    <x v="4"/>
    <x v="0"/>
  </r>
  <r>
    <n v="55885154036"/>
    <n v="307"/>
    <x v="144"/>
    <s v=""/>
    <x v="4"/>
    <x v="0"/>
  </r>
  <r>
    <n v="52051333223"/>
    <n v="216"/>
    <x v="144"/>
    <m/>
    <x v="4"/>
    <x v="0"/>
  </r>
  <r>
    <n v="96370723616"/>
    <n v="174"/>
    <x v="144"/>
    <s v=""/>
    <x v="4"/>
    <x v="0"/>
  </r>
  <r>
    <n v="24562882923"/>
    <n v="13"/>
    <x v="144"/>
    <s v=""/>
    <x v="4"/>
    <x v="0"/>
  </r>
  <r>
    <n v="29339151119"/>
    <n v="330"/>
    <x v="144"/>
    <s v=""/>
    <x v="4"/>
    <x v="0"/>
  </r>
  <r>
    <n v="83691607567"/>
    <n v="213"/>
    <x v="144"/>
    <s v=""/>
    <x v="4"/>
    <x v="0"/>
  </r>
  <r>
    <n v="11817937029"/>
    <n v="156"/>
    <x v="144"/>
    <s v=""/>
    <x v="4"/>
    <x v="0"/>
  </r>
  <r>
    <n v="36893459266"/>
    <n v="13"/>
    <x v="144"/>
    <m/>
    <x v="4"/>
    <x v="0"/>
  </r>
  <r>
    <n v="89946180014"/>
    <n v="108"/>
    <x v="144"/>
    <s v=""/>
    <x v="4"/>
    <x v="0"/>
  </r>
  <r>
    <n v="94262642711"/>
    <n v="235"/>
    <x v="144"/>
    <s v=""/>
    <x v="4"/>
    <x v="0"/>
  </r>
  <r>
    <n v="35497927859"/>
    <n v="73"/>
    <x v="144"/>
    <s v=""/>
    <x v="4"/>
    <x v="0"/>
  </r>
  <r>
    <n v="47171530358"/>
    <n v="68"/>
    <x v="144"/>
    <s v=""/>
    <x v="4"/>
    <x v="0"/>
  </r>
  <r>
    <n v="14694279552"/>
    <n v="316"/>
    <x v="144"/>
    <s v=""/>
    <x v="4"/>
    <x v="0"/>
  </r>
  <r>
    <n v="94245440753"/>
    <n v="282"/>
    <x v="144"/>
    <d v="2034-11-06T00:00:00"/>
    <x v="4"/>
    <x v="6"/>
  </r>
  <r>
    <n v="98186456086"/>
    <n v="71"/>
    <x v="144"/>
    <d v="2034-11-09T00:00:00"/>
    <x v="4"/>
    <x v="6"/>
  </r>
  <r>
    <n v="15806419732"/>
    <n v="232"/>
    <x v="144"/>
    <d v="2034-11-15T00:00:00"/>
    <x v="4"/>
    <x v="6"/>
  </r>
  <r>
    <n v="57182901878"/>
    <n v="20"/>
    <x v="144"/>
    <d v="2034-12-17T00:00:00"/>
    <x v="4"/>
    <x v="7"/>
  </r>
  <r>
    <n v="52414775459"/>
    <n v="160"/>
    <x v="144"/>
    <d v="2034-12-30T00:00:00"/>
    <x v="4"/>
    <x v="7"/>
  </r>
  <r>
    <n v="99200051523"/>
    <n v="45"/>
    <x v="144"/>
    <s v=""/>
    <x v="4"/>
    <x v="0"/>
  </r>
  <r>
    <n v="93520293955"/>
    <n v="82"/>
    <x v="144"/>
    <s v=""/>
    <x v="4"/>
    <x v="0"/>
  </r>
  <r>
    <n v="43520908139"/>
    <n v="297"/>
    <x v="144"/>
    <s v=""/>
    <x v="4"/>
    <x v="0"/>
  </r>
  <r>
    <n v="47728834338"/>
    <n v="246"/>
    <x v="145"/>
    <d v="2034-11-02T00:00:00"/>
    <x v="4"/>
    <x v="6"/>
  </r>
  <r>
    <n v="88214107974"/>
    <n v="331"/>
    <x v="145"/>
    <m/>
    <x v="4"/>
    <x v="0"/>
  </r>
  <r>
    <n v="32257679600"/>
    <n v="268"/>
    <x v="145"/>
    <s v=""/>
    <x v="4"/>
    <x v="0"/>
  </r>
  <r>
    <n v="33247136100"/>
    <n v="158"/>
    <x v="145"/>
    <s v=""/>
    <x v="4"/>
    <x v="0"/>
  </r>
  <r>
    <n v="25931228143"/>
    <n v="237"/>
    <x v="145"/>
    <s v=""/>
    <x v="4"/>
    <x v="0"/>
  </r>
  <r>
    <n v="40846819640"/>
    <n v="239"/>
    <x v="145"/>
    <s v=""/>
    <x v="4"/>
    <x v="0"/>
  </r>
  <r>
    <n v="16922815017"/>
    <n v="226"/>
    <x v="145"/>
    <d v="2035-02-15T00:00:00"/>
    <x v="4"/>
    <x v="9"/>
  </r>
  <r>
    <n v="53410439863"/>
    <n v="208"/>
    <x v="145"/>
    <s v=""/>
    <x v="4"/>
    <x v="0"/>
  </r>
  <r>
    <n v="31301649492"/>
    <n v="289"/>
    <x v="145"/>
    <s v=""/>
    <x v="4"/>
    <x v="0"/>
  </r>
  <r>
    <n v="17449044774"/>
    <n v="221"/>
    <x v="145"/>
    <s v=""/>
    <x v="4"/>
    <x v="0"/>
  </r>
  <r>
    <n v="32118602421"/>
    <n v="140"/>
    <x v="145"/>
    <m/>
    <x v="4"/>
    <x v="0"/>
  </r>
  <r>
    <n v="77080009936"/>
    <n v="320"/>
    <x v="145"/>
    <s v=""/>
    <x v="4"/>
    <x v="0"/>
  </r>
  <r>
    <n v="29186141162"/>
    <n v="314"/>
    <x v="145"/>
    <s v=""/>
    <x v="4"/>
    <x v="0"/>
  </r>
  <r>
    <n v="89966823235"/>
    <n v="46"/>
    <x v="145"/>
    <s v=""/>
    <x v="4"/>
    <x v="0"/>
  </r>
  <r>
    <n v="16471334764"/>
    <n v="275"/>
    <x v="145"/>
    <m/>
    <x v="4"/>
    <x v="0"/>
  </r>
  <r>
    <n v="28272808241"/>
    <n v="158"/>
    <x v="145"/>
    <d v="2035-02-06T00:00:00"/>
    <x v="4"/>
    <x v="9"/>
  </r>
  <r>
    <n v="39166046395"/>
    <n v="11"/>
    <x v="145"/>
    <d v="2034-12-13T00:00:00"/>
    <x v="4"/>
    <x v="7"/>
  </r>
  <r>
    <n v="91578879582"/>
    <n v="215"/>
    <x v="145"/>
    <s v=""/>
    <x v="4"/>
    <x v="0"/>
  </r>
  <r>
    <n v="48677805989"/>
    <n v="329"/>
    <x v="145"/>
    <s v=""/>
    <x v="4"/>
    <x v="0"/>
  </r>
  <r>
    <n v="99891530274"/>
    <n v="279"/>
    <x v="145"/>
    <s v=""/>
    <x v="4"/>
    <x v="0"/>
  </r>
  <r>
    <n v="28050756994"/>
    <n v="302"/>
    <x v="145"/>
    <d v="2034-12-11T00:00:00"/>
    <x v="4"/>
    <x v="7"/>
  </r>
  <r>
    <n v="22198084992"/>
    <n v="101"/>
    <x v="145"/>
    <d v="2034-12-23T00:00:00"/>
    <x v="4"/>
    <x v="7"/>
  </r>
  <r>
    <n v="87667370895"/>
    <n v="312"/>
    <x v="145"/>
    <s v=""/>
    <x v="4"/>
    <x v="0"/>
  </r>
  <r>
    <n v="73311134834"/>
    <n v="63"/>
    <x v="145"/>
    <d v="2034-11-25T00:00:00"/>
    <x v="4"/>
    <x v="6"/>
  </r>
  <r>
    <n v="21560745534"/>
    <n v="335"/>
    <x v="145"/>
    <d v="2035-01-23T00:00:00"/>
    <x v="4"/>
    <x v="8"/>
  </r>
  <r>
    <n v="59375488001"/>
    <n v="327"/>
    <x v="145"/>
    <s v=""/>
    <x v="4"/>
    <x v="0"/>
  </r>
  <r>
    <n v="72669892122"/>
    <n v="200"/>
    <x v="145"/>
    <s v=""/>
    <x v="4"/>
    <x v="0"/>
  </r>
  <r>
    <n v="30779174937"/>
    <n v="95"/>
    <x v="145"/>
    <m/>
    <x v="4"/>
    <x v="0"/>
  </r>
  <r>
    <n v="53549935988"/>
    <n v="38"/>
    <x v="145"/>
    <s v=""/>
    <x v="4"/>
    <x v="0"/>
  </r>
  <r>
    <n v="81218074257"/>
    <n v="235"/>
    <x v="145"/>
    <m/>
    <x v="4"/>
    <x v="0"/>
  </r>
  <r>
    <n v="12103724593"/>
    <n v="221"/>
    <x v="145"/>
    <m/>
    <x v="4"/>
    <x v="0"/>
  </r>
  <r>
    <n v="24974731415"/>
    <n v="55"/>
    <x v="145"/>
    <m/>
    <x v="4"/>
    <x v="0"/>
  </r>
  <r>
    <n v="43831928824"/>
    <n v="269"/>
    <x v="145"/>
    <d v="2034-12-21T00:00:00"/>
    <x v="4"/>
    <x v="7"/>
  </r>
  <r>
    <n v="20574968257"/>
    <n v="15"/>
    <x v="145"/>
    <s v=""/>
    <x v="4"/>
    <x v="0"/>
  </r>
  <r>
    <n v="28584426837"/>
    <n v="267"/>
    <x v="145"/>
    <s v=""/>
    <x v="4"/>
    <x v="0"/>
  </r>
  <r>
    <n v="47656069819"/>
    <n v="94"/>
    <x v="145"/>
    <d v="2035-02-10T00:00:00"/>
    <x v="4"/>
    <x v="9"/>
  </r>
  <r>
    <n v="24441960711"/>
    <n v="186"/>
    <x v="145"/>
    <s v=""/>
    <x v="4"/>
    <x v="0"/>
  </r>
  <r>
    <n v="84643492312"/>
    <n v="17"/>
    <x v="145"/>
    <m/>
    <x v="4"/>
    <x v="0"/>
  </r>
  <r>
    <n v="95539626156"/>
    <n v="94"/>
    <x v="145"/>
    <m/>
    <x v="4"/>
    <x v="0"/>
  </r>
  <r>
    <n v="13481126978"/>
    <n v="28"/>
    <x v="146"/>
    <m/>
    <x v="4"/>
    <x v="0"/>
  </r>
  <r>
    <n v="27575369113"/>
    <n v="244"/>
    <x v="146"/>
    <s v=""/>
    <x v="4"/>
    <x v="0"/>
  </r>
  <r>
    <n v="61546737815"/>
    <n v="288"/>
    <x v="146"/>
    <m/>
    <x v="4"/>
    <x v="0"/>
  </r>
  <r>
    <n v="32622914833"/>
    <n v="268"/>
    <x v="146"/>
    <d v="2035-02-17T00:00:00"/>
    <x v="4"/>
    <x v="9"/>
  </r>
  <r>
    <n v="95068962829"/>
    <n v="161"/>
    <x v="146"/>
    <d v="2035-01-28T00:00:00"/>
    <x v="4"/>
    <x v="8"/>
  </r>
  <r>
    <n v="69110604543"/>
    <n v="8"/>
    <x v="146"/>
    <s v=""/>
    <x v="4"/>
    <x v="0"/>
  </r>
  <r>
    <n v="64973492339"/>
    <n v="269"/>
    <x v="146"/>
    <s v=""/>
    <x v="4"/>
    <x v="0"/>
  </r>
  <r>
    <n v="47795841471"/>
    <n v="74"/>
    <x v="146"/>
    <m/>
    <x v="4"/>
    <x v="0"/>
  </r>
  <r>
    <n v="82380197100"/>
    <n v="282"/>
    <x v="146"/>
    <s v=""/>
    <x v="4"/>
    <x v="0"/>
  </r>
  <r>
    <n v="73920263084"/>
    <n v="111"/>
    <x v="146"/>
    <s v=""/>
    <x v="4"/>
    <x v="0"/>
  </r>
  <r>
    <n v="81036311978"/>
    <n v="215"/>
    <x v="146"/>
    <s v=""/>
    <x v="4"/>
    <x v="0"/>
  </r>
  <r>
    <n v="70144893168"/>
    <n v="177"/>
    <x v="146"/>
    <s v=""/>
    <x v="4"/>
    <x v="0"/>
  </r>
  <r>
    <n v="28731741583"/>
    <n v="227"/>
    <x v="146"/>
    <m/>
    <x v="4"/>
    <x v="0"/>
  </r>
  <r>
    <n v="46520389556"/>
    <n v="45"/>
    <x v="146"/>
    <s v=""/>
    <x v="4"/>
    <x v="0"/>
  </r>
  <r>
    <n v="94824642869"/>
    <n v="35"/>
    <x v="146"/>
    <s v=""/>
    <x v="4"/>
    <x v="0"/>
  </r>
  <r>
    <n v="56983506407"/>
    <n v="294"/>
    <x v="146"/>
    <m/>
    <x v="4"/>
    <x v="0"/>
  </r>
  <r>
    <n v="39948016310"/>
    <n v="312"/>
    <x v="146"/>
    <s v=""/>
    <x v="4"/>
    <x v="0"/>
  </r>
  <r>
    <n v="44091900331"/>
    <n v="265"/>
    <x v="146"/>
    <s v=""/>
    <x v="4"/>
    <x v="0"/>
  </r>
  <r>
    <n v="17717176322"/>
    <n v="299"/>
    <x v="146"/>
    <s v=""/>
    <x v="4"/>
    <x v="0"/>
  </r>
  <r>
    <n v="13504020977"/>
    <n v="120"/>
    <x v="147"/>
    <s v=""/>
    <x v="4"/>
    <x v="0"/>
  </r>
  <r>
    <n v="21391257394"/>
    <n v="257"/>
    <x v="147"/>
    <s v=""/>
    <x v="4"/>
    <x v="0"/>
  </r>
  <r>
    <n v="25615736415"/>
    <n v="82"/>
    <x v="147"/>
    <s v=""/>
    <x v="4"/>
    <x v="0"/>
  </r>
  <r>
    <n v="16294063162"/>
    <n v="5"/>
    <x v="147"/>
    <s v=""/>
    <x v="4"/>
    <x v="0"/>
  </r>
  <r>
    <n v="95352382708"/>
    <n v="197"/>
    <x v="147"/>
    <m/>
    <x v="4"/>
    <x v="0"/>
  </r>
  <r>
    <n v="72829489420"/>
    <n v="166"/>
    <x v="147"/>
    <s v=""/>
    <x v="4"/>
    <x v="0"/>
  </r>
  <r>
    <n v="13659550717"/>
    <n v="28"/>
    <x v="147"/>
    <d v="2034-12-23T00:00:00"/>
    <x v="4"/>
    <x v="7"/>
  </r>
  <r>
    <n v="38443759685"/>
    <n v="55"/>
    <x v="147"/>
    <s v=""/>
    <x v="4"/>
    <x v="0"/>
  </r>
  <r>
    <n v="28195987692"/>
    <n v="272"/>
    <x v="147"/>
    <s v=""/>
    <x v="4"/>
    <x v="0"/>
  </r>
  <r>
    <n v="63913003676"/>
    <n v="265"/>
    <x v="147"/>
    <s v=""/>
    <x v="4"/>
    <x v="0"/>
  </r>
  <r>
    <n v="19262980266"/>
    <n v="5"/>
    <x v="147"/>
    <s v=""/>
    <x v="4"/>
    <x v="0"/>
  </r>
  <r>
    <n v="61235108219"/>
    <n v="6"/>
    <x v="147"/>
    <s v=""/>
    <x v="4"/>
    <x v="0"/>
  </r>
  <r>
    <n v="96570958493"/>
    <n v="54"/>
    <x v="147"/>
    <s v=""/>
    <x v="4"/>
    <x v="0"/>
  </r>
  <r>
    <n v="23413878354"/>
    <n v="10"/>
    <x v="147"/>
    <s v=""/>
    <x v="4"/>
    <x v="0"/>
  </r>
  <r>
    <n v="34958685706"/>
    <n v="212"/>
    <x v="147"/>
    <s v=""/>
    <x v="4"/>
    <x v="0"/>
  </r>
  <r>
    <n v="21568411826"/>
    <n v="304"/>
    <x v="147"/>
    <m/>
    <x v="4"/>
    <x v="0"/>
  </r>
  <r>
    <n v="41501890514"/>
    <n v="36"/>
    <x v="147"/>
    <d v="2034-11-14T00:00:00"/>
    <x v="4"/>
    <x v="6"/>
  </r>
  <r>
    <n v="48722495676"/>
    <n v="253"/>
    <x v="147"/>
    <d v="2034-12-12T00:00:00"/>
    <x v="4"/>
    <x v="7"/>
  </r>
  <r>
    <n v="44690277953"/>
    <n v="164"/>
    <x v="148"/>
    <s v=""/>
    <x v="4"/>
    <x v="0"/>
  </r>
  <r>
    <n v="77994215754"/>
    <n v="201"/>
    <x v="148"/>
    <s v=""/>
    <x v="4"/>
    <x v="0"/>
  </r>
  <r>
    <n v="77166948628"/>
    <n v="76"/>
    <x v="148"/>
    <s v=""/>
    <x v="4"/>
    <x v="0"/>
  </r>
  <r>
    <n v="85174338474"/>
    <n v="130"/>
    <x v="148"/>
    <s v=""/>
    <x v="4"/>
    <x v="0"/>
  </r>
  <r>
    <n v="73132601997"/>
    <n v="93"/>
    <x v="148"/>
    <s v=""/>
    <x v="4"/>
    <x v="0"/>
  </r>
  <r>
    <n v="79505838254"/>
    <n v="50"/>
    <x v="148"/>
    <s v=""/>
    <x v="4"/>
    <x v="0"/>
  </r>
  <r>
    <n v="94933505872"/>
    <n v="3"/>
    <x v="148"/>
    <d v="2035-02-10T00:00:00"/>
    <x v="4"/>
    <x v="9"/>
  </r>
  <r>
    <n v="82590897413"/>
    <n v="65"/>
    <x v="148"/>
    <s v=""/>
    <x v="4"/>
    <x v="0"/>
  </r>
  <r>
    <n v="68965559779"/>
    <n v="136"/>
    <x v="148"/>
    <s v=""/>
    <x v="4"/>
    <x v="0"/>
  </r>
  <r>
    <n v="42752120884"/>
    <n v="112"/>
    <x v="148"/>
    <m/>
    <x v="4"/>
    <x v="0"/>
  </r>
  <r>
    <n v="45510861541"/>
    <n v="205"/>
    <x v="148"/>
    <s v=""/>
    <x v="4"/>
    <x v="0"/>
  </r>
  <r>
    <n v="78973079936"/>
    <n v="309"/>
    <x v="148"/>
    <d v="2035-02-08T00:00:00"/>
    <x v="4"/>
    <x v="9"/>
  </r>
  <r>
    <n v="82694766968"/>
    <n v="24"/>
    <x v="148"/>
    <d v="2035-01-19T00:00:00"/>
    <x v="4"/>
    <x v="8"/>
  </r>
  <r>
    <n v="84687218331"/>
    <n v="74"/>
    <x v="148"/>
    <s v=""/>
    <x v="4"/>
    <x v="0"/>
  </r>
  <r>
    <n v="96081244017"/>
    <n v="318"/>
    <x v="148"/>
    <s v=""/>
    <x v="4"/>
    <x v="0"/>
  </r>
  <r>
    <n v="48075727179"/>
    <n v="234"/>
    <x v="148"/>
    <s v=""/>
    <x v="4"/>
    <x v="0"/>
  </r>
  <r>
    <n v="96019505021"/>
    <n v="92"/>
    <x v="148"/>
    <s v=""/>
    <x v="4"/>
    <x v="0"/>
  </r>
  <r>
    <n v="85835834735"/>
    <n v="12"/>
    <x v="148"/>
    <s v=""/>
    <x v="4"/>
    <x v="0"/>
  </r>
  <r>
    <n v="70718340872"/>
    <n v="21"/>
    <x v="148"/>
    <m/>
    <x v="4"/>
    <x v="0"/>
  </r>
  <r>
    <n v="15797537214"/>
    <n v="121"/>
    <x v="149"/>
    <s v=""/>
    <x v="4"/>
    <x v="0"/>
  </r>
  <r>
    <n v="98552113064"/>
    <n v="124"/>
    <x v="149"/>
    <s v=""/>
    <x v="4"/>
    <x v="0"/>
  </r>
  <r>
    <n v="28567039775"/>
    <n v="317"/>
    <x v="149"/>
    <s v=""/>
    <x v="4"/>
    <x v="0"/>
  </r>
  <r>
    <n v="52465151380"/>
    <n v="309"/>
    <x v="149"/>
    <s v=""/>
    <x v="4"/>
    <x v="0"/>
  </r>
  <r>
    <n v="24641187086"/>
    <n v="275"/>
    <x v="149"/>
    <s v=""/>
    <x v="4"/>
    <x v="0"/>
  </r>
  <r>
    <n v="65080587458"/>
    <n v="223"/>
    <x v="149"/>
    <m/>
    <x v="4"/>
    <x v="0"/>
  </r>
  <r>
    <n v="92218300236"/>
    <n v="261"/>
    <x v="149"/>
    <s v=""/>
    <x v="4"/>
    <x v="0"/>
  </r>
  <r>
    <n v="48760093715"/>
    <n v="138"/>
    <x v="149"/>
    <s v=""/>
    <x v="4"/>
    <x v="0"/>
  </r>
  <r>
    <n v="17882358731"/>
    <n v="221"/>
    <x v="149"/>
    <d v="2035-02-05T00:00:00"/>
    <x v="4"/>
    <x v="9"/>
  </r>
  <r>
    <n v="62458864371"/>
    <n v="119"/>
    <x v="149"/>
    <m/>
    <x v="4"/>
    <x v="0"/>
  </r>
  <r>
    <n v="56669844136"/>
    <n v="5"/>
    <x v="149"/>
    <s v=""/>
    <x v="4"/>
    <x v="0"/>
  </r>
  <r>
    <n v="15409915967"/>
    <n v="337"/>
    <x v="149"/>
    <s v=""/>
    <x v="4"/>
    <x v="0"/>
  </r>
  <r>
    <n v="84388423607"/>
    <n v="184"/>
    <x v="149"/>
    <s v=""/>
    <x v="4"/>
    <x v="0"/>
  </r>
  <r>
    <n v="91278571702"/>
    <n v="193"/>
    <x v="149"/>
    <s v=""/>
    <x v="4"/>
    <x v="0"/>
  </r>
  <r>
    <n v="39488533673"/>
    <n v="117"/>
    <x v="149"/>
    <s v=""/>
    <x v="4"/>
    <x v="0"/>
  </r>
  <r>
    <n v="74811365115"/>
    <n v="263"/>
    <x v="149"/>
    <m/>
    <x v="4"/>
    <x v="0"/>
  </r>
  <r>
    <n v="65146946758"/>
    <n v="167"/>
    <x v="149"/>
    <s v=""/>
    <x v="4"/>
    <x v="0"/>
  </r>
  <r>
    <n v="41250760274"/>
    <n v="282"/>
    <x v="149"/>
    <s v=""/>
    <x v="4"/>
    <x v="0"/>
  </r>
  <r>
    <n v="92832750255"/>
    <n v="321"/>
    <x v="149"/>
    <m/>
    <x v="4"/>
    <x v="0"/>
  </r>
  <r>
    <n v="37326134401"/>
    <n v="327"/>
    <x v="149"/>
    <s v=""/>
    <x v="4"/>
    <x v="0"/>
  </r>
  <r>
    <n v="63899943130"/>
    <n v="174"/>
    <x v="150"/>
    <s v=""/>
    <x v="4"/>
    <x v="0"/>
  </r>
  <r>
    <n v="58761105641"/>
    <n v="70"/>
    <x v="150"/>
    <m/>
    <x v="4"/>
    <x v="0"/>
  </r>
  <r>
    <n v="31109435945"/>
    <n v="95"/>
    <x v="150"/>
    <s v=""/>
    <x v="4"/>
    <x v="0"/>
  </r>
  <r>
    <n v="98767390554"/>
    <n v="285"/>
    <x v="150"/>
    <d v="2035-01-19T00:00:00"/>
    <x v="4"/>
    <x v="8"/>
  </r>
  <r>
    <n v="53171435998"/>
    <n v="71"/>
    <x v="150"/>
    <s v=""/>
    <x v="4"/>
    <x v="0"/>
  </r>
  <r>
    <n v="99047161423"/>
    <n v="257"/>
    <x v="150"/>
    <s v=""/>
    <x v="4"/>
    <x v="0"/>
  </r>
  <r>
    <n v="29233153637"/>
    <n v="93"/>
    <x v="150"/>
    <s v=""/>
    <x v="4"/>
    <x v="0"/>
  </r>
  <r>
    <n v="57525972656"/>
    <n v="312"/>
    <x v="150"/>
    <s v=""/>
    <x v="4"/>
    <x v="0"/>
  </r>
  <r>
    <n v="75416822041"/>
    <n v="209"/>
    <x v="150"/>
    <s v=""/>
    <x v="4"/>
    <x v="0"/>
  </r>
  <r>
    <n v="48627774760"/>
    <n v="108"/>
    <x v="150"/>
    <s v=""/>
    <x v="4"/>
    <x v="0"/>
  </r>
  <r>
    <n v="83888362732"/>
    <n v="214"/>
    <x v="150"/>
    <m/>
    <x v="4"/>
    <x v="0"/>
  </r>
  <r>
    <n v="47227306042"/>
    <n v="313"/>
    <x v="150"/>
    <d v="2034-12-30T00:00:00"/>
    <x v="4"/>
    <x v="7"/>
  </r>
  <r>
    <n v="52883134074"/>
    <n v="76"/>
    <x v="150"/>
    <s v=""/>
    <x v="4"/>
    <x v="0"/>
  </r>
  <r>
    <n v="66024324290"/>
    <n v="208"/>
    <x v="150"/>
    <s v=""/>
    <x v="4"/>
    <x v="0"/>
  </r>
  <r>
    <n v="48060890501"/>
    <n v="100"/>
    <x v="150"/>
    <s v=""/>
    <x v="4"/>
    <x v="0"/>
  </r>
  <r>
    <n v="27381931247"/>
    <n v="64"/>
    <x v="150"/>
    <s v=""/>
    <x v="4"/>
    <x v="0"/>
  </r>
  <r>
    <n v="47571382522"/>
    <n v="15"/>
    <x v="150"/>
    <s v=""/>
    <x v="4"/>
    <x v="0"/>
  </r>
  <r>
    <n v="62610006479"/>
    <n v="175"/>
    <x v="150"/>
    <s v=""/>
    <x v="4"/>
    <x v="0"/>
  </r>
  <r>
    <n v="81113943301"/>
    <n v="80"/>
    <x v="150"/>
    <d v="2034-11-10T00:00:00"/>
    <x v="4"/>
    <x v="6"/>
  </r>
  <r>
    <n v="90741746361"/>
    <n v="99"/>
    <x v="150"/>
    <m/>
    <x v="4"/>
    <x v="0"/>
  </r>
  <r>
    <n v="13163244011"/>
    <n v="80"/>
    <x v="150"/>
    <s v=""/>
    <x v="4"/>
    <x v="0"/>
  </r>
  <r>
    <n v="53625114164"/>
    <n v="222"/>
    <x v="150"/>
    <d v="2034-11-16T00:00:00"/>
    <x v="4"/>
    <x v="6"/>
  </r>
  <r>
    <n v="13582453044"/>
    <n v="140"/>
    <x v="150"/>
    <s v=""/>
    <x v="4"/>
    <x v="0"/>
  </r>
  <r>
    <n v="49480076370"/>
    <n v="182"/>
    <x v="150"/>
    <s v=""/>
    <x v="4"/>
    <x v="0"/>
  </r>
  <r>
    <n v="66123122948"/>
    <n v="115"/>
    <x v="150"/>
    <s v=""/>
    <x v="4"/>
    <x v="0"/>
  </r>
  <r>
    <n v="37591464524"/>
    <n v="315"/>
    <x v="150"/>
    <s v=""/>
    <x v="4"/>
    <x v="0"/>
  </r>
  <r>
    <n v="77983000733"/>
    <n v="218"/>
    <x v="150"/>
    <m/>
    <x v="4"/>
    <x v="0"/>
  </r>
  <r>
    <n v="49330074889"/>
    <n v="112"/>
    <x v="151"/>
    <s v=""/>
    <x v="4"/>
    <x v="0"/>
  </r>
  <r>
    <n v="72474534270"/>
    <n v="131"/>
    <x v="151"/>
    <s v=""/>
    <x v="4"/>
    <x v="0"/>
  </r>
  <r>
    <n v="56387017759"/>
    <n v="280"/>
    <x v="151"/>
    <s v=""/>
    <x v="4"/>
    <x v="0"/>
  </r>
  <r>
    <n v="70063267795"/>
    <n v="317"/>
    <x v="151"/>
    <s v=""/>
    <x v="4"/>
    <x v="0"/>
  </r>
  <r>
    <n v="63092013112"/>
    <n v="323"/>
    <x v="151"/>
    <s v=""/>
    <x v="4"/>
    <x v="0"/>
  </r>
  <r>
    <n v="38250262834"/>
    <n v="156"/>
    <x v="151"/>
    <s v=""/>
    <x v="4"/>
    <x v="0"/>
  </r>
  <r>
    <n v="27975221786"/>
    <n v="187"/>
    <x v="151"/>
    <d v="2035-02-04T00:00:00"/>
    <x v="4"/>
    <x v="9"/>
  </r>
  <r>
    <n v="94329760107"/>
    <n v="144"/>
    <x v="151"/>
    <d v="2035-01-06T00:00:00"/>
    <x v="4"/>
    <x v="8"/>
  </r>
  <r>
    <n v="25430398631"/>
    <n v="186"/>
    <x v="151"/>
    <s v=""/>
    <x v="4"/>
    <x v="0"/>
  </r>
  <r>
    <n v="40534634164"/>
    <n v="328"/>
    <x v="151"/>
    <s v=""/>
    <x v="4"/>
    <x v="0"/>
  </r>
  <r>
    <n v="89003655901"/>
    <n v="260"/>
    <x v="151"/>
    <d v="2034-11-26T00:00:00"/>
    <x v="4"/>
    <x v="6"/>
  </r>
  <r>
    <n v="16213277847"/>
    <n v="296"/>
    <x v="151"/>
    <s v=""/>
    <x v="4"/>
    <x v="0"/>
  </r>
  <r>
    <n v="28865531509"/>
    <n v="216"/>
    <x v="151"/>
    <s v=""/>
    <x v="4"/>
    <x v="0"/>
  </r>
  <r>
    <n v="69875557058"/>
    <n v="47"/>
    <x v="151"/>
    <s v=""/>
    <x v="4"/>
    <x v="0"/>
  </r>
  <r>
    <n v="19981354699"/>
    <n v="295"/>
    <x v="151"/>
    <d v="2034-12-11T00:00:00"/>
    <x v="4"/>
    <x v="7"/>
  </r>
  <r>
    <n v="17424109167"/>
    <n v="285"/>
    <x v="151"/>
    <d v="2034-11-20T00:00:00"/>
    <x v="4"/>
    <x v="6"/>
  </r>
  <r>
    <n v="95647162845"/>
    <n v="321"/>
    <x v="151"/>
    <d v="2035-01-01T00:00:00"/>
    <x v="4"/>
    <x v="8"/>
  </r>
  <r>
    <n v="86513220463"/>
    <n v="41"/>
    <x v="151"/>
    <s v=""/>
    <x v="4"/>
    <x v="0"/>
  </r>
  <r>
    <n v="13081194961"/>
    <n v="36"/>
    <x v="151"/>
    <s v=""/>
    <x v="4"/>
    <x v="0"/>
  </r>
  <r>
    <n v="30696853547"/>
    <n v="174"/>
    <x v="151"/>
    <s v=""/>
    <x v="4"/>
    <x v="0"/>
  </r>
  <r>
    <n v="31422754187"/>
    <n v="303"/>
    <x v="151"/>
    <d v="2035-01-31T00:00:00"/>
    <x v="4"/>
    <x v="8"/>
  </r>
  <r>
    <n v="43073101476"/>
    <n v="179"/>
    <x v="151"/>
    <s v=""/>
    <x v="4"/>
    <x v="0"/>
  </r>
  <r>
    <n v="36189146643"/>
    <n v="46"/>
    <x v="151"/>
    <s v=""/>
    <x v="4"/>
    <x v="0"/>
  </r>
  <r>
    <n v="21545893969"/>
    <n v="134"/>
    <x v="151"/>
    <s v=""/>
    <x v="4"/>
    <x v="0"/>
  </r>
  <r>
    <n v="56064539760"/>
    <n v="282"/>
    <x v="151"/>
    <s v=""/>
    <x v="4"/>
    <x v="0"/>
  </r>
  <r>
    <n v="59019268563"/>
    <n v="21"/>
    <x v="151"/>
    <s v=""/>
    <x v="4"/>
    <x v="0"/>
  </r>
  <r>
    <n v="49790592745"/>
    <n v="324"/>
    <x v="151"/>
    <s v=""/>
    <x v="4"/>
    <x v="0"/>
  </r>
  <r>
    <n v="94482058249"/>
    <n v="208"/>
    <x v="152"/>
    <s v=""/>
    <x v="4"/>
    <x v="0"/>
  </r>
  <r>
    <n v="95039064613"/>
    <n v="140"/>
    <x v="152"/>
    <s v=""/>
    <x v="4"/>
    <x v="0"/>
  </r>
  <r>
    <n v="69950839372"/>
    <n v="107"/>
    <x v="152"/>
    <s v=""/>
    <x v="4"/>
    <x v="0"/>
  </r>
  <r>
    <n v="13854028152"/>
    <n v="43"/>
    <x v="152"/>
    <m/>
    <x v="4"/>
    <x v="0"/>
  </r>
  <r>
    <n v="22252100527"/>
    <n v="209"/>
    <x v="152"/>
    <d v="2034-11-13T00:00:00"/>
    <x v="4"/>
    <x v="6"/>
  </r>
  <r>
    <n v="32826524285"/>
    <n v="53"/>
    <x v="152"/>
    <s v=""/>
    <x v="4"/>
    <x v="0"/>
  </r>
  <r>
    <n v="16678967018"/>
    <n v="178"/>
    <x v="152"/>
    <s v=""/>
    <x v="4"/>
    <x v="0"/>
  </r>
  <r>
    <n v="66513461209"/>
    <n v="4"/>
    <x v="152"/>
    <m/>
    <x v="4"/>
    <x v="0"/>
  </r>
  <r>
    <n v="79940394520"/>
    <n v="128"/>
    <x v="152"/>
    <s v=""/>
    <x v="4"/>
    <x v="0"/>
  </r>
  <r>
    <n v="62823160189"/>
    <n v="142"/>
    <x v="152"/>
    <s v=""/>
    <x v="4"/>
    <x v="0"/>
  </r>
  <r>
    <n v="61626726302"/>
    <n v="221"/>
    <x v="152"/>
    <s v=""/>
    <x v="4"/>
    <x v="0"/>
  </r>
  <r>
    <n v="20397501117"/>
    <n v="161"/>
    <x v="152"/>
    <s v=""/>
    <x v="4"/>
    <x v="0"/>
  </r>
  <r>
    <n v="12853342076"/>
    <n v="310"/>
    <x v="152"/>
    <d v="2034-11-27T00:00:00"/>
    <x v="4"/>
    <x v="6"/>
  </r>
  <r>
    <n v="91628101789"/>
    <n v="186"/>
    <x v="152"/>
    <s v=""/>
    <x v="4"/>
    <x v="0"/>
  </r>
  <r>
    <n v="99358920285"/>
    <n v="241"/>
    <x v="152"/>
    <m/>
    <x v="4"/>
    <x v="0"/>
  </r>
  <r>
    <n v="73355453787"/>
    <n v="80"/>
    <x v="152"/>
    <d v="2034-11-13T00:00:00"/>
    <x v="4"/>
    <x v="6"/>
  </r>
  <r>
    <n v="47874081684"/>
    <n v="87"/>
    <x v="152"/>
    <s v=""/>
    <x v="4"/>
    <x v="0"/>
  </r>
  <r>
    <n v="93451251762"/>
    <n v="85"/>
    <x v="152"/>
    <d v="2035-01-21T00:00:00"/>
    <x v="4"/>
    <x v="8"/>
  </r>
  <r>
    <n v="92824855029"/>
    <n v="289"/>
    <x v="152"/>
    <m/>
    <x v="4"/>
    <x v="0"/>
  </r>
  <r>
    <n v="89539417845"/>
    <n v="48"/>
    <x v="152"/>
    <s v=""/>
    <x v="4"/>
    <x v="0"/>
  </r>
  <r>
    <n v="85487640216"/>
    <n v="130"/>
    <x v="152"/>
    <s v=""/>
    <x v="4"/>
    <x v="0"/>
  </r>
  <r>
    <n v="69900805982"/>
    <n v="1"/>
    <x v="152"/>
    <m/>
    <x v="4"/>
    <x v="0"/>
  </r>
  <r>
    <n v="79712514708"/>
    <n v="172"/>
    <x v="152"/>
    <s v=""/>
    <x v="4"/>
    <x v="0"/>
  </r>
  <r>
    <n v="88595544254"/>
    <n v="321"/>
    <x v="152"/>
    <d v="2034-12-07T00:00:00"/>
    <x v="4"/>
    <x v="7"/>
  </r>
  <r>
    <n v="84841398495"/>
    <n v="282"/>
    <x v="152"/>
    <s v=""/>
    <x v="4"/>
    <x v="0"/>
  </r>
  <r>
    <n v="86702901266"/>
    <n v="205"/>
    <x v="152"/>
    <s v=""/>
    <x v="4"/>
    <x v="0"/>
  </r>
  <r>
    <n v="73431008344"/>
    <n v="293"/>
    <x v="153"/>
    <m/>
    <x v="5"/>
    <x v="0"/>
  </r>
  <r>
    <n v="60414751167"/>
    <n v="224"/>
    <x v="153"/>
    <s v=""/>
    <x v="5"/>
    <x v="0"/>
  </r>
  <r>
    <n v="14390864292"/>
    <n v="138"/>
    <x v="153"/>
    <s v=""/>
    <x v="5"/>
    <x v="0"/>
  </r>
  <r>
    <n v="53343721370"/>
    <n v="215"/>
    <x v="153"/>
    <s v=""/>
    <x v="5"/>
    <x v="0"/>
  </r>
  <r>
    <n v="15226306478"/>
    <n v="270"/>
    <x v="153"/>
    <m/>
    <x v="5"/>
    <x v="0"/>
  </r>
  <r>
    <n v="63464425582"/>
    <n v="321"/>
    <x v="153"/>
    <d v="2034-11-29T00:00:00"/>
    <x v="5"/>
    <x v="6"/>
  </r>
  <r>
    <n v="83482213004"/>
    <n v="146"/>
    <x v="153"/>
    <s v=""/>
    <x v="5"/>
    <x v="0"/>
  </r>
  <r>
    <n v="98284519106"/>
    <n v="312"/>
    <x v="153"/>
    <s v=""/>
    <x v="5"/>
    <x v="0"/>
  </r>
  <r>
    <n v="11365796009"/>
    <n v="212"/>
    <x v="153"/>
    <s v=""/>
    <x v="5"/>
    <x v="0"/>
  </r>
  <r>
    <n v="68317089597"/>
    <n v="161"/>
    <x v="153"/>
    <s v=""/>
    <x v="5"/>
    <x v="0"/>
  </r>
  <r>
    <n v="44358071099"/>
    <n v="326"/>
    <x v="153"/>
    <s v=""/>
    <x v="5"/>
    <x v="0"/>
  </r>
  <r>
    <n v="53092952981"/>
    <n v="187"/>
    <x v="153"/>
    <s v=""/>
    <x v="5"/>
    <x v="0"/>
  </r>
  <r>
    <n v="69732942066"/>
    <n v="115"/>
    <x v="153"/>
    <s v=""/>
    <x v="5"/>
    <x v="0"/>
  </r>
  <r>
    <n v="37964955590"/>
    <n v="73"/>
    <x v="153"/>
    <d v="2034-12-02T00:00:00"/>
    <x v="5"/>
    <x v="7"/>
  </r>
  <r>
    <n v="11774765105"/>
    <n v="274"/>
    <x v="153"/>
    <s v=""/>
    <x v="5"/>
    <x v="0"/>
  </r>
  <r>
    <n v="71301480012"/>
    <n v="100"/>
    <x v="153"/>
    <m/>
    <x v="5"/>
    <x v="0"/>
  </r>
  <r>
    <n v="87278934462"/>
    <n v="261"/>
    <x v="153"/>
    <s v=""/>
    <x v="5"/>
    <x v="0"/>
  </r>
  <r>
    <n v="66057563059"/>
    <n v="254"/>
    <x v="153"/>
    <s v=""/>
    <x v="5"/>
    <x v="0"/>
  </r>
  <r>
    <n v="49933838132"/>
    <n v="151"/>
    <x v="153"/>
    <d v="2034-11-17T00:00:00"/>
    <x v="5"/>
    <x v="6"/>
  </r>
  <r>
    <n v="63226141491"/>
    <n v="106"/>
    <x v="153"/>
    <d v="2034-12-04T00:00:00"/>
    <x v="5"/>
    <x v="7"/>
  </r>
  <r>
    <n v="49457120315"/>
    <n v="231"/>
    <x v="153"/>
    <s v=""/>
    <x v="5"/>
    <x v="0"/>
  </r>
  <r>
    <n v="88328568340"/>
    <n v="18"/>
    <x v="153"/>
    <s v=""/>
    <x v="5"/>
    <x v="0"/>
  </r>
  <r>
    <n v="45296921784"/>
    <n v="250"/>
    <x v="154"/>
    <s v=""/>
    <x v="5"/>
    <x v="0"/>
  </r>
  <r>
    <n v="54238032131"/>
    <n v="336"/>
    <x v="154"/>
    <s v=""/>
    <x v="5"/>
    <x v="0"/>
  </r>
  <r>
    <n v="29469630471"/>
    <n v="138"/>
    <x v="154"/>
    <s v=""/>
    <x v="5"/>
    <x v="0"/>
  </r>
  <r>
    <n v="16618480282"/>
    <n v="256"/>
    <x v="154"/>
    <s v=""/>
    <x v="5"/>
    <x v="0"/>
  </r>
  <r>
    <n v="89115580282"/>
    <n v="120"/>
    <x v="154"/>
    <m/>
    <x v="5"/>
    <x v="0"/>
  </r>
  <r>
    <n v="65587820291"/>
    <n v="327"/>
    <x v="154"/>
    <s v=""/>
    <x v="5"/>
    <x v="0"/>
  </r>
  <r>
    <n v="41326493935"/>
    <n v="226"/>
    <x v="154"/>
    <m/>
    <x v="5"/>
    <x v="0"/>
  </r>
  <r>
    <n v="46850560780"/>
    <n v="3"/>
    <x v="154"/>
    <d v="2035-02-23T00:00:00"/>
    <x v="5"/>
    <x v="9"/>
  </r>
  <r>
    <n v="55763920986"/>
    <n v="80"/>
    <x v="154"/>
    <s v=""/>
    <x v="5"/>
    <x v="0"/>
  </r>
  <r>
    <n v="90906306561"/>
    <n v="75"/>
    <x v="154"/>
    <s v=""/>
    <x v="5"/>
    <x v="0"/>
  </r>
  <r>
    <n v="56337324289"/>
    <n v="283"/>
    <x v="154"/>
    <s v=""/>
    <x v="5"/>
    <x v="0"/>
  </r>
  <r>
    <n v="72652142897"/>
    <n v="323"/>
    <x v="154"/>
    <s v=""/>
    <x v="5"/>
    <x v="0"/>
  </r>
  <r>
    <n v="59275795898"/>
    <n v="223"/>
    <x v="154"/>
    <m/>
    <x v="5"/>
    <x v="0"/>
  </r>
  <r>
    <n v="97823791708"/>
    <n v="139"/>
    <x v="154"/>
    <s v=""/>
    <x v="5"/>
    <x v="0"/>
  </r>
  <r>
    <n v="58082885359"/>
    <n v="163"/>
    <x v="154"/>
    <s v=""/>
    <x v="5"/>
    <x v="0"/>
  </r>
  <r>
    <n v="93793078923"/>
    <n v="241"/>
    <x v="154"/>
    <s v=""/>
    <x v="5"/>
    <x v="0"/>
  </r>
  <r>
    <n v="27737157121"/>
    <n v="179"/>
    <x v="154"/>
    <m/>
    <x v="5"/>
    <x v="0"/>
  </r>
  <r>
    <n v="90836795715"/>
    <n v="206"/>
    <x v="154"/>
    <s v=""/>
    <x v="5"/>
    <x v="0"/>
  </r>
  <r>
    <n v="57475872268"/>
    <n v="320"/>
    <x v="154"/>
    <s v=""/>
    <x v="5"/>
    <x v="0"/>
  </r>
  <r>
    <n v="57888879434"/>
    <n v="317"/>
    <x v="154"/>
    <d v="2034-12-27T00:00:00"/>
    <x v="5"/>
    <x v="7"/>
  </r>
  <r>
    <n v="23432824570"/>
    <n v="241"/>
    <x v="154"/>
    <d v="2035-01-29T00:00:00"/>
    <x v="5"/>
    <x v="8"/>
  </r>
  <r>
    <n v="84854577029"/>
    <n v="97"/>
    <x v="154"/>
    <d v="2034-12-07T00:00:00"/>
    <x v="5"/>
    <x v="7"/>
  </r>
  <r>
    <n v="64218864187"/>
    <n v="216"/>
    <x v="154"/>
    <s v=""/>
    <x v="5"/>
    <x v="0"/>
  </r>
  <r>
    <n v="37699238475"/>
    <n v="339"/>
    <x v="154"/>
    <s v=""/>
    <x v="5"/>
    <x v="0"/>
  </r>
  <r>
    <n v="58353041666"/>
    <n v="275"/>
    <x v="154"/>
    <s v=""/>
    <x v="5"/>
    <x v="0"/>
  </r>
  <r>
    <n v="94989118185"/>
    <n v="261"/>
    <x v="155"/>
    <s v=""/>
    <x v="5"/>
    <x v="0"/>
  </r>
  <r>
    <n v="40985433177"/>
    <n v="150"/>
    <x v="155"/>
    <d v="2034-11-11T00:00:00"/>
    <x v="5"/>
    <x v="6"/>
  </r>
  <r>
    <n v="53273126518"/>
    <n v="55"/>
    <x v="155"/>
    <s v=""/>
    <x v="5"/>
    <x v="0"/>
  </r>
  <r>
    <n v="67290850567"/>
    <n v="285"/>
    <x v="155"/>
    <d v="2034-12-21T00:00:00"/>
    <x v="5"/>
    <x v="7"/>
  </r>
  <r>
    <n v="35326229539"/>
    <n v="338"/>
    <x v="155"/>
    <d v="2034-12-31T00:00:00"/>
    <x v="5"/>
    <x v="7"/>
  </r>
  <r>
    <n v="17835923163"/>
    <n v="162"/>
    <x v="155"/>
    <s v=""/>
    <x v="5"/>
    <x v="0"/>
  </r>
  <r>
    <n v="59523464757"/>
    <n v="38"/>
    <x v="155"/>
    <s v=""/>
    <x v="5"/>
    <x v="0"/>
  </r>
  <r>
    <n v="87669310757"/>
    <n v="301"/>
    <x v="155"/>
    <m/>
    <x v="5"/>
    <x v="0"/>
  </r>
  <r>
    <n v="46452054964"/>
    <n v="202"/>
    <x v="155"/>
    <s v=""/>
    <x v="5"/>
    <x v="0"/>
  </r>
  <r>
    <n v="91875768128"/>
    <n v="43"/>
    <x v="155"/>
    <s v=""/>
    <x v="5"/>
    <x v="0"/>
  </r>
  <r>
    <n v="79743866174"/>
    <n v="103"/>
    <x v="155"/>
    <s v=""/>
    <x v="5"/>
    <x v="0"/>
  </r>
  <r>
    <n v="65326090765"/>
    <n v="112"/>
    <x v="155"/>
    <s v=""/>
    <x v="5"/>
    <x v="0"/>
  </r>
  <r>
    <n v="66478173548"/>
    <n v="69"/>
    <x v="155"/>
    <m/>
    <x v="5"/>
    <x v="0"/>
  </r>
  <r>
    <n v="84864648200"/>
    <n v="291"/>
    <x v="155"/>
    <d v="2034-12-03T00:00:00"/>
    <x v="5"/>
    <x v="7"/>
  </r>
  <r>
    <n v="23473957090"/>
    <n v="247"/>
    <x v="155"/>
    <s v=""/>
    <x v="5"/>
    <x v="0"/>
  </r>
  <r>
    <n v="48735311039"/>
    <n v="334"/>
    <x v="155"/>
    <d v="2034-11-13T00:00:00"/>
    <x v="5"/>
    <x v="6"/>
  </r>
  <r>
    <n v="16279871640"/>
    <n v="244"/>
    <x v="155"/>
    <s v=""/>
    <x v="5"/>
    <x v="0"/>
  </r>
  <r>
    <n v="19337276947"/>
    <n v="185"/>
    <x v="155"/>
    <s v=""/>
    <x v="5"/>
    <x v="0"/>
  </r>
  <r>
    <n v="15286857942"/>
    <n v="237"/>
    <x v="155"/>
    <d v="2035-01-16T00:00:00"/>
    <x v="5"/>
    <x v="8"/>
  </r>
  <r>
    <n v="21948448915"/>
    <n v="155"/>
    <x v="155"/>
    <s v=""/>
    <x v="5"/>
    <x v="0"/>
  </r>
  <r>
    <n v="99677506067"/>
    <n v="143"/>
    <x v="155"/>
    <s v=""/>
    <x v="5"/>
    <x v="0"/>
  </r>
  <r>
    <n v="80198731336"/>
    <n v="317"/>
    <x v="155"/>
    <s v=""/>
    <x v="5"/>
    <x v="0"/>
  </r>
  <r>
    <n v="67641971460"/>
    <n v="134"/>
    <x v="155"/>
    <d v="2035-02-25T00:00:00"/>
    <x v="5"/>
    <x v="9"/>
  </r>
  <r>
    <n v="59303411550"/>
    <n v="85"/>
    <x v="155"/>
    <s v=""/>
    <x v="5"/>
    <x v="0"/>
  </r>
  <r>
    <n v="94977661471"/>
    <n v="252"/>
    <x v="155"/>
    <m/>
    <x v="5"/>
    <x v="0"/>
  </r>
  <r>
    <n v="79686173933"/>
    <n v="192"/>
    <x v="155"/>
    <s v=""/>
    <x v="5"/>
    <x v="0"/>
  </r>
  <r>
    <n v="21485551291"/>
    <n v="4"/>
    <x v="155"/>
    <s v=""/>
    <x v="5"/>
    <x v="0"/>
  </r>
  <r>
    <n v="47241587450"/>
    <n v="97"/>
    <x v="156"/>
    <s v=""/>
    <x v="5"/>
    <x v="0"/>
  </r>
  <r>
    <n v="97813823141"/>
    <n v="100"/>
    <x v="156"/>
    <m/>
    <x v="5"/>
    <x v="0"/>
  </r>
  <r>
    <n v="90925052820"/>
    <n v="281"/>
    <x v="156"/>
    <s v=""/>
    <x v="5"/>
    <x v="0"/>
  </r>
  <r>
    <n v="34610529657"/>
    <n v="141"/>
    <x v="156"/>
    <d v="2034-11-16T00:00:00"/>
    <x v="5"/>
    <x v="6"/>
  </r>
  <r>
    <n v="89473865213"/>
    <n v="179"/>
    <x v="156"/>
    <s v=""/>
    <x v="5"/>
    <x v="0"/>
  </r>
  <r>
    <n v="93644223613"/>
    <n v="120"/>
    <x v="156"/>
    <s v=""/>
    <x v="5"/>
    <x v="0"/>
  </r>
  <r>
    <n v="57133383762"/>
    <n v="245"/>
    <x v="156"/>
    <d v="2034-12-09T00:00:00"/>
    <x v="5"/>
    <x v="7"/>
  </r>
  <r>
    <n v="34043559282"/>
    <n v="213"/>
    <x v="156"/>
    <m/>
    <x v="5"/>
    <x v="0"/>
  </r>
  <r>
    <n v="97055583042"/>
    <n v="182"/>
    <x v="156"/>
    <s v=""/>
    <x v="5"/>
    <x v="0"/>
  </r>
  <r>
    <n v="91124283544"/>
    <n v="157"/>
    <x v="156"/>
    <s v=""/>
    <x v="5"/>
    <x v="0"/>
  </r>
  <r>
    <n v="48931632276"/>
    <n v="277"/>
    <x v="156"/>
    <s v=""/>
    <x v="5"/>
    <x v="0"/>
  </r>
  <r>
    <n v="17552952025"/>
    <n v="41"/>
    <x v="156"/>
    <s v=""/>
    <x v="5"/>
    <x v="0"/>
  </r>
  <r>
    <n v="85570064252"/>
    <n v="177"/>
    <x v="156"/>
    <d v="2034-12-20T00:00:00"/>
    <x v="5"/>
    <x v="7"/>
  </r>
  <r>
    <n v="43309274394"/>
    <n v="102"/>
    <x v="156"/>
    <s v=""/>
    <x v="5"/>
    <x v="0"/>
  </r>
  <r>
    <n v="68708286498"/>
    <n v="82"/>
    <x v="156"/>
    <s v=""/>
    <x v="5"/>
    <x v="0"/>
  </r>
  <r>
    <n v="74646317151"/>
    <n v="272"/>
    <x v="156"/>
    <s v=""/>
    <x v="5"/>
    <x v="0"/>
  </r>
  <r>
    <n v="18454144281"/>
    <n v="338"/>
    <x v="156"/>
    <m/>
    <x v="5"/>
    <x v="0"/>
  </r>
  <r>
    <n v="79094715618"/>
    <n v="60"/>
    <x v="156"/>
    <s v=""/>
    <x v="5"/>
    <x v="0"/>
  </r>
  <r>
    <n v="76664386369"/>
    <n v="149"/>
    <x v="156"/>
    <s v=""/>
    <x v="5"/>
    <x v="0"/>
  </r>
  <r>
    <n v="62886413295"/>
    <n v="32"/>
    <x v="157"/>
    <d v="2035-01-21T00:00:00"/>
    <x v="5"/>
    <x v="8"/>
  </r>
  <r>
    <n v="42565731439"/>
    <n v="304"/>
    <x v="157"/>
    <m/>
    <x v="5"/>
    <x v="0"/>
  </r>
  <r>
    <n v="87129111962"/>
    <n v="10"/>
    <x v="157"/>
    <d v="2035-01-26T00:00:00"/>
    <x v="5"/>
    <x v="8"/>
  </r>
  <r>
    <n v="95804269227"/>
    <n v="45"/>
    <x v="157"/>
    <s v=""/>
    <x v="5"/>
    <x v="0"/>
  </r>
  <r>
    <n v="88996112362"/>
    <n v="298"/>
    <x v="157"/>
    <s v=""/>
    <x v="5"/>
    <x v="0"/>
  </r>
  <r>
    <n v="44298744272"/>
    <n v="73"/>
    <x v="157"/>
    <m/>
    <x v="5"/>
    <x v="0"/>
  </r>
  <r>
    <n v="45536133650"/>
    <n v="122"/>
    <x v="157"/>
    <s v=""/>
    <x v="5"/>
    <x v="0"/>
  </r>
  <r>
    <n v="24880520183"/>
    <n v="233"/>
    <x v="157"/>
    <m/>
    <x v="5"/>
    <x v="0"/>
  </r>
  <r>
    <n v="98471293418"/>
    <n v="153"/>
    <x v="157"/>
    <s v=""/>
    <x v="5"/>
    <x v="0"/>
  </r>
  <r>
    <n v="82242771380"/>
    <n v="135"/>
    <x v="157"/>
    <s v=""/>
    <x v="5"/>
    <x v="0"/>
  </r>
  <r>
    <n v="71627802683"/>
    <n v="259"/>
    <x v="157"/>
    <d v="2034-11-11T00:00:00"/>
    <x v="5"/>
    <x v="6"/>
  </r>
  <r>
    <n v="59491568994"/>
    <n v="36"/>
    <x v="157"/>
    <d v="2034-11-08T00:00:00"/>
    <x v="5"/>
    <x v="6"/>
  </r>
  <r>
    <n v="19682791251"/>
    <n v="133"/>
    <x v="157"/>
    <m/>
    <x v="5"/>
    <x v="0"/>
  </r>
  <r>
    <n v="68121327394"/>
    <n v="42"/>
    <x v="157"/>
    <s v=""/>
    <x v="5"/>
    <x v="0"/>
  </r>
  <r>
    <n v="51946366183"/>
    <n v="151"/>
    <x v="157"/>
    <s v=""/>
    <x v="5"/>
    <x v="0"/>
  </r>
  <r>
    <n v="12715145371"/>
    <n v="43"/>
    <x v="157"/>
    <s v=""/>
    <x v="5"/>
    <x v="0"/>
  </r>
  <r>
    <n v="69442374568"/>
    <n v="173"/>
    <x v="157"/>
    <d v="2035-01-08T00:00:00"/>
    <x v="5"/>
    <x v="8"/>
  </r>
  <r>
    <n v="81307326156"/>
    <n v="58"/>
    <x v="157"/>
    <s v=""/>
    <x v="5"/>
    <x v="0"/>
  </r>
  <r>
    <n v="86272797966"/>
    <n v="88"/>
    <x v="157"/>
    <s v=""/>
    <x v="5"/>
    <x v="0"/>
  </r>
  <r>
    <n v="44386982453"/>
    <n v="337"/>
    <x v="157"/>
    <s v=""/>
    <x v="5"/>
    <x v="0"/>
  </r>
  <r>
    <n v="28015252492"/>
    <n v="163"/>
    <x v="157"/>
    <s v=""/>
    <x v="5"/>
    <x v="0"/>
  </r>
  <r>
    <n v="53019104778"/>
    <n v="213"/>
    <x v="157"/>
    <d v="2035-02-05T00:00:00"/>
    <x v="5"/>
    <x v="9"/>
  </r>
  <r>
    <n v="20978596617"/>
    <n v="282"/>
    <x v="157"/>
    <d v="2035-01-13T00:00:00"/>
    <x v="5"/>
    <x v="8"/>
  </r>
  <r>
    <n v="66047257288"/>
    <n v="286"/>
    <x v="157"/>
    <s v=""/>
    <x v="5"/>
    <x v="0"/>
  </r>
  <r>
    <n v="34549940014"/>
    <n v="135"/>
    <x v="158"/>
    <s v=""/>
    <x v="5"/>
    <x v="0"/>
  </r>
  <r>
    <n v="20763138714"/>
    <n v="60"/>
    <x v="158"/>
    <s v=""/>
    <x v="5"/>
    <x v="0"/>
  </r>
  <r>
    <n v="73677344695"/>
    <n v="201"/>
    <x v="158"/>
    <s v=""/>
    <x v="5"/>
    <x v="0"/>
  </r>
  <r>
    <n v="99378616762"/>
    <n v="216"/>
    <x v="158"/>
    <m/>
    <x v="5"/>
    <x v="0"/>
  </r>
  <r>
    <n v="90777050133"/>
    <n v="213"/>
    <x v="158"/>
    <m/>
    <x v="5"/>
    <x v="0"/>
  </r>
  <r>
    <n v="41325742931"/>
    <n v="89"/>
    <x v="158"/>
    <s v=""/>
    <x v="5"/>
    <x v="0"/>
  </r>
  <r>
    <n v="21615659434"/>
    <n v="159"/>
    <x v="158"/>
    <s v=""/>
    <x v="5"/>
    <x v="0"/>
  </r>
  <r>
    <n v="39918304005"/>
    <n v="173"/>
    <x v="158"/>
    <d v="2035-01-17T00:00:00"/>
    <x v="5"/>
    <x v="8"/>
  </r>
  <r>
    <n v="77356193644"/>
    <n v="153"/>
    <x v="158"/>
    <s v=""/>
    <x v="5"/>
    <x v="0"/>
  </r>
  <r>
    <n v="95876768548"/>
    <n v="22"/>
    <x v="158"/>
    <m/>
    <x v="5"/>
    <x v="0"/>
  </r>
  <r>
    <n v="62531427656"/>
    <n v="155"/>
    <x v="158"/>
    <s v=""/>
    <x v="5"/>
    <x v="0"/>
  </r>
  <r>
    <n v="42957247148"/>
    <n v="180"/>
    <x v="158"/>
    <s v=""/>
    <x v="5"/>
    <x v="0"/>
  </r>
  <r>
    <n v="53934629853"/>
    <n v="233"/>
    <x v="158"/>
    <s v=""/>
    <x v="5"/>
    <x v="0"/>
  </r>
  <r>
    <n v="23769439023"/>
    <n v="91"/>
    <x v="158"/>
    <s v=""/>
    <x v="5"/>
    <x v="0"/>
  </r>
  <r>
    <n v="29830549842"/>
    <n v="273"/>
    <x v="158"/>
    <s v=""/>
    <x v="5"/>
    <x v="0"/>
  </r>
  <r>
    <n v="38848130458"/>
    <n v="296"/>
    <x v="158"/>
    <d v="2034-11-16T00:00:00"/>
    <x v="5"/>
    <x v="6"/>
  </r>
  <r>
    <n v="91925941326"/>
    <n v="153"/>
    <x v="158"/>
    <s v=""/>
    <x v="5"/>
    <x v="0"/>
  </r>
  <r>
    <n v="15997489135"/>
    <n v="220"/>
    <x v="158"/>
    <m/>
    <x v="5"/>
    <x v="0"/>
  </r>
  <r>
    <n v="66389979411"/>
    <n v="200"/>
    <x v="158"/>
    <s v=""/>
    <x v="5"/>
    <x v="0"/>
  </r>
  <r>
    <n v="45345419789"/>
    <n v="58"/>
    <x v="158"/>
    <s v=""/>
    <x v="5"/>
    <x v="0"/>
  </r>
  <r>
    <n v="54621370905"/>
    <n v="225"/>
    <x v="158"/>
    <d v="2035-02-26T00:00:00"/>
    <x v="5"/>
    <x v="9"/>
  </r>
  <r>
    <n v="92711010190"/>
    <n v="224"/>
    <x v="159"/>
    <m/>
    <x v="5"/>
    <x v="0"/>
  </r>
  <r>
    <n v="35658223131"/>
    <n v="50"/>
    <x v="159"/>
    <m/>
    <x v="5"/>
    <x v="0"/>
  </r>
  <r>
    <n v="30994756535"/>
    <n v="59"/>
    <x v="159"/>
    <s v=""/>
    <x v="5"/>
    <x v="0"/>
  </r>
  <r>
    <n v="98568779959"/>
    <n v="303"/>
    <x v="159"/>
    <d v="2035-02-06T00:00:00"/>
    <x v="5"/>
    <x v="9"/>
  </r>
  <r>
    <n v="89399866761"/>
    <n v="220"/>
    <x v="159"/>
    <s v=""/>
    <x v="5"/>
    <x v="0"/>
  </r>
  <r>
    <n v="83081215816"/>
    <n v="135"/>
    <x v="159"/>
    <s v=""/>
    <x v="5"/>
    <x v="0"/>
  </r>
  <r>
    <n v="13784945725"/>
    <n v="168"/>
    <x v="159"/>
    <s v=""/>
    <x v="5"/>
    <x v="0"/>
  </r>
  <r>
    <n v="99865330200"/>
    <n v="124"/>
    <x v="159"/>
    <d v="2034-11-20T00:00:00"/>
    <x v="5"/>
    <x v="6"/>
  </r>
  <r>
    <n v="42021486300"/>
    <n v="320"/>
    <x v="159"/>
    <d v="2034-12-01T00:00:00"/>
    <x v="5"/>
    <x v="7"/>
  </r>
  <r>
    <n v="96855774955"/>
    <n v="110"/>
    <x v="159"/>
    <d v="2034-11-18T00:00:00"/>
    <x v="5"/>
    <x v="6"/>
  </r>
  <r>
    <n v="54457161116"/>
    <n v="299"/>
    <x v="159"/>
    <s v=""/>
    <x v="5"/>
    <x v="0"/>
  </r>
  <r>
    <n v="81948373860"/>
    <n v="141"/>
    <x v="159"/>
    <s v=""/>
    <x v="5"/>
    <x v="0"/>
  </r>
  <r>
    <n v="85556855136"/>
    <n v="6"/>
    <x v="159"/>
    <s v=""/>
    <x v="5"/>
    <x v="0"/>
  </r>
  <r>
    <n v="57071622182"/>
    <n v="97"/>
    <x v="159"/>
    <s v=""/>
    <x v="5"/>
    <x v="0"/>
  </r>
  <r>
    <n v="58626026337"/>
    <n v="229"/>
    <x v="159"/>
    <s v=""/>
    <x v="5"/>
    <x v="0"/>
  </r>
  <r>
    <n v="23895472816"/>
    <n v="29"/>
    <x v="159"/>
    <s v=""/>
    <x v="5"/>
    <x v="0"/>
  </r>
  <r>
    <n v="88916340752"/>
    <n v="16"/>
    <x v="159"/>
    <s v=""/>
    <x v="5"/>
    <x v="0"/>
  </r>
  <r>
    <n v="33962193213"/>
    <n v="163"/>
    <x v="159"/>
    <m/>
    <x v="5"/>
    <x v="0"/>
  </r>
  <r>
    <n v="51278801845"/>
    <n v="196"/>
    <x v="159"/>
    <m/>
    <x v="5"/>
    <x v="0"/>
  </r>
  <r>
    <n v="23963775829"/>
    <n v="307"/>
    <x v="159"/>
    <s v=""/>
    <x v="5"/>
    <x v="0"/>
  </r>
  <r>
    <n v="70529744093"/>
    <n v="257"/>
    <x v="159"/>
    <s v=""/>
    <x v="5"/>
    <x v="0"/>
  </r>
  <r>
    <n v="18986497979"/>
    <n v="202"/>
    <x v="159"/>
    <s v=""/>
    <x v="5"/>
    <x v="0"/>
  </r>
  <r>
    <n v="83307987628"/>
    <n v="197"/>
    <x v="160"/>
    <m/>
    <x v="5"/>
    <x v="0"/>
  </r>
  <r>
    <n v="74955025223"/>
    <n v="132"/>
    <x v="160"/>
    <d v="2034-12-24T00:00:00"/>
    <x v="5"/>
    <x v="7"/>
  </r>
  <r>
    <n v="57200473598"/>
    <n v="173"/>
    <x v="160"/>
    <d v="2034-12-15T00:00:00"/>
    <x v="5"/>
    <x v="7"/>
  </r>
  <r>
    <n v="15069494571"/>
    <n v="136"/>
    <x v="160"/>
    <d v="2035-01-30T00:00:00"/>
    <x v="5"/>
    <x v="8"/>
  </r>
  <r>
    <n v="57919193352"/>
    <n v="25"/>
    <x v="160"/>
    <s v=""/>
    <x v="5"/>
    <x v="0"/>
  </r>
  <r>
    <n v="21474586374"/>
    <n v="11"/>
    <x v="160"/>
    <s v=""/>
    <x v="5"/>
    <x v="0"/>
  </r>
  <r>
    <n v="42142804779"/>
    <n v="87"/>
    <x v="160"/>
    <d v="2034-11-20T00:00:00"/>
    <x v="5"/>
    <x v="6"/>
  </r>
  <r>
    <n v="31711479332"/>
    <n v="66"/>
    <x v="160"/>
    <s v=""/>
    <x v="5"/>
    <x v="0"/>
  </r>
  <r>
    <n v="54987182870"/>
    <n v="129"/>
    <x v="160"/>
    <s v=""/>
    <x v="5"/>
    <x v="0"/>
  </r>
  <r>
    <n v="45178526704"/>
    <n v="60"/>
    <x v="160"/>
    <m/>
    <x v="5"/>
    <x v="0"/>
  </r>
  <r>
    <n v="29980664418"/>
    <n v="201"/>
    <x v="160"/>
    <s v=""/>
    <x v="5"/>
    <x v="0"/>
  </r>
  <r>
    <n v="80974750061"/>
    <n v="302"/>
    <x v="160"/>
    <m/>
    <x v="5"/>
    <x v="0"/>
  </r>
  <r>
    <n v="37802804867"/>
    <n v="305"/>
    <x v="160"/>
    <s v=""/>
    <x v="5"/>
    <x v="0"/>
  </r>
  <r>
    <n v="82255561143"/>
    <n v="215"/>
    <x v="160"/>
    <s v=""/>
    <x v="5"/>
    <x v="0"/>
  </r>
  <r>
    <n v="76122268021"/>
    <n v="229"/>
    <x v="160"/>
    <s v=""/>
    <x v="5"/>
    <x v="0"/>
  </r>
  <r>
    <n v="81260954979"/>
    <n v="202"/>
    <x v="160"/>
    <d v="2034-12-30T00:00:00"/>
    <x v="5"/>
    <x v="7"/>
  </r>
  <r>
    <n v="12148870867"/>
    <n v="33"/>
    <x v="160"/>
    <s v=""/>
    <x v="5"/>
    <x v="0"/>
  </r>
  <r>
    <n v="26174536206"/>
    <n v="336"/>
    <x v="160"/>
    <d v="2034-12-12T00:00:00"/>
    <x v="5"/>
    <x v="7"/>
  </r>
  <r>
    <n v="37182409851"/>
    <n v="232"/>
    <x v="160"/>
    <d v="2034-12-27T00:00:00"/>
    <x v="5"/>
    <x v="7"/>
  </r>
  <r>
    <n v="15626844095"/>
    <n v="69"/>
    <x v="160"/>
    <d v="2035-02-19T00:00:00"/>
    <x v="5"/>
    <x v="9"/>
  </r>
  <r>
    <n v="89152148352"/>
    <n v="327"/>
    <x v="160"/>
    <d v="2035-01-16T00:00:00"/>
    <x v="5"/>
    <x v="8"/>
  </r>
  <r>
    <n v="18147186615"/>
    <n v="124"/>
    <x v="160"/>
    <m/>
    <x v="5"/>
    <x v="0"/>
  </r>
  <r>
    <n v="11229144291"/>
    <n v="192"/>
    <x v="160"/>
    <s v=""/>
    <x v="5"/>
    <x v="0"/>
  </r>
  <r>
    <n v="62390546236"/>
    <n v="170"/>
    <x v="160"/>
    <s v=""/>
    <x v="5"/>
    <x v="0"/>
  </r>
  <r>
    <n v="76713057313"/>
    <n v="326"/>
    <x v="160"/>
    <s v=""/>
    <x v="5"/>
    <x v="0"/>
  </r>
  <r>
    <n v="14573751143"/>
    <n v="153"/>
    <x v="160"/>
    <d v="2035-01-05T00:00:00"/>
    <x v="5"/>
    <x v="8"/>
  </r>
  <r>
    <n v="63622225922"/>
    <n v="281"/>
    <x v="160"/>
    <s v=""/>
    <x v="5"/>
    <x v="0"/>
  </r>
  <r>
    <n v="57221242212"/>
    <n v="61"/>
    <x v="160"/>
    <s v=""/>
    <x v="5"/>
    <x v="0"/>
  </r>
  <r>
    <n v="88359318823"/>
    <n v="70"/>
    <x v="160"/>
    <s v=""/>
    <x v="5"/>
    <x v="0"/>
  </r>
  <r>
    <n v="61779693557"/>
    <n v="227"/>
    <x v="160"/>
    <s v=""/>
    <x v="5"/>
    <x v="0"/>
  </r>
  <r>
    <n v="92641164721"/>
    <n v="177"/>
    <x v="160"/>
    <s v=""/>
    <x v="5"/>
    <x v="0"/>
  </r>
  <r>
    <n v="86870957496"/>
    <n v="287"/>
    <x v="160"/>
    <s v=""/>
    <x v="5"/>
    <x v="0"/>
  </r>
  <r>
    <n v="61101310262"/>
    <n v="130"/>
    <x v="160"/>
    <s v=""/>
    <x v="5"/>
    <x v="0"/>
  </r>
  <r>
    <n v="39695531837"/>
    <n v="150"/>
    <x v="160"/>
    <s v=""/>
    <x v="5"/>
    <x v="0"/>
  </r>
  <r>
    <n v="61010450180"/>
    <n v="292"/>
    <x v="161"/>
    <s v=""/>
    <x v="5"/>
    <x v="0"/>
  </r>
  <r>
    <n v="61905971105"/>
    <n v="278"/>
    <x v="161"/>
    <s v=""/>
    <x v="5"/>
    <x v="0"/>
  </r>
  <r>
    <n v="75898149397"/>
    <n v="193"/>
    <x v="161"/>
    <s v=""/>
    <x v="5"/>
    <x v="0"/>
  </r>
  <r>
    <n v="42190018356"/>
    <n v="168"/>
    <x v="161"/>
    <s v=""/>
    <x v="5"/>
    <x v="0"/>
  </r>
  <r>
    <n v="94225887736"/>
    <n v="337"/>
    <x v="161"/>
    <d v="2035-01-06T00:00:00"/>
    <x v="5"/>
    <x v="8"/>
  </r>
  <r>
    <n v="31677466991"/>
    <n v="132"/>
    <x v="161"/>
    <s v=""/>
    <x v="5"/>
    <x v="0"/>
  </r>
  <r>
    <n v="39308488120"/>
    <n v="239"/>
    <x v="161"/>
    <s v=""/>
    <x v="5"/>
    <x v="0"/>
  </r>
  <r>
    <n v="96372203090"/>
    <n v="23"/>
    <x v="161"/>
    <s v=""/>
    <x v="5"/>
    <x v="0"/>
  </r>
  <r>
    <n v="71478085824"/>
    <n v="251"/>
    <x v="161"/>
    <s v=""/>
    <x v="5"/>
    <x v="0"/>
  </r>
  <r>
    <n v="93711123446"/>
    <n v="63"/>
    <x v="161"/>
    <s v=""/>
    <x v="5"/>
    <x v="0"/>
  </r>
  <r>
    <n v="62924783085"/>
    <n v="293"/>
    <x v="161"/>
    <s v=""/>
    <x v="5"/>
    <x v="0"/>
  </r>
  <r>
    <n v="40799041043"/>
    <n v="165"/>
    <x v="161"/>
    <m/>
    <x v="5"/>
    <x v="0"/>
  </r>
  <r>
    <n v="70445595826"/>
    <n v="143"/>
    <x v="161"/>
    <m/>
    <x v="5"/>
    <x v="0"/>
  </r>
  <r>
    <n v="56938162943"/>
    <n v="200"/>
    <x v="161"/>
    <s v=""/>
    <x v="5"/>
    <x v="0"/>
  </r>
  <r>
    <n v="25188148464"/>
    <n v="167"/>
    <x v="161"/>
    <s v=""/>
    <x v="5"/>
    <x v="0"/>
  </r>
  <r>
    <n v="48834921734"/>
    <n v="129"/>
    <x v="161"/>
    <d v="2035-01-05T00:00:00"/>
    <x v="5"/>
    <x v="8"/>
  </r>
  <r>
    <n v="81805794905"/>
    <n v="7"/>
    <x v="161"/>
    <s v=""/>
    <x v="5"/>
    <x v="0"/>
  </r>
  <r>
    <n v="84702259066"/>
    <n v="78"/>
    <x v="161"/>
    <s v=""/>
    <x v="5"/>
    <x v="0"/>
  </r>
  <r>
    <n v="68088856820"/>
    <n v="195"/>
    <x v="161"/>
    <s v=""/>
    <x v="5"/>
    <x v="0"/>
  </r>
  <r>
    <n v="61354385873"/>
    <n v="119"/>
    <x v="162"/>
    <d v="2034-12-18T00:00:00"/>
    <x v="5"/>
    <x v="7"/>
  </r>
  <r>
    <n v="85355237694"/>
    <n v="168"/>
    <x v="162"/>
    <m/>
    <x v="5"/>
    <x v="0"/>
  </r>
  <r>
    <n v="59458673745"/>
    <n v="69"/>
    <x v="162"/>
    <d v="2035-02-02T00:00:00"/>
    <x v="5"/>
    <x v="9"/>
  </r>
  <r>
    <n v="33129629453"/>
    <n v="262"/>
    <x v="162"/>
    <s v=""/>
    <x v="5"/>
    <x v="0"/>
  </r>
  <r>
    <n v="77112101683"/>
    <n v="64"/>
    <x v="162"/>
    <m/>
    <x v="5"/>
    <x v="0"/>
  </r>
  <r>
    <n v="64640752944"/>
    <n v="234"/>
    <x v="162"/>
    <s v=""/>
    <x v="5"/>
    <x v="0"/>
  </r>
  <r>
    <n v="65628961403"/>
    <n v="31"/>
    <x v="162"/>
    <s v=""/>
    <x v="5"/>
    <x v="0"/>
  </r>
  <r>
    <n v="86556968227"/>
    <n v="248"/>
    <x v="162"/>
    <m/>
    <x v="5"/>
    <x v="0"/>
  </r>
  <r>
    <n v="72389496501"/>
    <n v="22"/>
    <x v="162"/>
    <s v=""/>
    <x v="5"/>
    <x v="0"/>
  </r>
  <r>
    <n v="40531265159"/>
    <n v="4"/>
    <x v="162"/>
    <m/>
    <x v="5"/>
    <x v="0"/>
  </r>
  <r>
    <n v="93183639826"/>
    <n v="177"/>
    <x v="162"/>
    <s v=""/>
    <x v="5"/>
    <x v="0"/>
  </r>
  <r>
    <n v="11955524165"/>
    <n v="243"/>
    <x v="162"/>
    <d v="2035-01-21T00:00:00"/>
    <x v="5"/>
    <x v="8"/>
  </r>
  <r>
    <n v="29036022811"/>
    <n v="248"/>
    <x v="162"/>
    <s v=""/>
    <x v="5"/>
    <x v="0"/>
  </r>
  <r>
    <n v="51993170769"/>
    <n v="154"/>
    <x v="162"/>
    <s v=""/>
    <x v="5"/>
    <x v="0"/>
  </r>
  <r>
    <n v="80983762116"/>
    <n v="92"/>
    <x v="162"/>
    <m/>
    <x v="5"/>
    <x v="0"/>
  </r>
  <r>
    <n v="34898943953"/>
    <n v="204"/>
    <x v="162"/>
    <d v="2035-02-15T00:00:00"/>
    <x v="5"/>
    <x v="9"/>
  </r>
  <r>
    <n v="60516447993"/>
    <n v="250"/>
    <x v="162"/>
    <s v=""/>
    <x v="5"/>
    <x v="0"/>
  </r>
  <r>
    <n v="65644830028"/>
    <n v="139"/>
    <x v="162"/>
    <s v=""/>
    <x v="5"/>
    <x v="0"/>
  </r>
  <r>
    <n v="40729688048"/>
    <n v="238"/>
    <x v="162"/>
    <s v=""/>
    <x v="5"/>
    <x v="0"/>
  </r>
  <r>
    <n v="72591538768"/>
    <n v="28"/>
    <x v="162"/>
    <s v=""/>
    <x v="5"/>
    <x v="0"/>
  </r>
  <r>
    <n v="60430817681"/>
    <n v="81"/>
    <x v="162"/>
    <s v=""/>
    <x v="5"/>
    <x v="0"/>
  </r>
  <r>
    <n v="65172109327"/>
    <n v="167"/>
    <x v="162"/>
    <s v=""/>
    <x v="5"/>
    <x v="0"/>
  </r>
  <r>
    <n v="91612516747"/>
    <n v="267"/>
    <x v="163"/>
    <s v=""/>
    <x v="5"/>
    <x v="0"/>
  </r>
  <r>
    <n v="42819570826"/>
    <n v="290"/>
    <x v="163"/>
    <m/>
    <x v="5"/>
    <x v="0"/>
  </r>
  <r>
    <n v="75330527528"/>
    <n v="206"/>
    <x v="163"/>
    <s v=""/>
    <x v="5"/>
    <x v="0"/>
  </r>
  <r>
    <n v="69128786409"/>
    <n v="98"/>
    <x v="163"/>
    <s v=""/>
    <x v="5"/>
    <x v="0"/>
  </r>
  <r>
    <n v="70846766702"/>
    <n v="19"/>
    <x v="163"/>
    <d v="2034-12-22T00:00:00"/>
    <x v="5"/>
    <x v="7"/>
  </r>
  <r>
    <n v="63920668560"/>
    <n v="168"/>
    <x v="163"/>
    <s v=""/>
    <x v="5"/>
    <x v="0"/>
  </r>
  <r>
    <n v="74961473460"/>
    <n v="255"/>
    <x v="163"/>
    <s v=""/>
    <x v="5"/>
    <x v="0"/>
  </r>
  <r>
    <n v="46926771084"/>
    <n v="155"/>
    <x v="163"/>
    <s v=""/>
    <x v="5"/>
    <x v="0"/>
  </r>
  <r>
    <n v="56199565681"/>
    <n v="96"/>
    <x v="163"/>
    <m/>
    <x v="5"/>
    <x v="0"/>
  </r>
  <r>
    <n v="12848592963"/>
    <n v="340"/>
    <x v="163"/>
    <d v="2034-12-15T00:00:00"/>
    <x v="5"/>
    <x v="7"/>
  </r>
  <r>
    <n v="44706402754"/>
    <n v="15"/>
    <x v="163"/>
    <d v="2034-11-26T00:00:00"/>
    <x v="5"/>
    <x v="6"/>
  </r>
  <r>
    <n v="90190384459"/>
    <n v="336"/>
    <x v="163"/>
    <d v="2035-02-07T00:00:00"/>
    <x v="5"/>
    <x v="9"/>
  </r>
  <r>
    <n v="94799333602"/>
    <n v="291"/>
    <x v="163"/>
    <m/>
    <x v="5"/>
    <x v="0"/>
  </r>
  <r>
    <n v="58065742182"/>
    <n v="55"/>
    <x v="163"/>
    <s v=""/>
    <x v="5"/>
    <x v="0"/>
  </r>
  <r>
    <n v="78536763792"/>
    <n v="188"/>
    <x v="163"/>
    <s v=""/>
    <x v="5"/>
    <x v="0"/>
  </r>
  <r>
    <n v="96733658890"/>
    <n v="233"/>
    <x v="163"/>
    <m/>
    <x v="5"/>
    <x v="0"/>
  </r>
  <r>
    <n v="75502072394"/>
    <n v="310"/>
    <x v="163"/>
    <s v=""/>
    <x v="5"/>
    <x v="0"/>
  </r>
  <r>
    <n v="39404893230"/>
    <n v="36"/>
    <x v="163"/>
    <s v=""/>
    <x v="5"/>
    <x v="0"/>
  </r>
  <r>
    <n v="84638184762"/>
    <n v="80"/>
    <x v="163"/>
    <s v=""/>
    <x v="5"/>
    <x v="0"/>
  </r>
  <r>
    <n v="41436311721"/>
    <n v="115"/>
    <x v="163"/>
    <d v="2035-01-04T00:00:00"/>
    <x v="5"/>
    <x v="8"/>
  </r>
  <r>
    <n v="65645562296"/>
    <n v="55"/>
    <x v="163"/>
    <s v=""/>
    <x v="5"/>
    <x v="0"/>
  </r>
  <r>
    <n v="35033453653"/>
    <n v="275"/>
    <x v="163"/>
    <m/>
    <x v="5"/>
    <x v="0"/>
  </r>
  <r>
    <n v="41417133988"/>
    <n v="187"/>
    <x v="163"/>
    <s v=""/>
    <x v="5"/>
    <x v="0"/>
  </r>
  <r>
    <n v="76096733258"/>
    <n v="185"/>
    <x v="163"/>
    <d v="2035-01-10T00:00:00"/>
    <x v="5"/>
    <x v="8"/>
  </r>
  <r>
    <n v="97825270334"/>
    <n v="47"/>
    <x v="163"/>
    <s v=""/>
    <x v="5"/>
    <x v="0"/>
  </r>
  <r>
    <n v="65810738510"/>
    <n v="295"/>
    <x v="163"/>
    <d v="2034-11-11T00:00:00"/>
    <x v="5"/>
    <x v="6"/>
  </r>
  <r>
    <n v="52661356069"/>
    <n v="45"/>
    <x v="163"/>
    <m/>
    <x v="5"/>
    <x v="0"/>
  </r>
  <r>
    <n v="66681802966"/>
    <n v="173"/>
    <x v="163"/>
    <s v=""/>
    <x v="5"/>
    <x v="0"/>
  </r>
  <r>
    <n v="95022698798"/>
    <n v="174"/>
    <x v="163"/>
    <m/>
    <x v="5"/>
    <x v="0"/>
  </r>
  <r>
    <n v="66564405396"/>
    <n v="87"/>
    <x v="163"/>
    <m/>
    <x v="5"/>
    <x v="0"/>
  </r>
  <r>
    <n v="88746101606"/>
    <n v="166"/>
    <x v="164"/>
    <d v="2035-01-17T00:00:00"/>
    <x v="5"/>
    <x v="8"/>
  </r>
  <r>
    <n v="40959634387"/>
    <n v="163"/>
    <x v="164"/>
    <s v=""/>
    <x v="5"/>
    <x v="0"/>
  </r>
  <r>
    <n v="98075238859"/>
    <n v="256"/>
    <x v="164"/>
    <m/>
    <x v="5"/>
    <x v="0"/>
  </r>
  <r>
    <n v="68878855614"/>
    <n v="331"/>
    <x v="164"/>
    <d v="2034-11-14T00:00:00"/>
    <x v="5"/>
    <x v="6"/>
  </r>
  <r>
    <n v="44772920324"/>
    <n v="48"/>
    <x v="164"/>
    <s v=""/>
    <x v="5"/>
    <x v="0"/>
  </r>
  <r>
    <n v="58545598079"/>
    <n v="326"/>
    <x v="164"/>
    <d v="2035-02-10T00:00:00"/>
    <x v="5"/>
    <x v="9"/>
  </r>
  <r>
    <n v="47975120868"/>
    <n v="237"/>
    <x v="164"/>
    <s v=""/>
    <x v="5"/>
    <x v="0"/>
  </r>
  <r>
    <n v="73570767619"/>
    <n v="24"/>
    <x v="164"/>
    <s v=""/>
    <x v="5"/>
    <x v="0"/>
  </r>
  <r>
    <n v="78700098641"/>
    <n v="137"/>
    <x v="164"/>
    <s v=""/>
    <x v="5"/>
    <x v="0"/>
  </r>
  <r>
    <n v="65889550514"/>
    <n v="311"/>
    <x v="164"/>
    <d v="2034-12-05T00:00:00"/>
    <x v="5"/>
    <x v="7"/>
  </r>
  <r>
    <n v="82350793950"/>
    <n v="86"/>
    <x v="164"/>
    <s v=""/>
    <x v="5"/>
    <x v="0"/>
  </r>
  <r>
    <n v="59590460267"/>
    <n v="57"/>
    <x v="164"/>
    <m/>
    <x v="5"/>
    <x v="0"/>
  </r>
  <r>
    <n v="28297310528"/>
    <n v="311"/>
    <x v="164"/>
    <s v=""/>
    <x v="5"/>
    <x v="0"/>
  </r>
  <r>
    <n v="28769576993"/>
    <n v="290"/>
    <x v="164"/>
    <s v=""/>
    <x v="5"/>
    <x v="0"/>
  </r>
  <r>
    <n v="42546232682"/>
    <n v="74"/>
    <x v="164"/>
    <m/>
    <x v="5"/>
    <x v="0"/>
  </r>
  <r>
    <n v="31485202652"/>
    <n v="22"/>
    <x v="164"/>
    <d v="2035-01-31T00:00:00"/>
    <x v="5"/>
    <x v="8"/>
  </r>
  <r>
    <n v="18408025866"/>
    <n v="210"/>
    <x v="164"/>
    <s v=""/>
    <x v="5"/>
    <x v="0"/>
  </r>
  <r>
    <n v="68377674220"/>
    <n v="17"/>
    <x v="164"/>
    <m/>
    <x v="5"/>
    <x v="0"/>
  </r>
  <r>
    <n v="55829663153"/>
    <n v="249"/>
    <x v="164"/>
    <s v=""/>
    <x v="5"/>
    <x v="0"/>
  </r>
  <r>
    <n v="26907230947"/>
    <n v="128"/>
    <x v="164"/>
    <s v=""/>
    <x v="5"/>
    <x v="0"/>
  </r>
  <r>
    <n v="62064798614"/>
    <n v="93"/>
    <x v="164"/>
    <s v=""/>
    <x v="5"/>
    <x v="0"/>
  </r>
  <r>
    <n v="27907004314"/>
    <n v="194"/>
    <x v="164"/>
    <s v=""/>
    <x v="5"/>
    <x v="0"/>
  </r>
  <r>
    <n v="66896617864"/>
    <n v="51"/>
    <x v="164"/>
    <d v="2035-01-24T00:00:00"/>
    <x v="5"/>
    <x v="8"/>
  </r>
  <r>
    <n v="54538900078"/>
    <n v="237"/>
    <x v="164"/>
    <d v="2035-01-02T00:00:00"/>
    <x v="5"/>
    <x v="8"/>
  </r>
  <r>
    <n v="63923339188"/>
    <n v="130"/>
    <x v="165"/>
    <s v=""/>
    <x v="5"/>
    <x v="0"/>
  </r>
  <r>
    <n v="43438911018"/>
    <n v="249"/>
    <x v="165"/>
    <m/>
    <x v="5"/>
    <x v="0"/>
  </r>
  <r>
    <n v="34220821004"/>
    <n v="143"/>
    <x v="165"/>
    <d v="2035-02-28T00:00:00"/>
    <x v="5"/>
    <x v="9"/>
  </r>
  <r>
    <n v="80205912136"/>
    <n v="222"/>
    <x v="165"/>
    <d v="2034-12-29T00:00:00"/>
    <x v="5"/>
    <x v="7"/>
  </r>
  <r>
    <n v="37135556228"/>
    <n v="132"/>
    <x v="165"/>
    <m/>
    <x v="5"/>
    <x v="0"/>
  </r>
  <r>
    <n v="37263612740"/>
    <n v="290"/>
    <x v="165"/>
    <s v=""/>
    <x v="5"/>
    <x v="0"/>
  </r>
  <r>
    <n v="45139609039"/>
    <n v="154"/>
    <x v="165"/>
    <s v=""/>
    <x v="5"/>
    <x v="0"/>
  </r>
  <r>
    <n v="95061625362"/>
    <n v="189"/>
    <x v="165"/>
    <d v="2034-12-24T00:00:00"/>
    <x v="5"/>
    <x v="7"/>
  </r>
  <r>
    <n v="51738367624"/>
    <n v="260"/>
    <x v="165"/>
    <m/>
    <x v="5"/>
    <x v="0"/>
  </r>
  <r>
    <n v="41811177750"/>
    <n v="306"/>
    <x v="165"/>
    <d v="2035-02-15T00:00:00"/>
    <x v="5"/>
    <x v="9"/>
  </r>
  <r>
    <n v="65974539007"/>
    <n v="45"/>
    <x v="165"/>
    <d v="2035-02-05T00:00:00"/>
    <x v="5"/>
    <x v="9"/>
  </r>
  <r>
    <n v="43179394098"/>
    <n v="201"/>
    <x v="165"/>
    <s v=""/>
    <x v="5"/>
    <x v="0"/>
  </r>
  <r>
    <n v="86380520041"/>
    <n v="80"/>
    <x v="165"/>
    <s v=""/>
    <x v="5"/>
    <x v="0"/>
  </r>
  <r>
    <n v="30048480385"/>
    <n v="126"/>
    <x v="165"/>
    <m/>
    <x v="5"/>
    <x v="0"/>
  </r>
  <r>
    <n v="61015052989"/>
    <n v="307"/>
    <x v="165"/>
    <m/>
    <x v="5"/>
    <x v="0"/>
  </r>
  <r>
    <n v="64964763330"/>
    <n v="297"/>
    <x v="165"/>
    <s v=""/>
    <x v="5"/>
    <x v="0"/>
  </r>
  <r>
    <n v="64299417822"/>
    <n v="290"/>
    <x v="165"/>
    <d v="2034-12-17T00:00:00"/>
    <x v="5"/>
    <x v="7"/>
  </r>
  <r>
    <n v="29239325230"/>
    <n v="261"/>
    <x v="165"/>
    <d v="2034-11-17T00:00:00"/>
    <x v="5"/>
    <x v="6"/>
  </r>
  <r>
    <n v="59178087812"/>
    <n v="54"/>
    <x v="165"/>
    <s v=""/>
    <x v="5"/>
    <x v="0"/>
  </r>
  <r>
    <n v="93462696199"/>
    <n v="115"/>
    <x v="165"/>
    <s v=""/>
    <x v="5"/>
    <x v="0"/>
  </r>
  <r>
    <n v="18029848811"/>
    <n v="224"/>
    <x v="165"/>
    <d v="2034-12-24T00:00:00"/>
    <x v="5"/>
    <x v="7"/>
  </r>
  <r>
    <n v="37013043210"/>
    <n v="95"/>
    <x v="165"/>
    <s v=""/>
    <x v="5"/>
    <x v="0"/>
  </r>
  <r>
    <n v="50118258820"/>
    <n v="197"/>
    <x v="165"/>
    <s v=""/>
    <x v="5"/>
    <x v="0"/>
  </r>
  <r>
    <n v="99879200776"/>
    <n v="252"/>
    <x v="166"/>
    <s v=""/>
    <x v="5"/>
    <x v="0"/>
  </r>
  <r>
    <n v="45438153073"/>
    <n v="217"/>
    <x v="166"/>
    <s v=""/>
    <x v="5"/>
    <x v="0"/>
  </r>
  <r>
    <n v="66145487012"/>
    <n v="88"/>
    <x v="166"/>
    <s v=""/>
    <x v="5"/>
    <x v="0"/>
  </r>
  <r>
    <n v="52580072648"/>
    <n v="185"/>
    <x v="166"/>
    <s v=""/>
    <x v="5"/>
    <x v="0"/>
  </r>
  <r>
    <n v="48692156505"/>
    <n v="117"/>
    <x v="166"/>
    <s v=""/>
    <x v="5"/>
    <x v="0"/>
  </r>
  <r>
    <n v="16285261538"/>
    <n v="106"/>
    <x v="166"/>
    <s v=""/>
    <x v="5"/>
    <x v="0"/>
  </r>
  <r>
    <n v="59359274500"/>
    <n v="62"/>
    <x v="166"/>
    <d v="2035-01-02T00:00:00"/>
    <x v="5"/>
    <x v="8"/>
  </r>
  <r>
    <n v="96949291058"/>
    <n v="251"/>
    <x v="166"/>
    <s v=""/>
    <x v="5"/>
    <x v="0"/>
  </r>
  <r>
    <n v="49969025844"/>
    <n v="221"/>
    <x v="166"/>
    <s v=""/>
    <x v="5"/>
    <x v="0"/>
  </r>
  <r>
    <n v="55367962937"/>
    <n v="207"/>
    <x v="166"/>
    <s v=""/>
    <x v="5"/>
    <x v="0"/>
  </r>
  <r>
    <n v="76325506123"/>
    <n v="75"/>
    <x v="166"/>
    <s v=""/>
    <x v="5"/>
    <x v="0"/>
  </r>
  <r>
    <n v="56394009935"/>
    <n v="92"/>
    <x v="166"/>
    <m/>
    <x v="5"/>
    <x v="0"/>
  </r>
  <r>
    <n v="66229257537"/>
    <n v="38"/>
    <x v="166"/>
    <s v=""/>
    <x v="5"/>
    <x v="0"/>
  </r>
  <r>
    <n v="51816084744"/>
    <n v="91"/>
    <x v="166"/>
    <s v=""/>
    <x v="5"/>
    <x v="0"/>
  </r>
  <r>
    <n v="21231716443"/>
    <n v="282"/>
    <x v="166"/>
    <s v=""/>
    <x v="5"/>
    <x v="0"/>
  </r>
  <r>
    <n v="89640904142"/>
    <n v="164"/>
    <x v="166"/>
    <s v=""/>
    <x v="5"/>
    <x v="0"/>
  </r>
  <r>
    <n v="19590564724"/>
    <n v="272"/>
    <x v="166"/>
    <s v=""/>
    <x v="5"/>
    <x v="0"/>
  </r>
  <r>
    <n v="47087225535"/>
    <n v="229"/>
    <x v="166"/>
    <s v=""/>
    <x v="5"/>
    <x v="0"/>
  </r>
  <r>
    <n v="53854245199"/>
    <n v="332"/>
    <x v="166"/>
    <d v="2035-02-04T00:00:00"/>
    <x v="5"/>
    <x v="9"/>
  </r>
  <r>
    <n v="85735180399"/>
    <n v="53"/>
    <x v="166"/>
    <d v="2034-11-25T00:00:00"/>
    <x v="5"/>
    <x v="6"/>
  </r>
  <r>
    <n v="33516514091"/>
    <n v="121"/>
    <x v="166"/>
    <s v=""/>
    <x v="5"/>
    <x v="0"/>
  </r>
  <r>
    <n v="60907336772"/>
    <n v="60"/>
    <x v="166"/>
    <s v=""/>
    <x v="5"/>
    <x v="0"/>
  </r>
  <r>
    <n v="59484211826"/>
    <n v="40"/>
    <x v="166"/>
    <d v="2034-11-21T00:00:00"/>
    <x v="5"/>
    <x v="6"/>
  </r>
  <r>
    <n v="85542465946"/>
    <n v="36"/>
    <x v="167"/>
    <s v=""/>
    <x v="5"/>
    <x v="0"/>
  </r>
  <r>
    <n v="53521990842"/>
    <n v="249"/>
    <x v="167"/>
    <s v=""/>
    <x v="5"/>
    <x v="0"/>
  </r>
  <r>
    <n v="50085622124"/>
    <n v="69"/>
    <x v="167"/>
    <m/>
    <x v="5"/>
    <x v="0"/>
  </r>
  <r>
    <n v="25086505319"/>
    <n v="98"/>
    <x v="167"/>
    <d v="2035-01-29T00:00:00"/>
    <x v="5"/>
    <x v="8"/>
  </r>
  <r>
    <n v="76051629252"/>
    <n v="272"/>
    <x v="167"/>
    <s v=""/>
    <x v="5"/>
    <x v="0"/>
  </r>
  <r>
    <n v="30157400978"/>
    <n v="11"/>
    <x v="167"/>
    <s v=""/>
    <x v="5"/>
    <x v="0"/>
  </r>
  <r>
    <n v="66444188266"/>
    <n v="271"/>
    <x v="167"/>
    <s v=""/>
    <x v="5"/>
    <x v="0"/>
  </r>
  <r>
    <n v="83844870799"/>
    <n v="326"/>
    <x v="167"/>
    <s v=""/>
    <x v="5"/>
    <x v="0"/>
  </r>
  <r>
    <n v="15529469480"/>
    <n v="178"/>
    <x v="167"/>
    <s v=""/>
    <x v="5"/>
    <x v="0"/>
  </r>
  <r>
    <n v="79211981670"/>
    <n v="133"/>
    <x v="167"/>
    <s v=""/>
    <x v="5"/>
    <x v="0"/>
  </r>
  <r>
    <n v="44576376878"/>
    <n v="339"/>
    <x v="167"/>
    <s v=""/>
    <x v="5"/>
    <x v="0"/>
  </r>
  <r>
    <n v="81903451059"/>
    <n v="65"/>
    <x v="167"/>
    <s v=""/>
    <x v="5"/>
    <x v="0"/>
  </r>
  <r>
    <n v="81958649612"/>
    <n v="264"/>
    <x v="167"/>
    <s v=""/>
    <x v="5"/>
    <x v="0"/>
  </r>
  <r>
    <n v="16629543796"/>
    <n v="20"/>
    <x v="167"/>
    <s v=""/>
    <x v="5"/>
    <x v="0"/>
  </r>
  <r>
    <n v="16556028455"/>
    <n v="317"/>
    <x v="167"/>
    <s v=""/>
    <x v="5"/>
    <x v="0"/>
  </r>
  <r>
    <n v="50323423037"/>
    <n v="316"/>
    <x v="167"/>
    <d v="2035-02-04T00:00:00"/>
    <x v="5"/>
    <x v="9"/>
  </r>
  <r>
    <n v="66500974410"/>
    <n v="302"/>
    <x v="167"/>
    <s v=""/>
    <x v="5"/>
    <x v="0"/>
  </r>
  <r>
    <n v="79521465072"/>
    <n v="172"/>
    <x v="167"/>
    <s v=""/>
    <x v="5"/>
    <x v="0"/>
  </r>
  <r>
    <n v="30119214757"/>
    <n v="64"/>
    <x v="167"/>
    <m/>
    <x v="5"/>
    <x v="0"/>
  </r>
  <r>
    <n v="72506483622"/>
    <n v="132"/>
    <x v="167"/>
    <s v=""/>
    <x v="5"/>
    <x v="0"/>
  </r>
  <r>
    <n v="59711767200"/>
    <n v="22"/>
    <x v="167"/>
    <d v="2034-11-23T00:00:00"/>
    <x v="5"/>
    <x v="6"/>
  </r>
  <r>
    <n v="35483995531"/>
    <n v="34"/>
    <x v="167"/>
    <s v=""/>
    <x v="5"/>
    <x v="0"/>
  </r>
  <r>
    <n v="48146518026"/>
    <n v="274"/>
    <x v="167"/>
    <s v=""/>
    <x v="5"/>
    <x v="0"/>
  </r>
  <r>
    <n v="26451113607"/>
    <n v="119"/>
    <x v="167"/>
    <s v=""/>
    <x v="5"/>
    <x v="0"/>
  </r>
  <r>
    <n v="87432238297"/>
    <n v="179"/>
    <x v="167"/>
    <d v="2034-12-21T00:00:00"/>
    <x v="5"/>
    <x v="7"/>
  </r>
  <r>
    <n v="79899361397"/>
    <n v="129"/>
    <x v="167"/>
    <s v=""/>
    <x v="5"/>
    <x v="0"/>
  </r>
  <r>
    <n v="23215096548"/>
    <n v="217"/>
    <x v="167"/>
    <d v="2034-12-01T00:00:00"/>
    <x v="5"/>
    <x v="7"/>
  </r>
  <r>
    <n v="83449347768"/>
    <n v="237"/>
    <x v="167"/>
    <s v=""/>
    <x v="5"/>
    <x v="0"/>
  </r>
  <r>
    <n v="18631278225"/>
    <n v="243"/>
    <x v="168"/>
    <s v=""/>
    <x v="5"/>
    <x v="0"/>
  </r>
  <r>
    <n v="55969670289"/>
    <n v="246"/>
    <x v="168"/>
    <s v=""/>
    <x v="5"/>
    <x v="0"/>
  </r>
  <r>
    <n v="50561805823"/>
    <n v="235"/>
    <x v="168"/>
    <s v=""/>
    <x v="5"/>
    <x v="0"/>
  </r>
  <r>
    <n v="18973409461"/>
    <n v="123"/>
    <x v="168"/>
    <m/>
    <x v="5"/>
    <x v="0"/>
  </r>
  <r>
    <n v="66349866510"/>
    <n v="43"/>
    <x v="168"/>
    <m/>
    <x v="5"/>
    <x v="0"/>
  </r>
  <r>
    <n v="35439626627"/>
    <n v="185"/>
    <x v="168"/>
    <m/>
    <x v="5"/>
    <x v="0"/>
  </r>
  <r>
    <n v="70894253933"/>
    <n v="53"/>
    <x v="168"/>
    <d v="2035-01-07T00:00:00"/>
    <x v="5"/>
    <x v="8"/>
  </r>
  <r>
    <n v="95545527842"/>
    <n v="302"/>
    <x v="168"/>
    <s v=""/>
    <x v="5"/>
    <x v="0"/>
  </r>
  <r>
    <n v="12993758673"/>
    <n v="309"/>
    <x v="168"/>
    <d v="2035-01-31T00:00:00"/>
    <x v="5"/>
    <x v="8"/>
  </r>
  <r>
    <n v="44498281006"/>
    <n v="331"/>
    <x v="168"/>
    <s v=""/>
    <x v="5"/>
    <x v="0"/>
  </r>
  <r>
    <n v="81560955101"/>
    <n v="79"/>
    <x v="168"/>
    <d v="2035-01-03T00:00:00"/>
    <x v="5"/>
    <x v="8"/>
  </r>
  <r>
    <n v="59039656043"/>
    <n v="224"/>
    <x v="168"/>
    <s v=""/>
    <x v="5"/>
    <x v="0"/>
  </r>
  <r>
    <n v="67754122326"/>
    <n v="286"/>
    <x v="168"/>
    <s v=""/>
    <x v="5"/>
    <x v="0"/>
  </r>
  <r>
    <n v="59984470570"/>
    <n v="61"/>
    <x v="168"/>
    <s v=""/>
    <x v="5"/>
    <x v="0"/>
  </r>
  <r>
    <n v="22904292323"/>
    <n v="268"/>
    <x v="168"/>
    <d v="2034-12-21T00:00:00"/>
    <x v="5"/>
    <x v="7"/>
  </r>
  <r>
    <n v="31426692294"/>
    <n v="188"/>
    <x v="168"/>
    <d v="2034-12-14T00:00:00"/>
    <x v="5"/>
    <x v="7"/>
  </r>
  <r>
    <n v="90024020822"/>
    <n v="209"/>
    <x v="168"/>
    <s v=""/>
    <x v="5"/>
    <x v="0"/>
  </r>
  <r>
    <n v="42168464685"/>
    <n v="127"/>
    <x v="168"/>
    <d v="2034-12-26T00:00:00"/>
    <x v="5"/>
    <x v="7"/>
  </r>
  <r>
    <n v="29498818887"/>
    <n v="248"/>
    <x v="168"/>
    <s v=""/>
    <x v="5"/>
    <x v="0"/>
  </r>
  <r>
    <n v="94803224344"/>
    <n v="183"/>
    <x v="168"/>
    <d v="2034-12-09T00:00:00"/>
    <x v="5"/>
    <x v="7"/>
  </r>
  <r>
    <n v="64134527904"/>
    <n v="325"/>
    <x v="168"/>
    <s v=""/>
    <x v="5"/>
    <x v="0"/>
  </r>
  <r>
    <n v="20137768203"/>
    <n v="194"/>
    <x v="168"/>
    <s v=""/>
    <x v="5"/>
    <x v="0"/>
  </r>
  <r>
    <n v="12300872134"/>
    <n v="312"/>
    <x v="168"/>
    <d v="2034-11-24T00:00:00"/>
    <x v="5"/>
    <x v="6"/>
  </r>
  <r>
    <n v="42563412383"/>
    <n v="16"/>
    <x v="168"/>
    <d v="2035-02-14T00:00:00"/>
    <x v="5"/>
    <x v="9"/>
  </r>
  <r>
    <n v="63411221171"/>
    <n v="248"/>
    <x v="168"/>
    <m/>
    <x v="5"/>
    <x v="0"/>
  </r>
  <r>
    <n v="81949384213"/>
    <n v="4"/>
    <x v="168"/>
    <m/>
    <x v="5"/>
    <x v="0"/>
  </r>
  <r>
    <n v="33873509357"/>
    <n v="181"/>
    <x v="168"/>
    <m/>
    <x v="5"/>
    <x v="0"/>
  </r>
  <r>
    <n v="18084650631"/>
    <n v="189"/>
    <x v="168"/>
    <s v=""/>
    <x v="5"/>
    <x v="0"/>
  </r>
  <r>
    <n v="36134028023"/>
    <n v="167"/>
    <x v="168"/>
    <m/>
    <x v="5"/>
    <x v="0"/>
  </r>
  <r>
    <n v="65320466044"/>
    <n v="126"/>
    <x v="168"/>
    <s v=""/>
    <x v="5"/>
    <x v="0"/>
  </r>
  <r>
    <n v="12698637272"/>
    <n v="263"/>
    <x v="169"/>
    <s v=""/>
    <x v="5"/>
    <x v="0"/>
  </r>
  <r>
    <n v="86486644846"/>
    <n v="234"/>
    <x v="169"/>
    <d v="2034-12-15T00:00:00"/>
    <x v="5"/>
    <x v="7"/>
  </r>
  <r>
    <n v="89857433923"/>
    <n v="295"/>
    <x v="169"/>
    <d v="2035-01-08T00:00:00"/>
    <x v="5"/>
    <x v="8"/>
  </r>
  <r>
    <n v="65620783084"/>
    <n v="260"/>
    <x v="169"/>
    <s v=""/>
    <x v="5"/>
    <x v="0"/>
  </r>
  <r>
    <n v="18467655177"/>
    <n v="333"/>
    <x v="169"/>
    <m/>
    <x v="5"/>
    <x v="0"/>
  </r>
  <r>
    <n v="70832689601"/>
    <n v="245"/>
    <x v="169"/>
    <s v=""/>
    <x v="5"/>
    <x v="0"/>
  </r>
  <r>
    <n v="82799935343"/>
    <n v="113"/>
    <x v="169"/>
    <s v=""/>
    <x v="5"/>
    <x v="0"/>
  </r>
  <r>
    <n v="17232627930"/>
    <n v="73"/>
    <x v="169"/>
    <s v=""/>
    <x v="5"/>
    <x v="0"/>
  </r>
  <r>
    <n v="72944097748"/>
    <n v="85"/>
    <x v="169"/>
    <s v=""/>
    <x v="5"/>
    <x v="0"/>
  </r>
  <r>
    <n v="26074682008"/>
    <n v="47"/>
    <x v="169"/>
    <d v="2035-01-19T00:00:00"/>
    <x v="5"/>
    <x v="8"/>
  </r>
  <r>
    <n v="95318950053"/>
    <n v="123"/>
    <x v="169"/>
    <s v=""/>
    <x v="5"/>
    <x v="0"/>
  </r>
  <r>
    <n v="83481885936"/>
    <n v="151"/>
    <x v="169"/>
    <m/>
    <x v="5"/>
    <x v="0"/>
  </r>
  <r>
    <n v="27654721895"/>
    <n v="185"/>
    <x v="169"/>
    <s v=""/>
    <x v="5"/>
    <x v="0"/>
  </r>
  <r>
    <n v="88770137465"/>
    <n v="24"/>
    <x v="169"/>
    <s v=""/>
    <x v="5"/>
    <x v="0"/>
  </r>
  <r>
    <n v="31096658165"/>
    <n v="4"/>
    <x v="169"/>
    <s v=""/>
    <x v="5"/>
    <x v="0"/>
  </r>
  <r>
    <n v="18085620121"/>
    <n v="284"/>
    <x v="169"/>
    <s v=""/>
    <x v="5"/>
    <x v="0"/>
  </r>
  <r>
    <n v="45342932450"/>
    <n v="122"/>
    <x v="169"/>
    <m/>
    <x v="5"/>
    <x v="0"/>
  </r>
  <r>
    <n v="89398323256"/>
    <n v="307"/>
    <x v="169"/>
    <s v=""/>
    <x v="5"/>
    <x v="0"/>
  </r>
  <r>
    <n v="82690247477"/>
    <n v="94"/>
    <x v="169"/>
    <s v=""/>
    <x v="5"/>
    <x v="0"/>
  </r>
  <r>
    <n v="41481840506"/>
    <n v="5"/>
    <x v="169"/>
    <d v="2035-02-09T00:00:00"/>
    <x v="5"/>
    <x v="9"/>
  </r>
  <r>
    <n v="90343432275"/>
    <n v="248"/>
    <x v="169"/>
    <s v=""/>
    <x v="5"/>
    <x v="0"/>
  </r>
  <r>
    <n v="46808828159"/>
    <n v="88"/>
    <x v="169"/>
    <d v="2034-12-13T00:00:00"/>
    <x v="5"/>
    <x v="7"/>
  </r>
  <r>
    <n v="76898559704"/>
    <n v="67"/>
    <x v="169"/>
    <s v=""/>
    <x v="5"/>
    <x v="0"/>
  </r>
  <r>
    <n v="52054633037"/>
    <n v="199"/>
    <x v="169"/>
    <s v=""/>
    <x v="5"/>
    <x v="0"/>
  </r>
  <r>
    <n v="52098768824"/>
    <n v="283"/>
    <x v="169"/>
    <s v=""/>
    <x v="5"/>
    <x v="0"/>
  </r>
  <r>
    <n v="44599506307"/>
    <n v="291"/>
    <x v="169"/>
    <s v=""/>
    <x v="5"/>
    <x v="0"/>
  </r>
  <r>
    <n v="83037212775"/>
    <n v="135"/>
    <x v="169"/>
    <d v="2034-12-18T00:00:00"/>
    <x v="5"/>
    <x v="7"/>
  </r>
  <r>
    <n v="72583810257"/>
    <n v="293"/>
    <x v="169"/>
    <s v=""/>
    <x v="5"/>
    <x v="0"/>
  </r>
  <r>
    <n v="72695558763"/>
    <n v="206"/>
    <x v="169"/>
    <s v=""/>
    <x v="5"/>
    <x v="0"/>
  </r>
  <r>
    <n v="46981527014"/>
    <n v="132"/>
    <x v="169"/>
    <s v=""/>
    <x v="5"/>
    <x v="0"/>
  </r>
  <r>
    <n v="87953159256"/>
    <n v="251"/>
    <x v="169"/>
    <s v=""/>
    <x v="5"/>
    <x v="0"/>
  </r>
  <r>
    <n v="37631946141"/>
    <n v="79"/>
    <x v="170"/>
    <s v=""/>
    <x v="5"/>
    <x v="0"/>
  </r>
  <r>
    <n v="87072811160"/>
    <n v="106"/>
    <x v="170"/>
    <s v=""/>
    <x v="5"/>
    <x v="0"/>
  </r>
  <r>
    <n v="34035517710"/>
    <n v="260"/>
    <x v="170"/>
    <d v="2035-01-03T00:00:00"/>
    <x v="5"/>
    <x v="8"/>
  </r>
  <r>
    <n v="24102427880"/>
    <n v="71"/>
    <x v="170"/>
    <s v=""/>
    <x v="5"/>
    <x v="0"/>
  </r>
  <r>
    <n v="56822634299"/>
    <n v="213"/>
    <x v="170"/>
    <m/>
    <x v="5"/>
    <x v="0"/>
  </r>
  <r>
    <n v="50312105178"/>
    <n v="260"/>
    <x v="170"/>
    <s v=""/>
    <x v="5"/>
    <x v="0"/>
  </r>
  <r>
    <n v="78087745788"/>
    <n v="207"/>
    <x v="170"/>
    <s v=""/>
    <x v="5"/>
    <x v="0"/>
  </r>
  <r>
    <n v="92409235715"/>
    <n v="243"/>
    <x v="170"/>
    <s v=""/>
    <x v="5"/>
    <x v="0"/>
  </r>
  <r>
    <n v="50991613736"/>
    <n v="256"/>
    <x v="170"/>
    <s v=""/>
    <x v="5"/>
    <x v="0"/>
  </r>
  <r>
    <n v="35929964437"/>
    <n v="102"/>
    <x v="170"/>
    <s v=""/>
    <x v="5"/>
    <x v="0"/>
  </r>
  <r>
    <n v="63029781584"/>
    <n v="99"/>
    <x v="170"/>
    <d v="2035-01-18T00:00:00"/>
    <x v="5"/>
    <x v="8"/>
  </r>
  <r>
    <n v="31750261502"/>
    <n v="39"/>
    <x v="170"/>
    <s v=""/>
    <x v="5"/>
    <x v="0"/>
  </r>
  <r>
    <n v="31079500242"/>
    <n v="202"/>
    <x v="170"/>
    <s v=""/>
    <x v="5"/>
    <x v="0"/>
  </r>
  <r>
    <n v="78001038729"/>
    <n v="146"/>
    <x v="170"/>
    <m/>
    <x v="5"/>
    <x v="0"/>
  </r>
  <r>
    <n v="73952029089"/>
    <n v="273"/>
    <x v="170"/>
    <d v="2034-12-04T00:00:00"/>
    <x v="5"/>
    <x v="7"/>
  </r>
  <r>
    <n v="54014086838"/>
    <n v="80"/>
    <x v="170"/>
    <s v=""/>
    <x v="5"/>
    <x v="0"/>
  </r>
  <r>
    <n v="88191603744"/>
    <n v="145"/>
    <x v="170"/>
    <d v="2035-01-11T00:00:00"/>
    <x v="5"/>
    <x v="8"/>
  </r>
  <r>
    <n v="18701327395"/>
    <n v="225"/>
    <x v="170"/>
    <s v=""/>
    <x v="5"/>
    <x v="0"/>
  </r>
  <r>
    <n v="71715021243"/>
    <n v="182"/>
    <x v="170"/>
    <d v="2035-01-17T00:00:00"/>
    <x v="5"/>
    <x v="8"/>
  </r>
  <r>
    <n v="39871956989"/>
    <n v="111"/>
    <x v="170"/>
    <m/>
    <x v="5"/>
    <x v="0"/>
  </r>
  <r>
    <n v="17598896285"/>
    <n v="243"/>
    <x v="170"/>
    <s v=""/>
    <x v="5"/>
    <x v="0"/>
  </r>
  <r>
    <n v="98543713499"/>
    <n v="275"/>
    <x v="170"/>
    <s v=""/>
    <x v="5"/>
    <x v="0"/>
  </r>
  <r>
    <n v="53030689131"/>
    <n v="24"/>
    <x v="170"/>
    <s v=""/>
    <x v="5"/>
    <x v="0"/>
  </r>
  <r>
    <n v="12846016709"/>
    <n v="86"/>
    <x v="170"/>
    <d v="2034-12-22T00:00:00"/>
    <x v="5"/>
    <x v="7"/>
  </r>
  <r>
    <n v="66610021519"/>
    <n v="314"/>
    <x v="170"/>
    <s v=""/>
    <x v="5"/>
    <x v="0"/>
  </r>
  <r>
    <n v="59376825520"/>
    <n v="189"/>
    <x v="170"/>
    <d v="2034-12-12T00:00:00"/>
    <x v="5"/>
    <x v="7"/>
  </r>
  <r>
    <n v="50370570397"/>
    <n v="55"/>
    <x v="171"/>
    <s v=""/>
    <x v="5"/>
    <x v="0"/>
  </r>
  <r>
    <n v="13162645740"/>
    <n v="109"/>
    <x v="171"/>
    <m/>
    <x v="5"/>
    <x v="0"/>
  </r>
  <r>
    <n v="87234895046"/>
    <n v="116"/>
    <x v="171"/>
    <d v="2035-01-18T00:00:00"/>
    <x v="5"/>
    <x v="8"/>
  </r>
  <r>
    <n v="51230811262"/>
    <n v="118"/>
    <x v="171"/>
    <s v=""/>
    <x v="5"/>
    <x v="0"/>
  </r>
  <r>
    <n v="93672024747"/>
    <n v="59"/>
    <x v="171"/>
    <s v=""/>
    <x v="5"/>
    <x v="0"/>
  </r>
  <r>
    <n v="54884695408"/>
    <n v="283"/>
    <x v="171"/>
    <s v=""/>
    <x v="5"/>
    <x v="0"/>
  </r>
  <r>
    <n v="68882859954"/>
    <n v="178"/>
    <x v="171"/>
    <s v=""/>
    <x v="5"/>
    <x v="0"/>
  </r>
  <r>
    <n v="98590581377"/>
    <n v="134"/>
    <x v="171"/>
    <s v=""/>
    <x v="5"/>
    <x v="0"/>
  </r>
  <r>
    <n v="65685006361"/>
    <n v="173"/>
    <x v="171"/>
    <d v="2035-01-29T00:00:00"/>
    <x v="5"/>
    <x v="8"/>
  </r>
  <r>
    <n v="46164670856"/>
    <n v="229"/>
    <x v="171"/>
    <m/>
    <x v="5"/>
    <x v="0"/>
  </r>
  <r>
    <n v="37296429563"/>
    <n v="301"/>
    <x v="171"/>
    <m/>
    <x v="5"/>
    <x v="0"/>
  </r>
  <r>
    <n v="65507788999"/>
    <n v="255"/>
    <x v="171"/>
    <d v="2035-02-24T00:00:00"/>
    <x v="5"/>
    <x v="9"/>
  </r>
  <r>
    <n v="59444632427"/>
    <n v="116"/>
    <x v="171"/>
    <s v=""/>
    <x v="5"/>
    <x v="0"/>
  </r>
  <r>
    <n v="75678925969"/>
    <n v="73"/>
    <x v="171"/>
    <s v=""/>
    <x v="5"/>
    <x v="0"/>
  </r>
  <r>
    <n v="61694291162"/>
    <n v="123"/>
    <x v="171"/>
    <s v=""/>
    <x v="5"/>
    <x v="0"/>
  </r>
  <r>
    <n v="14107583990"/>
    <n v="269"/>
    <x v="171"/>
    <s v=""/>
    <x v="5"/>
    <x v="0"/>
  </r>
  <r>
    <n v="31798423441"/>
    <n v="10"/>
    <x v="171"/>
    <m/>
    <x v="5"/>
    <x v="0"/>
  </r>
  <r>
    <n v="79884490354"/>
    <n v="256"/>
    <x v="171"/>
    <s v=""/>
    <x v="5"/>
    <x v="0"/>
  </r>
  <r>
    <n v="69167776583"/>
    <n v="31"/>
    <x v="171"/>
    <s v=""/>
    <x v="5"/>
    <x v="0"/>
  </r>
  <r>
    <n v="88523840001"/>
    <n v="155"/>
    <x v="171"/>
    <d v="2035-01-14T00:00:00"/>
    <x v="5"/>
    <x v="8"/>
  </r>
  <r>
    <n v="18070486229"/>
    <n v="20"/>
    <x v="171"/>
    <s v=""/>
    <x v="5"/>
    <x v="0"/>
  </r>
  <r>
    <n v="65068219089"/>
    <n v="321"/>
    <x v="172"/>
    <s v=""/>
    <x v="5"/>
    <x v="0"/>
  </r>
  <r>
    <n v="47814090063"/>
    <n v="212"/>
    <x v="172"/>
    <s v=""/>
    <x v="5"/>
    <x v="0"/>
  </r>
  <r>
    <n v="33217839078"/>
    <n v="334"/>
    <x v="172"/>
    <d v="2035-02-10T00:00:00"/>
    <x v="5"/>
    <x v="9"/>
  </r>
  <r>
    <n v="66001243659"/>
    <n v="45"/>
    <x v="172"/>
    <s v=""/>
    <x v="5"/>
    <x v="0"/>
  </r>
  <r>
    <n v="25073046978"/>
    <n v="83"/>
    <x v="172"/>
    <d v="2035-01-24T00:00:00"/>
    <x v="5"/>
    <x v="8"/>
  </r>
  <r>
    <n v="62279007363"/>
    <n v="120"/>
    <x v="172"/>
    <m/>
    <x v="5"/>
    <x v="0"/>
  </r>
  <r>
    <n v="98922471036"/>
    <n v="183"/>
    <x v="172"/>
    <s v=""/>
    <x v="5"/>
    <x v="0"/>
  </r>
  <r>
    <n v="36319986074"/>
    <n v="251"/>
    <x v="172"/>
    <s v=""/>
    <x v="5"/>
    <x v="0"/>
  </r>
  <r>
    <n v="76373319974"/>
    <n v="133"/>
    <x v="172"/>
    <s v=""/>
    <x v="5"/>
    <x v="0"/>
  </r>
  <r>
    <n v="62773294003"/>
    <n v="151"/>
    <x v="172"/>
    <s v=""/>
    <x v="5"/>
    <x v="0"/>
  </r>
  <r>
    <n v="64555196268"/>
    <n v="315"/>
    <x v="172"/>
    <d v="2035-02-08T00:00:00"/>
    <x v="5"/>
    <x v="9"/>
  </r>
  <r>
    <n v="98668457720"/>
    <n v="4"/>
    <x v="172"/>
    <d v="2034-11-21T00:00:00"/>
    <x v="5"/>
    <x v="6"/>
  </r>
  <r>
    <n v="16760651855"/>
    <n v="265"/>
    <x v="172"/>
    <d v="2035-01-16T00:00:00"/>
    <x v="5"/>
    <x v="8"/>
  </r>
  <r>
    <n v="84035655464"/>
    <n v="271"/>
    <x v="172"/>
    <d v="2034-11-22T00:00:00"/>
    <x v="5"/>
    <x v="6"/>
  </r>
  <r>
    <n v="75280412242"/>
    <n v="30"/>
    <x v="172"/>
    <s v=""/>
    <x v="5"/>
    <x v="0"/>
  </r>
  <r>
    <n v="58284880441"/>
    <n v="251"/>
    <x v="172"/>
    <s v=""/>
    <x v="5"/>
    <x v="0"/>
  </r>
  <r>
    <n v="39412044330"/>
    <n v="291"/>
    <x v="172"/>
    <s v=""/>
    <x v="5"/>
    <x v="0"/>
  </r>
  <r>
    <n v="98178258801"/>
    <n v="107"/>
    <x v="172"/>
    <s v=""/>
    <x v="5"/>
    <x v="0"/>
  </r>
  <r>
    <n v="80429463334"/>
    <n v="324"/>
    <x v="172"/>
    <m/>
    <x v="5"/>
    <x v="0"/>
  </r>
  <r>
    <n v="11736826939"/>
    <n v="240"/>
    <x v="172"/>
    <s v=""/>
    <x v="5"/>
    <x v="0"/>
  </r>
  <r>
    <n v="27836161973"/>
    <n v="315"/>
    <x v="172"/>
    <m/>
    <x v="5"/>
    <x v="0"/>
  </r>
  <r>
    <n v="87149222963"/>
    <n v="261"/>
    <x v="172"/>
    <s v=""/>
    <x v="5"/>
    <x v="0"/>
  </r>
  <r>
    <n v="39866030338"/>
    <n v="19"/>
    <x v="172"/>
    <s v=""/>
    <x v="5"/>
    <x v="0"/>
  </r>
  <r>
    <n v="26000952558"/>
    <n v="328"/>
    <x v="172"/>
    <s v=""/>
    <x v="5"/>
    <x v="0"/>
  </r>
  <r>
    <n v="20905770356"/>
    <n v="144"/>
    <x v="172"/>
    <s v=""/>
    <x v="5"/>
    <x v="0"/>
  </r>
  <r>
    <n v="35735244083"/>
    <n v="225"/>
    <x v="173"/>
    <s v=""/>
    <x v="5"/>
    <x v="0"/>
  </r>
  <r>
    <n v="51226393828"/>
    <n v="207"/>
    <x v="173"/>
    <s v=""/>
    <x v="5"/>
    <x v="0"/>
  </r>
  <r>
    <n v="55800241500"/>
    <n v="139"/>
    <x v="173"/>
    <m/>
    <x v="5"/>
    <x v="0"/>
  </r>
  <r>
    <n v="35104413736"/>
    <n v="265"/>
    <x v="173"/>
    <m/>
    <x v="5"/>
    <x v="0"/>
  </r>
  <r>
    <n v="31021273415"/>
    <n v="199"/>
    <x v="173"/>
    <s v=""/>
    <x v="5"/>
    <x v="0"/>
  </r>
  <r>
    <n v="36561991052"/>
    <n v="162"/>
    <x v="173"/>
    <s v=""/>
    <x v="5"/>
    <x v="0"/>
  </r>
  <r>
    <n v="89359331926"/>
    <n v="92"/>
    <x v="173"/>
    <d v="2035-01-03T00:00:00"/>
    <x v="5"/>
    <x v="8"/>
  </r>
  <r>
    <n v="18676119644"/>
    <n v="292"/>
    <x v="173"/>
    <s v=""/>
    <x v="5"/>
    <x v="0"/>
  </r>
  <r>
    <n v="54019228798"/>
    <n v="3"/>
    <x v="173"/>
    <s v=""/>
    <x v="5"/>
    <x v="0"/>
  </r>
  <r>
    <n v="94813422740"/>
    <n v="241"/>
    <x v="173"/>
    <s v=""/>
    <x v="5"/>
    <x v="0"/>
  </r>
  <r>
    <n v="90765409843"/>
    <n v="252"/>
    <x v="173"/>
    <s v=""/>
    <x v="5"/>
    <x v="0"/>
  </r>
  <r>
    <n v="36178042663"/>
    <n v="46"/>
    <x v="173"/>
    <d v="2035-01-03T00:00:00"/>
    <x v="5"/>
    <x v="8"/>
  </r>
  <r>
    <n v="55868206515"/>
    <n v="243"/>
    <x v="173"/>
    <s v=""/>
    <x v="5"/>
    <x v="0"/>
  </r>
  <r>
    <n v="99419415781"/>
    <n v="8"/>
    <x v="173"/>
    <s v=""/>
    <x v="5"/>
    <x v="0"/>
  </r>
  <r>
    <n v="66919867849"/>
    <n v="161"/>
    <x v="173"/>
    <d v="2035-01-26T00:00:00"/>
    <x v="5"/>
    <x v="8"/>
  </r>
  <r>
    <n v="71995384413"/>
    <n v="54"/>
    <x v="173"/>
    <s v=""/>
    <x v="5"/>
    <x v="0"/>
  </r>
  <r>
    <n v="95580584902"/>
    <n v="68"/>
    <x v="173"/>
    <s v=""/>
    <x v="5"/>
    <x v="0"/>
  </r>
  <r>
    <n v="34782204276"/>
    <n v="305"/>
    <x v="173"/>
    <s v=""/>
    <x v="5"/>
    <x v="0"/>
  </r>
  <r>
    <n v="22996131808"/>
    <n v="197"/>
    <x v="173"/>
    <s v=""/>
    <x v="5"/>
    <x v="0"/>
  </r>
  <r>
    <n v="83572492495"/>
    <n v="172"/>
    <x v="173"/>
    <s v=""/>
    <x v="5"/>
    <x v="0"/>
  </r>
  <r>
    <n v="92129524955"/>
    <n v="5"/>
    <x v="173"/>
    <s v=""/>
    <x v="5"/>
    <x v="0"/>
  </r>
  <r>
    <n v="78185404509"/>
    <n v="82"/>
    <x v="173"/>
    <s v=""/>
    <x v="5"/>
    <x v="0"/>
  </r>
  <r>
    <n v="49177858995"/>
    <n v="155"/>
    <x v="173"/>
    <s v=""/>
    <x v="5"/>
    <x v="0"/>
  </r>
  <r>
    <n v="52023818447"/>
    <n v="145"/>
    <x v="174"/>
    <s v=""/>
    <x v="5"/>
    <x v="0"/>
  </r>
  <r>
    <n v="22926441682"/>
    <n v="248"/>
    <x v="174"/>
    <s v=""/>
    <x v="5"/>
    <x v="0"/>
  </r>
  <r>
    <n v="45492457300"/>
    <n v="123"/>
    <x v="174"/>
    <s v=""/>
    <x v="5"/>
    <x v="0"/>
  </r>
  <r>
    <n v="39808172054"/>
    <n v="159"/>
    <x v="174"/>
    <s v=""/>
    <x v="5"/>
    <x v="0"/>
  </r>
  <r>
    <n v="33368631202"/>
    <n v="197"/>
    <x v="174"/>
    <d v="2035-02-25T00:00:00"/>
    <x v="5"/>
    <x v="9"/>
  </r>
  <r>
    <n v="59254907711"/>
    <n v="18"/>
    <x v="174"/>
    <s v=""/>
    <x v="5"/>
    <x v="0"/>
  </r>
  <r>
    <n v="68140774138"/>
    <n v="301"/>
    <x v="174"/>
    <s v=""/>
    <x v="5"/>
    <x v="0"/>
  </r>
  <r>
    <n v="75258985616"/>
    <n v="139"/>
    <x v="174"/>
    <s v=""/>
    <x v="5"/>
    <x v="0"/>
  </r>
  <r>
    <n v="53134780086"/>
    <n v="95"/>
    <x v="174"/>
    <s v=""/>
    <x v="5"/>
    <x v="0"/>
  </r>
  <r>
    <n v="59604264455"/>
    <n v="233"/>
    <x v="174"/>
    <s v=""/>
    <x v="5"/>
    <x v="0"/>
  </r>
  <r>
    <n v="76944312784"/>
    <n v="191"/>
    <x v="174"/>
    <s v=""/>
    <x v="5"/>
    <x v="0"/>
  </r>
  <r>
    <n v="95985917820"/>
    <n v="12"/>
    <x v="174"/>
    <s v=""/>
    <x v="5"/>
    <x v="0"/>
  </r>
  <r>
    <n v="47242552789"/>
    <n v="300"/>
    <x v="174"/>
    <d v="2035-01-04T00:00:00"/>
    <x v="5"/>
    <x v="8"/>
  </r>
  <r>
    <n v="79801640063"/>
    <n v="39"/>
    <x v="174"/>
    <s v=""/>
    <x v="5"/>
    <x v="0"/>
  </r>
  <r>
    <n v="36703837356"/>
    <n v="244"/>
    <x v="174"/>
    <s v=""/>
    <x v="5"/>
    <x v="0"/>
  </r>
  <r>
    <n v="59330805550"/>
    <n v="214"/>
    <x v="174"/>
    <s v=""/>
    <x v="5"/>
    <x v="0"/>
  </r>
  <r>
    <n v="16383095766"/>
    <n v="109"/>
    <x v="174"/>
    <s v=""/>
    <x v="5"/>
    <x v="0"/>
  </r>
  <r>
    <n v="54060714489"/>
    <n v="160"/>
    <x v="174"/>
    <s v=""/>
    <x v="5"/>
    <x v="0"/>
  </r>
  <r>
    <n v="87910798088"/>
    <n v="319"/>
    <x v="174"/>
    <s v=""/>
    <x v="5"/>
    <x v="0"/>
  </r>
  <r>
    <n v="81551614370"/>
    <n v="111"/>
    <x v="174"/>
    <d v="2034-12-13T00:00:00"/>
    <x v="5"/>
    <x v="7"/>
  </r>
  <r>
    <n v="40997574398"/>
    <n v="282"/>
    <x v="175"/>
    <s v=""/>
    <x v="5"/>
    <x v="0"/>
  </r>
  <r>
    <n v="84662883166"/>
    <n v="202"/>
    <x v="175"/>
    <s v=""/>
    <x v="5"/>
    <x v="0"/>
  </r>
  <r>
    <n v="87261394857"/>
    <n v="217"/>
    <x v="175"/>
    <s v=""/>
    <x v="5"/>
    <x v="0"/>
  </r>
  <r>
    <n v="97263954840"/>
    <n v="6"/>
    <x v="175"/>
    <s v=""/>
    <x v="5"/>
    <x v="0"/>
  </r>
  <r>
    <n v="28041546507"/>
    <n v="234"/>
    <x v="175"/>
    <s v=""/>
    <x v="5"/>
    <x v="0"/>
  </r>
  <r>
    <n v="73944566144"/>
    <n v="271"/>
    <x v="175"/>
    <s v=""/>
    <x v="5"/>
    <x v="0"/>
  </r>
  <r>
    <n v="30600492397"/>
    <n v="128"/>
    <x v="175"/>
    <s v=""/>
    <x v="5"/>
    <x v="0"/>
  </r>
  <r>
    <n v="22959667528"/>
    <n v="62"/>
    <x v="175"/>
    <s v=""/>
    <x v="5"/>
    <x v="0"/>
  </r>
  <r>
    <n v="90356718998"/>
    <n v="191"/>
    <x v="175"/>
    <m/>
    <x v="5"/>
    <x v="0"/>
  </r>
  <r>
    <n v="40820609792"/>
    <n v="332"/>
    <x v="175"/>
    <d v="2034-12-10T00:00:00"/>
    <x v="5"/>
    <x v="7"/>
  </r>
  <r>
    <n v="33467572989"/>
    <n v="39"/>
    <x v="175"/>
    <m/>
    <x v="5"/>
    <x v="0"/>
  </r>
  <r>
    <n v="27725222625"/>
    <n v="253"/>
    <x v="176"/>
    <m/>
    <x v="5"/>
    <x v="0"/>
  </r>
  <r>
    <n v="47732649103"/>
    <n v="228"/>
    <x v="176"/>
    <s v=""/>
    <x v="5"/>
    <x v="0"/>
  </r>
  <r>
    <n v="20949122028"/>
    <n v="27"/>
    <x v="176"/>
    <s v=""/>
    <x v="5"/>
    <x v="0"/>
  </r>
  <r>
    <n v="14153045437"/>
    <n v="173"/>
    <x v="176"/>
    <s v=""/>
    <x v="5"/>
    <x v="0"/>
  </r>
  <r>
    <n v="80450980221"/>
    <n v="137"/>
    <x v="176"/>
    <s v=""/>
    <x v="5"/>
    <x v="0"/>
  </r>
  <r>
    <n v="66882742440"/>
    <n v="314"/>
    <x v="176"/>
    <s v=""/>
    <x v="5"/>
    <x v="0"/>
  </r>
  <r>
    <n v="99006599416"/>
    <n v="156"/>
    <x v="176"/>
    <m/>
    <x v="5"/>
    <x v="0"/>
  </r>
  <r>
    <n v="52877378946"/>
    <n v="220"/>
    <x v="176"/>
    <s v=""/>
    <x v="5"/>
    <x v="0"/>
  </r>
  <r>
    <n v="57356544606"/>
    <n v="257"/>
    <x v="176"/>
    <s v=""/>
    <x v="5"/>
    <x v="0"/>
  </r>
  <r>
    <n v="29394518871"/>
    <n v="38"/>
    <x v="176"/>
    <s v=""/>
    <x v="5"/>
    <x v="0"/>
  </r>
  <r>
    <n v="49154737793"/>
    <n v="283"/>
    <x v="176"/>
    <s v=""/>
    <x v="5"/>
    <x v="0"/>
  </r>
  <r>
    <n v="61728585537"/>
    <n v="16"/>
    <x v="176"/>
    <s v=""/>
    <x v="5"/>
    <x v="0"/>
  </r>
  <r>
    <n v="83410709879"/>
    <n v="323"/>
    <x v="176"/>
    <m/>
    <x v="5"/>
    <x v="0"/>
  </r>
  <r>
    <n v="61302373410"/>
    <n v="221"/>
    <x v="176"/>
    <s v=""/>
    <x v="5"/>
    <x v="0"/>
  </r>
  <r>
    <n v="79568296075"/>
    <n v="292"/>
    <x v="176"/>
    <s v=""/>
    <x v="5"/>
    <x v="0"/>
  </r>
  <r>
    <n v="88335015980"/>
    <n v="292"/>
    <x v="176"/>
    <s v=""/>
    <x v="5"/>
    <x v="0"/>
  </r>
  <r>
    <n v="96581137274"/>
    <n v="186"/>
    <x v="176"/>
    <m/>
    <x v="5"/>
    <x v="0"/>
  </r>
  <r>
    <n v="94390228783"/>
    <n v="206"/>
    <x v="176"/>
    <m/>
    <x v="5"/>
    <x v="0"/>
  </r>
  <r>
    <n v="36385144350"/>
    <n v="178"/>
    <x v="176"/>
    <d v="2035-01-31T00:00:00"/>
    <x v="5"/>
    <x v="8"/>
  </r>
  <r>
    <n v="55359697053"/>
    <n v="162"/>
    <x v="176"/>
    <s v=""/>
    <x v="5"/>
    <x v="0"/>
  </r>
  <r>
    <n v="31426312232"/>
    <n v="232"/>
    <x v="176"/>
    <s v=""/>
    <x v="5"/>
    <x v="0"/>
  </r>
  <r>
    <n v="15119088396"/>
    <n v="174"/>
    <x v="176"/>
    <s v=""/>
    <x v="5"/>
    <x v="0"/>
  </r>
  <r>
    <n v="80636571424"/>
    <n v="144"/>
    <x v="176"/>
    <s v=""/>
    <x v="5"/>
    <x v="0"/>
  </r>
  <r>
    <n v="77604470688"/>
    <n v="333"/>
    <x v="176"/>
    <s v=""/>
    <x v="5"/>
    <x v="0"/>
  </r>
  <r>
    <n v="87307626046"/>
    <n v="154"/>
    <x v="176"/>
    <s v=""/>
    <x v="5"/>
    <x v="0"/>
  </r>
  <r>
    <n v="64865149525"/>
    <n v="157"/>
    <x v="176"/>
    <s v=""/>
    <x v="5"/>
    <x v="0"/>
  </r>
  <r>
    <n v="73004274959"/>
    <n v="28"/>
    <x v="176"/>
    <s v=""/>
    <x v="5"/>
    <x v="0"/>
  </r>
  <r>
    <n v="94209959148"/>
    <n v="92"/>
    <x v="176"/>
    <s v=""/>
    <x v="5"/>
    <x v="0"/>
  </r>
  <r>
    <n v="36847018833"/>
    <n v="263"/>
    <x v="177"/>
    <s v=""/>
    <x v="5"/>
    <x v="0"/>
  </r>
  <r>
    <n v="45914517841"/>
    <n v="173"/>
    <x v="177"/>
    <s v=""/>
    <x v="5"/>
    <x v="0"/>
  </r>
  <r>
    <n v="61494206695"/>
    <n v="32"/>
    <x v="177"/>
    <d v="2035-02-03T00:00:00"/>
    <x v="5"/>
    <x v="9"/>
  </r>
  <r>
    <n v="96531761969"/>
    <n v="304"/>
    <x v="177"/>
    <s v=""/>
    <x v="5"/>
    <x v="0"/>
  </r>
  <r>
    <n v="12736986281"/>
    <n v="268"/>
    <x v="177"/>
    <s v=""/>
    <x v="5"/>
    <x v="0"/>
  </r>
  <r>
    <n v="70238556159"/>
    <n v="113"/>
    <x v="177"/>
    <s v=""/>
    <x v="5"/>
    <x v="0"/>
  </r>
  <r>
    <n v="59998652723"/>
    <n v="192"/>
    <x v="177"/>
    <m/>
    <x v="5"/>
    <x v="0"/>
  </r>
  <r>
    <n v="82196778735"/>
    <n v="332"/>
    <x v="177"/>
    <s v=""/>
    <x v="5"/>
    <x v="0"/>
  </r>
  <r>
    <n v="81030984928"/>
    <n v="42"/>
    <x v="177"/>
    <s v=""/>
    <x v="5"/>
    <x v="0"/>
  </r>
  <r>
    <n v="87176127120"/>
    <n v="182"/>
    <x v="177"/>
    <m/>
    <x v="5"/>
    <x v="0"/>
  </r>
  <r>
    <n v="75932022880"/>
    <n v="87"/>
    <x v="177"/>
    <d v="2034-11-25T00:00:00"/>
    <x v="5"/>
    <x v="6"/>
  </r>
  <r>
    <n v="64352160360"/>
    <n v="337"/>
    <x v="177"/>
    <s v=""/>
    <x v="5"/>
    <x v="0"/>
  </r>
  <r>
    <n v="47058615002"/>
    <n v="211"/>
    <x v="177"/>
    <d v="2034-12-26T00:00:00"/>
    <x v="5"/>
    <x v="7"/>
  </r>
  <r>
    <n v="13601186592"/>
    <n v="294"/>
    <x v="177"/>
    <d v="2035-02-25T00:00:00"/>
    <x v="5"/>
    <x v="9"/>
  </r>
  <r>
    <n v="56439109113"/>
    <n v="66"/>
    <x v="177"/>
    <s v=""/>
    <x v="5"/>
    <x v="0"/>
  </r>
  <r>
    <n v="79548225375"/>
    <n v="192"/>
    <x v="177"/>
    <s v=""/>
    <x v="5"/>
    <x v="0"/>
  </r>
  <r>
    <n v="97053427106"/>
    <n v="321"/>
    <x v="177"/>
    <d v="2035-01-01T00:00:00"/>
    <x v="5"/>
    <x v="8"/>
  </r>
  <r>
    <n v="84185483929"/>
    <n v="203"/>
    <x v="177"/>
    <d v="2034-12-12T00:00:00"/>
    <x v="5"/>
    <x v="7"/>
  </r>
  <r>
    <n v="45736612866"/>
    <n v="9"/>
    <x v="177"/>
    <m/>
    <x v="5"/>
    <x v="0"/>
  </r>
  <r>
    <n v="87595519398"/>
    <n v="175"/>
    <x v="177"/>
    <m/>
    <x v="5"/>
    <x v="0"/>
  </r>
  <r>
    <n v="37669411114"/>
    <n v="7"/>
    <x v="177"/>
    <s v=""/>
    <x v="5"/>
    <x v="0"/>
  </r>
  <r>
    <n v="12301713788"/>
    <n v="117"/>
    <x v="177"/>
    <s v=""/>
    <x v="5"/>
    <x v="0"/>
  </r>
  <r>
    <n v="56601096689"/>
    <n v="314"/>
    <x v="177"/>
    <m/>
    <x v="5"/>
    <x v="0"/>
  </r>
  <r>
    <n v="75336218247"/>
    <n v="16"/>
    <x v="177"/>
    <s v=""/>
    <x v="5"/>
    <x v="0"/>
  </r>
  <r>
    <n v="66818726574"/>
    <n v="63"/>
    <x v="178"/>
    <s v=""/>
    <x v="5"/>
    <x v="0"/>
  </r>
  <r>
    <n v="53374776573"/>
    <n v="84"/>
    <x v="178"/>
    <s v=""/>
    <x v="5"/>
    <x v="0"/>
  </r>
  <r>
    <n v="15199407618"/>
    <n v="185"/>
    <x v="178"/>
    <m/>
    <x v="5"/>
    <x v="0"/>
  </r>
  <r>
    <n v="45921928864"/>
    <n v="9"/>
    <x v="178"/>
    <s v=""/>
    <x v="5"/>
    <x v="0"/>
  </r>
  <r>
    <n v="30101894519"/>
    <n v="301"/>
    <x v="178"/>
    <s v=""/>
    <x v="5"/>
    <x v="0"/>
  </r>
  <r>
    <n v="37470931549"/>
    <n v="175"/>
    <x v="178"/>
    <s v=""/>
    <x v="5"/>
    <x v="0"/>
  </r>
  <r>
    <n v="56386361476"/>
    <n v="275"/>
    <x v="178"/>
    <d v="2035-02-22T00:00:00"/>
    <x v="5"/>
    <x v="9"/>
  </r>
  <r>
    <n v="21291446773"/>
    <n v="54"/>
    <x v="178"/>
    <s v=""/>
    <x v="5"/>
    <x v="0"/>
  </r>
  <r>
    <n v="48129028288"/>
    <n v="171"/>
    <x v="178"/>
    <s v=""/>
    <x v="5"/>
    <x v="0"/>
  </r>
  <r>
    <n v="99326429568"/>
    <n v="312"/>
    <x v="178"/>
    <m/>
    <x v="5"/>
    <x v="0"/>
  </r>
  <r>
    <n v="76236844312"/>
    <n v="208"/>
    <x v="178"/>
    <s v=""/>
    <x v="5"/>
    <x v="0"/>
  </r>
  <r>
    <n v="80899852413"/>
    <n v="40"/>
    <x v="178"/>
    <s v=""/>
    <x v="5"/>
    <x v="0"/>
  </r>
  <r>
    <n v="71665296166"/>
    <n v="315"/>
    <x v="178"/>
    <s v=""/>
    <x v="5"/>
    <x v="0"/>
  </r>
  <r>
    <n v="30347081447"/>
    <n v="156"/>
    <x v="178"/>
    <d v="2035-02-16T00:00:00"/>
    <x v="5"/>
    <x v="9"/>
  </r>
  <r>
    <n v="22984085120"/>
    <n v="228"/>
    <x v="178"/>
    <s v=""/>
    <x v="5"/>
    <x v="0"/>
  </r>
  <r>
    <n v="55709499360"/>
    <n v="135"/>
    <x v="178"/>
    <s v=""/>
    <x v="5"/>
    <x v="0"/>
  </r>
  <r>
    <n v="45422941331"/>
    <n v="215"/>
    <x v="178"/>
    <s v=""/>
    <x v="5"/>
    <x v="0"/>
  </r>
  <r>
    <n v="38557881418"/>
    <n v="310"/>
    <x v="178"/>
    <s v=""/>
    <x v="5"/>
    <x v="0"/>
  </r>
  <r>
    <n v="25227939198"/>
    <n v="315"/>
    <x v="178"/>
    <s v=""/>
    <x v="5"/>
    <x v="0"/>
  </r>
  <r>
    <n v="29396600050"/>
    <n v="13"/>
    <x v="178"/>
    <m/>
    <x v="5"/>
    <x v="0"/>
  </r>
  <r>
    <n v="17580087925"/>
    <n v="245"/>
    <x v="178"/>
    <s v=""/>
    <x v="5"/>
    <x v="0"/>
  </r>
  <r>
    <n v="96307925569"/>
    <n v="14"/>
    <x v="178"/>
    <m/>
    <x v="5"/>
    <x v="0"/>
  </r>
  <r>
    <n v="39918711944"/>
    <n v="118"/>
    <x v="178"/>
    <s v=""/>
    <x v="5"/>
    <x v="0"/>
  </r>
  <r>
    <n v="56868904870"/>
    <n v="210"/>
    <x v="178"/>
    <s v=""/>
    <x v="5"/>
    <x v="0"/>
  </r>
  <r>
    <n v="12402051735"/>
    <n v="254"/>
    <x v="178"/>
    <d v="2034-12-17T00:00:00"/>
    <x v="5"/>
    <x v="7"/>
  </r>
  <r>
    <n v="76356943713"/>
    <n v="268"/>
    <x v="178"/>
    <d v="2035-02-27T00:00:00"/>
    <x v="5"/>
    <x v="9"/>
  </r>
  <r>
    <n v="29444368039"/>
    <n v="226"/>
    <x v="178"/>
    <s v=""/>
    <x v="5"/>
    <x v="0"/>
  </r>
  <r>
    <n v="62857026470"/>
    <n v="275"/>
    <x v="178"/>
    <s v=""/>
    <x v="5"/>
    <x v="0"/>
  </r>
  <r>
    <n v="71179547966"/>
    <n v="125"/>
    <x v="178"/>
    <d v="2035-01-12T00:00:00"/>
    <x v="5"/>
    <x v="8"/>
  </r>
  <r>
    <n v="29740865910"/>
    <n v="277"/>
    <x v="179"/>
    <s v=""/>
    <x v="5"/>
    <x v="0"/>
  </r>
  <r>
    <n v="43604527256"/>
    <n v="274"/>
    <x v="179"/>
    <m/>
    <x v="5"/>
    <x v="0"/>
  </r>
  <r>
    <n v="30873619833"/>
    <n v="286"/>
    <x v="179"/>
    <s v=""/>
    <x v="5"/>
    <x v="0"/>
  </r>
  <r>
    <n v="71987675368"/>
    <n v="28"/>
    <x v="179"/>
    <s v=""/>
    <x v="5"/>
    <x v="0"/>
  </r>
  <r>
    <n v="79662914943"/>
    <n v="69"/>
    <x v="179"/>
    <s v=""/>
    <x v="5"/>
    <x v="0"/>
  </r>
  <r>
    <n v="30697506390"/>
    <n v="188"/>
    <x v="179"/>
    <d v="2034-12-23T00:00:00"/>
    <x v="5"/>
    <x v="7"/>
  </r>
  <r>
    <n v="83192032056"/>
    <n v="298"/>
    <x v="179"/>
    <m/>
    <x v="5"/>
    <x v="0"/>
  </r>
  <r>
    <n v="41456465546"/>
    <n v="6"/>
    <x v="179"/>
    <s v=""/>
    <x v="5"/>
    <x v="0"/>
  </r>
  <r>
    <n v="17414838629"/>
    <n v="92"/>
    <x v="179"/>
    <d v="2035-02-19T00:00:00"/>
    <x v="5"/>
    <x v="9"/>
  </r>
  <r>
    <n v="39532468489"/>
    <n v="53"/>
    <x v="179"/>
    <s v=""/>
    <x v="5"/>
    <x v="0"/>
  </r>
  <r>
    <n v="59053992093"/>
    <n v="68"/>
    <x v="179"/>
    <m/>
    <x v="5"/>
    <x v="0"/>
  </r>
  <r>
    <n v="90707605293"/>
    <n v="206"/>
    <x v="179"/>
    <d v="2035-02-07T00:00:00"/>
    <x v="5"/>
    <x v="9"/>
  </r>
  <r>
    <n v="11951834709"/>
    <n v="136"/>
    <x v="179"/>
    <s v=""/>
    <x v="5"/>
    <x v="0"/>
  </r>
  <r>
    <n v="46235679482"/>
    <n v="70"/>
    <x v="179"/>
    <s v=""/>
    <x v="5"/>
    <x v="0"/>
  </r>
  <r>
    <n v="20036531474"/>
    <n v="23"/>
    <x v="179"/>
    <s v=""/>
    <x v="5"/>
    <x v="0"/>
  </r>
  <r>
    <n v="29009401907"/>
    <n v="60"/>
    <x v="179"/>
    <s v=""/>
    <x v="5"/>
    <x v="0"/>
  </r>
  <r>
    <n v="42029583541"/>
    <n v="334"/>
    <x v="179"/>
    <s v=""/>
    <x v="5"/>
    <x v="0"/>
  </r>
  <r>
    <n v="53502039245"/>
    <n v="324"/>
    <x v="179"/>
    <s v=""/>
    <x v="5"/>
    <x v="0"/>
  </r>
  <r>
    <n v="54035600658"/>
    <n v="161"/>
    <x v="179"/>
    <s v=""/>
    <x v="5"/>
    <x v="0"/>
  </r>
  <r>
    <n v="79575584873"/>
    <n v="227"/>
    <x v="179"/>
    <s v=""/>
    <x v="5"/>
    <x v="0"/>
  </r>
  <r>
    <n v="71740054545"/>
    <n v="53"/>
    <x v="179"/>
    <s v=""/>
    <x v="5"/>
    <x v="0"/>
  </r>
  <r>
    <n v="58332506698"/>
    <n v="261"/>
    <x v="179"/>
    <s v=""/>
    <x v="5"/>
    <x v="0"/>
  </r>
  <r>
    <n v="36790532307"/>
    <n v="45"/>
    <x v="179"/>
    <d v="2034-12-08T00:00:00"/>
    <x v="5"/>
    <x v="7"/>
  </r>
  <r>
    <n v="92583264164"/>
    <n v="7"/>
    <x v="179"/>
    <d v="2035-01-09T00:00:00"/>
    <x v="5"/>
    <x v="8"/>
  </r>
  <r>
    <n v="57575185657"/>
    <n v="38"/>
    <x v="179"/>
    <s v=""/>
    <x v="5"/>
    <x v="0"/>
  </r>
  <r>
    <n v="95265282228"/>
    <n v="3"/>
    <x v="179"/>
    <s v=""/>
    <x v="5"/>
    <x v="0"/>
  </r>
  <r>
    <n v="16403229179"/>
    <n v="62"/>
    <x v="179"/>
    <s v=""/>
    <x v="5"/>
    <x v="0"/>
  </r>
  <r>
    <n v="76360850010"/>
    <n v="293"/>
    <x v="179"/>
    <s v=""/>
    <x v="5"/>
    <x v="0"/>
  </r>
  <r>
    <n v="57906132903"/>
    <n v="177"/>
    <x v="179"/>
    <s v=""/>
    <x v="5"/>
    <x v="0"/>
  </r>
  <r>
    <n v="28400068157"/>
    <n v="43"/>
    <x v="179"/>
    <s v=""/>
    <x v="5"/>
    <x v="0"/>
  </r>
  <r>
    <n v="71454487360"/>
    <n v="293"/>
    <x v="179"/>
    <s v=""/>
    <x v="5"/>
    <x v="0"/>
  </r>
  <r>
    <n v="51423827776"/>
    <n v="261"/>
    <x v="179"/>
    <d v="2035-01-04T00:00:00"/>
    <x v="5"/>
    <x v="8"/>
  </r>
  <r>
    <n v="77512600877"/>
    <n v="232"/>
    <x v="179"/>
    <s v=""/>
    <x v="5"/>
    <x v="0"/>
  </r>
  <r>
    <n v="78443249141"/>
    <n v="199"/>
    <x v="179"/>
    <s v=""/>
    <x v="5"/>
    <x v="0"/>
  </r>
  <r>
    <n v="93167486665"/>
    <n v="266"/>
    <x v="179"/>
    <s v=""/>
    <x v="5"/>
    <x v="0"/>
  </r>
  <r>
    <n v="31513104162"/>
    <n v="262"/>
    <x v="179"/>
    <s v=""/>
    <x v="5"/>
    <x v="0"/>
  </r>
  <r>
    <n v="65955868166"/>
    <n v="192"/>
    <x v="179"/>
    <s v=""/>
    <x v="5"/>
    <x v="0"/>
  </r>
  <r>
    <n v="73922567551"/>
    <n v="197"/>
    <x v="179"/>
    <s v=""/>
    <x v="5"/>
    <x v="0"/>
  </r>
  <r>
    <n v="92983205052"/>
    <n v="137"/>
    <x v="179"/>
    <d v="2035-01-14T00:00:00"/>
    <x v="5"/>
    <x v="8"/>
  </r>
  <r>
    <n v="79454448649"/>
    <n v="170"/>
    <x v="179"/>
    <s v=""/>
    <x v="5"/>
    <x v="0"/>
  </r>
  <r>
    <n v="26385694909"/>
    <n v="172"/>
    <x v="180"/>
    <s v=""/>
    <x v="5"/>
    <x v="0"/>
  </r>
  <r>
    <n v="72467247730"/>
    <n v="121"/>
    <x v="180"/>
    <s v=""/>
    <x v="5"/>
    <x v="0"/>
  </r>
  <r>
    <n v="33931665612"/>
    <n v="206"/>
    <x v="180"/>
    <s v=""/>
    <x v="5"/>
    <x v="0"/>
  </r>
  <r>
    <n v="78711392660"/>
    <n v="41"/>
    <x v="180"/>
    <s v=""/>
    <x v="5"/>
    <x v="0"/>
  </r>
  <r>
    <n v="63324725853"/>
    <n v="307"/>
    <x v="180"/>
    <s v=""/>
    <x v="5"/>
    <x v="0"/>
  </r>
  <r>
    <n v="18984027606"/>
    <n v="233"/>
    <x v="180"/>
    <s v=""/>
    <x v="5"/>
    <x v="0"/>
  </r>
  <r>
    <n v="37749355353"/>
    <n v="320"/>
    <x v="180"/>
    <m/>
    <x v="5"/>
    <x v="0"/>
  </r>
  <r>
    <n v="75134143839"/>
    <n v="16"/>
    <x v="180"/>
    <s v=""/>
    <x v="5"/>
    <x v="0"/>
  </r>
  <r>
    <n v="94079045689"/>
    <n v="74"/>
    <x v="180"/>
    <s v=""/>
    <x v="5"/>
    <x v="0"/>
  </r>
  <r>
    <n v="63767459617"/>
    <n v="42"/>
    <x v="180"/>
    <s v=""/>
    <x v="5"/>
    <x v="0"/>
  </r>
  <r>
    <n v="21450752315"/>
    <n v="312"/>
    <x v="180"/>
    <d v="2034-12-28T00:00:00"/>
    <x v="5"/>
    <x v="7"/>
  </r>
  <r>
    <n v="26688152468"/>
    <n v="55"/>
    <x v="180"/>
    <s v=""/>
    <x v="5"/>
    <x v="0"/>
  </r>
  <r>
    <n v="28469636744"/>
    <n v="278"/>
    <x v="180"/>
    <s v=""/>
    <x v="5"/>
    <x v="0"/>
  </r>
  <r>
    <n v="42469427601"/>
    <n v="44"/>
    <x v="180"/>
    <s v=""/>
    <x v="5"/>
    <x v="0"/>
  </r>
  <r>
    <n v="27911215463"/>
    <n v="175"/>
    <x v="180"/>
    <s v=""/>
    <x v="5"/>
    <x v="0"/>
  </r>
  <r>
    <n v="23624147919"/>
    <n v="118"/>
    <x v="180"/>
    <m/>
    <x v="5"/>
    <x v="0"/>
  </r>
  <r>
    <n v="42566272988"/>
    <n v="83"/>
    <x v="180"/>
    <s v=""/>
    <x v="5"/>
    <x v="0"/>
  </r>
  <r>
    <n v="86530940303"/>
    <n v="61"/>
    <x v="180"/>
    <m/>
    <x v="5"/>
    <x v="0"/>
  </r>
  <r>
    <n v="72313790066"/>
    <n v="228"/>
    <x v="180"/>
    <s v=""/>
    <x v="5"/>
    <x v="0"/>
  </r>
  <r>
    <n v="62981553389"/>
    <n v="55"/>
    <x v="180"/>
    <s v=""/>
    <x v="5"/>
    <x v="0"/>
  </r>
  <r>
    <n v="89908291189"/>
    <n v="288"/>
    <x v="180"/>
    <s v=""/>
    <x v="5"/>
    <x v="0"/>
  </r>
  <r>
    <n v="54517369121"/>
    <n v="340"/>
    <x v="180"/>
    <m/>
    <x v="5"/>
    <x v="0"/>
  </r>
  <r>
    <n v="71585684200"/>
    <n v="261"/>
    <x v="180"/>
    <s v=""/>
    <x v="5"/>
    <x v="0"/>
  </r>
  <r>
    <n v="86953553873"/>
    <n v="138"/>
    <x v="180"/>
    <s v=""/>
    <x v="5"/>
    <x v="0"/>
  </r>
  <r>
    <n v="73833881908"/>
    <n v="46"/>
    <x v="181"/>
    <d v="2034-12-29T00:00:00"/>
    <x v="5"/>
    <x v="7"/>
  </r>
  <r>
    <n v="76241247557"/>
    <n v="81"/>
    <x v="181"/>
    <s v=""/>
    <x v="5"/>
    <x v="0"/>
  </r>
  <r>
    <n v="87716314936"/>
    <n v="3"/>
    <x v="181"/>
    <s v=""/>
    <x v="5"/>
    <x v="0"/>
  </r>
  <r>
    <n v="11908150166"/>
    <n v="68"/>
    <x v="181"/>
    <d v="2034-12-25T00:00:00"/>
    <x v="5"/>
    <x v="7"/>
  </r>
  <r>
    <n v="40121472962"/>
    <n v="22"/>
    <x v="181"/>
    <s v=""/>
    <x v="5"/>
    <x v="0"/>
  </r>
  <r>
    <n v="93441312295"/>
    <n v="31"/>
    <x v="181"/>
    <s v=""/>
    <x v="5"/>
    <x v="0"/>
  </r>
  <r>
    <n v="92916111189"/>
    <n v="258"/>
    <x v="181"/>
    <s v=""/>
    <x v="5"/>
    <x v="0"/>
  </r>
  <r>
    <n v="82016804968"/>
    <n v="197"/>
    <x v="181"/>
    <s v=""/>
    <x v="5"/>
    <x v="0"/>
  </r>
  <r>
    <n v="35468842800"/>
    <n v="13"/>
    <x v="181"/>
    <s v=""/>
    <x v="5"/>
    <x v="0"/>
  </r>
  <r>
    <n v="80120727617"/>
    <n v="141"/>
    <x v="181"/>
    <s v=""/>
    <x v="5"/>
    <x v="0"/>
  </r>
  <r>
    <n v="12745549400"/>
    <n v="143"/>
    <x v="181"/>
    <s v=""/>
    <x v="5"/>
    <x v="0"/>
  </r>
  <r>
    <n v="51108246119"/>
    <n v="273"/>
    <x v="181"/>
    <s v=""/>
    <x v="5"/>
    <x v="0"/>
  </r>
  <r>
    <n v="73910691197"/>
    <n v="268"/>
    <x v="181"/>
    <s v=""/>
    <x v="5"/>
    <x v="0"/>
  </r>
  <r>
    <n v="18270055991"/>
    <n v="241"/>
    <x v="181"/>
    <d v="2035-02-16T00:00:00"/>
    <x v="5"/>
    <x v="9"/>
  </r>
  <r>
    <n v="91534604976"/>
    <n v="157"/>
    <x v="181"/>
    <m/>
    <x v="5"/>
    <x v="0"/>
  </r>
  <r>
    <n v="15026796053"/>
    <n v="313"/>
    <x v="181"/>
    <m/>
    <x v="5"/>
    <x v="0"/>
  </r>
  <r>
    <n v="27246005832"/>
    <n v="221"/>
    <x v="181"/>
    <m/>
    <x v="5"/>
    <x v="0"/>
  </r>
  <r>
    <n v="66226512227"/>
    <n v="149"/>
    <x v="181"/>
    <s v=""/>
    <x v="5"/>
    <x v="0"/>
  </r>
  <r>
    <n v="68335981526"/>
    <n v="1"/>
    <x v="181"/>
    <s v=""/>
    <x v="5"/>
    <x v="0"/>
  </r>
  <r>
    <n v="68579997407"/>
    <n v="128"/>
    <x v="181"/>
    <m/>
    <x v="5"/>
    <x v="0"/>
  </r>
  <r>
    <n v="60754596586"/>
    <n v="166"/>
    <x v="181"/>
    <s v=""/>
    <x v="5"/>
    <x v="0"/>
  </r>
  <r>
    <n v="84453342707"/>
    <n v="206"/>
    <x v="181"/>
    <m/>
    <x v="5"/>
    <x v="0"/>
  </r>
  <r>
    <n v="63350288247"/>
    <n v="14"/>
    <x v="181"/>
    <m/>
    <x v="5"/>
    <x v="0"/>
  </r>
  <r>
    <n v="43235971774"/>
    <n v="160"/>
    <x v="181"/>
    <s v=""/>
    <x v="5"/>
    <x v="0"/>
  </r>
  <r>
    <n v="35809616344"/>
    <n v="100"/>
    <x v="181"/>
    <s v=""/>
    <x v="5"/>
    <x v="0"/>
  </r>
  <r>
    <n v="66094413508"/>
    <n v="281"/>
    <x v="181"/>
    <d v="2035-02-25T00:00:00"/>
    <x v="5"/>
    <x v="9"/>
  </r>
  <r>
    <n v="39807373068"/>
    <n v="55"/>
    <x v="181"/>
    <s v=""/>
    <x v="5"/>
    <x v="0"/>
  </r>
  <r>
    <n v="51824716599"/>
    <n v="174"/>
    <x v="181"/>
    <s v=""/>
    <x v="5"/>
    <x v="0"/>
  </r>
  <r>
    <n v="72535105738"/>
    <n v="146"/>
    <x v="181"/>
    <s v=""/>
    <x v="5"/>
    <x v="0"/>
  </r>
  <r>
    <n v="30298780517"/>
    <n v="55"/>
    <x v="182"/>
    <s v=""/>
    <x v="5"/>
    <x v="0"/>
  </r>
  <r>
    <n v="99832378917"/>
    <n v="159"/>
    <x v="182"/>
    <s v=""/>
    <x v="5"/>
    <x v="0"/>
  </r>
  <r>
    <n v="39628150589"/>
    <n v="248"/>
    <x v="182"/>
    <s v=""/>
    <x v="5"/>
    <x v="0"/>
  </r>
  <r>
    <n v="26463626700"/>
    <n v="54"/>
    <x v="182"/>
    <d v="2035-01-28T00:00:00"/>
    <x v="5"/>
    <x v="8"/>
  </r>
  <r>
    <n v="58585862218"/>
    <n v="239"/>
    <x v="182"/>
    <s v=""/>
    <x v="5"/>
    <x v="0"/>
  </r>
  <r>
    <n v="45530773879"/>
    <n v="330"/>
    <x v="182"/>
    <d v="2034-12-13T00:00:00"/>
    <x v="5"/>
    <x v="7"/>
  </r>
  <r>
    <n v="94026047188"/>
    <n v="136"/>
    <x v="182"/>
    <s v=""/>
    <x v="5"/>
    <x v="0"/>
  </r>
  <r>
    <n v="12478520818"/>
    <n v="331"/>
    <x v="182"/>
    <s v=""/>
    <x v="5"/>
    <x v="0"/>
  </r>
  <r>
    <n v="86596874174"/>
    <n v="203"/>
    <x v="182"/>
    <s v=""/>
    <x v="5"/>
    <x v="0"/>
  </r>
  <r>
    <n v="59464176959"/>
    <n v="287"/>
    <x v="182"/>
    <s v=""/>
    <x v="5"/>
    <x v="0"/>
  </r>
  <r>
    <n v="73239809276"/>
    <n v="97"/>
    <x v="182"/>
    <s v=""/>
    <x v="5"/>
    <x v="0"/>
  </r>
  <r>
    <n v="22322404423"/>
    <n v="28"/>
    <x v="182"/>
    <s v=""/>
    <x v="5"/>
    <x v="0"/>
  </r>
  <r>
    <n v="25675323012"/>
    <n v="68"/>
    <x v="182"/>
    <m/>
    <x v="5"/>
    <x v="0"/>
  </r>
  <r>
    <n v="75201105312"/>
    <n v="151"/>
    <x v="182"/>
    <s v=""/>
    <x v="5"/>
    <x v="0"/>
  </r>
  <r>
    <n v="65137707376"/>
    <n v="52"/>
    <x v="182"/>
    <s v=""/>
    <x v="5"/>
    <x v="0"/>
  </r>
  <r>
    <n v="97061489162"/>
    <n v="248"/>
    <x v="182"/>
    <s v=""/>
    <x v="5"/>
    <x v="0"/>
  </r>
  <r>
    <n v="24107246619"/>
    <n v="317"/>
    <x v="182"/>
    <m/>
    <x v="5"/>
    <x v="0"/>
  </r>
  <r>
    <n v="52410449943"/>
    <n v="219"/>
    <x v="182"/>
    <s v=""/>
    <x v="5"/>
    <x v="0"/>
  </r>
  <r>
    <n v="88023220123"/>
    <n v="160"/>
    <x v="182"/>
    <m/>
    <x v="5"/>
    <x v="0"/>
  </r>
  <r>
    <n v="25640387696"/>
    <n v="127"/>
    <x v="182"/>
    <m/>
    <x v="5"/>
    <x v="0"/>
  </r>
  <r>
    <n v="80223310833"/>
    <n v="22"/>
    <x v="182"/>
    <m/>
    <x v="5"/>
    <x v="0"/>
  </r>
  <r>
    <n v="77740638063"/>
    <n v="156"/>
    <x v="182"/>
    <s v=""/>
    <x v="5"/>
    <x v="0"/>
  </r>
  <r>
    <n v="86302029654"/>
    <n v="118"/>
    <x v="182"/>
    <s v=""/>
    <x v="5"/>
    <x v="0"/>
  </r>
  <r>
    <n v="74528186135"/>
    <n v="99"/>
    <x v="182"/>
    <s v=""/>
    <x v="5"/>
    <x v="0"/>
  </r>
  <r>
    <n v="74660382069"/>
    <n v="307"/>
    <x v="182"/>
    <s v=""/>
    <x v="5"/>
    <x v="0"/>
  </r>
  <r>
    <n v="79458961779"/>
    <n v="221"/>
    <x v="182"/>
    <s v=""/>
    <x v="5"/>
    <x v="0"/>
  </r>
  <r>
    <n v="13553831448"/>
    <n v="201"/>
    <x v="182"/>
    <s v=""/>
    <x v="5"/>
    <x v="0"/>
  </r>
  <r>
    <n v="52278759973"/>
    <n v="319"/>
    <x v="183"/>
    <m/>
    <x v="6"/>
    <x v="0"/>
  </r>
  <r>
    <n v="55469429964"/>
    <n v="306"/>
    <x v="183"/>
    <s v=""/>
    <x v="6"/>
    <x v="0"/>
  </r>
  <r>
    <n v="38448606690"/>
    <n v="3"/>
    <x v="183"/>
    <s v=""/>
    <x v="6"/>
    <x v="0"/>
  </r>
  <r>
    <n v="26695796415"/>
    <n v="220"/>
    <x v="183"/>
    <d v="2035-01-16T00:00:00"/>
    <x v="6"/>
    <x v="8"/>
  </r>
  <r>
    <n v="87356834413"/>
    <n v="93"/>
    <x v="183"/>
    <s v=""/>
    <x v="6"/>
    <x v="0"/>
  </r>
  <r>
    <n v="81301608866"/>
    <n v="161"/>
    <x v="183"/>
    <s v=""/>
    <x v="6"/>
    <x v="0"/>
  </r>
  <r>
    <n v="26028923526"/>
    <n v="242"/>
    <x v="183"/>
    <m/>
    <x v="6"/>
    <x v="0"/>
  </r>
  <r>
    <n v="50060319161"/>
    <n v="134"/>
    <x v="183"/>
    <s v=""/>
    <x v="6"/>
    <x v="0"/>
  </r>
  <r>
    <n v="83250314291"/>
    <n v="64"/>
    <x v="183"/>
    <s v=""/>
    <x v="6"/>
    <x v="0"/>
  </r>
  <r>
    <n v="24575683658"/>
    <n v="39"/>
    <x v="183"/>
    <d v="2035-02-13T00:00:00"/>
    <x v="6"/>
    <x v="9"/>
  </r>
  <r>
    <n v="35553069934"/>
    <n v="168"/>
    <x v="183"/>
    <s v=""/>
    <x v="6"/>
    <x v="0"/>
  </r>
  <r>
    <n v="74718503193"/>
    <n v="99"/>
    <x v="183"/>
    <s v=""/>
    <x v="6"/>
    <x v="0"/>
  </r>
  <r>
    <n v="59653783896"/>
    <n v="268"/>
    <x v="183"/>
    <d v="2035-01-16T00:00:00"/>
    <x v="6"/>
    <x v="8"/>
  </r>
  <r>
    <n v="76123718430"/>
    <n v="188"/>
    <x v="183"/>
    <s v=""/>
    <x v="6"/>
    <x v="0"/>
  </r>
  <r>
    <n v="29772526684"/>
    <n v="277"/>
    <x v="183"/>
    <s v=""/>
    <x v="6"/>
    <x v="0"/>
  </r>
  <r>
    <n v="69644132535"/>
    <n v="218"/>
    <x v="183"/>
    <s v=""/>
    <x v="6"/>
    <x v="0"/>
  </r>
  <r>
    <n v="60834163315"/>
    <n v="311"/>
    <x v="183"/>
    <s v=""/>
    <x v="6"/>
    <x v="0"/>
  </r>
  <r>
    <n v="44132650737"/>
    <n v="196"/>
    <x v="183"/>
    <s v=""/>
    <x v="6"/>
    <x v="0"/>
  </r>
  <r>
    <n v="87816598737"/>
    <n v="183"/>
    <x v="183"/>
    <s v=""/>
    <x v="6"/>
    <x v="0"/>
  </r>
  <r>
    <n v="39271291411"/>
    <n v="45"/>
    <x v="183"/>
    <d v="2035-02-17T00:00:00"/>
    <x v="6"/>
    <x v="9"/>
  </r>
  <r>
    <n v="23751894876"/>
    <n v="37"/>
    <x v="183"/>
    <s v=""/>
    <x v="6"/>
    <x v="0"/>
  </r>
  <r>
    <n v="75263845886"/>
    <n v="276"/>
    <x v="183"/>
    <s v=""/>
    <x v="6"/>
    <x v="0"/>
  </r>
  <r>
    <n v="67226038622"/>
    <n v="315"/>
    <x v="183"/>
    <d v="2035-01-09T00:00:00"/>
    <x v="6"/>
    <x v="8"/>
  </r>
  <r>
    <n v="12050530714"/>
    <n v="138"/>
    <x v="183"/>
    <d v="2035-01-08T00:00:00"/>
    <x v="6"/>
    <x v="8"/>
  </r>
  <r>
    <n v="61708012047"/>
    <n v="248"/>
    <x v="183"/>
    <m/>
    <x v="6"/>
    <x v="0"/>
  </r>
  <r>
    <n v="15891551916"/>
    <n v="186"/>
    <x v="183"/>
    <s v=""/>
    <x v="6"/>
    <x v="0"/>
  </r>
  <r>
    <n v="54119291806"/>
    <n v="243"/>
    <x v="183"/>
    <d v="2035-01-20T00:00:00"/>
    <x v="6"/>
    <x v="8"/>
  </r>
  <r>
    <n v="14800275067"/>
    <n v="105"/>
    <x v="183"/>
    <s v=""/>
    <x v="6"/>
    <x v="0"/>
  </r>
  <r>
    <n v="74327399892"/>
    <n v="281"/>
    <x v="183"/>
    <s v=""/>
    <x v="6"/>
    <x v="0"/>
  </r>
  <r>
    <n v="94005808425"/>
    <n v="134"/>
    <x v="183"/>
    <s v=""/>
    <x v="6"/>
    <x v="0"/>
  </r>
  <r>
    <n v="64053883802"/>
    <n v="120"/>
    <x v="183"/>
    <s v=""/>
    <x v="6"/>
    <x v="0"/>
  </r>
  <r>
    <n v="19836706123"/>
    <n v="126"/>
    <x v="183"/>
    <m/>
    <x v="6"/>
    <x v="0"/>
  </r>
  <r>
    <n v="28007327581"/>
    <n v="177"/>
    <x v="183"/>
    <s v=""/>
    <x v="6"/>
    <x v="0"/>
  </r>
  <r>
    <n v="33711814071"/>
    <n v="264"/>
    <x v="183"/>
    <s v=""/>
    <x v="6"/>
    <x v="0"/>
  </r>
  <r>
    <n v="44326553015"/>
    <n v="233"/>
    <x v="183"/>
    <s v=""/>
    <x v="6"/>
    <x v="0"/>
  </r>
  <r>
    <n v="99315671624"/>
    <n v="38"/>
    <x v="183"/>
    <s v=""/>
    <x v="6"/>
    <x v="0"/>
  </r>
  <r>
    <n v="60350358444"/>
    <n v="304"/>
    <x v="183"/>
    <m/>
    <x v="6"/>
    <x v="0"/>
  </r>
  <r>
    <n v="73814646216"/>
    <n v="211"/>
    <x v="183"/>
    <s v=""/>
    <x v="6"/>
    <x v="0"/>
  </r>
  <r>
    <n v="95604385641"/>
    <n v="259"/>
    <x v="183"/>
    <s v=""/>
    <x v="6"/>
    <x v="0"/>
  </r>
  <r>
    <n v="44604305895"/>
    <n v="306"/>
    <x v="183"/>
    <s v=""/>
    <x v="6"/>
    <x v="0"/>
  </r>
  <r>
    <n v="93423966867"/>
    <n v="299"/>
    <x v="184"/>
    <s v=""/>
    <x v="6"/>
    <x v="0"/>
  </r>
  <r>
    <n v="20129286870"/>
    <n v="338"/>
    <x v="184"/>
    <s v=""/>
    <x v="6"/>
    <x v="0"/>
  </r>
  <r>
    <n v="24761644889"/>
    <n v="95"/>
    <x v="184"/>
    <s v=""/>
    <x v="6"/>
    <x v="0"/>
  </r>
  <r>
    <n v="13916680524"/>
    <n v="301"/>
    <x v="184"/>
    <s v=""/>
    <x v="6"/>
    <x v="0"/>
  </r>
  <r>
    <n v="39684355525"/>
    <n v="266"/>
    <x v="184"/>
    <s v=""/>
    <x v="6"/>
    <x v="0"/>
  </r>
  <r>
    <n v="92117456499"/>
    <n v="71"/>
    <x v="184"/>
    <s v=""/>
    <x v="6"/>
    <x v="0"/>
  </r>
  <r>
    <n v="25822802819"/>
    <n v="331"/>
    <x v="184"/>
    <s v=""/>
    <x v="6"/>
    <x v="0"/>
  </r>
  <r>
    <n v="99349814697"/>
    <n v="163"/>
    <x v="184"/>
    <s v=""/>
    <x v="6"/>
    <x v="0"/>
  </r>
  <r>
    <n v="75361123200"/>
    <n v="88"/>
    <x v="184"/>
    <s v=""/>
    <x v="6"/>
    <x v="0"/>
  </r>
  <r>
    <n v="57841689142"/>
    <n v="312"/>
    <x v="184"/>
    <s v=""/>
    <x v="6"/>
    <x v="0"/>
  </r>
  <r>
    <n v="35215623585"/>
    <n v="173"/>
    <x v="184"/>
    <s v=""/>
    <x v="6"/>
    <x v="0"/>
  </r>
  <r>
    <n v="35624790703"/>
    <n v="254"/>
    <x v="184"/>
    <s v=""/>
    <x v="6"/>
    <x v="0"/>
  </r>
  <r>
    <n v="60356405373"/>
    <n v="96"/>
    <x v="184"/>
    <s v=""/>
    <x v="6"/>
    <x v="0"/>
  </r>
  <r>
    <n v="90181252948"/>
    <n v="25"/>
    <x v="184"/>
    <s v=""/>
    <x v="6"/>
    <x v="0"/>
  </r>
  <r>
    <n v="54689411378"/>
    <n v="155"/>
    <x v="184"/>
    <s v=""/>
    <x v="6"/>
    <x v="0"/>
  </r>
  <r>
    <n v="44697663754"/>
    <n v="238"/>
    <x v="184"/>
    <d v="2034-12-18T00:00:00"/>
    <x v="6"/>
    <x v="7"/>
  </r>
  <r>
    <n v="13047255464"/>
    <n v="166"/>
    <x v="184"/>
    <m/>
    <x v="6"/>
    <x v="0"/>
  </r>
  <r>
    <n v="36187286368"/>
    <n v="313"/>
    <x v="184"/>
    <s v=""/>
    <x v="6"/>
    <x v="0"/>
  </r>
  <r>
    <n v="62408775135"/>
    <n v="165"/>
    <x v="184"/>
    <d v="2035-02-23T00:00:00"/>
    <x v="6"/>
    <x v="9"/>
  </r>
  <r>
    <n v="67494894647"/>
    <n v="42"/>
    <x v="184"/>
    <s v=""/>
    <x v="6"/>
    <x v="0"/>
  </r>
  <r>
    <n v="75442699001"/>
    <n v="163"/>
    <x v="184"/>
    <m/>
    <x v="6"/>
    <x v="0"/>
  </r>
  <r>
    <n v="37430919504"/>
    <n v="112"/>
    <x v="184"/>
    <s v=""/>
    <x v="6"/>
    <x v="0"/>
  </r>
  <r>
    <n v="44577667090"/>
    <n v="275"/>
    <x v="184"/>
    <s v=""/>
    <x v="6"/>
    <x v="0"/>
  </r>
  <r>
    <n v="95437212906"/>
    <n v="255"/>
    <x v="184"/>
    <s v=""/>
    <x v="6"/>
    <x v="0"/>
  </r>
  <r>
    <n v="43464031695"/>
    <n v="325"/>
    <x v="184"/>
    <m/>
    <x v="6"/>
    <x v="0"/>
  </r>
  <r>
    <n v="92598053378"/>
    <n v="337"/>
    <x v="184"/>
    <d v="2034-12-18T00:00:00"/>
    <x v="6"/>
    <x v="7"/>
  </r>
  <r>
    <n v="23172940088"/>
    <n v="320"/>
    <x v="184"/>
    <s v=""/>
    <x v="6"/>
    <x v="0"/>
  </r>
  <r>
    <n v="49728235791"/>
    <n v="25"/>
    <x v="184"/>
    <d v="2034-12-08T00:00:00"/>
    <x v="6"/>
    <x v="7"/>
  </r>
  <r>
    <n v="38462468995"/>
    <n v="5"/>
    <x v="184"/>
    <s v=""/>
    <x v="6"/>
    <x v="0"/>
  </r>
  <r>
    <n v="47368000064"/>
    <n v="30"/>
    <x v="184"/>
    <s v=""/>
    <x v="6"/>
    <x v="0"/>
  </r>
  <r>
    <n v="26783946747"/>
    <n v="39"/>
    <x v="185"/>
    <s v=""/>
    <x v="6"/>
    <x v="0"/>
  </r>
  <r>
    <n v="28829051288"/>
    <n v="115"/>
    <x v="185"/>
    <s v=""/>
    <x v="6"/>
    <x v="0"/>
  </r>
  <r>
    <n v="65115086271"/>
    <n v="333"/>
    <x v="185"/>
    <s v=""/>
    <x v="6"/>
    <x v="0"/>
  </r>
  <r>
    <n v="47719372159"/>
    <n v="167"/>
    <x v="185"/>
    <s v=""/>
    <x v="6"/>
    <x v="0"/>
  </r>
  <r>
    <n v="69772482052"/>
    <n v="66"/>
    <x v="185"/>
    <s v=""/>
    <x v="6"/>
    <x v="0"/>
  </r>
  <r>
    <n v="69790248699"/>
    <n v="208"/>
    <x v="185"/>
    <d v="2035-01-28T00:00:00"/>
    <x v="6"/>
    <x v="8"/>
  </r>
  <r>
    <n v="50557904702"/>
    <n v="52"/>
    <x v="185"/>
    <d v="2035-01-01T00:00:00"/>
    <x v="6"/>
    <x v="8"/>
  </r>
  <r>
    <n v="30982175482"/>
    <n v="261"/>
    <x v="185"/>
    <s v=""/>
    <x v="6"/>
    <x v="0"/>
  </r>
  <r>
    <n v="47916345167"/>
    <n v="216"/>
    <x v="185"/>
    <m/>
    <x v="6"/>
    <x v="0"/>
  </r>
  <r>
    <n v="44093333356"/>
    <n v="8"/>
    <x v="185"/>
    <s v=""/>
    <x v="6"/>
    <x v="0"/>
  </r>
  <r>
    <n v="99810217192"/>
    <n v="172"/>
    <x v="185"/>
    <s v=""/>
    <x v="6"/>
    <x v="0"/>
  </r>
  <r>
    <n v="21196901080"/>
    <n v="29"/>
    <x v="185"/>
    <d v="2035-02-18T00:00:00"/>
    <x v="6"/>
    <x v="9"/>
  </r>
  <r>
    <n v="19715444446"/>
    <n v="94"/>
    <x v="185"/>
    <s v=""/>
    <x v="6"/>
    <x v="0"/>
  </r>
  <r>
    <n v="51010413013"/>
    <n v="234"/>
    <x v="185"/>
    <s v=""/>
    <x v="6"/>
    <x v="0"/>
  </r>
  <r>
    <n v="30713039733"/>
    <n v="295"/>
    <x v="185"/>
    <d v="2035-02-17T00:00:00"/>
    <x v="6"/>
    <x v="9"/>
  </r>
  <r>
    <n v="47908321955"/>
    <n v="189"/>
    <x v="185"/>
    <s v=""/>
    <x v="6"/>
    <x v="0"/>
  </r>
  <r>
    <n v="81328580975"/>
    <n v="241"/>
    <x v="185"/>
    <s v=""/>
    <x v="6"/>
    <x v="0"/>
  </r>
  <r>
    <n v="46178526888"/>
    <n v="77"/>
    <x v="185"/>
    <s v=""/>
    <x v="6"/>
    <x v="0"/>
  </r>
  <r>
    <n v="83085858597"/>
    <n v="71"/>
    <x v="185"/>
    <d v="2035-02-22T00:00:00"/>
    <x v="6"/>
    <x v="9"/>
  </r>
  <r>
    <n v="21877787232"/>
    <n v="197"/>
    <x v="185"/>
    <s v=""/>
    <x v="6"/>
    <x v="0"/>
  </r>
  <r>
    <n v="26730572680"/>
    <n v="32"/>
    <x v="185"/>
    <s v=""/>
    <x v="6"/>
    <x v="0"/>
  </r>
  <r>
    <n v="24736113130"/>
    <n v="242"/>
    <x v="185"/>
    <d v="2034-12-26T00:00:00"/>
    <x v="6"/>
    <x v="7"/>
  </r>
  <r>
    <n v="61685763169"/>
    <n v="327"/>
    <x v="185"/>
    <d v="2035-02-09T00:00:00"/>
    <x v="6"/>
    <x v="9"/>
  </r>
  <r>
    <n v="40056578903"/>
    <n v="75"/>
    <x v="185"/>
    <s v=""/>
    <x v="6"/>
    <x v="0"/>
  </r>
  <r>
    <n v="87278545080"/>
    <n v="270"/>
    <x v="185"/>
    <d v="2035-01-15T00:00:00"/>
    <x v="6"/>
    <x v="8"/>
  </r>
  <r>
    <n v="62246973978"/>
    <n v="207"/>
    <x v="185"/>
    <s v=""/>
    <x v="6"/>
    <x v="0"/>
  </r>
  <r>
    <n v="80008538931"/>
    <n v="314"/>
    <x v="186"/>
    <d v="2034-12-15T00:00:00"/>
    <x v="6"/>
    <x v="7"/>
  </r>
  <r>
    <n v="93437078149"/>
    <n v="310"/>
    <x v="186"/>
    <s v=""/>
    <x v="6"/>
    <x v="0"/>
  </r>
  <r>
    <n v="19359646942"/>
    <n v="211"/>
    <x v="186"/>
    <s v=""/>
    <x v="6"/>
    <x v="0"/>
  </r>
  <r>
    <n v="35060987340"/>
    <n v="296"/>
    <x v="186"/>
    <s v=""/>
    <x v="6"/>
    <x v="0"/>
  </r>
  <r>
    <n v="16013999474"/>
    <n v="100"/>
    <x v="186"/>
    <s v=""/>
    <x v="6"/>
    <x v="0"/>
  </r>
  <r>
    <n v="34845568032"/>
    <n v="4"/>
    <x v="186"/>
    <s v=""/>
    <x v="6"/>
    <x v="0"/>
  </r>
  <r>
    <n v="13312541428"/>
    <n v="49"/>
    <x v="186"/>
    <s v=""/>
    <x v="6"/>
    <x v="0"/>
  </r>
  <r>
    <n v="43662709869"/>
    <n v="152"/>
    <x v="186"/>
    <s v=""/>
    <x v="6"/>
    <x v="0"/>
  </r>
  <r>
    <n v="22385593720"/>
    <n v="216"/>
    <x v="186"/>
    <s v=""/>
    <x v="6"/>
    <x v="0"/>
  </r>
  <r>
    <n v="37177865030"/>
    <n v="191"/>
    <x v="186"/>
    <d v="2035-01-04T00:00:00"/>
    <x v="6"/>
    <x v="8"/>
  </r>
  <r>
    <n v="80539587574"/>
    <n v="154"/>
    <x v="186"/>
    <m/>
    <x v="6"/>
    <x v="0"/>
  </r>
  <r>
    <n v="92311743364"/>
    <n v="128"/>
    <x v="186"/>
    <s v=""/>
    <x v="6"/>
    <x v="0"/>
  </r>
  <r>
    <n v="43718267452"/>
    <n v="116"/>
    <x v="186"/>
    <s v=""/>
    <x v="6"/>
    <x v="0"/>
  </r>
  <r>
    <n v="97663049825"/>
    <n v="80"/>
    <x v="186"/>
    <d v="2035-01-07T00:00:00"/>
    <x v="6"/>
    <x v="8"/>
  </r>
  <r>
    <n v="16555458958"/>
    <n v="17"/>
    <x v="186"/>
    <m/>
    <x v="6"/>
    <x v="0"/>
  </r>
  <r>
    <n v="29844360445"/>
    <n v="185"/>
    <x v="186"/>
    <s v=""/>
    <x v="6"/>
    <x v="0"/>
  </r>
  <r>
    <n v="59764569829"/>
    <n v="327"/>
    <x v="186"/>
    <s v=""/>
    <x v="6"/>
    <x v="0"/>
  </r>
  <r>
    <n v="69719156486"/>
    <n v="251"/>
    <x v="186"/>
    <d v="2034-12-04T00:00:00"/>
    <x v="6"/>
    <x v="7"/>
  </r>
  <r>
    <n v="50335997038"/>
    <n v="212"/>
    <x v="186"/>
    <s v=""/>
    <x v="6"/>
    <x v="0"/>
  </r>
  <r>
    <n v="98208038134"/>
    <n v="242"/>
    <x v="186"/>
    <s v=""/>
    <x v="6"/>
    <x v="0"/>
  </r>
  <r>
    <n v="33787338028"/>
    <n v="135"/>
    <x v="186"/>
    <s v=""/>
    <x v="6"/>
    <x v="0"/>
  </r>
  <r>
    <n v="29233550885"/>
    <n v="203"/>
    <x v="186"/>
    <m/>
    <x v="6"/>
    <x v="0"/>
  </r>
  <r>
    <n v="56194791349"/>
    <n v="213"/>
    <x v="186"/>
    <s v=""/>
    <x v="6"/>
    <x v="0"/>
  </r>
  <r>
    <n v="64938124421"/>
    <n v="260"/>
    <x v="186"/>
    <m/>
    <x v="6"/>
    <x v="0"/>
  </r>
  <r>
    <n v="81665294664"/>
    <n v="249"/>
    <x v="186"/>
    <s v=""/>
    <x v="6"/>
    <x v="0"/>
  </r>
  <r>
    <n v="78206200835"/>
    <n v="86"/>
    <x v="186"/>
    <s v=""/>
    <x v="6"/>
    <x v="0"/>
  </r>
  <r>
    <n v="41047371650"/>
    <n v="281"/>
    <x v="186"/>
    <s v=""/>
    <x v="6"/>
    <x v="0"/>
  </r>
  <r>
    <n v="94600782988"/>
    <n v="118"/>
    <x v="186"/>
    <s v=""/>
    <x v="6"/>
    <x v="0"/>
  </r>
  <r>
    <n v="24333375599"/>
    <n v="174"/>
    <x v="186"/>
    <s v=""/>
    <x v="6"/>
    <x v="0"/>
  </r>
  <r>
    <n v="74891276017"/>
    <n v="200"/>
    <x v="186"/>
    <s v=""/>
    <x v="6"/>
    <x v="0"/>
  </r>
  <r>
    <n v="34584915308"/>
    <n v="152"/>
    <x v="186"/>
    <s v=""/>
    <x v="6"/>
    <x v="0"/>
  </r>
  <r>
    <n v="58115768817"/>
    <n v="120"/>
    <x v="186"/>
    <m/>
    <x v="6"/>
    <x v="0"/>
  </r>
  <r>
    <n v="83828114694"/>
    <n v="251"/>
    <x v="187"/>
    <s v=""/>
    <x v="6"/>
    <x v="0"/>
  </r>
  <r>
    <n v="82881456442"/>
    <n v="6"/>
    <x v="187"/>
    <s v=""/>
    <x v="6"/>
    <x v="0"/>
  </r>
  <r>
    <n v="78070198109"/>
    <n v="17"/>
    <x v="187"/>
    <m/>
    <x v="6"/>
    <x v="0"/>
  </r>
  <r>
    <n v="45072955166"/>
    <n v="124"/>
    <x v="187"/>
    <s v=""/>
    <x v="6"/>
    <x v="0"/>
  </r>
  <r>
    <n v="72245347031"/>
    <n v="276"/>
    <x v="187"/>
    <m/>
    <x v="6"/>
    <x v="0"/>
  </r>
  <r>
    <n v="78349687144"/>
    <n v="229"/>
    <x v="187"/>
    <s v=""/>
    <x v="6"/>
    <x v="0"/>
  </r>
  <r>
    <n v="87764060734"/>
    <n v="72"/>
    <x v="187"/>
    <s v=""/>
    <x v="6"/>
    <x v="0"/>
  </r>
  <r>
    <n v="19446491050"/>
    <n v="154"/>
    <x v="187"/>
    <s v=""/>
    <x v="6"/>
    <x v="0"/>
  </r>
  <r>
    <n v="16848570469"/>
    <n v="253"/>
    <x v="187"/>
    <d v="2034-12-27T00:00:00"/>
    <x v="6"/>
    <x v="7"/>
  </r>
  <r>
    <n v="95597763594"/>
    <n v="116"/>
    <x v="187"/>
    <s v=""/>
    <x v="6"/>
    <x v="0"/>
  </r>
  <r>
    <n v="43243538624"/>
    <n v="12"/>
    <x v="187"/>
    <s v=""/>
    <x v="6"/>
    <x v="0"/>
  </r>
  <r>
    <n v="47396140050"/>
    <n v="319"/>
    <x v="187"/>
    <s v=""/>
    <x v="6"/>
    <x v="0"/>
  </r>
  <r>
    <n v="19017185413"/>
    <n v="19"/>
    <x v="187"/>
    <m/>
    <x v="6"/>
    <x v="0"/>
  </r>
  <r>
    <n v="15252187586"/>
    <n v="145"/>
    <x v="187"/>
    <m/>
    <x v="6"/>
    <x v="0"/>
  </r>
  <r>
    <n v="88897790621"/>
    <n v="140"/>
    <x v="187"/>
    <s v=""/>
    <x v="6"/>
    <x v="0"/>
  </r>
  <r>
    <n v="70355840443"/>
    <n v="178"/>
    <x v="187"/>
    <m/>
    <x v="6"/>
    <x v="0"/>
  </r>
  <r>
    <n v="88931436161"/>
    <n v="17"/>
    <x v="187"/>
    <s v=""/>
    <x v="6"/>
    <x v="0"/>
  </r>
  <r>
    <n v="56221570243"/>
    <n v="179"/>
    <x v="187"/>
    <s v=""/>
    <x v="6"/>
    <x v="0"/>
  </r>
  <r>
    <n v="75889004867"/>
    <n v="83"/>
    <x v="187"/>
    <s v=""/>
    <x v="6"/>
    <x v="0"/>
  </r>
  <r>
    <n v="81913000025"/>
    <n v="226"/>
    <x v="187"/>
    <m/>
    <x v="6"/>
    <x v="0"/>
  </r>
  <r>
    <n v="37453149062"/>
    <n v="11"/>
    <x v="187"/>
    <s v=""/>
    <x v="6"/>
    <x v="0"/>
  </r>
  <r>
    <n v="61287020020"/>
    <n v="42"/>
    <x v="187"/>
    <s v=""/>
    <x v="6"/>
    <x v="0"/>
  </r>
  <r>
    <n v="24742845982"/>
    <n v="150"/>
    <x v="187"/>
    <d v="2035-01-03T00:00:00"/>
    <x v="6"/>
    <x v="8"/>
  </r>
  <r>
    <n v="24587663244"/>
    <n v="205"/>
    <x v="187"/>
    <s v=""/>
    <x v="6"/>
    <x v="0"/>
  </r>
  <r>
    <n v="95658724314"/>
    <n v="259"/>
    <x v="187"/>
    <s v=""/>
    <x v="6"/>
    <x v="0"/>
  </r>
  <r>
    <n v="70731970990"/>
    <n v="46"/>
    <x v="187"/>
    <s v=""/>
    <x v="6"/>
    <x v="0"/>
  </r>
  <r>
    <n v="31473436141"/>
    <n v="246"/>
    <x v="187"/>
    <s v=""/>
    <x v="6"/>
    <x v="0"/>
  </r>
  <r>
    <n v="98742132009"/>
    <n v="222"/>
    <x v="187"/>
    <s v=""/>
    <x v="6"/>
    <x v="0"/>
  </r>
  <r>
    <n v="46107458837"/>
    <n v="209"/>
    <x v="187"/>
    <s v=""/>
    <x v="6"/>
    <x v="0"/>
  </r>
  <r>
    <n v="13079628719"/>
    <n v="237"/>
    <x v="188"/>
    <s v=""/>
    <x v="6"/>
    <x v="0"/>
  </r>
  <r>
    <n v="91913274554"/>
    <n v="196"/>
    <x v="188"/>
    <d v="2035-01-23T00:00:00"/>
    <x v="6"/>
    <x v="8"/>
  </r>
  <r>
    <n v="46388220767"/>
    <n v="319"/>
    <x v="188"/>
    <s v=""/>
    <x v="6"/>
    <x v="0"/>
  </r>
  <r>
    <n v="32764864465"/>
    <n v="276"/>
    <x v="188"/>
    <d v="2034-12-24T00:00:00"/>
    <x v="6"/>
    <x v="7"/>
  </r>
  <r>
    <n v="76036161820"/>
    <n v="149"/>
    <x v="188"/>
    <s v=""/>
    <x v="6"/>
    <x v="0"/>
  </r>
  <r>
    <n v="35630644221"/>
    <n v="229"/>
    <x v="188"/>
    <m/>
    <x v="6"/>
    <x v="0"/>
  </r>
  <r>
    <n v="69989307251"/>
    <n v="147"/>
    <x v="188"/>
    <s v=""/>
    <x v="6"/>
    <x v="0"/>
  </r>
  <r>
    <n v="24197122814"/>
    <n v="176"/>
    <x v="188"/>
    <s v=""/>
    <x v="6"/>
    <x v="0"/>
  </r>
  <r>
    <n v="87919562517"/>
    <n v="215"/>
    <x v="188"/>
    <s v=""/>
    <x v="6"/>
    <x v="0"/>
  </r>
  <r>
    <n v="97326824188"/>
    <n v="35"/>
    <x v="188"/>
    <s v=""/>
    <x v="6"/>
    <x v="0"/>
  </r>
  <r>
    <n v="73290395622"/>
    <n v="251"/>
    <x v="188"/>
    <d v="2034-12-07T00:00:00"/>
    <x v="6"/>
    <x v="7"/>
  </r>
  <r>
    <n v="61326388063"/>
    <n v="182"/>
    <x v="188"/>
    <s v=""/>
    <x v="6"/>
    <x v="0"/>
  </r>
  <r>
    <n v="47075762787"/>
    <n v="285"/>
    <x v="188"/>
    <m/>
    <x v="6"/>
    <x v="0"/>
  </r>
  <r>
    <n v="21082185746"/>
    <n v="292"/>
    <x v="188"/>
    <s v=""/>
    <x v="6"/>
    <x v="0"/>
  </r>
  <r>
    <n v="14767611198"/>
    <n v="218"/>
    <x v="188"/>
    <s v=""/>
    <x v="6"/>
    <x v="0"/>
  </r>
  <r>
    <n v="72371257236"/>
    <n v="175"/>
    <x v="188"/>
    <s v=""/>
    <x v="6"/>
    <x v="0"/>
  </r>
  <r>
    <n v="64714494256"/>
    <n v="186"/>
    <x v="188"/>
    <d v="2035-01-09T00:00:00"/>
    <x v="6"/>
    <x v="8"/>
  </r>
  <r>
    <n v="18436143166"/>
    <n v="228"/>
    <x v="188"/>
    <m/>
    <x v="6"/>
    <x v="0"/>
  </r>
  <r>
    <n v="51910485339"/>
    <n v="80"/>
    <x v="188"/>
    <d v="2035-01-28T00:00:00"/>
    <x v="6"/>
    <x v="8"/>
  </r>
  <r>
    <n v="39312095260"/>
    <n v="285"/>
    <x v="188"/>
    <s v=""/>
    <x v="6"/>
    <x v="0"/>
  </r>
  <r>
    <n v="15645755628"/>
    <n v="279"/>
    <x v="188"/>
    <s v=""/>
    <x v="6"/>
    <x v="0"/>
  </r>
  <r>
    <n v="50972883425"/>
    <n v="177"/>
    <x v="188"/>
    <s v=""/>
    <x v="6"/>
    <x v="0"/>
  </r>
  <r>
    <n v="11245077816"/>
    <n v="217"/>
    <x v="188"/>
    <s v=""/>
    <x v="6"/>
    <x v="0"/>
  </r>
  <r>
    <n v="17191037345"/>
    <n v="1"/>
    <x v="188"/>
    <d v="2035-01-02T00:00:00"/>
    <x v="6"/>
    <x v="8"/>
  </r>
  <r>
    <n v="18387440458"/>
    <n v="242"/>
    <x v="188"/>
    <d v="2035-01-13T00:00:00"/>
    <x v="6"/>
    <x v="8"/>
  </r>
  <r>
    <n v="42171090419"/>
    <n v="3"/>
    <x v="188"/>
    <s v=""/>
    <x v="6"/>
    <x v="0"/>
  </r>
  <r>
    <n v="34470599245"/>
    <n v="203"/>
    <x v="188"/>
    <d v="2035-02-23T00:00:00"/>
    <x v="6"/>
    <x v="9"/>
  </r>
  <r>
    <n v="85505062998"/>
    <n v="75"/>
    <x v="188"/>
    <m/>
    <x v="6"/>
    <x v="0"/>
  </r>
  <r>
    <n v="65900372316"/>
    <n v="261"/>
    <x v="188"/>
    <s v=""/>
    <x v="6"/>
    <x v="0"/>
  </r>
  <r>
    <n v="33525286939"/>
    <n v="73"/>
    <x v="188"/>
    <d v="2034-12-28T00:00:00"/>
    <x v="6"/>
    <x v="7"/>
  </r>
  <r>
    <n v="29330830594"/>
    <n v="268"/>
    <x v="189"/>
    <s v=""/>
    <x v="6"/>
    <x v="0"/>
  </r>
  <r>
    <n v="96901564726"/>
    <n v="197"/>
    <x v="189"/>
    <m/>
    <x v="6"/>
    <x v="0"/>
  </r>
  <r>
    <n v="71428653580"/>
    <n v="283"/>
    <x v="189"/>
    <s v=""/>
    <x v="6"/>
    <x v="0"/>
  </r>
  <r>
    <n v="30622416736"/>
    <n v="302"/>
    <x v="189"/>
    <s v=""/>
    <x v="6"/>
    <x v="0"/>
  </r>
  <r>
    <n v="78067164255"/>
    <n v="105"/>
    <x v="189"/>
    <s v=""/>
    <x v="6"/>
    <x v="0"/>
  </r>
  <r>
    <n v="57102004723"/>
    <n v="172"/>
    <x v="189"/>
    <s v=""/>
    <x v="6"/>
    <x v="0"/>
  </r>
  <r>
    <n v="36811365721"/>
    <n v="332"/>
    <x v="189"/>
    <s v=""/>
    <x v="6"/>
    <x v="0"/>
  </r>
  <r>
    <n v="17895468653"/>
    <n v="27"/>
    <x v="189"/>
    <s v=""/>
    <x v="6"/>
    <x v="0"/>
  </r>
  <r>
    <n v="82244726835"/>
    <n v="248"/>
    <x v="189"/>
    <s v=""/>
    <x v="6"/>
    <x v="0"/>
  </r>
  <r>
    <n v="40251618569"/>
    <n v="35"/>
    <x v="189"/>
    <s v=""/>
    <x v="6"/>
    <x v="0"/>
  </r>
  <r>
    <n v="42216104439"/>
    <n v="93"/>
    <x v="189"/>
    <s v=""/>
    <x v="6"/>
    <x v="0"/>
  </r>
  <r>
    <n v="98525707549"/>
    <n v="284"/>
    <x v="189"/>
    <m/>
    <x v="6"/>
    <x v="0"/>
  </r>
  <r>
    <n v="41826366887"/>
    <n v="87"/>
    <x v="189"/>
    <s v=""/>
    <x v="6"/>
    <x v="0"/>
  </r>
  <r>
    <n v="37450762682"/>
    <n v="55"/>
    <x v="189"/>
    <m/>
    <x v="6"/>
    <x v="0"/>
  </r>
  <r>
    <n v="88320206880"/>
    <n v="203"/>
    <x v="189"/>
    <m/>
    <x v="6"/>
    <x v="0"/>
  </r>
  <r>
    <n v="51409558665"/>
    <n v="48"/>
    <x v="189"/>
    <s v=""/>
    <x v="6"/>
    <x v="0"/>
  </r>
  <r>
    <n v="37027537468"/>
    <n v="63"/>
    <x v="189"/>
    <d v="2034-12-11T00:00:00"/>
    <x v="6"/>
    <x v="7"/>
  </r>
  <r>
    <n v="32047713083"/>
    <n v="99"/>
    <x v="189"/>
    <d v="2035-02-23T00:00:00"/>
    <x v="6"/>
    <x v="9"/>
  </r>
  <r>
    <n v="50879217717"/>
    <n v="268"/>
    <x v="189"/>
    <d v="2035-02-03T00:00:00"/>
    <x v="6"/>
    <x v="9"/>
  </r>
  <r>
    <n v="90886483010"/>
    <n v="269"/>
    <x v="189"/>
    <s v=""/>
    <x v="6"/>
    <x v="0"/>
  </r>
  <r>
    <n v="44540100227"/>
    <n v="9"/>
    <x v="189"/>
    <m/>
    <x v="6"/>
    <x v="0"/>
  </r>
  <r>
    <n v="36483672449"/>
    <n v="81"/>
    <x v="189"/>
    <m/>
    <x v="6"/>
    <x v="0"/>
  </r>
  <r>
    <n v="51702064328"/>
    <n v="152"/>
    <x v="189"/>
    <s v=""/>
    <x v="6"/>
    <x v="0"/>
  </r>
  <r>
    <n v="28168269783"/>
    <n v="143"/>
    <x v="190"/>
    <s v=""/>
    <x v="6"/>
    <x v="0"/>
  </r>
  <r>
    <n v="74829827884"/>
    <n v="328"/>
    <x v="190"/>
    <s v=""/>
    <x v="6"/>
    <x v="0"/>
  </r>
  <r>
    <n v="94123211927"/>
    <n v="189"/>
    <x v="190"/>
    <s v=""/>
    <x v="6"/>
    <x v="0"/>
  </r>
  <r>
    <n v="12027511720"/>
    <n v="7"/>
    <x v="190"/>
    <s v=""/>
    <x v="6"/>
    <x v="0"/>
  </r>
  <r>
    <n v="84579237062"/>
    <n v="302"/>
    <x v="190"/>
    <m/>
    <x v="6"/>
    <x v="0"/>
  </r>
  <r>
    <n v="56463516016"/>
    <n v="189"/>
    <x v="190"/>
    <d v="2034-12-14T00:00:00"/>
    <x v="6"/>
    <x v="7"/>
  </r>
  <r>
    <n v="53527664364"/>
    <n v="267"/>
    <x v="190"/>
    <s v=""/>
    <x v="6"/>
    <x v="0"/>
  </r>
  <r>
    <n v="67868860296"/>
    <n v="200"/>
    <x v="190"/>
    <s v=""/>
    <x v="6"/>
    <x v="0"/>
  </r>
  <r>
    <n v="63473733712"/>
    <n v="323"/>
    <x v="190"/>
    <d v="2035-02-14T00:00:00"/>
    <x v="6"/>
    <x v="9"/>
  </r>
  <r>
    <n v="24714530169"/>
    <n v="337"/>
    <x v="190"/>
    <s v=""/>
    <x v="6"/>
    <x v="0"/>
  </r>
  <r>
    <n v="38464914070"/>
    <n v="119"/>
    <x v="190"/>
    <s v=""/>
    <x v="6"/>
    <x v="0"/>
  </r>
  <r>
    <n v="59405265226"/>
    <n v="96"/>
    <x v="190"/>
    <m/>
    <x v="6"/>
    <x v="0"/>
  </r>
  <r>
    <n v="36502540429"/>
    <n v="82"/>
    <x v="190"/>
    <s v=""/>
    <x v="6"/>
    <x v="0"/>
  </r>
  <r>
    <n v="74800549448"/>
    <n v="139"/>
    <x v="190"/>
    <s v=""/>
    <x v="6"/>
    <x v="0"/>
  </r>
  <r>
    <n v="43330776594"/>
    <n v="124"/>
    <x v="190"/>
    <d v="2035-01-04T00:00:00"/>
    <x v="6"/>
    <x v="8"/>
  </r>
  <r>
    <n v="34105317369"/>
    <n v="212"/>
    <x v="190"/>
    <s v=""/>
    <x v="6"/>
    <x v="0"/>
  </r>
  <r>
    <n v="32388187315"/>
    <n v="43"/>
    <x v="190"/>
    <s v=""/>
    <x v="6"/>
    <x v="0"/>
  </r>
  <r>
    <n v="79652832778"/>
    <n v="50"/>
    <x v="190"/>
    <s v=""/>
    <x v="6"/>
    <x v="0"/>
  </r>
  <r>
    <n v="70636360833"/>
    <n v="148"/>
    <x v="190"/>
    <s v=""/>
    <x v="6"/>
    <x v="0"/>
  </r>
  <r>
    <n v="72272390428"/>
    <n v="201"/>
    <x v="190"/>
    <s v=""/>
    <x v="6"/>
    <x v="0"/>
  </r>
  <r>
    <n v="60199373454"/>
    <n v="265"/>
    <x v="190"/>
    <d v="2034-12-27T00:00:00"/>
    <x v="6"/>
    <x v="7"/>
  </r>
  <r>
    <n v="74957604989"/>
    <n v="210"/>
    <x v="190"/>
    <s v=""/>
    <x v="6"/>
    <x v="0"/>
  </r>
  <r>
    <n v="20534219618"/>
    <n v="273"/>
    <x v="190"/>
    <s v=""/>
    <x v="6"/>
    <x v="0"/>
  </r>
  <r>
    <n v="60343113151"/>
    <n v="155"/>
    <x v="190"/>
    <m/>
    <x v="6"/>
    <x v="0"/>
  </r>
  <r>
    <n v="93045201807"/>
    <n v="30"/>
    <x v="190"/>
    <m/>
    <x v="6"/>
    <x v="0"/>
  </r>
  <r>
    <n v="23707594507"/>
    <n v="174"/>
    <x v="190"/>
    <d v="2034-12-29T00:00:00"/>
    <x v="6"/>
    <x v="7"/>
  </r>
  <r>
    <n v="48702489679"/>
    <n v="81"/>
    <x v="190"/>
    <s v=""/>
    <x v="6"/>
    <x v="0"/>
  </r>
  <r>
    <n v="53107894726"/>
    <n v="190"/>
    <x v="191"/>
    <s v=""/>
    <x v="6"/>
    <x v="0"/>
  </r>
  <r>
    <n v="86441232073"/>
    <n v="339"/>
    <x v="191"/>
    <s v=""/>
    <x v="6"/>
    <x v="0"/>
  </r>
  <r>
    <n v="71737862719"/>
    <n v="30"/>
    <x v="191"/>
    <d v="2035-01-11T00:00:00"/>
    <x v="6"/>
    <x v="8"/>
  </r>
  <r>
    <n v="20014837958"/>
    <n v="281"/>
    <x v="191"/>
    <s v=""/>
    <x v="6"/>
    <x v="0"/>
  </r>
  <r>
    <n v="12798124569"/>
    <n v="143"/>
    <x v="191"/>
    <s v=""/>
    <x v="6"/>
    <x v="0"/>
  </r>
  <r>
    <n v="80338506594"/>
    <n v="96"/>
    <x v="191"/>
    <s v=""/>
    <x v="6"/>
    <x v="0"/>
  </r>
  <r>
    <n v="11596527058"/>
    <n v="116"/>
    <x v="191"/>
    <d v="2035-02-15T00:00:00"/>
    <x v="6"/>
    <x v="9"/>
  </r>
  <r>
    <n v="84305946395"/>
    <n v="309"/>
    <x v="191"/>
    <m/>
    <x v="6"/>
    <x v="0"/>
  </r>
  <r>
    <n v="64463755224"/>
    <n v="218"/>
    <x v="191"/>
    <s v=""/>
    <x v="6"/>
    <x v="0"/>
  </r>
  <r>
    <n v="82952635170"/>
    <n v="169"/>
    <x v="191"/>
    <d v="2034-12-21T00:00:00"/>
    <x v="6"/>
    <x v="7"/>
  </r>
  <r>
    <n v="44824851874"/>
    <n v="128"/>
    <x v="191"/>
    <d v="2035-02-06T00:00:00"/>
    <x v="6"/>
    <x v="9"/>
  </r>
  <r>
    <n v="20119203844"/>
    <n v="188"/>
    <x v="191"/>
    <s v=""/>
    <x v="6"/>
    <x v="0"/>
  </r>
  <r>
    <n v="77782029730"/>
    <n v="154"/>
    <x v="191"/>
    <s v=""/>
    <x v="6"/>
    <x v="0"/>
  </r>
  <r>
    <n v="30185463573"/>
    <n v="158"/>
    <x v="191"/>
    <m/>
    <x v="6"/>
    <x v="0"/>
  </r>
  <r>
    <n v="95408574348"/>
    <n v="183"/>
    <x v="191"/>
    <s v=""/>
    <x v="6"/>
    <x v="0"/>
  </r>
  <r>
    <n v="79771056562"/>
    <n v="334"/>
    <x v="191"/>
    <s v=""/>
    <x v="6"/>
    <x v="0"/>
  </r>
  <r>
    <n v="18094547203"/>
    <n v="105"/>
    <x v="191"/>
    <s v=""/>
    <x v="6"/>
    <x v="0"/>
  </r>
  <r>
    <n v="22950621172"/>
    <n v="218"/>
    <x v="191"/>
    <s v=""/>
    <x v="6"/>
    <x v="0"/>
  </r>
  <r>
    <n v="73610361635"/>
    <n v="211"/>
    <x v="191"/>
    <s v=""/>
    <x v="6"/>
    <x v="0"/>
  </r>
  <r>
    <n v="67761452600"/>
    <n v="247"/>
    <x v="191"/>
    <m/>
    <x v="6"/>
    <x v="0"/>
  </r>
  <r>
    <n v="78370546695"/>
    <n v="52"/>
    <x v="191"/>
    <d v="2034-12-25T00:00:00"/>
    <x v="6"/>
    <x v="7"/>
  </r>
  <r>
    <n v="93336531464"/>
    <n v="175"/>
    <x v="191"/>
    <d v="2034-12-11T00:00:00"/>
    <x v="6"/>
    <x v="7"/>
  </r>
  <r>
    <n v="75610000918"/>
    <n v="131"/>
    <x v="191"/>
    <s v=""/>
    <x v="6"/>
    <x v="0"/>
  </r>
  <r>
    <n v="18956029687"/>
    <n v="137"/>
    <x v="191"/>
    <s v=""/>
    <x v="6"/>
    <x v="0"/>
  </r>
  <r>
    <n v="78909646018"/>
    <n v="114"/>
    <x v="192"/>
    <m/>
    <x v="6"/>
    <x v="0"/>
  </r>
  <r>
    <n v="77731723155"/>
    <n v="37"/>
    <x v="192"/>
    <s v=""/>
    <x v="6"/>
    <x v="0"/>
  </r>
  <r>
    <n v="56132977027"/>
    <n v="328"/>
    <x v="192"/>
    <s v=""/>
    <x v="6"/>
    <x v="0"/>
  </r>
  <r>
    <n v="81422459269"/>
    <n v="289"/>
    <x v="192"/>
    <m/>
    <x v="6"/>
    <x v="0"/>
  </r>
  <r>
    <n v="34883835068"/>
    <n v="308"/>
    <x v="192"/>
    <s v=""/>
    <x v="6"/>
    <x v="0"/>
  </r>
  <r>
    <n v="13182891272"/>
    <n v="331"/>
    <x v="192"/>
    <d v="2035-02-20T00:00:00"/>
    <x v="6"/>
    <x v="9"/>
  </r>
  <r>
    <n v="12834121799"/>
    <n v="235"/>
    <x v="192"/>
    <s v=""/>
    <x v="6"/>
    <x v="0"/>
  </r>
  <r>
    <n v="39860443866"/>
    <n v="36"/>
    <x v="192"/>
    <s v=""/>
    <x v="6"/>
    <x v="0"/>
  </r>
  <r>
    <n v="72804890597"/>
    <n v="263"/>
    <x v="192"/>
    <s v=""/>
    <x v="6"/>
    <x v="0"/>
  </r>
  <r>
    <n v="67879409937"/>
    <n v="223"/>
    <x v="192"/>
    <s v=""/>
    <x v="6"/>
    <x v="0"/>
  </r>
  <r>
    <n v="64252879772"/>
    <n v="118"/>
    <x v="192"/>
    <s v=""/>
    <x v="6"/>
    <x v="0"/>
  </r>
  <r>
    <n v="63768395136"/>
    <n v="41"/>
    <x v="192"/>
    <d v="2035-01-15T00:00:00"/>
    <x v="6"/>
    <x v="8"/>
  </r>
  <r>
    <n v="38412466860"/>
    <n v="57"/>
    <x v="192"/>
    <s v=""/>
    <x v="6"/>
    <x v="0"/>
  </r>
  <r>
    <n v="99578154746"/>
    <n v="201"/>
    <x v="192"/>
    <d v="2035-01-18T00:00:00"/>
    <x v="6"/>
    <x v="8"/>
  </r>
  <r>
    <n v="31459358439"/>
    <n v="240"/>
    <x v="192"/>
    <s v=""/>
    <x v="6"/>
    <x v="0"/>
  </r>
  <r>
    <n v="77237268729"/>
    <n v="209"/>
    <x v="192"/>
    <s v=""/>
    <x v="6"/>
    <x v="0"/>
  </r>
  <r>
    <n v="69763408954"/>
    <n v="186"/>
    <x v="192"/>
    <s v=""/>
    <x v="6"/>
    <x v="0"/>
  </r>
  <r>
    <n v="84658836221"/>
    <n v="333"/>
    <x v="192"/>
    <s v=""/>
    <x v="6"/>
    <x v="0"/>
  </r>
  <r>
    <n v="94512958895"/>
    <n v="163"/>
    <x v="192"/>
    <s v=""/>
    <x v="6"/>
    <x v="0"/>
  </r>
  <r>
    <n v="73473222872"/>
    <n v="102"/>
    <x v="193"/>
    <m/>
    <x v="6"/>
    <x v="0"/>
  </r>
  <r>
    <n v="91269555345"/>
    <n v="94"/>
    <x v="193"/>
    <m/>
    <x v="6"/>
    <x v="0"/>
  </r>
  <r>
    <n v="97974477780"/>
    <n v="209"/>
    <x v="193"/>
    <m/>
    <x v="6"/>
    <x v="0"/>
  </r>
  <r>
    <n v="51273908941"/>
    <n v="165"/>
    <x v="193"/>
    <d v="2034-12-26T00:00:00"/>
    <x v="6"/>
    <x v="7"/>
  </r>
  <r>
    <n v="15676270117"/>
    <n v="197"/>
    <x v="193"/>
    <s v=""/>
    <x v="6"/>
    <x v="0"/>
  </r>
  <r>
    <n v="62258984065"/>
    <n v="150"/>
    <x v="193"/>
    <s v=""/>
    <x v="6"/>
    <x v="0"/>
  </r>
  <r>
    <n v="19718489784"/>
    <n v="315"/>
    <x v="193"/>
    <s v=""/>
    <x v="6"/>
    <x v="0"/>
  </r>
  <r>
    <n v="53337374474"/>
    <n v="2"/>
    <x v="193"/>
    <s v=""/>
    <x v="6"/>
    <x v="0"/>
  </r>
  <r>
    <n v="82355298411"/>
    <n v="43"/>
    <x v="193"/>
    <s v=""/>
    <x v="6"/>
    <x v="0"/>
  </r>
  <r>
    <n v="67218090009"/>
    <n v="244"/>
    <x v="193"/>
    <s v=""/>
    <x v="6"/>
    <x v="0"/>
  </r>
  <r>
    <n v="18084815528"/>
    <n v="299"/>
    <x v="193"/>
    <s v=""/>
    <x v="6"/>
    <x v="0"/>
  </r>
  <r>
    <n v="69289260156"/>
    <n v="88"/>
    <x v="193"/>
    <s v=""/>
    <x v="6"/>
    <x v="0"/>
  </r>
  <r>
    <n v="81478573686"/>
    <n v="194"/>
    <x v="193"/>
    <d v="2035-01-05T00:00:00"/>
    <x v="6"/>
    <x v="8"/>
  </r>
  <r>
    <n v="48403205482"/>
    <n v="181"/>
    <x v="193"/>
    <m/>
    <x v="6"/>
    <x v="0"/>
  </r>
  <r>
    <n v="89457011735"/>
    <n v="111"/>
    <x v="193"/>
    <s v=""/>
    <x v="6"/>
    <x v="0"/>
  </r>
  <r>
    <n v="93655386284"/>
    <n v="200"/>
    <x v="193"/>
    <s v=""/>
    <x v="6"/>
    <x v="0"/>
  </r>
  <r>
    <n v="93666109530"/>
    <n v="47"/>
    <x v="193"/>
    <d v="2035-02-14T00:00:00"/>
    <x v="6"/>
    <x v="9"/>
  </r>
  <r>
    <n v="94597161683"/>
    <n v="191"/>
    <x v="193"/>
    <s v=""/>
    <x v="6"/>
    <x v="0"/>
  </r>
  <r>
    <n v="29072726826"/>
    <n v="11"/>
    <x v="193"/>
    <m/>
    <x v="6"/>
    <x v="0"/>
  </r>
  <r>
    <n v="79264027970"/>
    <n v="313"/>
    <x v="193"/>
    <s v=""/>
    <x v="6"/>
    <x v="0"/>
  </r>
  <r>
    <n v="53888539800"/>
    <n v="132"/>
    <x v="193"/>
    <s v=""/>
    <x v="6"/>
    <x v="0"/>
  </r>
  <r>
    <n v="66448519322"/>
    <n v="89"/>
    <x v="193"/>
    <s v=""/>
    <x v="6"/>
    <x v="0"/>
  </r>
  <r>
    <n v="62242452883"/>
    <n v="305"/>
    <x v="193"/>
    <s v=""/>
    <x v="6"/>
    <x v="0"/>
  </r>
  <r>
    <n v="68511039532"/>
    <n v="245"/>
    <x v="193"/>
    <d v="2035-02-02T00:00:00"/>
    <x v="6"/>
    <x v="9"/>
  </r>
  <r>
    <n v="70474663296"/>
    <n v="181"/>
    <x v="193"/>
    <s v=""/>
    <x v="6"/>
    <x v="0"/>
  </r>
  <r>
    <n v="98978675041"/>
    <n v="151"/>
    <x v="193"/>
    <s v=""/>
    <x v="6"/>
    <x v="0"/>
  </r>
  <r>
    <n v="19896940018"/>
    <n v="268"/>
    <x v="193"/>
    <m/>
    <x v="6"/>
    <x v="0"/>
  </r>
  <r>
    <n v="46907775770"/>
    <n v="331"/>
    <x v="193"/>
    <s v=""/>
    <x v="6"/>
    <x v="0"/>
  </r>
  <r>
    <n v="31691124756"/>
    <n v="33"/>
    <x v="193"/>
    <d v="2035-02-01T00:00:00"/>
    <x v="6"/>
    <x v="9"/>
  </r>
  <r>
    <n v="82729495442"/>
    <n v="207"/>
    <x v="193"/>
    <s v=""/>
    <x v="6"/>
    <x v="0"/>
  </r>
  <r>
    <n v="92224292269"/>
    <n v="265"/>
    <x v="193"/>
    <s v=""/>
    <x v="6"/>
    <x v="0"/>
  </r>
  <r>
    <n v="76876157807"/>
    <n v="0"/>
    <x v="193"/>
    <s v=""/>
    <x v="6"/>
    <x v="0"/>
  </r>
  <r>
    <n v="90996591988"/>
    <n v="106"/>
    <x v="193"/>
    <s v=""/>
    <x v="6"/>
    <x v="0"/>
  </r>
  <r>
    <n v="85898961873"/>
    <n v="251"/>
    <x v="193"/>
    <s v=""/>
    <x v="6"/>
    <x v="0"/>
  </r>
  <r>
    <n v="64188906048"/>
    <n v="317"/>
    <x v="194"/>
    <s v=""/>
    <x v="6"/>
    <x v="0"/>
  </r>
  <r>
    <n v="40370269414"/>
    <n v="229"/>
    <x v="194"/>
    <s v=""/>
    <x v="6"/>
    <x v="0"/>
  </r>
  <r>
    <n v="57207028697"/>
    <n v="187"/>
    <x v="194"/>
    <m/>
    <x v="6"/>
    <x v="0"/>
  </r>
  <r>
    <n v="22188566181"/>
    <n v="319"/>
    <x v="194"/>
    <s v=""/>
    <x v="6"/>
    <x v="0"/>
  </r>
  <r>
    <n v="45844576408"/>
    <n v="45"/>
    <x v="194"/>
    <d v="2034-12-28T00:00:00"/>
    <x v="6"/>
    <x v="7"/>
  </r>
  <r>
    <n v="82770694494"/>
    <n v="208"/>
    <x v="194"/>
    <s v=""/>
    <x v="6"/>
    <x v="0"/>
  </r>
  <r>
    <n v="43693426198"/>
    <n v="152"/>
    <x v="194"/>
    <s v=""/>
    <x v="6"/>
    <x v="0"/>
  </r>
  <r>
    <n v="31519380359"/>
    <n v="109"/>
    <x v="194"/>
    <s v=""/>
    <x v="6"/>
    <x v="0"/>
  </r>
  <r>
    <n v="67095919328"/>
    <n v="30"/>
    <x v="194"/>
    <s v=""/>
    <x v="6"/>
    <x v="0"/>
  </r>
  <r>
    <n v="56224881839"/>
    <n v="76"/>
    <x v="194"/>
    <s v=""/>
    <x v="6"/>
    <x v="0"/>
  </r>
  <r>
    <n v="24881288795"/>
    <n v="210"/>
    <x v="194"/>
    <s v=""/>
    <x v="6"/>
    <x v="0"/>
  </r>
  <r>
    <n v="91790158998"/>
    <n v="259"/>
    <x v="194"/>
    <s v=""/>
    <x v="6"/>
    <x v="0"/>
  </r>
  <r>
    <n v="93545976013"/>
    <n v="66"/>
    <x v="194"/>
    <s v=""/>
    <x v="6"/>
    <x v="0"/>
  </r>
  <r>
    <n v="19498868047"/>
    <n v="290"/>
    <x v="194"/>
    <s v=""/>
    <x v="6"/>
    <x v="0"/>
  </r>
  <r>
    <n v="51158109537"/>
    <n v="270"/>
    <x v="194"/>
    <s v=""/>
    <x v="6"/>
    <x v="0"/>
  </r>
  <r>
    <n v="81087578333"/>
    <n v="97"/>
    <x v="194"/>
    <d v="2035-01-11T00:00:00"/>
    <x v="6"/>
    <x v="8"/>
  </r>
  <r>
    <n v="36069797324"/>
    <n v="239"/>
    <x v="194"/>
    <d v="2035-01-16T00:00:00"/>
    <x v="6"/>
    <x v="8"/>
  </r>
  <r>
    <n v="93511905006"/>
    <n v="66"/>
    <x v="194"/>
    <s v=""/>
    <x v="6"/>
    <x v="0"/>
  </r>
  <r>
    <n v="50201695511"/>
    <n v="226"/>
    <x v="194"/>
    <s v=""/>
    <x v="6"/>
    <x v="0"/>
  </r>
  <r>
    <n v="69942340913"/>
    <n v="228"/>
    <x v="194"/>
    <s v=""/>
    <x v="6"/>
    <x v="0"/>
  </r>
  <r>
    <n v="49760735004"/>
    <n v="280"/>
    <x v="194"/>
    <s v=""/>
    <x v="6"/>
    <x v="0"/>
  </r>
  <r>
    <n v="50956431491"/>
    <n v="337"/>
    <x v="194"/>
    <s v=""/>
    <x v="6"/>
    <x v="0"/>
  </r>
  <r>
    <n v="81242527944"/>
    <n v="128"/>
    <x v="194"/>
    <s v=""/>
    <x v="6"/>
    <x v="0"/>
  </r>
  <r>
    <n v="38416894292"/>
    <n v="232"/>
    <x v="194"/>
    <s v=""/>
    <x v="6"/>
    <x v="0"/>
  </r>
  <r>
    <n v="28754448701"/>
    <n v="107"/>
    <x v="194"/>
    <s v=""/>
    <x v="6"/>
    <x v="0"/>
  </r>
  <r>
    <n v="66071623790"/>
    <n v="197"/>
    <x v="194"/>
    <s v=""/>
    <x v="6"/>
    <x v="0"/>
  </r>
  <r>
    <n v="24741280635"/>
    <n v="77"/>
    <x v="194"/>
    <s v=""/>
    <x v="6"/>
    <x v="0"/>
  </r>
  <r>
    <n v="69175897612"/>
    <n v="169"/>
    <x v="194"/>
    <m/>
    <x v="6"/>
    <x v="0"/>
  </r>
  <r>
    <n v="13266344549"/>
    <n v="251"/>
    <x v="194"/>
    <s v=""/>
    <x v="6"/>
    <x v="0"/>
  </r>
  <r>
    <n v="11479613922"/>
    <n v="130"/>
    <x v="194"/>
    <s v=""/>
    <x v="6"/>
    <x v="0"/>
  </r>
  <r>
    <n v="37427260033"/>
    <n v="333"/>
    <x v="194"/>
    <s v=""/>
    <x v="6"/>
    <x v="0"/>
  </r>
  <r>
    <n v="31516059321"/>
    <n v="23"/>
    <x v="194"/>
    <d v="2035-02-08T00:00:00"/>
    <x v="6"/>
    <x v="9"/>
  </r>
  <r>
    <n v="82613193378"/>
    <n v="298"/>
    <x v="194"/>
    <m/>
    <x v="6"/>
    <x v="0"/>
  </r>
  <r>
    <n v="45324662009"/>
    <n v="117"/>
    <x v="194"/>
    <s v=""/>
    <x v="6"/>
    <x v="0"/>
  </r>
  <r>
    <n v="39349081060"/>
    <n v="103"/>
    <x v="195"/>
    <s v=""/>
    <x v="6"/>
    <x v="0"/>
  </r>
  <r>
    <n v="12331855704"/>
    <n v="205"/>
    <x v="195"/>
    <m/>
    <x v="6"/>
    <x v="0"/>
  </r>
  <r>
    <n v="84791305666"/>
    <n v="221"/>
    <x v="195"/>
    <s v=""/>
    <x v="6"/>
    <x v="0"/>
  </r>
  <r>
    <n v="22766035622"/>
    <n v="314"/>
    <x v="195"/>
    <s v=""/>
    <x v="6"/>
    <x v="0"/>
  </r>
  <r>
    <n v="94133533028"/>
    <n v="147"/>
    <x v="195"/>
    <s v=""/>
    <x v="6"/>
    <x v="0"/>
  </r>
  <r>
    <n v="45355634303"/>
    <n v="44"/>
    <x v="195"/>
    <s v=""/>
    <x v="6"/>
    <x v="0"/>
  </r>
  <r>
    <n v="94226838621"/>
    <n v="134"/>
    <x v="195"/>
    <d v="2035-02-21T00:00:00"/>
    <x v="6"/>
    <x v="9"/>
  </r>
  <r>
    <n v="99483922545"/>
    <n v="63"/>
    <x v="195"/>
    <m/>
    <x v="6"/>
    <x v="0"/>
  </r>
  <r>
    <n v="82750417023"/>
    <n v="86"/>
    <x v="195"/>
    <s v=""/>
    <x v="6"/>
    <x v="0"/>
  </r>
  <r>
    <n v="16404743736"/>
    <n v="69"/>
    <x v="195"/>
    <s v=""/>
    <x v="6"/>
    <x v="0"/>
  </r>
  <r>
    <n v="91520417010"/>
    <n v="157"/>
    <x v="195"/>
    <s v=""/>
    <x v="6"/>
    <x v="0"/>
  </r>
  <r>
    <n v="78513597040"/>
    <n v="167"/>
    <x v="195"/>
    <s v=""/>
    <x v="6"/>
    <x v="0"/>
  </r>
  <r>
    <n v="23213399782"/>
    <n v="138"/>
    <x v="195"/>
    <s v=""/>
    <x v="6"/>
    <x v="0"/>
  </r>
  <r>
    <n v="68197353888"/>
    <n v="26"/>
    <x v="195"/>
    <d v="2035-02-16T00:00:00"/>
    <x v="6"/>
    <x v="9"/>
  </r>
  <r>
    <n v="16015018581"/>
    <n v="310"/>
    <x v="195"/>
    <s v=""/>
    <x v="6"/>
    <x v="0"/>
  </r>
  <r>
    <n v="40328880497"/>
    <n v="263"/>
    <x v="195"/>
    <s v=""/>
    <x v="6"/>
    <x v="0"/>
  </r>
  <r>
    <n v="23470141503"/>
    <n v="52"/>
    <x v="195"/>
    <d v="2035-01-11T00:00:00"/>
    <x v="6"/>
    <x v="8"/>
  </r>
  <r>
    <n v="16700633181"/>
    <n v="163"/>
    <x v="195"/>
    <s v=""/>
    <x v="6"/>
    <x v="0"/>
  </r>
  <r>
    <n v="47360610316"/>
    <n v="104"/>
    <x v="195"/>
    <s v=""/>
    <x v="6"/>
    <x v="0"/>
  </r>
  <r>
    <n v="37407010596"/>
    <n v="45"/>
    <x v="195"/>
    <s v=""/>
    <x v="6"/>
    <x v="0"/>
  </r>
  <r>
    <n v="31278872160"/>
    <n v="249"/>
    <x v="195"/>
    <s v=""/>
    <x v="6"/>
    <x v="0"/>
  </r>
  <r>
    <n v="11921203685"/>
    <n v="159"/>
    <x v="195"/>
    <s v=""/>
    <x v="6"/>
    <x v="0"/>
  </r>
  <r>
    <n v="12994658170"/>
    <n v="252"/>
    <x v="195"/>
    <s v=""/>
    <x v="6"/>
    <x v="0"/>
  </r>
  <r>
    <n v="54851675737"/>
    <n v="177"/>
    <x v="195"/>
    <m/>
    <x v="6"/>
    <x v="0"/>
  </r>
  <r>
    <n v="60089707743"/>
    <n v="213"/>
    <x v="196"/>
    <s v=""/>
    <x v="6"/>
    <x v="0"/>
  </r>
  <r>
    <n v="57858732645"/>
    <n v="74"/>
    <x v="196"/>
    <s v=""/>
    <x v="6"/>
    <x v="0"/>
  </r>
  <r>
    <n v="34466583005"/>
    <n v="35"/>
    <x v="196"/>
    <s v=""/>
    <x v="6"/>
    <x v="0"/>
  </r>
  <r>
    <n v="62242795105"/>
    <n v="190"/>
    <x v="196"/>
    <s v=""/>
    <x v="6"/>
    <x v="0"/>
  </r>
  <r>
    <n v="90279275238"/>
    <n v="167"/>
    <x v="196"/>
    <d v="2035-01-03T00:00:00"/>
    <x v="6"/>
    <x v="8"/>
  </r>
  <r>
    <n v="35332700767"/>
    <n v="106"/>
    <x v="196"/>
    <s v=""/>
    <x v="6"/>
    <x v="0"/>
  </r>
  <r>
    <n v="18656715016"/>
    <n v="279"/>
    <x v="196"/>
    <s v=""/>
    <x v="6"/>
    <x v="0"/>
  </r>
  <r>
    <n v="32143328342"/>
    <n v="260"/>
    <x v="196"/>
    <s v=""/>
    <x v="6"/>
    <x v="0"/>
  </r>
  <r>
    <n v="81980117413"/>
    <n v="290"/>
    <x v="196"/>
    <s v=""/>
    <x v="6"/>
    <x v="0"/>
  </r>
  <r>
    <n v="90978013432"/>
    <n v="196"/>
    <x v="196"/>
    <s v=""/>
    <x v="6"/>
    <x v="0"/>
  </r>
  <r>
    <n v="93383770751"/>
    <n v="48"/>
    <x v="196"/>
    <s v=""/>
    <x v="6"/>
    <x v="0"/>
  </r>
  <r>
    <n v="53714767843"/>
    <n v="320"/>
    <x v="196"/>
    <s v=""/>
    <x v="6"/>
    <x v="0"/>
  </r>
  <r>
    <n v="76030363599"/>
    <n v="156"/>
    <x v="196"/>
    <s v=""/>
    <x v="6"/>
    <x v="0"/>
  </r>
  <r>
    <n v="59412640239"/>
    <n v="268"/>
    <x v="196"/>
    <d v="2035-01-20T00:00:00"/>
    <x v="6"/>
    <x v="8"/>
  </r>
  <r>
    <n v="34655659862"/>
    <n v="112"/>
    <x v="196"/>
    <s v=""/>
    <x v="6"/>
    <x v="0"/>
  </r>
  <r>
    <n v="51371238767"/>
    <n v="39"/>
    <x v="196"/>
    <d v="2035-02-17T00:00:00"/>
    <x v="6"/>
    <x v="9"/>
  </r>
  <r>
    <n v="17618714794"/>
    <n v="104"/>
    <x v="196"/>
    <s v=""/>
    <x v="6"/>
    <x v="0"/>
  </r>
  <r>
    <n v="69681313863"/>
    <n v="175"/>
    <x v="196"/>
    <s v=""/>
    <x v="6"/>
    <x v="0"/>
  </r>
  <r>
    <n v="31188933687"/>
    <n v="161"/>
    <x v="196"/>
    <m/>
    <x v="6"/>
    <x v="0"/>
  </r>
  <r>
    <n v="76413684942"/>
    <n v="24"/>
    <x v="196"/>
    <s v=""/>
    <x v="6"/>
    <x v="0"/>
  </r>
  <r>
    <n v="83360234057"/>
    <n v="262"/>
    <x v="197"/>
    <s v=""/>
    <x v="6"/>
    <x v="0"/>
  </r>
  <r>
    <n v="26272800348"/>
    <n v="281"/>
    <x v="197"/>
    <s v=""/>
    <x v="6"/>
    <x v="0"/>
  </r>
  <r>
    <n v="98255614921"/>
    <n v="132"/>
    <x v="197"/>
    <s v=""/>
    <x v="6"/>
    <x v="0"/>
  </r>
  <r>
    <n v="12201631892"/>
    <n v="104"/>
    <x v="197"/>
    <s v=""/>
    <x v="6"/>
    <x v="0"/>
  </r>
  <r>
    <n v="97740523555"/>
    <n v="142"/>
    <x v="197"/>
    <m/>
    <x v="6"/>
    <x v="0"/>
  </r>
  <r>
    <n v="36989729625"/>
    <n v="207"/>
    <x v="197"/>
    <s v=""/>
    <x v="6"/>
    <x v="0"/>
  </r>
  <r>
    <n v="22130255998"/>
    <n v="187"/>
    <x v="197"/>
    <s v=""/>
    <x v="6"/>
    <x v="0"/>
  </r>
  <r>
    <n v="45016170733"/>
    <n v="308"/>
    <x v="197"/>
    <s v=""/>
    <x v="6"/>
    <x v="0"/>
  </r>
  <r>
    <n v="53463248774"/>
    <n v="302"/>
    <x v="197"/>
    <s v=""/>
    <x v="6"/>
    <x v="0"/>
  </r>
  <r>
    <n v="48182709087"/>
    <n v="168"/>
    <x v="197"/>
    <s v=""/>
    <x v="6"/>
    <x v="0"/>
  </r>
  <r>
    <n v="58347553774"/>
    <n v="263"/>
    <x v="197"/>
    <s v=""/>
    <x v="6"/>
    <x v="0"/>
  </r>
  <r>
    <n v="87079392351"/>
    <n v="79"/>
    <x v="197"/>
    <s v=""/>
    <x v="6"/>
    <x v="0"/>
  </r>
  <r>
    <n v="29828259522"/>
    <n v="17"/>
    <x v="197"/>
    <s v=""/>
    <x v="6"/>
    <x v="0"/>
  </r>
  <r>
    <n v="43393920153"/>
    <n v="99"/>
    <x v="197"/>
    <s v=""/>
    <x v="6"/>
    <x v="0"/>
  </r>
  <r>
    <n v="46273990244"/>
    <n v="228"/>
    <x v="197"/>
    <s v=""/>
    <x v="6"/>
    <x v="0"/>
  </r>
  <r>
    <n v="29333741588"/>
    <n v="179"/>
    <x v="197"/>
    <s v=""/>
    <x v="6"/>
    <x v="0"/>
  </r>
  <r>
    <n v="70694221882"/>
    <n v="109"/>
    <x v="197"/>
    <d v="2035-02-23T00:00:00"/>
    <x v="6"/>
    <x v="9"/>
  </r>
  <r>
    <n v="96444405960"/>
    <n v="91"/>
    <x v="197"/>
    <m/>
    <x v="6"/>
    <x v="0"/>
  </r>
  <r>
    <n v="44198016995"/>
    <n v="34"/>
    <x v="197"/>
    <s v=""/>
    <x v="6"/>
    <x v="0"/>
  </r>
  <r>
    <n v="98096953563"/>
    <n v="266"/>
    <x v="197"/>
    <d v="2035-01-25T00:00:00"/>
    <x v="6"/>
    <x v="8"/>
  </r>
  <r>
    <n v="96426013970"/>
    <n v="291"/>
    <x v="197"/>
    <s v=""/>
    <x v="6"/>
    <x v="0"/>
  </r>
  <r>
    <n v="43856845784"/>
    <n v="148"/>
    <x v="197"/>
    <d v="2035-01-20T00:00:00"/>
    <x v="6"/>
    <x v="8"/>
  </r>
  <r>
    <n v="85947900096"/>
    <n v="177"/>
    <x v="197"/>
    <m/>
    <x v="6"/>
    <x v="0"/>
  </r>
  <r>
    <n v="12668027650"/>
    <n v="152"/>
    <x v="197"/>
    <s v=""/>
    <x v="6"/>
    <x v="0"/>
  </r>
  <r>
    <n v="44228541499"/>
    <n v="61"/>
    <x v="197"/>
    <s v=""/>
    <x v="6"/>
    <x v="0"/>
  </r>
  <r>
    <n v="87181083407"/>
    <n v="16"/>
    <x v="197"/>
    <d v="2034-12-28T00:00:00"/>
    <x v="6"/>
    <x v="7"/>
  </r>
  <r>
    <n v="35467148616"/>
    <n v="327"/>
    <x v="198"/>
    <s v=""/>
    <x v="6"/>
    <x v="0"/>
  </r>
  <r>
    <n v="31661913093"/>
    <n v="30"/>
    <x v="198"/>
    <s v=""/>
    <x v="6"/>
    <x v="0"/>
  </r>
  <r>
    <n v="81729646800"/>
    <n v="265"/>
    <x v="198"/>
    <s v=""/>
    <x v="6"/>
    <x v="0"/>
  </r>
  <r>
    <n v="50499062878"/>
    <n v="38"/>
    <x v="198"/>
    <s v=""/>
    <x v="6"/>
    <x v="0"/>
  </r>
  <r>
    <n v="61468501953"/>
    <n v="237"/>
    <x v="198"/>
    <s v=""/>
    <x v="6"/>
    <x v="0"/>
  </r>
  <r>
    <n v="34770330665"/>
    <n v="45"/>
    <x v="198"/>
    <s v=""/>
    <x v="6"/>
    <x v="0"/>
  </r>
  <r>
    <n v="80550775021"/>
    <n v="184"/>
    <x v="198"/>
    <d v="2035-01-15T00:00:00"/>
    <x v="6"/>
    <x v="8"/>
  </r>
  <r>
    <n v="44254419400"/>
    <n v="110"/>
    <x v="198"/>
    <s v=""/>
    <x v="6"/>
    <x v="0"/>
  </r>
  <r>
    <n v="82915247188"/>
    <n v="142"/>
    <x v="198"/>
    <s v=""/>
    <x v="6"/>
    <x v="0"/>
  </r>
  <r>
    <n v="72237222043"/>
    <n v="206"/>
    <x v="198"/>
    <s v=""/>
    <x v="6"/>
    <x v="0"/>
  </r>
  <r>
    <n v="92287150872"/>
    <n v="212"/>
    <x v="198"/>
    <s v=""/>
    <x v="6"/>
    <x v="0"/>
  </r>
  <r>
    <n v="14308005447"/>
    <n v="236"/>
    <x v="198"/>
    <d v="2035-01-06T00:00:00"/>
    <x v="6"/>
    <x v="8"/>
  </r>
  <r>
    <n v="24887059278"/>
    <n v="95"/>
    <x v="198"/>
    <m/>
    <x v="6"/>
    <x v="0"/>
  </r>
  <r>
    <n v="74422918492"/>
    <n v="272"/>
    <x v="198"/>
    <s v=""/>
    <x v="6"/>
    <x v="0"/>
  </r>
  <r>
    <n v="92817984198"/>
    <n v="320"/>
    <x v="198"/>
    <d v="2034-12-16T00:00:00"/>
    <x v="6"/>
    <x v="7"/>
  </r>
  <r>
    <n v="46502529389"/>
    <n v="14"/>
    <x v="198"/>
    <m/>
    <x v="6"/>
    <x v="0"/>
  </r>
  <r>
    <n v="19695615817"/>
    <n v="10"/>
    <x v="198"/>
    <s v=""/>
    <x v="6"/>
    <x v="0"/>
  </r>
  <r>
    <n v="80773005293"/>
    <n v="259"/>
    <x v="198"/>
    <s v=""/>
    <x v="6"/>
    <x v="0"/>
  </r>
  <r>
    <n v="92809110855"/>
    <n v="70"/>
    <x v="198"/>
    <s v=""/>
    <x v="6"/>
    <x v="0"/>
  </r>
  <r>
    <n v="34664273933"/>
    <n v="158"/>
    <x v="198"/>
    <d v="2035-02-25T00:00:00"/>
    <x v="6"/>
    <x v="9"/>
  </r>
  <r>
    <n v="91968820139"/>
    <n v="63"/>
    <x v="198"/>
    <d v="2035-02-03T00:00:00"/>
    <x v="6"/>
    <x v="9"/>
  </r>
  <r>
    <n v="74793563772"/>
    <n v="140"/>
    <x v="198"/>
    <s v=""/>
    <x v="6"/>
    <x v="0"/>
  </r>
  <r>
    <n v="72551653138"/>
    <n v="258"/>
    <x v="198"/>
    <d v="2035-02-23T00:00:00"/>
    <x v="6"/>
    <x v="9"/>
  </r>
  <r>
    <n v="15269737072"/>
    <n v="215"/>
    <x v="198"/>
    <s v=""/>
    <x v="6"/>
    <x v="0"/>
  </r>
  <r>
    <n v="21558573565"/>
    <n v="322"/>
    <x v="198"/>
    <d v="2034-12-30T00:00:00"/>
    <x v="6"/>
    <x v="7"/>
  </r>
  <r>
    <n v="63712664362"/>
    <n v="203"/>
    <x v="199"/>
    <s v=""/>
    <x v="6"/>
    <x v="0"/>
  </r>
  <r>
    <n v="47481046150"/>
    <n v="54"/>
    <x v="199"/>
    <s v=""/>
    <x v="6"/>
    <x v="0"/>
  </r>
  <r>
    <n v="57863474255"/>
    <n v="266"/>
    <x v="199"/>
    <s v=""/>
    <x v="6"/>
    <x v="0"/>
  </r>
  <r>
    <n v="97082843548"/>
    <n v="127"/>
    <x v="199"/>
    <s v=""/>
    <x v="6"/>
    <x v="0"/>
  </r>
  <r>
    <n v="21136629306"/>
    <n v="273"/>
    <x v="199"/>
    <s v=""/>
    <x v="6"/>
    <x v="0"/>
  </r>
  <r>
    <n v="21251171514"/>
    <n v="111"/>
    <x v="199"/>
    <s v=""/>
    <x v="6"/>
    <x v="0"/>
  </r>
  <r>
    <n v="60990348312"/>
    <n v="197"/>
    <x v="199"/>
    <s v=""/>
    <x v="6"/>
    <x v="0"/>
  </r>
  <r>
    <n v="60057604038"/>
    <n v="244"/>
    <x v="199"/>
    <m/>
    <x v="6"/>
    <x v="0"/>
  </r>
  <r>
    <n v="65705829872"/>
    <n v="140"/>
    <x v="199"/>
    <s v=""/>
    <x v="6"/>
    <x v="0"/>
  </r>
  <r>
    <n v="85808290242"/>
    <n v="305"/>
    <x v="199"/>
    <s v=""/>
    <x v="6"/>
    <x v="0"/>
  </r>
  <r>
    <n v="20114400999"/>
    <n v="135"/>
    <x v="199"/>
    <s v=""/>
    <x v="6"/>
    <x v="0"/>
  </r>
  <r>
    <n v="25114820382"/>
    <n v="90"/>
    <x v="199"/>
    <m/>
    <x v="6"/>
    <x v="0"/>
  </r>
  <r>
    <n v="79389308717"/>
    <n v="227"/>
    <x v="199"/>
    <m/>
    <x v="6"/>
    <x v="0"/>
  </r>
  <r>
    <n v="33455382879"/>
    <n v="35"/>
    <x v="199"/>
    <s v=""/>
    <x v="6"/>
    <x v="0"/>
  </r>
  <r>
    <n v="19692779270"/>
    <n v="131"/>
    <x v="199"/>
    <d v="2035-02-04T00:00:00"/>
    <x v="6"/>
    <x v="9"/>
  </r>
  <r>
    <n v="15045663259"/>
    <n v="162"/>
    <x v="199"/>
    <s v=""/>
    <x v="6"/>
    <x v="0"/>
  </r>
  <r>
    <n v="52026424707"/>
    <n v="218"/>
    <x v="199"/>
    <s v=""/>
    <x v="6"/>
    <x v="0"/>
  </r>
  <r>
    <n v="62672793566"/>
    <n v="318"/>
    <x v="199"/>
    <m/>
    <x v="6"/>
    <x v="0"/>
  </r>
  <r>
    <n v="52854392008"/>
    <n v="279"/>
    <x v="199"/>
    <m/>
    <x v="6"/>
    <x v="0"/>
  </r>
  <r>
    <n v="65409367864"/>
    <n v="301"/>
    <x v="199"/>
    <s v=""/>
    <x v="6"/>
    <x v="0"/>
  </r>
  <r>
    <n v="45198007238"/>
    <n v="5"/>
    <x v="199"/>
    <m/>
    <x v="6"/>
    <x v="0"/>
  </r>
  <r>
    <n v="32257288756"/>
    <n v="107"/>
    <x v="199"/>
    <s v=""/>
    <x v="6"/>
    <x v="0"/>
  </r>
  <r>
    <n v="63565147819"/>
    <n v="311"/>
    <x v="199"/>
    <s v=""/>
    <x v="6"/>
    <x v="0"/>
  </r>
  <r>
    <n v="31816167185"/>
    <n v="141"/>
    <x v="199"/>
    <s v=""/>
    <x v="6"/>
    <x v="0"/>
  </r>
  <r>
    <n v="12376981226"/>
    <n v="137"/>
    <x v="199"/>
    <d v="2035-02-01T00:00:00"/>
    <x v="6"/>
    <x v="9"/>
  </r>
  <r>
    <n v="35372060228"/>
    <n v="234"/>
    <x v="200"/>
    <s v=""/>
    <x v="6"/>
    <x v="0"/>
  </r>
  <r>
    <n v="78072569395"/>
    <n v="302"/>
    <x v="200"/>
    <s v=""/>
    <x v="6"/>
    <x v="0"/>
  </r>
  <r>
    <n v="62695945151"/>
    <n v="325"/>
    <x v="200"/>
    <s v=""/>
    <x v="6"/>
    <x v="0"/>
  </r>
  <r>
    <n v="50760513908"/>
    <n v="23"/>
    <x v="200"/>
    <d v="2035-02-24T00:00:00"/>
    <x v="6"/>
    <x v="9"/>
  </r>
  <r>
    <n v="87717578324"/>
    <n v="164"/>
    <x v="200"/>
    <s v=""/>
    <x v="6"/>
    <x v="0"/>
  </r>
  <r>
    <n v="59876876188"/>
    <n v="237"/>
    <x v="200"/>
    <s v=""/>
    <x v="6"/>
    <x v="0"/>
  </r>
  <r>
    <n v="72963500256"/>
    <n v="228"/>
    <x v="200"/>
    <m/>
    <x v="6"/>
    <x v="0"/>
  </r>
  <r>
    <n v="75388181916"/>
    <n v="221"/>
    <x v="200"/>
    <s v=""/>
    <x v="6"/>
    <x v="0"/>
  </r>
  <r>
    <n v="99922621520"/>
    <n v="43"/>
    <x v="200"/>
    <s v=""/>
    <x v="6"/>
    <x v="0"/>
  </r>
  <r>
    <n v="45798224168"/>
    <n v="98"/>
    <x v="200"/>
    <s v=""/>
    <x v="6"/>
    <x v="0"/>
  </r>
  <r>
    <n v="36937251729"/>
    <n v="133"/>
    <x v="200"/>
    <s v=""/>
    <x v="6"/>
    <x v="0"/>
  </r>
  <r>
    <n v="85350454358"/>
    <n v="94"/>
    <x v="200"/>
    <s v=""/>
    <x v="6"/>
    <x v="0"/>
  </r>
  <r>
    <n v="29731466045"/>
    <n v="79"/>
    <x v="200"/>
    <s v=""/>
    <x v="6"/>
    <x v="0"/>
  </r>
  <r>
    <n v="83011385319"/>
    <n v="226"/>
    <x v="200"/>
    <m/>
    <x v="6"/>
    <x v="0"/>
  </r>
  <r>
    <n v="67365317448"/>
    <n v="264"/>
    <x v="200"/>
    <m/>
    <x v="6"/>
    <x v="0"/>
  </r>
  <r>
    <n v="60427199547"/>
    <n v="264"/>
    <x v="200"/>
    <s v=""/>
    <x v="6"/>
    <x v="0"/>
  </r>
  <r>
    <n v="87864565104"/>
    <n v="90"/>
    <x v="200"/>
    <s v=""/>
    <x v="6"/>
    <x v="0"/>
  </r>
  <r>
    <n v="28833851992"/>
    <n v="96"/>
    <x v="200"/>
    <s v=""/>
    <x v="6"/>
    <x v="0"/>
  </r>
  <r>
    <n v="76709536329"/>
    <n v="193"/>
    <x v="200"/>
    <s v=""/>
    <x v="6"/>
    <x v="0"/>
  </r>
  <r>
    <n v="65496907791"/>
    <n v="239"/>
    <x v="200"/>
    <s v=""/>
    <x v="6"/>
    <x v="0"/>
  </r>
  <r>
    <n v="63686198094"/>
    <n v="66"/>
    <x v="200"/>
    <m/>
    <x v="6"/>
    <x v="0"/>
  </r>
  <r>
    <n v="30646489605"/>
    <n v="155"/>
    <x v="200"/>
    <s v=""/>
    <x v="6"/>
    <x v="0"/>
  </r>
  <r>
    <n v="97648732199"/>
    <n v="106"/>
    <x v="200"/>
    <s v=""/>
    <x v="6"/>
    <x v="0"/>
  </r>
  <r>
    <n v="19654334077"/>
    <n v="181"/>
    <x v="200"/>
    <s v=""/>
    <x v="6"/>
    <x v="0"/>
  </r>
  <r>
    <n v="80369617662"/>
    <n v="91"/>
    <x v="200"/>
    <s v=""/>
    <x v="6"/>
    <x v="0"/>
  </r>
  <r>
    <n v="50907655882"/>
    <n v="308"/>
    <x v="200"/>
    <s v=""/>
    <x v="6"/>
    <x v="0"/>
  </r>
  <r>
    <n v="28995310036"/>
    <n v="226"/>
    <x v="200"/>
    <s v=""/>
    <x v="6"/>
    <x v="0"/>
  </r>
  <r>
    <n v="72743820486"/>
    <n v="163"/>
    <x v="200"/>
    <d v="2035-01-16T00:00:00"/>
    <x v="6"/>
    <x v="8"/>
  </r>
  <r>
    <n v="51012659251"/>
    <n v="211"/>
    <x v="201"/>
    <m/>
    <x v="6"/>
    <x v="0"/>
  </r>
  <r>
    <n v="13667314580"/>
    <n v="80"/>
    <x v="201"/>
    <d v="2035-01-27T00:00:00"/>
    <x v="6"/>
    <x v="8"/>
  </r>
  <r>
    <n v="75272361038"/>
    <n v="12"/>
    <x v="201"/>
    <m/>
    <x v="6"/>
    <x v="0"/>
  </r>
  <r>
    <n v="56730146425"/>
    <n v="108"/>
    <x v="201"/>
    <s v=""/>
    <x v="6"/>
    <x v="0"/>
  </r>
  <r>
    <n v="69301978290"/>
    <n v="171"/>
    <x v="201"/>
    <s v=""/>
    <x v="6"/>
    <x v="0"/>
  </r>
  <r>
    <n v="57151064885"/>
    <n v="293"/>
    <x v="201"/>
    <s v=""/>
    <x v="6"/>
    <x v="0"/>
  </r>
  <r>
    <n v="51417767166"/>
    <n v="39"/>
    <x v="201"/>
    <d v="2035-01-27T00:00:00"/>
    <x v="6"/>
    <x v="8"/>
  </r>
  <r>
    <n v="12738778871"/>
    <n v="77"/>
    <x v="201"/>
    <s v=""/>
    <x v="6"/>
    <x v="0"/>
  </r>
  <r>
    <n v="54574593884"/>
    <n v="164"/>
    <x v="201"/>
    <s v=""/>
    <x v="6"/>
    <x v="0"/>
  </r>
  <r>
    <n v="77955396090"/>
    <n v="106"/>
    <x v="201"/>
    <m/>
    <x v="6"/>
    <x v="0"/>
  </r>
  <r>
    <n v="38580820947"/>
    <n v="210"/>
    <x v="201"/>
    <s v=""/>
    <x v="6"/>
    <x v="0"/>
  </r>
  <r>
    <n v="68797989741"/>
    <n v="227"/>
    <x v="201"/>
    <s v=""/>
    <x v="6"/>
    <x v="0"/>
  </r>
  <r>
    <n v="34011933789"/>
    <n v="78"/>
    <x v="201"/>
    <s v=""/>
    <x v="6"/>
    <x v="0"/>
  </r>
  <r>
    <n v="70455759333"/>
    <n v="51"/>
    <x v="201"/>
    <s v=""/>
    <x v="6"/>
    <x v="0"/>
  </r>
  <r>
    <n v="12209041713"/>
    <n v="43"/>
    <x v="201"/>
    <s v=""/>
    <x v="6"/>
    <x v="0"/>
  </r>
  <r>
    <n v="83341092378"/>
    <n v="139"/>
    <x v="201"/>
    <s v=""/>
    <x v="6"/>
    <x v="0"/>
  </r>
  <r>
    <n v="61390959932"/>
    <n v="334"/>
    <x v="201"/>
    <s v=""/>
    <x v="6"/>
    <x v="0"/>
  </r>
  <r>
    <n v="56001341670"/>
    <n v="241"/>
    <x v="201"/>
    <s v=""/>
    <x v="6"/>
    <x v="0"/>
  </r>
  <r>
    <n v="35099789633"/>
    <n v="328"/>
    <x v="201"/>
    <s v=""/>
    <x v="6"/>
    <x v="0"/>
  </r>
  <r>
    <n v="55254937314"/>
    <n v="220"/>
    <x v="201"/>
    <s v=""/>
    <x v="6"/>
    <x v="0"/>
  </r>
  <r>
    <n v="71821189545"/>
    <n v="33"/>
    <x v="201"/>
    <m/>
    <x v="6"/>
    <x v="0"/>
  </r>
  <r>
    <n v="50836092723"/>
    <n v="173"/>
    <x v="201"/>
    <s v=""/>
    <x v="6"/>
    <x v="0"/>
  </r>
  <r>
    <n v="45251315129"/>
    <n v="275"/>
    <x v="201"/>
    <s v=""/>
    <x v="6"/>
    <x v="0"/>
  </r>
  <r>
    <n v="50936496743"/>
    <n v="292"/>
    <x v="201"/>
    <m/>
    <x v="6"/>
    <x v="0"/>
  </r>
  <r>
    <n v="77287644320"/>
    <n v="51"/>
    <x v="201"/>
    <s v=""/>
    <x v="6"/>
    <x v="0"/>
  </r>
  <r>
    <n v="21905207602"/>
    <n v="232"/>
    <x v="201"/>
    <m/>
    <x v="6"/>
    <x v="0"/>
  </r>
  <r>
    <n v="66590523021"/>
    <n v="42"/>
    <x v="201"/>
    <s v=""/>
    <x v="6"/>
    <x v="0"/>
  </r>
  <r>
    <n v="62322220406"/>
    <n v="42"/>
    <x v="201"/>
    <s v=""/>
    <x v="6"/>
    <x v="0"/>
  </r>
  <r>
    <n v="86210082508"/>
    <n v="308"/>
    <x v="201"/>
    <d v="2035-01-18T00:00:00"/>
    <x v="6"/>
    <x v="8"/>
  </r>
  <r>
    <n v="27725317829"/>
    <n v="210"/>
    <x v="202"/>
    <m/>
    <x v="6"/>
    <x v="0"/>
  </r>
  <r>
    <n v="17206907128"/>
    <n v="62"/>
    <x v="202"/>
    <m/>
    <x v="6"/>
    <x v="0"/>
  </r>
  <r>
    <n v="86239209738"/>
    <n v="193"/>
    <x v="202"/>
    <s v=""/>
    <x v="6"/>
    <x v="0"/>
  </r>
  <r>
    <n v="69805466633"/>
    <n v="253"/>
    <x v="202"/>
    <s v=""/>
    <x v="6"/>
    <x v="0"/>
  </r>
  <r>
    <n v="85341428284"/>
    <n v="283"/>
    <x v="202"/>
    <m/>
    <x v="6"/>
    <x v="0"/>
  </r>
  <r>
    <n v="48766368705"/>
    <n v="194"/>
    <x v="202"/>
    <d v="2034-12-26T00:00:00"/>
    <x v="6"/>
    <x v="7"/>
  </r>
  <r>
    <n v="41033517020"/>
    <n v="59"/>
    <x v="202"/>
    <m/>
    <x v="6"/>
    <x v="0"/>
  </r>
  <r>
    <n v="29346404627"/>
    <n v="0"/>
    <x v="202"/>
    <s v=""/>
    <x v="6"/>
    <x v="0"/>
  </r>
  <r>
    <n v="44484207369"/>
    <n v="225"/>
    <x v="202"/>
    <s v=""/>
    <x v="6"/>
    <x v="0"/>
  </r>
  <r>
    <n v="58769933760"/>
    <n v="24"/>
    <x v="202"/>
    <s v=""/>
    <x v="6"/>
    <x v="0"/>
  </r>
  <r>
    <n v="41723446242"/>
    <n v="5"/>
    <x v="202"/>
    <s v=""/>
    <x v="6"/>
    <x v="0"/>
  </r>
  <r>
    <n v="82300735361"/>
    <n v="285"/>
    <x v="202"/>
    <s v=""/>
    <x v="6"/>
    <x v="0"/>
  </r>
  <r>
    <n v="23594291217"/>
    <n v="244"/>
    <x v="202"/>
    <s v=""/>
    <x v="6"/>
    <x v="0"/>
  </r>
  <r>
    <n v="40301350862"/>
    <n v="162"/>
    <x v="202"/>
    <s v=""/>
    <x v="6"/>
    <x v="0"/>
  </r>
  <r>
    <n v="59569061396"/>
    <n v="206"/>
    <x v="202"/>
    <s v=""/>
    <x v="6"/>
    <x v="0"/>
  </r>
  <r>
    <n v="45025831496"/>
    <n v="5"/>
    <x v="202"/>
    <m/>
    <x v="6"/>
    <x v="0"/>
  </r>
  <r>
    <n v="23355096159"/>
    <n v="69"/>
    <x v="202"/>
    <d v="2035-01-13T00:00:00"/>
    <x v="6"/>
    <x v="8"/>
  </r>
  <r>
    <n v="77897136977"/>
    <n v="216"/>
    <x v="202"/>
    <s v=""/>
    <x v="6"/>
    <x v="0"/>
  </r>
  <r>
    <n v="87687144750"/>
    <n v="268"/>
    <x v="202"/>
    <s v=""/>
    <x v="6"/>
    <x v="0"/>
  </r>
  <r>
    <n v="75894274058"/>
    <n v="12"/>
    <x v="202"/>
    <s v=""/>
    <x v="6"/>
    <x v="0"/>
  </r>
  <r>
    <n v="48739321158"/>
    <n v="254"/>
    <x v="202"/>
    <s v=""/>
    <x v="6"/>
    <x v="0"/>
  </r>
  <r>
    <n v="80382725593"/>
    <n v="109"/>
    <x v="202"/>
    <d v="2034-12-27T00:00:00"/>
    <x v="6"/>
    <x v="7"/>
  </r>
  <r>
    <n v="30224615522"/>
    <n v="250"/>
    <x v="202"/>
    <s v=""/>
    <x v="6"/>
    <x v="0"/>
  </r>
  <r>
    <n v="30692559222"/>
    <n v="237"/>
    <x v="202"/>
    <s v=""/>
    <x v="6"/>
    <x v="0"/>
  </r>
  <r>
    <n v="22488346953"/>
    <n v="326"/>
    <x v="202"/>
    <s v=""/>
    <x v="6"/>
    <x v="0"/>
  </r>
  <r>
    <n v="60241456803"/>
    <n v="112"/>
    <x v="202"/>
    <s v=""/>
    <x v="6"/>
    <x v="0"/>
  </r>
  <r>
    <n v="78159882775"/>
    <n v="319"/>
    <x v="202"/>
    <s v=""/>
    <x v="6"/>
    <x v="0"/>
  </r>
  <r>
    <n v="12352494217"/>
    <n v="183"/>
    <x v="202"/>
    <s v=""/>
    <x v="6"/>
    <x v="0"/>
  </r>
  <r>
    <n v="20770495709"/>
    <n v="227"/>
    <x v="203"/>
    <s v=""/>
    <x v="6"/>
    <x v="0"/>
  </r>
  <r>
    <n v="78938249106"/>
    <n v="122"/>
    <x v="203"/>
    <s v=""/>
    <x v="6"/>
    <x v="0"/>
  </r>
  <r>
    <n v="99168803075"/>
    <n v="261"/>
    <x v="203"/>
    <s v=""/>
    <x v="6"/>
    <x v="0"/>
  </r>
  <r>
    <n v="42208072235"/>
    <n v="332"/>
    <x v="203"/>
    <s v=""/>
    <x v="6"/>
    <x v="0"/>
  </r>
  <r>
    <n v="94467171709"/>
    <n v="83"/>
    <x v="203"/>
    <s v=""/>
    <x v="6"/>
    <x v="0"/>
  </r>
  <r>
    <n v="20762297407"/>
    <n v="27"/>
    <x v="203"/>
    <s v=""/>
    <x v="6"/>
    <x v="0"/>
  </r>
  <r>
    <n v="45260880510"/>
    <n v="123"/>
    <x v="203"/>
    <m/>
    <x v="6"/>
    <x v="0"/>
  </r>
  <r>
    <n v="12380800726"/>
    <n v="323"/>
    <x v="203"/>
    <s v=""/>
    <x v="6"/>
    <x v="0"/>
  </r>
  <r>
    <n v="30657489616"/>
    <n v="58"/>
    <x v="203"/>
    <s v=""/>
    <x v="6"/>
    <x v="0"/>
  </r>
  <r>
    <n v="74978472658"/>
    <n v="175"/>
    <x v="203"/>
    <s v=""/>
    <x v="6"/>
    <x v="0"/>
  </r>
  <r>
    <n v="80958908095"/>
    <n v="29"/>
    <x v="203"/>
    <m/>
    <x v="6"/>
    <x v="0"/>
  </r>
  <r>
    <n v="17800440729"/>
    <n v="259"/>
    <x v="203"/>
    <s v=""/>
    <x v="6"/>
    <x v="0"/>
  </r>
  <r>
    <n v="21747112461"/>
    <n v="233"/>
    <x v="203"/>
    <s v=""/>
    <x v="6"/>
    <x v="0"/>
  </r>
  <r>
    <n v="52681334752"/>
    <n v="173"/>
    <x v="203"/>
    <s v=""/>
    <x v="6"/>
    <x v="0"/>
  </r>
  <r>
    <n v="34399251153"/>
    <n v="61"/>
    <x v="203"/>
    <s v=""/>
    <x v="6"/>
    <x v="0"/>
  </r>
  <r>
    <n v="52228946526"/>
    <n v="292"/>
    <x v="203"/>
    <s v=""/>
    <x v="6"/>
    <x v="0"/>
  </r>
  <r>
    <n v="37337263088"/>
    <n v="74"/>
    <x v="204"/>
    <m/>
    <x v="6"/>
    <x v="0"/>
  </r>
  <r>
    <n v="69843263707"/>
    <n v="53"/>
    <x v="204"/>
    <s v=""/>
    <x v="6"/>
    <x v="0"/>
  </r>
  <r>
    <n v="99881292073"/>
    <n v="300"/>
    <x v="204"/>
    <m/>
    <x v="6"/>
    <x v="0"/>
  </r>
  <r>
    <n v="69419568107"/>
    <n v="57"/>
    <x v="204"/>
    <d v="2035-01-28T00:00:00"/>
    <x v="6"/>
    <x v="8"/>
  </r>
  <r>
    <n v="18174821086"/>
    <n v="314"/>
    <x v="204"/>
    <s v=""/>
    <x v="6"/>
    <x v="0"/>
  </r>
  <r>
    <n v="17031606503"/>
    <n v="38"/>
    <x v="204"/>
    <s v=""/>
    <x v="6"/>
    <x v="0"/>
  </r>
  <r>
    <n v="99021774450"/>
    <n v="58"/>
    <x v="204"/>
    <s v=""/>
    <x v="6"/>
    <x v="0"/>
  </r>
  <r>
    <n v="77645252410"/>
    <n v="8"/>
    <x v="204"/>
    <d v="2035-02-01T00:00:00"/>
    <x v="6"/>
    <x v="9"/>
  </r>
  <r>
    <n v="98455725514"/>
    <n v="174"/>
    <x v="204"/>
    <s v=""/>
    <x v="6"/>
    <x v="0"/>
  </r>
  <r>
    <n v="96073073933"/>
    <n v="131"/>
    <x v="204"/>
    <s v=""/>
    <x v="6"/>
    <x v="0"/>
  </r>
  <r>
    <n v="93588149535"/>
    <n v="221"/>
    <x v="204"/>
    <s v=""/>
    <x v="6"/>
    <x v="0"/>
  </r>
  <r>
    <n v="52823385876"/>
    <n v="169"/>
    <x v="204"/>
    <s v=""/>
    <x v="6"/>
    <x v="0"/>
  </r>
  <r>
    <n v="96406204455"/>
    <n v="206"/>
    <x v="204"/>
    <s v=""/>
    <x v="6"/>
    <x v="0"/>
  </r>
  <r>
    <n v="79555861804"/>
    <n v="20"/>
    <x v="204"/>
    <s v=""/>
    <x v="6"/>
    <x v="0"/>
  </r>
  <r>
    <n v="39936323255"/>
    <n v="204"/>
    <x v="204"/>
    <s v=""/>
    <x v="6"/>
    <x v="0"/>
  </r>
  <r>
    <n v="72757610566"/>
    <n v="4"/>
    <x v="204"/>
    <s v=""/>
    <x v="6"/>
    <x v="0"/>
  </r>
  <r>
    <n v="95926624201"/>
    <n v="196"/>
    <x v="204"/>
    <s v=""/>
    <x v="6"/>
    <x v="0"/>
  </r>
  <r>
    <n v="69998495905"/>
    <n v="119"/>
    <x v="204"/>
    <s v=""/>
    <x v="6"/>
    <x v="0"/>
  </r>
  <r>
    <n v="71513555131"/>
    <n v="129"/>
    <x v="204"/>
    <s v=""/>
    <x v="6"/>
    <x v="0"/>
  </r>
  <r>
    <n v="58622053383"/>
    <n v="80"/>
    <x v="204"/>
    <s v=""/>
    <x v="6"/>
    <x v="0"/>
  </r>
  <r>
    <n v="85044647536"/>
    <n v="320"/>
    <x v="204"/>
    <s v=""/>
    <x v="6"/>
    <x v="0"/>
  </r>
  <r>
    <n v="13024795103"/>
    <n v="110"/>
    <x v="204"/>
    <s v=""/>
    <x v="6"/>
    <x v="0"/>
  </r>
  <r>
    <n v="64302980735"/>
    <n v="223"/>
    <x v="204"/>
    <m/>
    <x v="6"/>
    <x v="0"/>
  </r>
  <r>
    <n v="74019722881"/>
    <n v="281"/>
    <x v="204"/>
    <s v=""/>
    <x v="6"/>
    <x v="0"/>
  </r>
  <r>
    <n v="19091084795"/>
    <n v="50"/>
    <x v="204"/>
    <s v=""/>
    <x v="6"/>
    <x v="0"/>
  </r>
  <r>
    <n v="17050301928"/>
    <n v="206"/>
    <x v="205"/>
    <d v="2035-02-15T00:00:00"/>
    <x v="6"/>
    <x v="9"/>
  </r>
  <r>
    <n v="41664598332"/>
    <n v="321"/>
    <x v="205"/>
    <s v=""/>
    <x v="6"/>
    <x v="0"/>
  </r>
  <r>
    <n v="37077022405"/>
    <n v="187"/>
    <x v="205"/>
    <s v=""/>
    <x v="6"/>
    <x v="0"/>
  </r>
  <r>
    <n v="49476406224"/>
    <n v="122"/>
    <x v="205"/>
    <s v=""/>
    <x v="6"/>
    <x v="0"/>
  </r>
  <r>
    <n v="53167277790"/>
    <n v="227"/>
    <x v="205"/>
    <s v=""/>
    <x v="6"/>
    <x v="0"/>
  </r>
  <r>
    <n v="84068503891"/>
    <n v="230"/>
    <x v="205"/>
    <s v=""/>
    <x v="6"/>
    <x v="0"/>
  </r>
  <r>
    <n v="61846586896"/>
    <n v="176"/>
    <x v="205"/>
    <s v=""/>
    <x v="6"/>
    <x v="0"/>
  </r>
  <r>
    <n v="42625750783"/>
    <n v="270"/>
    <x v="205"/>
    <m/>
    <x v="6"/>
    <x v="0"/>
  </r>
  <r>
    <n v="55158656640"/>
    <n v="309"/>
    <x v="205"/>
    <s v=""/>
    <x v="6"/>
    <x v="0"/>
  </r>
  <r>
    <n v="63920158498"/>
    <n v="332"/>
    <x v="205"/>
    <d v="2035-01-06T00:00:00"/>
    <x v="6"/>
    <x v="8"/>
  </r>
  <r>
    <n v="98316566389"/>
    <n v="76"/>
    <x v="205"/>
    <s v=""/>
    <x v="6"/>
    <x v="0"/>
  </r>
  <r>
    <n v="40663361798"/>
    <n v="172"/>
    <x v="205"/>
    <d v="2035-02-20T00:00:00"/>
    <x v="6"/>
    <x v="9"/>
  </r>
  <r>
    <n v="85759992341"/>
    <n v="92"/>
    <x v="205"/>
    <s v=""/>
    <x v="6"/>
    <x v="0"/>
  </r>
  <r>
    <n v="54854676020"/>
    <n v="49"/>
    <x v="205"/>
    <s v=""/>
    <x v="6"/>
    <x v="0"/>
  </r>
  <r>
    <n v="82176720217"/>
    <n v="340"/>
    <x v="205"/>
    <d v="2035-01-02T00:00:00"/>
    <x v="6"/>
    <x v="8"/>
  </r>
  <r>
    <n v="49718769879"/>
    <n v="200"/>
    <x v="205"/>
    <d v="2035-02-11T00:00:00"/>
    <x v="6"/>
    <x v="9"/>
  </r>
  <r>
    <n v="77864343873"/>
    <n v="192"/>
    <x v="205"/>
    <s v=""/>
    <x v="6"/>
    <x v="0"/>
  </r>
  <r>
    <n v="60935697020"/>
    <n v="234"/>
    <x v="205"/>
    <s v=""/>
    <x v="6"/>
    <x v="0"/>
  </r>
  <r>
    <n v="73672352434"/>
    <n v="246"/>
    <x v="205"/>
    <d v="2035-01-31T00:00:00"/>
    <x v="6"/>
    <x v="8"/>
  </r>
  <r>
    <n v="85248329840"/>
    <n v="201"/>
    <x v="205"/>
    <s v=""/>
    <x v="6"/>
    <x v="0"/>
  </r>
  <r>
    <n v="98423003462"/>
    <n v="327"/>
    <x v="205"/>
    <s v=""/>
    <x v="6"/>
    <x v="0"/>
  </r>
  <r>
    <n v="83053253940"/>
    <n v="76"/>
    <x v="206"/>
    <s v=""/>
    <x v="6"/>
    <x v="0"/>
  </r>
  <r>
    <n v="60236226804"/>
    <n v="41"/>
    <x v="206"/>
    <d v="2034-12-26T00:00:00"/>
    <x v="6"/>
    <x v="7"/>
  </r>
  <r>
    <n v="65084796193"/>
    <n v="127"/>
    <x v="206"/>
    <s v=""/>
    <x v="6"/>
    <x v="0"/>
  </r>
  <r>
    <n v="98087884419"/>
    <n v="152"/>
    <x v="206"/>
    <m/>
    <x v="6"/>
    <x v="0"/>
  </r>
  <r>
    <n v="37673168739"/>
    <n v="126"/>
    <x v="206"/>
    <s v=""/>
    <x v="6"/>
    <x v="0"/>
  </r>
  <r>
    <n v="31168533817"/>
    <n v="230"/>
    <x v="206"/>
    <m/>
    <x v="6"/>
    <x v="0"/>
  </r>
  <r>
    <n v="47920174875"/>
    <n v="290"/>
    <x v="206"/>
    <s v=""/>
    <x v="6"/>
    <x v="0"/>
  </r>
  <r>
    <n v="25373337030"/>
    <n v="158"/>
    <x v="206"/>
    <s v=""/>
    <x v="6"/>
    <x v="0"/>
  </r>
  <r>
    <n v="85536917444"/>
    <n v="52"/>
    <x v="206"/>
    <s v=""/>
    <x v="6"/>
    <x v="0"/>
  </r>
  <r>
    <n v="54197701148"/>
    <n v="259"/>
    <x v="206"/>
    <d v="2034-12-31T00:00:00"/>
    <x v="6"/>
    <x v="7"/>
  </r>
  <r>
    <n v="79363536692"/>
    <n v="45"/>
    <x v="206"/>
    <d v="2035-02-18T00:00:00"/>
    <x v="6"/>
    <x v="9"/>
  </r>
  <r>
    <n v="72679162495"/>
    <n v="138"/>
    <x v="206"/>
    <d v="2035-02-16T00:00:00"/>
    <x v="6"/>
    <x v="9"/>
  </r>
  <r>
    <n v="28644377972"/>
    <n v="149"/>
    <x v="206"/>
    <d v="2035-02-23T00:00:00"/>
    <x v="6"/>
    <x v="9"/>
  </r>
  <r>
    <n v="76552561369"/>
    <n v="228"/>
    <x v="206"/>
    <s v=""/>
    <x v="6"/>
    <x v="0"/>
  </r>
  <r>
    <n v="42977992066"/>
    <n v="67"/>
    <x v="206"/>
    <s v=""/>
    <x v="6"/>
    <x v="0"/>
  </r>
  <r>
    <n v="44720686082"/>
    <n v="330"/>
    <x v="206"/>
    <s v=""/>
    <x v="6"/>
    <x v="0"/>
  </r>
  <r>
    <n v="61680260172"/>
    <n v="273"/>
    <x v="206"/>
    <d v="2035-02-09T00:00:00"/>
    <x v="6"/>
    <x v="9"/>
  </r>
  <r>
    <n v="41759245487"/>
    <n v="0"/>
    <x v="206"/>
    <s v=""/>
    <x v="6"/>
    <x v="0"/>
  </r>
  <r>
    <n v="12156536147"/>
    <n v="26"/>
    <x v="206"/>
    <m/>
    <x v="6"/>
    <x v="0"/>
  </r>
  <r>
    <n v="96075573612"/>
    <n v="192"/>
    <x v="206"/>
    <s v=""/>
    <x v="6"/>
    <x v="0"/>
  </r>
  <r>
    <n v="51369741156"/>
    <n v="274"/>
    <x v="206"/>
    <m/>
    <x v="6"/>
    <x v="0"/>
  </r>
  <r>
    <n v="78762366693"/>
    <n v="2"/>
    <x v="206"/>
    <d v="2035-01-26T00:00:00"/>
    <x v="6"/>
    <x v="8"/>
  </r>
  <r>
    <n v="49788980714"/>
    <n v="309"/>
    <x v="206"/>
    <m/>
    <x v="6"/>
    <x v="0"/>
  </r>
  <r>
    <n v="14179992202"/>
    <n v="130"/>
    <x v="206"/>
    <s v=""/>
    <x v="6"/>
    <x v="0"/>
  </r>
  <r>
    <n v="55911326683"/>
    <n v="253"/>
    <x v="206"/>
    <s v=""/>
    <x v="6"/>
    <x v="0"/>
  </r>
  <r>
    <n v="20538250111"/>
    <n v="157"/>
    <x v="206"/>
    <d v="2035-01-09T00:00:00"/>
    <x v="6"/>
    <x v="8"/>
  </r>
  <r>
    <n v="87821113027"/>
    <n v="164"/>
    <x v="206"/>
    <s v=""/>
    <x v="6"/>
    <x v="0"/>
  </r>
  <r>
    <n v="43738729305"/>
    <n v="140"/>
    <x v="206"/>
    <m/>
    <x v="6"/>
    <x v="0"/>
  </r>
  <r>
    <n v="65779423762"/>
    <n v="295"/>
    <x v="207"/>
    <d v="2035-02-01T00:00:00"/>
    <x v="6"/>
    <x v="9"/>
  </r>
  <r>
    <n v="14665596204"/>
    <n v="329"/>
    <x v="207"/>
    <s v=""/>
    <x v="6"/>
    <x v="0"/>
  </r>
  <r>
    <n v="82275797964"/>
    <n v="155"/>
    <x v="207"/>
    <m/>
    <x v="6"/>
    <x v="0"/>
  </r>
  <r>
    <n v="85616472608"/>
    <n v="193"/>
    <x v="207"/>
    <d v="2035-02-25T00:00:00"/>
    <x v="6"/>
    <x v="9"/>
  </r>
  <r>
    <n v="35212387306"/>
    <n v="312"/>
    <x v="207"/>
    <s v=""/>
    <x v="6"/>
    <x v="0"/>
  </r>
  <r>
    <n v="34725844026"/>
    <n v="81"/>
    <x v="207"/>
    <s v=""/>
    <x v="6"/>
    <x v="0"/>
  </r>
  <r>
    <n v="77313234900"/>
    <n v="129"/>
    <x v="207"/>
    <s v=""/>
    <x v="6"/>
    <x v="0"/>
  </r>
  <r>
    <n v="82557092333"/>
    <n v="170"/>
    <x v="207"/>
    <s v=""/>
    <x v="6"/>
    <x v="0"/>
  </r>
  <r>
    <n v="76336855301"/>
    <n v="202"/>
    <x v="207"/>
    <s v=""/>
    <x v="6"/>
    <x v="0"/>
  </r>
  <r>
    <n v="97631003005"/>
    <n v="229"/>
    <x v="207"/>
    <m/>
    <x v="6"/>
    <x v="0"/>
  </r>
  <r>
    <n v="11364461428"/>
    <n v="224"/>
    <x v="207"/>
    <d v="2035-02-07T00:00:00"/>
    <x v="6"/>
    <x v="9"/>
  </r>
  <r>
    <n v="90298713558"/>
    <n v="339"/>
    <x v="207"/>
    <s v=""/>
    <x v="6"/>
    <x v="0"/>
  </r>
  <r>
    <n v="61862795311"/>
    <n v="216"/>
    <x v="207"/>
    <s v=""/>
    <x v="6"/>
    <x v="0"/>
  </r>
  <r>
    <n v="92892054047"/>
    <n v="43"/>
    <x v="207"/>
    <s v=""/>
    <x v="6"/>
    <x v="0"/>
  </r>
  <r>
    <n v="60254847051"/>
    <n v="242"/>
    <x v="207"/>
    <s v=""/>
    <x v="6"/>
    <x v="0"/>
  </r>
  <r>
    <n v="67821266849"/>
    <n v="270"/>
    <x v="207"/>
    <s v=""/>
    <x v="6"/>
    <x v="0"/>
  </r>
  <r>
    <n v="89706208060"/>
    <n v="97"/>
    <x v="207"/>
    <s v=""/>
    <x v="6"/>
    <x v="0"/>
  </r>
  <r>
    <n v="81312184649"/>
    <n v="258"/>
    <x v="207"/>
    <s v=""/>
    <x v="6"/>
    <x v="0"/>
  </r>
  <r>
    <n v="82737055901"/>
    <n v="171"/>
    <x v="207"/>
    <d v="2035-01-19T00:00:00"/>
    <x v="6"/>
    <x v="8"/>
  </r>
  <r>
    <n v="79667771630"/>
    <n v="189"/>
    <x v="207"/>
    <s v=""/>
    <x v="6"/>
    <x v="0"/>
  </r>
  <r>
    <n v="80462125848"/>
    <n v="210"/>
    <x v="207"/>
    <s v=""/>
    <x v="6"/>
    <x v="0"/>
  </r>
  <r>
    <n v="77014543954"/>
    <n v="70"/>
    <x v="207"/>
    <s v=""/>
    <x v="6"/>
    <x v="0"/>
  </r>
  <r>
    <n v="57478889023"/>
    <n v="27"/>
    <x v="207"/>
    <s v=""/>
    <x v="6"/>
    <x v="0"/>
  </r>
  <r>
    <n v="31769625931"/>
    <n v="162"/>
    <x v="207"/>
    <s v=""/>
    <x v="6"/>
    <x v="0"/>
  </r>
  <r>
    <n v="73989872093"/>
    <n v="267"/>
    <x v="207"/>
    <d v="2035-01-15T00:00:00"/>
    <x v="6"/>
    <x v="8"/>
  </r>
  <r>
    <n v="15983451570"/>
    <n v="17"/>
    <x v="207"/>
    <d v="2035-01-16T00:00:00"/>
    <x v="6"/>
    <x v="8"/>
  </r>
  <r>
    <n v="54608634000"/>
    <n v="11"/>
    <x v="207"/>
    <s v=""/>
    <x v="6"/>
    <x v="0"/>
  </r>
  <r>
    <n v="86134241891"/>
    <n v="308"/>
    <x v="207"/>
    <d v="2035-01-09T00:00:00"/>
    <x v="6"/>
    <x v="8"/>
  </r>
  <r>
    <n v="31413605097"/>
    <n v="59"/>
    <x v="207"/>
    <s v=""/>
    <x v="6"/>
    <x v="0"/>
  </r>
  <r>
    <n v="56330054903"/>
    <n v="93"/>
    <x v="208"/>
    <s v=""/>
    <x v="6"/>
    <x v="0"/>
  </r>
  <r>
    <n v="68029407313"/>
    <n v="295"/>
    <x v="208"/>
    <s v=""/>
    <x v="6"/>
    <x v="0"/>
  </r>
  <r>
    <n v="88431379349"/>
    <n v="69"/>
    <x v="208"/>
    <s v=""/>
    <x v="6"/>
    <x v="0"/>
  </r>
  <r>
    <n v="38660805352"/>
    <n v="72"/>
    <x v="208"/>
    <d v="2035-01-06T00:00:00"/>
    <x v="6"/>
    <x v="8"/>
  </r>
  <r>
    <n v="88192418195"/>
    <n v="225"/>
    <x v="208"/>
    <s v=""/>
    <x v="6"/>
    <x v="0"/>
  </r>
  <r>
    <n v="75256707875"/>
    <n v="104"/>
    <x v="208"/>
    <s v=""/>
    <x v="6"/>
    <x v="0"/>
  </r>
  <r>
    <n v="16582190176"/>
    <n v="120"/>
    <x v="208"/>
    <s v=""/>
    <x v="6"/>
    <x v="0"/>
  </r>
  <r>
    <n v="81521458532"/>
    <n v="67"/>
    <x v="208"/>
    <s v=""/>
    <x v="6"/>
    <x v="0"/>
  </r>
  <r>
    <n v="39556130617"/>
    <n v="45"/>
    <x v="208"/>
    <s v=""/>
    <x v="6"/>
    <x v="0"/>
  </r>
  <r>
    <n v="78355546812"/>
    <n v="61"/>
    <x v="208"/>
    <m/>
    <x v="6"/>
    <x v="0"/>
  </r>
  <r>
    <n v="28547380248"/>
    <n v="257"/>
    <x v="208"/>
    <d v="2035-01-12T00:00:00"/>
    <x v="6"/>
    <x v="8"/>
  </r>
  <r>
    <n v="32700707165"/>
    <n v="35"/>
    <x v="208"/>
    <s v=""/>
    <x v="6"/>
    <x v="0"/>
  </r>
  <r>
    <n v="26881306508"/>
    <n v="17"/>
    <x v="208"/>
    <s v=""/>
    <x v="6"/>
    <x v="0"/>
  </r>
  <r>
    <n v="41874854472"/>
    <n v="78"/>
    <x v="208"/>
    <s v=""/>
    <x v="6"/>
    <x v="0"/>
  </r>
  <r>
    <n v="48363947069"/>
    <n v="66"/>
    <x v="208"/>
    <s v=""/>
    <x v="6"/>
    <x v="0"/>
  </r>
  <r>
    <n v="29231711986"/>
    <n v="235"/>
    <x v="208"/>
    <s v=""/>
    <x v="6"/>
    <x v="0"/>
  </r>
  <r>
    <n v="18816217669"/>
    <n v="333"/>
    <x v="208"/>
    <s v=""/>
    <x v="6"/>
    <x v="0"/>
  </r>
  <r>
    <n v="17074645514"/>
    <n v="41"/>
    <x v="208"/>
    <s v=""/>
    <x v="6"/>
    <x v="0"/>
  </r>
  <r>
    <n v="65359903933"/>
    <n v="95"/>
    <x v="208"/>
    <m/>
    <x v="6"/>
    <x v="0"/>
  </r>
  <r>
    <n v="12712046433"/>
    <n v="135"/>
    <x v="208"/>
    <s v=""/>
    <x v="6"/>
    <x v="0"/>
  </r>
  <r>
    <n v="74761648583"/>
    <n v="122"/>
    <x v="208"/>
    <s v=""/>
    <x v="6"/>
    <x v="0"/>
  </r>
  <r>
    <n v="21677850109"/>
    <n v="118"/>
    <x v="208"/>
    <s v=""/>
    <x v="6"/>
    <x v="0"/>
  </r>
  <r>
    <n v="87910793775"/>
    <n v="212"/>
    <x v="208"/>
    <s v=""/>
    <x v="6"/>
    <x v="0"/>
  </r>
  <r>
    <n v="74352924924"/>
    <n v="29"/>
    <x v="208"/>
    <s v=""/>
    <x v="6"/>
    <x v="0"/>
  </r>
  <r>
    <n v="52456987421"/>
    <n v="41"/>
    <x v="208"/>
    <d v="2035-01-30T00:00:00"/>
    <x v="6"/>
    <x v="8"/>
  </r>
  <r>
    <n v="74584124877"/>
    <n v="17"/>
    <x v="208"/>
    <s v=""/>
    <x v="6"/>
    <x v="0"/>
  </r>
  <r>
    <n v="48191970612"/>
    <n v="148"/>
    <x v="208"/>
    <s v=""/>
    <x v="6"/>
    <x v="0"/>
  </r>
  <r>
    <n v="38884278985"/>
    <n v="191"/>
    <x v="208"/>
    <d v="2035-01-17T00:00:00"/>
    <x v="6"/>
    <x v="8"/>
  </r>
  <r>
    <n v="81040825329"/>
    <n v="250"/>
    <x v="208"/>
    <s v=""/>
    <x v="6"/>
    <x v="0"/>
  </r>
  <r>
    <n v="55389276774"/>
    <n v="119"/>
    <x v="208"/>
    <d v="2035-02-08T00:00:00"/>
    <x v="6"/>
    <x v="9"/>
  </r>
  <r>
    <n v="30053422823"/>
    <n v="25"/>
    <x v="208"/>
    <d v="2035-02-09T00:00:00"/>
    <x v="6"/>
    <x v="9"/>
  </r>
  <r>
    <n v="57520953636"/>
    <n v="327"/>
    <x v="209"/>
    <d v="2035-01-29T00:00:00"/>
    <x v="6"/>
    <x v="8"/>
  </r>
  <r>
    <n v="94131833209"/>
    <n v="153"/>
    <x v="209"/>
    <s v=""/>
    <x v="6"/>
    <x v="0"/>
  </r>
  <r>
    <n v="45020000514"/>
    <n v="24"/>
    <x v="209"/>
    <s v=""/>
    <x v="6"/>
    <x v="0"/>
  </r>
  <r>
    <n v="34584596303"/>
    <n v="339"/>
    <x v="209"/>
    <s v=""/>
    <x v="6"/>
    <x v="0"/>
  </r>
  <r>
    <n v="63899907711"/>
    <n v="70"/>
    <x v="209"/>
    <s v=""/>
    <x v="6"/>
    <x v="0"/>
  </r>
  <r>
    <n v="41643802120"/>
    <n v="110"/>
    <x v="209"/>
    <m/>
    <x v="6"/>
    <x v="0"/>
  </r>
  <r>
    <n v="95205002946"/>
    <n v="222"/>
    <x v="209"/>
    <s v=""/>
    <x v="6"/>
    <x v="0"/>
  </r>
  <r>
    <n v="65244060965"/>
    <n v="171"/>
    <x v="209"/>
    <m/>
    <x v="6"/>
    <x v="0"/>
  </r>
  <r>
    <n v="25922347457"/>
    <n v="47"/>
    <x v="209"/>
    <m/>
    <x v="6"/>
    <x v="0"/>
  </r>
  <r>
    <n v="87469437960"/>
    <n v="250"/>
    <x v="209"/>
    <m/>
    <x v="6"/>
    <x v="0"/>
  </r>
  <r>
    <n v="42168593894"/>
    <n v="120"/>
    <x v="209"/>
    <d v="2035-02-07T00:00:00"/>
    <x v="6"/>
    <x v="9"/>
  </r>
  <r>
    <n v="41902730385"/>
    <n v="11"/>
    <x v="209"/>
    <s v=""/>
    <x v="6"/>
    <x v="0"/>
  </r>
  <r>
    <n v="81452714488"/>
    <n v="247"/>
    <x v="209"/>
    <s v=""/>
    <x v="6"/>
    <x v="0"/>
  </r>
  <r>
    <n v="69914794522"/>
    <n v="8"/>
    <x v="209"/>
    <s v=""/>
    <x v="6"/>
    <x v="0"/>
  </r>
  <r>
    <n v="58450424981"/>
    <n v="273"/>
    <x v="209"/>
    <s v=""/>
    <x v="6"/>
    <x v="0"/>
  </r>
  <r>
    <n v="50737135317"/>
    <n v="128"/>
    <x v="209"/>
    <d v="2035-02-04T00:00:00"/>
    <x v="6"/>
    <x v="9"/>
  </r>
  <r>
    <n v="29257125431"/>
    <n v="68"/>
    <x v="209"/>
    <s v=""/>
    <x v="6"/>
    <x v="0"/>
  </r>
  <r>
    <n v="91196276597"/>
    <n v="247"/>
    <x v="210"/>
    <s v=""/>
    <x v="6"/>
    <x v="0"/>
  </r>
  <r>
    <n v="82112206633"/>
    <n v="210"/>
    <x v="210"/>
    <s v=""/>
    <x v="6"/>
    <x v="0"/>
  </r>
  <r>
    <n v="81244488119"/>
    <n v="213"/>
    <x v="210"/>
    <s v=""/>
    <x v="6"/>
    <x v="0"/>
  </r>
  <r>
    <n v="65628851954"/>
    <n v="221"/>
    <x v="210"/>
    <s v=""/>
    <x v="6"/>
    <x v="0"/>
  </r>
  <r>
    <n v="30418681640"/>
    <n v="293"/>
    <x v="210"/>
    <s v=""/>
    <x v="6"/>
    <x v="0"/>
  </r>
  <r>
    <n v="65132581623"/>
    <n v="217"/>
    <x v="210"/>
    <d v="2035-01-21T00:00:00"/>
    <x v="6"/>
    <x v="8"/>
  </r>
  <r>
    <n v="85858159258"/>
    <n v="295"/>
    <x v="210"/>
    <s v=""/>
    <x v="6"/>
    <x v="0"/>
  </r>
  <r>
    <n v="97813000293"/>
    <n v="260"/>
    <x v="210"/>
    <s v=""/>
    <x v="6"/>
    <x v="0"/>
  </r>
  <r>
    <n v="54376289208"/>
    <n v="40"/>
    <x v="210"/>
    <s v=""/>
    <x v="6"/>
    <x v="0"/>
  </r>
  <r>
    <n v="74741652677"/>
    <n v="290"/>
    <x v="210"/>
    <s v=""/>
    <x v="6"/>
    <x v="0"/>
  </r>
  <r>
    <n v="31883715867"/>
    <n v="315"/>
    <x v="210"/>
    <s v=""/>
    <x v="6"/>
    <x v="0"/>
  </r>
  <r>
    <n v="29242960253"/>
    <n v="25"/>
    <x v="210"/>
    <d v="2035-01-21T00:00:00"/>
    <x v="6"/>
    <x v="8"/>
  </r>
  <r>
    <n v="85040595644"/>
    <n v="245"/>
    <x v="210"/>
    <d v="2035-01-24T00:00:00"/>
    <x v="6"/>
    <x v="8"/>
  </r>
  <r>
    <n v="49604456322"/>
    <n v="217"/>
    <x v="210"/>
    <d v="2035-01-30T00:00:00"/>
    <x v="6"/>
    <x v="8"/>
  </r>
  <r>
    <n v="96285913278"/>
    <n v="290"/>
    <x v="210"/>
    <d v="2035-02-03T00:00:00"/>
    <x v="6"/>
    <x v="9"/>
  </r>
  <r>
    <n v="17246432333"/>
    <n v="263"/>
    <x v="210"/>
    <m/>
    <x v="6"/>
    <x v="0"/>
  </r>
  <r>
    <n v="21072963024"/>
    <n v="319"/>
    <x v="210"/>
    <s v=""/>
    <x v="6"/>
    <x v="0"/>
  </r>
  <r>
    <n v="23238064782"/>
    <n v="141"/>
    <x v="210"/>
    <s v=""/>
    <x v="6"/>
    <x v="0"/>
  </r>
  <r>
    <n v="50188452386"/>
    <n v="142"/>
    <x v="210"/>
    <s v=""/>
    <x v="6"/>
    <x v="0"/>
  </r>
  <r>
    <n v="62977211362"/>
    <n v="7"/>
    <x v="210"/>
    <m/>
    <x v="6"/>
    <x v="0"/>
  </r>
  <r>
    <n v="48088930235"/>
    <n v="21"/>
    <x v="210"/>
    <m/>
    <x v="6"/>
    <x v="0"/>
  </r>
  <r>
    <n v="47630689458"/>
    <n v="60"/>
    <x v="210"/>
    <d v="2035-01-04T00:00:00"/>
    <x v="6"/>
    <x v="8"/>
  </r>
  <r>
    <n v="91812691201"/>
    <n v="146"/>
    <x v="210"/>
    <s v=""/>
    <x v="6"/>
    <x v="0"/>
  </r>
  <r>
    <n v="47989648809"/>
    <n v="5"/>
    <x v="210"/>
    <s v=""/>
    <x v="6"/>
    <x v="0"/>
  </r>
  <r>
    <n v="28203898576"/>
    <n v="276"/>
    <x v="210"/>
    <s v=""/>
    <x v="6"/>
    <x v="0"/>
  </r>
  <r>
    <n v="94980296245"/>
    <n v="104"/>
    <x v="210"/>
    <s v=""/>
    <x v="6"/>
    <x v="0"/>
  </r>
  <r>
    <n v="77045446879"/>
    <n v="319"/>
    <x v="210"/>
    <s v=""/>
    <x v="6"/>
    <x v="0"/>
  </r>
  <r>
    <n v="24081426990"/>
    <n v="168"/>
    <x v="211"/>
    <s v=""/>
    <x v="6"/>
    <x v="0"/>
  </r>
  <r>
    <n v="62611159495"/>
    <n v="57"/>
    <x v="211"/>
    <s v=""/>
    <x v="6"/>
    <x v="0"/>
  </r>
  <r>
    <n v="49690849038"/>
    <n v="144"/>
    <x v="211"/>
    <s v=""/>
    <x v="6"/>
    <x v="0"/>
  </r>
  <r>
    <n v="46814937459"/>
    <n v="85"/>
    <x v="211"/>
    <s v=""/>
    <x v="6"/>
    <x v="0"/>
  </r>
  <r>
    <n v="87199059184"/>
    <n v="32"/>
    <x v="211"/>
    <s v=""/>
    <x v="6"/>
    <x v="0"/>
  </r>
  <r>
    <n v="92409934938"/>
    <n v="56"/>
    <x v="211"/>
    <s v=""/>
    <x v="6"/>
    <x v="0"/>
  </r>
  <r>
    <n v="95089931346"/>
    <n v="189"/>
    <x v="211"/>
    <m/>
    <x v="6"/>
    <x v="0"/>
  </r>
  <r>
    <n v="41905243730"/>
    <n v="120"/>
    <x v="211"/>
    <s v=""/>
    <x v="6"/>
    <x v="0"/>
  </r>
  <r>
    <n v="39950225810"/>
    <n v="219"/>
    <x v="211"/>
    <s v=""/>
    <x v="6"/>
    <x v="0"/>
  </r>
  <r>
    <n v="60387164509"/>
    <n v="45"/>
    <x v="211"/>
    <s v=""/>
    <x v="6"/>
    <x v="0"/>
  </r>
  <r>
    <n v="94329154576"/>
    <n v="231"/>
    <x v="211"/>
    <m/>
    <x v="6"/>
    <x v="0"/>
  </r>
  <r>
    <n v="92233291829"/>
    <n v="276"/>
    <x v="211"/>
    <s v=""/>
    <x v="6"/>
    <x v="0"/>
  </r>
  <r>
    <n v="84227591476"/>
    <n v="60"/>
    <x v="211"/>
    <s v=""/>
    <x v="6"/>
    <x v="0"/>
  </r>
  <r>
    <n v="16018497532"/>
    <n v="93"/>
    <x v="211"/>
    <s v=""/>
    <x v="6"/>
    <x v="0"/>
  </r>
  <r>
    <n v="92171007558"/>
    <n v="214"/>
    <x v="211"/>
    <s v=""/>
    <x v="6"/>
    <x v="0"/>
  </r>
  <r>
    <n v="84102292745"/>
    <n v="228"/>
    <x v="211"/>
    <s v=""/>
    <x v="6"/>
    <x v="0"/>
  </r>
  <r>
    <n v="72441567277"/>
    <n v="320"/>
    <x v="211"/>
    <s v=""/>
    <x v="6"/>
    <x v="0"/>
  </r>
  <r>
    <n v="42338283769"/>
    <n v="147"/>
    <x v="211"/>
    <s v=""/>
    <x v="6"/>
    <x v="0"/>
  </r>
  <r>
    <n v="40042700960"/>
    <n v="126"/>
    <x v="211"/>
    <s v=""/>
    <x v="6"/>
    <x v="0"/>
  </r>
  <r>
    <n v="71384224482"/>
    <n v="266"/>
    <x v="211"/>
    <m/>
    <x v="6"/>
    <x v="0"/>
  </r>
  <r>
    <n v="50087326569"/>
    <n v="22"/>
    <x v="211"/>
    <s v=""/>
    <x v="6"/>
    <x v="0"/>
  </r>
  <r>
    <n v="61019132866"/>
    <n v="63"/>
    <x v="211"/>
    <s v=""/>
    <x v="6"/>
    <x v="0"/>
  </r>
  <r>
    <n v="75362514235"/>
    <n v="304"/>
    <x v="211"/>
    <m/>
    <x v="6"/>
    <x v="0"/>
  </r>
  <r>
    <n v="48902094898"/>
    <n v="55"/>
    <x v="211"/>
    <s v=""/>
    <x v="6"/>
    <x v="0"/>
  </r>
  <r>
    <n v="81520110621"/>
    <n v="176"/>
    <x v="211"/>
    <d v="2035-01-08T00:00:00"/>
    <x v="6"/>
    <x v="8"/>
  </r>
  <r>
    <n v="49088907448"/>
    <n v="113"/>
    <x v="211"/>
    <s v=""/>
    <x v="6"/>
    <x v="0"/>
  </r>
  <r>
    <n v="98626527052"/>
    <n v="264"/>
    <x v="212"/>
    <d v="2035-02-09T00:00:00"/>
    <x v="6"/>
    <x v="9"/>
  </r>
  <r>
    <n v="65602798748"/>
    <n v="25"/>
    <x v="212"/>
    <s v=""/>
    <x v="6"/>
    <x v="0"/>
  </r>
  <r>
    <n v="94863983791"/>
    <n v="142"/>
    <x v="212"/>
    <s v=""/>
    <x v="6"/>
    <x v="0"/>
  </r>
  <r>
    <n v="62343154660"/>
    <n v="61"/>
    <x v="212"/>
    <m/>
    <x v="6"/>
    <x v="0"/>
  </r>
  <r>
    <n v="86362868039"/>
    <n v="204"/>
    <x v="212"/>
    <s v=""/>
    <x v="6"/>
    <x v="0"/>
  </r>
  <r>
    <n v="36602870753"/>
    <n v="118"/>
    <x v="212"/>
    <d v="2035-01-06T00:00:00"/>
    <x v="6"/>
    <x v="8"/>
  </r>
  <r>
    <n v="47021300592"/>
    <n v="15"/>
    <x v="212"/>
    <s v=""/>
    <x v="6"/>
    <x v="0"/>
  </r>
  <r>
    <n v="29046382189"/>
    <n v="154"/>
    <x v="212"/>
    <s v=""/>
    <x v="6"/>
    <x v="0"/>
  </r>
  <r>
    <n v="55160120115"/>
    <n v="205"/>
    <x v="212"/>
    <s v=""/>
    <x v="6"/>
    <x v="0"/>
  </r>
  <r>
    <n v="71618594395"/>
    <n v="223"/>
    <x v="212"/>
    <s v=""/>
    <x v="6"/>
    <x v="0"/>
  </r>
  <r>
    <n v="13116208817"/>
    <n v="247"/>
    <x v="212"/>
    <d v="2035-01-06T00:00:00"/>
    <x v="6"/>
    <x v="8"/>
  </r>
  <r>
    <n v="44358437355"/>
    <n v="162"/>
    <x v="212"/>
    <s v=""/>
    <x v="6"/>
    <x v="0"/>
  </r>
  <r>
    <n v="14595821409"/>
    <n v="236"/>
    <x v="212"/>
    <m/>
    <x v="6"/>
    <x v="0"/>
  </r>
  <r>
    <n v="96642308242"/>
    <n v="276"/>
    <x v="212"/>
    <s v=""/>
    <x v="6"/>
    <x v="0"/>
  </r>
  <r>
    <n v="51535786717"/>
    <n v="95"/>
    <x v="212"/>
    <s v=""/>
    <x v="6"/>
    <x v="0"/>
  </r>
  <r>
    <n v="14084278544"/>
    <n v="259"/>
    <x v="212"/>
    <s v=""/>
    <x v="6"/>
    <x v="0"/>
  </r>
  <r>
    <n v="55969449130"/>
    <n v="231"/>
    <x v="212"/>
    <m/>
    <x v="6"/>
    <x v="0"/>
  </r>
  <r>
    <n v="96109464167"/>
    <n v="95"/>
    <x v="212"/>
    <s v=""/>
    <x v="6"/>
    <x v="0"/>
  </r>
  <r>
    <n v="62277358072"/>
    <n v="6"/>
    <x v="212"/>
    <s v=""/>
    <x v="6"/>
    <x v="0"/>
  </r>
  <r>
    <n v="23834098693"/>
    <n v="143"/>
    <x v="212"/>
    <s v=""/>
    <x v="6"/>
    <x v="0"/>
  </r>
  <r>
    <n v="81018746250"/>
    <n v="318"/>
    <x v="212"/>
    <s v=""/>
    <x v="6"/>
    <x v="0"/>
  </r>
  <r>
    <n v="63780995588"/>
    <n v="263"/>
    <x v="212"/>
    <d v="2035-02-21T00:00:00"/>
    <x v="6"/>
    <x v="9"/>
  </r>
  <r>
    <n v="26637319457"/>
    <n v="179"/>
    <x v="212"/>
    <s v=""/>
    <x v="6"/>
    <x v="0"/>
  </r>
  <r>
    <n v="99066350204"/>
    <n v="9"/>
    <x v="213"/>
    <s v=""/>
    <x v="6"/>
    <x v="0"/>
  </r>
  <r>
    <n v="63000008080"/>
    <n v="64"/>
    <x v="213"/>
    <s v=""/>
    <x v="6"/>
    <x v="0"/>
  </r>
  <r>
    <n v="75178545978"/>
    <n v="306"/>
    <x v="213"/>
    <d v="2035-01-08T00:00:00"/>
    <x v="6"/>
    <x v="8"/>
  </r>
  <r>
    <n v="48548277101"/>
    <n v="13"/>
    <x v="213"/>
    <m/>
    <x v="6"/>
    <x v="0"/>
  </r>
  <r>
    <n v="78766924561"/>
    <n v="149"/>
    <x v="213"/>
    <s v=""/>
    <x v="6"/>
    <x v="0"/>
  </r>
  <r>
    <n v="28732811825"/>
    <n v="107"/>
    <x v="213"/>
    <m/>
    <x v="6"/>
    <x v="0"/>
  </r>
  <r>
    <n v="38309389384"/>
    <n v="110"/>
    <x v="213"/>
    <s v=""/>
    <x v="6"/>
    <x v="0"/>
  </r>
  <r>
    <n v="58854119123"/>
    <n v="288"/>
    <x v="213"/>
    <s v=""/>
    <x v="6"/>
    <x v="0"/>
  </r>
  <r>
    <n v="11577844194"/>
    <n v="326"/>
    <x v="213"/>
    <s v=""/>
    <x v="6"/>
    <x v="0"/>
  </r>
  <r>
    <n v="12359969317"/>
    <n v="228"/>
    <x v="213"/>
    <s v=""/>
    <x v="6"/>
    <x v="0"/>
  </r>
  <r>
    <n v="90928034919"/>
    <n v="22"/>
    <x v="213"/>
    <s v=""/>
    <x v="6"/>
    <x v="0"/>
  </r>
  <r>
    <n v="19915832397"/>
    <n v="133"/>
    <x v="213"/>
    <s v=""/>
    <x v="6"/>
    <x v="0"/>
  </r>
  <r>
    <n v="53532225658"/>
    <n v="200"/>
    <x v="213"/>
    <s v=""/>
    <x v="6"/>
    <x v="0"/>
  </r>
  <r>
    <n v="47695737386"/>
    <n v="81"/>
    <x v="213"/>
    <s v=""/>
    <x v="6"/>
    <x v="0"/>
  </r>
  <r>
    <n v="56021076631"/>
    <n v="239"/>
    <x v="213"/>
    <m/>
    <x v="6"/>
    <x v="0"/>
  </r>
  <r>
    <n v="21202205551"/>
    <n v="267"/>
    <x v="213"/>
    <s v=""/>
    <x v="6"/>
    <x v="0"/>
  </r>
  <r>
    <n v="32813291288"/>
    <n v="264"/>
    <x v="213"/>
    <m/>
    <x v="6"/>
    <x v="0"/>
  </r>
  <r>
    <n v="45572022636"/>
    <n v="22"/>
    <x v="213"/>
    <d v="2035-01-29T00:00:00"/>
    <x v="6"/>
    <x v="8"/>
  </r>
  <r>
    <n v="55179430940"/>
    <n v="157"/>
    <x v="213"/>
    <s v=""/>
    <x v="6"/>
    <x v="0"/>
  </r>
  <r>
    <n v="92016852575"/>
    <n v="184"/>
    <x v="213"/>
    <s v=""/>
    <x v="6"/>
    <x v="0"/>
  </r>
  <r>
    <n v="15032203584"/>
    <n v="19"/>
    <x v="213"/>
    <m/>
    <x v="6"/>
    <x v="0"/>
  </r>
  <r>
    <n v="93990018834"/>
    <n v="42"/>
    <x v="213"/>
    <s v=""/>
    <x v="6"/>
    <x v="0"/>
  </r>
  <r>
    <n v="80667468318"/>
    <n v="253"/>
    <x v="213"/>
    <s v=""/>
    <x v="6"/>
    <x v="0"/>
  </r>
  <r>
    <n v="76936879122"/>
    <n v="325"/>
    <x v="213"/>
    <m/>
    <x v="6"/>
    <x v="0"/>
  </r>
  <r>
    <n v="55389039174"/>
    <n v="231"/>
    <x v="213"/>
    <s v=""/>
    <x v="6"/>
    <x v="0"/>
  </r>
  <r>
    <n v="45222195678"/>
    <n v="48"/>
    <x v="213"/>
    <s v=""/>
    <x v="6"/>
    <x v="0"/>
  </r>
  <r>
    <n v="95497574674"/>
    <n v="331"/>
    <x v="213"/>
    <s v=""/>
    <x v="6"/>
    <x v="0"/>
  </r>
  <r>
    <n v="81965039930"/>
    <n v="156"/>
    <x v="214"/>
    <s v=""/>
    <x v="7"/>
    <x v="0"/>
  </r>
  <r>
    <n v="62954525738"/>
    <n v="292"/>
    <x v="214"/>
    <s v=""/>
    <x v="7"/>
    <x v="0"/>
  </r>
  <r>
    <n v="80144036637"/>
    <n v="338"/>
    <x v="214"/>
    <s v=""/>
    <x v="7"/>
    <x v="0"/>
  </r>
  <r>
    <n v="15562152949"/>
    <n v="29"/>
    <x v="214"/>
    <s v=""/>
    <x v="7"/>
    <x v="0"/>
  </r>
  <r>
    <n v="43939603585"/>
    <n v="242"/>
    <x v="214"/>
    <s v=""/>
    <x v="7"/>
    <x v="0"/>
  </r>
  <r>
    <n v="12131724111"/>
    <n v="27"/>
    <x v="214"/>
    <d v="2035-02-16T00:00:00"/>
    <x v="7"/>
    <x v="9"/>
  </r>
  <r>
    <n v="96358796672"/>
    <n v="311"/>
    <x v="214"/>
    <d v="2035-01-31T00:00:00"/>
    <x v="7"/>
    <x v="8"/>
  </r>
  <r>
    <n v="28511638210"/>
    <n v="105"/>
    <x v="214"/>
    <s v=""/>
    <x v="7"/>
    <x v="0"/>
  </r>
  <r>
    <n v="23953325743"/>
    <n v="79"/>
    <x v="214"/>
    <s v=""/>
    <x v="7"/>
    <x v="0"/>
  </r>
  <r>
    <n v="74502827622"/>
    <n v="334"/>
    <x v="214"/>
    <s v=""/>
    <x v="7"/>
    <x v="0"/>
  </r>
  <r>
    <n v="99206072996"/>
    <n v="154"/>
    <x v="214"/>
    <s v=""/>
    <x v="7"/>
    <x v="0"/>
  </r>
  <r>
    <n v="66934320425"/>
    <n v="217"/>
    <x v="214"/>
    <s v=""/>
    <x v="7"/>
    <x v="0"/>
  </r>
  <r>
    <n v="11537167361"/>
    <n v="180"/>
    <x v="214"/>
    <s v=""/>
    <x v="7"/>
    <x v="0"/>
  </r>
  <r>
    <n v="98944207737"/>
    <n v="224"/>
    <x v="214"/>
    <s v=""/>
    <x v="7"/>
    <x v="0"/>
  </r>
  <r>
    <n v="71733818813"/>
    <n v="2"/>
    <x v="214"/>
    <s v=""/>
    <x v="7"/>
    <x v="0"/>
  </r>
  <r>
    <n v="61786540499"/>
    <n v="141"/>
    <x v="214"/>
    <s v=""/>
    <x v="7"/>
    <x v="0"/>
  </r>
  <r>
    <n v="26495649262"/>
    <n v="34"/>
    <x v="214"/>
    <s v=""/>
    <x v="7"/>
    <x v="0"/>
  </r>
  <r>
    <n v="97825599767"/>
    <n v="29"/>
    <x v="214"/>
    <s v=""/>
    <x v="7"/>
    <x v="0"/>
  </r>
  <r>
    <n v="36565381918"/>
    <n v="143"/>
    <x v="214"/>
    <d v="2035-02-22T00:00:00"/>
    <x v="7"/>
    <x v="9"/>
  </r>
  <r>
    <n v="61436966901"/>
    <n v="150"/>
    <x v="214"/>
    <s v=""/>
    <x v="7"/>
    <x v="0"/>
  </r>
  <r>
    <n v="74341893827"/>
    <n v="288"/>
    <x v="214"/>
    <s v=""/>
    <x v="7"/>
    <x v="0"/>
  </r>
  <r>
    <n v="20858432674"/>
    <n v="67"/>
    <x v="214"/>
    <s v=""/>
    <x v="7"/>
    <x v="0"/>
  </r>
  <r>
    <n v="99106450867"/>
    <n v="53"/>
    <x v="214"/>
    <s v=""/>
    <x v="7"/>
    <x v="0"/>
  </r>
  <r>
    <n v="60604926661"/>
    <n v="272"/>
    <x v="214"/>
    <d v="2035-02-14T00:00:00"/>
    <x v="7"/>
    <x v="9"/>
  </r>
  <r>
    <n v="14050111046"/>
    <n v="37"/>
    <x v="214"/>
    <s v=""/>
    <x v="7"/>
    <x v="0"/>
  </r>
  <r>
    <n v="65712909977"/>
    <n v="30"/>
    <x v="214"/>
    <m/>
    <x v="7"/>
    <x v="0"/>
  </r>
  <r>
    <n v="24323940145"/>
    <n v="151"/>
    <x v="214"/>
    <s v=""/>
    <x v="7"/>
    <x v="0"/>
  </r>
  <r>
    <n v="18577042093"/>
    <n v="255"/>
    <x v="214"/>
    <s v=""/>
    <x v="7"/>
    <x v="0"/>
  </r>
  <r>
    <n v="55747396659"/>
    <n v="34"/>
    <x v="215"/>
    <m/>
    <x v="7"/>
    <x v="0"/>
  </r>
  <r>
    <n v="27555999077"/>
    <n v="278"/>
    <x v="215"/>
    <s v=""/>
    <x v="7"/>
    <x v="0"/>
  </r>
  <r>
    <n v="60467791901"/>
    <n v="153"/>
    <x v="215"/>
    <s v=""/>
    <x v="7"/>
    <x v="0"/>
  </r>
  <r>
    <n v="85500046173"/>
    <n v="279"/>
    <x v="215"/>
    <s v=""/>
    <x v="7"/>
    <x v="0"/>
  </r>
  <r>
    <n v="64491512183"/>
    <n v="166"/>
    <x v="215"/>
    <s v=""/>
    <x v="7"/>
    <x v="0"/>
  </r>
  <r>
    <n v="63106682545"/>
    <n v="10"/>
    <x v="215"/>
    <s v=""/>
    <x v="7"/>
    <x v="0"/>
  </r>
  <r>
    <n v="71584702847"/>
    <n v="272"/>
    <x v="215"/>
    <m/>
    <x v="7"/>
    <x v="0"/>
  </r>
  <r>
    <n v="66095526882"/>
    <n v="27"/>
    <x v="215"/>
    <s v=""/>
    <x v="7"/>
    <x v="0"/>
  </r>
  <r>
    <n v="43981943209"/>
    <n v="327"/>
    <x v="215"/>
    <s v=""/>
    <x v="7"/>
    <x v="0"/>
  </r>
  <r>
    <n v="64307745248"/>
    <n v="126"/>
    <x v="215"/>
    <s v=""/>
    <x v="7"/>
    <x v="0"/>
  </r>
  <r>
    <n v="67848850957"/>
    <n v="315"/>
    <x v="215"/>
    <s v=""/>
    <x v="7"/>
    <x v="0"/>
  </r>
  <r>
    <n v="18963917017"/>
    <n v="296"/>
    <x v="215"/>
    <s v=""/>
    <x v="7"/>
    <x v="0"/>
  </r>
  <r>
    <n v="42116038903"/>
    <n v="114"/>
    <x v="215"/>
    <d v="2035-02-01T00:00:00"/>
    <x v="7"/>
    <x v="9"/>
  </r>
  <r>
    <n v="58447868518"/>
    <n v="268"/>
    <x v="215"/>
    <s v=""/>
    <x v="7"/>
    <x v="0"/>
  </r>
  <r>
    <n v="12027806844"/>
    <n v="17"/>
    <x v="215"/>
    <m/>
    <x v="7"/>
    <x v="0"/>
  </r>
  <r>
    <n v="91592998172"/>
    <n v="38"/>
    <x v="215"/>
    <m/>
    <x v="7"/>
    <x v="0"/>
  </r>
  <r>
    <n v="85840454165"/>
    <n v="167"/>
    <x v="215"/>
    <m/>
    <x v="7"/>
    <x v="0"/>
  </r>
  <r>
    <n v="37113690395"/>
    <n v="316"/>
    <x v="215"/>
    <s v=""/>
    <x v="7"/>
    <x v="0"/>
  </r>
  <r>
    <n v="73774671839"/>
    <n v="194"/>
    <x v="215"/>
    <s v=""/>
    <x v="7"/>
    <x v="0"/>
  </r>
  <r>
    <n v="66051610320"/>
    <n v="121"/>
    <x v="215"/>
    <m/>
    <x v="7"/>
    <x v="0"/>
  </r>
  <r>
    <n v="50794555588"/>
    <n v="154"/>
    <x v="215"/>
    <s v=""/>
    <x v="7"/>
    <x v="0"/>
  </r>
  <r>
    <n v="20495140546"/>
    <n v="41"/>
    <x v="215"/>
    <d v="2035-01-17T00:00:00"/>
    <x v="7"/>
    <x v="8"/>
  </r>
  <r>
    <n v="60096973932"/>
    <n v="11"/>
    <x v="215"/>
    <m/>
    <x v="7"/>
    <x v="0"/>
  </r>
  <r>
    <n v="11775025360"/>
    <n v="312"/>
    <x v="215"/>
    <s v=""/>
    <x v="7"/>
    <x v="0"/>
  </r>
  <r>
    <n v="96011546611"/>
    <n v="16"/>
    <x v="215"/>
    <s v=""/>
    <x v="7"/>
    <x v="0"/>
  </r>
  <r>
    <n v="54408602840"/>
    <n v="148"/>
    <x v="215"/>
    <s v=""/>
    <x v="7"/>
    <x v="0"/>
  </r>
  <r>
    <n v="71600502836"/>
    <n v="220"/>
    <x v="215"/>
    <s v=""/>
    <x v="7"/>
    <x v="0"/>
  </r>
  <r>
    <n v="86782400072"/>
    <n v="132"/>
    <x v="215"/>
    <s v=""/>
    <x v="7"/>
    <x v="0"/>
  </r>
  <r>
    <n v="94547017166"/>
    <n v="165"/>
    <x v="215"/>
    <s v=""/>
    <x v="7"/>
    <x v="0"/>
  </r>
  <r>
    <n v="16408939922"/>
    <n v="111"/>
    <x v="216"/>
    <m/>
    <x v="7"/>
    <x v="0"/>
  </r>
  <r>
    <n v="35305837800"/>
    <n v="339"/>
    <x v="216"/>
    <s v=""/>
    <x v="7"/>
    <x v="0"/>
  </r>
  <r>
    <n v="28813231581"/>
    <n v="303"/>
    <x v="216"/>
    <s v=""/>
    <x v="7"/>
    <x v="0"/>
  </r>
  <r>
    <n v="66159398371"/>
    <n v="267"/>
    <x v="216"/>
    <m/>
    <x v="7"/>
    <x v="0"/>
  </r>
  <r>
    <n v="41930757696"/>
    <n v="291"/>
    <x v="216"/>
    <s v=""/>
    <x v="7"/>
    <x v="0"/>
  </r>
  <r>
    <n v="38529760589"/>
    <n v="13"/>
    <x v="216"/>
    <s v=""/>
    <x v="7"/>
    <x v="0"/>
  </r>
  <r>
    <n v="72362982416"/>
    <n v="148"/>
    <x v="216"/>
    <s v=""/>
    <x v="7"/>
    <x v="0"/>
  </r>
  <r>
    <n v="28980139575"/>
    <n v="64"/>
    <x v="216"/>
    <s v=""/>
    <x v="7"/>
    <x v="0"/>
  </r>
  <r>
    <n v="14319611336"/>
    <n v="145"/>
    <x v="216"/>
    <s v=""/>
    <x v="7"/>
    <x v="0"/>
  </r>
  <r>
    <n v="86444946760"/>
    <n v="133"/>
    <x v="216"/>
    <s v=""/>
    <x v="7"/>
    <x v="0"/>
  </r>
  <r>
    <n v="89887071017"/>
    <n v="252"/>
    <x v="216"/>
    <s v=""/>
    <x v="7"/>
    <x v="0"/>
  </r>
  <r>
    <n v="28174881693"/>
    <n v="240"/>
    <x v="216"/>
    <s v=""/>
    <x v="7"/>
    <x v="0"/>
  </r>
  <r>
    <n v="69314634908"/>
    <n v="2"/>
    <x v="216"/>
    <s v=""/>
    <x v="7"/>
    <x v="0"/>
  </r>
  <r>
    <n v="97220397461"/>
    <n v="74"/>
    <x v="216"/>
    <s v=""/>
    <x v="7"/>
    <x v="0"/>
  </r>
  <r>
    <n v="67014828845"/>
    <n v="97"/>
    <x v="216"/>
    <m/>
    <x v="7"/>
    <x v="0"/>
  </r>
  <r>
    <n v="21274915402"/>
    <n v="80"/>
    <x v="216"/>
    <s v=""/>
    <x v="7"/>
    <x v="0"/>
  </r>
  <r>
    <n v="74909237454"/>
    <n v="284"/>
    <x v="216"/>
    <m/>
    <x v="7"/>
    <x v="0"/>
  </r>
  <r>
    <n v="46086904443"/>
    <n v="12"/>
    <x v="216"/>
    <s v=""/>
    <x v="7"/>
    <x v="0"/>
  </r>
  <r>
    <n v="54094288898"/>
    <n v="72"/>
    <x v="216"/>
    <s v=""/>
    <x v="7"/>
    <x v="0"/>
  </r>
  <r>
    <n v="46792857653"/>
    <n v="235"/>
    <x v="216"/>
    <m/>
    <x v="7"/>
    <x v="0"/>
  </r>
  <r>
    <n v="34331861193"/>
    <n v="48"/>
    <x v="216"/>
    <s v=""/>
    <x v="7"/>
    <x v="0"/>
  </r>
  <r>
    <n v="78579388683"/>
    <n v="184"/>
    <x v="216"/>
    <s v=""/>
    <x v="7"/>
    <x v="0"/>
  </r>
  <r>
    <n v="65175869352"/>
    <n v="45"/>
    <x v="216"/>
    <s v=""/>
    <x v="7"/>
    <x v="0"/>
  </r>
  <r>
    <n v="68705906302"/>
    <n v="62"/>
    <x v="216"/>
    <d v="2035-01-13T00:00:00"/>
    <x v="7"/>
    <x v="8"/>
  </r>
  <r>
    <n v="37603748188"/>
    <n v="147"/>
    <x v="216"/>
    <s v=""/>
    <x v="7"/>
    <x v="0"/>
  </r>
  <r>
    <n v="76773562839"/>
    <n v="118"/>
    <x v="216"/>
    <s v=""/>
    <x v="7"/>
    <x v="0"/>
  </r>
  <r>
    <n v="71404210832"/>
    <n v="268"/>
    <x v="216"/>
    <m/>
    <x v="7"/>
    <x v="0"/>
  </r>
  <r>
    <n v="81879453500"/>
    <n v="137"/>
    <x v="216"/>
    <m/>
    <x v="7"/>
    <x v="0"/>
  </r>
  <r>
    <n v="39028733541"/>
    <n v="208"/>
    <x v="216"/>
    <s v=""/>
    <x v="7"/>
    <x v="0"/>
  </r>
  <r>
    <n v="37364383160"/>
    <n v="321"/>
    <x v="216"/>
    <s v=""/>
    <x v="7"/>
    <x v="0"/>
  </r>
  <r>
    <n v="43839384356"/>
    <n v="48"/>
    <x v="216"/>
    <s v=""/>
    <x v="7"/>
    <x v="0"/>
  </r>
  <r>
    <n v="81556721068"/>
    <n v="180"/>
    <x v="217"/>
    <s v=""/>
    <x v="7"/>
    <x v="0"/>
  </r>
  <r>
    <n v="63173335126"/>
    <n v="153"/>
    <x v="217"/>
    <s v=""/>
    <x v="7"/>
    <x v="0"/>
  </r>
  <r>
    <n v="33525030246"/>
    <n v="190"/>
    <x v="217"/>
    <d v="2035-02-05T00:00:00"/>
    <x v="7"/>
    <x v="9"/>
  </r>
  <r>
    <n v="34513098056"/>
    <n v="46"/>
    <x v="217"/>
    <s v=""/>
    <x v="7"/>
    <x v="0"/>
  </r>
  <r>
    <n v="22669389683"/>
    <n v="167"/>
    <x v="217"/>
    <s v=""/>
    <x v="7"/>
    <x v="0"/>
  </r>
  <r>
    <n v="35876409693"/>
    <n v="147"/>
    <x v="217"/>
    <m/>
    <x v="7"/>
    <x v="0"/>
  </r>
  <r>
    <n v="98523793875"/>
    <n v="134"/>
    <x v="217"/>
    <d v="2035-02-13T00:00:00"/>
    <x v="7"/>
    <x v="9"/>
  </r>
  <r>
    <n v="65293397395"/>
    <n v="51"/>
    <x v="217"/>
    <s v=""/>
    <x v="7"/>
    <x v="0"/>
  </r>
  <r>
    <n v="86927372217"/>
    <n v="133"/>
    <x v="217"/>
    <s v=""/>
    <x v="7"/>
    <x v="0"/>
  </r>
  <r>
    <n v="36542313515"/>
    <n v="141"/>
    <x v="217"/>
    <d v="2035-02-12T00:00:00"/>
    <x v="7"/>
    <x v="9"/>
  </r>
  <r>
    <n v="76040197037"/>
    <n v="157"/>
    <x v="217"/>
    <s v=""/>
    <x v="7"/>
    <x v="0"/>
  </r>
  <r>
    <n v="20982439199"/>
    <n v="209"/>
    <x v="217"/>
    <s v=""/>
    <x v="7"/>
    <x v="0"/>
  </r>
  <r>
    <n v="27563058431"/>
    <n v="248"/>
    <x v="217"/>
    <s v=""/>
    <x v="7"/>
    <x v="0"/>
  </r>
  <r>
    <n v="64541738112"/>
    <n v="119"/>
    <x v="217"/>
    <s v=""/>
    <x v="7"/>
    <x v="0"/>
  </r>
  <r>
    <n v="72367490325"/>
    <n v="144"/>
    <x v="217"/>
    <s v=""/>
    <x v="7"/>
    <x v="0"/>
  </r>
  <r>
    <n v="36209237436"/>
    <n v="233"/>
    <x v="217"/>
    <s v=""/>
    <x v="7"/>
    <x v="0"/>
  </r>
  <r>
    <n v="30774790814"/>
    <n v="50"/>
    <x v="217"/>
    <s v=""/>
    <x v="7"/>
    <x v="0"/>
  </r>
  <r>
    <n v="97917827984"/>
    <n v="277"/>
    <x v="217"/>
    <m/>
    <x v="7"/>
    <x v="0"/>
  </r>
  <r>
    <n v="86800105215"/>
    <n v="99"/>
    <x v="217"/>
    <s v=""/>
    <x v="7"/>
    <x v="0"/>
  </r>
  <r>
    <n v="76475959525"/>
    <n v="274"/>
    <x v="217"/>
    <s v=""/>
    <x v="7"/>
    <x v="0"/>
  </r>
  <r>
    <n v="68098618716"/>
    <n v="166"/>
    <x v="217"/>
    <d v="2035-01-29T00:00:00"/>
    <x v="7"/>
    <x v="8"/>
  </r>
  <r>
    <n v="16345452009"/>
    <n v="313"/>
    <x v="217"/>
    <s v=""/>
    <x v="7"/>
    <x v="0"/>
  </r>
  <r>
    <n v="48086361134"/>
    <n v="7"/>
    <x v="218"/>
    <d v="2035-02-17T00:00:00"/>
    <x v="7"/>
    <x v="9"/>
  </r>
  <r>
    <n v="44568676866"/>
    <n v="187"/>
    <x v="218"/>
    <s v=""/>
    <x v="7"/>
    <x v="0"/>
  </r>
  <r>
    <n v="69426639812"/>
    <n v="175"/>
    <x v="218"/>
    <m/>
    <x v="7"/>
    <x v="0"/>
  </r>
  <r>
    <n v="60716303999"/>
    <n v="34"/>
    <x v="218"/>
    <s v=""/>
    <x v="7"/>
    <x v="0"/>
  </r>
  <r>
    <n v="72820289491"/>
    <n v="249"/>
    <x v="218"/>
    <s v=""/>
    <x v="7"/>
    <x v="0"/>
  </r>
  <r>
    <n v="83846178149"/>
    <n v="78"/>
    <x v="218"/>
    <s v=""/>
    <x v="7"/>
    <x v="0"/>
  </r>
  <r>
    <n v="40020497728"/>
    <n v="283"/>
    <x v="218"/>
    <s v=""/>
    <x v="7"/>
    <x v="0"/>
  </r>
  <r>
    <n v="60060047208"/>
    <n v="287"/>
    <x v="218"/>
    <m/>
    <x v="7"/>
    <x v="0"/>
  </r>
  <r>
    <n v="37572728151"/>
    <n v="188"/>
    <x v="218"/>
    <m/>
    <x v="7"/>
    <x v="0"/>
  </r>
  <r>
    <n v="39353809341"/>
    <n v="179"/>
    <x v="218"/>
    <s v=""/>
    <x v="7"/>
    <x v="0"/>
  </r>
  <r>
    <n v="66149467084"/>
    <n v="337"/>
    <x v="218"/>
    <s v=""/>
    <x v="7"/>
    <x v="0"/>
  </r>
  <r>
    <n v="93937624265"/>
    <n v="118"/>
    <x v="218"/>
    <s v=""/>
    <x v="7"/>
    <x v="0"/>
  </r>
  <r>
    <n v="63678070865"/>
    <n v="162"/>
    <x v="218"/>
    <s v=""/>
    <x v="7"/>
    <x v="0"/>
  </r>
  <r>
    <n v="43703855327"/>
    <n v="283"/>
    <x v="218"/>
    <s v=""/>
    <x v="7"/>
    <x v="0"/>
  </r>
  <r>
    <n v="59342795074"/>
    <n v="98"/>
    <x v="218"/>
    <s v=""/>
    <x v="7"/>
    <x v="0"/>
  </r>
  <r>
    <n v="53895008558"/>
    <n v="182"/>
    <x v="218"/>
    <s v=""/>
    <x v="7"/>
    <x v="0"/>
  </r>
  <r>
    <n v="91902601914"/>
    <n v="140"/>
    <x v="218"/>
    <m/>
    <x v="7"/>
    <x v="0"/>
  </r>
  <r>
    <n v="90177434119"/>
    <n v="112"/>
    <x v="218"/>
    <s v=""/>
    <x v="7"/>
    <x v="0"/>
  </r>
  <r>
    <n v="73555960539"/>
    <n v="113"/>
    <x v="218"/>
    <s v=""/>
    <x v="7"/>
    <x v="0"/>
  </r>
  <r>
    <n v="82310227144"/>
    <n v="144"/>
    <x v="218"/>
    <m/>
    <x v="7"/>
    <x v="0"/>
  </r>
  <r>
    <n v="32560459921"/>
    <n v="94"/>
    <x v="218"/>
    <s v=""/>
    <x v="7"/>
    <x v="0"/>
  </r>
  <r>
    <n v="83267934967"/>
    <n v="219"/>
    <x v="218"/>
    <s v=""/>
    <x v="7"/>
    <x v="0"/>
  </r>
  <r>
    <n v="21343007672"/>
    <n v="337"/>
    <x v="219"/>
    <s v=""/>
    <x v="7"/>
    <x v="0"/>
  </r>
  <r>
    <n v="40531144025"/>
    <n v="126"/>
    <x v="219"/>
    <s v=""/>
    <x v="7"/>
    <x v="0"/>
  </r>
  <r>
    <n v="11509231660"/>
    <n v="39"/>
    <x v="219"/>
    <s v=""/>
    <x v="7"/>
    <x v="0"/>
  </r>
  <r>
    <n v="48852056193"/>
    <n v="316"/>
    <x v="219"/>
    <s v=""/>
    <x v="7"/>
    <x v="0"/>
  </r>
  <r>
    <n v="92453554483"/>
    <n v="154"/>
    <x v="219"/>
    <d v="2035-01-31T00:00:00"/>
    <x v="7"/>
    <x v="8"/>
  </r>
  <r>
    <n v="65170484640"/>
    <n v="225"/>
    <x v="219"/>
    <s v=""/>
    <x v="7"/>
    <x v="0"/>
  </r>
  <r>
    <n v="65829274195"/>
    <n v="293"/>
    <x v="219"/>
    <d v="2035-01-06T00:00:00"/>
    <x v="7"/>
    <x v="8"/>
  </r>
  <r>
    <n v="31836771406"/>
    <n v="301"/>
    <x v="219"/>
    <s v=""/>
    <x v="7"/>
    <x v="0"/>
  </r>
  <r>
    <n v="57422452049"/>
    <n v="38"/>
    <x v="219"/>
    <s v=""/>
    <x v="7"/>
    <x v="0"/>
  </r>
  <r>
    <n v="16758598759"/>
    <n v="72"/>
    <x v="219"/>
    <s v=""/>
    <x v="7"/>
    <x v="0"/>
  </r>
  <r>
    <n v="28635333337"/>
    <n v="220"/>
    <x v="219"/>
    <s v=""/>
    <x v="7"/>
    <x v="0"/>
  </r>
  <r>
    <n v="76847182079"/>
    <n v="133"/>
    <x v="219"/>
    <m/>
    <x v="7"/>
    <x v="0"/>
  </r>
  <r>
    <n v="89383996721"/>
    <n v="296"/>
    <x v="219"/>
    <s v=""/>
    <x v="7"/>
    <x v="0"/>
  </r>
  <r>
    <n v="48873304284"/>
    <n v="25"/>
    <x v="219"/>
    <s v=""/>
    <x v="7"/>
    <x v="0"/>
  </r>
  <r>
    <n v="59205666608"/>
    <n v="253"/>
    <x v="219"/>
    <s v=""/>
    <x v="7"/>
    <x v="0"/>
  </r>
  <r>
    <n v="79781178072"/>
    <n v="314"/>
    <x v="219"/>
    <s v=""/>
    <x v="7"/>
    <x v="0"/>
  </r>
  <r>
    <n v="97571876790"/>
    <n v="242"/>
    <x v="219"/>
    <s v=""/>
    <x v="7"/>
    <x v="0"/>
  </r>
  <r>
    <n v="55803102324"/>
    <n v="217"/>
    <x v="219"/>
    <m/>
    <x v="7"/>
    <x v="0"/>
  </r>
  <r>
    <n v="59650193894"/>
    <n v="270"/>
    <x v="219"/>
    <s v=""/>
    <x v="7"/>
    <x v="0"/>
  </r>
  <r>
    <n v="17222152937"/>
    <n v="28"/>
    <x v="219"/>
    <s v=""/>
    <x v="7"/>
    <x v="0"/>
  </r>
  <r>
    <n v="92635290095"/>
    <n v="140"/>
    <x v="219"/>
    <s v=""/>
    <x v="7"/>
    <x v="0"/>
  </r>
  <r>
    <n v="43121907307"/>
    <n v="26"/>
    <x v="219"/>
    <s v=""/>
    <x v="7"/>
    <x v="0"/>
  </r>
  <r>
    <n v="57837184281"/>
    <n v="66"/>
    <x v="219"/>
    <s v=""/>
    <x v="7"/>
    <x v="0"/>
  </r>
  <r>
    <n v="14165440474"/>
    <n v="244"/>
    <x v="219"/>
    <s v=""/>
    <x v="7"/>
    <x v="0"/>
  </r>
  <r>
    <n v="38727041316"/>
    <n v="297"/>
    <x v="219"/>
    <s v=""/>
    <x v="7"/>
    <x v="0"/>
  </r>
  <r>
    <n v="47530798031"/>
    <n v="15"/>
    <x v="219"/>
    <s v=""/>
    <x v="7"/>
    <x v="0"/>
  </r>
  <r>
    <n v="40552314401"/>
    <n v="215"/>
    <x v="219"/>
    <s v=""/>
    <x v="7"/>
    <x v="0"/>
  </r>
  <r>
    <n v="79994196901"/>
    <n v="77"/>
    <x v="219"/>
    <d v="2035-02-11T00:00:00"/>
    <x v="7"/>
    <x v="9"/>
  </r>
  <r>
    <n v="70715201953"/>
    <n v="198"/>
    <x v="219"/>
    <s v=""/>
    <x v="7"/>
    <x v="0"/>
  </r>
  <r>
    <n v="87592356922"/>
    <n v="73"/>
    <x v="219"/>
    <s v=""/>
    <x v="7"/>
    <x v="0"/>
  </r>
  <r>
    <n v="12550046734"/>
    <n v="332"/>
    <x v="219"/>
    <d v="2035-02-22T00:00:00"/>
    <x v="7"/>
    <x v="9"/>
  </r>
  <r>
    <n v="49834496996"/>
    <n v="64"/>
    <x v="220"/>
    <s v=""/>
    <x v="7"/>
    <x v="0"/>
  </r>
  <r>
    <n v="59005489210"/>
    <n v="340"/>
    <x v="220"/>
    <s v=""/>
    <x v="7"/>
    <x v="0"/>
  </r>
  <r>
    <n v="32020388358"/>
    <n v="208"/>
    <x v="220"/>
    <s v=""/>
    <x v="7"/>
    <x v="0"/>
  </r>
  <r>
    <n v="85483636586"/>
    <n v="291"/>
    <x v="220"/>
    <m/>
    <x v="7"/>
    <x v="0"/>
  </r>
  <r>
    <n v="91847472613"/>
    <n v="49"/>
    <x v="220"/>
    <s v=""/>
    <x v="7"/>
    <x v="0"/>
  </r>
  <r>
    <n v="88439533414"/>
    <n v="301"/>
    <x v="220"/>
    <m/>
    <x v="7"/>
    <x v="0"/>
  </r>
  <r>
    <n v="69629973692"/>
    <n v="177"/>
    <x v="220"/>
    <s v=""/>
    <x v="7"/>
    <x v="0"/>
  </r>
  <r>
    <n v="76179297898"/>
    <n v="1"/>
    <x v="220"/>
    <s v=""/>
    <x v="7"/>
    <x v="0"/>
  </r>
  <r>
    <n v="12941920610"/>
    <n v="249"/>
    <x v="220"/>
    <m/>
    <x v="7"/>
    <x v="0"/>
  </r>
  <r>
    <n v="20023789651"/>
    <n v="81"/>
    <x v="220"/>
    <s v=""/>
    <x v="7"/>
    <x v="0"/>
  </r>
  <r>
    <n v="71983607605"/>
    <n v="297"/>
    <x v="220"/>
    <s v=""/>
    <x v="7"/>
    <x v="0"/>
  </r>
  <r>
    <n v="70688320237"/>
    <n v="156"/>
    <x v="220"/>
    <s v=""/>
    <x v="7"/>
    <x v="0"/>
  </r>
  <r>
    <n v="25507767374"/>
    <n v="32"/>
    <x v="220"/>
    <s v=""/>
    <x v="7"/>
    <x v="0"/>
  </r>
  <r>
    <n v="70680953441"/>
    <n v="220"/>
    <x v="220"/>
    <s v=""/>
    <x v="7"/>
    <x v="0"/>
  </r>
  <r>
    <n v="74733825443"/>
    <n v="109"/>
    <x v="220"/>
    <m/>
    <x v="7"/>
    <x v="0"/>
  </r>
  <r>
    <n v="99248799342"/>
    <n v="78"/>
    <x v="220"/>
    <s v=""/>
    <x v="7"/>
    <x v="0"/>
  </r>
  <r>
    <n v="15375577350"/>
    <n v="290"/>
    <x v="220"/>
    <s v=""/>
    <x v="7"/>
    <x v="0"/>
  </r>
  <r>
    <n v="86993990945"/>
    <n v="317"/>
    <x v="220"/>
    <s v=""/>
    <x v="7"/>
    <x v="0"/>
  </r>
  <r>
    <n v="29412971523"/>
    <n v="289"/>
    <x v="220"/>
    <s v=""/>
    <x v="7"/>
    <x v="0"/>
  </r>
  <r>
    <n v="97159758023"/>
    <n v="335"/>
    <x v="220"/>
    <d v="2035-02-14T00:00:00"/>
    <x v="7"/>
    <x v="9"/>
  </r>
  <r>
    <n v="18816593136"/>
    <n v="27"/>
    <x v="220"/>
    <s v=""/>
    <x v="7"/>
    <x v="0"/>
  </r>
  <r>
    <n v="32236089814"/>
    <n v="313"/>
    <x v="220"/>
    <d v="2035-01-30T00:00:00"/>
    <x v="7"/>
    <x v="8"/>
  </r>
  <r>
    <n v="65204622327"/>
    <n v="240"/>
    <x v="220"/>
    <d v="2035-02-08T00:00:00"/>
    <x v="7"/>
    <x v="9"/>
  </r>
  <r>
    <n v="57177610823"/>
    <n v="167"/>
    <x v="220"/>
    <d v="2035-01-19T00:00:00"/>
    <x v="7"/>
    <x v="8"/>
  </r>
  <r>
    <n v="91346219915"/>
    <n v="95"/>
    <x v="220"/>
    <s v=""/>
    <x v="7"/>
    <x v="0"/>
  </r>
  <r>
    <n v="12845558069"/>
    <n v="170"/>
    <x v="220"/>
    <s v=""/>
    <x v="7"/>
    <x v="0"/>
  </r>
  <r>
    <n v="77502599929"/>
    <n v="14"/>
    <x v="220"/>
    <m/>
    <x v="7"/>
    <x v="0"/>
  </r>
  <r>
    <n v="93235271535"/>
    <n v="67"/>
    <x v="220"/>
    <m/>
    <x v="7"/>
    <x v="0"/>
  </r>
  <r>
    <n v="26083716947"/>
    <n v="246"/>
    <x v="221"/>
    <m/>
    <x v="7"/>
    <x v="0"/>
  </r>
  <r>
    <n v="22365596545"/>
    <n v="12"/>
    <x v="221"/>
    <s v=""/>
    <x v="7"/>
    <x v="0"/>
  </r>
  <r>
    <n v="26008465478"/>
    <n v="58"/>
    <x v="221"/>
    <s v=""/>
    <x v="7"/>
    <x v="0"/>
  </r>
  <r>
    <n v="29293638122"/>
    <n v="299"/>
    <x v="221"/>
    <s v=""/>
    <x v="7"/>
    <x v="0"/>
  </r>
  <r>
    <n v="96416317941"/>
    <n v="332"/>
    <x v="221"/>
    <s v=""/>
    <x v="7"/>
    <x v="0"/>
  </r>
  <r>
    <n v="73655025878"/>
    <n v="51"/>
    <x v="221"/>
    <m/>
    <x v="7"/>
    <x v="0"/>
  </r>
  <r>
    <n v="91207513987"/>
    <n v="60"/>
    <x v="221"/>
    <s v=""/>
    <x v="7"/>
    <x v="0"/>
  </r>
  <r>
    <n v="23567226307"/>
    <n v="23"/>
    <x v="221"/>
    <m/>
    <x v="7"/>
    <x v="0"/>
  </r>
  <r>
    <n v="66955016169"/>
    <n v="48"/>
    <x v="221"/>
    <s v=""/>
    <x v="7"/>
    <x v="0"/>
  </r>
  <r>
    <n v="40757904750"/>
    <n v="130"/>
    <x v="221"/>
    <s v=""/>
    <x v="7"/>
    <x v="0"/>
  </r>
  <r>
    <n v="86568923768"/>
    <n v="73"/>
    <x v="221"/>
    <s v=""/>
    <x v="7"/>
    <x v="0"/>
  </r>
  <r>
    <n v="37072636669"/>
    <n v="16"/>
    <x v="221"/>
    <s v=""/>
    <x v="7"/>
    <x v="0"/>
  </r>
  <r>
    <n v="23960221403"/>
    <n v="270"/>
    <x v="221"/>
    <s v=""/>
    <x v="7"/>
    <x v="0"/>
  </r>
  <r>
    <n v="77248533495"/>
    <n v="69"/>
    <x v="221"/>
    <d v="2035-02-08T00:00:00"/>
    <x v="7"/>
    <x v="9"/>
  </r>
  <r>
    <n v="36780039477"/>
    <n v="198"/>
    <x v="221"/>
    <s v=""/>
    <x v="7"/>
    <x v="0"/>
  </r>
  <r>
    <n v="29041722789"/>
    <n v="319"/>
    <x v="221"/>
    <s v=""/>
    <x v="7"/>
    <x v="0"/>
  </r>
  <r>
    <n v="15909144874"/>
    <n v="338"/>
    <x v="221"/>
    <m/>
    <x v="7"/>
    <x v="0"/>
  </r>
  <r>
    <n v="94731833101"/>
    <n v="86"/>
    <x v="221"/>
    <s v=""/>
    <x v="7"/>
    <x v="0"/>
  </r>
  <r>
    <n v="45731132589"/>
    <n v="265"/>
    <x v="221"/>
    <s v=""/>
    <x v="7"/>
    <x v="0"/>
  </r>
  <r>
    <n v="65841967620"/>
    <n v="120"/>
    <x v="221"/>
    <s v=""/>
    <x v="7"/>
    <x v="0"/>
  </r>
  <r>
    <n v="58894320037"/>
    <n v="49"/>
    <x v="221"/>
    <m/>
    <x v="7"/>
    <x v="0"/>
  </r>
  <r>
    <n v="22446226310"/>
    <n v="322"/>
    <x v="221"/>
    <m/>
    <x v="7"/>
    <x v="0"/>
  </r>
  <r>
    <n v="37354372171"/>
    <n v="237"/>
    <x v="221"/>
    <s v=""/>
    <x v="7"/>
    <x v="0"/>
  </r>
  <r>
    <n v="67825248327"/>
    <n v="296"/>
    <x v="221"/>
    <s v=""/>
    <x v="7"/>
    <x v="0"/>
  </r>
  <r>
    <n v="23082310871"/>
    <n v="67"/>
    <x v="221"/>
    <s v=""/>
    <x v="7"/>
    <x v="0"/>
  </r>
  <r>
    <n v="98961414827"/>
    <n v="144"/>
    <x v="221"/>
    <d v="2035-01-08T00:00:00"/>
    <x v="7"/>
    <x v="8"/>
  </r>
  <r>
    <n v="85838033234"/>
    <n v="259"/>
    <x v="221"/>
    <s v=""/>
    <x v="7"/>
    <x v="0"/>
  </r>
  <r>
    <n v="24964614976"/>
    <n v="125"/>
    <x v="222"/>
    <s v=""/>
    <x v="7"/>
    <x v="0"/>
  </r>
  <r>
    <n v="35897779909"/>
    <n v="211"/>
    <x v="222"/>
    <m/>
    <x v="7"/>
    <x v="0"/>
  </r>
  <r>
    <n v="22113431680"/>
    <n v="136"/>
    <x v="222"/>
    <s v=""/>
    <x v="7"/>
    <x v="0"/>
  </r>
  <r>
    <n v="24360741217"/>
    <n v="64"/>
    <x v="222"/>
    <s v=""/>
    <x v="7"/>
    <x v="0"/>
  </r>
  <r>
    <n v="98163548338"/>
    <n v="24"/>
    <x v="222"/>
    <s v=""/>
    <x v="7"/>
    <x v="0"/>
  </r>
  <r>
    <n v="78020569308"/>
    <n v="123"/>
    <x v="222"/>
    <m/>
    <x v="7"/>
    <x v="0"/>
  </r>
  <r>
    <n v="24502460327"/>
    <n v="105"/>
    <x v="222"/>
    <m/>
    <x v="7"/>
    <x v="0"/>
  </r>
  <r>
    <n v="93395862545"/>
    <n v="305"/>
    <x v="222"/>
    <s v=""/>
    <x v="7"/>
    <x v="0"/>
  </r>
  <r>
    <n v="22796643217"/>
    <n v="335"/>
    <x v="222"/>
    <s v=""/>
    <x v="7"/>
    <x v="0"/>
  </r>
  <r>
    <n v="82529258795"/>
    <n v="39"/>
    <x v="222"/>
    <s v=""/>
    <x v="7"/>
    <x v="0"/>
  </r>
  <r>
    <n v="85830252879"/>
    <n v="28"/>
    <x v="222"/>
    <m/>
    <x v="7"/>
    <x v="0"/>
  </r>
  <r>
    <n v="35426330054"/>
    <n v="64"/>
    <x v="222"/>
    <s v=""/>
    <x v="7"/>
    <x v="0"/>
  </r>
  <r>
    <n v="57147537965"/>
    <n v="277"/>
    <x v="222"/>
    <s v=""/>
    <x v="7"/>
    <x v="0"/>
  </r>
  <r>
    <n v="39060591043"/>
    <n v="124"/>
    <x v="222"/>
    <m/>
    <x v="7"/>
    <x v="0"/>
  </r>
  <r>
    <n v="61655784939"/>
    <n v="338"/>
    <x v="222"/>
    <s v=""/>
    <x v="7"/>
    <x v="0"/>
  </r>
  <r>
    <n v="39444118567"/>
    <n v="216"/>
    <x v="222"/>
    <s v=""/>
    <x v="7"/>
    <x v="0"/>
  </r>
  <r>
    <n v="86495227277"/>
    <n v="138"/>
    <x v="222"/>
    <s v=""/>
    <x v="7"/>
    <x v="0"/>
  </r>
  <r>
    <n v="67369537853"/>
    <n v="189"/>
    <x v="222"/>
    <s v=""/>
    <x v="7"/>
    <x v="0"/>
  </r>
  <r>
    <n v="93240252132"/>
    <n v="67"/>
    <x v="222"/>
    <m/>
    <x v="7"/>
    <x v="0"/>
  </r>
  <r>
    <n v="78740244033"/>
    <n v="257"/>
    <x v="222"/>
    <m/>
    <x v="7"/>
    <x v="0"/>
  </r>
  <r>
    <n v="62597280062"/>
    <n v="193"/>
    <x v="222"/>
    <s v=""/>
    <x v="7"/>
    <x v="0"/>
  </r>
  <r>
    <n v="53998430257"/>
    <n v="277"/>
    <x v="222"/>
    <s v=""/>
    <x v="7"/>
    <x v="0"/>
  </r>
  <r>
    <n v="26939723943"/>
    <n v="240"/>
    <x v="222"/>
    <m/>
    <x v="7"/>
    <x v="0"/>
  </r>
  <r>
    <n v="68973045617"/>
    <n v="89"/>
    <x v="222"/>
    <d v="2035-01-23T00:00:00"/>
    <x v="7"/>
    <x v="8"/>
  </r>
  <r>
    <n v="47777891373"/>
    <n v="6"/>
    <x v="222"/>
    <s v=""/>
    <x v="7"/>
    <x v="0"/>
  </r>
  <r>
    <n v="80851378754"/>
    <n v="158"/>
    <x v="223"/>
    <s v=""/>
    <x v="7"/>
    <x v="0"/>
  </r>
  <r>
    <n v="72957558664"/>
    <n v="331"/>
    <x v="223"/>
    <m/>
    <x v="7"/>
    <x v="0"/>
  </r>
  <r>
    <n v="29535229926"/>
    <n v="43"/>
    <x v="223"/>
    <s v=""/>
    <x v="7"/>
    <x v="0"/>
  </r>
  <r>
    <n v="19406389445"/>
    <n v="154"/>
    <x v="223"/>
    <s v=""/>
    <x v="7"/>
    <x v="0"/>
  </r>
  <r>
    <n v="99617409345"/>
    <n v="49"/>
    <x v="223"/>
    <s v=""/>
    <x v="7"/>
    <x v="0"/>
  </r>
  <r>
    <n v="15302136338"/>
    <n v="14"/>
    <x v="223"/>
    <s v=""/>
    <x v="7"/>
    <x v="0"/>
  </r>
  <r>
    <n v="44261688035"/>
    <n v="305"/>
    <x v="223"/>
    <s v=""/>
    <x v="7"/>
    <x v="0"/>
  </r>
  <r>
    <n v="86545572257"/>
    <n v="30"/>
    <x v="223"/>
    <s v=""/>
    <x v="7"/>
    <x v="0"/>
  </r>
  <r>
    <n v="43261602152"/>
    <n v="210"/>
    <x v="223"/>
    <s v=""/>
    <x v="7"/>
    <x v="0"/>
  </r>
  <r>
    <n v="96583195680"/>
    <n v="334"/>
    <x v="223"/>
    <s v=""/>
    <x v="7"/>
    <x v="0"/>
  </r>
  <r>
    <n v="63986935786"/>
    <n v="340"/>
    <x v="223"/>
    <m/>
    <x v="7"/>
    <x v="0"/>
  </r>
  <r>
    <n v="76396310893"/>
    <n v="261"/>
    <x v="223"/>
    <s v=""/>
    <x v="7"/>
    <x v="0"/>
  </r>
  <r>
    <n v="29158359632"/>
    <n v="213"/>
    <x v="223"/>
    <d v="2035-02-23T00:00:00"/>
    <x v="7"/>
    <x v="9"/>
  </r>
  <r>
    <n v="44870403866"/>
    <n v="316"/>
    <x v="223"/>
    <d v="2035-01-27T00:00:00"/>
    <x v="7"/>
    <x v="8"/>
  </r>
  <r>
    <n v="57154721272"/>
    <n v="263"/>
    <x v="223"/>
    <s v=""/>
    <x v="7"/>
    <x v="0"/>
  </r>
  <r>
    <n v="56902793367"/>
    <n v="14"/>
    <x v="223"/>
    <s v=""/>
    <x v="7"/>
    <x v="0"/>
  </r>
  <r>
    <n v="47684069538"/>
    <n v="284"/>
    <x v="223"/>
    <s v=""/>
    <x v="7"/>
    <x v="0"/>
  </r>
  <r>
    <n v="49043916516"/>
    <n v="231"/>
    <x v="223"/>
    <s v=""/>
    <x v="7"/>
    <x v="0"/>
  </r>
  <r>
    <n v="50427154368"/>
    <n v="314"/>
    <x v="223"/>
    <s v=""/>
    <x v="7"/>
    <x v="0"/>
  </r>
  <r>
    <n v="83111020845"/>
    <n v="177"/>
    <x v="223"/>
    <s v=""/>
    <x v="7"/>
    <x v="0"/>
  </r>
  <r>
    <n v="70370605154"/>
    <n v="328"/>
    <x v="223"/>
    <s v=""/>
    <x v="7"/>
    <x v="0"/>
  </r>
  <r>
    <n v="59984431018"/>
    <n v="196"/>
    <x v="224"/>
    <s v=""/>
    <x v="7"/>
    <x v="0"/>
  </r>
  <r>
    <n v="89340887170"/>
    <n v="312"/>
    <x v="224"/>
    <s v=""/>
    <x v="7"/>
    <x v="0"/>
  </r>
  <r>
    <n v="73393616632"/>
    <n v="171"/>
    <x v="224"/>
    <m/>
    <x v="7"/>
    <x v="0"/>
  </r>
  <r>
    <n v="97295131696"/>
    <n v="41"/>
    <x v="224"/>
    <s v=""/>
    <x v="7"/>
    <x v="0"/>
  </r>
  <r>
    <n v="22606095129"/>
    <n v="32"/>
    <x v="224"/>
    <s v=""/>
    <x v="7"/>
    <x v="0"/>
  </r>
  <r>
    <n v="69176227960"/>
    <n v="314"/>
    <x v="224"/>
    <d v="2035-01-30T00:00:00"/>
    <x v="7"/>
    <x v="8"/>
  </r>
  <r>
    <n v="58206209369"/>
    <n v="337"/>
    <x v="224"/>
    <s v=""/>
    <x v="7"/>
    <x v="0"/>
  </r>
  <r>
    <n v="70953792189"/>
    <n v="212"/>
    <x v="224"/>
    <s v=""/>
    <x v="7"/>
    <x v="0"/>
  </r>
  <r>
    <n v="24714586798"/>
    <n v="295"/>
    <x v="224"/>
    <d v="2035-02-17T00:00:00"/>
    <x v="7"/>
    <x v="9"/>
  </r>
  <r>
    <n v="44438288956"/>
    <n v="157"/>
    <x v="224"/>
    <d v="2035-01-26T00:00:00"/>
    <x v="7"/>
    <x v="8"/>
  </r>
  <r>
    <n v="40167412481"/>
    <n v="257"/>
    <x v="224"/>
    <s v=""/>
    <x v="7"/>
    <x v="0"/>
  </r>
  <r>
    <n v="50614784568"/>
    <n v="338"/>
    <x v="224"/>
    <m/>
    <x v="7"/>
    <x v="0"/>
  </r>
  <r>
    <n v="13597471081"/>
    <n v="203"/>
    <x v="224"/>
    <s v=""/>
    <x v="7"/>
    <x v="0"/>
  </r>
  <r>
    <n v="38681594116"/>
    <n v="127"/>
    <x v="224"/>
    <d v="2035-01-22T00:00:00"/>
    <x v="7"/>
    <x v="8"/>
  </r>
  <r>
    <n v="19987346660"/>
    <n v="167"/>
    <x v="224"/>
    <s v=""/>
    <x v="7"/>
    <x v="0"/>
  </r>
  <r>
    <n v="86401255194"/>
    <n v="152"/>
    <x v="224"/>
    <d v="2035-02-13T00:00:00"/>
    <x v="7"/>
    <x v="9"/>
  </r>
  <r>
    <n v="33241276178"/>
    <n v="219"/>
    <x v="224"/>
    <s v=""/>
    <x v="7"/>
    <x v="0"/>
  </r>
  <r>
    <n v="19323252063"/>
    <n v="257"/>
    <x v="224"/>
    <s v=""/>
    <x v="7"/>
    <x v="0"/>
  </r>
  <r>
    <n v="86515200659"/>
    <n v="92"/>
    <x v="224"/>
    <s v=""/>
    <x v="7"/>
    <x v="0"/>
  </r>
  <r>
    <n v="64404234918"/>
    <n v="38"/>
    <x v="225"/>
    <s v=""/>
    <x v="7"/>
    <x v="0"/>
  </r>
  <r>
    <n v="95066568890"/>
    <n v="187"/>
    <x v="225"/>
    <s v=""/>
    <x v="7"/>
    <x v="0"/>
  </r>
  <r>
    <n v="86106463597"/>
    <n v="145"/>
    <x v="225"/>
    <d v="2035-02-04T00:00:00"/>
    <x v="7"/>
    <x v="9"/>
  </r>
  <r>
    <n v="53641013533"/>
    <n v="198"/>
    <x v="225"/>
    <m/>
    <x v="7"/>
    <x v="0"/>
  </r>
  <r>
    <n v="55028770059"/>
    <n v="331"/>
    <x v="225"/>
    <s v=""/>
    <x v="7"/>
    <x v="0"/>
  </r>
  <r>
    <n v="98589974640"/>
    <n v="327"/>
    <x v="225"/>
    <s v=""/>
    <x v="7"/>
    <x v="0"/>
  </r>
  <r>
    <n v="12698044310"/>
    <n v="238"/>
    <x v="225"/>
    <s v=""/>
    <x v="7"/>
    <x v="0"/>
  </r>
  <r>
    <n v="18334001662"/>
    <n v="17"/>
    <x v="225"/>
    <s v=""/>
    <x v="7"/>
    <x v="0"/>
  </r>
  <r>
    <n v="75388219707"/>
    <n v="145"/>
    <x v="225"/>
    <s v=""/>
    <x v="7"/>
    <x v="0"/>
  </r>
  <r>
    <n v="36491850606"/>
    <n v="244"/>
    <x v="225"/>
    <m/>
    <x v="7"/>
    <x v="0"/>
  </r>
  <r>
    <n v="94081571973"/>
    <n v="107"/>
    <x v="225"/>
    <d v="2035-02-14T00:00:00"/>
    <x v="7"/>
    <x v="9"/>
  </r>
  <r>
    <n v="44122108562"/>
    <n v="303"/>
    <x v="225"/>
    <s v=""/>
    <x v="7"/>
    <x v="0"/>
  </r>
  <r>
    <n v="78899709521"/>
    <n v="275"/>
    <x v="225"/>
    <s v=""/>
    <x v="7"/>
    <x v="0"/>
  </r>
  <r>
    <n v="92967442807"/>
    <n v="198"/>
    <x v="225"/>
    <s v=""/>
    <x v="7"/>
    <x v="0"/>
  </r>
  <r>
    <n v="96674318189"/>
    <n v="293"/>
    <x v="225"/>
    <s v=""/>
    <x v="7"/>
    <x v="0"/>
  </r>
  <r>
    <n v="37718569765"/>
    <n v="111"/>
    <x v="225"/>
    <m/>
    <x v="7"/>
    <x v="0"/>
  </r>
  <r>
    <n v="31449175874"/>
    <n v="339"/>
    <x v="225"/>
    <d v="2035-01-28T00:00:00"/>
    <x v="7"/>
    <x v="8"/>
  </r>
  <r>
    <n v="45174436039"/>
    <n v="79"/>
    <x v="225"/>
    <s v=""/>
    <x v="7"/>
    <x v="0"/>
  </r>
  <r>
    <n v="32789811584"/>
    <n v="233"/>
    <x v="225"/>
    <s v=""/>
    <x v="7"/>
    <x v="0"/>
  </r>
  <r>
    <n v="94045411878"/>
    <n v="336"/>
    <x v="225"/>
    <s v=""/>
    <x v="7"/>
    <x v="0"/>
  </r>
  <r>
    <n v="76969902542"/>
    <n v="238"/>
    <x v="225"/>
    <s v=""/>
    <x v="7"/>
    <x v="0"/>
  </r>
  <r>
    <n v="92640428871"/>
    <n v="230"/>
    <x v="225"/>
    <d v="2035-01-14T00:00:00"/>
    <x v="7"/>
    <x v="8"/>
  </r>
  <r>
    <n v="75676911446"/>
    <n v="127"/>
    <x v="225"/>
    <s v=""/>
    <x v="7"/>
    <x v="0"/>
  </r>
  <r>
    <n v="98416497228"/>
    <n v="304"/>
    <x v="225"/>
    <s v=""/>
    <x v="7"/>
    <x v="0"/>
  </r>
  <r>
    <n v="62420483058"/>
    <n v="16"/>
    <x v="225"/>
    <s v=""/>
    <x v="7"/>
    <x v="0"/>
  </r>
  <r>
    <n v="58194270783"/>
    <n v="145"/>
    <x v="225"/>
    <m/>
    <x v="7"/>
    <x v="0"/>
  </r>
  <r>
    <n v="41934001702"/>
    <n v="146"/>
    <x v="226"/>
    <s v=""/>
    <x v="7"/>
    <x v="0"/>
  </r>
  <r>
    <n v="59537963565"/>
    <n v="170"/>
    <x v="226"/>
    <s v=""/>
    <x v="7"/>
    <x v="0"/>
  </r>
  <r>
    <n v="45180077457"/>
    <n v="322"/>
    <x v="226"/>
    <s v=""/>
    <x v="7"/>
    <x v="0"/>
  </r>
  <r>
    <n v="49431797102"/>
    <n v="11"/>
    <x v="226"/>
    <d v="2035-01-22T00:00:00"/>
    <x v="7"/>
    <x v="8"/>
  </r>
  <r>
    <n v="64709040475"/>
    <n v="53"/>
    <x v="226"/>
    <s v=""/>
    <x v="7"/>
    <x v="0"/>
  </r>
  <r>
    <n v="95043563988"/>
    <n v="23"/>
    <x v="226"/>
    <s v=""/>
    <x v="7"/>
    <x v="0"/>
  </r>
  <r>
    <n v="23625511191"/>
    <n v="148"/>
    <x v="226"/>
    <s v=""/>
    <x v="7"/>
    <x v="0"/>
  </r>
  <r>
    <n v="21001233183"/>
    <n v="260"/>
    <x v="226"/>
    <m/>
    <x v="7"/>
    <x v="0"/>
  </r>
  <r>
    <n v="43453903691"/>
    <n v="214"/>
    <x v="226"/>
    <s v=""/>
    <x v="7"/>
    <x v="0"/>
  </r>
  <r>
    <n v="25503006208"/>
    <n v="243"/>
    <x v="226"/>
    <m/>
    <x v="7"/>
    <x v="0"/>
  </r>
  <r>
    <n v="56325300366"/>
    <n v="230"/>
    <x v="226"/>
    <s v=""/>
    <x v="7"/>
    <x v="0"/>
  </r>
  <r>
    <n v="58378699915"/>
    <n v="220"/>
    <x v="226"/>
    <s v=""/>
    <x v="7"/>
    <x v="0"/>
  </r>
  <r>
    <n v="83395101033"/>
    <n v="3"/>
    <x v="226"/>
    <s v=""/>
    <x v="7"/>
    <x v="0"/>
  </r>
  <r>
    <n v="28866774913"/>
    <n v="281"/>
    <x v="226"/>
    <s v=""/>
    <x v="7"/>
    <x v="0"/>
  </r>
  <r>
    <n v="78235145045"/>
    <n v="239"/>
    <x v="226"/>
    <s v=""/>
    <x v="7"/>
    <x v="0"/>
  </r>
  <r>
    <n v="35843832460"/>
    <n v="312"/>
    <x v="226"/>
    <d v="2035-02-03T00:00:00"/>
    <x v="7"/>
    <x v="9"/>
  </r>
  <r>
    <n v="44662359635"/>
    <n v="110"/>
    <x v="226"/>
    <s v=""/>
    <x v="7"/>
    <x v="0"/>
  </r>
  <r>
    <n v="22469748467"/>
    <n v="340"/>
    <x v="226"/>
    <s v=""/>
    <x v="7"/>
    <x v="0"/>
  </r>
  <r>
    <n v="66446956809"/>
    <n v="318"/>
    <x v="226"/>
    <s v=""/>
    <x v="7"/>
    <x v="0"/>
  </r>
  <r>
    <n v="89301805986"/>
    <n v="23"/>
    <x v="226"/>
    <m/>
    <x v="7"/>
    <x v="0"/>
  </r>
  <r>
    <n v="45302700531"/>
    <n v="71"/>
    <x v="226"/>
    <m/>
    <x v="7"/>
    <x v="0"/>
  </r>
  <r>
    <n v="68717609469"/>
    <n v="128"/>
    <x v="226"/>
    <s v=""/>
    <x v="7"/>
    <x v="0"/>
  </r>
  <r>
    <n v="20771839329"/>
    <n v="193"/>
    <x v="226"/>
    <s v=""/>
    <x v="7"/>
    <x v="0"/>
  </r>
  <r>
    <n v="54817849209"/>
    <n v="132"/>
    <x v="226"/>
    <m/>
    <x v="7"/>
    <x v="0"/>
  </r>
  <r>
    <n v="20682435776"/>
    <n v="234"/>
    <x v="226"/>
    <m/>
    <x v="7"/>
    <x v="0"/>
  </r>
  <r>
    <n v="66697260861"/>
    <n v="137"/>
    <x v="226"/>
    <s v=""/>
    <x v="7"/>
    <x v="0"/>
  </r>
  <r>
    <n v="85903560712"/>
    <n v="303"/>
    <x v="226"/>
    <s v=""/>
    <x v="7"/>
    <x v="0"/>
  </r>
  <r>
    <n v="39752572492"/>
    <n v="327"/>
    <x v="226"/>
    <s v=""/>
    <x v="7"/>
    <x v="0"/>
  </r>
  <r>
    <n v="14145036187"/>
    <n v="50"/>
    <x v="226"/>
    <m/>
    <x v="7"/>
    <x v="0"/>
  </r>
  <r>
    <n v="33236654140"/>
    <n v="10"/>
    <x v="226"/>
    <m/>
    <x v="7"/>
    <x v="0"/>
  </r>
  <r>
    <n v="34943301697"/>
    <n v="7"/>
    <x v="227"/>
    <s v=""/>
    <x v="7"/>
    <x v="0"/>
  </r>
  <r>
    <n v="68208507985"/>
    <n v="22"/>
    <x v="227"/>
    <s v=""/>
    <x v="7"/>
    <x v="0"/>
  </r>
  <r>
    <n v="40830036420"/>
    <n v="76"/>
    <x v="227"/>
    <s v=""/>
    <x v="7"/>
    <x v="0"/>
  </r>
  <r>
    <n v="19521445941"/>
    <n v="131"/>
    <x v="227"/>
    <d v="2035-02-15T00:00:00"/>
    <x v="7"/>
    <x v="9"/>
  </r>
  <r>
    <n v="89596794201"/>
    <n v="127"/>
    <x v="227"/>
    <m/>
    <x v="7"/>
    <x v="0"/>
  </r>
  <r>
    <n v="97804466623"/>
    <n v="50"/>
    <x v="227"/>
    <m/>
    <x v="7"/>
    <x v="0"/>
  </r>
  <r>
    <n v="50238403010"/>
    <n v="58"/>
    <x v="227"/>
    <m/>
    <x v="7"/>
    <x v="0"/>
  </r>
  <r>
    <n v="23332268975"/>
    <n v="11"/>
    <x v="227"/>
    <d v="2035-02-25T00:00:00"/>
    <x v="7"/>
    <x v="9"/>
  </r>
  <r>
    <n v="63450115197"/>
    <n v="30"/>
    <x v="227"/>
    <s v=""/>
    <x v="7"/>
    <x v="0"/>
  </r>
  <r>
    <n v="46360949369"/>
    <n v="41"/>
    <x v="227"/>
    <s v=""/>
    <x v="7"/>
    <x v="0"/>
  </r>
  <r>
    <n v="83164148927"/>
    <n v="41"/>
    <x v="227"/>
    <s v=""/>
    <x v="7"/>
    <x v="0"/>
  </r>
  <r>
    <n v="57652341175"/>
    <n v="163"/>
    <x v="227"/>
    <s v=""/>
    <x v="7"/>
    <x v="0"/>
  </r>
  <r>
    <n v="78404943719"/>
    <n v="332"/>
    <x v="227"/>
    <s v=""/>
    <x v="7"/>
    <x v="0"/>
  </r>
  <r>
    <n v="83731768970"/>
    <n v="230"/>
    <x v="227"/>
    <s v=""/>
    <x v="7"/>
    <x v="0"/>
  </r>
  <r>
    <n v="37651146954"/>
    <n v="316"/>
    <x v="227"/>
    <d v="2035-02-10T00:00:00"/>
    <x v="7"/>
    <x v="9"/>
  </r>
  <r>
    <n v="76850543794"/>
    <n v="272"/>
    <x v="227"/>
    <s v=""/>
    <x v="7"/>
    <x v="0"/>
  </r>
  <r>
    <n v="87434160502"/>
    <n v="6"/>
    <x v="227"/>
    <m/>
    <x v="7"/>
    <x v="0"/>
  </r>
  <r>
    <n v="56988358719"/>
    <n v="90"/>
    <x v="227"/>
    <s v=""/>
    <x v="7"/>
    <x v="0"/>
  </r>
  <r>
    <n v="46597726118"/>
    <n v="291"/>
    <x v="227"/>
    <s v=""/>
    <x v="7"/>
    <x v="0"/>
  </r>
  <r>
    <n v="63141666552"/>
    <n v="272"/>
    <x v="227"/>
    <m/>
    <x v="7"/>
    <x v="0"/>
  </r>
  <r>
    <n v="92506895567"/>
    <n v="288"/>
    <x v="227"/>
    <s v=""/>
    <x v="7"/>
    <x v="0"/>
  </r>
  <r>
    <n v="54108657633"/>
    <n v="156"/>
    <x v="227"/>
    <m/>
    <x v="7"/>
    <x v="0"/>
  </r>
  <r>
    <n v="47643809143"/>
    <n v="200"/>
    <x v="227"/>
    <s v=""/>
    <x v="7"/>
    <x v="0"/>
  </r>
  <r>
    <n v="94338469244"/>
    <n v="58"/>
    <x v="228"/>
    <s v=""/>
    <x v="7"/>
    <x v="0"/>
  </r>
  <r>
    <n v="88701272799"/>
    <n v="108"/>
    <x v="228"/>
    <m/>
    <x v="7"/>
    <x v="0"/>
  </r>
  <r>
    <n v="71559890779"/>
    <n v="188"/>
    <x v="228"/>
    <s v=""/>
    <x v="7"/>
    <x v="0"/>
  </r>
  <r>
    <n v="49015829668"/>
    <n v="211"/>
    <x v="228"/>
    <s v=""/>
    <x v="7"/>
    <x v="0"/>
  </r>
  <r>
    <n v="65460352286"/>
    <n v="231"/>
    <x v="228"/>
    <s v=""/>
    <x v="7"/>
    <x v="0"/>
  </r>
  <r>
    <n v="97524585337"/>
    <n v="336"/>
    <x v="228"/>
    <s v=""/>
    <x v="7"/>
    <x v="0"/>
  </r>
  <r>
    <n v="78569561600"/>
    <n v="1"/>
    <x v="228"/>
    <s v=""/>
    <x v="7"/>
    <x v="0"/>
  </r>
  <r>
    <n v="78876325784"/>
    <n v="82"/>
    <x v="228"/>
    <s v=""/>
    <x v="7"/>
    <x v="0"/>
  </r>
  <r>
    <n v="88034157502"/>
    <n v="31"/>
    <x v="228"/>
    <s v=""/>
    <x v="7"/>
    <x v="0"/>
  </r>
  <r>
    <n v="24049143876"/>
    <n v="65"/>
    <x v="228"/>
    <s v=""/>
    <x v="7"/>
    <x v="0"/>
  </r>
  <r>
    <n v="78827326838"/>
    <n v="257"/>
    <x v="228"/>
    <s v=""/>
    <x v="7"/>
    <x v="0"/>
  </r>
  <r>
    <n v="36994155650"/>
    <n v="268"/>
    <x v="228"/>
    <s v=""/>
    <x v="7"/>
    <x v="0"/>
  </r>
  <r>
    <n v="87088367298"/>
    <n v="108"/>
    <x v="228"/>
    <d v="2035-02-11T00:00:00"/>
    <x v="7"/>
    <x v="9"/>
  </r>
  <r>
    <n v="82896280181"/>
    <n v="308"/>
    <x v="228"/>
    <s v=""/>
    <x v="7"/>
    <x v="0"/>
  </r>
  <r>
    <n v="68758227288"/>
    <n v="183"/>
    <x v="228"/>
    <s v=""/>
    <x v="7"/>
    <x v="0"/>
  </r>
  <r>
    <n v="45943068349"/>
    <n v="164"/>
    <x v="228"/>
    <s v=""/>
    <x v="7"/>
    <x v="0"/>
  </r>
  <r>
    <n v="75905797565"/>
    <n v="18"/>
    <x v="228"/>
    <s v=""/>
    <x v="7"/>
    <x v="0"/>
  </r>
  <r>
    <n v="97935798316"/>
    <n v="42"/>
    <x v="228"/>
    <s v=""/>
    <x v="7"/>
    <x v="0"/>
  </r>
  <r>
    <n v="89624365610"/>
    <n v="308"/>
    <x v="228"/>
    <s v=""/>
    <x v="7"/>
    <x v="0"/>
  </r>
  <r>
    <n v="29557882029"/>
    <n v="79"/>
    <x v="228"/>
    <s v=""/>
    <x v="7"/>
    <x v="0"/>
  </r>
  <r>
    <n v="85267166034"/>
    <n v="223"/>
    <x v="228"/>
    <s v=""/>
    <x v="7"/>
    <x v="0"/>
  </r>
  <r>
    <n v="15301365750"/>
    <n v="228"/>
    <x v="228"/>
    <s v=""/>
    <x v="7"/>
    <x v="0"/>
  </r>
  <r>
    <n v="32342249891"/>
    <n v="102"/>
    <x v="228"/>
    <m/>
    <x v="7"/>
    <x v="0"/>
  </r>
  <r>
    <n v="88975536510"/>
    <n v="276"/>
    <x v="228"/>
    <s v=""/>
    <x v="7"/>
    <x v="0"/>
  </r>
  <r>
    <n v="23987759739"/>
    <n v="120"/>
    <x v="228"/>
    <m/>
    <x v="7"/>
    <x v="0"/>
  </r>
  <r>
    <n v="34826249894"/>
    <n v="157"/>
    <x v="228"/>
    <d v="2035-02-07T00:00:00"/>
    <x v="7"/>
    <x v="9"/>
  </r>
  <r>
    <n v="39418387636"/>
    <n v="133"/>
    <x v="228"/>
    <s v=""/>
    <x v="7"/>
    <x v="0"/>
  </r>
  <r>
    <n v="58487850122"/>
    <n v="173"/>
    <x v="228"/>
    <s v=""/>
    <x v="7"/>
    <x v="0"/>
  </r>
  <r>
    <n v="77136661099"/>
    <n v="269"/>
    <x v="228"/>
    <s v=""/>
    <x v="7"/>
    <x v="0"/>
  </r>
  <r>
    <n v="81941986496"/>
    <n v="204"/>
    <x v="228"/>
    <s v=""/>
    <x v="7"/>
    <x v="0"/>
  </r>
  <r>
    <n v="14496943949"/>
    <n v="34"/>
    <x v="228"/>
    <s v=""/>
    <x v="7"/>
    <x v="0"/>
  </r>
  <r>
    <n v="65896417746"/>
    <n v="237"/>
    <x v="229"/>
    <s v=""/>
    <x v="7"/>
    <x v="0"/>
  </r>
  <r>
    <n v="17678325091"/>
    <n v="220"/>
    <x v="229"/>
    <s v=""/>
    <x v="7"/>
    <x v="0"/>
  </r>
  <r>
    <n v="29816670240"/>
    <n v="298"/>
    <x v="229"/>
    <s v=""/>
    <x v="7"/>
    <x v="0"/>
  </r>
  <r>
    <n v="56676954020"/>
    <n v="217"/>
    <x v="229"/>
    <s v=""/>
    <x v="7"/>
    <x v="0"/>
  </r>
  <r>
    <n v="78575532331"/>
    <n v="203"/>
    <x v="229"/>
    <m/>
    <x v="7"/>
    <x v="0"/>
  </r>
  <r>
    <n v="47005958770"/>
    <n v="303"/>
    <x v="229"/>
    <s v=""/>
    <x v="7"/>
    <x v="0"/>
  </r>
  <r>
    <n v="21865815641"/>
    <n v="147"/>
    <x v="229"/>
    <s v=""/>
    <x v="7"/>
    <x v="0"/>
  </r>
  <r>
    <n v="96468165635"/>
    <n v="63"/>
    <x v="229"/>
    <s v=""/>
    <x v="7"/>
    <x v="0"/>
  </r>
  <r>
    <n v="92436719580"/>
    <n v="2"/>
    <x v="229"/>
    <s v=""/>
    <x v="7"/>
    <x v="0"/>
  </r>
  <r>
    <n v="89493150612"/>
    <n v="117"/>
    <x v="229"/>
    <s v=""/>
    <x v="7"/>
    <x v="0"/>
  </r>
  <r>
    <n v="76588905220"/>
    <n v="18"/>
    <x v="229"/>
    <s v=""/>
    <x v="7"/>
    <x v="0"/>
  </r>
  <r>
    <n v="17141339993"/>
    <n v="162"/>
    <x v="229"/>
    <s v=""/>
    <x v="7"/>
    <x v="0"/>
  </r>
  <r>
    <n v="75736876299"/>
    <n v="219"/>
    <x v="229"/>
    <d v="2035-02-03T00:00:00"/>
    <x v="7"/>
    <x v="9"/>
  </r>
  <r>
    <n v="26958470292"/>
    <n v="107"/>
    <x v="229"/>
    <s v=""/>
    <x v="7"/>
    <x v="0"/>
  </r>
  <r>
    <n v="42736240456"/>
    <n v="22"/>
    <x v="229"/>
    <s v=""/>
    <x v="7"/>
    <x v="0"/>
  </r>
  <r>
    <n v="18145993967"/>
    <n v="234"/>
    <x v="229"/>
    <d v="2035-02-17T00:00:00"/>
    <x v="7"/>
    <x v="9"/>
  </r>
  <r>
    <n v="49515984777"/>
    <n v="246"/>
    <x v="229"/>
    <s v=""/>
    <x v="7"/>
    <x v="0"/>
  </r>
  <r>
    <n v="65211514650"/>
    <n v="246"/>
    <x v="229"/>
    <s v=""/>
    <x v="7"/>
    <x v="0"/>
  </r>
  <r>
    <n v="66568684536"/>
    <n v="338"/>
    <x v="229"/>
    <s v=""/>
    <x v="7"/>
    <x v="0"/>
  </r>
  <r>
    <n v="95970389724"/>
    <n v="183"/>
    <x v="229"/>
    <s v=""/>
    <x v="7"/>
    <x v="0"/>
  </r>
  <r>
    <n v="30753981201"/>
    <n v="86"/>
    <x v="229"/>
    <m/>
    <x v="7"/>
    <x v="0"/>
  </r>
  <r>
    <n v="57595692390"/>
    <n v="14"/>
    <x v="229"/>
    <s v=""/>
    <x v="7"/>
    <x v="0"/>
  </r>
  <r>
    <n v="69743382516"/>
    <n v="135"/>
    <x v="229"/>
    <s v=""/>
    <x v="7"/>
    <x v="0"/>
  </r>
  <r>
    <n v="83509530061"/>
    <n v="166"/>
    <x v="229"/>
    <s v=""/>
    <x v="7"/>
    <x v="0"/>
  </r>
  <r>
    <n v="86083150295"/>
    <n v="134"/>
    <x v="229"/>
    <m/>
    <x v="7"/>
    <x v="0"/>
  </r>
  <r>
    <n v="21358094870"/>
    <n v="52"/>
    <x v="229"/>
    <s v=""/>
    <x v="7"/>
    <x v="0"/>
  </r>
  <r>
    <n v="50334711560"/>
    <n v="13"/>
    <x v="229"/>
    <s v=""/>
    <x v="7"/>
    <x v="0"/>
  </r>
  <r>
    <n v="24575321781"/>
    <n v="112"/>
    <x v="230"/>
    <s v=""/>
    <x v="7"/>
    <x v="0"/>
  </r>
  <r>
    <n v="86298620493"/>
    <n v="152"/>
    <x v="230"/>
    <m/>
    <x v="7"/>
    <x v="0"/>
  </r>
  <r>
    <n v="36137206443"/>
    <n v="131"/>
    <x v="230"/>
    <s v=""/>
    <x v="7"/>
    <x v="0"/>
  </r>
  <r>
    <n v="45282056172"/>
    <n v="104"/>
    <x v="230"/>
    <s v=""/>
    <x v="7"/>
    <x v="0"/>
  </r>
  <r>
    <n v="41077303517"/>
    <n v="151"/>
    <x v="230"/>
    <s v=""/>
    <x v="7"/>
    <x v="0"/>
  </r>
  <r>
    <n v="65686104130"/>
    <n v="166"/>
    <x v="230"/>
    <s v=""/>
    <x v="7"/>
    <x v="0"/>
  </r>
  <r>
    <n v="66186040995"/>
    <n v="143"/>
    <x v="230"/>
    <m/>
    <x v="7"/>
    <x v="0"/>
  </r>
  <r>
    <n v="98232404143"/>
    <n v="273"/>
    <x v="230"/>
    <s v=""/>
    <x v="7"/>
    <x v="0"/>
  </r>
  <r>
    <n v="19200770096"/>
    <n v="248"/>
    <x v="230"/>
    <s v=""/>
    <x v="7"/>
    <x v="0"/>
  </r>
  <r>
    <n v="20308267948"/>
    <n v="274"/>
    <x v="230"/>
    <s v=""/>
    <x v="7"/>
    <x v="0"/>
  </r>
  <r>
    <n v="53190040918"/>
    <n v="340"/>
    <x v="230"/>
    <d v="2035-02-04T00:00:00"/>
    <x v="7"/>
    <x v="9"/>
  </r>
  <r>
    <n v="20825917535"/>
    <n v="4"/>
    <x v="230"/>
    <m/>
    <x v="7"/>
    <x v="0"/>
  </r>
  <r>
    <n v="64518176370"/>
    <n v="148"/>
    <x v="230"/>
    <s v=""/>
    <x v="7"/>
    <x v="0"/>
  </r>
  <r>
    <n v="47996959689"/>
    <n v="324"/>
    <x v="230"/>
    <s v=""/>
    <x v="7"/>
    <x v="0"/>
  </r>
  <r>
    <n v="96979749738"/>
    <n v="13"/>
    <x v="230"/>
    <s v=""/>
    <x v="7"/>
    <x v="0"/>
  </r>
  <r>
    <n v="33459426555"/>
    <n v="142"/>
    <x v="230"/>
    <s v=""/>
    <x v="7"/>
    <x v="0"/>
  </r>
  <r>
    <n v="20575546781"/>
    <n v="161"/>
    <x v="230"/>
    <s v=""/>
    <x v="7"/>
    <x v="0"/>
  </r>
  <r>
    <n v="57568684273"/>
    <n v="116"/>
    <x v="231"/>
    <s v=""/>
    <x v="7"/>
    <x v="0"/>
  </r>
  <r>
    <n v="41258857622"/>
    <n v="224"/>
    <x v="231"/>
    <s v=""/>
    <x v="7"/>
    <x v="0"/>
  </r>
  <r>
    <n v="53551901177"/>
    <n v="198"/>
    <x v="231"/>
    <s v=""/>
    <x v="7"/>
    <x v="0"/>
  </r>
  <r>
    <n v="27892593023"/>
    <n v="327"/>
    <x v="231"/>
    <d v="2035-01-18T00:00:00"/>
    <x v="7"/>
    <x v="8"/>
  </r>
  <r>
    <n v="19233565404"/>
    <n v="98"/>
    <x v="231"/>
    <s v=""/>
    <x v="7"/>
    <x v="0"/>
  </r>
  <r>
    <n v="18458126787"/>
    <n v="225"/>
    <x v="231"/>
    <m/>
    <x v="7"/>
    <x v="0"/>
  </r>
  <r>
    <n v="33926434855"/>
    <n v="20"/>
    <x v="231"/>
    <s v=""/>
    <x v="7"/>
    <x v="0"/>
  </r>
  <r>
    <n v="83717001264"/>
    <n v="38"/>
    <x v="231"/>
    <s v=""/>
    <x v="7"/>
    <x v="0"/>
  </r>
  <r>
    <n v="60778885005"/>
    <n v="240"/>
    <x v="231"/>
    <s v=""/>
    <x v="7"/>
    <x v="0"/>
  </r>
  <r>
    <n v="53021673965"/>
    <n v="265"/>
    <x v="231"/>
    <s v=""/>
    <x v="7"/>
    <x v="0"/>
  </r>
  <r>
    <n v="63013665118"/>
    <n v="107"/>
    <x v="231"/>
    <m/>
    <x v="7"/>
    <x v="0"/>
  </r>
  <r>
    <n v="38607269281"/>
    <n v="108"/>
    <x v="231"/>
    <s v=""/>
    <x v="7"/>
    <x v="0"/>
  </r>
  <r>
    <n v="72465111181"/>
    <n v="155"/>
    <x v="231"/>
    <m/>
    <x v="7"/>
    <x v="0"/>
  </r>
  <r>
    <n v="88798084134"/>
    <n v="323"/>
    <x v="231"/>
    <s v=""/>
    <x v="7"/>
    <x v="0"/>
  </r>
  <r>
    <n v="80977903532"/>
    <n v="111"/>
    <x v="231"/>
    <s v=""/>
    <x v="7"/>
    <x v="0"/>
  </r>
  <r>
    <n v="24045694542"/>
    <n v="199"/>
    <x v="231"/>
    <s v=""/>
    <x v="7"/>
    <x v="0"/>
  </r>
  <r>
    <n v="88290289808"/>
    <n v="88"/>
    <x v="231"/>
    <s v=""/>
    <x v="7"/>
    <x v="0"/>
  </r>
  <r>
    <n v="33548299312"/>
    <n v="48"/>
    <x v="231"/>
    <s v=""/>
    <x v="7"/>
    <x v="0"/>
  </r>
  <r>
    <n v="45003585087"/>
    <n v="156"/>
    <x v="231"/>
    <s v=""/>
    <x v="7"/>
    <x v="0"/>
  </r>
  <r>
    <n v="38514191549"/>
    <n v="65"/>
    <x v="231"/>
    <s v=""/>
    <x v="7"/>
    <x v="0"/>
  </r>
  <r>
    <n v="60805846742"/>
    <n v="315"/>
    <x v="231"/>
    <m/>
    <x v="7"/>
    <x v="0"/>
  </r>
  <r>
    <n v="39520462666"/>
    <n v="58"/>
    <x v="231"/>
    <s v=""/>
    <x v="7"/>
    <x v="0"/>
  </r>
  <r>
    <n v="69681385243"/>
    <n v="22"/>
    <x v="232"/>
    <s v=""/>
    <x v="7"/>
    <x v="0"/>
  </r>
  <r>
    <n v="67097613398"/>
    <n v="162"/>
    <x v="232"/>
    <s v=""/>
    <x v="7"/>
    <x v="0"/>
  </r>
  <r>
    <n v="57164840845"/>
    <n v="81"/>
    <x v="232"/>
    <s v=""/>
    <x v="7"/>
    <x v="0"/>
  </r>
  <r>
    <n v="81885268721"/>
    <n v="188"/>
    <x v="232"/>
    <m/>
    <x v="7"/>
    <x v="0"/>
  </r>
  <r>
    <n v="69791536379"/>
    <n v="223"/>
    <x v="232"/>
    <s v=""/>
    <x v="7"/>
    <x v="0"/>
  </r>
  <r>
    <n v="24660021769"/>
    <n v="69"/>
    <x v="232"/>
    <s v=""/>
    <x v="7"/>
    <x v="0"/>
  </r>
  <r>
    <n v="16471783368"/>
    <n v="305"/>
    <x v="232"/>
    <s v=""/>
    <x v="7"/>
    <x v="0"/>
  </r>
  <r>
    <n v="43573431429"/>
    <n v="217"/>
    <x v="232"/>
    <d v="2035-01-28T00:00:00"/>
    <x v="7"/>
    <x v="8"/>
  </r>
  <r>
    <n v="87034751643"/>
    <n v="206"/>
    <x v="232"/>
    <s v=""/>
    <x v="7"/>
    <x v="0"/>
  </r>
  <r>
    <n v="96278006678"/>
    <n v="32"/>
    <x v="232"/>
    <s v=""/>
    <x v="7"/>
    <x v="0"/>
  </r>
  <r>
    <n v="73095882950"/>
    <n v="167"/>
    <x v="232"/>
    <s v=""/>
    <x v="7"/>
    <x v="0"/>
  </r>
  <r>
    <n v="65309187506"/>
    <n v="7"/>
    <x v="232"/>
    <s v=""/>
    <x v="7"/>
    <x v="0"/>
  </r>
  <r>
    <n v="26035340529"/>
    <n v="338"/>
    <x v="232"/>
    <s v=""/>
    <x v="7"/>
    <x v="0"/>
  </r>
  <r>
    <n v="80255239991"/>
    <n v="317"/>
    <x v="232"/>
    <s v=""/>
    <x v="7"/>
    <x v="0"/>
  </r>
  <r>
    <n v="87652556529"/>
    <n v="53"/>
    <x v="232"/>
    <s v=""/>
    <x v="7"/>
    <x v="0"/>
  </r>
  <r>
    <n v="47332803418"/>
    <n v="20"/>
    <x v="232"/>
    <m/>
    <x v="7"/>
    <x v="0"/>
  </r>
  <r>
    <n v="72271266323"/>
    <n v="103"/>
    <x v="232"/>
    <d v="2035-02-22T00:00:00"/>
    <x v="7"/>
    <x v="9"/>
  </r>
  <r>
    <n v="77087712961"/>
    <n v="161"/>
    <x v="232"/>
    <s v=""/>
    <x v="7"/>
    <x v="0"/>
  </r>
  <r>
    <n v="95963858996"/>
    <n v="7"/>
    <x v="232"/>
    <d v="2035-02-10T00:00:00"/>
    <x v="7"/>
    <x v="9"/>
  </r>
  <r>
    <n v="97798058466"/>
    <n v="176"/>
    <x v="232"/>
    <m/>
    <x v="7"/>
    <x v="0"/>
  </r>
  <r>
    <n v="80159597897"/>
    <n v="43"/>
    <x v="232"/>
    <s v=""/>
    <x v="7"/>
    <x v="0"/>
  </r>
  <r>
    <n v="92384501581"/>
    <n v="17"/>
    <x v="232"/>
    <s v=""/>
    <x v="7"/>
    <x v="0"/>
  </r>
  <r>
    <n v="20470390431"/>
    <n v="309"/>
    <x v="232"/>
    <s v=""/>
    <x v="7"/>
    <x v="0"/>
  </r>
  <r>
    <n v="16564505921"/>
    <n v="146"/>
    <x v="232"/>
    <s v=""/>
    <x v="7"/>
    <x v="0"/>
  </r>
  <r>
    <n v="67619937013"/>
    <n v="227"/>
    <x v="232"/>
    <m/>
    <x v="7"/>
    <x v="0"/>
  </r>
  <r>
    <n v="64594679464"/>
    <n v="27"/>
    <x v="232"/>
    <m/>
    <x v="7"/>
    <x v="0"/>
  </r>
  <r>
    <n v="76227204072"/>
    <n v="293"/>
    <x v="232"/>
    <s v=""/>
    <x v="7"/>
    <x v="0"/>
  </r>
  <r>
    <n v="11517276339"/>
    <n v="40"/>
    <x v="232"/>
    <s v=""/>
    <x v="7"/>
    <x v="0"/>
  </r>
  <r>
    <n v="21221187067"/>
    <n v="317"/>
    <x v="232"/>
    <s v=""/>
    <x v="7"/>
    <x v="0"/>
  </r>
  <r>
    <n v="32130580896"/>
    <n v="335"/>
    <x v="232"/>
    <s v=""/>
    <x v="7"/>
    <x v="0"/>
  </r>
  <r>
    <n v="13276210131"/>
    <n v="304"/>
    <x v="232"/>
    <s v=""/>
    <x v="7"/>
    <x v="0"/>
  </r>
  <r>
    <n v="34940296731"/>
    <n v="174"/>
    <x v="232"/>
    <s v=""/>
    <x v="7"/>
    <x v="0"/>
  </r>
  <r>
    <n v="96291869454"/>
    <n v="182"/>
    <x v="233"/>
    <m/>
    <x v="7"/>
    <x v="0"/>
  </r>
  <r>
    <n v="66389171378"/>
    <n v="334"/>
    <x v="233"/>
    <s v=""/>
    <x v="7"/>
    <x v="0"/>
  </r>
  <r>
    <n v="15168293655"/>
    <n v="203"/>
    <x v="233"/>
    <s v=""/>
    <x v="7"/>
    <x v="0"/>
  </r>
  <r>
    <n v="46733715299"/>
    <n v="286"/>
    <x v="233"/>
    <s v=""/>
    <x v="7"/>
    <x v="0"/>
  </r>
  <r>
    <n v="47690640150"/>
    <n v="274"/>
    <x v="233"/>
    <s v=""/>
    <x v="7"/>
    <x v="0"/>
  </r>
  <r>
    <n v="27226074509"/>
    <n v="61"/>
    <x v="233"/>
    <s v=""/>
    <x v="7"/>
    <x v="0"/>
  </r>
  <r>
    <n v="22046403090"/>
    <n v="81"/>
    <x v="233"/>
    <s v=""/>
    <x v="7"/>
    <x v="0"/>
  </r>
  <r>
    <n v="73539990975"/>
    <n v="229"/>
    <x v="233"/>
    <s v=""/>
    <x v="7"/>
    <x v="0"/>
  </r>
  <r>
    <n v="52835118023"/>
    <n v="258"/>
    <x v="233"/>
    <s v=""/>
    <x v="7"/>
    <x v="0"/>
  </r>
  <r>
    <n v="83063630707"/>
    <n v="125"/>
    <x v="233"/>
    <s v=""/>
    <x v="7"/>
    <x v="0"/>
  </r>
  <r>
    <n v="14409815540"/>
    <n v="113"/>
    <x v="233"/>
    <s v=""/>
    <x v="7"/>
    <x v="0"/>
  </r>
  <r>
    <n v="47735040225"/>
    <n v="64"/>
    <x v="233"/>
    <s v=""/>
    <x v="7"/>
    <x v="0"/>
  </r>
  <r>
    <n v="13407366453"/>
    <n v="112"/>
    <x v="233"/>
    <s v=""/>
    <x v="7"/>
    <x v="0"/>
  </r>
  <r>
    <n v="80381621626"/>
    <n v="150"/>
    <x v="233"/>
    <m/>
    <x v="7"/>
    <x v="0"/>
  </r>
  <r>
    <n v="44116998666"/>
    <n v="3"/>
    <x v="233"/>
    <s v=""/>
    <x v="7"/>
    <x v="0"/>
  </r>
  <r>
    <n v="66222351413"/>
    <n v="277"/>
    <x v="233"/>
    <m/>
    <x v="7"/>
    <x v="0"/>
  </r>
  <r>
    <n v="73946836326"/>
    <n v="249"/>
    <x v="233"/>
    <s v=""/>
    <x v="7"/>
    <x v="0"/>
  </r>
  <r>
    <n v="92061057282"/>
    <n v="264"/>
    <x v="233"/>
    <s v=""/>
    <x v="7"/>
    <x v="0"/>
  </r>
  <r>
    <n v="88723569782"/>
    <n v="225"/>
    <x v="233"/>
    <s v=""/>
    <x v="7"/>
    <x v="0"/>
  </r>
  <r>
    <n v="54393185698"/>
    <n v="314"/>
    <x v="233"/>
    <s v=""/>
    <x v="7"/>
    <x v="0"/>
  </r>
  <r>
    <n v="33832195033"/>
    <n v="134"/>
    <x v="233"/>
    <s v=""/>
    <x v="7"/>
    <x v="0"/>
  </r>
  <r>
    <n v="49712430084"/>
    <n v="340"/>
    <x v="233"/>
    <m/>
    <x v="7"/>
    <x v="0"/>
  </r>
  <r>
    <n v="44998369576"/>
    <n v="219"/>
    <x v="233"/>
    <m/>
    <x v="7"/>
    <x v="0"/>
  </r>
  <r>
    <n v="28786149113"/>
    <n v="238"/>
    <x v="233"/>
    <d v="2035-02-01T00:00:00"/>
    <x v="7"/>
    <x v="9"/>
  </r>
  <r>
    <n v="75924929569"/>
    <n v="235"/>
    <x v="233"/>
    <s v=""/>
    <x v="7"/>
    <x v="0"/>
  </r>
  <r>
    <n v="90684709647"/>
    <n v="251"/>
    <x v="233"/>
    <s v=""/>
    <x v="7"/>
    <x v="0"/>
  </r>
  <r>
    <n v="24109331552"/>
    <n v="298"/>
    <x v="233"/>
    <s v=""/>
    <x v="7"/>
    <x v="0"/>
  </r>
  <r>
    <n v="58468898014"/>
    <n v="98"/>
    <x v="234"/>
    <s v=""/>
    <x v="7"/>
    <x v="0"/>
  </r>
  <r>
    <n v="61250163481"/>
    <n v="217"/>
    <x v="234"/>
    <s v=""/>
    <x v="7"/>
    <x v="0"/>
  </r>
  <r>
    <n v="17497122522"/>
    <n v="89"/>
    <x v="234"/>
    <s v=""/>
    <x v="7"/>
    <x v="0"/>
  </r>
  <r>
    <n v="38994158799"/>
    <n v="101"/>
    <x v="234"/>
    <d v="2035-02-04T00:00:00"/>
    <x v="7"/>
    <x v="9"/>
  </r>
  <r>
    <n v="49742584050"/>
    <n v="129"/>
    <x v="234"/>
    <s v=""/>
    <x v="7"/>
    <x v="0"/>
  </r>
  <r>
    <n v="25825272222"/>
    <n v="181"/>
    <x v="234"/>
    <s v=""/>
    <x v="7"/>
    <x v="0"/>
  </r>
  <r>
    <n v="19206452531"/>
    <n v="46"/>
    <x v="234"/>
    <s v=""/>
    <x v="7"/>
    <x v="0"/>
  </r>
  <r>
    <n v="66484706965"/>
    <n v="117"/>
    <x v="234"/>
    <s v=""/>
    <x v="7"/>
    <x v="0"/>
  </r>
  <r>
    <n v="72364237674"/>
    <n v="171"/>
    <x v="234"/>
    <s v=""/>
    <x v="7"/>
    <x v="0"/>
  </r>
  <r>
    <n v="25065020338"/>
    <n v="130"/>
    <x v="234"/>
    <s v=""/>
    <x v="7"/>
    <x v="0"/>
  </r>
  <r>
    <n v="24713250657"/>
    <n v="97"/>
    <x v="234"/>
    <d v="2035-02-04T00:00:00"/>
    <x v="7"/>
    <x v="9"/>
  </r>
  <r>
    <n v="37478085192"/>
    <n v="144"/>
    <x v="234"/>
    <s v=""/>
    <x v="7"/>
    <x v="0"/>
  </r>
  <r>
    <n v="13408412679"/>
    <n v="301"/>
    <x v="234"/>
    <m/>
    <x v="7"/>
    <x v="0"/>
  </r>
  <r>
    <n v="38322240486"/>
    <n v="38"/>
    <x v="234"/>
    <m/>
    <x v="7"/>
    <x v="0"/>
  </r>
  <r>
    <n v="13701533418"/>
    <n v="191"/>
    <x v="234"/>
    <s v=""/>
    <x v="7"/>
    <x v="0"/>
  </r>
  <r>
    <n v="18315255931"/>
    <n v="64"/>
    <x v="234"/>
    <s v=""/>
    <x v="7"/>
    <x v="0"/>
  </r>
  <r>
    <n v="86368842256"/>
    <n v="291"/>
    <x v="234"/>
    <s v=""/>
    <x v="7"/>
    <x v="0"/>
  </r>
  <r>
    <n v="86594195503"/>
    <n v="138"/>
    <x v="234"/>
    <d v="2035-01-23T00:00:00"/>
    <x v="7"/>
    <x v="8"/>
  </r>
  <r>
    <n v="85927736864"/>
    <n v="157"/>
    <x v="234"/>
    <s v=""/>
    <x v="7"/>
    <x v="0"/>
  </r>
  <r>
    <n v="81349305965"/>
    <n v="51"/>
    <x v="234"/>
    <m/>
    <x v="7"/>
    <x v="0"/>
  </r>
  <r>
    <n v="54182574923"/>
    <n v="107"/>
    <x v="234"/>
    <s v=""/>
    <x v="7"/>
    <x v="0"/>
  </r>
  <r>
    <n v="48210718213"/>
    <n v="175"/>
    <x v="234"/>
    <s v=""/>
    <x v="7"/>
    <x v="0"/>
  </r>
  <r>
    <n v="56887269020"/>
    <n v="26"/>
    <x v="234"/>
    <s v=""/>
    <x v="7"/>
    <x v="0"/>
  </r>
  <r>
    <n v="99430689014"/>
    <n v="9"/>
    <x v="234"/>
    <m/>
    <x v="7"/>
    <x v="0"/>
  </r>
  <r>
    <n v="56615227919"/>
    <n v="267"/>
    <x v="234"/>
    <s v=""/>
    <x v="7"/>
    <x v="0"/>
  </r>
  <r>
    <n v="46633302913"/>
    <n v="314"/>
    <x v="234"/>
    <s v=""/>
    <x v="7"/>
    <x v="0"/>
  </r>
  <r>
    <n v="71228361117"/>
    <n v="278"/>
    <x v="234"/>
    <m/>
    <x v="7"/>
    <x v="0"/>
  </r>
  <r>
    <n v="78751815781"/>
    <n v="157"/>
    <x v="235"/>
    <s v=""/>
    <x v="7"/>
    <x v="0"/>
  </r>
  <r>
    <n v="77517652937"/>
    <n v="246"/>
    <x v="235"/>
    <s v=""/>
    <x v="7"/>
    <x v="0"/>
  </r>
  <r>
    <n v="76905248824"/>
    <n v="176"/>
    <x v="235"/>
    <s v=""/>
    <x v="7"/>
    <x v="0"/>
  </r>
  <r>
    <n v="95422484658"/>
    <n v="127"/>
    <x v="235"/>
    <m/>
    <x v="7"/>
    <x v="0"/>
  </r>
  <r>
    <n v="82844295835"/>
    <n v="132"/>
    <x v="235"/>
    <s v=""/>
    <x v="7"/>
    <x v="0"/>
  </r>
  <r>
    <n v="23069937676"/>
    <n v="257"/>
    <x v="235"/>
    <s v=""/>
    <x v="7"/>
    <x v="0"/>
  </r>
  <r>
    <n v="87932576043"/>
    <n v="133"/>
    <x v="235"/>
    <s v=""/>
    <x v="7"/>
    <x v="0"/>
  </r>
  <r>
    <n v="31167953463"/>
    <n v="336"/>
    <x v="235"/>
    <s v=""/>
    <x v="7"/>
    <x v="0"/>
  </r>
  <r>
    <n v="77936283147"/>
    <n v="330"/>
    <x v="235"/>
    <s v=""/>
    <x v="7"/>
    <x v="0"/>
  </r>
  <r>
    <n v="88395830324"/>
    <n v="82"/>
    <x v="235"/>
    <s v=""/>
    <x v="7"/>
    <x v="0"/>
  </r>
  <r>
    <n v="29815378984"/>
    <n v="42"/>
    <x v="235"/>
    <s v=""/>
    <x v="7"/>
    <x v="0"/>
  </r>
  <r>
    <n v="18304388389"/>
    <n v="208"/>
    <x v="235"/>
    <s v=""/>
    <x v="7"/>
    <x v="0"/>
  </r>
  <r>
    <n v="30947560525"/>
    <n v="290"/>
    <x v="235"/>
    <m/>
    <x v="7"/>
    <x v="0"/>
  </r>
  <r>
    <n v="31172169840"/>
    <n v="188"/>
    <x v="235"/>
    <s v=""/>
    <x v="7"/>
    <x v="0"/>
  </r>
  <r>
    <n v="14487527377"/>
    <n v="14"/>
    <x v="235"/>
    <s v=""/>
    <x v="7"/>
    <x v="0"/>
  </r>
  <r>
    <n v="16471762368"/>
    <n v="298"/>
    <x v="235"/>
    <s v=""/>
    <x v="7"/>
    <x v="0"/>
  </r>
  <r>
    <n v="70201773234"/>
    <n v="68"/>
    <x v="235"/>
    <s v=""/>
    <x v="7"/>
    <x v="0"/>
  </r>
  <r>
    <n v="23868170373"/>
    <n v="7"/>
    <x v="235"/>
    <s v=""/>
    <x v="7"/>
    <x v="0"/>
  </r>
  <r>
    <n v="89875573969"/>
    <n v="225"/>
    <x v="235"/>
    <s v=""/>
    <x v="7"/>
    <x v="0"/>
  </r>
  <r>
    <n v="72312250883"/>
    <n v="105"/>
    <x v="235"/>
    <s v=""/>
    <x v="7"/>
    <x v="0"/>
  </r>
  <r>
    <n v="43744305219"/>
    <n v="206"/>
    <x v="235"/>
    <s v=""/>
    <x v="7"/>
    <x v="0"/>
  </r>
  <r>
    <n v="56385687133"/>
    <n v="107"/>
    <x v="235"/>
    <m/>
    <x v="7"/>
    <x v="0"/>
  </r>
  <r>
    <n v="87368147155"/>
    <n v="334"/>
    <x v="235"/>
    <s v=""/>
    <x v="7"/>
    <x v="0"/>
  </r>
  <r>
    <n v="13271937750"/>
    <n v="4"/>
    <x v="235"/>
    <s v=""/>
    <x v="7"/>
    <x v="0"/>
  </r>
  <r>
    <n v="48521764937"/>
    <n v="331"/>
    <x v="235"/>
    <s v=""/>
    <x v="7"/>
    <x v="0"/>
  </r>
  <r>
    <n v="49936522136"/>
    <n v="95"/>
    <x v="235"/>
    <s v=""/>
    <x v="7"/>
    <x v="0"/>
  </r>
  <r>
    <n v="88071610990"/>
    <n v="84"/>
    <x v="236"/>
    <s v=""/>
    <x v="7"/>
    <x v="0"/>
  </r>
  <r>
    <n v="35636609257"/>
    <n v="223"/>
    <x v="236"/>
    <s v=""/>
    <x v="7"/>
    <x v="0"/>
  </r>
  <r>
    <n v="37665573312"/>
    <n v="65"/>
    <x v="236"/>
    <s v=""/>
    <x v="7"/>
    <x v="0"/>
  </r>
  <r>
    <n v="39927253405"/>
    <n v="67"/>
    <x v="236"/>
    <s v=""/>
    <x v="7"/>
    <x v="0"/>
  </r>
  <r>
    <n v="12185545149"/>
    <n v="332"/>
    <x v="236"/>
    <s v=""/>
    <x v="7"/>
    <x v="0"/>
  </r>
  <r>
    <n v="38744713646"/>
    <n v="115"/>
    <x v="236"/>
    <d v="2035-02-16T00:00:00"/>
    <x v="7"/>
    <x v="9"/>
  </r>
  <r>
    <n v="70587639627"/>
    <n v="93"/>
    <x v="236"/>
    <m/>
    <x v="7"/>
    <x v="0"/>
  </r>
  <r>
    <n v="81085098492"/>
    <n v="315"/>
    <x v="236"/>
    <m/>
    <x v="7"/>
    <x v="0"/>
  </r>
  <r>
    <n v="55000359054"/>
    <n v="186"/>
    <x v="236"/>
    <m/>
    <x v="7"/>
    <x v="0"/>
  </r>
  <r>
    <n v="82366303691"/>
    <n v="106"/>
    <x v="236"/>
    <s v=""/>
    <x v="7"/>
    <x v="0"/>
  </r>
  <r>
    <n v="46512234080"/>
    <n v="221"/>
    <x v="236"/>
    <s v=""/>
    <x v="7"/>
    <x v="0"/>
  </r>
  <r>
    <n v="65545355786"/>
    <n v="254"/>
    <x v="236"/>
    <m/>
    <x v="7"/>
    <x v="0"/>
  </r>
  <r>
    <n v="47771862596"/>
    <n v="128"/>
    <x v="236"/>
    <s v=""/>
    <x v="7"/>
    <x v="0"/>
  </r>
  <r>
    <n v="78836409509"/>
    <n v="158"/>
    <x v="236"/>
    <s v=""/>
    <x v="7"/>
    <x v="0"/>
  </r>
  <r>
    <n v="65251527231"/>
    <n v="186"/>
    <x v="236"/>
    <s v=""/>
    <x v="7"/>
    <x v="0"/>
  </r>
  <r>
    <n v="42484244376"/>
    <n v="324"/>
    <x v="236"/>
    <d v="2035-02-03T00:00:00"/>
    <x v="7"/>
    <x v="9"/>
  </r>
  <r>
    <n v="79252919590"/>
    <n v="179"/>
    <x v="236"/>
    <s v=""/>
    <x v="7"/>
    <x v="0"/>
  </r>
  <r>
    <n v="67691820499"/>
    <n v="166"/>
    <x v="236"/>
    <m/>
    <x v="7"/>
    <x v="0"/>
  </r>
  <r>
    <n v="24606487747"/>
    <n v="241"/>
    <x v="236"/>
    <s v=""/>
    <x v="7"/>
    <x v="0"/>
  </r>
  <r>
    <n v="57973698134"/>
    <n v="326"/>
    <x v="237"/>
    <s v=""/>
    <x v="7"/>
    <x v="0"/>
  </r>
  <r>
    <n v="38985516325"/>
    <n v="245"/>
    <x v="237"/>
    <s v=""/>
    <x v="7"/>
    <x v="0"/>
  </r>
  <r>
    <n v="80404542023"/>
    <n v="135"/>
    <x v="237"/>
    <s v=""/>
    <x v="7"/>
    <x v="0"/>
  </r>
  <r>
    <n v="77495490734"/>
    <n v="221"/>
    <x v="237"/>
    <s v=""/>
    <x v="7"/>
    <x v="0"/>
  </r>
  <r>
    <n v="94521486117"/>
    <n v="194"/>
    <x v="237"/>
    <s v=""/>
    <x v="7"/>
    <x v="0"/>
  </r>
  <r>
    <n v="67971786453"/>
    <n v="63"/>
    <x v="237"/>
    <m/>
    <x v="7"/>
    <x v="0"/>
  </r>
  <r>
    <n v="76883888154"/>
    <n v="333"/>
    <x v="237"/>
    <s v=""/>
    <x v="7"/>
    <x v="0"/>
  </r>
  <r>
    <n v="12839079263"/>
    <n v="48"/>
    <x v="237"/>
    <s v=""/>
    <x v="7"/>
    <x v="0"/>
  </r>
  <r>
    <n v="67755389538"/>
    <n v="214"/>
    <x v="237"/>
    <s v=""/>
    <x v="7"/>
    <x v="0"/>
  </r>
  <r>
    <n v="69335924676"/>
    <n v="39"/>
    <x v="237"/>
    <s v=""/>
    <x v="7"/>
    <x v="0"/>
  </r>
  <r>
    <n v="92718120824"/>
    <n v="173"/>
    <x v="237"/>
    <s v=""/>
    <x v="7"/>
    <x v="0"/>
  </r>
  <r>
    <n v="77857380535"/>
    <n v="225"/>
    <x v="237"/>
    <s v=""/>
    <x v="7"/>
    <x v="0"/>
  </r>
  <r>
    <n v="87058364618"/>
    <n v="68"/>
    <x v="237"/>
    <s v=""/>
    <x v="7"/>
    <x v="0"/>
  </r>
  <r>
    <n v="78479431415"/>
    <n v="183"/>
    <x v="237"/>
    <s v=""/>
    <x v="7"/>
    <x v="0"/>
  </r>
  <r>
    <n v="74796657167"/>
    <n v="198"/>
    <x v="237"/>
    <s v=""/>
    <x v="7"/>
    <x v="0"/>
  </r>
  <r>
    <n v="55220427205"/>
    <n v="200"/>
    <x v="237"/>
    <s v=""/>
    <x v="7"/>
    <x v="0"/>
  </r>
  <r>
    <n v="76023901791"/>
    <n v="107"/>
    <x v="237"/>
    <s v=""/>
    <x v="7"/>
    <x v="0"/>
  </r>
  <r>
    <n v="65992186436"/>
    <n v="319"/>
    <x v="237"/>
    <s v=""/>
    <x v="7"/>
    <x v="0"/>
  </r>
  <r>
    <n v="77957160771"/>
    <n v="179"/>
    <x v="237"/>
    <s v=""/>
    <x v="7"/>
    <x v="0"/>
  </r>
  <r>
    <n v="36218248809"/>
    <n v="105"/>
    <x v="237"/>
    <s v=""/>
    <x v="7"/>
    <x v="0"/>
  </r>
  <r>
    <n v="21203661739"/>
    <n v="226"/>
    <x v="237"/>
    <m/>
    <x v="7"/>
    <x v="0"/>
  </r>
  <r>
    <n v="53917164202"/>
    <n v="72"/>
    <x v="237"/>
    <s v=""/>
    <x v="7"/>
    <x v="0"/>
  </r>
  <r>
    <n v="62476235224"/>
    <n v="72"/>
    <x v="237"/>
    <s v=""/>
    <x v="7"/>
    <x v="0"/>
  </r>
  <r>
    <n v="61380541824"/>
    <n v="258"/>
    <x v="237"/>
    <s v=""/>
    <x v="7"/>
    <x v="0"/>
  </r>
  <r>
    <n v="54889318301"/>
    <n v="152"/>
    <x v="237"/>
    <s v=""/>
    <x v="7"/>
    <x v="0"/>
  </r>
  <r>
    <n v="16759434809"/>
    <n v="292"/>
    <x v="237"/>
    <s v=""/>
    <x v="7"/>
    <x v="0"/>
  </r>
  <r>
    <n v="92102907722"/>
    <n v="270"/>
    <x v="237"/>
    <s v=""/>
    <x v="7"/>
    <x v="0"/>
  </r>
  <r>
    <n v="51809906087"/>
    <n v="197"/>
    <x v="237"/>
    <d v="2035-01-30T00:00:00"/>
    <x v="7"/>
    <x v="8"/>
  </r>
  <r>
    <n v="28521681782"/>
    <n v="65"/>
    <x v="238"/>
    <s v=""/>
    <x v="7"/>
    <x v="0"/>
  </r>
  <r>
    <n v="13134676717"/>
    <n v="30"/>
    <x v="238"/>
    <m/>
    <x v="7"/>
    <x v="0"/>
  </r>
  <r>
    <n v="33712816063"/>
    <n v="310"/>
    <x v="238"/>
    <s v=""/>
    <x v="7"/>
    <x v="0"/>
  </r>
  <r>
    <n v="99263861732"/>
    <n v="75"/>
    <x v="238"/>
    <s v=""/>
    <x v="7"/>
    <x v="0"/>
  </r>
  <r>
    <n v="18947255372"/>
    <n v="319"/>
    <x v="238"/>
    <m/>
    <x v="7"/>
    <x v="0"/>
  </r>
  <r>
    <n v="22232756641"/>
    <n v="308"/>
    <x v="238"/>
    <s v=""/>
    <x v="7"/>
    <x v="0"/>
  </r>
  <r>
    <n v="49352603484"/>
    <n v="127"/>
    <x v="238"/>
    <d v="2035-02-08T00:00:00"/>
    <x v="7"/>
    <x v="9"/>
  </r>
  <r>
    <n v="38234757674"/>
    <n v="226"/>
    <x v="238"/>
    <s v=""/>
    <x v="7"/>
    <x v="0"/>
  </r>
  <r>
    <n v="46603527046"/>
    <n v="210"/>
    <x v="238"/>
    <s v=""/>
    <x v="7"/>
    <x v="0"/>
  </r>
  <r>
    <n v="62619949337"/>
    <n v="157"/>
    <x v="238"/>
    <s v=""/>
    <x v="7"/>
    <x v="0"/>
  </r>
  <r>
    <n v="51310642433"/>
    <n v="67"/>
    <x v="238"/>
    <s v=""/>
    <x v="7"/>
    <x v="0"/>
  </r>
  <r>
    <n v="80156800410"/>
    <n v="130"/>
    <x v="238"/>
    <d v="2035-02-02T00:00:00"/>
    <x v="7"/>
    <x v="9"/>
  </r>
  <r>
    <n v="11339200243"/>
    <n v="84"/>
    <x v="238"/>
    <s v=""/>
    <x v="7"/>
    <x v="0"/>
  </r>
  <r>
    <n v="92943063953"/>
    <n v="14"/>
    <x v="238"/>
    <s v=""/>
    <x v="7"/>
    <x v="0"/>
  </r>
  <r>
    <n v="17704135294"/>
    <n v="91"/>
    <x v="238"/>
    <m/>
    <x v="7"/>
    <x v="0"/>
  </r>
  <r>
    <n v="80600932962"/>
    <n v="114"/>
    <x v="238"/>
    <s v=""/>
    <x v="7"/>
    <x v="0"/>
  </r>
  <r>
    <n v="86392533966"/>
    <n v="127"/>
    <x v="238"/>
    <d v="2035-02-25T00:00:00"/>
    <x v="7"/>
    <x v="9"/>
  </r>
  <r>
    <n v="76124438212"/>
    <n v="177"/>
    <x v="238"/>
    <s v=""/>
    <x v="7"/>
    <x v="0"/>
  </r>
  <r>
    <n v="36603031463"/>
    <n v="16"/>
    <x v="238"/>
    <m/>
    <x v="7"/>
    <x v="0"/>
  </r>
  <r>
    <n v="69457448149"/>
    <n v="245"/>
    <x v="238"/>
    <s v=""/>
    <x v="7"/>
    <x v="0"/>
  </r>
  <r>
    <n v="31117028599"/>
    <n v="48"/>
    <x v="238"/>
    <m/>
    <x v="7"/>
    <x v="0"/>
  </r>
  <r>
    <n v="26531992797"/>
    <n v="47"/>
    <x v="238"/>
    <s v=""/>
    <x v="7"/>
    <x v="0"/>
  </r>
  <r>
    <n v="16146120154"/>
    <n v="249"/>
    <x v="238"/>
    <s v=""/>
    <x v="7"/>
    <x v="0"/>
  </r>
  <r>
    <n v="84862334118"/>
    <n v="243"/>
    <x v="238"/>
    <s v=""/>
    <x v="7"/>
    <x v="0"/>
  </r>
  <r>
    <n v="95481038690"/>
    <n v="224"/>
    <x v="238"/>
    <m/>
    <x v="7"/>
    <x v="0"/>
  </r>
  <r>
    <n v="94535830584"/>
    <n v="286"/>
    <x v="238"/>
    <s v=""/>
    <x v="7"/>
    <x v="0"/>
  </r>
  <r>
    <n v="95340134885"/>
    <n v="104"/>
    <x v="238"/>
    <s v=""/>
    <x v="7"/>
    <x v="0"/>
  </r>
  <r>
    <n v="66527594253"/>
    <n v="12"/>
    <x v="238"/>
    <s v=""/>
    <x v="7"/>
    <x v="0"/>
  </r>
  <r>
    <n v="85033413798"/>
    <n v="199"/>
    <x v="238"/>
    <s v=""/>
    <x v="7"/>
    <x v="0"/>
  </r>
  <r>
    <n v="26998353648"/>
    <n v="327"/>
    <x v="238"/>
    <d v="2035-02-02T00:00:00"/>
    <x v="7"/>
    <x v="9"/>
  </r>
  <r>
    <n v="63315293745"/>
    <n v="121"/>
    <x v="238"/>
    <s v=""/>
    <x v="7"/>
    <x v="0"/>
  </r>
  <r>
    <n v="98593474774"/>
    <n v="236"/>
    <x v="238"/>
    <s v=""/>
    <x v="7"/>
    <x v="0"/>
  </r>
  <r>
    <n v="27872565755"/>
    <n v="165"/>
    <x v="238"/>
    <s v=""/>
    <x v="7"/>
    <x v="0"/>
  </r>
  <r>
    <n v="14536029993"/>
    <n v="237"/>
    <x v="239"/>
    <s v=""/>
    <x v="7"/>
    <x v="0"/>
  </r>
  <r>
    <n v="68553708859"/>
    <n v="201"/>
    <x v="239"/>
    <s v=""/>
    <x v="7"/>
    <x v="0"/>
  </r>
  <r>
    <n v="87366970987"/>
    <n v="17"/>
    <x v="239"/>
    <s v=""/>
    <x v="7"/>
    <x v="0"/>
  </r>
  <r>
    <n v="92962625111"/>
    <n v="226"/>
    <x v="239"/>
    <m/>
    <x v="7"/>
    <x v="0"/>
  </r>
  <r>
    <n v="97989126023"/>
    <n v="297"/>
    <x v="239"/>
    <s v=""/>
    <x v="7"/>
    <x v="0"/>
  </r>
  <r>
    <n v="31913265866"/>
    <n v="33"/>
    <x v="239"/>
    <s v=""/>
    <x v="7"/>
    <x v="0"/>
  </r>
  <r>
    <n v="54912296755"/>
    <n v="29"/>
    <x v="239"/>
    <s v=""/>
    <x v="7"/>
    <x v="0"/>
  </r>
  <r>
    <n v="81827490309"/>
    <n v="298"/>
    <x v="239"/>
    <s v=""/>
    <x v="7"/>
    <x v="0"/>
  </r>
  <r>
    <n v="76912419755"/>
    <n v="240"/>
    <x v="239"/>
    <s v=""/>
    <x v="7"/>
    <x v="0"/>
  </r>
  <r>
    <n v="66092650003"/>
    <n v="180"/>
    <x v="239"/>
    <s v=""/>
    <x v="7"/>
    <x v="0"/>
  </r>
  <r>
    <n v="37018776758"/>
    <n v="75"/>
    <x v="239"/>
    <s v=""/>
    <x v="7"/>
    <x v="0"/>
  </r>
  <r>
    <n v="24578304910"/>
    <n v="106"/>
    <x v="239"/>
    <s v=""/>
    <x v="7"/>
    <x v="0"/>
  </r>
  <r>
    <n v="76819387984"/>
    <n v="44"/>
    <x v="239"/>
    <s v=""/>
    <x v="7"/>
    <x v="0"/>
  </r>
  <r>
    <n v="58073174289"/>
    <n v="311"/>
    <x v="239"/>
    <s v=""/>
    <x v="7"/>
    <x v="0"/>
  </r>
  <r>
    <n v="32491024423"/>
    <n v="330"/>
    <x v="239"/>
    <s v=""/>
    <x v="7"/>
    <x v="0"/>
  </r>
  <r>
    <n v="77639821576"/>
    <n v="239"/>
    <x v="239"/>
    <s v=""/>
    <x v="7"/>
    <x v="0"/>
  </r>
  <r>
    <n v="57437445399"/>
    <n v="309"/>
    <x v="239"/>
    <s v=""/>
    <x v="7"/>
    <x v="0"/>
  </r>
  <r>
    <n v="19760820790"/>
    <n v="207"/>
    <x v="239"/>
    <s v=""/>
    <x v="7"/>
    <x v="0"/>
  </r>
  <r>
    <n v="23155564906"/>
    <n v="284"/>
    <x v="239"/>
    <s v=""/>
    <x v="7"/>
    <x v="0"/>
  </r>
  <r>
    <n v="48470928039"/>
    <n v="286"/>
    <x v="239"/>
    <s v=""/>
    <x v="7"/>
    <x v="0"/>
  </r>
  <r>
    <n v="62951378064"/>
    <n v="317"/>
    <x v="239"/>
    <s v=""/>
    <x v="7"/>
    <x v="0"/>
  </r>
  <r>
    <n v="93433682050"/>
    <n v="316"/>
    <x v="239"/>
    <m/>
    <x v="7"/>
    <x v="0"/>
  </r>
  <r>
    <n v="33332601805"/>
    <n v="95"/>
    <x v="239"/>
    <s v=""/>
    <x v="7"/>
    <x v="0"/>
  </r>
  <r>
    <n v="30490358224"/>
    <n v="257"/>
    <x v="239"/>
    <m/>
    <x v="7"/>
    <x v="0"/>
  </r>
  <r>
    <n v="16396456278"/>
    <n v="205"/>
    <x v="239"/>
    <s v=""/>
    <x v="7"/>
    <x v="0"/>
  </r>
  <r>
    <n v="70620430036"/>
    <n v="166"/>
    <x v="239"/>
    <s v=""/>
    <x v="7"/>
    <x v="0"/>
  </r>
  <r>
    <n v="64840117812"/>
    <n v="106"/>
    <x v="239"/>
    <s v=""/>
    <x v="7"/>
    <x v="0"/>
  </r>
  <r>
    <n v="60615165152"/>
    <n v="109"/>
    <x v="240"/>
    <s v=""/>
    <x v="7"/>
    <x v="0"/>
  </r>
  <r>
    <n v="16416794119"/>
    <n v="78"/>
    <x v="240"/>
    <m/>
    <x v="7"/>
    <x v="0"/>
  </r>
  <r>
    <n v="16630440440"/>
    <n v="146"/>
    <x v="240"/>
    <s v=""/>
    <x v="7"/>
    <x v="0"/>
  </r>
  <r>
    <n v="39754421918"/>
    <n v="129"/>
    <x v="240"/>
    <s v=""/>
    <x v="7"/>
    <x v="0"/>
  </r>
  <r>
    <n v="13482538505"/>
    <n v="186"/>
    <x v="240"/>
    <s v=""/>
    <x v="7"/>
    <x v="0"/>
  </r>
  <r>
    <n v="42106654415"/>
    <n v="59"/>
    <x v="240"/>
    <s v=""/>
    <x v="7"/>
    <x v="0"/>
  </r>
  <r>
    <n v="51174909054"/>
    <n v="178"/>
    <x v="240"/>
    <d v="2035-02-08T00:00:00"/>
    <x v="7"/>
    <x v="9"/>
  </r>
  <r>
    <n v="42292023160"/>
    <n v="227"/>
    <x v="240"/>
    <s v=""/>
    <x v="7"/>
    <x v="0"/>
  </r>
  <r>
    <n v="55212567625"/>
    <n v="84"/>
    <x v="240"/>
    <s v=""/>
    <x v="7"/>
    <x v="0"/>
  </r>
  <r>
    <n v="45524223131"/>
    <n v="21"/>
    <x v="240"/>
    <s v=""/>
    <x v="7"/>
    <x v="0"/>
  </r>
  <r>
    <n v="66626160718"/>
    <n v="110"/>
    <x v="240"/>
    <s v=""/>
    <x v="7"/>
    <x v="0"/>
  </r>
  <r>
    <n v="93659116707"/>
    <n v="176"/>
    <x v="240"/>
    <s v=""/>
    <x v="7"/>
    <x v="0"/>
  </r>
  <r>
    <n v="19373005745"/>
    <n v="139"/>
    <x v="240"/>
    <s v=""/>
    <x v="7"/>
    <x v="0"/>
  </r>
  <r>
    <n v="58807641560"/>
    <n v="266"/>
    <x v="240"/>
    <s v=""/>
    <x v="7"/>
    <x v="0"/>
  </r>
  <r>
    <n v="66173795901"/>
    <n v="316"/>
    <x v="240"/>
    <m/>
    <x v="7"/>
    <x v="0"/>
  </r>
  <r>
    <n v="51953866215"/>
    <n v="254"/>
    <x v="240"/>
    <s v=""/>
    <x v="7"/>
    <x v="0"/>
  </r>
  <r>
    <n v="89397654946"/>
    <n v="213"/>
    <x v="240"/>
    <m/>
    <x v="7"/>
    <x v="0"/>
  </r>
  <r>
    <n v="49392645289"/>
    <n v="109"/>
    <x v="240"/>
    <s v=""/>
    <x v="7"/>
    <x v="0"/>
  </r>
  <r>
    <n v="11258157034"/>
    <n v="104"/>
    <x v="240"/>
    <s v=""/>
    <x v="7"/>
    <x v="0"/>
  </r>
  <r>
    <n v="54713060273"/>
    <n v="115"/>
    <x v="240"/>
    <s v=""/>
    <x v="7"/>
    <x v="0"/>
  </r>
  <r>
    <n v="59725234342"/>
    <n v="111"/>
    <x v="240"/>
    <s v=""/>
    <x v="7"/>
    <x v="0"/>
  </r>
  <r>
    <n v="65070133117"/>
    <n v="191"/>
    <x v="240"/>
    <s v=""/>
    <x v="7"/>
    <x v="0"/>
  </r>
  <r>
    <n v="60552724442"/>
    <n v="156"/>
    <x v="240"/>
    <s v=""/>
    <x v="7"/>
    <x v="0"/>
  </r>
  <r>
    <n v="93255182507"/>
    <n v="202"/>
    <x v="240"/>
    <s v=""/>
    <x v="7"/>
    <x v="0"/>
  </r>
  <r>
    <n v="45385912612"/>
    <n v="283"/>
    <x v="240"/>
    <s v=""/>
    <x v="7"/>
    <x v="0"/>
  </r>
  <r>
    <n v="84387188899"/>
    <n v="232"/>
    <x v="240"/>
    <s v=""/>
    <x v="7"/>
    <x v="0"/>
  </r>
  <r>
    <n v="12637189303"/>
    <n v="76"/>
    <x v="241"/>
    <s v=""/>
    <x v="7"/>
    <x v="0"/>
  </r>
  <r>
    <n v="30346016756"/>
    <n v="218"/>
    <x v="241"/>
    <s v=""/>
    <x v="7"/>
    <x v="0"/>
  </r>
  <r>
    <n v="91118387343"/>
    <n v="215"/>
    <x v="241"/>
    <s v=""/>
    <x v="7"/>
    <x v="0"/>
  </r>
  <r>
    <n v="50740227179"/>
    <n v="143"/>
    <x v="241"/>
    <m/>
    <x v="7"/>
    <x v="0"/>
  </r>
  <r>
    <n v="26133362490"/>
    <n v="277"/>
    <x v="241"/>
    <m/>
    <x v="7"/>
    <x v="0"/>
  </r>
  <r>
    <n v="80324130495"/>
    <n v="156"/>
    <x v="241"/>
    <s v=""/>
    <x v="7"/>
    <x v="0"/>
  </r>
  <r>
    <n v="61413574579"/>
    <n v="290"/>
    <x v="241"/>
    <d v="2035-02-20T00:00:00"/>
    <x v="7"/>
    <x v="9"/>
  </r>
  <r>
    <n v="66176048461"/>
    <n v="340"/>
    <x v="241"/>
    <s v=""/>
    <x v="7"/>
    <x v="0"/>
  </r>
  <r>
    <n v="82749830229"/>
    <n v="231"/>
    <x v="241"/>
    <s v=""/>
    <x v="7"/>
    <x v="0"/>
  </r>
  <r>
    <n v="79958740626"/>
    <n v="51"/>
    <x v="241"/>
    <s v=""/>
    <x v="7"/>
    <x v="0"/>
  </r>
  <r>
    <n v="95494162547"/>
    <n v="47"/>
    <x v="241"/>
    <m/>
    <x v="7"/>
    <x v="0"/>
  </r>
  <r>
    <n v="82047827139"/>
    <n v="147"/>
    <x v="241"/>
    <m/>
    <x v="7"/>
    <x v="0"/>
  </r>
  <r>
    <n v="69850091569"/>
    <n v="339"/>
    <x v="241"/>
    <s v=""/>
    <x v="7"/>
    <x v="0"/>
  </r>
  <r>
    <n v="31418345881"/>
    <n v="3"/>
    <x v="241"/>
    <s v=""/>
    <x v="7"/>
    <x v="0"/>
  </r>
  <r>
    <n v="51650490221"/>
    <n v="57"/>
    <x v="241"/>
    <s v=""/>
    <x v="7"/>
    <x v="0"/>
  </r>
  <r>
    <n v="52524089490"/>
    <n v="59"/>
    <x v="241"/>
    <s v=""/>
    <x v="7"/>
    <x v="0"/>
  </r>
  <r>
    <n v="54236705843"/>
    <n v="90"/>
    <x v="241"/>
    <s v=""/>
    <x v="7"/>
    <x v="0"/>
  </r>
  <r>
    <n v="56119254692"/>
    <n v="46"/>
    <x v="241"/>
    <s v=""/>
    <x v="7"/>
    <x v="0"/>
  </r>
  <r>
    <n v="51532988936"/>
    <n v="74"/>
    <x v="241"/>
    <s v=""/>
    <x v="7"/>
    <x v="0"/>
  </r>
  <r>
    <n v="19898135107"/>
    <n v="235"/>
    <x v="241"/>
    <s v=""/>
    <x v="7"/>
    <x v="0"/>
  </r>
  <r>
    <n v="87276780804"/>
    <n v="226"/>
    <x v="241"/>
    <s v=""/>
    <x v="7"/>
    <x v="0"/>
  </r>
  <r>
    <n v="69193174152"/>
    <n v="182"/>
    <x v="241"/>
    <s v=""/>
    <x v="7"/>
    <x v="0"/>
  </r>
  <r>
    <n v="76176931351"/>
    <n v="120"/>
    <x v="242"/>
    <s v=""/>
    <x v="7"/>
    <x v="0"/>
  </r>
  <r>
    <n v="18891839484"/>
    <n v="25"/>
    <x v="242"/>
    <m/>
    <x v="7"/>
    <x v="0"/>
  </r>
  <r>
    <n v="47724528943"/>
    <n v="199"/>
    <x v="242"/>
    <s v=""/>
    <x v="7"/>
    <x v="0"/>
  </r>
  <r>
    <n v="97737041557"/>
    <n v="214"/>
    <x v="242"/>
    <s v=""/>
    <x v="7"/>
    <x v="0"/>
  </r>
  <r>
    <n v="45512372244"/>
    <n v="322"/>
    <x v="242"/>
    <s v=""/>
    <x v="7"/>
    <x v="0"/>
  </r>
  <r>
    <n v="87477854423"/>
    <n v="134"/>
    <x v="242"/>
    <d v="2035-02-14T00:00:00"/>
    <x v="7"/>
    <x v="9"/>
  </r>
  <r>
    <n v="83765531837"/>
    <n v="278"/>
    <x v="242"/>
    <d v="2035-02-16T00:00:00"/>
    <x v="7"/>
    <x v="9"/>
  </r>
  <r>
    <n v="66850018462"/>
    <n v="185"/>
    <x v="242"/>
    <s v=""/>
    <x v="7"/>
    <x v="0"/>
  </r>
  <r>
    <n v="17465421659"/>
    <n v="217"/>
    <x v="242"/>
    <d v="2035-02-23T00:00:00"/>
    <x v="7"/>
    <x v="9"/>
  </r>
  <r>
    <n v="34006972816"/>
    <n v="91"/>
    <x v="242"/>
    <s v=""/>
    <x v="7"/>
    <x v="0"/>
  </r>
  <r>
    <n v="25203848674"/>
    <n v="67"/>
    <x v="242"/>
    <s v=""/>
    <x v="7"/>
    <x v="0"/>
  </r>
  <r>
    <n v="22474371823"/>
    <n v="48"/>
    <x v="242"/>
    <s v=""/>
    <x v="7"/>
    <x v="0"/>
  </r>
  <r>
    <n v="80277139381"/>
    <n v="147"/>
    <x v="242"/>
    <d v="2035-02-21T00:00:00"/>
    <x v="7"/>
    <x v="9"/>
  </r>
  <r>
    <n v="58330949185"/>
    <n v="192"/>
    <x v="242"/>
    <s v=""/>
    <x v="7"/>
    <x v="0"/>
  </r>
  <r>
    <n v="93956297896"/>
    <n v="207"/>
    <x v="242"/>
    <s v=""/>
    <x v="7"/>
    <x v="0"/>
  </r>
  <r>
    <n v="46813714338"/>
    <n v="60"/>
    <x v="242"/>
    <m/>
    <x v="7"/>
    <x v="0"/>
  </r>
  <r>
    <n v="40451579588"/>
    <n v="310"/>
    <x v="242"/>
    <s v=""/>
    <x v="7"/>
    <x v="0"/>
  </r>
  <r>
    <n v="50729944925"/>
    <n v="57"/>
    <x v="242"/>
    <s v=""/>
    <x v="7"/>
    <x v="0"/>
  </r>
  <r>
    <n v="32014405973"/>
    <n v="106"/>
    <x v="242"/>
    <s v=""/>
    <x v="7"/>
    <x v="0"/>
  </r>
  <r>
    <n v="69255992754"/>
    <n v="8"/>
    <x v="242"/>
    <m/>
    <x v="7"/>
    <x v="0"/>
  </r>
  <r>
    <n v="36514347083"/>
    <n v="272"/>
    <x v="242"/>
    <s v=""/>
    <x v="7"/>
    <x v="0"/>
  </r>
  <r>
    <n v="60143043996"/>
    <n v="124"/>
    <x v="242"/>
    <s v=""/>
    <x v="7"/>
    <x v="0"/>
  </r>
  <r>
    <n v="57051659467"/>
    <n v="334"/>
    <x v="242"/>
    <s v=""/>
    <x v="7"/>
    <x v="0"/>
  </r>
  <r>
    <n v="95454829176"/>
    <n v="215"/>
    <x v="242"/>
    <s v=""/>
    <x v="7"/>
    <x v="0"/>
  </r>
  <r>
    <n v="53240309565"/>
    <n v="1"/>
    <x v="242"/>
    <s v=""/>
    <x v="7"/>
    <x v="0"/>
  </r>
  <r>
    <n v="40386055528"/>
    <n v="248"/>
    <x v="242"/>
    <m/>
    <x v="7"/>
    <x v="0"/>
  </r>
  <r>
    <n v="27088222050"/>
    <n v="316"/>
    <x v="242"/>
    <m/>
    <x v="7"/>
    <x v="0"/>
  </r>
  <r>
    <n v="30229834226"/>
    <n v="90"/>
    <x v="243"/>
    <s v=""/>
    <x v="7"/>
    <x v="0"/>
  </r>
  <r>
    <n v="68398605170"/>
    <n v="9"/>
    <x v="243"/>
    <s v=""/>
    <x v="7"/>
    <x v="0"/>
  </r>
  <r>
    <n v="51845754022"/>
    <n v="201"/>
    <x v="243"/>
    <d v="2035-02-05T00:00:00"/>
    <x v="7"/>
    <x v="9"/>
  </r>
  <r>
    <n v="90587615735"/>
    <n v="148"/>
    <x v="243"/>
    <s v=""/>
    <x v="7"/>
    <x v="0"/>
  </r>
  <r>
    <n v="22548081097"/>
    <n v="307"/>
    <x v="243"/>
    <d v="2035-02-24T00:00:00"/>
    <x v="7"/>
    <x v="9"/>
  </r>
  <r>
    <n v="38936120982"/>
    <n v="121"/>
    <x v="243"/>
    <s v=""/>
    <x v="7"/>
    <x v="0"/>
  </r>
  <r>
    <n v="32096508707"/>
    <n v="289"/>
    <x v="243"/>
    <s v=""/>
    <x v="7"/>
    <x v="0"/>
  </r>
  <r>
    <n v="75003954674"/>
    <n v="111"/>
    <x v="243"/>
    <s v=""/>
    <x v="7"/>
    <x v="0"/>
  </r>
  <r>
    <n v="66938030220"/>
    <n v="238"/>
    <x v="243"/>
    <s v=""/>
    <x v="7"/>
    <x v="0"/>
  </r>
  <r>
    <n v="32375721132"/>
    <n v="250"/>
    <x v="243"/>
    <s v=""/>
    <x v="7"/>
    <x v="0"/>
  </r>
  <r>
    <n v="35391061307"/>
    <n v="232"/>
    <x v="243"/>
    <s v=""/>
    <x v="7"/>
    <x v="0"/>
  </r>
  <r>
    <n v="27815647582"/>
    <n v="101"/>
    <x v="243"/>
    <s v=""/>
    <x v="7"/>
    <x v="0"/>
  </r>
  <r>
    <n v="40322729885"/>
    <n v="132"/>
    <x v="243"/>
    <d v="2035-02-16T00:00:00"/>
    <x v="7"/>
    <x v="9"/>
  </r>
  <r>
    <n v="64594879599"/>
    <n v="48"/>
    <x v="243"/>
    <m/>
    <x v="7"/>
    <x v="0"/>
  </r>
  <r>
    <n v="98833522360"/>
    <n v="132"/>
    <x v="243"/>
    <s v=""/>
    <x v="7"/>
    <x v="0"/>
  </r>
  <r>
    <n v="89168296853"/>
    <n v="292"/>
    <x v="243"/>
    <s v=""/>
    <x v="7"/>
    <x v="0"/>
  </r>
  <r>
    <n v="52183974020"/>
    <n v="200"/>
    <x v="243"/>
    <s v=""/>
    <x v="7"/>
    <x v="0"/>
  </r>
  <r>
    <n v="16073943944"/>
    <n v="37"/>
    <x v="243"/>
    <s v=""/>
    <x v="7"/>
    <x v="0"/>
  </r>
  <r>
    <n v="34085258293"/>
    <n v="31"/>
    <x v="243"/>
    <s v=""/>
    <x v="7"/>
    <x v="0"/>
  </r>
  <r>
    <n v="45709320556"/>
    <n v="155"/>
    <x v="243"/>
    <s v=""/>
    <x v="7"/>
    <x v="0"/>
  </r>
  <r>
    <n v="50350186880"/>
    <n v="286"/>
    <x v="243"/>
    <d v="2035-02-14T00:00:00"/>
    <x v="7"/>
    <x v="9"/>
  </r>
  <r>
    <n v="78407697041"/>
    <n v="167"/>
    <x v="243"/>
    <s v=""/>
    <x v="7"/>
    <x v="0"/>
  </r>
  <r>
    <n v="21312861808"/>
    <n v="98"/>
    <x v="243"/>
    <s v=""/>
    <x v="7"/>
    <x v="0"/>
  </r>
  <r>
    <n v="50319538088"/>
    <n v="151"/>
    <x v="243"/>
    <m/>
    <x v="7"/>
    <x v="0"/>
  </r>
  <r>
    <n v="83690615399"/>
    <n v="74"/>
    <x v="243"/>
    <s v=""/>
    <x v="7"/>
    <x v="0"/>
  </r>
  <r>
    <n v="88494368240"/>
    <n v="319"/>
    <x v="243"/>
    <s v=""/>
    <x v="7"/>
    <x v="0"/>
  </r>
  <r>
    <n v="62003613315"/>
    <n v="266"/>
    <x v="244"/>
    <s v=""/>
    <x v="7"/>
    <x v="0"/>
  </r>
  <r>
    <n v="24972913061"/>
    <n v="231"/>
    <x v="244"/>
    <s v=""/>
    <x v="7"/>
    <x v="0"/>
  </r>
  <r>
    <n v="16498747593"/>
    <n v="24"/>
    <x v="244"/>
    <m/>
    <x v="7"/>
    <x v="0"/>
  </r>
  <r>
    <n v="14386625958"/>
    <n v="15"/>
    <x v="244"/>
    <d v="2035-02-13T00:00:00"/>
    <x v="7"/>
    <x v="9"/>
  </r>
  <r>
    <n v="99433789617"/>
    <n v="126"/>
    <x v="244"/>
    <s v=""/>
    <x v="7"/>
    <x v="0"/>
  </r>
  <r>
    <n v="72621862023"/>
    <n v="231"/>
    <x v="244"/>
    <s v=""/>
    <x v="7"/>
    <x v="0"/>
  </r>
  <r>
    <n v="17788850756"/>
    <n v="154"/>
    <x v="244"/>
    <m/>
    <x v="7"/>
    <x v="0"/>
  </r>
  <r>
    <n v="92283404171"/>
    <n v="96"/>
    <x v="244"/>
    <d v="2035-02-04T00:00:00"/>
    <x v="7"/>
    <x v="9"/>
  </r>
  <r>
    <n v="93074953957"/>
    <n v="138"/>
    <x v="244"/>
    <s v=""/>
    <x v="7"/>
    <x v="0"/>
  </r>
  <r>
    <n v="44674602764"/>
    <n v="63"/>
    <x v="244"/>
    <d v="2035-02-26T00:00:00"/>
    <x v="7"/>
    <x v="9"/>
  </r>
  <r>
    <n v="97953543559"/>
    <n v="128"/>
    <x v="244"/>
    <s v=""/>
    <x v="7"/>
    <x v="0"/>
  </r>
  <r>
    <n v="61190594110"/>
    <n v="228"/>
    <x v="244"/>
    <s v=""/>
    <x v="7"/>
    <x v="0"/>
  </r>
  <r>
    <n v="12876986724"/>
    <n v="268"/>
    <x v="244"/>
    <s v=""/>
    <x v="7"/>
    <x v="0"/>
  </r>
  <r>
    <n v="60773629463"/>
    <n v="184"/>
    <x v="244"/>
    <s v=""/>
    <x v="7"/>
    <x v="0"/>
  </r>
  <r>
    <n v="87335387339"/>
    <n v="174"/>
    <x v="244"/>
    <s v=""/>
    <x v="7"/>
    <x v="0"/>
  </r>
  <r>
    <n v="13206708906"/>
    <n v="252"/>
    <x v="244"/>
    <s v=""/>
    <x v="7"/>
    <x v="0"/>
  </r>
  <r>
    <n v="17684932280"/>
    <n v="68"/>
    <x v="244"/>
    <s v=""/>
    <x v="7"/>
    <x v="0"/>
  </r>
  <r>
    <n v="63971971685"/>
    <n v="312"/>
    <x v="244"/>
    <s v=""/>
    <x v="7"/>
    <x v="0"/>
  </r>
  <r>
    <n v="61693197066"/>
    <n v="211"/>
    <x v="244"/>
    <m/>
    <x v="7"/>
    <x v="0"/>
  </r>
  <r>
    <n v="92428257047"/>
    <n v="78"/>
    <x v="244"/>
    <s v=""/>
    <x v="7"/>
    <x v="0"/>
  </r>
  <r>
    <n v="20811056972"/>
    <n v="173"/>
    <x v="244"/>
    <m/>
    <x v="7"/>
    <x v="0"/>
  </r>
  <r>
    <n v="26020298425"/>
    <n v="300"/>
    <x v="244"/>
    <s v=""/>
    <x v="7"/>
    <x v="0"/>
  </r>
  <r>
    <n v="46826559783"/>
    <n v="222"/>
    <x v="245"/>
    <m/>
    <x v="8"/>
    <x v="0"/>
  </r>
  <r>
    <n v="67027268047"/>
    <n v="120"/>
    <x v="245"/>
    <m/>
    <x v="8"/>
    <x v="0"/>
  </r>
  <r>
    <n v="91531837122"/>
    <n v="196"/>
    <x v="245"/>
    <s v=""/>
    <x v="8"/>
    <x v="0"/>
  </r>
  <r>
    <n v="58220797895"/>
    <n v="307"/>
    <x v="245"/>
    <s v=""/>
    <x v="8"/>
    <x v="0"/>
  </r>
  <r>
    <n v="81288150258"/>
    <n v="21"/>
    <x v="245"/>
    <m/>
    <x v="8"/>
    <x v="0"/>
  </r>
  <r>
    <n v="35477567984"/>
    <n v="166"/>
    <x v="245"/>
    <s v=""/>
    <x v="8"/>
    <x v="0"/>
  </r>
  <r>
    <n v="53704124999"/>
    <n v="287"/>
    <x v="245"/>
    <s v=""/>
    <x v="8"/>
    <x v="0"/>
  </r>
  <r>
    <n v="37151411428"/>
    <n v="30"/>
    <x v="245"/>
    <d v="2035-02-25T00:00:00"/>
    <x v="8"/>
    <x v="9"/>
  </r>
  <r>
    <n v="45831267915"/>
    <n v="171"/>
    <x v="245"/>
    <m/>
    <x v="8"/>
    <x v="0"/>
  </r>
  <r>
    <n v="67348652085"/>
    <n v="140"/>
    <x v="245"/>
    <s v=""/>
    <x v="8"/>
    <x v="0"/>
  </r>
  <r>
    <n v="65887254150"/>
    <n v="144"/>
    <x v="245"/>
    <s v=""/>
    <x v="8"/>
    <x v="0"/>
  </r>
  <r>
    <n v="37530687254"/>
    <n v="246"/>
    <x v="245"/>
    <d v="2035-02-18T00:00:00"/>
    <x v="8"/>
    <x v="9"/>
  </r>
  <r>
    <n v="79391054292"/>
    <n v="155"/>
    <x v="245"/>
    <s v=""/>
    <x v="8"/>
    <x v="0"/>
  </r>
  <r>
    <n v="64185844294"/>
    <n v="231"/>
    <x v="245"/>
    <s v=""/>
    <x v="8"/>
    <x v="0"/>
  </r>
  <r>
    <n v="82318449911"/>
    <n v="286"/>
    <x v="245"/>
    <s v=""/>
    <x v="8"/>
    <x v="0"/>
  </r>
  <r>
    <n v="86545411132"/>
    <n v="275"/>
    <x v="245"/>
    <s v=""/>
    <x v="8"/>
    <x v="0"/>
  </r>
  <r>
    <n v="67380321749"/>
    <n v="141"/>
    <x v="245"/>
    <m/>
    <x v="8"/>
    <x v="0"/>
  </r>
  <r>
    <n v="23450439927"/>
    <n v="205"/>
    <x v="245"/>
    <s v=""/>
    <x v="8"/>
    <x v="0"/>
  </r>
  <r>
    <n v="97983610866"/>
    <n v="155"/>
    <x v="245"/>
    <d v="2035-02-15T00:00:00"/>
    <x v="8"/>
    <x v="9"/>
  </r>
  <r>
    <n v="75498811916"/>
    <n v="199"/>
    <x v="245"/>
    <s v=""/>
    <x v="8"/>
    <x v="0"/>
  </r>
  <r>
    <n v="22103457500"/>
    <n v="89"/>
    <x v="245"/>
    <s v=""/>
    <x v="8"/>
    <x v="0"/>
  </r>
  <r>
    <n v="61355664622"/>
    <n v="165"/>
    <x v="245"/>
    <s v=""/>
    <x v="8"/>
    <x v="0"/>
  </r>
  <r>
    <n v="11509691958"/>
    <n v="7"/>
    <x v="245"/>
    <d v="2035-02-04T00:00:00"/>
    <x v="8"/>
    <x v="9"/>
  </r>
  <r>
    <n v="41613137500"/>
    <n v="111"/>
    <x v="245"/>
    <s v=""/>
    <x v="8"/>
    <x v="0"/>
  </r>
  <r>
    <n v="84025499550"/>
    <n v="250"/>
    <x v="245"/>
    <s v=""/>
    <x v="8"/>
    <x v="0"/>
  </r>
  <r>
    <n v="27419898799"/>
    <n v="239"/>
    <x v="245"/>
    <s v=""/>
    <x v="8"/>
    <x v="0"/>
  </r>
  <r>
    <n v="76243576063"/>
    <n v="294"/>
    <x v="245"/>
    <s v=""/>
    <x v="8"/>
    <x v="0"/>
  </r>
  <r>
    <n v="57754509206"/>
    <n v="63"/>
    <x v="245"/>
    <s v=""/>
    <x v="8"/>
    <x v="0"/>
  </r>
  <r>
    <n v="28014932384"/>
    <n v="139"/>
    <x v="245"/>
    <s v=""/>
    <x v="8"/>
    <x v="0"/>
  </r>
  <r>
    <n v="42931957786"/>
    <n v="79"/>
    <x v="245"/>
    <s v=""/>
    <x v="8"/>
    <x v="0"/>
  </r>
  <r>
    <n v="85855446991"/>
    <n v="236"/>
    <x v="245"/>
    <d v="2035-02-04T00:00:00"/>
    <x v="8"/>
    <x v="9"/>
  </r>
  <r>
    <n v="23626656811"/>
    <n v="80"/>
    <x v="246"/>
    <s v=""/>
    <x v="8"/>
    <x v="0"/>
  </r>
  <r>
    <n v="64190786756"/>
    <n v="170"/>
    <x v="246"/>
    <s v=""/>
    <x v="8"/>
    <x v="0"/>
  </r>
  <r>
    <n v="45844765996"/>
    <n v="30"/>
    <x v="246"/>
    <s v=""/>
    <x v="8"/>
    <x v="0"/>
  </r>
  <r>
    <n v="23689621650"/>
    <n v="200"/>
    <x v="246"/>
    <m/>
    <x v="8"/>
    <x v="0"/>
  </r>
  <r>
    <n v="20032408476"/>
    <n v="16"/>
    <x v="246"/>
    <s v=""/>
    <x v="8"/>
    <x v="0"/>
  </r>
  <r>
    <n v="98039472289"/>
    <n v="55"/>
    <x v="246"/>
    <m/>
    <x v="8"/>
    <x v="0"/>
  </r>
  <r>
    <n v="33890171262"/>
    <n v="290"/>
    <x v="246"/>
    <m/>
    <x v="8"/>
    <x v="0"/>
  </r>
  <r>
    <n v="25554017546"/>
    <n v="201"/>
    <x v="246"/>
    <s v=""/>
    <x v="8"/>
    <x v="0"/>
  </r>
  <r>
    <n v="41878765616"/>
    <n v="250"/>
    <x v="246"/>
    <m/>
    <x v="8"/>
    <x v="0"/>
  </r>
  <r>
    <n v="92088688442"/>
    <n v="77"/>
    <x v="246"/>
    <s v=""/>
    <x v="8"/>
    <x v="0"/>
  </r>
  <r>
    <n v="22117014786"/>
    <n v="235"/>
    <x v="246"/>
    <s v=""/>
    <x v="8"/>
    <x v="0"/>
  </r>
  <r>
    <n v="68013927117"/>
    <n v="49"/>
    <x v="246"/>
    <s v=""/>
    <x v="8"/>
    <x v="0"/>
  </r>
  <r>
    <n v="29585887066"/>
    <n v="323"/>
    <x v="246"/>
    <s v=""/>
    <x v="8"/>
    <x v="0"/>
  </r>
  <r>
    <n v="22379556689"/>
    <n v="207"/>
    <x v="246"/>
    <d v="2035-02-27T00:00:00"/>
    <x v="8"/>
    <x v="9"/>
  </r>
  <r>
    <n v="20265830648"/>
    <n v="317"/>
    <x v="246"/>
    <s v=""/>
    <x v="8"/>
    <x v="0"/>
  </r>
  <r>
    <n v="76578763635"/>
    <n v="324"/>
    <x v="246"/>
    <s v=""/>
    <x v="8"/>
    <x v="0"/>
  </r>
  <r>
    <n v="28075579992"/>
    <n v="268"/>
    <x v="246"/>
    <s v=""/>
    <x v="8"/>
    <x v="0"/>
  </r>
  <r>
    <n v="20244346716"/>
    <n v="280"/>
    <x v="246"/>
    <m/>
    <x v="8"/>
    <x v="0"/>
  </r>
  <r>
    <n v="26269478393"/>
    <n v="308"/>
    <x v="246"/>
    <s v=""/>
    <x v="8"/>
    <x v="0"/>
  </r>
  <r>
    <n v="46389020411"/>
    <n v="121"/>
    <x v="246"/>
    <s v=""/>
    <x v="8"/>
    <x v="0"/>
  </r>
  <r>
    <n v="91491568746"/>
    <n v="48"/>
    <x v="246"/>
    <s v=""/>
    <x v="8"/>
    <x v="0"/>
  </r>
  <r>
    <n v="77333058125"/>
    <n v="65"/>
    <x v="246"/>
    <m/>
    <x v="8"/>
    <x v="0"/>
  </r>
  <r>
    <n v="29513228753"/>
    <n v="85"/>
    <x v="246"/>
    <s v=""/>
    <x v="8"/>
    <x v="0"/>
  </r>
  <r>
    <n v="82696761945"/>
    <n v="257"/>
    <x v="246"/>
    <d v="2035-02-09T00:00:00"/>
    <x v="8"/>
    <x v="9"/>
  </r>
  <r>
    <n v="54735997410"/>
    <n v="200"/>
    <x v="246"/>
    <s v=""/>
    <x v="8"/>
    <x v="0"/>
  </r>
  <r>
    <n v="58553486056"/>
    <n v="281"/>
    <x v="246"/>
    <m/>
    <x v="8"/>
    <x v="0"/>
  </r>
  <r>
    <n v="95822000023"/>
    <n v="73"/>
    <x v="246"/>
    <s v=""/>
    <x v="8"/>
    <x v="0"/>
  </r>
  <r>
    <n v="21386172298"/>
    <n v="70"/>
    <x v="246"/>
    <s v=""/>
    <x v="8"/>
    <x v="0"/>
  </r>
  <r>
    <n v="37343617035"/>
    <n v="190"/>
    <x v="246"/>
    <m/>
    <x v="8"/>
    <x v="0"/>
  </r>
  <r>
    <n v="30344289021"/>
    <n v="291"/>
    <x v="246"/>
    <s v=""/>
    <x v="8"/>
    <x v="0"/>
  </r>
  <r>
    <n v="22288639798"/>
    <n v="87"/>
    <x v="246"/>
    <s v=""/>
    <x v="8"/>
    <x v="0"/>
  </r>
  <r>
    <n v="56650973324"/>
    <n v="277"/>
    <x v="247"/>
    <s v=""/>
    <x v="8"/>
    <x v="0"/>
  </r>
  <r>
    <n v="34722205512"/>
    <n v="177"/>
    <x v="247"/>
    <m/>
    <x v="8"/>
    <x v="0"/>
  </r>
  <r>
    <n v="86559991494"/>
    <n v="267"/>
    <x v="247"/>
    <m/>
    <x v="8"/>
    <x v="0"/>
  </r>
  <r>
    <n v="79715603949"/>
    <n v="78"/>
    <x v="247"/>
    <s v=""/>
    <x v="8"/>
    <x v="0"/>
  </r>
  <r>
    <n v="47318366476"/>
    <n v="92"/>
    <x v="247"/>
    <s v=""/>
    <x v="8"/>
    <x v="0"/>
  </r>
  <r>
    <n v="61595212042"/>
    <n v="41"/>
    <x v="247"/>
    <s v=""/>
    <x v="8"/>
    <x v="0"/>
  </r>
  <r>
    <n v="13749732736"/>
    <n v="211"/>
    <x v="247"/>
    <m/>
    <x v="8"/>
    <x v="0"/>
  </r>
  <r>
    <n v="52115262100"/>
    <n v="261"/>
    <x v="247"/>
    <s v=""/>
    <x v="8"/>
    <x v="0"/>
  </r>
  <r>
    <n v="25857434994"/>
    <n v="187"/>
    <x v="247"/>
    <s v=""/>
    <x v="8"/>
    <x v="0"/>
  </r>
  <r>
    <n v="73092080269"/>
    <n v="15"/>
    <x v="247"/>
    <s v=""/>
    <x v="8"/>
    <x v="0"/>
  </r>
  <r>
    <n v="55500734233"/>
    <n v="81"/>
    <x v="247"/>
    <s v=""/>
    <x v="8"/>
    <x v="0"/>
  </r>
  <r>
    <n v="73170708653"/>
    <n v="312"/>
    <x v="247"/>
    <s v=""/>
    <x v="8"/>
    <x v="0"/>
  </r>
  <r>
    <n v="40334420533"/>
    <n v="62"/>
    <x v="247"/>
    <s v=""/>
    <x v="8"/>
    <x v="0"/>
  </r>
  <r>
    <n v="42119587348"/>
    <n v="27"/>
    <x v="247"/>
    <s v=""/>
    <x v="8"/>
    <x v="0"/>
  </r>
  <r>
    <n v="56179311490"/>
    <n v="44"/>
    <x v="247"/>
    <s v=""/>
    <x v="8"/>
    <x v="0"/>
  </r>
  <r>
    <n v="14144435029"/>
    <n v="251"/>
    <x v="247"/>
    <s v=""/>
    <x v="8"/>
    <x v="0"/>
  </r>
  <r>
    <n v="31950452287"/>
    <n v="317"/>
    <x v="247"/>
    <m/>
    <x v="8"/>
    <x v="0"/>
  </r>
  <r>
    <n v="97313763562"/>
    <n v="320"/>
    <x v="247"/>
    <s v=""/>
    <x v="8"/>
    <x v="0"/>
  </r>
  <r>
    <n v="22786263149"/>
    <n v="207"/>
    <x v="247"/>
    <s v=""/>
    <x v="8"/>
    <x v="0"/>
  </r>
  <r>
    <n v="79953800051"/>
    <n v="180"/>
    <x v="247"/>
    <s v=""/>
    <x v="8"/>
    <x v="0"/>
  </r>
  <r>
    <n v="99438124981"/>
    <n v="94"/>
    <x v="247"/>
    <s v=""/>
    <x v="8"/>
    <x v="0"/>
  </r>
  <r>
    <n v="52734423995"/>
    <n v="200"/>
    <x v="247"/>
    <s v=""/>
    <x v="8"/>
    <x v="0"/>
  </r>
  <r>
    <n v="72372918841"/>
    <n v="275"/>
    <x v="247"/>
    <m/>
    <x v="8"/>
    <x v="0"/>
  </r>
  <r>
    <n v="88350080544"/>
    <n v="162"/>
    <x v="247"/>
    <s v=""/>
    <x v="8"/>
    <x v="0"/>
  </r>
  <r>
    <n v="97304770010"/>
    <n v="9"/>
    <x v="247"/>
    <s v=""/>
    <x v="8"/>
    <x v="0"/>
  </r>
  <r>
    <n v="72632233673"/>
    <n v="152"/>
    <x v="247"/>
    <s v=""/>
    <x v="8"/>
    <x v="0"/>
  </r>
  <r>
    <n v="80866253696"/>
    <n v="279"/>
    <x v="247"/>
    <s v=""/>
    <x v="8"/>
    <x v="0"/>
  </r>
  <r>
    <n v="86211652555"/>
    <n v="284"/>
    <x v="247"/>
    <s v=""/>
    <x v="8"/>
    <x v="0"/>
  </r>
  <r>
    <n v="40678988597"/>
    <n v="140"/>
    <x v="247"/>
    <d v="2035-02-08T00:00:00"/>
    <x v="8"/>
    <x v="9"/>
  </r>
  <r>
    <n v="51888556052"/>
    <n v="196"/>
    <x v="247"/>
    <m/>
    <x v="8"/>
    <x v="0"/>
  </r>
  <r>
    <n v="43303576552"/>
    <n v="293"/>
    <x v="247"/>
    <s v=""/>
    <x v="8"/>
    <x v="0"/>
  </r>
  <r>
    <n v="85695655934"/>
    <n v="20"/>
    <x v="247"/>
    <s v=""/>
    <x v="8"/>
    <x v="0"/>
  </r>
  <r>
    <n v="71120635771"/>
    <n v="317"/>
    <x v="248"/>
    <s v=""/>
    <x v="8"/>
    <x v="0"/>
  </r>
  <r>
    <n v="28444939350"/>
    <n v="314"/>
    <x v="248"/>
    <m/>
    <x v="8"/>
    <x v="0"/>
  </r>
  <r>
    <n v="24768832284"/>
    <n v="226"/>
    <x v="248"/>
    <s v=""/>
    <x v="8"/>
    <x v="0"/>
  </r>
  <r>
    <n v="63667294007"/>
    <n v="98"/>
    <x v="248"/>
    <s v=""/>
    <x v="8"/>
    <x v="0"/>
  </r>
  <r>
    <n v="22180108875"/>
    <n v="57"/>
    <x v="248"/>
    <s v=""/>
    <x v="8"/>
    <x v="0"/>
  </r>
  <r>
    <n v="74257491767"/>
    <n v="87"/>
    <x v="248"/>
    <m/>
    <x v="8"/>
    <x v="0"/>
  </r>
  <r>
    <n v="22677431574"/>
    <n v="175"/>
    <x v="248"/>
    <m/>
    <x v="8"/>
    <x v="0"/>
  </r>
  <r>
    <n v="20126271574"/>
    <n v="18"/>
    <x v="248"/>
    <s v=""/>
    <x v="8"/>
    <x v="0"/>
  </r>
  <r>
    <n v="28030094237"/>
    <n v="208"/>
    <x v="248"/>
    <s v=""/>
    <x v="8"/>
    <x v="0"/>
  </r>
  <r>
    <n v="52106581821"/>
    <n v="238"/>
    <x v="248"/>
    <s v=""/>
    <x v="8"/>
    <x v="0"/>
  </r>
  <r>
    <n v="53687325399"/>
    <n v="125"/>
    <x v="248"/>
    <s v=""/>
    <x v="8"/>
    <x v="0"/>
  </r>
  <r>
    <n v="69024191744"/>
    <n v="109"/>
    <x v="248"/>
    <s v=""/>
    <x v="8"/>
    <x v="0"/>
  </r>
  <r>
    <n v="26379863331"/>
    <n v="31"/>
    <x v="248"/>
    <s v=""/>
    <x v="8"/>
    <x v="0"/>
  </r>
  <r>
    <n v="14439410588"/>
    <n v="94"/>
    <x v="248"/>
    <s v=""/>
    <x v="8"/>
    <x v="0"/>
  </r>
  <r>
    <n v="88498553321"/>
    <n v="226"/>
    <x v="248"/>
    <d v="2035-02-14T00:00:00"/>
    <x v="8"/>
    <x v="9"/>
  </r>
  <r>
    <n v="16873780207"/>
    <n v="289"/>
    <x v="248"/>
    <m/>
    <x v="8"/>
    <x v="0"/>
  </r>
  <r>
    <n v="73885670294"/>
    <n v="148"/>
    <x v="248"/>
    <s v=""/>
    <x v="8"/>
    <x v="0"/>
  </r>
  <r>
    <n v="42469624258"/>
    <n v="161"/>
    <x v="248"/>
    <s v=""/>
    <x v="8"/>
    <x v="0"/>
  </r>
  <r>
    <n v="46979155985"/>
    <n v="320"/>
    <x v="248"/>
    <s v=""/>
    <x v="8"/>
    <x v="0"/>
  </r>
  <r>
    <n v="50503405166"/>
    <n v="197"/>
    <x v="248"/>
    <s v=""/>
    <x v="8"/>
    <x v="0"/>
  </r>
  <r>
    <n v="53708842703"/>
    <n v="211"/>
    <x v="248"/>
    <s v=""/>
    <x v="8"/>
    <x v="0"/>
  </r>
  <r>
    <n v="70811916600"/>
    <n v="255"/>
    <x v="248"/>
    <s v=""/>
    <x v="8"/>
    <x v="0"/>
  </r>
  <r>
    <n v="72078082697"/>
    <n v="20"/>
    <x v="248"/>
    <m/>
    <x v="8"/>
    <x v="0"/>
  </r>
  <r>
    <n v="84612233231"/>
    <n v="290"/>
    <x v="248"/>
    <d v="2035-02-18T00:00:00"/>
    <x v="8"/>
    <x v="9"/>
  </r>
  <r>
    <n v="36535940644"/>
    <n v="192"/>
    <x v="248"/>
    <s v=""/>
    <x v="8"/>
    <x v="0"/>
  </r>
  <r>
    <n v="28968368912"/>
    <n v="16"/>
    <x v="248"/>
    <s v=""/>
    <x v="8"/>
    <x v="0"/>
  </r>
  <r>
    <n v="29438873138"/>
    <n v="142"/>
    <x v="248"/>
    <s v=""/>
    <x v="8"/>
    <x v="0"/>
  </r>
  <r>
    <n v="96730629939"/>
    <n v="327"/>
    <x v="248"/>
    <s v=""/>
    <x v="8"/>
    <x v="0"/>
  </r>
  <r>
    <n v="52608254328"/>
    <n v="157"/>
    <x v="248"/>
    <d v="2035-02-27T00:00:00"/>
    <x v="8"/>
    <x v="9"/>
  </r>
  <r>
    <n v="19289882294"/>
    <n v="26"/>
    <x v="248"/>
    <s v=""/>
    <x v="8"/>
    <x v="0"/>
  </r>
  <r>
    <n v="60951108059"/>
    <n v="191"/>
    <x v="248"/>
    <s v=""/>
    <x v="8"/>
    <x v="0"/>
  </r>
  <r>
    <n v="84634093963"/>
    <n v="150"/>
    <x v="248"/>
    <s v=""/>
    <x v="8"/>
    <x v="0"/>
  </r>
  <r>
    <n v="72127269314"/>
    <n v="115"/>
    <x v="248"/>
    <s v=""/>
    <x v="8"/>
    <x v="0"/>
  </r>
  <r>
    <n v="66970874901"/>
    <n v="259"/>
    <x v="249"/>
    <s v=""/>
    <x v="8"/>
    <x v="0"/>
  </r>
  <r>
    <n v="40636294566"/>
    <n v="240"/>
    <x v="249"/>
    <s v=""/>
    <x v="8"/>
    <x v="0"/>
  </r>
  <r>
    <n v="51092398901"/>
    <n v="314"/>
    <x v="249"/>
    <d v="2035-02-28T00:00:00"/>
    <x v="8"/>
    <x v="9"/>
  </r>
  <r>
    <n v="26284538146"/>
    <n v="47"/>
    <x v="249"/>
    <m/>
    <x v="8"/>
    <x v="0"/>
  </r>
  <r>
    <n v="34745726111"/>
    <n v="301"/>
    <x v="249"/>
    <s v=""/>
    <x v="8"/>
    <x v="0"/>
  </r>
  <r>
    <n v="86369072734"/>
    <n v="3"/>
    <x v="249"/>
    <s v=""/>
    <x v="8"/>
    <x v="0"/>
  </r>
  <r>
    <n v="94596022352"/>
    <n v="8"/>
    <x v="249"/>
    <m/>
    <x v="8"/>
    <x v="0"/>
  </r>
  <r>
    <n v="58665209273"/>
    <n v="324"/>
    <x v="249"/>
    <d v="2035-02-18T00:00:00"/>
    <x v="8"/>
    <x v="9"/>
  </r>
  <r>
    <n v="39145536725"/>
    <n v="305"/>
    <x v="249"/>
    <s v=""/>
    <x v="8"/>
    <x v="0"/>
  </r>
  <r>
    <n v="15557043973"/>
    <n v="55"/>
    <x v="249"/>
    <s v=""/>
    <x v="8"/>
    <x v="0"/>
  </r>
  <r>
    <n v="79526814776"/>
    <n v="53"/>
    <x v="249"/>
    <s v=""/>
    <x v="8"/>
    <x v="0"/>
  </r>
  <r>
    <n v="49687084116"/>
    <n v="184"/>
    <x v="249"/>
    <m/>
    <x v="8"/>
    <x v="0"/>
  </r>
  <r>
    <n v="34920931383"/>
    <n v="82"/>
    <x v="249"/>
    <m/>
    <x v="8"/>
    <x v="0"/>
  </r>
  <r>
    <n v="74123707500"/>
    <n v="239"/>
    <x v="249"/>
    <s v=""/>
    <x v="8"/>
    <x v="0"/>
  </r>
  <r>
    <n v="88878958217"/>
    <n v="71"/>
    <x v="249"/>
    <s v=""/>
    <x v="8"/>
    <x v="0"/>
  </r>
  <r>
    <n v="85821905152"/>
    <n v="262"/>
    <x v="249"/>
    <s v=""/>
    <x v="8"/>
    <x v="0"/>
  </r>
  <r>
    <n v="51145319748"/>
    <n v="233"/>
    <x v="249"/>
    <m/>
    <x v="8"/>
    <x v="0"/>
  </r>
  <r>
    <n v="76696912451"/>
    <n v="272"/>
    <x v="249"/>
    <s v=""/>
    <x v="8"/>
    <x v="0"/>
  </r>
  <r>
    <n v="52117244196"/>
    <n v="131"/>
    <x v="249"/>
    <s v=""/>
    <x v="8"/>
    <x v="0"/>
  </r>
  <r>
    <n v="54723707258"/>
    <n v="235"/>
    <x v="249"/>
    <s v=""/>
    <x v="8"/>
    <x v="0"/>
  </r>
  <r>
    <n v="67182278491"/>
    <n v="255"/>
    <x v="249"/>
    <s v=""/>
    <x v="8"/>
    <x v="0"/>
  </r>
  <r>
    <n v="85842806498"/>
    <n v="238"/>
    <x v="249"/>
    <s v=""/>
    <x v="8"/>
    <x v="0"/>
  </r>
  <r>
    <n v="52372156598"/>
    <n v="48"/>
    <x v="249"/>
    <s v=""/>
    <x v="8"/>
    <x v="0"/>
  </r>
  <r>
    <n v="21163348576"/>
    <n v="263"/>
    <x v="249"/>
    <m/>
    <x v="8"/>
    <x v="0"/>
  </r>
  <r>
    <n v="42915026234"/>
    <n v="88"/>
    <x v="249"/>
    <s v=""/>
    <x v="8"/>
    <x v="0"/>
  </r>
  <r>
    <n v="98531812725"/>
    <n v="41"/>
    <x v="249"/>
    <s v=""/>
    <x v="8"/>
    <x v="0"/>
  </r>
  <r>
    <n v="16996484263"/>
    <n v="131"/>
    <x v="249"/>
    <s v=""/>
    <x v="8"/>
    <x v="0"/>
  </r>
  <r>
    <n v="66574224517"/>
    <n v="331"/>
    <x v="249"/>
    <s v=""/>
    <x v="8"/>
    <x v="0"/>
  </r>
  <r>
    <n v="60783910464"/>
    <n v="8"/>
    <x v="249"/>
    <m/>
    <x v="8"/>
    <x v="0"/>
  </r>
  <r>
    <n v="24960630176"/>
    <n v="296"/>
    <x v="249"/>
    <s v=""/>
    <x v="8"/>
    <x v="0"/>
  </r>
  <r>
    <n v="14018942061"/>
    <n v="301"/>
    <x v="249"/>
    <m/>
    <x v="8"/>
    <x v="0"/>
  </r>
  <r>
    <n v="88872544417"/>
    <n v="239"/>
    <x v="249"/>
    <s v=""/>
    <x v="8"/>
    <x v="0"/>
  </r>
  <r>
    <n v="30803663120"/>
    <n v="117"/>
    <x v="249"/>
    <s v=""/>
    <x v="8"/>
    <x v="0"/>
  </r>
  <r>
    <n v="40002448196"/>
    <n v="242"/>
    <x v="249"/>
    <m/>
    <x v="8"/>
    <x v="0"/>
  </r>
  <r>
    <n v="33718779359"/>
    <n v="310"/>
    <x v="249"/>
    <s v=""/>
    <x v="8"/>
    <x v="0"/>
  </r>
  <r>
    <n v="11623754872"/>
    <n v="301"/>
    <x v="249"/>
    <s v=""/>
    <x v="8"/>
    <x v="0"/>
  </r>
  <r>
    <n v="65010783114"/>
    <n v="160"/>
    <x v="250"/>
    <s v=""/>
    <x v="8"/>
    <x v="0"/>
  </r>
  <r>
    <n v="16132060841"/>
    <n v="16"/>
    <x v="250"/>
    <s v=""/>
    <x v="8"/>
    <x v="0"/>
  </r>
  <r>
    <n v="27623799732"/>
    <n v="167"/>
    <x v="250"/>
    <s v=""/>
    <x v="8"/>
    <x v="0"/>
  </r>
  <r>
    <n v="75565362395"/>
    <n v="324"/>
    <x v="250"/>
    <m/>
    <x v="8"/>
    <x v="0"/>
  </r>
  <r>
    <n v="28769420254"/>
    <n v="257"/>
    <x v="250"/>
    <d v="2035-02-18T00:00:00"/>
    <x v="8"/>
    <x v="9"/>
  </r>
  <r>
    <n v="62180045206"/>
    <n v="298"/>
    <x v="250"/>
    <s v=""/>
    <x v="8"/>
    <x v="0"/>
  </r>
  <r>
    <n v="89790511008"/>
    <n v="247"/>
    <x v="250"/>
    <s v=""/>
    <x v="8"/>
    <x v="0"/>
  </r>
  <r>
    <n v="52786370129"/>
    <n v="299"/>
    <x v="250"/>
    <s v=""/>
    <x v="8"/>
    <x v="0"/>
  </r>
  <r>
    <n v="82600400549"/>
    <n v="158"/>
    <x v="250"/>
    <s v=""/>
    <x v="8"/>
    <x v="0"/>
  </r>
  <r>
    <n v="90607591313"/>
    <n v="177"/>
    <x v="250"/>
    <m/>
    <x v="8"/>
    <x v="0"/>
  </r>
  <r>
    <n v="54038878940"/>
    <n v="165"/>
    <x v="250"/>
    <s v=""/>
    <x v="8"/>
    <x v="0"/>
  </r>
  <r>
    <n v="29386694721"/>
    <n v="42"/>
    <x v="250"/>
    <s v=""/>
    <x v="8"/>
    <x v="0"/>
  </r>
  <r>
    <n v="88231981402"/>
    <n v="73"/>
    <x v="250"/>
    <s v=""/>
    <x v="8"/>
    <x v="0"/>
  </r>
  <r>
    <n v="70322422340"/>
    <n v="309"/>
    <x v="250"/>
    <s v=""/>
    <x v="8"/>
    <x v="0"/>
  </r>
  <r>
    <n v="21173710336"/>
    <n v="257"/>
    <x v="250"/>
    <s v=""/>
    <x v="8"/>
    <x v="0"/>
  </r>
  <r>
    <n v="37279720405"/>
    <n v="192"/>
    <x v="250"/>
    <s v=""/>
    <x v="8"/>
    <x v="0"/>
  </r>
  <r>
    <n v="52097241788"/>
    <n v="36"/>
    <x v="250"/>
    <s v=""/>
    <x v="8"/>
    <x v="0"/>
  </r>
  <r>
    <n v="71023020788"/>
    <n v="104"/>
    <x v="250"/>
    <s v=""/>
    <x v="8"/>
    <x v="0"/>
  </r>
  <r>
    <n v="58214167194"/>
    <n v="144"/>
    <x v="250"/>
    <s v=""/>
    <x v="8"/>
    <x v="0"/>
  </r>
  <r>
    <n v="80811960772"/>
    <n v="180"/>
    <x v="250"/>
    <d v="2035-02-18T00:00:00"/>
    <x v="8"/>
    <x v="9"/>
  </r>
  <r>
    <n v="80241663281"/>
    <n v="30"/>
    <x v="250"/>
    <s v=""/>
    <x v="8"/>
    <x v="0"/>
  </r>
  <r>
    <n v="37790796297"/>
    <n v="313"/>
    <x v="250"/>
    <m/>
    <x v="8"/>
    <x v="0"/>
  </r>
  <r>
    <n v="39427579881"/>
    <n v="199"/>
    <x v="250"/>
    <s v=""/>
    <x v="8"/>
    <x v="0"/>
  </r>
  <r>
    <n v="88807410737"/>
    <n v="138"/>
    <x v="250"/>
    <m/>
    <x v="8"/>
    <x v="0"/>
  </r>
  <r>
    <n v="36791967303"/>
    <n v="189"/>
    <x v="250"/>
    <s v=""/>
    <x v="8"/>
    <x v="0"/>
  </r>
  <r>
    <n v="24369407521"/>
    <n v="309"/>
    <x v="250"/>
    <m/>
    <x v="8"/>
    <x v="0"/>
  </r>
  <r>
    <n v="73819164774"/>
    <n v="29"/>
    <x v="250"/>
    <d v="2035-02-26T00:00:00"/>
    <x v="8"/>
    <x v="9"/>
  </r>
  <r>
    <n v="67367815610"/>
    <n v="177"/>
    <x v="250"/>
    <s v=""/>
    <x v="8"/>
    <x v="0"/>
  </r>
  <r>
    <n v="38188304887"/>
    <n v="222"/>
    <x v="251"/>
    <s v=""/>
    <x v="8"/>
    <x v="0"/>
  </r>
  <r>
    <n v="98996216983"/>
    <n v="188"/>
    <x v="251"/>
    <s v=""/>
    <x v="8"/>
    <x v="0"/>
  </r>
  <r>
    <n v="52102510676"/>
    <n v="139"/>
    <x v="251"/>
    <s v=""/>
    <x v="8"/>
    <x v="0"/>
  </r>
  <r>
    <n v="15015616490"/>
    <n v="240"/>
    <x v="251"/>
    <s v=""/>
    <x v="8"/>
    <x v="0"/>
  </r>
  <r>
    <n v="15126025240"/>
    <n v="41"/>
    <x v="251"/>
    <s v=""/>
    <x v="8"/>
    <x v="0"/>
  </r>
  <r>
    <n v="82023155905"/>
    <n v="189"/>
    <x v="251"/>
    <s v=""/>
    <x v="8"/>
    <x v="0"/>
  </r>
  <r>
    <n v="84819174271"/>
    <n v="62"/>
    <x v="251"/>
    <s v=""/>
    <x v="8"/>
    <x v="0"/>
  </r>
  <r>
    <n v="57230442141"/>
    <n v="34"/>
    <x v="251"/>
    <s v=""/>
    <x v="8"/>
    <x v="0"/>
  </r>
  <r>
    <n v="38895505012"/>
    <n v="243"/>
    <x v="251"/>
    <s v=""/>
    <x v="8"/>
    <x v="0"/>
  </r>
  <r>
    <n v="81997706151"/>
    <n v="285"/>
    <x v="251"/>
    <s v=""/>
    <x v="8"/>
    <x v="0"/>
  </r>
  <r>
    <n v="46326168962"/>
    <n v="140"/>
    <x v="251"/>
    <s v=""/>
    <x v="8"/>
    <x v="0"/>
  </r>
  <r>
    <n v="34866494664"/>
    <n v="24"/>
    <x v="251"/>
    <s v=""/>
    <x v="8"/>
    <x v="0"/>
  </r>
  <r>
    <n v="65973597591"/>
    <n v="313"/>
    <x v="251"/>
    <m/>
    <x v="8"/>
    <x v="0"/>
  </r>
  <r>
    <n v="79816205658"/>
    <n v="84"/>
    <x v="251"/>
    <s v=""/>
    <x v="8"/>
    <x v="0"/>
  </r>
  <r>
    <n v="96842631884"/>
    <n v="123"/>
    <x v="251"/>
    <m/>
    <x v="8"/>
    <x v="0"/>
  </r>
  <r>
    <n v="97952074459"/>
    <n v="90"/>
    <x v="251"/>
    <s v=""/>
    <x v="8"/>
    <x v="0"/>
  </r>
  <r>
    <n v="13274969291"/>
    <n v="80"/>
    <x v="251"/>
    <s v=""/>
    <x v="8"/>
    <x v="0"/>
  </r>
  <r>
    <n v="67239735087"/>
    <n v="208"/>
    <x v="251"/>
    <m/>
    <x v="8"/>
    <x v="0"/>
  </r>
  <r>
    <n v="53071978484"/>
    <n v="224"/>
    <x v="251"/>
    <s v=""/>
    <x v="8"/>
    <x v="0"/>
  </r>
  <r>
    <n v="29928322388"/>
    <n v="114"/>
    <x v="251"/>
    <s v=""/>
    <x v="8"/>
    <x v="0"/>
  </r>
  <r>
    <n v="66609470953"/>
    <n v="151"/>
    <x v="251"/>
    <s v=""/>
    <x v="8"/>
    <x v="0"/>
  </r>
  <r>
    <n v="52343650092"/>
    <n v="181"/>
    <x v="251"/>
    <m/>
    <x v="8"/>
    <x v="0"/>
  </r>
  <r>
    <n v="19266236742"/>
    <n v="297"/>
    <x v="251"/>
    <d v="2035-02-08T00:00:00"/>
    <x v="8"/>
    <x v="9"/>
  </r>
  <r>
    <n v="45440522557"/>
    <n v="64"/>
    <x v="251"/>
    <s v=""/>
    <x v="8"/>
    <x v="0"/>
  </r>
  <r>
    <n v="94180560413"/>
    <n v="165"/>
    <x v="251"/>
    <s v=""/>
    <x v="8"/>
    <x v="0"/>
  </r>
  <r>
    <n v="45853781562"/>
    <n v="68"/>
    <x v="251"/>
    <s v=""/>
    <x v="8"/>
    <x v="0"/>
  </r>
  <r>
    <n v="55465237021"/>
    <n v="243"/>
    <x v="251"/>
    <m/>
    <x v="8"/>
    <x v="0"/>
  </r>
  <r>
    <n v="97659240044"/>
    <n v="96"/>
    <x v="252"/>
    <s v=""/>
    <x v="8"/>
    <x v="0"/>
  </r>
  <r>
    <n v="94792145334"/>
    <n v="5"/>
    <x v="252"/>
    <m/>
    <x v="8"/>
    <x v="0"/>
  </r>
  <r>
    <n v="71192980090"/>
    <n v="18"/>
    <x v="252"/>
    <s v=""/>
    <x v="8"/>
    <x v="0"/>
  </r>
  <r>
    <n v="47860285525"/>
    <n v="135"/>
    <x v="252"/>
    <s v=""/>
    <x v="8"/>
    <x v="0"/>
  </r>
  <r>
    <n v="85223849446"/>
    <n v="25"/>
    <x v="252"/>
    <s v=""/>
    <x v="8"/>
    <x v="0"/>
  </r>
  <r>
    <n v="68760678506"/>
    <n v="166"/>
    <x v="252"/>
    <s v=""/>
    <x v="8"/>
    <x v="0"/>
  </r>
  <r>
    <n v="57517616650"/>
    <n v="21"/>
    <x v="252"/>
    <s v=""/>
    <x v="8"/>
    <x v="0"/>
  </r>
  <r>
    <n v="36672955017"/>
    <n v="4"/>
    <x v="252"/>
    <s v=""/>
    <x v="8"/>
    <x v="0"/>
  </r>
  <r>
    <n v="39167669194"/>
    <n v="120"/>
    <x v="252"/>
    <d v="2035-02-09T00:00:00"/>
    <x v="8"/>
    <x v="9"/>
  </r>
  <r>
    <n v="73196954208"/>
    <n v="148"/>
    <x v="252"/>
    <s v=""/>
    <x v="8"/>
    <x v="0"/>
  </r>
  <r>
    <n v="20772673537"/>
    <n v="27"/>
    <x v="252"/>
    <s v=""/>
    <x v="8"/>
    <x v="0"/>
  </r>
  <r>
    <n v="62901377304"/>
    <n v="77"/>
    <x v="252"/>
    <s v=""/>
    <x v="8"/>
    <x v="0"/>
  </r>
  <r>
    <n v="90083167040"/>
    <n v="132"/>
    <x v="252"/>
    <s v=""/>
    <x v="8"/>
    <x v="0"/>
  </r>
  <r>
    <n v="40327804847"/>
    <n v="154"/>
    <x v="252"/>
    <s v=""/>
    <x v="8"/>
    <x v="0"/>
  </r>
  <r>
    <n v="26203320569"/>
    <n v="218"/>
    <x v="252"/>
    <s v=""/>
    <x v="8"/>
    <x v="0"/>
  </r>
  <r>
    <n v="93833380128"/>
    <n v="308"/>
    <x v="252"/>
    <s v=""/>
    <x v="8"/>
    <x v="0"/>
  </r>
  <r>
    <n v="80347176327"/>
    <n v="136"/>
    <x v="252"/>
    <m/>
    <x v="8"/>
    <x v="0"/>
  </r>
  <r>
    <n v="93964110907"/>
    <n v="187"/>
    <x v="252"/>
    <s v=""/>
    <x v="8"/>
    <x v="0"/>
  </r>
  <r>
    <n v="33688675279"/>
    <n v="61"/>
    <x v="252"/>
    <s v=""/>
    <x v="8"/>
    <x v="0"/>
  </r>
  <r>
    <n v="95732560011"/>
    <n v="62"/>
    <x v="252"/>
    <s v=""/>
    <x v="8"/>
    <x v="0"/>
  </r>
  <r>
    <n v="61515377026"/>
    <n v="140"/>
    <x v="252"/>
    <m/>
    <x v="8"/>
    <x v="0"/>
  </r>
  <r>
    <n v="57634280952"/>
    <n v="196"/>
    <x v="252"/>
    <s v=""/>
    <x v="8"/>
    <x v="0"/>
  </r>
  <r>
    <n v="31536362538"/>
    <n v="71"/>
    <x v="252"/>
    <s v=""/>
    <x v="8"/>
    <x v="0"/>
  </r>
  <r>
    <n v="89472495034"/>
    <n v="243"/>
    <x v="252"/>
    <s v=""/>
    <x v="8"/>
    <x v="0"/>
  </r>
  <r>
    <n v="61785185942"/>
    <n v="44"/>
    <x v="252"/>
    <m/>
    <x v="8"/>
    <x v="0"/>
  </r>
  <r>
    <n v="67064348524"/>
    <n v="8"/>
    <x v="252"/>
    <m/>
    <x v="8"/>
    <x v="0"/>
  </r>
  <r>
    <n v="75514926268"/>
    <n v="227"/>
    <x v="252"/>
    <s v=""/>
    <x v="8"/>
    <x v="0"/>
  </r>
  <r>
    <n v="84706445362"/>
    <n v="100"/>
    <x v="252"/>
    <s v=""/>
    <x v="8"/>
    <x v="0"/>
  </r>
  <r>
    <n v="93550905344"/>
    <n v="320"/>
    <x v="252"/>
    <s v=""/>
    <x v="8"/>
    <x v="0"/>
  </r>
  <r>
    <n v="54642550925"/>
    <n v="139"/>
    <x v="253"/>
    <s v=""/>
    <x v="8"/>
    <x v="0"/>
  </r>
  <r>
    <n v="88520315894"/>
    <n v="220"/>
    <x v="253"/>
    <m/>
    <x v="8"/>
    <x v="0"/>
  </r>
  <r>
    <n v="97419020337"/>
    <n v="16"/>
    <x v="253"/>
    <s v=""/>
    <x v="8"/>
    <x v="0"/>
  </r>
  <r>
    <n v="73407183396"/>
    <n v="178"/>
    <x v="253"/>
    <d v="2035-02-15T00:00:00"/>
    <x v="8"/>
    <x v="9"/>
  </r>
  <r>
    <n v="75374238819"/>
    <n v="212"/>
    <x v="253"/>
    <s v=""/>
    <x v="8"/>
    <x v="0"/>
  </r>
  <r>
    <n v="65178995498"/>
    <n v="213"/>
    <x v="253"/>
    <s v=""/>
    <x v="8"/>
    <x v="0"/>
  </r>
  <r>
    <n v="35357876602"/>
    <n v="48"/>
    <x v="253"/>
    <m/>
    <x v="8"/>
    <x v="0"/>
  </r>
  <r>
    <n v="24345918719"/>
    <n v="26"/>
    <x v="253"/>
    <s v=""/>
    <x v="8"/>
    <x v="0"/>
  </r>
  <r>
    <n v="77595059385"/>
    <n v="84"/>
    <x v="253"/>
    <s v=""/>
    <x v="8"/>
    <x v="0"/>
  </r>
  <r>
    <n v="58474274445"/>
    <n v="211"/>
    <x v="253"/>
    <s v=""/>
    <x v="8"/>
    <x v="0"/>
  </r>
  <r>
    <n v="45494862716"/>
    <n v="82"/>
    <x v="253"/>
    <s v=""/>
    <x v="8"/>
    <x v="0"/>
  </r>
  <r>
    <n v="91597347282"/>
    <n v="319"/>
    <x v="253"/>
    <s v=""/>
    <x v="8"/>
    <x v="0"/>
  </r>
  <r>
    <n v="95172189189"/>
    <n v="91"/>
    <x v="253"/>
    <s v=""/>
    <x v="8"/>
    <x v="0"/>
  </r>
  <r>
    <n v="88457607156"/>
    <n v="130"/>
    <x v="253"/>
    <m/>
    <x v="8"/>
    <x v="0"/>
  </r>
  <r>
    <n v="36488117522"/>
    <n v="125"/>
    <x v="253"/>
    <m/>
    <x v="8"/>
    <x v="0"/>
  </r>
  <r>
    <n v="11904380768"/>
    <n v="117"/>
    <x v="253"/>
    <s v=""/>
    <x v="8"/>
    <x v="0"/>
  </r>
  <r>
    <n v="60512081187"/>
    <n v="323"/>
    <x v="253"/>
    <s v=""/>
    <x v="8"/>
    <x v="0"/>
  </r>
  <r>
    <n v="57811533028"/>
    <n v="47"/>
    <x v="253"/>
    <s v=""/>
    <x v="8"/>
    <x v="0"/>
  </r>
  <r>
    <n v="20209727977"/>
    <n v="26"/>
    <x v="253"/>
    <s v=""/>
    <x v="8"/>
    <x v="0"/>
  </r>
  <r>
    <n v="46459228514"/>
    <n v="297"/>
    <x v="253"/>
    <s v=""/>
    <x v="8"/>
    <x v="0"/>
  </r>
  <r>
    <n v="81974396270"/>
    <n v="33"/>
    <x v="253"/>
    <s v=""/>
    <x v="8"/>
    <x v="0"/>
  </r>
  <r>
    <n v="98429088097"/>
    <n v="150"/>
    <x v="253"/>
    <s v=""/>
    <x v="8"/>
    <x v="0"/>
  </r>
  <r>
    <n v="76479482031"/>
    <n v="174"/>
    <x v="253"/>
    <s v=""/>
    <x v="8"/>
    <x v="0"/>
  </r>
  <r>
    <n v="78074198012"/>
    <n v="64"/>
    <x v="253"/>
    <s v=""/>
    <x v="8"/>
    <x v="0"/>
  </r>
  <r>
    <n v="77203758940"/>
    <n v="194"/>
    <x v="253"/>
    <s v=""/>
    <x v="8"/>
    <x v="0"/>
  </r>
  <r>
    <n v="72491545201"/>
    <n v="147"/>
    <x v="253"/>
    <m/>
    <x v="8"/>
    <x v="0"/>
  </r>
  <r>
    <n v="83466501242"/>
    <n v="234"/>
    <x v="253"/>
    <m/>
    <x v="8"/>
    <x v="0"/>
  </r>
  <r>
    <n v="13418119618"/>
    <n v="316"/>
    <x v="253"/>
    <s v=""/>
    <x v="8"/>
    <x v="0"/>
  </r>
  <r>
    <n v="55797532862"/>
    <n v="86"/>
    <x v="253"/>
    <s v=""/>
    <x v="8"/>
    <x v="0"/>
  </r>
  <r>
    <n v="86678249313"/>
    <n v="125"/>
    <x v="253"/>
    <s v=""/>
    <x v="8"/>
    <x v="0"/>
  </r>
  <r>
    <n v="78202556261"/>
    <n v="137"/>
    <x v="253"/>
    <s v=""/>
    <x v="8"/>
    <x v="0"/>
  </r>
  <r>
    <n v="43528386081"/>
    <n v="320"/>
    <x v="253"/>
    <s v=""/>
    <x v="8"/>
    <x v="0"/>
  </r>
  <r>
    <n v="85845574377"/>
    <n v="142"/>
    <x v="253"/>
    <s v=""/>
    <x v="8"/>
    <x v="0"/>
  </r>
  <r>
    <n v="65581077789"/>
    <n v="0"/>
    <x v="253"/>
    <m/>
    <x v="8"/>
    <x v="0"/>
  </r>
  <r>
    <n v="92464655779"/>
    <n v="79"/>
    <x v="253"/>
    <d v="2035-02-18T00:00:00"/>
    <x v="8"/>
    <x v="9"/>
  </r>
  <r>
    <n v="54464216743"/>
    <n v="239"/>
    <x v="253"/>
    <m/>
    <x v="8"/>
    <x v="0"/>
  </r>
  <r>
    <n v="68728031180"/>
    <n v="12"/>
    <x v="253"/>
    <s v=""/>
    <x v="8"/>
    <x v="0"/>
  </r>
  <r>
    <n v="41694467988"/>
    <n v="208"/>
    <x v="254"/>
    <s v=""/>
    <x v="8"/>
    <x v="0"/>
  </r>
  <r>
    <n v="28458266166"/>
    <n v="61"/>
    <x v="254"/>
    <s v=""/>
    <x v="8"/>
    <x v="0"/>
  </r>
  <r>
    <n v="20356108567"/>
    <n v="254"/>
    <x v="254"/>
    <s v=""/>
    <x v="8"/>
    <x v="0"/>
  </r>
  <r>
    <n v="22258130534"/>
    <n v="116"/>
    <x v="254"/>
    <s v=""/>
    <x v="8"/>
    <x v="0"/>
  </r>
  <r>
    <n v="20919033400"/>
    <n v="326"/>
    <x v="254"/>
    <s v=""/>
    <x v="8"/>
    <x v="0"/>
  </r>
  <r>
    <n v="99136880812"/>
    <n v="199"/>
    <x v="254"/>
    <s v=""/>
    <x v="8"/>
    <x v="0"/>
  </r>
  <r>
    <n v="95318578783"/>
    <n v="260"/>
    <x v="254"/>
    <s v=""/>
    <x v="8"/>
    <x v="0"/>
  </r>
  <r>
    <n v="13007862180"/>
    <n v="3"/>
    <x v="254"/>
    <d v="2035-02-27T00:00:00"/>
    <x v="8"/>
    <x v="9"/>
  </r>
  <r>
    <n v="33745843522"/>
    <n v="211"/>
    <x v="254"/>
    <s v=""/>
    <x v="8"/>
    <x v="0"/>
  </r>
  <r>
    <n v="68480485230"/>
    <n v="238"/>
    <x v="254"/>
    <s v=""/>
    <x v="8"/>
    <x v="0"/>
  </r>
  <r>
    <n v="82308737481"/>
    <n v="123"/>
    <x v="254"/>
    <s v=""/>
    <x v="8"/>
    <x v="0"/>
  </r>
  <r>
    <n v="39913291458"/>
    <n v="14"/>
    <x v="254"/>
    <m/>
    <x v="8"/>
    <x v="0"/>
  </r>
  <r>
    <n v="42529027288"/>
    <n v="284"/>
    <x v="254"/>
    <s v=""/>
    <x v="8"/>
    <x v="0"/>
  </r>
  <r>
    <n v="74089798159"/>
    <n v="209"/>
    <x v="254"/>
    <s v=""/>
    <x v="8"/>
    <x v="0"/>
  </r>
  <r>
    <n v="71362482832"/>
    <n v="204"/>
    <x v="254"/>
    <m/>
    <x v="8"/>
    <x v="0"/>
  </r>
  <r>
    <n v="65445125484"/>
    <n v="248"/>
    <x v="254"/>
    <m/>
    <x v="8"/>
    <x v="0"/>
  </r>
  <r>
    <n v="87215182722"/>
    <n v="138"/>
    <x v="254"/>
    <s v=""/>
    <x v="8"/>
    <x v="0"/>
  </r>
  <r>
    <n v="24018155102"/>
    <n v="340"/>
    <x v="254"/>
    <s v=""/>
    <x v="8"/>
    <x v="0"/>
  </r>
  <r>
    <n v="62666649794"/>
    <n v="127"/>
    <x v="254"/>
    <s v=""/>
    <x v="8"/>
    <x v="0"/>
  </r>
  <r>
    <n v="62009355914"/>
    <n v="207"/>
    <x v="254"/>
    <s v=""/>
    <x v="8"/>
    <x v="0"/>
  </r>
  <r>
    <n v="29349411008"/>
    <n v="3"/>
    <x v="254"/>
    <s v=""/>
    <x v="8"/>
    <x v="0"/>
  </r>
  <r>
    <n v="20482526292"/>
    <n v="329"/>
    <x v="254"/>
    <s v=""/>
    <x v="8"/>
    <x v="0"/>
  </r>
  <r>
    <n v="17361016423"/>
    <n v="334"/>
    <x v="254"/>
    <m/>
    <x v="8"/>
    <x v="0"/>
  </r>
  <r>
    <n v="85295503777"/>
    <n v="7"/>
    <x v="254"/>
    <s v=""/>
    <x v="8"/>
    <x v="0"/>
  </r>
  <r>
    <n v="39406900619"/>
    <n v="47"/>
    <x v="254"/>
    <s v=""/>
    <x v="8"/>
    <x v="0"/>
  </r>
  <r>
    <n v="25476537267"/>
    <n v="179"/>
    <x v="255"/>
    <s v=""/>
    <x v="8"/>
    <x v="0"/>
  </r>
  <r>
    <n v="86999712102"/>
    <n v="205"/>
    <x v="255"/>
    <s v=""/>
    <x v="8"/>
    <x v="0"/>
  </r>
  <r>
    <n v="39858080883"/>
    <n v="130"/>
    <x v="255"/>
    <s v=""/>
    <x v="8"/>
    <x v="0"/>
  </r>
  <r>
    <n v="42415276099"/>
    <n v="143"/>
    <x v="255"/>
    <s v=""/>
    <x v="8"/>
    <x v="0"/>
  </r>
  <r>
    <n v="57411480428"/>
    <n v="246"/>
    <x v="255"/>
    <s v=""/>
    <x v="8"/>
    <x v="0"/>
  </r>
  <r>
    <n v="71408281126"/>
    <n v="326"/>
    <x v="255"/>
    <s v=""/>
    <x v="8"/>
    <x v="0"/>
  </r>
  <r>
    <n v="30363017692"/>
    <n v="164"/>
    <x v="255"/>
    <s v=""/>
    <x v="8"/>
    <x v="0"/>
  </r>
  <r>
    <n v="31923585762"/>
    <n v="105"/>
    <x v="255"/>
    <s v=""/>
    <x v="8"/>
    <x v="0"/>
  </r>
  <r>
    <n v="77576563358"/>
    <n v="16"/>
    <x v="255"/>
    <s v=""/>
    <x v="8"/>
    <x v="0"/>
  </r>
  <r>
    <n v="23620949905"/>
    <n v="57"/>
    <x v="255"/>
    <s v=""/>
    <x v="8"/>
    <x v="0"/>
  </r>
  <r>
    <n v="52315165339"/>
    <n v="71"/>
    <x v="255"/>
    <m/>
    <x v="8"/>
    <x v="0"/>
  </r>
  <r>
    <n v="60211979276"/>
    <n v="195"/>
    <x v="255"/>
    <m/>
    <x v="8"/>
    <x v="0"/>
  </r>
  <r>
    <n v="48404309561"/>
    <n v="229"/>
    <x v="255"/>
    <s v=""/>
    <x v="8"/>
    <x v="0"/>
  </r>
  <r>
    <n v="31082265177"/>
    <n v="78"/>
    <x v="255"/>
    <s v=""/>
    <x v="8"/>
    <x v="0"/>
  </r>
  <r>
    <n v="56592124299"/>
    <n v="198"/>
    <x v="255"/>
    <s v=""/>
    <x v="8"/>
    <x v="0"/>
  </r>
  <r>
    <n v="96382689903"/>
    <n v="53"/>
    <x v="255"/>
    <s v=""/>
    <x v="8"/>
    <x v="0"/>
  </r>
  <r>
    <n v="76900360602"/>
    <n v="85"/>
    <x v="255"/>
    <m/>
    <x v="8"/>
    <x v="0"/>
  </r>
  <r>
    <n v="96633678958"/>
    <n v="327"/>
    <x v="255"/>
    <s v=""/>
    <x v="8"/>
    <x v="0"/>
  </r>
  <r>
    <n v="96684762910"/>
    <n v="265"/>
    <x v="255"/>
    <m/>
    <x v="8"/>
    <x v="0"/>
  </r>
  <r>
    <n v="87453677698"/>
    <n v="229"/>
    <x v="255"/>
    <s v=""/>
    <x v="8"/>
    <x v="0"/>
  </r>
  <r>
    <n v="36176599682"/>
    <n v="181"/>
    <x v="255"/>
    <s v=""/>
    <x v="8"/>
    <x v="0"/>
  </r>
  <r>
    <n v="79721786910"/>
    <n v="175"/>
    <x v="255"/>
    <s v=""/>
    <x v="8"/>
    <x v="0"/>
  </r>
  <r>
    <n v="53071407061"/>
    <n v="280"/>
    <x v="255"/>
    <m/>
    <x v="8"/>
    <x v="0"/>
  </r>
  <r>
    <n v="53044717339"/>
    <n v="318"/>
    <x v="255"/>
    <m/>
    <x v="8"/>
    <x v="0"/>
  </r>
  <r>
    <n v="22658223801"/>
    <n v="130"/>
    <x v="255"/>
    <s v=""/>
    <x v="8"/>
    <x v="0"/>
  </r>
  <r>
    <n v="63154742632"/>
    <n v="330"/>
    <x v="255"/>
    <d v="2035-02-19T00:00:00"/>
    <x v="8"/>
    <x v="9"/>
  </r>
  <r>
    <n v="14460616281"/>
    <n v="11"/>
    <x v="255"/>
    <s v=""/>
    <x v="8"/>
    <x v="0"/>
  </r>
  <r>
    <n v="87493467461"/>
    <n v="53"/>
    <x v="255"/>
    <s v=""/>
    <x v="8"/>
    <x v="0"/>
  </r>
  <r>
    <n v="12843077674"/>
    <n v="162"/>
    <x v="255"/>
    <s v=""/>
    <x v="8"/>
    <x v="0"/>
  </r>
  <r>
    <n v="99467404358"/>
    <n v="114"/>
    <x v="255"/>
    <s v=""/>
    <x v="8"/>
    <x v="0"/>
  </r>
  <r>
    <n v="19276774219"/>
    <n v="75"/>
    <x v="255"/>
    <s v=""/>
    <x v="8"/>
    <x v="0"/>
  </r>
  <r>
    <n v="91404044931"/>
    <n v="98"/>
    <x v="255"/>
    <s v=""/>
    <x v="8"/>
    <x v="0"/>
  </r>
  <r>
    <n v="26806199378"/>
    <n v="226"/>
    <x v="255"/>
    <s v=""/>
    <x v="8"/>
    <x v="0"/>
  </r>
  <r>
    <n v="72322624584"/>
    <n v="208"/>
    <x v="256"/>
    <s v=""/>
    <x v="8"/>
    <x v="0"/>
  </r>
  <r>
    <n v="56490474303"/>
    <n v="14"/>
    <x v="256"/>
    <s v=""/>
    <x v="8"/>
    <x v="0"/>
  </r>
  <r>
    <n v="17226109463"/>
    <n v="114"/>
    <x v="256"/>
    <s v=""/>
    <x v="8"/>
    <x v="0"/>
  </r>
  <r>
    <n v="22479289481"/>
    <n v="105"/>
    <x v="256"/>
    <s v=""/>
    <x v="8"/>
    <x v="0"/>
  </r>
  <r>
    <n v="60659622276"/>
    <n v="63"/>
    <x v="256"/>
    <s v=""/>
    <x v="8"/>
    <x v="0"/>
  </r>
  <r>
    <n v="91953580328"/>
    <n v="25"/>
    <x v="256"/>
    <s v=""/>
    <x v="8"/>
    <x v="0"/>
  </r>
  <r>
    <n v="71712658338"/>
    <n v="249"/>
    <x v="256"/>
    <s v=""/>
    <x v="8"/>
    <x v="0"/>
  </r>
  <r>
    <n v="82719080779"/>
    <n v="295"/>
    <x v="256"/>
    <d v="2035-02-22T00:00:00"/>
    <x v="8"/>
    <x v="9"/>
  </r>
  <r>
    <n v="28655311789"/>
    <n v="200"/>
    <x v="256"/>
    <s v=""/>
    <x v="8"/>
    <x v="0"/>
  </r>
  <r>
    <n v="20347742864"/>
    <n v="261"/>
    <x v="256"/>
    <s v=""/>
    <x v="8"/>
    <x v="0"/>
  </r>
  <r>
    <n v="99143470737"/>
    <n v="163"/>
    <x v="256"/>
    <m/>
    <x v="8"/>
    <x v="0"/>
  </r>
  <r>
    <n v="41480519182"/>
    <n v="331"/>
    <x v="256"/>
    <s v=""/>
    <x v="8"/>
    <x v="0"/>
  </r>
  <r>
    <n v="23924666019"/>
    <n v="219"/>
    <x v="256"/>
    <s v=""/>
    <x v="8"/>
    <x v="0"/>
  </r>
  <r>
    <n v="56086394916"/>
    <n v="302"/>
    <x v="256"/>
    <s v=""/>
    <x v="8"/>
    <x v="0"/>
  </r>
  <r>
    <n v="39529265016"/>
    <n v="145"/>
    <x v="256"/>
    <s v=""/>
    <x v="8"/>
    <x v="0"/>
  </r>
  <r>
    <n v="87076925335"/>
    <n v="98"/>
    <x v="256"/>
    <m/>
    <x v="8"/>
    <x v="0"/>
  </r>
  <r>
    <n v="40769478419"/>
    <n v="232"/>
    <x v="256"/>
    <s v=""/>
    <x v="8"/>
    <x v="0"/>
  </r>
  <r>
    <n v="28112954752"/>
    <n v="229"/>
    <x v="256"/>
    <m/>
    <x v="8"/>
    <x v="0"/>
  </r>
  <r>
    <n v="45867135920"/>
    <n v="135"/>
    <x v="256"/>
    <s v=""/>
    <x v="8"/>
    <x v="0"/>
  </r>
  <r>
    <n v="57645427343"/>
    <n v="101"/>
    <x v="256"/>
    <s v=""/>
    <x v="8"/>
    <x v="0"/>
  </r>
  <r>
    <n v="92979427492"/>
    <n v="230"/>
    <x v="256"/>
    <s v=""/>
    <x v="8"/>
    <x v="0"/>
  </r>
  <r>
    <n v="49929182599"/>
    <n v="9"/>
    <x v="256"/>
    <s v=""/>
    <x v="8"/>
    <x v="0"/>
  </r>
  <r>
    <n v="61571102111"/>
    <n v="8"/>
    <x v="256"/>
    <s v=""/>
    <x v="8"/>
    <x v="0"/>
  </r>
  <r>
    <n v="88278867112"/>
    <n v="118"/>
    <x v="256"/>
    <s v=""/>
    <x v="8"/>
    <x v="0"/>
  </r>
  <r>
    <n v="58720076167"/>
    <n v="49"/>
    <x v="256"/>
    <m/>
    <x v="8"/>
    <x v="0"/>
  </r>
  <r>
    <n v="13565858595"/>
    <n v="51"/>
    <x v="256"/>
    <s v=""/>
    <x v="8"/>
    <x v="0"/>
  </r>
  <r>
    <n v="57860040288"/>
    <n v="155"/>
    <x v="256"/>
    <s v=""/>
    <x v="8"/>
    <x v="0"/>
  </r>
  <r>
    <n v="63834957920"/>
    <n v="248"/>
    <x v="256"/>
    <m/>
    <x v="8"/>
    <x v="0"/>
  </r>
  <r>
    <n v="15770027148"/>
    <n v="140"/>
    <x v="256"/>
    <s v=""/>
    <x v="8"/>
    <x v="0"/>
  </r>
  <r>
    <n v="79475930951"/>
    <n v="32"/>
    <x v="256"/>
    <s v=""/>
    <x v="8"/>
    <x v="0"/>
  </r>
  <r>
    <n v="86029754710"/>
    <n v="126"/>
    <x v="256"/>
    <s v=""/>
    <x v="8"/>
    <x v="0"/>
  </r>
  <r>
    <n v="92204322593"/>
    <n v="222"/>
    <x v="256"/>
    <s v=""/>
    <x v="8"/>
    <x v="0"/>
  </r>
  <r>
    <n v="93141922802"/>
    <n v="216"/>
    <x v="256"/>
    <s v=""/>
    <x v="8"/>
    <x v="0"/>
  </r>
  <r>
    <n v="77723002253"/>
    <n v="232"/>
    <x v="256"/>
    <s v=""/>
    <x v="8"/>
    <x v="0"/>
  </r>
  <r>
    <n v="63160916312"/>
    <n v="92"/>
    <x v="256"/>
    <s v=""/>
    <x v="8"/>
    <x v="0"/>
  </r>
  <r>
    <n v="86755850046"/>
    <n v="95"/>
    <x v="257"/>
    <s v=""/>
    <x v="8"/>
    <x v="0"/>
  </r>
  <r>
    <n v="56909302308"/>
    <n v="329"/>
    <x v="257"/>
    <s v=""/>
    <x v="8"/>
    <x v="0"/>
  </r>
  <r>
    <n v="51559204982"/>
    <n v="161"/>
    <x v="257"/>
    <s v=""/>
    <x v="8"/>
    <x v="0"/>
  </r>
  <r>
    <n v="11131943951"/>
    <n v="39"/>
    <x v="257"/>
    <m/>
    <x v="8"/>
    <x v="0"/>
  </r>
  <r>
    <n v="78907112938"/>
    <n v="39"/>
    <x v="257"/>
    <s v=""/>
    <x v="8"/>
    <x v="0"/>
  </r>
  <r>
    <n v="70827547170"/>
    <n v="77"/>
    <x v="257"/>
    <s v=""/>
    <x v="8"/>
    <x v="0"/>
  </r>
  <r>
    <n v="30307763733"/>
    <n v="24"/>
    <x v="257"/>
    <s v=""/>
    <x v="8"/>
    <x v="0"/>
  </r>
  <r>
    <n v="32209050312"/>
    <n v="209"/>
    <x v="257"/>
    <s v=""/>
    <x v="8"/>
    <x v="0"/>
  </r>
  <r>
    <n v="41612350468"/>
    <n v="89"/>
    <x v="257"/>
    <d v="2035-02-13T00:00:00"/>
    <x v="8"/>
    <x v="9"/>
  </r>
  <r>
    <n v="45929953771"/>
    <n v="158"/>
    <x v="257"/>
    <s v=""/>
    <x v="8"/>
    <x v="0"/>
  </r>
  <r>
    <n v="50779853722"/>
    <n v="226"/>
    <x v="257"/>
    <m/>
    <x v="8"/>
    <x v="0"/>
  </r>
  <r>
    <n v="17253976006"/>
    <n v="87"/>
    <x v="257"/>
    <m/>
    <x v="8"/>
    <x v="0"/>
  </r>
  <r>
    <n v="20494498535"/>
    <n v="116"/>
    <x v="257"/>
    <s v=""/>
    <x v="8"/>
    <x v="0"/>
  </r>
  <r>
    <n v="78944464254"/>
    <n v="6"/>
    <x v="257"/>
    <s v=""/>
    <x v="8"/>
    <x v="0"/>
  </r>
  <r>
    <n v="48300230991"/>
    <n v="273"/>
    <x v="257"/>
    <s v=""/>
    <x v="8"/>
    <x v="0"/>
  </r>
  <r>
    <n v="56190461071"/>
    <n v="153"/>
    <x v="257"/>
    <s v=""/>
    <x v="8"/>
    <x v="0"/>
  </r>
  <r>
    <n v="11801828706"/>
    <n v="10"/>
    <x v="257"/>
    <m/>
    <x v="8"/>
    <x v="0"/>
  </r>
  <r>
    <n v="49208235116"/>
    <n v="127"/>
    <x v="257"/>
    <s v=""/>
    <x v="8"/>
    <x v="0"/>
  </r>
  <r>
    <n v="29224487786"/>
    <n v="250"/>
    <x v="257"/>
    <m/>
    <x v="8"/>
    <x v="0"/>
  </r>
  <r>
    <n v="72799922599"/>
    <n v="210"/>
    <x v="257"/>
    <m/>
    <x v="8"/>
    <x v="0"/>
  </r>
  <r>
    <n v="41025777108"/>
    <n v="171"/>
    <x v="257"/>
    <s v=""/>
    <x v="8"/>
    <x v="0"/>
  </r>
  <r>
    <n v="97842440101"/>
    <n v="159"/>
    <x v="257"/>
    <s v=""/>
    <x v="8"/>
    <x v="0"/>
  </r>
  <r>
    <n v="39575928295"/>
    <n v="278"/>
    <x v="257"/>
    <m/>
    <x v="8"/>
    <x v="0"/>
  </r>
  <r>
    <n v="77191349201"/>
    <n v="38"/>
    <x v="257"/>
    <s v=""/>
    <x v="8"/>
    <x v="0"/>
  </r>
  <r>
    <n v="52317689099"/>
    <n v="251"/>
    <x v="257"/>
    <s v=""/>
    <x v="8"/>
    <x v="0"/>
  </r>
  <r>
    <n v="65487691157"/>
    <n v="234"/>
    <x v="257"/>
    <s v=""/>
    <x v="8"/>
    <x v="0"/>
  </r>
  <r>
    <n v="25368848931"/>
    <n v="137"/>
    <x v="257"/>
    <s v=""/>
    <x v="8"/>
    <x v="0"/>
  </r>
  <r>
    <n v="94713733091"/>
    <n v="81"/>
    <x v="257"/>
    <s v=""/>
    <x v="8"/>
    <x v="0"/>
  </r>
  <r>
    <n v="96592530868"/>
    <n v="13"/>
    <x v="257"/>
    <s v=""/>
    <x v="8"/>
    <x v="0"/>
  </r>
  <r>
    <n v="85957749889"/>
    <n v="317"/>
    <x v="257"/>
    <s v=""/>
    <x v="8"/>
    <x v="0"/>
  </r>
  <r>
    <n v="56431587025"/>
    <n v="48"/>
    <x v="257"/>
    <s v=""/>
    <x v="8"/>
    <x v="0"/>
  </r>
  <r>
    <n v="44113254869"/>
    <n v="108"/>
    <x v="257"/>
    <m/>
    <x v="8"/>
    <x v="0"/>
  </r>
  <r>
    <n v="28861206282"/>
    <n v="128"/>
    <x v="257"/>
    <s v=""/>
    <x v="8"/>
    <x v="0"/>
  </r>
  <r>
    <n v="40542509956"/>
    <n v="261"/>
    <x v="257"/>
    <s v=""/>
    <x v="8"/>
    <x v="0"/>
  </r>
  <r>
    <n v="53390691563"/>
    <n v="49"/>
    <x v="257"/>
    <s v=""/>
    <x v="8"/>
    <x v="0"/>
  </r>
  <r>
    <n v="97968418616"/>
    <n v="167"/>
    <x v="257"/>
    <s v=""/>
    <x v="8"/>
    <x v="0"/>
  </r>
  <r>
    <n v="17605421737"/>
    <n v="226"/>
    <x v="257"/>
    <m/>
    <x v="8"/>
    <x v="0"/>
  </r>
  <r>
    <n v="46056329366"/>
    <n v="248"/>
    <x v="257"/>
    <s v=""/>
    <x v="8"/>
    <x v="0"/>
  </r>
  <r>
    <n v="82246084699"/>
    <n v="0"/>
    <x v="257"/>
    <s v=""/>
    <x v="8"/>
    <x v="0"/>
  </r>
  <r>
    <n v="51189044211"/>
    <n v="219"/>
    <x v="257"/>
    <s v=""/>
    <x v="8"/>
    <x v="0"/>
  </r>
  <r>
    <n v="73966943234"/>
    <n v="305"/>
    <x v="258"/>
    <s v=""/>
    <x v="8"/>
    <x v="0"/>
  </r>
  <r>
    <n v="16713130283"/>
    <n v="6"/>
    <x v="258"/>
    <s v=""/>
    <x v="8"/>
    <x v="0"/>
  </r>
  <r>
    <n v="73182149976"/>
    <n v="316"/>
    <x v="258"/>
    <s v=""/>
    <x v="8"/>
    <x v="0"/>
  </r>
  <r>
    <n v="69832116530"/>
    <n v="68"/>
    <x v="258"/>
    <s v=""/>
    <x v="8"/>
    <x v="0"/>
  </r>
  <r>
    <n v="58619507385"/>
    <n v="135"/>
    <x v="258"/>
    <s v=""/>
    <x v="8"/>
    <x v="0"/>
  </r>
  <r>
    <n v="39435844379"/>
    <n v="142"/>
    <x v="258"/>
    <s v=""/>
    <x v="8"/>
    <x v="0"/>
  </r>
  <r>
    <n v="98869271881"/>
    <n v="158"/>
    <x v="258"/>
    <m/>
    <x v="8"/>
    <x v="0"/>
  </r>
  <r>
    <n v="20460997215"/>
    <n v="75"/>
    <x v="258"/>
    <s v=""/>
    <x v="8"/>
    <x v="0"/>
  </r>
  <r>
    <n v="96068941421"/>
    <n v="333"/>
    <x v="258"/>
    <s v=""/>
    <x v="8"/>
    <x v="0"/>
  </r>
  <r>
    <n v="61765345606"/>
    <n v="67"/>
    <x v="258"/>
    <s v=""/>
    <x v="8"/>
    <x v="0"/>
  </r>
  <r>
    <n v="40392841555"/>
    <n v="267"/>
    <x v="258"/>
    <s v=""/>
    <x v="8"/>
    <x v="0"/>
  </r>
  <r>
    <n v="50445414452"/>
    <n v="100"/>
    <x v="258"/>
    <s v=""/>
    <x v="8"/>
    <x v="0"/>
  </r>
  <r>
    <n v="60901429200"/>
    <n v="246"/>
    <x v="258"/>
    <s v=""/>
    <x v="8"/>
    <x v="0"/>
  </r>
  <r>
    <n v="30037406355"/>
    <n v="73"/>
    <x v="258"/>
    <s v=""/>
    <x v="8"/>
    <x v="0"/>
  </r>
  <r>
    <n v="57845552242"/>
    <n v="188"/>
    <x v="258"/>
    <s v=""/>
    <x v="8"/>
    <x v="0"/>
  </r>
  <r>
    <n v="59771478419"/>
    <n v="173"/>
    <x v="258"/>
    <m/>
    <x v="8"/>
    <x v="0"/>
  </r>
  <r>
    <n v="22579906815"/>
    <n v="154"/>
    <x v="258"/>
    <s v=""/>
    <x v="8"/>
    <x v="0"/>
  </r>
  <r>
    <n v="50018361863"/>
    <n v="310"/>
    <x v="258"/>
    <d v="2035-02-22T00:00:00"/>
    <x v="8"/>
    <x v="9"/>
  </r>
  <r>
    <n v="86648977354"/>
    <n v="43"/>
    <x v="258"/>
    <s v=""/>
    <x v="8"/>
    <x v="0"/>
  </r>
  <r>
    <n v="56166008776"/>
    <n v="58"/>
    <x v="258"/>
    <s v=""/>
    <x v="8"/>
    <x v="0"/>
  </r>
  <r>
    <n v="38218479942"/>
    <n v="106"/>
    <x v="258"/>
    <s v=""/>
    <x v="8"/>
    <x v="0"/>
  </r>
  <r>
    <n v="41066741526"/>
    <n v="236"/>
    <x v="258"/>
    <s v=""/>
    <x v="8"/>
    <x v="0"/>
  </r>
  <r>
    <n v="24278142527"/>
    <n v="276"/>
    <x v="258"/>
    <s v=""/>
    <x v="8"/>
    <x v="0"/>
  </r>
  <r>
    <n v="47040201065"/>
    <n v="299"/>
    <x v="258"/>
    <m/>
    <x v="8"/>
    <x v="0"/>
  </r>
  <r>
    <n v="43666527724"/>
    <n v="265"/>
    <x v="258"/>
    <s v=""/>
    <x v="8"/>
    <x v="0"/>
  </r>
  <r>
    <n v="98368704199"/>
    <n v="216"/>
    <x v="258"/>
    <s v=""/>
    <x v="8"/>
    <x v="0"/>
  </r>
  <r>
    <n v="66383421824"/>
    <n v="189"/>
    <x v="258"/>
    <m/>
    <x v="8"/>
    <x v="0"/>
  </r>
  <r>
    <n v="22315197147"/>
    <n v="223"/>
    <x v="258"/>
    <s v=""/>
    <x v="8"/>
    <x v="0"/>
  </r>
  <r>
    <n v="84158098083"/>
    <n v="133"/>
    <x v="258"/>
    <d v="2035-02-25T00:00:00"/>
    <x v="8"/>
    <x v="9"/>
  </r>
  <r>
    <n v="57741949575"/>
    <n v="53"/>
    <x v="258"/>
    <s v=""/>
    <x v="8"/>
    <x v="0"/>
  </r>
  <r>
    <n v="53594244218"/>
    <n v="166"/>
    <x v="258"/>
    <s v=""/>
    <x v="8"/>
    <x v="0"/>
  </r>
  <r>
    <n v="77176277326"/>
    <n v="8"/>
    <x v="258"/>
    <s v=""/>
    <x v="8"/>
    <x v="0"/>
  </r>
  <r>
    <n v="23999516195"/>
    <n v="199"/>
    <x v="258"/>
    <s v=""/>
    <x v="8"/>
    <x v="0"/>
  </r>
  <r>
    <n v="12893363180"/>
    <n v="44"/>
    <x v="258"/>
    <m/>
    <x v="8"/>
    <x v="0"/>
  </r>
  <r>
    <n v="70141365684"/>
    <n v="197"/>
    <x v="258"/>
    <s v=""/>
    <x v="8"/>
    <x v="0"/>
  </r>
  <r>
    <n v="81952073835"/>
    <n v="115"/>
    <x v="258"/>
    <m/>
    <x v="8"/>
    <x v="0"/>
  </r>
  <r>
    <n v="13270694199"/>
    <n v="162"/>
    <x v="258"/>
    <s v=""/>
    <x v="8"/>
    <x v="0"/>
  </r>
  <r>
    <n v="99059028961"/>
    <n v="213"/>
    <x v="258"/>
    <s v=""/>
    <x v="8"/>
    <x v="0"/>
  </r>
  <r>
    <n v="87113552201"/>
    <n v="335"/>
    <x v="259"/>
    <s v=""/>
    <x v="8"/>
    <x v="0"/>
  </r>
  <r>
    <n v="68403250288"/>
    <n v="259"/>
    <x v="259"/>
    <s v=""/>
    <x v="8"/>
    <x v="0"/>
  </r>
  <r>
    <n v="43158077850"/>
    <n v="283"/>
    <x v="259"/>
    <s v=""/>
    <x v="8"/>
    <x v="0"/>
  </r>
  <r>
    <n v="99946183582"/>
    <n v="311"/>
    <x v="259"/>
    <s v=""/>
    <x v="8"/>
    <x v="0"/>
  </r>
  <r>
    <n v="56010456360"/>
    <n v="163"/>
    <x v="259"/>
    <s v=""/>
    <x v="8"/>
    <x v="0"/>
  </r>
  <r>
    <n v="69183012547"/>
    <n v="276"/>
    <x v="259"/>
    <d v="2035-02-27T00:00:00"/>
    <x v="8"/>
    <x v="9"/>
  </r>
  <r>
    <n v="90056229174"/>
    <n v="135"/>
    <x v="259"/>
    <s v=""/>
    <x v="8"/>
    <x v="0"/>
  </r>
  <r>
    <n v="74253639966"/>
    <n v="167"/>
    <x v="259"/>
    <s v=""/>
    <x v="8"/>
    <x v="0"/>
  </r>
  <r>
    <n v="57494197803"/>
    <n v="154"/>
    <x v="259"/>
    <s v=""/>
    <x v="8"/>
    <x v="0"/>
  </r>
  <r>
    <n v="64874806319"/>
    <n v="150"/>
    <x v="259"/>
    <s v=""/>
    <x v="8"/>
    <x v="0"/>
  </r>
  <r>
    <n v="14192855949"/>
    <n v="121"/>
    <x v="259"/>
    <s v=""/>
    <x v="8"/>
    <x v="0"/>
  </r>
  <r>
    <n v="31171412524"/>
    <n v="330"/>
    <x v="259"/>
    <m/>
    <x v="8"/>
    <x v="0"/>
  </r>
  <r>
    <n v="75746011545"/>
    <n v="167"/>
    <x v="259"/>
    <s v=""/>
    <x v="8"/>
    <x v="0"/>
  </r>
  <r>
    <n v="92790819712"/>
    <n v="250"/>
    <x v="259"/>
    <s v=""/>
    <x v="8"/>
    <x v="0"/>
  </r>
  <r>
    <n v="21027987407"/>
    <n v="150"/>
    <x v="259"/>
    <s v=""/>
    <x v="8"/>
    <x v="0"/>
  </r>
  <r>
    <n v="20849965045"/>
    <n v="262"/>
    <x v="259"/>
    <s v=""/>
    <x v="8"/>
    <x v="0"/>
  </r>
  <r>
    <n v="45708762043"/>
    <n v="172"/>
    <x v="259"/>
    <s v=""/>
    <x v="8"/>
    <x v="0"/>
  </r>
  <r>
    <n v="41727182080"/>
    <n v="276"/>
    <x v="259"/>
    <s v=""/>
    <x v="8"/>
    <x v="0"/>
  </r>
  <r>
    <n v="31985175126"/>
    <n v="220"/>
    <x v="259"/>
    <s v=""/>
    <x v="8"/>
    <x v="0"/>
  </r>
  <r>
    <n v="68378095241"/>
    <n v="44"/>
    <x v="259"/>
    <s v=""/>
    <x v="8"/>
    <x v="0"/>
  </r>
  <r>
    <n v="49559595754"/>
    <n v="47"/>
    <x v="259"/>
    <s v=""/>
    <x v="8"/>
    <x v="0"/>
  </r>
  <r>
    <n v="91788043108"/>
    <n v="317"/>
    <x v="259"/>
    <s v=""/>
    <x v="8"/>
    <x v="0"/>
  </r>
  <r>
    <n v="97536242493"/>
    <n v="65"/>
    <x v="259"/>
    <s v=""/>
    <x v="8"/>
    <x v="0"/>
  </r>
  <r>
    <n v="24282936898"/>
    <n v="204"/>
    <x v="259"/>
    <s v=""/>
    <x v="8"/>
    <x v="0"/>
  </r>
  <r>
    <n v="83583355192"/>
    <n v="248"/>
    <x v="259"/>
    <s v=""/>
    <x v="8"/>
    <x v="0"/>
  </r>
  <r>
    <n v="99049271926"/>
    <n v="116"/>
    <x v="259"/>
    <d v="2035-02-15T00:00:00"/>
    <x v="8"/>
    <x v="9"/>
  </r>
  <r>
    <n v="51585601772"/>
    <n v="245"/>
    <x v="259"/>
    <s v=""/>
    <x v="8"/>
    <x v="0"/>
  </r>
  <r>
    <n v="51846300522"/>
    <n v="132"/>
    <x v="259"/>
    <m/>
    <x v="8"/>
    <x v="0"/>
  </r>
  <r>
    <n v="68713798129"/>
    <n v="164"/>
    <x v="259"/>
    <s v=""/>
    <x v="8"/>
    <x v="0"/>
  </r>
  <r>
    <n v="76365461738"/>
    <n v="239"/>
    <x v="259"/>
    <s v=""/>
    <x v="8"/>
    <x v="0"/>
  </r>
  <r>
    <n v="23567946820"/>
    <n v="205"/>
    <x v="260"/>
    <s v=""/>
    <x v="8"/>
    <x v="0"/>
  </r>
  <r>
    <n v="48326515030"/>
    <n v="55"/>
    <x v="260"/>
    <s v=""/>
    <x v="8"/>
    <x v="0"/>
  </r>
  <r>
    <n v="48611467217"/>
    <n v="214"/>
    <x v="260"/>
    <s v=""/>
    <x v="8"/>
    <x v="0"/>
  </r>
  <r>
    <n v="52794517120"/>
    <n v="10"/>
    <x v="260"/>
    <d v="2035-02-18T00:00:00"/>
    <x v="8"/>
    <x v="9"/>
  </r>
  <r>
    <n v="59301082899"/>
    <n v="314"/>
    <x v="260"/>
    <s v=""/>
    <x v="8"/>
    <x v="0"/>
  </r>
  <r>
    <n v="38772752189"/>
    <n v="294"/>
    <x v="260"/>
    <s v=""/>
    <x v="8"/>
    <x v="0"/>
  </r>
  <r>
    <n v="69023200239"/>
    <n v="174"/>
    <x v="260"/>
    <s v=""/>
    <x v="8"/>
    <x v="0"/>
  </r>
  <r>
    <n v="15221308964"/>
    <n v="39"/>
    <x v="260"/>
    <s v=""/>
    <x v="8"/>
    <x v="0"/>
  </r>
  <r>
    <n v="55261606276"/>
    <n v="181"/>
    <x v="260"/>
    <s v=""/>
    <x v="8"/>
    <x v="0"/>
  </r>
  <r>
    <n v="62198590163"/>
    <n v="322"/>
    <x v="260"/>
    <s v=""/>
    <x v="8"/>
    <x v="0"/>
  </r>
  <r>
    <n v="97289928905"/>
    <n v="276"/>
    <x v="260"/>
    <s v=""/>
    <x v="8"/>
    <x v="0"/>
  </r>
  <r>
    <n v="66119569483"/>
    <n v="327"/>
    <x v="260"/>
    <s v=""/>
    <x v="8"/>
    <x v="0"/>
  </r>
  <r>
    <n v="91624540036"/>
    <n v="154"/>
    <x v="260"/>
    <s v=""/>
    <x v="8"/>
    <x v="0"/>
  </r>
  <r>
    <n v="43022631528"/>
    <n v="334"/>
    <x v="260"/>
    <s v=""/>
    <x v="8"/>
    <x v="0"/>
  </r>
  <r>
    <n v="87149483936"/>
    <n v="220"/>
    <x v="260"/>
    <d v="2035-02-19T00:00:00"/>
    <x v="8"/>
    <x v="9"/>
  </r>
  <r>
    <n v="98991941729"/>
    <n v="228"/>
    <x v="260"/>
    <s v=""/>
    <x v="8"/>
    <x v="0"/>
  </r>
  <r>
    <n v="66924402337"/>
    <n v="106"/>
    <x v="260"/>
    <s v=""/>
    <x v="8"/>
    <x v="0"/>
  </r>
  <r>
    <n v="32718206287"/>
    <n v="181"/>
    <x v="260"/>
    <s v=""/>
    <x v="8"/>
    <x v="0"/>
  </r>
  <r>
    <n v="51717336284"/>
    <n v="150"/>
    <x v="260"/>
    <s v=""/>
    <x v="8"/>
    <x v="0"/>
  </r>
  <r>
    <n v="19000728065"/>
    <n v="222"/>
    <x v="260"/>
    <m/>
    <x v="8"/>
    <x v="0"/>
  </r>
  <r>
    <n v="18170349905"/>
    <n v="193"/>
    <x v="260"/>
    <s v=""/>
    <x v="8"/>
    <x v="0"/>
  </r>
  <r>
    <n v="52272771220"/>
    <n v="94"/>
    <x v="260"/>
    <s v=""/>
    <x v="8"/>
    <x v="0"/>
  </r>
  <r>
    <n v="78960460221"/>
    <n v="246"/>
    <x v="260"/>
    <s v=""/>
    <x v="8"/>
    <x v="0"/>
  </r>
  <r>
    <n v="32899038389"/>
    <n v="76"/>
    <x v="260"/>
    <s v=""/>
    <x v="8"/>
    <x v="0"/>
  </r>
  <r>
    <n v="30101645296"/>
    <n v="332"/>
    <x v="260"/>
    <s v=""/>
    <x v="8"/>
    <x v="0"/>
  </r>
  <r>
    <n v="21253244595"/>
    <n v="102"/>
    <x v="260"/>
    <m/>
    <x v="8"/>
    <x v="0"/>
  </r>
  <r>
    <n v="86788358071"/>
    <n v="267"/>
    <x v="260"/>
    <m/>
    <x v="8"/>
    <x v="0"/>
  </r>
  <r>
    <n v="19535421003"/>
    <n v="225"/>
    <x v="260"/>
    <s v=""/>
    <x v="8"/>
    <x v="0"/>
  </r>
  <r>
    <n v="60849402787"/>
    <n v="124"/>
    <x v="260"/>
    <s v=""/>
    <x v="8"/>
    <x v="0"/>
  </r>
  <r>
    <n v="81104137195"/>
    <n v="166"/>
    <x v="260"/>
    <m/>
    <x v="8"/>
    <x v="0"/>
  </r>
  <r>
    <n v="53521865501"/>
    <n v="9"/>
    <x v="260"/>
    <s v=""/>
    <x v="8"/>
    <x v="0"/>
  </r>
  <r>
    <n v="35868428507"/>
    <n v="47"/>
    <x v="260"/>
    <s v=""/>
    <x v="8"/>
    <x v="0"/>
  </r>
  <r>
    <n v="25428619307"/>
    <n v="252"/>
    <x v="261"/>
    <s v=""/>
    <x v="8"/>
    <x v="0"/>
  </r>
  <r>
    <n v="97784050351"/>
    <n v="68"/>
    <x v="261"/>
    <s v=""/>
    <x v="8"/>
    <x v="0"/>
  </r>
  <r>
    <n v="50595452897"/>
    <n v="243"/>
    <x v="261"/>
    <s v=""/>
    <x v="8"/>
    <x v="0"/>
  </r>
  <r>
    <n v="73629195479"/>
    <n v="73"/>
    <x v="261"/>
    <m/>
    <x v="8"/>
    <x v="0"/>
  </r>
  <r>
    <n v="45152526113"/>
    <n v="304"/>
    <x v="261"/>
    <s v=""/>
    <x v="8"/>
    <x v="0"/>
  </r>
  <r>
    <n v="85280784363"/>
    <n v="300"/>
    <x v="261"/>
    <s v=""/>
    <x v="8"/>
    <x v="0"/>
  </r>
  <r>
    <n v="53962641176"/>
    <n v="164"/>
    <x v="261"/>
    <s v=""/>
    <x v="8"/>
    <x v="0"/>
  </r>
  <r>
    <n v="56954305714"/>
    <n v="262"/>
    <x v="261"/>
    <m/>
    <x v="8"/>
    <x v="0"/>
  </r>
  <r>
    <n v="82331490422"/>
    <n v="124"/>
    <x v="261"/>
    <m/>
    <x v="8"/>
    <x v="0"/>
  </r>
  <r>
    <n v="60271682148"/>
    <n v="276"/>
    <x v="261"/>
    <s v=""/>
    <x v="8"/>
    <x v="0"/>
  </r>
  <r>
    <n v="31885437308"/>
    <n v="23"/>
    <x v="261"/>
    <s v=""/>
    <x v="8"/>
    <x v="0"/>
  </r>
  <r>
    <n v="89500788802"/>
    <n v="105"/>
    <x v="261"/>
    <m/>
    <x v="8"/>
    <x v="0"/>
  </r>
  <r>
    <n v="68480676604"/>
    <n v="46"/>
    <x v="261"/>
    <s v=""/>
    <x v="8"/>
    <x v="0"/>
  </r>
  <r>
    <n v="90206474462"/>
    <n v="283"/>
    <x v="261"/>
    <s v=""/>
    <x v="8"/>
    <x v="0"/>
  </r>
  <r>
    <n v="93747449654"/>
    <n v="138"/>
    <x v="261"/>
    <s v=""/>
    <x v="8"/>
    <x v="0"/>
  </r>
  <r>
    <n v="35850316476"/>
    <n v="216"/>
    <x v="261"/>
    <s v=""/>
    <x v="8"/>
    <x v="0"/>
  </r>
  <r>
    <n v="34436495839"/>
    <n v="266"/>
    <x v="261"/>
    <s v=""/>
    <x v="8"/>
    <x v="0"/>
  </r>
  <r>
    <n v="74617680430"/>
    <n v="61"/>
    <x v="261"/>
    <d v="2035-02-28T00:00:00"/>
    <x v="8"/>
    <x v="9"/>
  </r>
  <r>
    <n v="26153608336"/>
    <n v="95"/>
    <x v="261"/>
    <s v=""/>
    <x v="8"/>
    <x v="0"/>
  </r>
  <r>
    <n v="44608046947"/>
    <n v="10"/>
    <x v="261"/>
    <s v=""/>
    <x v="8"/>
    <x v="0"/>
  </r>
  <r>
    <n v="55690462273"/>
    <n v="278"/>
    <x v="261"/>
    <m/>
    <x v="8"/>
    <x v="0"/>
  </r>
  <r>
    <n v="43562079387"/>
    <n v="304"/>
    <x v="262"/>
    <s v=""/>
    <x v="8"/>
    <x v="0"/>
  </r>
  <r>
    <n v="76955823552"/>
    <n v="188"/>
    <x v="262"/>
    <s v=""/>
    <x v="8"/>
    <x v="0"/>
  </r>
  <r>
    <n v="94437550060"/>
    <n v="223"/>
    <x v="262"/>
    <s v=""/>
    <x v="8"/>
    <x v="0"/>
  </r>
  <r>
    <n v="28486051428"/>
    <n v="139"/>
    <x v="262"/>
    <s v=""/>
    <x v="8"/>
    <x v="0"/>
  </r>
  <r>
    <n v="28402879502"/>
    <n v="50"/>
    <x v="262"/>
    <d v="2035-02-24T00:00:00"/>
    <x v="8"/>
    <x v="9"/>
  </r>
  <r>
    <n v="45526417817"/>
    <n v="340"/>
    <x v="262"/>
    <s v=""/>
    <x v="8"/>
    <x v="0"/>
  </r>
  <r>
    <n v="51342459573"/>
    <n v="338"/>
    <x v="262"/>
    <s v=""/>
    <x v="8"/>
    <x v="0"/>
  </r>
  <r>
    <n v="94043202199"/>
    <n v="125"/>
    <x v="262"/>
    <s v=""/>
    <x v="8"/>
    <x v="0"/>
  </r>
  <r>
    <n v="49361116565"/>
    <n v="230"/>
    <x v="262"/>
    <s v=""/>
    <x v="8"/>
    <x v="0"/>
  </r>
  <r>
    <n v="54551071669"/>
    <n v="249"/>
    <x v="262"/>
    <s v=""/>
    <x v="8"/>
    <x v="0"/>
  </r>
  <r>
    <n v="59118423895"/>
    <n v="157"/>
    <x v="262"/>
    <s v=""/>
    <x v="8"/>
    <x v="0"/>
  </r>
  <r>
    <n v="14290280421"/>
    <n v="217"/>
    <x v="262"/>
    <s v=""/>
    <x v="8"/>
    <x v="0"/>
  </r>
  <r>
    <n v="49794083460"/>
    <n v="144"/>
    <x v="262"/>
    <d v="2035-02-25T00:00:00"/>
    <x v="8"/>
    <x v="9"/>
  </r>
  <r>
    <n v="45565435062"/>
    <n v="5"/>
    <x v="262"/>
    <s v=""/>
    <x v="8"/>
    <x v="0"/>
  </r>
  <r>
    <n v="78679412562"/>
    <n v="229"/>
    <x v="262"/>
    <s v=""/>
    <x v="8"/>
    <x v="0"/>
  </r>
  <r>
    <n v="54321923047"/>
    <n v="336"/>
    <x v="262"/>
    <s v=""/>
    <x v="8"/>
    <x v="0"/>
  </r>
  <r>
    <n v="70860625466"/>
    <n v="270"/>
    <x v="262"/>
    <s v=""/>
    <x v="8"/>
    <x v="0"/>
  </r>
  <r>
    <n v="75984020178"/>
    <n v="302"/>
    <x v="262"/>
    <s v=""/>
    <x v="8"/>
    <x v="0"/>
  </r>
  <r>
    <n v="78830782288"/>
    <n v="81"/>
    <x v="262"/>
    <s v=""/>
    <x v="8"/>
    <x v="0"/>
  </r>
  <r>
    <n v="53790246865"/>
    <n v="141"/>
    <x v="262"/>
    <s v=""/>
    <x v="8"/>
    <x v="0"/>
  </r>
  <r>
    <n v="95902474147"/>
    <n v="255"/>
    <x v="262"/>
    <m/>
    <x v="8"/>
    <x v="0"/>
  </r>
  <r>
    <n v="57819830861"/>
    <n v="123"/>
    <x v="262"/>
    <m/>
    <x v="8"/>
    <x v="0"/>
  </r>
  <r>
    <n v="37598428621"/>
    <n v="328"/>
    <x v="263"/>
    <s v=""/>
    <x v="8"/>
    <x v="0"/>
  </r>
  <r>
    <n v="16764269307"/>
    <n v="88"/>
    <x v="263"/>
    <s v=""/>
    <x v="8"/>
    <x v="0"/>
  </r>
  <r>
    <n v="31905269724"/>
    <n v="47"/>
    <x v="263"/>
    <s v=""/>
    <x v="8"/>
    <x v="0"/>
  </r>
  <r>
    <n v="13611933707"/>
    <n v="310"/>
    <x v="263"/>
    <m/>
    <x v="8"/>
    <x v="0"/>
  </r>
  <r>
    <n v="24303771230"/>
    <n v="172"/>
    <x v="263"/>
    <m/>
    <x v="8"/>
    <x v="0"/>
  </r>
  <r>
    <n v="17691776386"/>
    <n v="253"/>
    <x v="263"/>
    <m/>
    <x v="8"/>
    <x v="0"/>
  </r>
  <r>
    <n v="49490673165"/>
    <n v="34"/>
    <x v="263"/>
    <s v=""/>
    <x v="8"/>
    <x v="0"/>
  </r>
  <r>
    <n v="49297896072"/>
    <n v="271"/>
    <x v="263"/>
    <s v=""/>
    <x v="8"/>
    <x v="0"/>
  </r>
  <r>
    <n v="96498225764"/>
    <n v="326"/>
    <x v="263"/>
    <s v=""/>
    <x v="8"/>
    <x v="0"/>
  </r>
  <r>
    <n v="20781644720"/>
    <n v="105"/>
    <x v="263"/>
    <s v=""/>
    <x v="8"/>
    <x v="0"/>
  </r>
  <r>
    <n v="84476101796"/>
    <n v="172"/>
    <x v="263"/>
    <s v=""/>
    <x v="8"/>
    <x v="0"/>
  </r>
  <r>
    <n v="95109048747"/>
    <n v="270"/>
    <x v="263"/>
    <s v=""/>
    <x v="8"/>
    <x v="0"/>
  </r>
  <r>
    <n v="38402849130"/>
    <n v="19"/>
    <x v="263"/>
    <s v=""/>
    <x v="8"/>
    <x v="0"/>
  </r>
  <r>
    <n v="79566401571"/>
    <n v="177"/>
    <x v="263"/>
    <s v=""/>
    <x v="8"/>
    <x v="0"/>
  </r>
  <r>
    <n v="63765903906"/>
    <n v="25"/>
    <x v="263"/>
    <s v=""/>
    <x v="8"/>
    <x v="0"/>
  </r>
  <r>
    <n v="69021971496"/>
    <n v="232"/>
    <x v="263"/>
    <s v=""/>
    <x v="8"/>
    <x v="0"/>
  </r>
  <r>
    <n v="23513011898"/>
    <n v="227"/>
    <x v="263"/>
    <m/>
    <x v="8"/>
    <x v="0"/>
  </r>
  <r>
    <n v="28921235730"/>
    <n v="325"/>
    <x v="263"/>
    <m/>
    <x v="8"/>
    <x v="0"/>
  </r>
  <r>
    <n v="24598086878"/>
    <n v="98"/>
    <x v="263"/>
    <s v=""/>
    <x v="8"/>
    <x v="0"/>
  </r>
  <r>
    <n v="34109454015"/>
    <n v="198"/>
    <x v="263"/>
    <s v=""/>
    <x v="8"/>
    <x v="0"/>
  </r>
  <r>
    <n v="42555670318"/>
    <n v="38"/>
    <x v="263"/>
    <s v=""/>
    <x v="8"/>
    <x v="0"/>
  </r>
  <r>
    <n v="77771467188"/>
    <n v="39"/>
    <x v="263"/>
    <m/>
    <x v="8"/>
    <x v="0"/>
  </r>
  <r>
    <n v="20948994074"/>
    <n v="62"/>
    <x v="263"/>
    <s v=""/>
    <x v="8"/>
    <x v="0"/>
  </r>
  <r>
    <n v="65941231231"/>
    <n v="244"/>
    <x v="263"/>
    <s v=""/>
    <x v="8"/>
    <x v="0"/>
  </r>
  <r>
    <n v="39156443322"/>
    <n v="186"/>
    <x v="263"/>
    <s v=""/>
    <x v="8"/>
    <x v="0"/>
  </r>
  <r>
    <n v="72423668710"/>
    <n v="203"/>
    <x v="263"/>
    <s v=""/>
    <x v="8"/>
    <x v="0"/>
  </r>
  <r>
    <n v="54999426231"/>
    <n v="192"/>
    <x v="264"/>
    <s v=""/>
    <x v="8"/>
    <x v="0"/>
  </r>
  <r>
    <n v="52188135041"/>
    <n v="198"/>
    <x v="264"/>
    <s v=""/>
    <x v="8"/>
    <x v="0"/>
  </r>
  <r>
    <n v="80648806819"/>
    <n v="167"/>
    <x v="264"/>
    <m/>
    <x v="8"/>
    <x v="0"/>
  </r>
  <r>
    <n v="98556109350"/>
    <n v="11"/>
    <x v="264"/>
    <s v=""/>
    <x v="8"/>
    <x v="0"/>
  </r>
  <r>
    <n v="62447819947"/>
    <n v="292"/>
    <x v="264"/>
    <m/>
    <x v="8"/>
    <x v="0"/>
  </r>
  <r>
    <n v="19442102175"/>
    <n v="209"/>
    <x v="264"/>
    <s v=""/>
    <x v="8"/>
    <x v="0"/>
  </r>
  <r>
    <n v="35100878523"/>
    <n v="186"/>
    <x v="264"/>
    <m/>
    <x v="8"/>
    <x v="0"/>
  </r>
  <r>
    <n v="60001412874"/>
    <n v="279"/>
    <x v="264"/>
    <s v=""/>
    <x v="8"/>
    <x v="0"/>
  </r>
  <r>
    <n v="14944275974"/>
    <n v="314"/>
    <x v="264"/>
    <s v=""/>
    <x v="8"/>
    <x v="0"/>
  </r>
  <r>
    <n v="50920020110"/>
    <n v="283"/>
    <x v="264"/>
    <s v=""/>
    <x v="8"/>
    <x v="0"/>
  </r>
  <r>
    <n v="47317098148"/>
    <n v="205"/>
    <x v="264"/>
    <s v=""/>
    <x v="8"/>
    <x v="0"/>
  </r>
  <r>
    <n v="26794456598"/>
    <n v="31"/>
    <x v="264"/>
    <s v=""/>
    <x v="8"/>
    <x v="0"/>
  </r>
  <r>
    <n v="82540310619"/>
    <n v="262"/>
    <x v="264"/>
    <m/>
    <x v="8"/>
    <x v="0"/>
  </r>
  <r>
    <n v="78893336668"/>
    <n v="144"/>
    <x v="264"/>
    <m/>
    <x v="8"/>
    <x v="0"/>
  </r>
  <r>
    <n v="30357352593"/>
    <n v="132"/>
    <x v="264"/>
    <s v=""/>
    <x v="8"/>
    <x v="0"/>
  </r>
  <r>
    <n v="37436585552"/>
    <n v="203"/>
    <x v="264"/>
    <s v=""/>
    <x v="8"/>
    <x v="0"/>
  </r>
  <r>
    <n v="36029118579"/>
    <n v="1"/>
    <x v="264"/>
    <s v=""/>
    <x v="8"/>
    <x v="0"/>
  </r>
  <r>
    <n v="48819642698"/>
    <n v="190"/>
    <x v="264"/>
    <s v=""/>
    <x v="8"/>
    <x v="0"/>
  </r>
  <r>
    <n v="51641687464"/>
    <n v="230"/>
    <x v="264"/>
    <s v=""/>
    <x v="8"/>
    <x v="0"/>
  </r>
  <r>
    <n v="76746640859"/>
    <n v="178"/>
    <x v="264"/>
    <s v=""/>
    <x v="8"/>
    <x v="0"/>
  </r>
  <r>
    <n v="68627432786"/>
    <n v="181"/>
    <x v="264"/>
    <s v=""/>
    <x v="8"/>
    <x v="0"/>
  </r>
  <r>
    <n v="31961047569"/>
    <n v="35"/>
    <x v="264"/>
    <s v=""/>
    <x v="8"/>
    <x v="0"/>
  </r>
  <r>
    <n v="73406569128"/>
    <n v="316"/>
    <x v="264"/>
    <m/>
    <x v="8"/>
    <x v="0"/>
  </r>
  <r>
    <n v="98548600746"/>
    <n v="168"/>
    <x v="264"/>
    <s v=""/>
    <x v="8"/>
    <x v="0"/>
  </r>
  <r>
    <n v="92610064229"/>
    <n v="159"/>
    <x v="264"/>
    <s v=""/>
    <x v="8"/>
    <x v="0"/>
  </r>
  <r>
    <n v="68866730881"/>
    <n v="279"/>
    <x v="264"/>
    <s v=""/>
    <x v="8"/>
    <x v="0"/>
  </r>
  <r>
    <n v="16799274808"/>
    <n v="26"/>
    <x v="264"/>
    <s v=""/>
    <x v="8"/>
    <x v="0"/>
  </r>
  <r>
    <n v="57915073302"/>
    <n v="140"/>
    <x v="265"/>
    <s v=""/>
    <x v="8"/>
    <x v="0"/>
  </r>
  <r>
    <n v="54851334240"/>
    <n v="42"/>
    <x v="265"/>
    <s v=""/>
    <x v="8"/>
    <x v="0"/>
  </r>
  <r>
    <n v="54951899906"/>
    <n v="113"/>
    <x v="265"/>
    <s v=""/>
    <x v="8"/>
    <x v="0"/>
  </r>
  <r>
    <n v="69910502763"/>
    <n v="323"/>
    <x v="265"/>
    <s v=""/>
    <x v="8"/>
    <x v="0"/>
  </r>
  <r>
    <n v="16451308925"/>
    <n v="300"/>
    <x v="265"/>
    <m/>
    <x v="8"/>
    <x v="0"/>
  </r>
  <r>
    <n v="65498367242"/>
    <n v="313"/>
    <x v="265"/>
    <m/>
    <x v="8"/>
    <x v="0"/>
  </r>
  <r>
    <n v="89041183448"/>
    <n v="71"/>
    <x v="265"/>
    <m/>
    <x v="8"/>
    <x v="0"/>
  </r>
  <r>
    <n v="35933753502"/>
    <n v="71"/>
    <x v="265"/>
    <s v=""/>
    <x v="8"/>
    <x v="0"/>
  </r>
  <r>
    <n v="85407965551"/>
    <n v="132"/>
    <x v="265"/>
    <s v=""/>
    <x v="8"/>
    <x v="0"/>
  </r>
  <r>
    <n v="40790632197"/>
    <n v="271"/>
    <x v="265"/>
    <m/>
    <x v="8"/>
    <x v="0"/>
  </r>
  <r>
    <n v="52148456761"/>
    <n v="215"/>
    <x v="265"/>
    <s v=""/>
    <x v="8"/>
    <x v="0"/>
  </r>
  <r>
    <n v="38525099137"/>
    <n v="281"/>
    <x v="265"/>
    <s v=""/>
    <x v="8"/>
    <x v="0"/>
  </r>
  <r>
    <n v="31079569004"/>
    <n v="171"/>
    <x v="265"/>
    <m/>
    <x v="8"/>
    <x v="0"/>
  </r>
  <r>
    <n v="32442327828"/>
    <n v="242"/>
    <x v="265"/>
    <s v=""/>
    <x v="8"/>
    <x v="0"/>
  </r>
  <r>
    <n v="36542405237"/>
    <n v="154"/>
    <x v="265"/>
    <m/>
    <x v="8"/>
    <x v="0"/>
  </r>
  <r>
    <n v="97331915373"/>
    <n v="22"/>
    <x v="265"/>
    <s v=""/>
    <x v="8"/>
    <x v="0"/>
  </r>
  <r>
    <n v="94605003802"/>
    <n v="214"/>
    <x v="265"/>
    <m/>
    <x v="8"/>
    <x v="0"/>
  </r>
  <r>
    <n v="74067557492"/>
    <n v="39"/>
    <x v="265"/>
    <m/>
    <x v="8"/>
    <x v="0"/>
  </r>
  <r>
    <n v="72527003482"/>
    <n v="146"/>
    <x v="265"/>
    <s v=""/>
    <x v="8"/>
    <x v="0"/>
  </r>
  <r>
    <n v="50421224368"/>
    <n v="175"/>
    <x v="265"/>
    <s v=""/>
    <x v="8"/>
    <x v="0"/>
  </r>
  <r>
    <n v="43152102644"/>
    <n v="246"/>
    <x v="265"/>
    <s v=""/>
    <x v="8"/>
    <x v="0"/>
  </r>
  <r>
    <n v="82872904417"/>
    <n v="194"/>
    <x v="265"/>
    <m/>
    <x v="8"/>
    <x v="0"/>
  </r>
  <r>
    <n v="75105985210"/>
    <n v="196"/>
    <x v="265"/>
    <s v=""/>
    <x v="8"/>
    <x v="0"/>
  </r>
  <r>
    <n v="50020601844"/>
    <n v="238"/>
    <x v="265"/>
    <s v=""/>
    <x v="8"/>
    <x v="0"/>
  </r>
  <r>
    <n v="81516001736"/>
    <n v="30"/>
    <x v="265"/>
    <s v=""/>
    <x v="8"/>
    <x v="0"/>
  </r>
  <r>
    <n v="72517894659"/>
    <n v="185"/>
    <x v="265"/>
    <m/>
    <x v="8"/>
    <x v="0"/>
  </r>
  <r>
    <n v="69937007131"/>
    <n v="96"/>
    <x v="265"/>
    <s v=""/>
    <x v="8"/>
    <x v="0"/>
  </r>
  <r>
    <n v="72253605128"/>
    <n v="186"/>
    <x v="265"/>
    <m/>
    <x v="8"/>
    <x v="0"/>
  </r>
  <r>
    <n v="44046176758"/>
    <n v="15"/>
    <x v="266"/>
    <s v=""/>
    <x v="8"/>
    <x v="0"/>
  </r>
  <r>
    <n v="82968616422"/>
    <n v="77"/>
    <x v="266"/>
    <s v=""/>
    <x v="8"/>
    <x v="0"/>
  </r>
  <r>
    <n v="76754375036"/>
    <n v="245"/>
    <x v="266"/>
    <m/>
    <x v="8"/>
    <x v="0"/>
  </r>
  <r>
    <n v="22396524044"/>
    <n v="310"/>
    <x v="266"/>
    <m/>
    <x v="8"/>
    <x v="0"/>
  </r>
  <r>
    <n v="56724562419"/>
    <n v="277"/>
    <x v="266"/>
    <s v=""/>
    <x v="8"/>
    <x v="0"/>
  </r>
  <r>
    <n v="91762064970"/>
    <n v="303"/>
    <x v="266"/>
    <s v=""/>
    <x v="8"/>
    <x v="0"/>
  </r>
  <r>
    <n v="44981276008"/>
    <n v="201"/>
    <x v="266"/>
    <s v=""/>
    <x v="8"/>
    <x v="0"/>
  </r>
  <r>
    <n v="34943494425"/>
    <n v="298"/>
    <x v="266"/>
    <s v=""/>
    <x v="8"/>
    <x v="0"/>
  </r>
  <r>
    <n v="75711356299"/>
    <n v="107"/>
    <x v="266"/>
    <s v=""/>
    <x v="8"/>
    <x v="0"/>
  </r>
  <r>
    <n v="89906604733"/>
    <n v="236"/>
    <x v="266"/>
    <s v=""/>
    <x v="8"/>
    <x v="0"/>
  </r>
  <r>
    <n v="16028364877"/>
    <n v="240"/>
    <x v="266"/>
    <s v=""/>
    <x v="8"/>
    <x v="0"/>
  </r>
  <r>
    <n v="22797491317"/>
    <n v="52"/>
    <x v="266"/>
    <s v=""/>
    <x v="8"/>
    <x v="0"/>
  </r>
  <r>
    <n v="64780253081"/>
    <n v="58"/>
    <x v="266"/>
    <d v="2035-02-26T00:00:00"/>
    <x v="8"/>
    <x v="9"/>
  </r>
  <r>
    <n v="40662089188"/>
    <n v="141"/>
    <x v="266"/>
    <s v=""/>
    <x v="8"/>
    <x v="0"/>
  </r>
  <r>
    <n v="26993174350"/>
    <n v="148"/>
    <x v="266"/>
    <s v=""/>
    <x v="8"/>
    <x v="0"/>
  </r>
  <r>
    <n v="47181408704"/>
    <n v="214"/>
    <x v="266"/>
    <s v=""/>
    <x v="8"/>
    <x v="0"/>
  </r>
  <r>
    <n v="38005474753"/>
    <n v="251"/>
    <x v="266"/>
    <s v=""/>
    <x v="8"/>
    <x v="0"/>
  </r>
  <r>
    <n v="23634534879"/>
    <n v="248"/>
    <x v="266"/>
    <s v=""/>
    <x v="8"/>
    <x v="0"/>
  </r>
  <r>
    <n v="69002513811"/>
    <n v="116"/>
    <x v="266"/>
    <s v=""/>
    <x v="8"/>
    <x v="0"/>
  </r>
  <r>
    <n v="19491423592"/>
    <n v="317"/>
    <x v="266"/>
    <s v=""/>
    <x v="8"/>
    <x v="0"/>
  </r>
  <r>
    <n v="94818508730"/>
    <n v="166"/>
    <x v="266"/>
    <s v=""/>
    <x v="8"/>
    <x v="0"/>
  </r>
  <r>
    <n v="64557807994"/>
    <n v="112"/>
    <x v="266"/>
    <s v=""/>
    <x v="8"/>
    <x v="0"/>
  </r>
  <r>
    <n v="69631609913"/>
    <n v="160"/>
    <x v="266"/>
    <s v=""/>
    <x v="8"/>
    <x v="0"/>
  </r>
  <r>
    <n v="58129032628"/>
    <n v="244"/>
    <x v="266"/>
    <m/>
    <x v="8"/>
    <x v="0"/>
  </r>
  <r>
    <n v="49858752397"/>
    <n v="138"/>
    <x v="266"/>
    <m/>
    <x v="8"/>
    <x v="0"/>
  </r>
  <r>
    <n v="65324362710"/>
    <n v="266"/>
    <x v="266"/>
    <s v=""/>
    <x v="8"/>
    <x v="0"/>
  </r>
  <r>
    <n v="34731108001"/>
    <n v="249"/>
    <x v="266"/>
    <m/>
    <x v="8"/>
    <x v="0"/>
  </r>
  <r>
    <n v="54843650525"/>
    <n v="24"/>
    <x v="266"/>
    <s v=""/>
    <x v="8"/>
    <x v="0"/>
  </r>
  <r>
    <n v="16182543185"/>
    <n v="144"/>
    <x v="267"/>
    <s v=""/>
    <x v="8"/>
    <x v="0"/>
  </r>
  <r>
    <n v="50775804111"/>
    <n v="93"/>
    <x v="267"/>
    <s v=""/>
    <x v="8"/>
    <x v="0"/>
  </r>
  <r>
    <n v="58683876614"/>
    <n v="130"/>
    <x v="267"/>
    <s v=""/>
    <x v="8"/>
    <x v="0"/>
  </r>
  <r>
    <n v="14400693618"/>
    <n v="9"/>
    <x v="267"/>
    <s v=""/>
    <x v="8"/>
    <x v="0"/>
  </r>
  <r>
    <n v="25793813097"/>
    <n v="23"/>
    <x v="267"/>
    <s v=""/>
    <x v="8"/>
    <x v="0"/>
  </r>
  <r>
    <n v="11229905140"/>
    <n v="230"/>
    <x v="267"/>
    <s v=""/>
    <x v="8"/>
    <x v="0"/>
  </r>
  <r>
    <n v="94121046528"/>
    <n v="61"/>
    <x v="267"/>
    <s v=""/>
    <x v="8"/>
    <x v="0"/>
  </r>
  <r>
    <n v="56709787228"/>
    <n v="108"/>
    <x v="267"/>
    <s v=""/>
    <x v="8"/>
    <x v="0"/>
  </r>
  <r>
    <n v="68192813365"/>
    <n v="86"/>
    <x v="267"/>
    <s v=""/>
    <x v="8"/>
    <x v="0"/>
  </r>
  <r>
    <n v="99049586231"/>
    <n v="177"/>
    <x v="267"/>
    <s v=""/>
    <x v="8"/>
    <x v="0"/>
  </r>
  <r>
    <n v="39387804948"/>
    <n v="291"/>
    <x v="267"/>
    <s v=""/>
    <x v="8"/>
    <x v="0"/>
  </r>
  <r>
    <n v="44962485535"/>
    <n v="258"/>
    <x v="267"/>
    <s v=""/>
    <x v="8"/>
    <x v="0"/>
  </r>
  <r>
    <n v="17966158579"/>
    <n v="259"/>
    <x v="267"/>
    <s v=""/>
    <x v="8"/>
    <x v="0"/>
  </r>
  <r>
    <n v="57123301925"/>
    <n v="267"/>
    <x v="267"/>
    <s v=""/>
    <x v="8"/>
    <x v="0"/>
  </r>
  <r>
    <n v="37180180625"/>
    <n v="101"/>
    <x v="267"/>
    <m/>
    <x v="8"/>
    <x v="0"/>
  </r>
  <r>
    <n v="25943585847"/>
    <n v="242"/>
    <x v="267"/>
    <s v=""/>
    <x v="8"/>
    <x v="0"/>
  </r>
  <r>
    <n v="25629828952"/>
    <n v="217"/>
    <x v="267"/>
    <s v=""/>
    <x v="8"/>
    <x v="0"/>
  </r>
  <r>
    <n v="66588124299"/>
    <n v="139"/>
    <x v="267"/>
    <s v=""/>
    <x v="8"/>
    <x v="0"/>
  </r>
  <r>
    <n v="13508823813"/>
    <n v="144"/>
    <x v="267"/>
    <s v=""/>
    <x v="8"/>
    <x v="0"/>
  </r>
  <r>
    <n v="64520341743"/>
    <n v="289"/>
    <x v="267"/>
    <s v=""/>
    <x v="8"/>
    <x v="0"/>
  </r>
  <r>
    <n v="68104944203"/>
    <n v="24"/>
    <x v="267"/>
    <s v=""/>
    <x v="8"/>
    <x v="0"/>
  </r>
  <r>
    <n v="82678794543"/>
    <n v="263"/>
    <x v="267"/>
    <s v=""/>
    <x v="8"/>
    <x v="0"/>
  </r>
  <r>
    <n v="15251649234"/>
    <n v="8"/>
    <x v="267"/>
    <m/>
    <x v="8"/>
    <x v="0"/>
  </r>
  <r>
    <n v="39178699922"/>
    <n v="309"/>
    <x v="267"/>
    <s v=""/>
    <x v="8"/>
    <x v="0"/>
  </r>
  <r>
    <n v="92544080830"/>
    <n v="64"/>
    <x v="268"/>
    <m/>
    <x v="8"/>
    <x v="0"/>
  </r>
  <r>
    <n v="47465403293"/>
    <n v="144"/>
    <x v="268"/>
    <s v=""/>
    <x v="8"/>
    <x v="0"/>
  </r>
  <r>
    <n v="29557172584"/>
    <n v="7"/>
    <x v="268"/>
    <m/>
    <x v="8"/>
    <x v="0"/>
  </r>
  <r>
    <n v="15643888693"/>
    <n v="11"/>
    <x v="268"/>
    <s v=""/>
    <x v="8"/>
    <x v="0"/>
  </r>
  <r>
    <n v="22016040838"/>
    <n v="254"/>
    <x v="268"/>
    <s v=""/>
    <x v="8"/>
    <x v="0"/>
  </r>
  <r>
    <n v="84057041982"/>
    <n v="233"/>
    <x v="268"/>
    <s v=""/>
    <x v="8"/>
    <x v="0"/>
  </r>
  <r>
    <n v="98429594884"/>
    <n v="126"/>
    <x v="268"/>
    <s v=""/>
    <x v="8"/>
    <x v="0"/>
  </r>
  <r>
    <n v="44112343513"/>
    <n v="236"/>
    <x v="268"/>
    <m/>
    <x v="8"/>
    <x v="0"/>
  </r>
  <r>
    <n v="47245951035"/>
    <n v="309"/>
    <x v="268"/>
    <m/>
    <x v="8"/>
    <x v="0"/>
  </r>
  <r>
    <n v="91322884561"/>
    <n v="321"/>
    <x v="268"/>
    <s v=""/>
    <x v="8"/>
    <x v="0"/>
  </r>
  <r>
    <n v="94812513103"/>
    <n v="114"/>
    <x v="268"/>
    <s v=""/>
    <x v="8"/>
    <x v="0"/>
  </r>
  <r>
    <n v="93322566291"/>
    <n v="111"/>
    <x v="268"/>
    <s v=""/>
    <x v="8"/>
    <x v="0"/>
  </r>
  <r>
    <n v="93049045825"/>
    <n v="97"/>
    <x v="268"/>
    <m/>
    <x v="8"/>
    <x v="0"/>
  </r>
  <r>
    <n v="46825136260"/>
    <n v="252"/>
    <x v="268"/>
    <s v=""/>
    <x v="8"/>
    <x v="0"/>
  </r>
  <r>
    <n v="69204451336"/>
    <n v="207"/>
    <x v="268"/>
    <s v=""/>
    <x v="8"/>
    <x v="0"/>
  </r>
  <r>
    <n v="59374072898"/>
    <n v="267"/>
    <x v="268"/>
    <s v=""/>
    <x v="8"/>
    <x v="0"/>
  </r>
  <r>
    <n v="25218615965"/>
    <n v="120"/>
    <x v="268"/>
    <s v=""/>
    <x v="8"/>
    <x v="0"/>
  </r>
  <r>
    <n v="16071898216"/>
    <n v="9"/>
    <x v="268"/>
    <s v=""/>
    <x v="8"/>
    <x v="0"/>
  </r>
  <r>
    <n v="27908893062"/>
    <n v="265"/>
    <x v="268"/>
    <s v=""/>
    <x v="8"/>
    <x v="0"/>
  </r>
  <r>
    <n v="99533429391"/>
    <n v="57"/>
    <x v="268"/>
    <s v=""/>
    <x v="8"/>
    <x v="0"/>
  </r>
  <r>
    <n v="51404570717"/>
    <n v="56"/>
    <x v="268"/>
    <m/>
    <x v="8"/>
    <x v="0"/>
  </r>
  <r>
    <n v="24469995099"/>
    <n v="139"/>
    <x v="268"/>
    <s v=""/>
    <x v="8"/>
    <x v="0"/>
  </r>
  <r>
    <n v="51949156698"/>
    <n v="31"/>
    <x v="268"/>
    <s v=""/>
    <x v="8"/>
    <x v="0"/>
  </r>
  <r>
    <n v="58273021329"/>
    <n v="115"/>
    <x v="268"/>
    <s v=""/>
    <x v="8"/>
    <x v="0"/>
  </r>
  <r>
    <n v="51629048386"/>
    <n v="106"/>
    <x v="268"/>
    <s v=""/>
    <x v="8"/>
    <x v="0"/>
  </r>
  <r>
    <n v="39829892666"/>
    <n v="6"/>
    <x v="268"/>
    <s v=""/>
    <x v="8"/>
    <x v="0"/>
  </r>
  <r>
    <n v="74006095411"/>
    <n v="49"/>
    <x v="268"/>
    <m/>
    <x v="8"/>
    <x v="0"/>
  </r>
  <r>
    <n v="86529322561"/>
    <n v="157"/>
    <x v="269"/>
    <s v=""/>
    <x v="8"/>
    <x v="0"/>
  </r>
  <r>
    <n v="71988767090"/>
    <n v="257"/>
    <x v="269"/>
    <s v=""/>
    <x v="8"/>
    <x v="0"/>
  </r>
  <r>
    <n v="63578184863"/>
    <n v="220"/>
    <x v="269"/>
    <s v=""/>
    <x v="8"/>
    <x v="0"/>
  </r>
  <r>
    <n v="76320919380"/>
    <n v="83"/>
    <x v="269"/>
    <s v=""/>
    <x v="8"/>
    <x v="0"/>
  </r>
  <r>
    <n v="35363761259"/>
    <n v="340"/>
    <x v="269"/>
    <s v=""/>
    <x v="8"/>
    <x v="0"/>
  </r>
  <r>
    <n v="12199543598"/>
    <n v="226"/>
    <x v="269"/>
    <m/>
    <x v="8"/>
    <x v="0"/>
  </r>
  <r>
    <n v="53847772294"/>
    <n v="195"/>
    <x v="269"/>
    <s v=""/>
    <x v="8"/>
    <x v="0"/>
  </r>
  <r>
    <n v="46345600398"/>
    <n v="171"/>
    <x v="269"/>
    <s v=""/>
    <x v="8"/>
    <x v="0"/>
  </r>
  <r>
    <n v="53966804631"/>
    <n v="182"/>
    <x v="269"/>
    <s v=""/>
    <x v="8"/>
    <x v="0"/>
  </r>
  <r>
    <n v="31223841141"/>
    <n v="283"/>
    <x v="269"/>
    <s v=""/>
    <x v="8"/>
    <x v="0"/>
  </r>
  <r>
    <n v="56907741517"/>
    <n v="146"/>
    <x v="269"/>
    <s v=""/>
    <x v="8"/>
    <x v="0"/>
  </r>
  <r>
    <n v="54338358292"/>
    <n v="301"/>
    <x v="269"/>
    <s v=""/>
    <x v="8"/>
    <x v="0"/>
  </r>
  <r>
    <n v="48374673930"/>
    <n v="77"/>
    <x v="269"/>
    <s v=""/>
    <x v="8"/>
    <x v="0"/>
  </r>
  <r>
    <n v="79860606018"/>
    <n v="209"/>
    <x v="269"/>
    <s v=""/>
    <x v="8"/>
    <x v="0"/>
  </r>
  <r>
    <n v="80373616684"/>
    <n v="91"/>
    <x v="269"/>
    <s v=""/>
    <x v="8"/>
    <x v="0"/>
  </r>
  <r>
    <n v="32634616489"/>
    <n v="220"/>
    <x v="269"/>
    <s v=""/>
    <x v="8"/>
    <x v="0"/>
  </r>
  <r>
    <n v="43766917532"/>
    <n v="317"/>
    <x v="269"/>
    <s v=""/>
    <x v="8"/>
    <x v="0"/>
  </r>
  <r>
    <n v="96274347917"/>
    <n v="140"/>
    <x v="269"/>
    <s v=""/>
    <x v="8"/>
    <x v="0"/>
  </r>
  <r>
    <n v="16327799668"/>
    <n v="71"/>
    <x v="269"/>
    <s v=""/>
    <x v="8"/>
    <x v="0"/>
  </r>
  <r>
    <n v="46308354664"/>
    <n v="257"/>
    <x v="269"/>
    <s v=""/>
    <x v="8"/>
    <x v="0"/>
  </r>
  <r>
    <n v="27926547704"/>
    <n v="194"/>
    <x v="269"/>
    <s v=""/>
    <x v="8"/>
    <x v="0"/>
  </r>
  <r>
    <n v="63109644752"/>
    <n v="321"/>
    <x v="269"/>
    <m/>
    <x v="8"/>
    <x v="0"/>
  </r>
  <r>
    <n v="46306711457"/>
    <n v="257"/>
    <x v="269"/>
    <s v=""/>
    <x v="8"/>
    <x v="0"/>
  </r>
  <r>
    <n v="92179408848"/>
    <n v="221"/>
    <x v="269"/>
    <m/>
    <x v="8"/>
    <x v="0"/>
  </r>
  <r>
    <n v="44840424841"/>
    <n v="58"/>
    <x v="269"/>
    <s v=""/>
    <x v="8"/>
    <x v="0"/>
  </r>
  <r>
    <n v="13459450765"/>
    <n v="149"/>
    <x v="269"/>
    <s v=""/>
    <x v="8"/>
    <x v="0"/>
  </r>
  <r>
    <n v="81466390804"/>
    <n v="18"/>
    <x v="269"/>
    <s v=""/>
    <x v="8"/>
    <x v="0"/>
  </r>
  <r>
    <n v="27024975164"/>
    <n v="42"/>
    <x v="269"/>
    <s v=""/>
    <x v="8"/>
    <x v="0"/>
  </r>
  <r>
    <n v="96154022847"/>
    <n v="94"/>
    <x v="269"/>
    <s v=""/>
    <x v="8"/>
    <x v="0"/>
  </r>
  <r>
    <n v="86279141810"/>
    <n v="317"/>
    <x v="270"/>
    <s v=""/>
    <x v="8"/>
    <x v="0"/>
  </r>
  <r>
    <n v="48487111088"/>
    <n v="216"/>
    <x v="270"/>
    <s v=""/>
    <x v="8"/>
    <x v="0"/>
  </r>
  <r>
    <n v="20046243340"/>
    <n v="244"/>
    <x v="270"/>
    <s v=""/>
    <x v="8"/>
    <x v="0"/>
  </r>
  <r>
    <n v="35839598858"/>
    <n v="326"/>
    <x v="270"/>
    <s v=""/>
    <x v="8"/>
    <x v="0"/>
  </r>
  <r>
    <n v="61651364357"/>
    <n v="93"/>
    <x v="270"/>
    <s v=""/>
    <x v="8"/>
    <x v="0"/>
  </r>
  <r>
    <n v="58706791481"/>
    <n v="115"/>
    <x v="270"/>
    <s v=""/>
    <x v="8"/>
    <x v="0"/>
  </r>
  <r>
    <n v="56920513663"/>
    <n v="220"/>
    <x v="270"/>
    <s v=""/>
    <x v="8"/>
    <x v="0"/>
  </r>
  <r>
    <n v="20575674327"/>
    <n v="10"/>
    <x v="270"/>
    <s v=""/>
    <x v="8"/>
    <x v="0"/>
  </r>
  <r>
    <n v="84371695415"/>
    <n v="24"/>
    <x v="270"/>
    <s v=""/>
    <x v="8"/>
    <x v="0"/>
  </r>
  <r>
    <n v="27160193643"/>
    <n v="288"/>
    <x v="270"/>
    <m/>
    <x v="8"/>
    <x v="0"/>
  </r>
  <r>
    <n v="40736678895"/>
    <n v="302"/>
    <x v="270"/>
    <s v=""/>
    <x v="8"/>
    <x v="0"/>
  </r>
  <r>
    <n v="86594910261"/>
    <n v="113"/>
    <x v="270"/>
    <s v=""/>
    <x v="8"/>
    <x v="0"/>
  </r>
  <r>
    <n v="36913316198"/>
    <n v="182"/>
    <x v="270"/>
    <s v=""/>
    <x v="8"/>
    <x v="0"/>
  </r>
  <r>
    <n v="16894988531"/>
    <n v="193"/>
    <x v="270"/>
    <m/>
    <x v="8"/>
    <x v="0"/>
  </r>
  <r>
    <n v="59581585824"/>
    <n v="201"/>
    <x v="270"/>
    <s v=""/>
    <x v="8"/>
    <x v="0"/>
  </r>
  <r>
    <n v="92984187667"/>
    <n v="51"/>
    <x v="270"/>
    <s v=""/>
    <x v="8"/>
    <x v="0"/>
  </r>
  <r>
    <n v="34089378606"/>
    <n v="336"/>
    <x v="270"/>
    <s v=""/>
    <x v="8"/>
    <x v="0"/>
  </r>
  <r>
    <n v="78702271238"/>
    <n v="40"/>
    <x v="270"/>
    <s v=""/>
    <x v="8"/>
    <x v="0"/>
  </r>
  <r>
    <n v="96985251826"/>
    <n v="81"/>
    <x v="270"/>
    <s v=""/>
    <x v="8"/>
    <x v="0"/>
  </r>
  <r>
    <n v="62472906009"/>
    <n v="202"/>
    <x v="270"/>
    <s v=""/>
    <x v="8"/>
    <x v="0"/>
  </r>
  <r>
    <n v="74002014739"/>
    <n v="322"/>
    <x v="270"/>
    <s v=""/>
    <x v="8"/>
    <x v="0"/>
  </r>
  <r>
    <n v="87558534029"/>
    <n v="274"/>
    <x v="271"/>
    <s v=""/>
    <x v="8"/>
    <x v="0"/>
  </r>
  <r>
    <n v="70568072836"/>
    <n v="38"/>
    <x v="271"/>
    <s v=""/>
    <x v="8"/>
    <x v="0"/>
  </r>
  <r>
    <n v="66576872043"/>
    <n v="85"/>
    <x v="271"/>
    <s v=""/>
    <x v="8"/>
    <x v="0"/>
  </r>
  <r>
    <n v="16096420170"/>
    <n v="25"/>
    <x v="271"/>
    <s v=""/>
    <x v="8"/>
    <x v="0"/>
  </r>
  <r>
    <n v="99634426476"/>
    <n v="8"/>
    <x v="271"/>
    <s v=""/>
    <x v="8"/>
    <x v="0"/>
  </r>
  <r>
    <n v="83714902804"/>
    <n v="215"/>
    <x v="271"/>
    <s v=""/>
    <x v="8"/>
    <x v="0"/>
  </r>
  <r>
    <n v="58634048762"/>
    <n v="20"/>
    <x v="271"/>
    <s v=""/>
    <x v="8"/>
    <x v="0"/>
  </r>
  <r>
    <n v="59241978774"/>
    <n v="279"/>
    <x v="271"/>
    <s v=""/>
    <x v="8"/>
    <x v="0"/>
  </r>
  <r>
    <n v="28805789433"/>
    <n v="88"/>
    <x v="271"/>
    <s v=""/>
    <x v="8"/>
    <x v="0"/>
  </r>
  <r>
    <n v="71799067042"/>
    <n v="311"/>
    <x v="271"/>
    <s v=""/>
    <x v="8"/>
    <x v="0"/>
  </r>
  <r>
    <n v="35368813442"/>
    <n v="276"/>
    <x v="271"/>
    <m/>
    <x v="8"/>
    <x v="0"/>
  </r>
  <r>
    <n v="28929714371"/>
    <n v="80"/>
    <x v="271"/>
    <s v=""/>
    <x v="8"/>
    <x v="0"/>
  </r>
  <r>
    <n v="69822529940"/>
    <n v="296"/>
    <x v="271"/>
    <s v=""/>
    <x v="8"/>
    <x v="0"/>
  </r>
  <r>
    <n v="34904818456"/>
    <n v="167"/>
    <x v="271"/>
    <s v=""/>
    <x v="8"/>
    <x v="0"/>
  </r>
  <r>
    <n v="19200779974"/>
    <n v="195"/>
    <x v="271"/>
    <s v=""/>
    <x v="8"/>
    <x v="0"/>
  </r>
  <r>
    <n v="37112582284"/>
    <n v="101"/>
    <x v="271"/>
    <s v=""/>
    <x v="8"/>
    <x v="0"/>
  </r>
  <r>
    <n v="26731188163"/>
    <n v="118"/>
    <x v="271"/>
    <s v=""/>
    <x v="8"/>
    <x v="0"/>
  </r>
  <r>
    <n v="63274842696"/>
    <n v="209"/>
    <x v="271"/>
    <s v=""/>
    <x v="8"/>
    <x v="0"/>
  </r>
  <r>
    <n v="49129170428"/>
    <n v="145"/>
    <x v="271"/>
    <s v=""/>
    <x v="8"/>
    <x v="0"/>
  </r>
  <r>
    <n v="17481628715"/>
    <n v="271"/>
    <x v="271"/>
    <s v=""/>
    <x v="8"/>
    <x v="0"/>
  </r>
  <r>
    <n v="45106126166"/>
    <n v="261"/>
    <x v="271"/>
    <s v=""/>
    <x v="8"/>
    <x v="0"/>
  </r>
  <r>
    <n v="96905010822"/>
    <n v="319"/>
    <x v="271"/>
    <m/>
    <x v="8"/>
    <x v="0"/>
  </r>
  <r>
    <n v="74850841021"/>
    <n v="265"/>
    <x v="271"/>
    <s v=""/>
    <x v="8"/>
    <x v="0"/>
  </r>
  <r>
    <n v="95002683944"/>
    <n v="321"/>
    <x v="271"/>
    <s v=""/>
    <x v="8"/>
    <x v="0"/>
  </r>
  <r>
    <n v="73580774294"/>
    <n v="149"/>
    <x v="271"/>
    <m/>
    <x v="8"/>
    <x v="0"/>
  </r>
  <r>
    <n v="23324297598"/>
    <n v="142"/>
    <x v="271"/>
    <s v=""/>
    <x v="8"/>
    <x v="0"/>
  </r>
  <r>
    <n v="50550407491"/>
    <n v="291"/>
    <x v="271"/>
    <m/>
    <x v="8"/>
    <x v="0"/>
  </r>
  <r>
    <n v="47226159241"/>
    <n v="325"/>
    <x v="271"/>
    <s v=""/>
    <x v="8"/>
    <x v="0"/>
  </r>
  <r>
    <n v="16069134525"/>
    <n v="154"/>
    <x v="271"/>
    <s v=""/>
    <x v="8"/>
    <x v="0"/>
  </r>
  <r>
    <n v="25289642468"/>
    <n v="112"/>
    <x v="271"/>
    <m/>
    <x v="8"/>
    <x v="0"/>
  </r>
  <r>
    <n v="23357766149"/>
    <n v="265"/>
    <x v="271"/>
    <s v=""/>
    <x v="8"/>
    <x v="0"/>
  </r>
  <r>
    <n v="96019285080"/>
    <n v="120"/>
    <x v="271"/>
    <s v=""/>
    <x v="8"/>
    <x v="0"/>
  </r>
  <r>
    <n v="29547510228"/>
    <n v="5"/>
    <x v="271"/>
    <s v=""/>
    <x v="8"/>
    <x v="0"/>
  </r>
  <r>
    <n v="91104421555"/>
    <n v="14"/>
    <x v="271"/>
    <s v=""/>
    <x v="8"/>
    <x v="0"/>
  </r>
  <r>
    <n v="54182500332"/>
    <n v="316"/>
    <x v="271"/>
    <s v=""/>
    <x v="8"/>
    <x v="0"/>
  </r>
  <r>
    <n v="22596479806"/>
    <n v="323"/>
    <x v="271"/>
    <s v=""/>
    <x v="8"/>
    <x v="0"/>
  </r>
  <r>
    <n v="34028537242"/>
    <n v="32"/>
    <x v="271"/>
    <s v=""/>
    <x v="8"/>
    <x v="0"/>
  </r>
  <r>
    <n v="60889543664"/>
    <n v="209"/>
    <x v="272"/>
    <s v=""/>
    <x v="8"/>
    <x v="0"/>
  </r>
  <r>
    <n v="34214758912"/>
    <n v="320"/>
    <x v="272"/>
    <s v=""/>
    <x v="8"/>
    <x v="0"/>
  </r>
  <r>
    <n v="59933477144"/>
    <n v="215"/>
    <x v="272"/>
    <m/>
    <x v="8"/>
    <x v="0"/>
  </r>
  <r>
    <n v="89178220318"/>
    <n v="288"/>
    <x v="272"/>
    <s v=""/>
    <x v="8"/>
    <x v="0"/>
  </r>
  <r>
    <n v="47243211414"/>
    <n v="169"/>
    <x v="272"/>
    <s v=""/>
    <x v="8"/>
    <x v="0"/>
  </r>
  <r>
    <n v="89458494105"/>
    <n v="207"/>
    <x v="272"/>
    <s v=""/>
    <x v="8"/>
    <x v="0"/>
  </r>
  <r>
    <n v="86788128374"/>
    <n v="235"/>
    <x v="272"/>
    <s v=""/>
    <x v="8"/>
    <x v="0"/>
  </r>
  <r>
    <n v="14980830575"/>
    <n v="54"/>
    <x v="272"/>
    <s v=""/>
    <x v="8"/>
    <x v="0"/>
  </r>
  <r>
    <n v="52410381925"/>
    <n v="94"/>
    <x v="272"/>
    <m/>
    <x v="8"/>
    <x v="0"/>
  </r>
  <r>
    <n v="50509593924"/>
    <n v="107"/>
    <x v="272"/>
    <m/>
    <x v="8"/>
    <x v="0"/>
  </r>
  <r>
    <n v="37807438846"/>
    <n v="112"/>
    <x v="272"/>
    <s v=""/>
    <x v="8"/>
    <x v="0"/>
  </r>
  <r>
    <n v="68007949151"/>
    <n v="74"/>
    <x v="272"/>
    <m/>
    <x v="8"/>
    <x v="0"/>
  </r>
  <r>
    <n v="61843901150"/>
    <n v="310"/>
    <x v="272"/>
    <s v=""/>
    <x v="8"/>
    <x v="0"/>
  </r>
  <r>
    <n v="12420666068"/>
    <n v="8"/>
    <x v="272"/>
    <s v=""/>
    <x v="8"/>
    <x v="0"/>
  </r>
  <r>
    <n v="28805629262"/>
    <n v="174"/>
    <x v="272"/>
    <s v=""/>
    <x v="8"/>
    <x v="0"/>
  </r>
  <r>
    <n v="14541021549"/>
    <n v="270"/>
    <x v="272"/>
    <m/>
    <x v="8"/>
    <x v="0"/>
  </r>
  <r>
    <n v="41335152607"/>
    <n v="87"/>
    <x v="272"/>
    <s v=""/>
    <x v="8"/>
    <x v="0"/>
  </r>
  <r>
    <n v="93610627014"/>
    <n v="94"/>
    <x v="272"/>
    <s v=""/>
    <x v="8"/>
    <x v="0"/>
  </r>
  <r>
    <n v="26913687232"/>
    <n v="38"/>
    <x v="272"/>
    <m/>
    <x v="8"/>
    <x v="0"/>
  </r>
  <r>
    <n v="29961222038"/>
    <n v="265"/>
    <x v="272"/>
    <s v=""/>
    <x v="8"/>
    <x v="0"/>
  </r>
  <r>
    <n v="51457182913"/>
    <n v="122"/>
    <x v="272"/>
    <s v=""/>
    <x v="8"/>
    <x v="0"/>
  </r>
  <r>
    <n v="43860210109"/>
    <n v="163"/>
    <x v="272"/>
    <s v=""/>
    <x v="8"/>
    <x v="0"/>
  </r>
  <r>
    <n v="94775853649"/>
    <n v="307"/>
    <x v="272"/>
    <s v=""/>
    <x v="8"/>
    <x v="0"/>
  </r>
  <r>
    <n v="53463907534"/>
    <n v="135"/>
    <x v="272"/>
    <s v=""/>
    <x v="8"/>
    <x v="0"/>
  </r>
  <r>
    <n v="11137290602"/>
    <n v="41"/>
    <x v="272"/>
    <s v=""/>
    <x v="8"/>
    <x v="0"/>
  </r>
  <r>
    <n v="13128200115"/>
    <n v="232"/>
    <x v="272"/>
    <s v=""/>
    <x v="8"/>
    <x v="0"/>
  </r>
  <r>
    <n v="26446560666"/>
    <n v="270"/>
    <x v="272"/>
    <s v=""/>
    <x v="8"/>
    <x v="0"/>
  </r>
  <r>
    <n v="41800574377"/>
    <n v="34"/>
    <x v="272"/>
    <s v=""/>
    <x v="8"/>
    <x v="0"/>
  </r>
  <r>
    <n v="17713787700"/>
    <n v="0"/>
    <x v="272"/>
    <s v=""/>
    <x v="8"/>
    <x v="0"/>
  </r>
  <r>
    <n v="63914475460"/>
    <n v="47"/>
    <x v="272"/>
    <s v=""/>
    <x v="8"/>
    <x v="0"/>
  </r>
  <r>
    <n v="48513982217"/>
    <n v="215"/>
    <x v="272"/>
    <s v=""/>
    <x v="8"/>
    <x v="0"/>
  </r>
  <r>
    <n v="48223153319"/>
    <n v="203"/>
    <x v="272"/>
    <s v=""/>
    <x v="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A3BB48-2B99-4C69-9DA3-31D2966FA4C4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H4" firstHeaderRow="1" firstDataRow="1" firstDataCol="0" rowPageCount="1" colPageCount="1"/>
  <pivotFields count="6">
    <pivotField showAll="0"/>
    <pivotField showAll="0"/>
    <pivotField dataField="1" numFmtId="15" showAll="0"/>
    <pivotField showAll="0"/>
    <pivotField axis="axisPage" multipleItemSelectionAllowed="1" showAll="0">
      <items count="10">
        <item h="1" x="0"/>
        <item h="1" x="1"/>
        <item h="1" x="2"/>
        <item h="1" x="3"/>
        <item h="1" x="4"/>
        <item h="1" x="5"/>
        <item h="1" x="6"/>
        <item x="7"/>
        <item h="1" x="8"/>
        <item t="default"/>
      </items>
    </pivotField>
    <pivotField showAll="0"/>
  </pivotFields>
  <rowItems count="1">
    <i/>
  </rowItems>
  <colItems count="1">
    <i/>
  </colItems>
  <pageFields count="1">
    <pageField fld="4" hier="-1"/>
  </pageFields>
  <dataFields count="1">
    <dataField name="Contagem de Data Desligamen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9F11E-DF66-4FB5-B9E9-93E34F9B9483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3:K4" firstHeaderRow="1" firstDataRow="1" firstDataCol="0" rowPageCount="1" colPageCount="1"/>
  <pivotFields count="6">
    <pivotField showAll="0"/>
    <pivotField showAll="0"/>
    <pivotField numFmtId="15" showAll="0"/>
    <pivotField showAll="0"/>
    <pivotField multipleItemSelectionAllowed="1" showAll="0"/>
    <pivotField axis="axisPage" dataField="1" showAll="0">
      <items count="11">
        <item x="0"/>
        <item x="1"/>
        <item x="2"/>
        <item x="4"/>
        <item x="3"/>
        <item x="5"/>
        <item x="6"/>
        <item x="7"/>
        <item x="8"/>
        <item x="9"/>
        <item t="default"/>
      </items>
    </pivotField>
  </pivotFields>
  <rowItems count="1">
    <i/>
  </rowItems>
  <colItems count="1">
    <i/>
  </colItems>
  <pageFields count="1">
    <pageField fld="5" item="8" hier="-1"/>
  </pageFields>
  <dataFields count="1">
    <dataField name="Contagem de Ano-Mês Petição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F252F1-6824-4A3A-AC13-AB2407FF9BE6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H4" firstHeaderRow="1" firstDataRow="1" firstDataCol="0" rowPageCount="1" colPageCount="1"/>
  <pivotFields count="9">
    <pivotField showAll="0"/>
    <pivotField showAll="0"/>
    <pivotField dataField="1" numFmtId="15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t="default"/>
      </items>
    </pivotField>
    <pivotField showAll="0"/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Items count="1">
    <i/>
  </rowItems>
  <colItems count="1">
    <i/>
  </colItems>
  <pageFields count="1">
    <pageField fld="4" item="8" hier="-1"/>
  </pageFields>
  <dataFields count="1">
    <dataField name="Contagem de Data Desligamen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CCFA4-AC0A-44D6-AB68-EC19AA8E7FC1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3:K4" firstHeaderRow="1" firstDataRow="1" firstDataCol="0" rowPageCount="1" colPageCount="1"/>
  <pivotFields count="9">
    <pivotField showAll="0"/>
    <pivotField showAll="0"/>
    <pivotField numFmtId="15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axis="axisPage" dataField="1" showAll="0">
      <items count="11">
        <item x="0"/>
        <item x="1"/>
        <item x="2"/>
        <item x="4"/>
        <item x="3"/>
        <item x="5"/>
        <item x="6"/>
        <item x="7"/>
        <item x="8"/>
        <item x="9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Items count="1">
    <i/>
  </rowItems>
  <colItems count="1">
    <i/>
  </colItems>
  <pageFields count="1">
    <pageField fld="5" item="9" hier="-1"/>
  </pageFields>
  <dataFields count="1">
    <dataField name="Contagem de Ano-Mês Petição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0743DC-2B97-4E5C-9434-26EB8CBC98BA}" name="Tabela1" displayName="Tabela1" ref="A1:F6198" totalsRowShown="0" headerRowDxfId="19" headerRowBorderDxfId="18" tableBorderDxfId="17" totalsRowBorderDxfId="16">
  <tableColumns count="6">
    <tableColumn id="1" xr3:uid="{0BBAA46E-DEA4-436B-8E22-09EC50684B1F}" name="PIS/PASEP" dataDxfId="15"/>
    <tableColumn id="2" xr3:uid="{EC662CD8-2AAD-4701-BFAD-EEC51A73222B}" name="Filial ID" dataDxfId="14"/>
    <tableColumn id="3" xr3:uid="{E05F54C9-B400-4495-BB47-F1FB4F101A29}" name="Data Desligamento" dataDxfId="13"/>
    <tableColumn id="4" xr3:uid="{85198AFB-636A-41BE-BCC0-A78EFC93A08D}" name="Data Petição" dataDxfId="12"/>
    <tableColumn id="5" xr3:uid="{0C003DEB-AA1F-40DE-B4FC-3140959F2286}" name="Ano-Mês Desligamento" dataDxfId="11">
      <calculatedColumnFormula>IF(MONTH(Tabela1[[#This Row],[Data Desligamento]])&lt;10,YEAR(Tabela1[[#This Row],[Data Desligamento]])&amp;"-0"&amp;MONTH(Tabela1[[#This Row],[Data Desligamento]]),YEAR(Tabela1[[#This Row],[Data Desligamento]])&amp;"-"&amp;MONTH(Tabela1[[#This Row],[Data Desligamento]]))</calculatedColumnFormula>
    </tableColumn>
    <tableColumn id="6" xr3:uid="{4DBD2121-D025-43BC-918A-86F3BE801C61}" name="Ano-Mês Petição" dataDxfId="10">
      <calculatedColumnFormula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AF36D9-59F5-45C4-B214-20729B28C441}" name="Tabela2" displayName="Tabela2" ref="A1:F7006" totalsRowShown="0" headerRowDxfId="9" headerRowBorderDxfId="8" tableBorderDxfId="7" totalsRowBorderDxfId="6">
  <tableColumns count="6">
    <tableColumn id="1" xr3:uid="{9C36CCFB-7E88-444C-9316-12D1D4F9BE13}" name="PIS/PASEP" dataDxfId="5"/>
    <tableColumn id="2" xr3:uid="{D7F1D893-F463-471E-991A-6EA52797BB00}" name="Filial ID" dataDxfId="4"/>
    <tableColumn id="3" xr3:uid="{B3E46FA0-DF07-4D70-BC32-7FD3CF2A67EF}" name="Data Desligamento" dataDxfId="3"/>
    <tableColumn id="4" xr3:uid="{308C5464-1292-443A-960D-9AB1BC0EF9DF}" name="Data Petição" dataDxfId="2"/>
    <tableColumn id="5" xr3:uid="{81E8550D-AB3E-4E24-AA12-E2CBC085A892}" name="Ano-Mês Desligamento" dataDxfId="1">
      <calculatedColumnFormula>IF(MONTH(Tabela2[[#This Row],[Data Desligamento]])&lt;10,YEAR(Tabela2[[#This Row],[Data Desligamento]])&amp;"-0"&amp;MONTH(Tabela2[[#This Row],[Data Desligamento]]),YEAR(Tabela2[[#This Row],[Data Desligamento]])&amp;"-"&amp;MONTH(Tabela2[[#This Row],[Data Desligamento]]))</calculatedColumnFormula>
    </tableColumn>
    <tableColumn id="6" xr3:uid="{9015EC41-2F94-4ECD-8C1E-DA996EA94B01}" name="Ano-Mês Petição" dataDxfId="0">
      <calculatedColumnFormula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54CC-63D0-4894-8A48-CD77976DD422}">
  <sheetPr codeName="Planilha1">
    <tabColor theme="1"/>
    <pageSetUpPr fitToPage="1"/>
  </sheetPr>
  <dimension ref="A2:AI153"/>
  <sheetViews>
    <sheetView showGridLines="0" tabSelected="1" topLeftCell="R1" zoomScaleNormal="100" workbookViewId="0">
      <selection activeCell="AG11" sqref="AG11"/>
    </sheetView>
  </sheetViews>
  <sheetFormatPr defaultRowHeight="14.5" x14ac:dyDescent="0.35"/>
  <cols>
    <col min="1" max="1" width="14.1796875" customWidth="1"/>
    <col min="2" max="2" width="21.54296875" bestFit="1" customWidth="1"/>
    <col min="3" max="3" width="37.1796875" bestFit="1" customWidth="1"/>
    <col min="5" max="5" width="8.90625" hidden="1" customWidth="1"/>
    <col min="6" max="10" width="20.1796875" style="1" customWidth="1"/>
    <col min="11" max="11" width="5.1796875" bestFit="1" customWidth="1"/>
    <col min="12" max="12" width="8.54296875" bestFit="1" customWidth="1"/>
    <col min="13" max="17" width="20.1796875" style="1" customWidth="1"/>
    <col min="19" max="19" width="53.1796875" style="1" customWidth="1"/>
    <col min="20" max="21" width="13.54296875" style="1" customWidth="1"/>
    <col min="22" max="22" width="16.90625" style="1" bestFit="1" customWidth="1"/>
    <col min="23" max="23" width="16" style="1" bestFit="1" customWidth="1"/>
    <col min="24" max="24" width="19.90625" style="1" bestFit="1" customWidth="1"/>
    <col min="25" max="25" width="10.453125" customWidth="1"/>
    <col min="26" max="29" width="19.81640625" customWidth="1"/>
    <col min="31" max="31" width="9.1796875" customWidth="1"/>
  </cols>
  <sheetData>
    <row r="2" spans="1:31" x14ac:dyDescent="0.35">
      <c r="A2" s="2"/>
      <c r="B2" s="53" t="s">
        <v>0</v>
      </c>
      <c r="C2" s="54"/>
      <c r="F2" s="49" t="s">
        <v>16</v>
      </c>
      <c r="G2" s="48"/>
      <c r="H2" s="48"/>
      <c r="I2" s="48"/>
      <c r="J2" s="48"/>
      <c r="L2" s="48" t="s">
        <v>18</v>
      </c>
      <c r="M2" s="48"/>
      <c r="N2" s="48"/>
      <c r="O2" s="48"/>
      <c r="P2" s="48"/>
      <c r="Q2" s="48"/>
      <c r="S2" s="49" t="s">
        <v>20</v>
      </c>
      <c r="T2" s="48"/>
      <c r="U2" s="48"/>
      <c r="V2" s="48"/>
      <c r="W2" s="48"/>
      <c r="X2" s="48"/>
      <c r="Z2" s="52" t="str">
        <f ca="1">"Atualizado em "&amp;TEXT(TODAY(),"dd/mmm/aaaa")</f>
        <v>Atualizado em 15/dez/2025</v>
      </c>
      <c r="AA2" s="52"/>
      <c r="AB2" s="52"/>
      <c r="AC2" s="52"/>
      <c r="AD2" s="52"/>
      <c r="AE2" s="52"/>
    </row>
    <row r="3" spans="1:31" x14ac:dyDescent="0.35">
      <c r="A3" s="2"/>
      <c r="B3" s="24" t="s">
        <v>1</v>
      </c>
      <c r="C3" s="5" t="s">
        <v>92</v>
      </c>
    </row>
    <row r="4" spans="1:31" x14ac:dyDescent="0.35">
      <c r="A4" s="2"/>
      <c r="B4" s="24" t="s">
        <v>2</v>
      </c>
      <c r="C4" s="5" t="s">
        <v>93</v>
      </c>
      <c r="F4" s="26" t="s">
        <v>4</v>
      </c>
      <c r="G4" s="26" t="s">
        <v>5</v>
      </c>
      <c r="H4" s="26" t="s">
        <v>6</v>
      </c>
      <c r="I4" s="26" t="s">
        <v>35</v>
      </c>
      <c r="J4" s="26" t="s">
        <v>36</v>
      </c>
      <c r="L4" s="26" t="s">
        <v>19</v>
      </c>
      <c r="M4" s="26" t="s">
        <v>68</v>
      </c>
      <c r="N4" s="26" t="s">
        <v>5</v>
      </c>
      <c r="O4" s="26" t="s">
        <v>6</v>
      </c>
      <c r="P4" s="26" t="s">
        <v>35</v>
      </c>
      <c r="Q4" s="26" t="s">
        <v>36</v>
      </c>
      <c r="S4" s="26" t="s">
        <v>21</v>
      </c>
      <c r="T4" s="26" t="s">
        <v>22</v>
      </c>
      <c r="U4" s="26" t="s">
        <v>23</v>
      </c>
      <c r="V4" s="26" t="s">
        <v>24</v>
      </c>
      <c r="W4" s="26" t="s">
        <v>37</v>
      </c>
      <c r="X4" s="26" t="s">
        <v>38</v>
      </c>
      <c r="Z4" s="49" t="s">
        <v>28</v>
      </c>
      <c r="AA4" s="48"/>
      <c r="AB4" s="48"/>
      <c r="AC4" s="48"/>
      <c r="AD4" s="48"/>
      <c r="AE4" s="48"/>
    </row>
    <row r="5" spans="1:31" x14ac:dyDescent="0.35">
      <c r="A5" s="2"/>
      <c r="B5" s="25" t="s">
        <v>3</v>
      </c>
      <c r="C5" s="5" t="s">
        <v>47</v>
      </c>
      <c r="F5" s="4">
        <f t="shared" ref="F5:F16" si="0">DATE($C$9,E7,1)</f>
        <v>49310</v>
      </c>
      <c r="G5" s="36">
        <v>0.22222222222222221</v>
      </c>
      <c r="H5" s="36">
        <v>0.21184929971664709</v>
      </c>
      <c r="I5" s="21" t="str">
        <f t="shared" ref="I5:I16" si="1">IF(G5="","",IF($C$6="Cima",IF(G5&gt;=H5,G5,""),IF(G5&lt;=H5,G5,"")))</f>
        <v/>
      </c>
      <c r="J5" s="21">
        <f t="shared" ref="J5:J16" si="2">IF(G5="","",IF($C$6="Cima",IF(G5&lt;H5,G5,""),IF(G5&gt;H5,G5,"")))</f>
        <v>0.22222222222222221</v>
      </c>
      <c r="L5" s="3" t="str">
        <f>IF(M5="","","Sem. "&amp;M5)</f>
        <v>Sem. 1</v>
      </c>
      <c r="M5" s="3">
        <f>IF(Auxiliar!$AG$6&lt;2,IF(Auxiliar!$AG$6=1,1,""),M6-1)</f>
        <v>1</v>
      </c>
      <c r="N5" s="16"/>
      <c r="O5" s="16"/>
      <c r="P5" s="21" t="str">
        <f>IF(N5="","",IF($C$6="Cima",IF(N5&gt;=O5,N5,""),IF(N5&lt;=O5,N5,"")))</f>
        <v/>
      </c>
      <c r="Q5" s="21" t="str">
        <f>IF(N5="","",IF($C$6="Cima",IF(N5&lt;O5,N5,""),IF(N5&gt;O5,N5,"")))</f>
        <v/>
      </c>
      <c r="S5" s="38" t="s">
        <v>95</v>
      </c>
      <c r="T5" s="38" t="s">
        <v>94</v>
      </c>
      <c r="U5" s="6">
        <v>49345</v>
      </c>
      <c r="V5" s="6">
        <v>49345</v>
      </c>
      <c r="W5" s="4">
        <f>IF(V5="","",DATE(YEAR(V5),MONTH(V5),1))</f>
        <v>49341</v>
      </c>
      <c r="X5" s="3">
        <f>IFERROR(VLOOKUP(V5,Auxiliar!$T$3:$X$367,5,FALSE),"")</f>
        <v>6</v>
      </c>
    </row>
    <row r="6" spans="1:31" x14ac:dyDescent="0.35">
      <c r="A6" s="2"/>
      <c r="B6" s="25" t="s">
        <v>31</v>
      </c>
      <c r="C6" s="5" t="s">
        <v>34</v>
      </c>
      <c r="E6" s="17" t="s">
        <v>17</v>
      </c>
      <c r="F6" s="4">
        <f t="shared" si="0"/>
        <v>49341</v>
      </c>
      <c r="G6" s="36">
        <v>0.20399999999999999</v>
      </c>
      <c r="H6" s="36">
        <v>0.20994524337937476</v>
      </c>
      <c r="I6" s="21">
        <f t="shared" si="1"/>
        <v>0.20399999999999999</v>
      </c>
      <c r="J6" s="21" t="str">
        <f t="shared" si="2"/>
        <v/>
      </c>
      <c r="L6" s="3" t="str">
        <f t="shared" ref="L6:L12" si="3">IF(M6="","","Sem. "&amp;M6)</f>
        <v>Sem. 2</v>
      </c>
      <c r="M6" s="3">
        <f>IF(Auxiliar!$AG$6&lt;3,IF(Auxiliar!$AG$6=2,2,""),M7-1)</f>
        <v>2</v>
      </c>
      <c r="N6" s="16"/>
      <c r="O6" s="16"/>
      <c r="P6" s="21" t="str">
        <f t="shared" ref="P6:P12" si="4">IF(N6="","",IF($C$6="Cima",IF(N6&gt;=O6,N6,""),IF(N6&lt;=O6,N6,"")))</f>
        <v/>
      </c>
      <c r="Q6" s="21" t="str">
        <f t="shared" ref="Q6:Q12" si="5">IF(N6="","",IF($C$6="Cima",IF(N6&lt;O6,N6,""),IF(N6&gt;O6,N6,"")))</f>
        <v/>
      </c>
      <c r="S6" s="43" t="s">
        <v>101</v>
      </c>
      <c r="T6" s="43" t="s">
        <v>96</v>
      </c>
      <c r="U6" s="46">
        <v>49358</v>
      </c>
      <c r="V6" s="6"/>
      <c r="W6" s="4" t="str">
        <f t="shared" ref="W6:W69" si="6">IF(V6="","",DATE(YEAR(V6),MONTH(V6),1))</f>
        <v/>
      </c>
      <c r="X6" s="3" t="str">
        <f>IFERROR(VLOOKUP(V6,Auxiliar!$T$3:$X$367,5,FALSE),"")</f>
        <v/>
      </c>
      <c r="Z6" s="50" t="str">
        <f>"O realizado de "&amp;TEXT(Auxiliar!AG3,"mmmaa")&amp;" é "&amp;TEXT(Auxiliar!AR2,Auxiliar!H3)&amp;" ("&amp;TEXT(Auxiliar!AR5,Auxiliar!H3)&amp;" "&amp;Auxiliar!AR6&amp;" do que meta de "&amp; TEXT(Auxiliar!AR3,Auxiliar!H3)&amp;")."</f>
        <v>O realizado de jan35 é 22,2% (1,0% pior do que meta de 21,2%).</v>
      </c>
      <c r="AA6" s="50"/>
      <c r="AB6" s="50"/>
      <c r="AC6" s="50"/>
      <c r="AD6" s="50"/>
      <c r="AE6" s="50"/>
    </row>
    <row r="7" spans="1:31" x14ac:dyDescent="0.35">
      <c r="A7" s="2"/>
      <c r="E7" s="3">
        <v>1</v>
      </c>
      <c r="F7" s="4">
        <f t="shared" si="0"/>
        <v>49369</v>
      </c>
      <c r="G7" s="36"/>
      <c r="H7" s="36">
        <v>0.20804118704210242</v>
      </c>
      <c r="I7" s="21" t="str">
        <f t="shared" si="1"/>
        <v/>
      </c>
      <c r="J7" s="21" t="str">
        <f t="shared" si="2"/>
        <v/>
      </c>
      <c r="L7" s="3" t="str">
        <f t="shared" si="3"/>
        <v>Sem. 3</v>
      </c>
      <c r="M7" s="3">
        <f>IF(Auxiliar!$AG$6&lt;4,IF(Auxiliar!$AG$6=3,3,""),M8-1)</f>
        <v>3</v>
      </c>
      <c r="N7" s="16"/>
      <c r="O7" s="16"/>
      <c r="P7" s="21" t="str">
        <f t="shared" si="4"/>
        <v/>
      </c>
      <c r="Q7" s="21" t="str">
        <f t="shared" si="5"/>
        <v/>
      </c>
      <c r="S7" s="43" t="s">
        <v>102</v>
      </c>
      <c r="T7" s="43" t="s">
        <v>96</v>
      </c>
      <c r="U7" s="46">
        <v>49358</v>
      </c>
      <c r="V7" s="6"/>
      <c r="W7" s="4" t="str">
        <f t="shared" si="6"/>
        <v/>
      </c>
      <c r="X7" s="3" t="str">
        <f>IFERROR(VLOOKUP(V7,Auxiliar!$T$3:$X$367,5,FALSE),"")</f>
        <v/>
      </c>
      <c r="Z7" s="13"/>
      <c r="AA7" s="13"/>
      <c r="AB7" s="13"/>
      <c r="AC7" s="13"/>
      <c r="AD7" s="13"/>
      <c r="AE7" s="13"/>
    </row>
    <row r="8" spans="1:31" x14ac:dyDescent="0.35">
      <c r="A8" s="2"/>
      <c r="B8" s="55" t="s">
        <v>7</v>
      </c>
      <c r="C8" s="55"/>
      <c r="E8" s="3">
        <f>E7+1</f>
        <v>2</v>
      </c>
      <c r="F8" s="4">
        <f t="shared" si="0"/>
        <v>49400</v>
      </c>
      <c r="G8" s="36"/>
      <c r="H8" s="36">
        <v>0.20613713070483011</v>
      </c>
      <c r="I8" s="21" t="str">
        <f t="shared" si="1"/>
        <v/>
      </c>
      <c r="J8" s="21" t="str">
        <f t="shared" si="2"/>
        <v/>
      </c>
      <c r="L8" s="3" t="str">
        <f t="shared" si="3"/>
        <v>Sem. 4</v>
      </c>
      <c r="M8" s="3">
        <f>IF(Auxiliar!$AG$6&lt;5,IF(Auxiliar!$AG$6=4,4,""),M9-1)</f>
        <v>4</v>
      </c>
      <c r="N8" s="16"/>
      <c r="O8" s="16"/>
      <c r="P8" s="21" t="str">
        <f t="shared" si="4"/>
        <v/>
      </c>
      <c r="Q8" s="21" t="str">
        <f t="shared" si="5"/>
        <v/>
      </c>
      <c r="S8" s="44" t="s">
        <v>103</v>
      </c>
      <c r="T8" s="38" t="s">
        <v>96</v>
      </c>
      <c r="U8" s="45">
        <v>49372</v>
      </c>
      <c r="V8" s="6"/>
      <c r="W8" s="4" t="str">
        <f t="shared" si="6"/>
        <v/>
      </c>
      <c r="X8" s="3" t="str">
        <f>IFERROR(VLOOKUP(V8,Auxiliar!$T$3:$X$367,5,FALSE),"")</f>
        <v/>
      </c>
      <c r="AA8" s="51" t="str">
        <f>C3&amp;" ("&amp;Auxiliar!G3&amp;")"</f>
        <v>Entrada de Processos Trabalhistas (%)</v>
      </c>
      <c r="AB8" s="51"/>
      <c r="AC8" s="51"/>
    </row>
    <row r="9" spans="1:31" x14ac:dyDescent="0.35">
      <c r="A9" s="2"/>
      <c r="B9" s="24" t="s">
        <v>8</v>
      </c>
      <c r="C9" s="5">
        <v>2035</v>
      </c>
      <c r="E9" s="3">
        <f t="shared" ref="E9:E18" si="7">E8+1</f>
        <v>3</v>
      </c>
      <c r="F9" s="4">
        <f t="shared" si="0"/>
        <v>49430</v>
      </c>
      <c r="G9" s="36"/>
      <c r="H9" s="36">
        <v>0.20423307436755778</v>
      </c>
      <c r="I9" s="21" t="str">
        <f t="shared" si="1"/>
        <v/>
      </c>
      <c r="J9" s="21" t="str">
        <f t="shared" si="2"/>
        <v/>
      </c>
      <c r="L9" s="3" t="str">
        <f t="shared" si="3"/>
        <v>Sem. 5</v>
      </c>
      <c r="M9" s="3">
        <f>IF(Auxiliar!$AG$6&lt;6,IF(Auxiliar!$AG$6=5,5,""),M10-1)</f>
        <v>5</v>
      </c>
      <c r="N9" s="16"/>
      <c r="O9" s="16"/>
      <c r="P9" s="21" t="str">
        <f t="shared" si="4"/>
        <v/>
      </c>
      <c r="Q9" s="21" t="str">
        <f t="shared" si="5"/>
        <v/>
      </c>
      <c r="S9" s="38" t="s">
        <v>104</v>
      </c>
      <c r="T9" s="38" t="s">
        <v>96</v>
      </c>
      <c r="U9" s="6">
        <v>49365</v>
      </c>
      <c r="V9" s="6">
        <v>49365</v>
      </c>
      <c r="W9" s="4">
        <f t="shared" si="6"/>
        <v>49341</v>
      </c>
      <c r="X9" s="3">
        <f>IFERROR(VLOOKUP(V9,Auxiliar!$T$3:$X$367,5,FALSE),"")</f>
        <v>9</v>
      </c>
      <c r="AA9" s="51"/>
      <c r="AB9" s="51"/>
      <c r="AC9" s="51"/>
      <c r="AE9" s="12" t="str">
        <f>IF(C6="Baixo","(","&amp;")</f>
        <v>(</v>
      </c>
    </row>
    <row r="10" spans="1:31" x14ac:dyDescent="0.35">
      <c r="A10" s="2"/>
      <c r="B10" s="25" t="s">
        <v>64</v>
      </c>
      <c r="C10" s="15" t="s">
        <v>81</v>
      </c>
      <c r="E10" s="3">
        <f t="shared" si="7"/>
        <v>4</v>
      </c>
      <c r="F10" s="4">
        <f t="shared" si="0"/>
        <v>49461</v>
      </c>
      <c r="G10" s="36"/>
      <c r="H10" s="36">
        <v>0.20232901803028544</v>
      </c>
      <c r="I10" s="21" t="str">
        <f t="shared" si="1"/>
        <v/>
      </c>
      <c r="J10" s="21" t="str">
        <f t="shared" si="2"/>
        <v/>
      </c>
      <c r="L10" s="3" t="str">
        <f t="shared" si="3"/>
        <v/>
      </c>
      <c r="M10" s="3" t="str">
        <f>IF(Auxiliar!$AG$6&lt;7,IF(Auxiliar!$AG$6=6,6,""),M11-1)</f>
        <v/>
      </c>
      <c r="N10" s="16"/>
      <c r="O10" s="16"/>
      <c r="P10" s="21" t="str">
        <f t="shared" si="4"/>
        <v/>
      </c>
      <c r="Q10" s="21" t="str">
        <f t="shared" si="5"/>
        <v/>
      </c>
      <c r="S10" s="38" t="s">
        <v>107</v>
      </c>
      <c r="T10" s="38" t="s">
        <v>96</v>
      </c>
      <c r="U10" s="6">
        <v>49368</v>
      </c>
      <c r="V10" s="6">
        <v>49367</v>
      </c>
      <c r="W10" s="4">
        <f t="shared" si="6"/>
        <v>49341</v>
      </c>
      <c r="X10" s="3">
        <f>IFERROR(VLOOKUP(V10,Auxiliar!$T$3:$X$367,5,FALSE),"")</f>
        <v>9</v>
      </c>
      <c r="Z10" s="47" t="str">
        <f>C4</f>
        <v>Núm. Processos Trabalhistas Recebidos / Núm. Funcionários em Loja Desligados</v>
      </c>
      <c r="AA10" s="47"/>
      <c r="AB10" s="47"/>
      <c r="AC10" s="47"/>
      <c r="AD10" s="47"/>
      <c r="AE10" s="47"/>
    </row>
    <row r="11" spans="1:31" x14ac:dyDescent="0.35">
      <c r="A11" s="2"/>
      <c r="B11" s="19"/>
      <c r="C11" s="1"/>
      <c r="E11" s="3">
        <f t="shared" si="7"/>
        <v>5</v>
      </c>
      <c r="F11" s="4">
        <f t="shared" si="0"/>
        <v>49491</v>
      </c>
      <c r="G11" s="36"/>
      <c r="H11" s="36">
        <v>0.20042496169301313</v>
      </c>
      <c r="I11" s="21" t="str">
        <f t="shared" si="1"/>
        <v/>
      </c>
      <c r="J11" s="21" t="str">
        <f t="shared" si="2"/>
        <v/>
      </c>
      <c r="L11" s="3" t="str">
        <f t="shared" si="3"/>
        <v/>
      </c>
      <c r="M11" s="3" t="str">
        <f>IF(Auxiliar!$AG$6&lt;8,IF(Auxiliar!$AG$6=7,7,""),M12-1)</f>
        <v/>
      </c>
      <c r="N11" s="16"/>
      <c r="O11" s="16"/>
      <c r="P11" s="21" t="str">
        <f t="shared" si="4"/>
        <v/>
      </c>
      <c r="Q11" s="21" t="str">
        <f t="shared" si="5"/>
        <v/>
      </c>
      <c r="S11" s="38" t="s">
        <v>108</v>
      </c>
      <c r="T11" s="38" t="s">
        <v>96</v>
      </c>
      <c r="U11" s="6">
        <v>49368</v>
      </c>
      <c r="V11" s="6">
        <v>49368</v>
      </c>
      <c r="W11" s="4">
        <f t="shared" si="6"/>
        <v>49341</v>
      </c>
      <c r="X11" s="3">
        <f>IFERROR(VLOOKUP(V11,Auxiliar!$T$3:$X$367,5,FALSE),"")</f>
        <v>9</v>
      </c>
    </row>
    <row r="12" spans="1:31" ht="14.4" customHeight="1" x14ac:dyDescent="0.35">
      <c r="A12" s="2"/>
      <c r="B12" s="10"/>
      <c r="C12" s="28"/>
      <c r="E12" s="3">
        <f t="shared" si="7"/>
        <v>6</v>
      </c>
      <c r="F12" s="4">
        <f t="shared" si="0"/>
        <v>49522</v>
      </c>
      <c r="G12" s="36"/>
      <c r="H12" s="36">
        <v>0.1985209053557408</v>
      </c>
      <c r="I12" s="21" t="str">
        <f t="shared" si="1"/>
        <v/>
      </c>
      <c r="J12" s="21" t="str">
        <f t="shared" si="2"/>
        <v/>
      </c>
      <c r="L12" s="3" t="str">
        <f t="shared" si="3"/>
        <v/>
      </c>
      <c r="M12" s="3" t="str">
        <f>IF(Auxiliar!AG6&lt;8,"",Auxiliar!AG6)</f>
        <v/>
      </c>
      <c r="N12" s="16"/>
      <c r="O12" s="16"/>
      <c r="P12" s="21" t="str">
        <f t="shared" si="4"/>
        <v/>
      </c>
      <c r="Q12" s="21" t="str">
        <f t="shared" si="5"/>
        <v/>
      </c>
      <c r="S12" s="38" t="s">
        <v>109</v>
      </c>
      <c r="T12" s="38" t="s">
        <v>96</v>
      </c>
      <c r="U12" s="6">
        <v>49368</v>
      </c>
      <c r="V12" s="6">
        <v>49368</v>
      </c>
      <c r="W12" s="4">
        <f t="shared" si="6"/>
        <v>49341</v>
      </c>
      <c r="X12" s="3">
        <f>IFERROR(VLOOKUP(V12,Auxiliar!$T$3:$X$367,5,FALSE),"")</f>
        <v>9</v>
      </c>
    </row>
    <row r="13" spans="1:31" ht="14.4" customHeight="1" x14ac:dyDescent="0.35">
      <c r="A13" s="2"/>
      <c r="B13" s="10"/>
      <c r="C13" s="28"/>
      <c r="E13" s="3">
        <f t="shared" si="7"/>
        <v>7</v>
      </c>
      <c r="F13" s="4">
        <f t="shared" si="0"/>
        <v>49553</v>
      </c>
      <c r="G13" s="36"/>
      <c r="H13" s="36">
        <v>0.19661684901846849</v>
      </c>
      <c r="I13" s="21" t="str">
        <f t="shared" si="1"/>
        <v/>
      </c>
      <c r="J13" s="21" t="str">
        <f t="shared" si="2"/>
        <v/>
      </c>
      <c r="S13" s="38" t="s">
        <v>105</v>
      </c>
      <c r="T13" s="38" t="s">
        <v>97</v>
      </c>
      <c r="U13" s="6">
        <v>49359</v>
      </c>
      <c r="V13" s="6">
        <v>49362</v>
      </c>
      <c r="W13" s="4">
        <f t="shared" si="6"/>
        <v>49341</v>
      </c>
      <c r="X13" s="3">
        <f>IFERROR(VLOOKUP(V13,Auxiliar!$T$3:$X$367,5,FALSE),"")</f>
        <v>8</v>
      </c>
    </row>
    <row r="14" spans="1:31" ht="14.4" customHeight="1" x14ac:dyDescent="0.35">
      <c r="A14" s="2"/>
      <c r="B14" s="18"/>
      <c r="C14" s="28"/>
      <c r="E14" s="3">
        <f t="shared" si="7"/>
        <v>8</v>
      </c>
      <c r="F14" s="4">
        <f t="shared" si="0"/>
        <v>49583</v>
      </c>
      <c r="G14" s="36"/>
      <c r="H14" s="36">
        <v>0.19471279268119615</v>
      </c>
      <c r="I14" s="21" t="str">
        <f t="shared" si="1"/>
        <v/>
      </c>
      <c r="J14" s="21" t="str">
        <f t="shared" si="2"/>
        <v/>
      </c>
      <c r="S14" s="38" t="s">
        <v>106</v>
      </c>
      <c r="T14" s="38" t="s">
        <v>97</v>
      </c>
      <c r="U14" s="6">
        <v>49360</v>
      </c>
      <c r="V14" s="6">
        <v>49363</v>
      </c>
      <c r="W14" s="4">
        <f t="shared" si="6"/>
        <v>49341</v>
      </c>
      <c r="X14" s="3">
        <f>IFERROR(VLOOKUP(V14,Auxiliar!$T$3:$X$367,5,FALSE),"")</f>
        <v>8</v>
      </c>
    </row>
    <row r="15" spans="1:31" x14ac:dyDescent="0.35">
      <c r="A15" s="2"/>
      <c r="B15" s="18"/>
      <c r="C15" s="18"/>
      <c r="E15" s="3">
        <f t="shared" si="7"/>
        <v>9</v>
      </c>
      <c r="F15" s="4">
        <f t="shared" si="0"/>
        <v>49614</v>
      </c>
      <c r="G15" s="36"/>
      <c r="H15" s="36">
        <v>0.19280873634392381</v>
      </c>
      <c r="I15" s="21" t="str">
        <f t="shared" si="1"/>
        <v/>
      </c>
      <c r="J15" s="21" t="str">
        <f t="shared" si="2"/>
        <v/>
      </c>
      <c r="S15" s="38" t="s">
        <v>110</v>
      </c>
      <c r="T15" s="38" t="s">
        <v>97</v>
      </c>
      <c r="U15" s="6">
        <v>49368</v>
      </c>
      <c r="V15" s="6">
        <v>49368</v>
      </c>
      <c r="W15" s="4">
        <f t="shared" si="6"/>
        <v>49341</v>
      </c>
      <c r="X15" s="3">
        <f>IFERROR(VLOOKUP(V15,Auxiliar!$T$3:$X$367,5,FALSE),"")</f>
        <v>9</v>
      </c>
    </row>
    <row r="16" spans="1:31" x14ac:dyDescent="0.35">
      <c r="A16" s="2"/>
      <c r="B16" s="18"/>
      <c r="C16" s="18"/>
      <c r="E16" s="3">
        <f t="shared" si="7"/>
        <v>10</v>
      </c>
      <c r="F16" s="4">
        <f t="shared" si="0"/>
        <v>49644</v>
      </c>
      <c r="G16" s="36"/>
      <c r="H16" s="36">
        <v>0.19153936545240893</v>
      </c>
      <c r="I16" s="21" t="str">
        <f t="shared" si="1"/>
        <v/>
      </c>
      <c r="J16" s="21" t="str">
        <f t="shared" si="2"/>
        <v/>
      </c>
      <c r="S16" s="38" t="s">
        <v>111</v>
      </c>
      <c r="T16" s="38" t="s">
        <v>99</v>
      </c>
      <c r="U16" s="6">
        <v>49359</v>
      </c>
      <c r="V16" s="6">
        <v>49363</v>
      </c>
      <c r="W16" s="4">
        <f t="shared" si="6"/>
        <v>49341</v>
      </c>
      <c r="X16" s="3">
        <f>IFERROR(VLOOKUP(V16,Auxiliar!$T$3:$X$367,5,FALSE),"")</f>
        <v>8</v>
      </c>
    </row>
    <row r="17" spans="1:35" x14ac:dyDescent="0.35">
      <c r="A17" s="2"/>
      <c r="B17" s="18"/>
      <c r="C17" s="18"/>
      <c r="E17" s="3">
        <f t="shared" si="7"/>
        <v>11</v>
      </c>
      <c r="S17" s="38" t="s">
        <v>112</v>
      </c>
      <c r="T17" s="38" t="s">
        <v>99</v>
      </c>
      <c r="U17" s="6">
        <v>49362</v>
      </c>
      <c r="V17" s="6">
        <v>49366</v>
      </c>
      <c r="W17" s="4">
        <f t="shared" si="6"/>
        <v>49341</v>
      </c>
      <c r="X17" s="3">
        <f>IFERROR(VLOOKUP(V17,Auxiliar!$T$3:$X$367,5,FALSE),"")</f>
        <v>9</v>
      </c>
    </row>
    <row r="18" spans="1:35" x14ac:dyDescent="0.35">
      <c r="A18" s="2"/>
      <c r="B18" s="18"/>
      <c r="C18" s="18"/>
      <c r="E18" s="3">
        <f t="shared" si="7"/>
        <v>12</v>
      </c>
      <c r="S18" s="38" t="s">
        <v>113</v>
      </c>
      <c r="T18" s="38" t="s">
        <v>99</v>
      </c>
      <c r="U18" s="6">
        <v>49365</v>
      </c>
      <c r="V18" s="6">
        <v>49368</v>
      </c>
      <c r="W18" s="4">
        <f t="shared" si="6"/>
        <v>49341</v>
      </c>
      <c r="X18" s="3">
        <f>IFERROR(VLOOKUP(V18,Auxiliar!$T$3:$X$367,5,FALSE),"")</f>
        <v>9</v>
      </c>
    </row>
    <row r="19" spans="1:35" x14ac:dyDescent="0.35">
      <c r="A19" s="2"/>
      <c r="B19" s="18"/>
      <c r="C19" s="18"/>
      <c r="S19" s="38" t="s">
        <v>114</v>
      </c>
      <c r="T19" s="38" t="s">
        <v>99</v>
      </c>
      <c r="U19" s="42">
        <v>49368</v>
      </c>
      <c r="V19" s="6"/>
      <c r="W19" s="4" t="str">
        <f t="shared" si="6"/>
        <v/>
      </c>
      <c r="X19" s="3" t="str">
        <f>IFERROR(VLOOKUP(V19,Auxiliar!$T$3:$X$367,5,FALSE),"")</f>
        <v/>
      </c>
    </row>
    <row r="20" spans="1:35" x14ac:dyDescent="0.35">
      <c r="A20" s="2"/>
      <c r="B20" s="18"/>
      <c r="C20" s="18"/>
      <c r="S20" s="43" t="s">
        <v>115</v>
      </c>
      <c r="T20" s="43" t="s">
        <v>98</v>
      </c>
      <c r="U20" s="46">
        <v>49368</v>
      </c>
      <c r="V20" s="9"/>
      <c r="W20" s="4" t="str">
        <f t="shared" si="6"/>
        <v/>
      </c>
      <c r="X20" s="3" t="str">
        <f>IFERROR(VLOOKUP(V20,Auxiliar!$T$3:$X$367,5,FALSE),"")</f>
        <v/>
      </c>
      <c r="AH20" s="13"/>
      <c r="AI20" s="13"/>
    </row>
    <row r="21" spans="1:35" x14ac:dyDescent="0.35">
      <c r="A21" s="2"/>
      <c r="B21" s="18"/>
      <c r="C21" s="18"/>
      <c r="S21" s="44" t="s">
        <v>116</v>
      </c>
      <c r="T21" s="44" t="s">
        <v>94</v>
      </c>
      <c r="U21" s="45">
        <v>49371</v>
      </c>
      <c r="V21" s="9"/>
      <c r="W21" s="4" t="str">
        <f t="shared" si="6"/>
        <v/>
      </c>
      <c r="X21" s="3" t="str">
        <f>IFERROR(VLOOKUP(V21,Auxiliar!$T$3:$X$367,5,FALSE),"")</f>
        <v/>
      </c>
    </row>
    <row r="22" spans="1:35" x14ac:dyDescent="0.35">
      <c r="A22" s="2"/>
      <c r="B22" s="18"/>
      <c r="C22" s="18"/>
      <c r="S22" s="44" t="s">
        <v>117</v>
      </c>
      <c r="T22" s="44" t="s">
        <v>94</v>
      </c>
      <c r="U22" s="45">
        <v>49371</v>
      </c>
      <c r="V22" s="9"/>
      <c r="W22" s="4" t="str">
        <f t="shared" si="6"/>
        <v/>
      </c>
      <c r="X22" s="3" t="str">
        <f>IFERROR(VLOOKUP(V22,Auxiliar!$T$3:$X$367,5,FALSE),"")</f>
        <v/>
      </c>
    </row>
    <row r="23" spans="1:35" x14ac:dyDescent="0.35">
      <c r="A23" s="2"/>
      <c r="B23" s="18"/>
      <c r="C23" s="18"/>
      <c r="S23" s="44" t="s">
        <v>115</v>
      </c>
      <c r="T23" s="44" t="s">
        <v>94</v>
      </c>
      <c r="U23" s="45">
        <v>49373</v>
      </c>
      <c r="V23" s="9"/>
      <c r="W23" s="4" t="str">
        <f t="shared" si="6"/>
        <v/>
      </c>
      <c r="X23" s="3" t="str">
        <f>IFERROR(VLOOKUP(V23,Auxiliar!$T$3:$X$367,5,FALSE),"")</f>
        <v/>
      </c>
    </row>
    <row r="24" spans="1:35" x14ac:dyDescent="0.35">
      <c r="A24" s="2"/>
      <c r="B24" s="18"/>
      <c r="C24" s="18"/>
      <c r="S24" s="5"/>
      <c r="T24" s="5"/>
      <c r="U24" s="6"/>
      <c r="V24" s="9"/>
      <c r="W24" s="4" t="str">
        <f t="shared" si="6"/>
        <v/>
      </c>
      <c r="X24" s="3" t="str">
        <f>IFERROR(VLOOKUP(V24,Auxiliar!$T$3:$X$367,5,FALSE),"")</f>
        <v/>
      </c>
    </row>
    <row r="25" spans="1:35" x14ac:dyDescent="0.35">
      <c r="A25" s="2"/>
      <c r="B25" s="18"/>
      <c r="C25" s="18"/>
      <c r="S25" s="5"/>
      <c r="T25" s="5"/>
      <c r="U25" s="6"/>
      <c r="V25" s="9"/>
      <c r="W25" s="4" t="str">
        <f t="shared" si="6"/>
        <v/>
      </c>
      <c r="X25" s="3" t="str">
        <f>IFERROR(VLOOKUP(V25,Auxiliar!$T$3:$X$367,5,FALSE),"")</f>
        <v/>
      </c>
    </row>
    <row r="26" spans="1:35" x14ac:dyDescent="0.35">
      <c r="A26" s="2"/>
      <c r="B26" s="18"/>
      <c r="C26" s="18"/>
      <c r="S26" s="5"/>
      <c r="T26" s="5"/>
      <c r="U26" s="6"/>
      <c r="V26" s="9"/>
      <c r="W26" s="4" t="str">
        <f t="shared" si="6"/>
        <v/>
      </c>
      <c r="X26" s="3" t="str">
        <f>IFERROR(VLOOKUP(V26,Auxiliar!$T$3:$X$367,5,FALSE),"")</f>
        <v/>
      </c>
    </row>
    <row r="27" spans="1:35" x14ac:dyDescent="0.35">
      <c r="A27" s="2"/>
      <c r="B27" s="18"/>
      <c r="C27" s="18"/>
      <c r="S27" s="5"/>
      <c r="T27" s="5"/>
      <c r="U27" s="6"/>
      <c r="V27" s="9"/>
      <c r="W27" s="4" t="str">
        <f t="shared" si="6"/>
        <v/>
      </c>
      <c r="X27" s="3" t="str">
        <f>IFERROR(VLOOKUP(V27,Auxiliar!$T$3:$X$367,5,FALSE),"")</f>
        <v/>
      </c>
    </row>
    <row r="28" spans="1:35" x14ac:dyDescent="0.35">
      <c r="A28" s="2"/>
      <c r="B28" s="18"/>
      <c r="C28" s="18"/>
      <c r="S28" s="5"/>
      <c r="T28" s="5"/>
      <c r="U28" s="6"/>
      <c r="V28" s="9"/>
      <c r="W28" s="4" t="str">
        <f t="shared" si="6"/>
        <v/>
      </c>
      <c r="X28" s="3" t="str">
        <f>IFERROR(VLOOKUP(V28,Auxiliar!$T$3:$X$367,5,FALSE),"")</f>
        <v/>
      </c>
    </row>
    <row r="29" spans="1:35" x14ac:dyDescent="0.35">
      <c r="A29" s="2"/>
      <c r="B29" s="18"/>
      <c r="C29" s="18"/>
      <c r="S29" s="5"/>
      <c r="T29" s="5"/>
      <c r="U29" s="6"/>
      <c r="V29" s="9"/>
      <c r="W29" s="4" t="str">
        <f t="shared" si="6"/>
        <v/>
      </c>
      <c r="X29" s="3" t="str">
        <f>IFERROR(VLOOKUP(V29,Auxiliar!$T$3:$X$367,5,FALSE),"")</f>
        <v/>
      </c>
      <c r="Z29" s="49" t="s">
        <v>29</v>
      </c>
      <c r="AA29" s="48"/>
      <c r="AB29" s="48"/>
      <c r="AC29" s="48"/>
      <c r="AD29" s="48"/>
      <c r="AE29" s="48"/>
    </row>
    <row r="30" spans="1:35" x14ac:dyDescent="0.35">
      <c r="A30" s="2"/>
      <c r="B30" s="18"/>
      <c r="C30" s="18"/>
      <c r="S30" s="5"/>
      <c r="T30" s="5"/>
      <c r="U30" s="6"/>
      <c r="V30" s="9"/>
      <c r="W30" s="4" t="str">
        <f t="shared" si="6"/>
        <v/>
      </c>
      <c r="X30" s="3" t="str">
        <f>IFERROR(VLOOKUP(V30,Auxiliar!$T$3:$X$367,5,FALSE),"")</f>
        <v/>
      </c>
    </row>
    <row r="31" spans="1:35" x14ac:dyDescent="0.35">
      <c r="A31" s="2"/>
      <c r="B31" s="18"/>
      <c r="C31" s="18"/>
      <c r="S31" s="5"/>
      <c r="T31" s="5"/>
      <c r="U31" s="6"/>
      <c r="V31" s="9"/>
      <c r="W31" s="4" t="str">
        <f t="shared" si="6"/>
        <v/>
      </c>
      <c r="X31" s="3" t="str">
        <f>IFERROR(VLOOKUP(V31,Auxiliar!$T$3:$X$367,5,FALSE),"")</f>
        <v/>
      </c>
      <c r="Z31" s="50" t="str">
        <f>"O realizado na Semana "&amp;Auxiliar!AG6&amp;" foi "&amp;TEXT(Auxiliar!BB2,Auxiliar!H3)&amp;" ("&amp;TEXT(Auxiliar!BB5,Auxiliar!H3)&amp;" "&amp;Auxiliar!BB6&amp;" do que meta de "&amp; TEXT(Auxiliar!BB3,Auxiliar!H3)&amp;")."</f>
        <v>O realizado na Semana 5 foi 0,0% (0,0% melhor do que meta de 0,0%).</v>
      </c>
      <c r="AA31" s="50"/>
      <c r="AB31" s="50"/>
      <c r="AC31" s="50"/>
      <c r="AD31" s="50"/>
      <c r="AE31" s="50"/>
    </row>
    <row r="32" spans="1:35" x14ac:dyDescent="0.35">
      <c r="A32" s="2"/>
      <c r="S32" s="5"/>
      <c r="T32" s="5"/>
      <c r="U32" s="6"/>
      <c r="V32" s="9"/>
      <c r="W32" s="4" t="str">
        <f t="shared" si="6"/>
        <v/>
      </c>
      <c r="X32" s="3" t="str">
        <f>IFERROR(VLOOKUP(V32,Auxiliar!$T$3:$X$367,5,FALSE),"")</f>
        <v/>
      </c>
    </row>
    <row r="33" spans="1:31" x14ac:dyDescent="0.35">
      <c r="A33" s="2"/>
      <c r="B33" s="18"/>
      <c r="S33" s="5"/>
      <c r="T33" s="5"/>
      <c r="U33" s="6"/>
      <c r="V33" s="9"/>
      <c r="W33" s="4" t="str">
        <f t="shared" si="6"/>
        <v/>
      </c>
      <c r="X33" s="3" t="str">
        <f>IFERROR(VLOOKUP(V33,Auxiliar!$T$3:$X$367,5,FALSE),"")</f>
        <v/>
      </c>
      <c r="AA33" s="51" t="str">
        <f>C3&amp;" ("&amp;Auxiliar!G3&amp;")"</f>
        <v>Entrada de Processos Trabalhistas (%)</v>
      </c>
      <c r="AB33" s="51"/>
      <c r="AC33" s="51"/>
    </row>
    <row r="34" spans="1:31" x14ac:dyDescent="0.35">
      <c r="A34" s="2"/>
      <c r="B34" s="18"/>
      <c r="S34" s="5"/>
      <c r="T34" s="5"/>
      <c r="U34" s="6"/>
      <c r="V34" s="9"/>
      <c r="W34" s="4" t="str">
        <f t="shared" si="6"/>
        <v/>
      </c>
      <c r="X34" s="3" t="str">
        <f>IFERROR(VLOOKUP(V34,Auxiliar!$T$3:$X$367,5,FALSE),"")</f>
        <v/>
      </c>
      <c r="AA34" s="51"/>
      <c r="AB34" s="51"/>
      <c r="AC34" s="51"/>
    </row>
    <row r="35" spans="1:31" x14ac:dyDescent="0.35">
      <c r="A35" s="2"/>
      <c r="S35" s="5"/>
      <c r="T35" s="5"/>
      <c r="U35" s="6"/>
      <c r="V35" s="9"/>
      <c r="W35" s="4" t="str">
        <f t="shared" si="6"/>
        <v/>
      </c>
      <c r="X35" s="3" t="str">
        <f>IFERROR(VLOOKUP(V35,Auxiliar!$T$3:$X$367,5,FALSE),"")</f>
        <v/>
      </c>
      <c r="AA35" s="47" t="str">
        <f>C4</f>
        <v>Núm. Processos Trabalhistas Recebidos / Núm. Funcionários em Loja Desligados</v>
      </c>
      <c r="AB35" s="47"/>
      <c r="AC35" s="47"/>
      <c r="AE35" s="12" t="str">
        <f>IF(C6="Baixo","(","&amp;")</f>
        <v>(</v>
      </c>
    </row>
    <row r="36" spans="1:31" x14ac:dyDescent="0.35">
      <c r="A36" s="2"/>
      <c r="S36" s="5"/>
      <c r="T36" s="5"/>
      <c r="U36" s="6"/>
      <c r="V36" s="9"/>
      <c r="W36" s="4" t="str">
        <f t="shared" si="6"/>
        <v/>
      </c>
      <c r="X36" s="3" t="str">
        <f>IFERROR(VLOOKUP(V36,Auxiliar!$T$3:$X$367,5,FALSE),"")</f>
        <v/>
      </c>
    </row>
    <row r="37" spans="1:31" ht="14.4" customHeight="1" x14ac:dyDescent="0.35">
      <c r="A37" s="2"/>
      <c r="S37" s="5"/>
      <c r="T37" s="5"/>
      <c r="U37" s="6"/>
      <c r="V37" s="9"/>
      <c r="W37" s="4" t="str">
        <f t="shared" si="6"/>
        <v/>
      </c>
      <c r="X37" s="3" t="str">
        <f>IFERROR(VLOOKUP(V37,Auxiliar!$T$3:$X$367,5,FALSE),"")</f>
        <v/>
      </c>
    </row>
    <row r="38" spans="1:31" ht="14.4" customHeight="1" x14ac:dyDescent="0.35">
      <c r="A38" s="2"/>
      <c r="S38" s="5"/>
      <c r="T38" s="5"/>
      <c r="U38" s="6"/>
      <c r="V38" s="9"/>
      <c r="W38" s="4" t="str">
        <f t="shared" si="6"/>
        <v/>
      </c>
      <c r="X38" s="3" t="str">
        <f>IFERROR(VLOOKUP(V38,Auxiliar!$T$3:$X$367,5,FALSE),"")</f>
        <v/>
      </c>
    </row>
    <row r="39" spans="1:31" ht="14.4" customHeight="1" x14ac:dyDescent="0.35">
      <c r="A39" s="2"/>
      <c r="S39" s="5"/>
      <c r="T39" s="5"/>
      <c r="U39" s="6"/>
      <c r="V39" s="9"/>
      <c r="W39" s="4" t="str">
        <f t="shared" si="6"/>
        <v/>
      </c>
      <c r="X39" s="3" t="str">
        <f>IFERROR(VLOOKUP(V39,Auxiliar!$T$3:$X$367,5,FALSE),"")</f>
        <v/>
      </c>
    </row>
    <row r="40" spans="1:31" x14ac:dyDescent="0.35">
      <c r="A40" s="2"/>
      <c r="S40" s="5"/>
      <c r="T40" s="5"/>
      <c r="U40" s="6"/>
      <c r="V40" s="9"/>
      <c r="W40" s="4" t="str">
        <f t="shared" si="6"/>
        <v/>
      </c>
      <c r="X40" s="3" t="str">
        <f>IFERROR(VLOOKUP(V40,Auxiliar!$T$3:$X$367,5,FALSE),"")</f>
        <v/>
      </c>
    </row>
    <row r="41" spans="1:31" x14ac:dyDescent="0.35">
      <c r="A41" s="2"/>
      <c r="S41" s="5"/>
      <c r="T41" s="5"/>
      <c r="U41" s="6"/>
      <c r="V41" s="9"/>
      <c r="W41" s="4" t="str">
        <f t="shared" si="6"/>
        <v/>
      </c>
      <c r="X41" s="3" t="str">
        <f>IFERROR(VLOOKUP(V41,Auxiliar!$T$3:$X$367,5,FALSE),"")</f>
        <v/>
      </c>
    </row>
    <row r="42" spans="1:31" x14ac:dyDescent="0.35">
      <c r="A42" s="2"/>
      <c r="S42" s="5"/>
      <c r="T42" s="5"/>
      <c r="U42" s="6"/>
      <c r="V42" s="9"/>
      <c r="W42" s="4" t="str">
        <f t="shared" si="6"/>
        <v/>
      </c>
      <c r="X42" s="3" t="str">
        <f>IFERROR(VLOOKUP(V42,Auxiliar!$T$3:$X$367,5,FALSE),"")</f>
        <v/>
      </c>
    </row>
    <row r="43" spans="1:31" x14ac:dyDescent="0.35">
      <c r="A43" s="2"/>
      <c r="S43" s="5"/>
      <c r="T43" s="5"/>
      <c r="U43" s="6"/>
      <c r="V43" s="9"/>
      <c r="W43" s="4" t="str">
        <f t="shared" si="6"/>
        <v/>
      </c>
      <c r="X43" s="3" t="str">
        <f>IFERROR(VLOOKUP(V43,Auxiliar!$T$3:$X$367,5,FALSE),"")</f>
        <v/>
      </c>
    </row>
    <row r="44" spans="1:31" x14ac:dyDescent="0.35">
      <c r="A44" s="2"/>
      <c r="S44" s="5"/>
      <c r="T44" s="5"/>
      <c r="U44" s="6"/>
      <c r="V44" s="9"/>
      <c r="W44" s="4" t="str">
        <f t="shared" si="6"/>
        <v/>
      </c>
      <c r="X44" s="3" t="str">
        <f>IFERROR(VLOOKUP(V44,Auxiliar!$T$3:$X$367,5,FALSE),"")</f>
        <v/>
      </c>
    </row>
    <row r="45" spans="1:31" x14ac:dyDescent="0.35">
      <c r="A45" s="2"/>
      <c r="S45" s="5"/>
      <c r="T45" s="5"/>
      <c r="U45" s="6"/>
      <c r="V45" s="9"/>
      <c r="W45" s="4" t="str">
        <f t="shared" si="6"/>
        <v/>
      </c>
      <c r="X45" s="3" t="str">
        <f>IFERROR(VLOOKUP(V45,Auxiliar!$T$3:$X$367,5,FALSE),"")</f>
        <v/>
      </c>
    </row>
    <row r="46" spans="1:31" x14ac:dyDescent="0.35">
      <c r="A46" s="2"/>
      <c r="S46" s="5"/>
      <c r="T46" s="5"/>
      <c r="U46" s="6"/>
      <c r="V46" s="9"/>
      <c r="W46" s="4" t="str">
        <f t="shared" si="6"/>
        <v/>
      </c>
      <c r="X46" s="3" t="str">
        <f>IFERROR(VLOOKUP(V46,Auxiliar!$T$3:$X$367,5,FALSE),"")</f>
        <v/>
      </c>
    </row>
    <row r="47" spans="1:31" x14ac:dyDescent="0.35">
      <c r="A47" s="2"/>
      <c r="S47" s="5"/>
      <c r="T47" s="5"/>
      <c r="U47" s="6"/>
      <c r="V47" s="9"/>
      <c r="W47" s="4" t="str">
        <f t="shared" si="6"/>
        <v/>
      </c>
      <c r="X47" s="3" t="str">
        <f>IFERROR(VLOOKUP(V47,Auxiliar!$T$3:$X$367,5,FALSE),"")</f>
        <v/>
      </c>
    </row>
    <row r="48" spans="1:31" x14ac:dyDescent="0.35">
      <c r="A48" s="2"/>
      <c r="S48" s="5"/>
      <c r="T48" s="5"/>
      <c r="U48" s="6"/>
      <c r="V48" s="9"/>
      <c r="W48" s="4" t="str">
        <f t="shared" si="6"/>
        <v/>
      </c>
      <c r="X48" s="3" t="str">
        <f>IFERROR(VLOOKUP(V48,Auxiliar!$T$3:$X$367,5,FALSE),"")</f>
        <v/>
      </c>
    </row>
    <row r="49" spans="1:24" x14ac:dyDescent="0.35">
      <c r="A49" s="2"/>
      <c r="S49" s="5"/>
      <c r="T49" s="5"/>
      <c r="U49" s="6"/>
      <c r="V49" s="9"/>
      <c r="W49" s="4" t="str">
        <f t="shared" si="6"/>
        <v/>
      </c>
      <c r="X49" s="3" t="str">
        <f>IFERROR(VLOOKUP(V49,Auxiliar!$T$3:$X$367,5,FALSE),"")</f>
        <v/>
      </c>
    </row>
    <row r="50" spans="1:24" x14ac:dyDescent="0.35">
      <c r="A50" s="2"/>
      <c r="S50" s="5"/>
      <c r="T50" s="5"/>
      <c r="U50" s="6"/>
      <c r="V50" s="9"/>
      <c r="W50" s="4" t="str">
        <f t="shared" si="6"/>
        <v/>
      </c>
      <c r="X50" s="3" t="str">
        <f>IFERROR(VLOOKUP(V50,Auxiliar!$T$3:$X$367,5,FALSE),"")</f>
        <v/>
      </c>
    </row>
    <row r="51" spans="1:24" x14ac:dyDescent="0.35">
      <c r="A51" s="2"/>
      <c r="S51" s="5"/>
      <c r="T51" s="5"/>
      <c r="U51" s="6"/>
      <c r="V51" s="9"/>
      <c r="W51" s="4" t="str">
        <f t="shared" si="6"/>
        <v/>
      </c>
      <c r="X51" s="3" t="str">
        <f>IFERROR(VLOOKUP(V51,Auxiliar!$T$3:$X$367,5,FALSE),"")</f>
        <v/>
      </c>
    </row>
    <row r="52" spans="1:24" x14ac:dyDescent="0.35">
      <c r="A52" s="2"/>
      <c r="S52" s="5"/>
      <c r="T52" s="5"/>
      <c r="U52" s="6"/>
      <c r="V52" s="9"/>
      <c r="W52" s="4" t="str">
        <f t="shared" si="6"/>
        <v/>
      </c>
      <c r="X52" s="3" t="str">
        <f>IFERROR(VLOOKUP(V52,Auxiliar!$T$3:$X$367,5,FALSE),"")</f>
        <v/>
      </c>
    </row>
    <row r="53" spans="1:24" x14ac:dyDescent="0.35">
      <c r="A53" s="2"/>
      <c r="S53" s="5"/>
      <c r="T53" s="5"/>
      <c r="U53" s="6"/>
      <c r="V53" s="9"/>
      <c r="W53" s="4" t="str">
        <f t="shared" si="6"/>
        <v/>
      </c>
      <c r="X53" s="3" t="str">
        <f>IFERROR(VLOOKUP(V53,Auxiliar!$T$3:$X$367,5,FALSE),"")</f>
        <v/>
      </c>
    </row>
    <row r="54" spans="1:24" x14ac:dyDescent="0.35">
      <c r="A54" s="2"/>
      <c r="S54" s="5"/>
      <c r="T54" s="5"/>
      <c r="U54" s="6"/>
      <c r="V54" s="9"/>
      <c r="W54" s="4" t="str">
        <f t="shared" si="6"/>
        <v/>
      </c>
      <c r="X54" s="3" t="str">
        <f>IFERROR(VLOOKUP(V54,Auxiliar!$T$3:$X$367,5,FALSE),"")</f>
        <v/>
      </c>
    </row>
    <row r="55" spans="1:24" x14ac:dyDescent="0.35">
      <c r="A55" s="2"/>
      <c r="S55" s="5"/>
      <c r="T55" s="5"/>
      <c r="U55" s="6"/>
      <c r="V55" s="9"/>
      <c r="W55" s="4" t="str">
        <f t="shared" si="6"/>
        <v/>
      </c>
      <c r="X55" s="3" t="str">
        <f>IFERROR(VLOOKUP(V55,Auxiliar!$T$3:$X$367,5,FALSE),"")</f>
        <v/>
      </c>
    </row>
    <row r="56" spans="1:24" x14ac:dyDescent="0.35">
      <c r="A56" s="2"/>
      <c r="S56" s="5"/>
      <c r="T56" s="5"/>
      <c r="U56" s="6"/>
      <c r="V56" s="5"/>
      <c r="W56" s="4" t="str">
        <f t="shared" si="6"/>
        <v/>
      </c>
      <c r="X56" s="3" t="str">
        <f>IFERROR(VLOOKUP(V56,Auxiliar!$T$3:$X$367,5,FALSE),"")</f>
        <v/>
      </c>
    </row>
    <row r="57" spans="1:24" x14ac:dyDescent="0.35">
      <c r="A57" s="2"/>
      <c r="S57" s="5"/>
      <c r="T57" s="5"/>
      <c r="U57" s="6"/>
      <c r="V57" s="5"/>
      <c r="W57" s="4" t="str">
        <f t="shared" si="6"/>
        <v/>
      </c>
      <c r="X57" s="3" t="str">
        <f>IFERROR(VLOOKUP(V57,Auxiliar!$T$3:$X$367,5,FALSE),"")</f>
        <v/>
      </c>
    </row>
    <row r="58" spans="1:24" x14ac:dyDescent="0.35">
      <c r="A58" s="2"/>
      <c r="S58" s="5"/>
      <c r="T58" s="5"/>
      <c r="U58" s="6"/>
      <c r="V58" s="5"/>
      <c r="W58" s="4" t="str">
        <f t="shared" si="6"/>
        <v/>
      </c>
      <c r="X58" s="3" t="str">
        <f>IFERROR(VLOOKUP(V58,Auxiliar!$T$3:$X$367,5,FALSE),"")</f>
        <v/>
      </c>
    </row>
    <row r="59" spans="1:24" x14ac:dyDescent="0.35">
      <c r="A59" s="2"/>
      <c r="S59" s="5"/>
      <c r="T59" s="5"/>
      <c r="U59" s="6"/>
      <c r="V59" s="5"/>
      <c r="W59" s="4" t="str">
        <f t="shared" si="6"/>
        <v/>
      </c>
      <c r="X59" s="3" t="str">
        <f>IFERROR(VLOOKUP(V59,Auxiliar!$T$3:$X$367,5,FALSE),"")</f>
        <v/>
      </c>
    </row>
    <row r="60" spans="1:24" x14ac:dyDescent="0.35">
      <c r="A60" s="2"/>
      <c r="S60" s="5"/>
      <c r="T60" s="5"/>
      <c r="U60" s="6"/>
      <c r="V60" s="5"/>
      <c r="W60" s="4" t="str">
        <f t="shared" si="6"/>
        <v/>
      </c>
      <c r="X60" s="3" t="str">
        <f>IFERROR(VLOOKUP(V60,Auxiliar!$T$3:$X$367,5,FALSE),"")</f>
        <v/>
      </c>
    </row>
    <row r="61" spans="1:24" x14ac:dyDescent="0.35">
      <c r="A61" s="2"/>
      <c r="S61" s="5"/>
      <c r="T61" s="5"/>
      <c r="U61" s="6"/>
      <c r="V61" s="5"/>
      <c r="W61" s="4" t="str">
        <f t="shared" si="6"/>
        <v/>
      </c>
      <c r="X61" s="3" t="str">
        <f>IFERROR(VLOOKUP(V61,Auxiliar!$T$3:$X$367,5,FALSE),"")</f>
        <v/>
      </c>
    </row>
    <row r="62" spans="1:24" x14ac:dyDescent="0.35">
      <c r="A62" s="2"/>
      <c r="S62" s="5"/>
      <c r="T62" s="5"/>
      <c r="U62" s="6"/>
      <c r="V62" s="5"/>
      <c r="W62" s="4" t="str">
        <f t="shared" si="6"/>
        <v/>
      </c>
      <c r="X62" s="3" t="str">
        <f>IFERROR(VLOOKUP(V62,Auxiliar!$T$3:$X$367,5,FALSE),"")</f>
        <v/>
      </c>
    </row>
    <row r="63" spans="1:24" x14ac:dyDescent="0.35">
      <c r="A63" s="2"/>
      <c r="S63" s="5"/>
      <c r="T63" s="5"/>
      <c r="U63" s="6"/>
      <c r="V63" s="5"/>
      <c r="W63" s="4" t="str">
        <f t="shared" si="6"/>
        <v/>
      </c>
      <c r="X63" s="3" t="str">
        <f>IFERROR(VLOOKUP(V63,Auxiliar!$T$3:$X$367,5,FALSE),"")</f>
        <v/>
      </c>
    </row>
    <row r="64" spans="1:24" x14ac:dyDescent="0.35">
      <c r="A64" s="2"/>
      <c r="S64" s="5"/>
      <c r="T64" s="5"/>
      <c r="U64" s="6"/>
      <c r="V64" s="5"/>
      <c r="W64" s="4" t="str">
        <f t="shared" si="6"/>
        <v/>
      </c>
      <c r="X64" s="3" t="str">
        <f>IFERROR(VLOOKUP(V64,Auxiliar!$T$3:$X$367,5,FALSE),"")</f>
        <v/>
      </c>
    </row>
    <row r="65" spans="1:24" x14ac:dyDescent="0.35">
      <c r="A65" s="2"/>
      <c r="S65" s="5"/>
      <c r="T65" s="5"/>
      <c r="U65" s="6"/>
      <c r="V65" s="5"/>
      <c r="W65" s="4" t="str">
        <f t="shared" si="6"/>
        <v/>
      </c>
      <c r="X65" s="3" t="str">
        <f>IFERROR(VLOOKUP(V65,Auxiliar!$T$3:$X$367,5,FALSE),"")</f>
        <v/>
      </c>
    </row>
    <row r="66" spans="1:24" x14ac:dyDescent="0.35">
      <c r="A66" s="2"/>
      <c r="S66" s="5"/>
      <c r="T66" s="5"/>
      <c r="U66" s="6"/>
      <c r="V66" s="5"/>
      <c r="W66" s="4" t="str">
        <f t="shared" si="6"/>
        <v/>
      </c>
      <c r="X66" s="3" t="str">
        <f>IFERROR(VLOOKUP(V66,Auxiliar!$T$3:$X$367,5,FALSE),"")</f>
        <v/>
      </c>
    </row>
    <row r="67" spans="1:24" x14ac:dyDescent="0.35">
      <c r="A67" s="2"/>
      <c r="S67" s="5"/>
      <c r="T67" s="5"/>
      <c r="U67" s="6"/>
      <c r="V67" s="5"/>
      <c r="W67" s="4" t="str">
        <f t="shared" si="6"/>
        <v/>
      </c>
      <c r="X67" s="3" t="str">
        <f>IFERROR(VLOOKUP(V67,Auxiliar!$T$3:$X$367,5,FALSE),"")</f>
        <v/>
      </c>
    </row>
    <row r="68" spans="1:24" x14ac:dyDescent="0.35">
      <c r="A68" s="2"/>
      <c r="S68" s="5"/>
      <c r="T68" s="5"/>
      <c r="U68" s="6"/>
      <c r="V68" s="5"/>
      <c r="W68" s="4" t="str">
        <f t="shared" si="6"/>
        <v/>
      </c>
      <c r="X68" s="3" t="str">
        <f>IFERROR(VLOOKUP(V68,Auxiliar!$T$3:$X$367,5,FALSE),"")</f>
        <v/>
      </c>
    </row>
    <row r="69" spans="1:24" x14ac:dyDescent="0.35">
      <c r="A69" s="2"/>
      <c r="S69" s="5"/>
      <c r="T69" s="5"/>
      <c r="U69" s="6"/>
      <c r="V69" s="5"/>
      <c r="W69" s="4" t="str">
        <f t="shared" si="6"/>
        <v/>
      </c>
      <c r="X69" s="3" t="str">
        <f>IFERROR(VLOOKUP(V69,Auxiliar!$T$3:$X$367,5,FALSE),"")</f>
        <v/>
      </c>
    </row>
    <row r="70" spans="1:24" x14ac:dyDescent="0.35">
      <c r="A70" s="2"/>
      <c r="S70" s="5"/>
      <c r="T70" s="5"/>
      <c r="U70" s="6"/>
      <c r="V70" s="5"/>
      <c r="W70" s="4" t="str">
        <f t="shared" ref="W70:W133" si="8">IF(V70="","",DATE(YEAR(V70),MONTH(V70),1))</f>
        <v/>
      </c>
      <c r="X70" s="3" t="str">
        <f>IFERROR(VLOOKUP(V70,Auxiliar!$T$3:$X$367,5,FALSE),"")</f>
        <v/>
      </c>
    </row>
    <row r="71" spans="1:24" x14ac:dyDescent="0.35">
      <c r="A71" s="2"/>
      <c r="S71" s="5"/>
      <c r="T71" s="5"/>
      <c r="U71" s="6"/>
      <c r="V71" s="5"/>
      <c r="W71" s="4" t="str">
        <f t="shared" si="8"/>
        <v/>
      </c>
      <c r="X71" s="3" t="str">
        <f>IFERROR(VLOOKUP(V71,Auxiliar!$T$3:$X$367,5,FALSE),"")</f>
        <v/>
      </c>
    </row>
    <row r="72" spans="1:24" x14ac:dyDescent="0.35">
      <c r="A72" s="2"/>
      <c r="S72" s="5"/>
      <c r="T72" s="5"/>
      <c r="U72" s="6"/>
      <c r="V72" s="5"/>
      <c r="W72" s="4" t="str">
        <f t="shared" si="8"/>
        <v/>
      </c>
      <c r="X72" s="3" t="str">
        <f>IFERROR(VLOOKUP(V72,Auxiliar!$T$3:$X$367,5,FALSE),"")</f>
        <v/>
      </c>
    </row>
    <row r="73" spans="1:24" x14ac:dyDescent="0.35">
      <c r="A73" s="2"/>
      <c r="S73" s="5"/>
      <c r="T73" s="5"/>
      <c r="U73" s="6"/>
      <c r="V73" s="5"/>
      <c r="W73" s="4" t="str">
        <f t="shared" si="8"/>
        <v/>
      </c>
      <c r="X73" s="3" t="str">
        <f>IFERROR(VLOOKUP(V73,Auxiliar!$T$3:$X$367,5,FALSE),"")</f>
        <v/>
      </c>
    </row>
    <row r="74" spans="1:24" x14ac:dyDescent="0.35">
      <c r="A74" s="2"/>
      <c r="S74" s="5"/>
      <c r="T74" s="5"/>
      <c r="U74" s="6"/>
      <c r="V74" s="5"/>
      <c r="W74" s="4" t="str">
        <f t="shared" si="8"/>
        <v/>
      </c>
      <c r="X74" s="3" t="str">
        <f>IFERROR(VLOOKUP(V74,Auxiliar!$T$3:$X$367,5,FALSE),"")</f>
        <v/>
      </c>
    </row>
    <row r="75" spans="1:24" x14ac:dyDescent="0.35">
      <c r="A75" s="2"/>
      <c r="S75" s="5"/>
      <c r="T75" s="5"/>
      <c r="U75" s="6"/>
      <c r="V75" s="5"/>
      <c r="W75" s="4" t="str">
        <f t="shared" si="8"/>
        <v/>
      </c>
      <c r="X75" s="3" t="str">
        <f>IFERROR(VLOOKUP(V75,Auxiliar!$T$3:$X$367,5,FALSE),"")</f>
        <v/>
      </c>
    </row>
    <row r="76" spans="1:24" x14ac:dyDescent="0.35">
      <c r="A76" s="2"/>
      <c r="S76" s="5"/>
      <c r="T76" s="5"/>
      <c r="U76" s="6"/>
      <c r="V76" s="5"/>
      <c r="W76" s="4" t="str">
        <f t="shared" si="8"/>
        <v/>
      </c>
      <c r="X76" s="3" t="str">
        <f>IFERROR(VLOOKUP(V76,Auxiliar!$T$3:$X$367,5,FALSE),"")</f>
        <v/>
      </c>
    </row>
    <row r="77" spans="1:24" x14ac:dyDescent="0.35">
      <c r="A77" s="2"/>
      <c r="S77" s="5"/>
      <c r="T77" s="5"/>
      <c r="U77" s="6"/>
      <c r="V77" s="5"/>
      <c r="W77" s="4" t="str">
        <f t="shared" si="8"/>
        <v/>
      </c>
      <c r="X77" s="3" t="str">
        <f>IFERROR(VLOOKUP(V77,Auxiliar!$T$3:$X$367,5,FALSE),"")</f>
        <v/>
      </c>
    </row>
    <row r="78" spans="1:24" x14ac:dyDescent="0.35">
      <c r="A78" s="2"/>
      <c r="S78" s="5"/>
      <c r="T78" s="5"/>
      <c r="U78" s="6"/>
      <c r="V78" s="5"/>
      <c r="W78" s="4" t="str">
        <f t="shared" si="8"/>
        <v/>
      </c>
      <c r="X78" s="3" t="str">
        <f>IFERROR(VLOOKUP(V78,Auxiliar!$T$3:$X$367,5,FALSE),"")</f>
        <v/>
      </c>
    </row>
    <row r="79" spans="1:24" x14ac:dyDescent="0.35">
      <c r="A79" s="2"/>
      <c r="S79" s="5"/>
      <c r="T79" s="5"/>
      <c r="U79" s="6"/>
      <c r="V79" s="5"/>
      <c r="W79" s="4" t="str">
        <f t="shared" si="8"/>
        <v/>
      </c>
      <c r="X79" s="3" t="str">
        <f>IFERROR(VLOOKUP(V79,Auxiliar!$T$3:$X$367,5,FALSE),"")</f>
        <v/>
      </c>
    </row>
    <row r="80" spans="1:24" x14ac:dyDescent="0.35">
      <c r="A80" s="2"/>
      <c r="S80" s="5"/>
      <c r="T80" s="5"/>
      <c r="U80" s="6"/>
      <c r="V80" s="5"/>
      <c r="W80" s="4" t="str">
        <f t="shared" si="8"/>
        <v/>
      </c>
      <c r="X80" s="3" t="str">
        <f>IFERROR(VLOOKUP(V80,Auxiliar!$T$3:$X$367,5,FALSE),"")</f>
        <v/>
      </c>
    </row>
    <row r="81" spans="1:24" x14ac:dyDescent="0.35">
      <c r="A81" s="2"/>
      <c r="S81" s="5"/>
      <c r="T81" s="5"/>
      <c r="U81" s="6"/>
      <c r="V81" s="5"/>
      <c r="W81" s="4" t="str">
        <f t="shared" si="8"/>
        <v/>
      </c>
      <c r="X81" s="3" t="str">
        <f>IFERROR(VLOOKUP(V81,Auxiliar!$T$3:$X$367,5,FALSE),"")</f>
        <v/>
      </c>
    </row>
    <row r="82" spans="1:24" x14ac:dyDescent="0.35">
      <c r="A82" s="2"/>
      <c r="S82" s="5"/>
      <c r="T82" s="5"/>
      <c r="U82" s="6"/>
      <c r="V82" s="5"/>
      <c r="W82" s="4" t="str">
        <f t="shared" si="8"/>
        <v/>
      </c>
      <c r="X82" s="3" t="str">
        <f>IFERROR(VLOOKUP(V82,Auxiliar!$T$3:$X$367,5,FALSE),"")</f>
        <v/>
      </c>
    </row>
    <row r="83" spans="1:24" x14ac:dyDescent="0.35">
      <c r="A83" s="2"/>
      <c r="S83" s="5"/>
      <c r="T83" s="5"/>
      <c r="U83" s="6"/>
      <c r="V83" s="5"/>
      <c r="W83" s="4" t="str">
        <f t="shared" si="8"/>
        <v/>
      </c>
      <c r="X83" s="3" t="str">
        <f>IFERROR(VLOOKUP(V83,Auxiliar!$T$3:$X$367,5,FALSE),"")</f>
        <v/>
      </c>
    </row>
    <row r="84" spans="1:24" x14ac:dyDescent="0.35">
      <c r="A84" s="2"/>
      <c r="S84" s="5"/>
      <c r="T84" s="5"/>
      <c r="U84" s="6"/>
      <c r="V84" s="5"/>
      <c r="W84" s="4" t="str">
        <f t="shared" si="8"/>
        <v/>
      </c>
      <c r="X84" s="3" t="str">
        <f>IFERROR(VLOOKUP(V84,Auxiliar!$T$3:$X$367,5,FALSE),"")</f>
        <v/>
      </c>
    </row>
    <row r="85" spans="1:24" x14ac:dyDescent="0.35">
      <c r="A85" s="2"/>
      <c r="S85" s="5"/>
      <c r="T85" s="5"/>
      <c r="U85" s="6"/>
      <c r="V85" s="5"/>
      <c r="W85" s="4" t="str">
        <f t="shared" si="8"/>
        <v/>
      </c>
      <c r="X85" s="3" t="str">
        <f>IFERROR(VLOOKUP(V85,Auxiliar!$T$3:$X$367,5,FALSE),"")</f>
        <v/>
      </c>
    </row>
    <row r="86" spans="1:24" x14ac:dyDescent="0.35">
      <c r="A86" s="2"/>
      <c r="S86" s="5"/>
      <c r="T86" s="5"/>
      <c r="U86" s="6"/>
      <c r="V86" s="5"/>
      <c r="W86" s="4" t="str">
        <f t="shared" si="8"/>
        <v/>
      </c>
      <c r="X86" s="3" t="str">
        <f>IFERROR(VLOOKUP(V86,Auxiliar!$T$3:$X$367,5,FALSE),"")</f>
        <v/>
      </c>
    </row>
    <row r="87" spans="1:24" x14ac:dyDescent="0.35">
      <c r="A87" s="2"/>
      <c r="S87" s="5"/>
      <c r="T87" s="5"/>
      <c r="U87" s="6"/>
      <c r="V87" s="5"/>
      <c r="W87" s="4" t="str">
        <f t="shared" si="8"/>
        <v/>
      </c>
      <c r="X87" s="3" t="str">
        <f>IFERROR(VLOOKUP(V87,Auxiliar!$T$3:$X$367,5,FALSE),"")</f>
        <v/>
      </c>
    </row>
    <row r="88" spans="1:24" x14ac:dyDescent="0.35">
      <c r="A88" s="2"/>
      <c r="S88" s="5"/>
      <c r="T88" s="5"/>
      <c r="U88" s="6"/>
      <c r="V88" s="5"/>
      <c r="W88" s="4" t="str">
        <f t="shared" si="8"/>
        <v/>
      </c>
      <c r="X88" s="3" t="str">
        <f>IFERROR(VLOOKUP(V88,Auxiliar!$T$3:$X$367,5,FALSE),"")</f>
        <v/>
      </c>
    </row>
    <row r="89" spans="1:24" x14ac:dyDescent="0.35">
      <c r="A89" s="2"/>
      <c r="S89" s="5"/>
      <c r="T89" s="5"/>
      <c r="U89" s="6"/>
      <c r="V89" s="5"/>
      <c r="W89" s="4" t="str">
        <f t="shared" si="8"/>
        <v/>
      </c>
      <c r="X89" s="3" t="str">
        <f>IFERROR(VLOOKUP(V89,Auxiliar!$T$3:$X$367,5,FALSE),"")</f>
        <v/>
      </c>
    </row>
    <row r="90" spans="1:24" x14ac:dyDescent="0.35">
      <c r="A90" s="2"/>
      <c r="S90" s="5"/>
      <c r="T90" s="5"/>
      <c r="U90" s="6"/>
      <c r="V90" s="5"/>
      <c r="W90" s="4" t="str">
        <f t="shared" si="8"/>
        <v/>
      </c>
      <c r="X90" s="3" t="str">
        <f>IFERROR(VLOOKUP(V90,Auxiliar!$T$3:$X$367,5,FALSE),"")</f>
        <v/>
      </c>
    </row>
    <row r="91" spans="1:24" x14ac:dyDescent="0.35">
      <c r="A91" s="2"/>
      <c r="S91" s="5"/>
      <c r="T91" s="5"/>
      <c r="U91" s="6"/>
      <c r="V91" s="5"/>
      <c r="W91" s="4" t="str">
        <f t="shared" si="8"/>
        <v/>
      </c>
      <c r="X91" s="3" t="str">
        <f>IFERROR(VLOOKUP(V91,Auxiliar!$T$3:$X$367,5,FALSE),"")</f>
        <v/>
      </c>
    </row>
    <row r="92" spans="1:24" x14ac:dyDescent="0.35">
      <c r="A92" s="2"/>
      <c r="S92" s="5"/>
      <c r="T92" s="5"/>
      <c r="U92" s="6"/>
      <c r="V92" s="5"/>
      <c r="W92" s="4" t="str">
        <f t="shared" si="8"/>
        <v/>
      </c>
      <c r="X92" s="3" t="str">
        <f>IFERROR(VLOOKUP(V92,Auxiliar!$T$3:$X$367,5,FALSE),"")</f>
        <v/>
      </c>
    </row>
    <row r="93" spans="1:24" x14ac:dyDescent="0.35">
      <c r="A93" s="2"/>
      <c r="S93" s="5"/>
      <c r="T93" s="5"/>
      <c r="U93" s="6"/>
      <c r="V93" s="5"/>
      <c r="W93" s="4" t="str">
        <f t="shared" si="8"/>
        <v/>
      </c>
      <c r="X93" s="3" t="str">
        <f>IFERROR(VLOOKUP(V93,Auxiliar!$T$3:$X$367,5,FALSE),"")</f>
        <v/>
      </c>
    </row>
    <row r="94" spans="1:24" x14ac:dyDescent="0.35">
      <c r="A94" s="2"/>
      <c r="S94" s="5"/>
      <c r="T94" s="5"/>
      <c r="U94" s="6"/>
      <c r="V94" s="5"/>
      <c r="W94" s="4" t="str">
        <f t="shared" si="8"/>
        <v/>
      </c>
      <c r="X94" s="3" t="str">
        <f>IFERROR(VLOOKUP(V94,Auxiliar!$T$3:$X$367,5,FALSE),"")</f>
        <v/>
      </c>
    </row>
    <row r="95" spans="1:24" x14ac:dyDescent="0.35">
      <c r="A95" s="2"/>
      <c r="S95" s="5"/>
      <c r="T95" s="5"/>
      <c r="U95" s="6"/>
      <c r="V95" s="5"/>
      <c r="W95" s="4" t="str">
        <f t="shared" si="8"/>
        <v/>
      </c>
      <c r="X95" s="3" t="str">
        <f>IFERROR(VLOOKUP(V95,Auxiliar!$T$3:$X$367,5,FALSE),"")</f>
        <v/>
      </c>
    </row>
    <row r="96" spans="1:24" x14ac:dyDescent="0.35">
      <c r="A96" s="2"/>
      <c r="S96" s="5"/>
      <c r="T96" s="5"/>
      <c r="U96" s="6"/>
      <c r="V96" s="5"/>
      <c r="W96" s="4" t="str">
        <f t="shared" si="8"/>
        <v/>
      </c>
      <c r="X96" s="3" t="str">
        <f>IFERROR(VLOOKUP(V96,Auxiliar!$T$3:$X$367,5,FALSE),"")</f>
        <v/>
      </c>
    </row>
    <row r="97" spans="1:24" x14ac:dyDescent="0.35">
      <c r="A97" s="2"/>
      <c r="S97" s="5"/>
      <c r="T97" s="5"/>
      <c r="U97" s="6"/>
      <c r="V97" s="5"/>
      <c r="W97" s="4" t="str">
        <f t="shared" si="8"/>
        <v/>
      </c>
      <c r="X97" s="3" t="str">
        <f>IFERROR(VLOOKUP(V97,Auxiliar!$T$3:$X$367,5,FALSE),"")</f>
        <v/>
      </c>
    </row>
    <row r="98" spans="1:24" x14ac:dyDescent="0.35">
      <c r="A98" s="2"/>
      <c r="S98" s="5"/>
      <c r="T98" s="5"/>
      <c r="U98" s="6"/>
      <c r="V98" s="5"/>
      <c r="W98" s="4" t="str">
        <f t="shared" si="8"/>
        <v/>
      </c>
      <c r="X98" s="3" t="str">
        <f>IFERROR(VLOOKUP(V98,Auxiliar!$T$3:$X$367,5,FALSE),"")</f>
        <v/>
      </c>
    </row>
    <row r="99" spans="1:24" x14ac:dyDescent="0.35">
      <c r="A99" s="2"/>
      <c r="S99" s="5"/>
      <c r="T99" s="5"/>
      <c r="U99" s="6"/>
      <c r="V99" s="5"/>
      <c r="W99" s="4" t="str">
        <f t="shared" si="8"/>
        <v/>
      </c>
      <c r="X99" s="3" t="str">
        <f>IFERROR(VLOOKUP(V99,Auxiliar!$T$3:$X$367,5,FALSE),"")</f>
        <v/>
      </c>
    </row>
    <row r="100" spans="1:24" x14ac:dyDescent="0.35">
      <c r="A100" s="2"/>
      <c r="S100" s="5"/>
      <c r="T100" s="5"/>
      <c r="U100" s="6"/>
      <c r="V100" s="5"/>
      <c r="W100" s="4" t="str">
        <f t="shared" si="8"/>
        <v/>
      </c>
      <c r="X100" s="3" t="str">
        <f>IFERROR(VLOOKUP(V100,Auxiliar!$T$3:$X$367,5,FALSE),"")</f>
        <v/>
      </c>
    </row>
    <row r="101" spans="1:24" x14ac:dyDescent="0.35">
      <c r="A101" s="2"/>
      <c r="S101" s="5"/>
      <c r="T101" s="5"/>
      <c r="U101" s="6"/>
      <c r="V101" s="5"/>
      <c r="W101" s="4" t="str">
        <f t="shared" si="8"/>
        <v/>
      </c>
      <c r="X101" s="3" t="str">
        <f>IFERROR(VLOOKUP(V101,Auxiliar!$T$3:$X$367,5,FALSE),"")</f>
        <v/>
      </c>
    </row>
    <row r="102" spans="1:24" x14ac:dyDescent="0.35">
      <c r="A102" s="2"/>
      <c r="S102" s="5"/>
      <c r="T102" s="5"/>
      <c r="U102" s="6"/>
      <c r="V102" s="5"/>
      <c r="W102" s="4" t="str">
        <f t="shared" si="8"/>
        <v/>
      </c>
      <c r="X102" s="3" t="str">
        <f>IFERROR(VLOOKUP(V102,Auxiliar!$T$3:$X$367,5,FALSE),"")</f>
        <v/>
      </c>
    </row>
    <row r="103" spans="1:24" x14ac:dyDescent="0.35">
      <c r="A103" s="2"/>
      <c r="S103" s="5"/>
      <c r="T103" s="5"/>
      <c r="U103" s="6"/>
      <c r="V103" s="5"/>
      <c r="W103" s="4" t="str">
        <f t="shared" si="8"/>
        <v/>
      </c>
      <c r="X103" s="3" t="str">
        <f>IFERROR(VLOOKUP(V103,Auxiliar!$T$3:$X$367,5,FALSE),"")</f>
        <v/>
      </c>
    </row>
    <row r="104" spans="1:24" x14ac:dyDescent="0.35">
      <c r="A104" s="2"/>
      <c r="S104" s="5"/>
      <c r="T104" s="5"/>
      <c r="U104" s="6"/>
      <c r="V104" s="5"/>
      <c r="W104" s="4" t="str">
        <f t="shared" si="8"/>
        <v/>
      </c>
      <c r="X104" s="3" t="str">
        <f>IFERROR(VLOOKUP(V104,Auxiliar!$T$3:$X$367,5,FALSE),"")</f>
        <v/>
      </c>
    </row>
    <row r="105" spans="1:24" x14ac:dyDescent="0.35">
      <c r="A105" s="2"/>
      <c r="S105" s="5"/>
      <c r="T105" s="5"/>
      <c r="U105" s="6"/>
      <c r="V105" s="5"/>
      <c r="W105" s="4" t="str">
        <f t="shared" si="8"/>
        <v/>
      </c>
      <c r="X105" s="3" t="str">
        <f>IFERROR(VLOOKUP(V105,Auxiliar!$T$3:$X$367,5,FALSE),"")</f>
        <v/>
      </c>
    </row>
    <row r="106" spans="1:24" x14ac:dyDescent="0.35">
      <c r="A106" s="2"/>
      <c r="S106" s="5"/>
      <c r="T106" s="5"/>
      <c r="U106" s="6"/>
      <c r="V106" s="5"/>
      <c r="W106" s="4" t="str">
        <f t="shared" si="8"/>
        <v/>
      </c>
      <c r="X106" s="3" t="str">
        <f>IFERROR(VLOOKUP(V106,Auxiliar!$T$3:$X$367,5,FALSE),"")</f>
        <v/>
      </c>
    </row>
    <row r="107" spans="1:24" x14ac:dyDescent="0.35">
      <c r="A107" s="2"/>
      <c r="S107" s="5"/>
      <c r="T107" s="5"/>
      <c r="U107" s="6"/>
      <c r="V107" s="5"/>
      <c r="W107" s="4" t="str">
        <f t="shared" si="8"/>
        <v/>
      </c>
      <c r="X107" s="3" t="str">
        <f>IFERROR(VLOOKUP(V107,Auxiliar!$T$3:$X$367,5,FALSE),"")</f>
        <v/>
      </c>
    </row>
    <row r="108" spans="1:24" x14ac:dyDescent="0.35">
      <c r="A108" s="2"/>
      <c r="S108" s="5"/>
      <c r="T108" s="5"/>
      <c r="U108" s="6"/>
      <c r="V108" s="5"/>
      <c r="W108" s="4" t="str">
        <f t="shared" si="8"/>
        <v/>
      </c>
      <c r="X108" s="3" t="str">
        <f>IFERROR(VLOOKUP(V108,Auxiliar!$T$3:$X$367,5,FALSE),"")</f>
        <v/>
      </c>
    </row>
    <row r="109" spans="1:24" x14ac:dyDescent="0.35">
      <c r="A109" s="2"/>
      <c r="S109" s="5"/>
      <c r="T109" s="5"/>
      <c r="U109" s="6"/>
      <c r="V109" s="5"/>
      <c r="W109" s="4" t="str">
        <f t="shared" si="8"/>
        <v/>
      </c>
      <c r="X109" s="3" t="str">
        <f>IFERROR(VLOOKUP(V109,Auxiliar!$T$3:$X$367,5,FALSE),"")</f>
        <v/>
      </c>
    </row>
    <row r="110" spans="1:24" x14ac:dyDescent="0.35">
      <c r="A110" s="2"/>
      <c r="S110" s="5"/>
      <c r="T110" s="5"/>
      <c r="U110" s="6"/>
      <c r="V110" s="5"/>
      <c r="W110" s="4" t="str">
        <f t="shared" si="8"/>
        <v/>
      </c>
      <c r="X110" s="3" t="str">
        <f>IFERROR(VLOOKUP(V110,Auxiliar!$T$3:$X$367,5,FALSE),"")</f>
        <v/>
      </c>
    </row>
    <row r="111" spans="1:24" x14ac:dyDescent="0.35">
      <c r="A111" s="2"/>
      <c r="S111" s="5"/>
      <c r="T111" s="5"/>
      <c r="U111" s="6"/>
      <c r="V111" s="5"/>
      <c r="W111" s="4" t="str">
        <f t="shared" si="8"/>
        <v/>
      </c>
      <c r="X111" s="3" t="str">
        <f>IFERROR(VLOOKUP(V111,Auxiliar!$T$3:$X$367,5,FALSE),"")</f>
        <v/>
      </c>
    </row>
    <row r="112" spans="1:24" x14ac:dyDescent="0.35">
      <c r="A112" s="2"/>
      <c r="S112" s="5"/>
      <c r="T112" s="5"/>
      <c r="U112" s="6"/>
      <c r="V112" s="5"/>
      <c r="W112" s="4" t="str">
        <f t="shared" si="8"/>
        <v/>
      </c>
      <c r="X112" s="3" t="str">
        <f>IFERROR(VLOOKUP(V112,Auxiliar!$T$3:$X$367,5,FALSE),"")</f>
        <v/>
      </c>
    </row>
    <row r="113" spans="1:24" x14ac:dyDescent="0.35">
      <c r="A113" s="2"/>
      <c r="S113" s="5"/>
      <c r="T113" s="5"/>
      <c r="U113" s="6"/>
      <c r="V113" s="5"/>
      <c r="W113" s="4" t="str">
        <f t="shared" si="8"/>
        <v/>
      </c>
      <c r="X113" s="3" t="str">
        <f>IFERROR(VLOOKUP(V113,Auxiliar!$T$3:$X$367,5,FALSE),"")</f>
        <v/>
      </c>
    </row>
    <row r="114" spans="1:24" x14ac:dyDescent="0.35">
      <c r="A114" s="2"/>
      <c r="S114" s="5"/>
      <c r="T114" s="5"/>
      <c r="U114" s="6"/>
      <c r="V114" s="5"/>
      <c r="W114" s="4" t="str">
        <f t="shared" si="8"/>
        <v/>
      </c>
      <c r="X114" s="3" t="str">
        <f>IFERROR(VLOOKUP(V114,Auxiliar!$T$3:$X$367,5,FALSE),"")</f>
        <v/>
      </c>
    </row>
    <row r="115" spans="1:24" x14ac:dyDescent="0.35">
      <c r="A115" s="2"/>
      <c r="S115" s="5"/>
      <c r="T115" s="5"/>
      <c r="U115" s="6"/>
      <c r="V115" s="5"/>
      <c r="W115" s="4" t="str">
        <f t="shared" si="8"/>
        <v/>
      </c>
      <c r="X115" s="3" t="str">
        <f>IFERROR(VLOOKUP(V115,Auxiliar!$T$3:$X$367,5,FALSE),"")</f>
        <v/>
      </c>
    </row>
    <row r="116" spans="1:24" x14ac:dyDescent="0.35">
      <c r="A116" s="2"/>
      <c r="S116" s="5"/>
      <c r="T116" s="5"/>
      <c r="U116" s="6"/>
      <c r="V116" s="5"/>
      <c r="W116" s="4" t="str">
        <f t="shared" si="8"/>
        <v/>
      </c>
      <c r="X116" s="3" t="str">
        <f>IFERROR(VLOOKUP(V116,Auxiliar!$T$3:$X$367,5,FALSE),"")</f>
        <v/>
      </c>
    </row>
    <row r="117" spans="1:24" x14ac:dyDescent="0.35">
      <c r="A117" s="2"/>
      <c r="S117" s="5"/>
      <c r="T117" s="5"/>
      <c r="U117" s="6"/>
      <c r="V117" s="5"/>
      <c r="W117" s="4" t="str">
        <f t="shared" si="8"/>
        <v/>
      </c>
      <c r="X117" s="3" t="str">
        <f>IFERROR(VLOOKUP(V117,Auxiliar!$T$3:$X$367,5,FALSE),"")</f>
        <v/>
      </c>
    </row>
    <row r="118" spans="1:24" x14ac:dyDescent="0.35">
      <c r="A118" s="2"/>
      <c r="S118" s="5"/>
      <c r="T118" s="5"/>
      <c r="U118" s="6"/>
      <c r="V118" s="5"/>
      <c r="W118" s="4" t="str">
        <f t="shared" si="8"/>
        <v/>
      </c>
      <c r="X118" s="3" t="str">
        <f>IFERROR(VLOOKUP(V118,Auxiliar!$T$3:$X$367,5,FALSE),"")</f>
        <v/>
      </c>
    </row>
    <row r="119" spans="1:24" x14ac:dyDescent="0.35">
      <c r="A119" s="2"/>
      <c r="S119" s="5"/>
      <c r="T119" s="5"/>
      <c r="U119" s="6"/>
      <c r="V119" s="5"/>
      <c r="W119" s="4" t="str">
        <f t="shared" si="8"/>
        <v/>
      </c>
      <c r="X119" s="3" t="str">
        <f>IFERROR(VLOOKUP(V119,Auxiliar!$T$3:$X$367,5,FALSE),"")</f>
        <v/>
      </c>
    </row>
    <row r="120" spans="1:24" x14ac:dyDescent="0.35">
      <c r="A120" s="2"/>
      <c r="S120" s="5"/>
      <c r="T120" s="5"/>
      <c r="U120" s="6"/>
      <c r="V120" s="5"/>
      <c r="W120" s="4" t="str">
        <f t="shared" si="8"/>
        <v/>
      </c>
      <c r="X120" s="3" t="str">
        <f>IFERROR(VLOOKUP(V120,Auxiliar!$T$3:$X$367,5,FALSE),"")</f>
        <v/>
      </c>
    </row>
    <row r="121" spans="1:24" x14ac:dyDescent="0.35">
      <c r="S121" s="5"/>
      <c r="T121" s="5"/>
      <c r="U121" s="6"/>
      <c r="V121" s="5"/>
      <c r="W121" s="4" t="str">
        <f t="shared" si="8"/>
        <v/>
      </c>
      <c r="X121" s="3" t="str">
        <f>IFERROR(VLOOKUP(V121,Auxiliar!$T$3:$X$367,5,FALSE),"")</f>
        <v/>
      </c>
    </row>
    <row r="122" spans="1:24" x14ac:dyDescent="0.35">
      <c r="S122" s="5"/>
      <c r="T122" s="5"/>
      <c r="U122" s="6"/>
      <c r="V122" s="5"/>
      <c r="W122" s="4" t="str">
        <f t="shared" si="8"/>
        <v/>
      </c>
      <c r="X122" s="3" t="str">
        <f>IFERROR(VLOOKUP(V122,Auxiliar!$T$3:$X$367,5,FALSE),"")</f>
        <v/>
      </c>
    </row>
    <row r="123" spans="1:24" x14ac:dyDescent="0.35">
      <c r="S123" s="5"/>
      <c r="T123" s="5"/>
      <c r="U123" s="6"/>
      <c r="V123" s="5"/>
      <c r="W123" s="4" t="str">
        <f t="shared" si="8"/>
        <v/>
      </c>
      <c r="X123" s="3" t="str">
        <f>IFERROR(VLOOKUP(V123,Auxiliar!$T$3:$X$367,5,FALSE),"")</f>
        <v/>
      </c>
    </row>
    <row r="124" spans="1:24" x14ac:dyDescent="0.35">
      <c r="S124" s="5"/>
      <c r="T124" s="5"/>
      <c r="U124" s="6"/>
      <c r="V124" s="5"/>
      <c r="W124" s="4" t="str">
        <f t="shared" si="8"/>
        <v/>
      </c>
      <c r="X124" s="3" t="str">
        <f>IFERROR(VLOOKUP(V124,Auxiliar!$T$3:$X$367,5,FALSE),"")</f>
        <v/>
      </c>
    </row>
    <row r="125" spans="1:24" x14ac:dyDescent="0.35">
      <c r="S125" s="5"/>
      <c r="T125" s="5"/>
      <c r="U125" s="6"/>
      <c r="V125" s="5"/>
      <c r="W125" s="4" t="str">
        <f t="shared" si="8"/>
        <v/>
      </c>
      <c r="X125" s="3" t="str">
        <f>IFERROR(VLOOKUP(V125,Auxiliar!$T$3:$X$367,5,FALSE),"")</f>
        <v/>
      </c>
    </row>
    <row r="126" spans="1:24" x14ac:dyDescent="0.35">
      <c r="S126" s="5"/>
      <c r="T126" s="5"/>
      <c r="U126" s="6"/>
      <c r="V126" s="5"/>
      <c r="W126" s="4" t="str">
        <f t="shared" si="8"/>
        <v/>
      </c>
      <c r="X126" s="3" t="str">
        <f>IFERROR(VLOOKUP(V126,Auxiliar!$T$3:$X$367,5,FALSE),"")</f>
        <v/>
      </c>
    </row>
    <row r="127" spans="1:24" x14ac:dyDescent="0.35">
      <c r="S127" s="5"/>
      <c r="T127" s="5"/>
      <c r="U127" s="6"/>
      <c r="V127" s="5"/>
      <c r="W127" s="4" t="str">
        <f t="shared" si="8"/>
        <v/>
      </c>
      <c r="X127" s="3" t="str">
        <f>IFERROR(VLOOKUP(V127,Auxiliar!$T$3:$X$367,5,FALSE),"")</f>
        <v/>
      </c>
    </row>
    <row r="128" spans="1:24" x14ac:dyDescent="0.35">
      <c r="S128" s="5"/>
      <c r="T128" s="5"/>
      <c r="U128" s="6"/>
      <c r="V128" s="5"/>
      <c r="W128" s="4" t="str">
        <f t="shared" si="8"/>
        <v/>
      </c>
      <c r="X128" s="3" t="str">
        <f>IFERROR(VLOOKUP(V128,Auxiliar!$T$3:$X$367,5,FALSE),"")</f>
        <v/>
      </c>
    </row>
    <row r="129" spans="19:24" x14ac:dyDescent="0.35">
      <c r="S129" s="5"/>
      <c r="T129" s="5"/>
      <c r="U129" s="6"/>
      <c r="V129" s="5"/>
      <c r="W129" s="4" t="str">
        <f t="shared" si="8"/>
        <v/>
      </c>
      <c r="X129" s="3" t="str">
        <f>IFERROR(VLOOKUP(V129,Auxiliar!$T$3:$X$367,5,FALSE),"")</f>
        <v/>
      </c>
    </row>
    <row r="130" spans="19:24" x14ac:dyDescent="0.35">
      <c r="S130" s="5"/>
      <c r="T130" s="5"/>
      <c r="U130" s="6"/>
      <c r="V130" s="5"/>
      <c r="W130" s="4" t="str">
        <f t="shared" si="8"/>
        <v/>
      </c>
      <c r="X130" s="3" t="str">
        <f>IFERROR(VLOOKUP(V130,Auxiliar!$T$3:$X$367,5,FALSE),"")</f>
        <v/>
      </c>
    </row>
    <row r="131" spans="19:24" x14ac:dyDescent="0.35">
      <c r="S131" s="5"/>
      <c r="T131" s="5"/>
      <c r="U131" s="6"/>
      <c r="V131" s="5"/>
      <c r="W131" s="4" t="str">
        <f t="shared" si="8"/>
        <v/>
      </c>
      <c r="X131" s="3" t="str">
        <f>IFERROR(VLOOKUP(V131,Auxiliar!$T$3:$X$367,5,FALSE),"")</f>
        <v/>
      </c>
    </row>
    <row r="132" spans="19:24" x14ac:dyDescent="0.35">
      <c r="S132" s="5"/>
      <c r="T132" s="5"/>
      <c r="U132" s="6"/>
      <c r="V132" s="5"/>
      <c r="W132" s="4" t="str">
        <f t="shared" si="8"/>
        <v/>
      </c>
      <c r="X132" s="3" t="str">
        <f>IFERROR(VLOOKUP(V132,Auxiliar!$T$3:$X$367,5,FALSE),"")</f>
        <v/>
      </c>
    </row>
    <row r="133" spans="19:24" x14ac:dyDescent="0.35">
      <c r="S133" s="5"/>
      <c r="T133" s="5"/>
      <c r="U133" s="6"/>
      <c r="V133" s="5"/>
      <c r="W133" s="4" t="str">
        <f t="shared" si="8"/>
        <v/>
      </c>
      <c r="X133" s="3" t="str">
        <f>IFERROR(VLOOKUP(V133,Auxiliar!$T$3:$X$367,5,FALSE),"")</f>
        <v/>
      </c>
    </row>
    <row r="134" spans="19:24" x14ac:dyDescent="0.35">
      <c r="S134" s="5"/>
      <c r="T134" s="5"/>
      <c r="U134" s="6"/>
      <c r="V134" s="5"/>
      <c r="W134" s="4" t="str">
        <f t="shared" ref="W134:W153" si="9">IF(V134="","",DATE(YEAR(V134),MONTH(V134),1))</f>
        <v/>
      </c>
      <c r="X134" s="3" t="str">
        <f>IFERROR(VLOOKUP(V134,Auxiliar!$T$3:$X$367,5,FALSE),"")</f>
        <v/>
      </c>
    </row>
    <row r="135" spans="19:24" x14ac:dyDescent="0.35">
      <c r="S135" s="5"/>
      <c r="T135" s="5"/>
      <c r="U135" s="6"/>
      <c r="V135" s="5"/>
      <c r="W135" s="4" t="str">
        <f t="shared" si="9"/>
        <v/>
      </c>
      <c r="X135" s="3" t="str">
        <f>IFERROR(VLOOKUP(V135,Auxiliar!$T$3:$X$367,5,FALSE),"")</f>
        <v/>
      </c>
    </row>
    <row r="136" spans="19:24" x14ac:dyDescent="0.35">
      <c r="S136" s="5"/>
      <c r="T136" s="5"/>
      <c r="U136" s="6"/>
      <c r="V136" s="5"/>
      <c r="W136" s="4" t="str">
        <f t="shared" si="9"/>
        <v/>
      </c>
      <c r="X136" s="3" t="str">
        <f>IFERROR(VLOOKUP(V136,Auxiliar!$T$3:$X$367,5,FALSE),"")</f>
        <v/>
      </c>
    </row>
    <row r="137" spans="19:24" x14ac:dyDescent="0.35">
      <c r="S137" s="5"/>
      <c r="T137" s="5"/>
      <c r="U137" s="6"/>
      <c r="V137" s="5"/>
      <c r="W137" s="4" t="str">
        <f t="shared" si="9"/>
        <v/>
      </c>
      <c r="X137" s="3" t="str">
        <f>IFERROR(VLOOKUP(V137,Auxiliar!$T$3:$X$367,5,FALSE),"")</f>
        <v/>
      </c>
    </row>
    <row r="138" spans="19:24" x14ac:dyDescent="0.35">
      <c r="S138" s="5"/>
      <c r="T138" s="5"/>
      <c r="U138" s="6"/>
      <c r="V138" s="5"/>
      <c r="W138" s="4" t="str">
        <f t="shared" si="9"/>
        <v/>
      </c>
      <c r="X138" s="3" t="str">
        <f>IFERROR(VLOOKUP(V138,Auxiliar!$T$3:$X$367,5,FALSE),"")</f>
        <v/>
      </c>
    </row>
    <row r="139" spans="19:24" x14ac:dyDescent="0.35">
      <c r="S139" s="5"/>
      <c r="T139" s="5"/>
      <c r="U139" s="6"/>
      <c r="V139" s="5"/>
      <c r="W139" s="4" t="str">
        <f t="shared" si="9"/>
        <v/>
      </c>
      <c r="X139" s="3" t="str">
        <f>IFERROR(VLOOKUP(V139,Auxiliar!$T$3:$X$367,5,FALSE),"")</f>
        <v/>
      </c>
    </row>
    <row r="140" spans="19:24" x14ac:dyDescent="0.35">
      <c r="S140" s="5"/>
      <c r="T140" s="5"/>
      <c r="U140" s="6"/>
      <c r="V140" s="5"/>
      <c r="W140" s="4" t="str">
        <f t="shared" si="9"/>
        <v/>
      </c>
      <c r="X140" s="3" t="str">
        <f>IFERROR(VLOOKUP(V140,Auxiliar!$T$3:$X$367,5,FALSE),"")</f>
        <v/>
      </c>
    </row>
    <row r="141" spans="19:24" x14ac:dyDescent="0.35">
      <c r="S141" s="5"/>
      <c r="T141" s="5"/>
      <c r="U141" s="6"/>
      <c r="V141" s="5"/>
      <c r="W141" s="4" t="str">
        <f t="shared" si="9"/>
        <v/>
      </c>
      <c r="X141" s="3" t="str">
        <f>IFERROR(VLOOKUP(V141,Auxiliar!$T$3:$X$367,5,FALSE),"")</f>
        <v/>
      </c>
    </row>
    <row r="142" spans="19:24" x14ac:dyDescent="0.35">
      <c r="S142" s="5"/>
      <c r="T142" s="5"/>
      <c r="U142" s="6"/>
      <c r="V142" s="5"/>
      <c r="W142" s="4" t="str">
        <f t="shared" si="9"/>
        <v/>
      </c>
      <c r="X142" s="3" t="str">
        <f>IFERROR(VLOOKUP(V142,Auxiliar!$T$3:$X$367,5,FALSE),"")</f>
        <v/>
      </c>
    </row>
    <row r="143" spans="19:24" x14ac:dyDescent="0.35">
      <c r="S143" s="5"/>
      <c r="T143" s="5"/>
      <c r="U143" s="6"/>
      <c r="V143" s="5"/>
      <c r="W143" s="4" t="str">
        <f t="shared" si="9"/>
        <v/>
      </c>
      <c r="X143" s="3" t="str">
        <f>IFERROR(VLOOKUP(V143,Auxiliar!$T$3:$X$367,5,FALSE),"")</f>
        <v/>
      </c>
    </row>
    <row r="144" spans="19:24" x14ac:dyDescent="0.35">
      <c r="S144" s="5"/>
      <c r="T144" s="5"/>
      <c r="U144" s="6"/>
      <c r="V144" s="5"/>
      <c r="W144" s="4" t="str">
        <f t="shared" si="9"/>
        <v/>
      </c>
      <c r="X144" s="3" t="str">
        <f>IFERROR(VLOOKUP(V144,Auxiliar!$T$3:$X$367,5,FALSE),"")</f>
        <v/>
      </c>
    </row>
    <row r="145" spans="19:24" x14ac:dyDescent="0.35">
      <c r="S145" s="5"/>
      <c r="T145" s="5"/>
      <c r="U145" s="6"/>
      <c r="V145" s="5"/>
      <c r="W145" s="4" t="str">
        <f t="shared" si="9"/>
        <v/>
      </c>
      <c r="X145" s="3" t="str">
        <f>IFERROR(VLOOKUP(V145,Auxiliar!$T$3:$X$367,5,FALSE),"")</f>
        <v/>
      </c>
    </row>
    <row r="146" spans="19:24" x14ac:dyDescent="0.35">
      <c r="S146" s="5"/>
      <c r="T146" s="5"/>
      <c r="U146" s="6"/>
      <c r="V146" s="5"/>
      <c r="W146" s="4" t="str">
        <f t="shared" si="9"/>
        <v/>
      </c>
      <c r="X146" s="3" t="str">
        <f>IFERROR(VLOOKUP(V146,Auxiliar!$T$3:$X$367,5,FALSE),"")</f>
        <v/>
      </c>
    </row>
    <row r="147" spans="19:24" x14ac:dyDescent="0.35">
      <c r="S147" s="5"/>
      <c r="T147" s="5"/>
      <c r="U147" s="6"/>
      <c r="V147" s="5"/>
      <c r="W147" s="4" t="str">
        <f t="shared" si="9"/>
        <v/>
      </c>
      <c r="X147" s="3" t="str">
        <f>IFERROR(VLOOKUP(V147,Auxiliar!$T$3:$X$367,5,FALSE),"")</f>
        <v/>
      </c>
    </row>
    <row r="148" spans="19:24" x14ac:dyDescent="0.35">
      <c r="S148" s="5"/>
      <c r="T148" s="5"/>
      <c r="U148" s="6"/>
      <c r="V148" s="5"/>
      <c r="W148" s="4" t="str">
        <f t="shared" si="9"/>
        <v/>
      </c>
      <c r="X148" s="3" t="str">
        <f>IFERROR(VLOOKUP(V148,Auxiliar!$T$3:$X$367,5,FALSE),"")</f>
        <v/>
      </c>
    </row>
    <row r="149" spans="19:24" x14ac:dyDescent="0.35">
      <c r="S149" s="5"/>
      <c r="T149" s="5"/>
      <c r="U149" s="6"/>
      <c r="V149" s="5"/>
      <c r="W149" s="4" t="str">
        <f t="shared" si="9"/>
        <v/>
      </c>
      <c r="X149" s="3" t="str">
        <f>IFERROR(VLOOKUP(V149,Auxiliar!$T$3:$X$367,5,FALSE),"")</f>
        <v/>
      </c>
    </row>
    <row r="150" spans="19:24" x14ac:dyDescent="0.35">
      <c r="S150" s="5"/>
      <c r="T150" s="5"/>
      <c r="U150" s="6"/>
      <c r="V150" s="5"/>
      <c r="W150" s="4" t="str">
        <f t="shared" si="9"/>
        <v/>
      </c>
      <c r="X150" s="3" t="str">
        <f>IFERROR(VLOOKUP(V150,Auxiliar!$T$3:$X$367,5,FALSE),"")</f>
        <v/>
      </c>
    </row>
    <row r="151" spans="19:24" x14ac:dyDescent="0.35">
      <c r="S151" s="5"/>
      <c r="T151" s="5"/>
      <c r="U151" s="6"/>
      <c r="V151" s="5"/>
      <c r="W151" s="4" t="str">
        <f t="shared" si="9"/>
        <v/>
      </c>
      <c r="X151" s="3" t="str">
        <f>IFERROR(VLOOKUP(V151,Auxiliar!$T$3:$X$367,5,FALSE),"")</f>
        <v/>
      </c>
    </row>
    <row r="152" spans="19:24" x14ac:dyDescent="0.35">
      <c r="S152" s="5"/>
      <c r="T152" s="5"/>
      <c r="U152" s="6"/>
      <c r="V152" s="5"/>
      <c r="W152" s="4" t="str">
        <f t="shared" si="9"/>
        <v/>
      </c>
      <c r="X152" s="3" t="str">
        <f>IFERROR(VLOOKUP(V152,Auxiliar!$T$3:$X$367,5,FALSE),"")</f>
        <v/>
      </c>
    </row>
    <row r="153" spans="19:24" x14ac:dyDescent="0.35">
      <c r="S153" s="5"/>
      <c r="T153" s="5"/>
      <c r="U153" s="6"/>
      <c r="V153" s="5"/>
      <c r="W153" s="4" t="str">
        <f t="shared" si="9"/>
        <v/>
      </c>
      <c r="X153" s="3" t="str">
        <f>IFERROR(VLOOKUP(V153,Auxiliar!$T$3:$X$367,5,FALSE),"")</f>
        <v/>
      </c>
    </row>
  </sheetData>
  <mergeCells count="14">
    <mergeCell ref="B2:C2"/>
    <mergeCell ref="B8:C8"/>
    <mergeCell ref="S2:X2"/>
    <mergeCell ref="Z31:AE31"/>
    <mergeCell ref="AA33:AC34"/>
    <mergeCell ref="AA35:AC35"/>
    <mergeCell ref="L2:Q2"/>
    <mergeCell ref="F2:J2"/>
    <mergeCell ref="Z4:AE4"/>
    <mergeCell ref="Z29:AE29"/>
    <mergeCell ref="Z6:AE6"/>
    <mergeCell ref="AA8:AC9"/>
    <mergeCell ref="Z2:AE2"/>
    <mergeCell ref="Z10:AE10"/>
  </mergeCells>
  <phoneticPr fontId="7" type="noConversion"/>
  <pageMargins left="0.25" right="0.25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FormataGráficos">
                <anchor moveWithCells="1" sizeWithCells="1">
                  <from>
                    <xdr:col>31</xdr:col>
                    <xdr:colOff>292100</xdr:colOff>
                    <xdr:row>4</xdr:row>
                    <xdr:rowOff>50800</xdr:rowOff>
                  </from>
                  <to>
                    <xdr:col>33</xdr:col>
                    <xdr:colOff>444500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DEE904EA-9099-4F58-ADB0-8D5DE083E08E}">
          <x14:formula1>
            <xm:f>OFFSET(Auxiliar!$AC$3,0,0,ROWS(Auxiliar!$AC:$AC)-COUNTBLANK(Auxiliar!$AC:$AC)-1)</xm:f>
          </x14:formula1>
          <xm:sqref>C10</xm:sqref>
        </x14:dataValidation>
        <x14:dataValidation type="list" allowBlank="1" showInputMessage="1" showErrorMessage="1" xr:uid="{01ACAE09-DAA0-40DC-88D0-B9564A3DDFB8}">
          <x14:formula1>
            <xm:f>Auxiliar!$K$3:$K$38</xm:f>
          </x14:formula1>
          <xm:sqref>C9</xm:sqref>
        </x14:dataValidation>
        <x14:dataValidation type="list" allowBlank="1" showInputMessage="1" showErrorMessage="1" xr:uid="{FA9BD5E1-7C20-4EAE-B89D-7757314EA8EE}">
          <x14:formula1>
            <xm:f>Auxiliar!$Q$3:$Q$4</xm:f>
          </x14:formula1>
          <xm:sqref>C6</xm:sqref>
        </x14:dataValidation>
        <x14:dataValidation type="list" allowBlank="1" showInputMessage="1" showErrorMessage="1" xr:uid="{8730EE29-9B3D-45FC-8F37-64352B1804C2}">
          <x14:formula1>
            <xm:f>Auxiliar!$B$3:$B$10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C2083-97EC-4C46-8E0E-64293A663C48}">
  <dimension ref="A1:L6198"/>
  <sheetViews>
    <sheetView workbookViewId="0"/>
  </sheetViews>
  <sheetFormatPr defaultRowHeight="14.5" x14ac:dyDescent="0.35"/>
  <cols>
    <col min="1" max="1" width="11.81640625" bestFit="1" customWidth="1"/>
    <col min="2" max="2" width="8.81640625" customWidth="1"/>
    <col min="3" max="3" width="18.7265625" customWidth="1"/>
    <col min="4" max="4" width="13.453125" customWidth="1"/>
    <col min="5" max="5" width="22.26953125" customWidth="1"/>
    <col min="6" max="6" width="17" customWidth="1"/>
    <col min="8" max="8" width="28.6328125" bestFit="1" customWidth="1"/>
    <col min="9" max="9" width="9.7265625" bestFit="1" customWidth="1"/>
    <col min="11" max="11" width="26.90625" bestFit="1" customWidth="1"/>
    <col min="12" max="12" width="9.7265625" bestFit="1" customWidth="1"/>
  </cols>
  <sheetData>
    <row r="1" spans="1:12" x14ac:dyDescent="0.35">
      <c r="A1" s="3" t="s">
        <v>85</v>
      </c>
      <c r="B1" s="3" t="s">
        <v>86</v>
      </c>
      <c r="C1" s="3" t="s">
        <v>84</v>
      </c>
      <c r="D1" s="32" t="s">
        <v>82</v>
      </c>
      <c r="E1" s="37" t="s">
        <v>88</v>
      </c>
      <c r="F1" s="30" t="s">
        <v>89</v>
      </c>
      <c r="H1" s="29" t="s">
        <v>88</v>
      </c>
      <c r="I1" t="s">
        <v>90</v>
      </c>
      <c r="K1" s="29" t="s">
        <v>89</v>
      </c>
      <c r="L1" t="s">
        <v>90</v>
      </c>
    </row>
    <row r="2" spans="1:12" x14ac:dyDescent="0.35">
      <c r="A2" s="3">
        <v>19797464187</v>
      </c>
      <c r="B2" s="3">
        <v>9</v>
      </c>
      <c r="C2" s="32">
        <v>49096</v>
      </c>
      <c r="D2" s="32"/>
      <c r="E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" spans="1:12" x14ac:dyDescent="0.35">
      <c r="A3" s="3">
        <v>54808625754</v>
      </c>
      <c r="B3" s="3">
        <v>10</v>
      </c>
      <c r="C3" s="32">
        <v>49096</v>
      </c>
      <c r="D3" s="32" t="s">
        <v>87</v>
      </c>
      <c r="E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  <c r="H3" t="s">
        <v>83</v>
      </c>
      <c r="K3" t="s">
        <v>91</v>
      </c>
    </row>
    <row r="4" spans="1:12" x14ac:dyDescent="0.35">
      <c r="A4" s="3">
        <v>61978720710</v>
      </c>
      <c r="B4" s="3">
        <v>37</v>
      </c>
      <c r="C4" s="32">
        <v>49096</v>
      </c>
      <c r="D4" s="32"/>
      <c r="E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  <c r="H4">
        <v>801</v>
      </c>
      <c r="K4">
        <v>178</v>
      </c>
      <c r="L4" s="35">
        <f>K4/H4</f>
        <v>0.22222222222222221</v>
      </c>
    </row>
    <row r="5" spans="1:12" x14ac:dyDescent="0.35">
      <c r="A5" s="3">
        <v>28403151297</v>
      </c>
      <c r="B5" s="3">
        <v>43</v>
      </c>
      <c r="C5" s="32">
        <v>49096</v>
      </c>
      <c r="D5" s="32"/>
      <c r="E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" spans="1:12" x14ac:dyDescent="0.35">
      <c r="A6" s="3">
        <v>51475771178</v>
      </c>
      <c r="B6" s="3">
        <v>49</v>
      </c>
      <c r="C6" s="32">
        <v>49096</v>
      </c>
      <c r="D6" s="32" t="s">
        <v>87</v>
      </c>
      <c r="E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" spans="1:12" x14ac:dyDescent="0.35">
      <c r="A7" s="3">
        <v>58526540691</v>
      </c>
      <c r="B7" s="3">
        <v>54</v>
      </c>
      <c r="C7" s="32">
        <v>49096</v>
      </c>
      <c r="D7" s="32"/>
      <c r="E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" spans="1:12" x14ac:dyDescent="0.35">
      <c r="A8" s="3">
        <v>75179825599</v>
      </c>
      <c r="B8" s="3">
        <v>63</v>
      </c>
      <c r="C8" s="32">
        <v>49096</v>
      </c>
      <c r="D8" s="32" t="s">
        <v>87</v>
      </c>
      <c r="E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" spans="1:12" x14ac:dyDescent="0.35">
      <c r="A9" s="3">
        <v>79575596607</v>
      </c>
      <c r="B9" s="3">
        <v>66</v>
      </c>
      <c r="C9" s="32">
        <v>49096</v>
      </c>
      <c r="D9" s="32" t="s">
        <v>87</v>
      </c>
      <c r="E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" spans="1:12" x14ac:dyDescent="0.35">
      <c r="A10" s="3">
        <v>94593467641</v>
      </c>
      <c r="B10" s="3">
        <v>67</v>
      </c>
      <c r="C10" s="32">
        <v>49096</v>
      </c>
      <c r="D10" s="32" t="s">
        <v>87</v>
      </c>
      <c r="E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" spans="1:12" x14ac:dyDescent="0.35">
      <c r="A11" s="3">
        <v>85706999212</v>
      </c>
      <c r="B11" s="3">
        <v>92</v>
      </c>
      <c r="C11" s="32">
        <v>49096</v>
      </c>
      <c r="D11" s="32" t="s">
        <v>87</v>
      </c>
      <c r="E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" spans="1:12" x14ac:dyDescent="0.35">
      <c r="A12" s="3">
        <v>68622980113</v>
      </c>
      <c r="B12" s="3">
        <v>132</v>
      </c>
      <c r="C12" s="32">
        <v>49096</v>
      </c>
      <c r="D12" s="32" t="s">
        <v>87</v>
      </c>
      <c r="E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" spans="1:12" x14ac:dyDescent="0.35">
      <c r="A13" s="3">
        <v>80253330439</v>
      </c>
      <c r="B13" s="3">
        <v>139</v>
      </c>
      <c r="C13" s="32">
        <v>49096</v>
      </c>
      <c r="D13" s="32" t="s">
        <v>87</v>
      </c>
      <c r="E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" spans="1:12" x14ac:dyDescent="0.35">
      <c r="A14" s="3">
        <v>55485643970</v>
      </c>
      <c r="B14" s="3">
        <v>163</v>
      </c>
      <c r="C14" s="32">
        <v>49096</v>
      </c>
      <c r="D14" s="32" t="s">
        <v>87</v>
      </c>
      <c r="E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" spans="1:12" x14ac:dyDescent="0.35">
      <c r="A15" s="3">
        <v>64500920291</v>
      </c>
      <c r="B15" s="3">
        <v>174</v>
      </c>
      <c r="C15" s="32">
        <v>49096</v>
      </c>
      <c r="D15" s="32">
        <v>49111</v>
      </c>
      <c r="E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6" spans="1:12" x14ac:dyDescent="0.35">
      <c r="A16" s="3">
        <v>72912456724</v>
      </c>
      <c r="B16" s="3">
        <v>179</v>
      </c>
      <c r="C16" s="32">
        <v>49096</v>
      </c>
      <c r="D16" s="32" t="s">
        <v>87</v>
      </c>
      <c r="E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" spans="1:6" x14ac:dyDescent="0.35">
      <c r="A17" s="3">
        <v>65667728917</v>
      </c>
      <c r="B17" s="3">
        <v>192</v>
      </c>
      <c r="C17" s="32">
        <v>49096</v>
      </c>
      <c r="D17" s="32" t="s">
        <v>87</v>
      </c>
      <c r="E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" spans="1:6" x14ac:dyDescent="0.35">
      <c r="A18" s="3">
        <v>29498829985</v>
      </c>
      <c r="B18" s="3">
        <v>207</v>
      </c>
      <c r="C18" s="32">
        <v>49096</v>
      </c>
      <c r="D18" s="32">
        <v>49117</v>
      </c>
      <c r="E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9" spans="1:6" x14ac:dyDescent="0.35">
      <c r="A19" s="3">
        <v>99947995195</v>
      </c>
      <c r="B19" s="3">
        <v>220</v>
      </c>
      <c r="C19" s="32">
        <v>49096</v>
      </c>
      <c r="D19" s="32" t="s">
        <v>87</v>
      </c>
      <c r="E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" spans="1:6" x14ac:dyDescent="0.35">
      <c r="A20" s="3">
        <v>75048331084</v>
      </c>
      <c r="B20" s="3">
        <v>233</v>
      </c>
      <c r="C20" s="32">
        <v>49096</v>
      </c>
      <c r="D20" s="32" t="s">
        <v>87</v>
      </c>
      <c r="E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" spans="1:6" x14ac:dyDescent="0.35">
      <c r="A21" s="3">
        <v>22030167053</v>
      </c>
      <c r="B21" s="3">
        <v>244</v>
      </c>
      <c r="C21" s="32">
        <v>49096</v>
      </c>
      <c r="D21" s="32" t="s">
        <v>87</v>
      </c>
      <c r="E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" spans="1:6" x14ac:dyDescent="0.35">
      <c r="A22" s="3">
        <v>97313214546</v>
      </c>
      <c r="B22" s="3">
        <v>257</v>
      </c>
      <c r="C22" s="32">
        <v>49096</v>
      </c>
      <c r="D22" s="32" t="s">
        <v>87</v>
      </c>
      <c r="E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" spans="1:6" x14ac:dyDescent="0.35">
      <c r="A23" s="3">
        <v>62808703889</v>
      </c>
      <c r="B23" s="3">
        <v>269</v>
      </c>
      <c r="C23" s="32">
        <v>49096</v>
      </c>
      <c r="D23" s="32">
        <v>49108</v>
      </c>
      <c r="E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4" spans="1:6" x14ac:dyDescent="0.35">
      <c r="A24" s="3">
        <v>16738043104</v>
      </c>
      <c r="B24" s="3">
        <v>276</v>
      </c>
      <c r="C24" s="32">
        <v>49096</v>
      </c>
      <c r="D24" s="32" t="s">
        <v>87</v>
      </c>
      <c r="E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" spans="1:6" x14ac:dyDescent="0.35">
      <c r="A25" s="3">
        <v>83595093631</v>
      </c>
      <c r="B25" s="3">
        <v>313</v>
      </c>
      <c r="C25" s="32">
        <v>49096</v>
      </c>
      <c r="D25" s="32" t="s">
        <v>87</v>
      </c>
      <c r="E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" spans="1:6" x14ac:dyDescent="0.35">
      <c r="A26" s="3">
        <v>78385067201</v>
      </c>
      <c r="B26" s="3">
        <v>317</v>
      </c>
      <c r="C26" s="32">
        <v>49096</v>
      </c>
      <c r="D26" s="32"/>
      <c r="E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" spans="1:6" x14ac:dyDescent="0.35">
      <c r="A27" s="3">
        <v>44306405916</v>
      </c>
      <c r="B27" s="3">
        <v>3</v>
      </c>
      <c r="C27" s="32">
        <v>49097</v>
      </c>
      <c r="D27" s="32" t="s">
        <v>87</v>
      </c>
      <c r="E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" spans="1:6" x14ac:dyDescent="0.35">
      <c r="A28" s="3">
        <v>97553312828</v>
      </c>
      <c r="B28" s="3">
        <v>20</v>
      </c>
      <c r="C28" s="32">
        <v>49097</v>
      </c>
      <c r="D28" s="32" t="s">
        <v>87</v>
      </c>
      <c r="E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" spans="1:6" x14ac:dyDescent="0.35">
      <c r="A29" s="3">
        <v>63312272052</v>
      </c>
      <c r="B29" s="3">
        <v>21</v>
      </c>
      <c r="C29" s="32">
        <v>49097</v>
      </c>
      <c r="D29" s="32"/>
      <c r="E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" spans="1:6" x14ac:dyDescent="0.35">
      <c r="A30" s="3">
        <v>84675285827</v>
      </c>
      <c r="B30" s="3">
        <v>24</v>
      </c>
      <c r="C30" s="32">
        <v>49097</v>
      </c>
      <c r="D30" s="32" t="s">
        <v>87</v>
      </c>
      <c r="E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" spans="1:6" x14ac:dyDescent="0.35">
      <c r="A31" s="3">
        <v>89067755842</v>
      </c>
      <c r="B31" s="3">
        <v>38</v>
      </c>
      <c r="C31" s="32">
        <v>49097</v>
      </c>
      <c r="D31" s="32" t="s">
        <v>87</v>
      </c>
      <c r="E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" spans="1:6" x14ac:dyDescent="0.35">
      <c r="A32" s="3">
        <v>97661729319</v>
      </c>
      <c r="B32" s="3">
        <v>79</v>
      </c>
      <c r="C32" s="32">
        <v>49097</v>
      </c>
      <c r="D32" s="32" t="s">
        <v>87</v>
      </c>
      <c r="E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" spans="1:6" x14ac:dyDescent="0.35">
      <c r="A33" s="3">
        <v>71078196504</v>
      </c>
      <c r="B33" s="3">
        <v>80</v>
      </c>
      <c r="C33" s="32">
        <v>49097</v>
      </c>
      <c r="D33" s="32">
        <v>49137</v>
      </c>
      <c r="E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4" spans="1:6" x14ac:dyDescent="0.35">
      <c r="A34" s="3">
        <v>68859493800</v>
      </c>
      <c r="B34" s="3">
        <v>103</v>
      </c>
      <c r="C34" s="32">
        <v>49097</v>
      </c>
      <c r="D34" s="32" t="s">
        <v>87</v>
      </c>
      <c r="E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" spans="1:6" x14ac:dyDescent="0.35">
      <c r="A35" s="3">
        <v>51310937610</v>
      </c>
      <c r="B35" s="3">
        <v>113</v>
      </c>
      <c r="C35" s="32">
        <v>49097</v>
      </c>
      <c r="D35" s="32"/>
      <c r="E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" spans="1:6" x14ac:dyDescent="0.35">
      <c r="A36" s="3">
        <v>17985992575</v>
      </c>
      <c r="B36" s="3">
        <v>149</v>
      </c>
      <c r="C36" s="32">
        <v>49097</v>
      </c>
      <c r="D36" s="32">
        <v>49147</v>
      </c>
      <c r="E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7" spans="1:6" x14ac:dyDescent="0.35">
      <c r="A37" s="3">
        <v>92344335927</v>
      </c>
      <c r="B37" s="3">
        <v>175</v>
      </c>
      <c r="C37" s="32">
        <v>49097</v>
      </c>
      <c r="D37" s="32" t="s">
        <v>87</v>
      </c>
      <c r="E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" spans="1:6" x14ac:dyDescent="0.35">
      <c r="A38" s="3">
        <v>40151593663</v>
      </c>
      <c r="B38" s="3">
        <v>180</v>
      </c>
      <c r="C38" s="32">
        <v>49097</v>
      </c>
      <c r="D38" s="32" t="s">
        <v>87</v>
      </c>
      <c r="E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" spans="1:6" x14ac:dyDescent="0.35">
      <c r="A39" s="3">
        <v>38720666306</v>
      </c>
      <c r="B39" s="3">
        <v>185</v>
      </c>
      <c r="C39" s="32">
        <v>49097</v>
      </c>
      <c r="D39" s="32" t="s">
        <v>87</v>
      </c>
      <c r="E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" spans="1:6" x14ac:dyDescent="0.35">
      <c r="A40" s="3">
        <v>48231569074</v>
      </c>
      <c r="B40" s="3">
        <v>196</v>
      </c>
      <c r="C40" s="32">
        <v>49097</v>
      </c>
      <c r="D40" s="32"/>
      <c r="E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" spans="1:6" x14ac:dyDescent="0.35">
      <c r="A41" s="3">
        <v>24684376290</v>
      </c>
      <c r="B41" s="3">
        <v>204</v>
      </c>
      <c r="C41" s="32">
        <v>49097</v>
      </c>
      <c r="D41" s="32">
        <v>49216</v>
      </c>
      <c r="E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2" spans="1:6" x14ac:dyDescent="0.35">
      <c r="A42" s="3">
        <v>25864935346</v>
      </c>
      <c r="B42" s="3">
        <v>206</v>
      </c>
      <c r="C42" s="32">
        <v>49097</v>
      </c>
      <c r="D42" s="32">
        <v>49132</v>
      </c>
      <c r="E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3" spans="1:6" x14ac:dyDescent="0.35">
      <c r="A43" s="3">
        <v>33817417258</v>
      </c>
      <c r="B43" s="3">
        <v>212</v>
      </c>
      <c r="C43" s="32">
        <v>49097</v>
      </c>
      <c r="D43" s="32" t="s">
        <v>87</v>
      </c>
      <c r="E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" spans="1:6" x14ac:dyDescent="0.35">
      <c r="A44" s="3">
        <v>52148869418</v>
      </c>
      <c r="B44" s="3">
        <v>220</v>
      </c>
      <c r="C44" s="32">
        <v>49097</v>
      </c>
      <c r="D44" s="32" t="s">
        <v>87</v>
      </c>
      <c r="E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" spans="1:6" x14ac:dyDescent="0.35">
      <c r="A45" s="3">
        <v>25693723998</v>
      </c>
      <c r="B45" s="3">
        <v>226</v>
      </c>
      <c r="C45" s="32">
        <v>49097</v>
      </c>
      <c r="D45" s="32" t="s">
        <v>87</v>
      </c>
      <c r="E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" spans="1:6" x14ac:dyDescent="0.35">
      <c r="A46" s="3">
        <v>68518364725</v>
      </c>
      <c r="B46" s="3">
        <v>229</v>
      </c>
      <c r="C46" s="32">
        <v>49097</v>
      </c>
      <c r="D46" s="32"/>
      <c r="E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" spans="1:6" x14ac:dyDescent="0.35">
      <c r="A47" s="3">
        <v>41121975012</v>
      </c>
      <c r="B47" s="3">
        <v>237</v>
      </c>
      <c r="C47" s="32">
        <v>49097</v>
      </c>
      <c r="D47" s="32" t="s">
        <v>87</v>
      </c>
      <c r="E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" spans="1:6" x14ac:dyDescent="0.35">
      <c r="A48" s="3">
        <v>67666228453</v>
      </c>
      <c r="B48" s="3">
        <v>256</v>
      </c>
      <c r="C48" s="32">
        <v>49097</v>
      </c>
      <c r="D48" s="32" t="s">
        <v>87</v>
      </c>
      <c r="E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" spans="1:6" x14ac:dyDescent="0.35">
      <c r="A49" s="3">
        <v>53285055591</v>
      </c>
      <c r="B49" s="3">
        <v>288</v>
      </c>
      <c r="C49" s="32">
        <v>49097</v>
      </c>
      <c r="D49" s="32" t="s">
        <v>87</v>
      </c>
      <c r="E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" spans="1:6" x14ac:dyDescent="0.35">
      <c r="A50" s="3">
        <v>13563146093</v>
      </c>
      <c r="B50" s="3">
        <v>300</v>
      </c>
      <c r="C50" s="32">
        <v>49097</v>
      </c>
      <c r="D50" s="32" t="s">
        <v>87</v>
      </c>
      <c r="E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" spans="1:6" x14ac:dyDescent="0.35">
      <c r="A51" s="3">
        <v>54332366001</v>
      </c>
      <c r="B51" s="3">
        <v>335</v>
      </c>
      <c r="C51" s="32">
        <v>49097</v>
      </c>
      <c r="D51" s="32" t="s">
        <v>87</v>
      </c>
      <c r="E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" spans="1:6" x14ac:dyDescent="0.35">
      <c r="A52" s="3">
        <v>62461148056</v>
      </c>
      <c r="B52" s="3">
        <v>336</v>
      </c>
      <c r="C52" s="32">
        <v>49097</v>
      </c>
      <c r="D52" s="32" t="s">
        <v>87</v>
      </c>
      <c r="E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" spans="1:6" x14ac:dyDescent="0.35">
      <c r="A53" s="3">
        <v>14298161081</v>
      </c>
      <c r="B53" s="3">
        <v>7</v>
      </c>
      <c r="C53" s="32">
        <v>49098</v>
      </c>
      <c r="D53" s="32" t="s">
        <v>87</v>
      </c>
      <c r="E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" spans="1:6" x14ac:dyDescent="0.35">
      <c r="A54" s="3">
        <v>98317258880</v>
      </c>
      <c r="B54" s="3">
        <v>25</v>
      </c>
      <c r="C54" s="32">
        <v>49098</v>
      </c>
      <c r="D54" s="32" t="s">
        <v>87</v>
      </c>
      <c r="E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" spans="1:6" x14ac:dyDescent="0.35">
      <c r="A55" s="3">
        <v>34650918733</v>
      </c>
      <c r="B55" s="3">
        <v>27</v>
      </c>
      <c r="C55" s="32">
        <v>49098</v>
      </c>
      <c r="D55" s="32">
        <v>49175</v>
      </c>
      <c r="E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6" spans="1:6" x14ac:dyDescent="0.35">
      <c r="A56" s="3">
        <v>48937844432</v>
      </c>
      <c r="B56" s="3">
        <v>31</v>
      </c>
      <c r="C56" s="32">
        <v>49098</v>
      </c>
      <c r="D56" s="32" t="s">
        <v>87</v>
      </c>
      <c r="E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" spans="1:6" x14ac:dyDescent="0.35">
      <c r="A57" s="3">
        <v>84099720954</v>
      </c>
      <c r="B57" s="3">
        <v>37</v>
      </c>
      <c r="C57" s="32">
        <v>49098</v>
      </c>
      <c r="D57" s="32" t="s">
        <v>87</v>
      </c>
      <c r="E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" spans="1:6" x14ac:dyDescent="0.35">
      <c r="A58" s="3">
        <v>23523628914</v>
      </c>
      <c r="B58" s="3">
        <v>70</v>
      </c>
      <c r="C58" s="32">
        <v>49098</v>
      </c>
      <c r="D58" s="32" t="s">
        <v>87</v>
      </c>
      <c r="E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" spans="1:6" x14ac:dyDescent="0.35">
      <c r="A59" s="3">
        <v>93089735190</v>
      </c>
      <c r="B59" s="3">
        <v>76</v>
      </c>
      <c r="C59" s="32">
        <v>49098</v>
      </c>
      <c r="D59" s="32" t="s">
        <v>87</v>
      </c>
      <c r="E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" spans="1:6" x14ac:dyDescent="0.35">
      <c r="A60" s="3">
        <v>83496259240</v>
      </c>
      <c r="B60" s="3">
        <v>84</v>
      </c>
      <c r="C60" s="32">
        <v>49098</v>
      </c>
      <c r="D60" s="32">
        <v>49157</v>
      </c>
      <c r="E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61" spans="1:6" x14ac:dyDescent="0.35">
      <c r="A61" s="3">
        <v>81452980476</v>
      </c>
      <c r="B61" s="3">
        <v>113</v>
      </c>
      <c r="C61" s="32">
        <v>49098</v>
      </c>
      <c r="D61" s="32">
        <v>49138</v>
      </c>
      <c r="E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2" spans="1:6" x14ac:dyDescent="0.35">
      <c r="A62" s="3">
        <v>44433988919</v>
      </c>
      <c r="B62" s="3">
        <v>132</v>
      </c>
      <c r="C62" s="32">
        <v>49098</v>
      </c>
      <c r="D62" s="32" t="s">
        <v>87</v>
      </c>
      <c r="E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" spans="1:6" x14ac:dyDescent="0.35">
      <c r="A63" s="3">
        <v>14657560532</v>
      </c>
      <c r="B63" s="3">
        <v>149</v>
      </c>
      <c r="C63" s="32">
        <v>49098</v>
      </c>
      <c r="D63" s="32" t="s">
        <v>87</v>
      </c>
      <c r="E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" spans="1:6" x14ac:dyDescent="0.35">
      <c r="A64" s="3">
        <v>25782504693</v>
      </c>
      <c r="B64" s="3">
        <v>149</v>
      </c>
      <c r="C64" s="32">
        <v>49098</v>
      </c>
      <c r="D64" s="32" t="s">
        <v>87</v>
      </c>
      <c r="E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" spans="1:6" x14ac:dyDescent="0.35">
      <c r="A65" s="3">
        <v>45552920259</v>
      </c>
      <c r="B65" s="3">
        <v>160</v>
      </c>
      <c r="C65" s="32">
        <v>49098</v>
      </c>
      <c r="D65" s="32" t="s">
        <v>87</v>
      </c>
      <c r="E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" spans="1:6" x14ac:dyDescent="0.35">
      <c r="A66" s="3">
        <v>63073437128</v>
      </c>
      <c r="B66" s="3">
        <v>163</v>
      </c>
      <c r="C66" s="32">
        <v>49098</v>
      </c>
      <c r="D66" s="32"/>
      <c r="E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" spans="1:6" x14ac:dyDescent="0.35">
      <c r="A67" s="3">
        <v>98371504645</v>
      </c>
      <c r="B67" s="3">
        <v>173</v>
      </c>
      <c r="C67" s="32">
        <v>49098</v>
      </c>
      <c r="D67" s="32" t="s">
        <v>87</v>
      </c>
      <c r="E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" spans="1:6" x14ac:dyDescent="0.35">
      <c r="A68" s="3">
        <v>92833192216</v>
      </c>
      <c r="B68" s="3">
        <v>178</v>
      </c>
      <c r="C68" s="32">
        <v>49098</v>
      </c>
      <c r="D68" s="32" t="s">
        <v>87</v>
      </c>
      <c r="E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" spans="1:6" x14ac:dyDescent="0.35">
      <c r="A69" s="3">
        <v>83773601754</v>
      </c>
      <c r="B69" s="3">
        <v>195</v>
      </c>
      <c r="C69" s="32">
        <v>49098</v>
      </c>
      <c r="D69" s="32" t="s">
        <v>87</v>
      </c>
      <c r="E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" spans="1:6" x14ac:dyDescent="0.35">
      <c r="A70" s="3">
        <v>16532160760</v>
      </c>
      <c r="B70" s="3">
        <v>197</v>
      </c>
      <c r="C70" s="32">
        <v>49098</v>
      </c>
      <c r="D70" s="32" t="s">
        <v>87</v>
      </c>
      <c r="E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" spans="1:6" x14ac:dyDescent="0.35">
      <c r="A71" s="3">
        <v>91925411950</v>
      </c>
      <c r="B71" s="3">
        <v>197</v>
      </c>
      <c r="C71" s="32">
        <v>49098</v>
      </c>
      <c r="D71" s="32"/>
      <c r="E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" spans="1:6" x14ac:dyDescent="0.35">
      <c r="A72" s="3">
        <v>61727785217</v>
      </c>
      <c r="B72" s="3">
        <v>211</v>
      </c>
      <c r="C72" s="32">
        <v>49098</v>
      </c>
      <c r="D72" s="32" t="s">
        <v>87</v>
      </c>
      <c r="E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" spans="1:6" x14ac:dyDescent="0.35">
      <c r="A73" s="3">
        <v>51877094484</v>
      </c>
      <c r="B73" s="3">
        <v>237</v>
      </c>
      <c r="C73" s="32">
        <v>49098</v>
      </c>
      <c r="D73" s="32">
        <v>49122</v>
      </c>
      <c r="E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4" spans="1:6" x14ac:dyDescent="0.35">
      <c r="A74" s="3">
        <v>23445980733</v>
      </c>
      <c r="B74" s="3">
        <v>243</v>
      </c>
      <c r="C74" s="32">
        <v>49098</v>
      </c>
      <c r="D74" s="32">
        <v>49124</v>
      </c>
      <c r="E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5" spans="1:6" x14ac:dyDescent="0.35">
      <c r="A75" s="3">
        <v>20736724237</v>
      </c>
      <c r="B75" s="3">
        <v>262</v>
      </c>
      <c r="C75" s="32">
        <v>49098</v>
      </c>
      <c r="D75" s="32"/>
      <c r="E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" spans="1:6" x14ac:dyDescent="0.35">
      <c r="A76" s="3">
        <v>66401252331</v>
      </c>
      <c r="B76" s="3">
        <v>271</v>
      </c>
      <c r="C76" s="32">
        <v>49098</v>
      </c>
      <c r="D76" s="32" t="s">
        <v>87</v>
      </c>
      <c r="E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" spans="1:6" x14ac:dyDescent="0.35">
      <c r="A77" s="3">
        <v>67929085408</v>
      </c>
      <c r="B77" s="3">
        <v>286</v>
      </c>
      <c r="C77" s="32">
        <v>49098</v>
      </c>
      <c r="D77" s="32">
        <v>49129</v>
      </c>
      <c r="E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8" spans="1:6" x14ac:dyDescent="0.35">
      <c r="A78" s="3">
        <v>61167481842</v>
      </c>
      <c r="B78" s="3">
        <v>292</v>
      </c>
      <c r="C78" s="32">
        <v>49098</v>
      </c>
      <c r="D78" s="32" t="s">
        <v>87</v>
      </c>
      <c r="E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" spans="1:6" x14ac:dyDescent="0.35">
      <c r="A79" s="3">
        <v>94171582845</v>
      </c>
      <c r="B79" s="3">
        <v>304</v>
      </c>
      <c r="C79" s="32">
        <v>49098</v>
      </c>
      <c r="D79" s="32" t="s">
        <v>87</v>
      </c>
      <c r="E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" spans="1:6" x14ac:dyDescent="0.35">
      <c r="A80" s="3">
        <v>62817224430</v>
      </c>
      <c r="B80" s="3">
        <v>327</v>
      </c>
      <c r="C80" s="32">
        <v>49098</v>
      </c>
      <c r="D80" s="32">
        <v>49137</v>
      </c>
      <c r="E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1" spans="1:6" x14ac:dyDescent="0.35">
      <c r="A81" s="3">
        <v>76777025578</v>
      </c>
      <c r="B81" s="3">
        <v>17</v>
      </c>
      <c r="C81" s="32">
        <v>49099</v>
      </c>
      <c r="D81" s="32" t="s">
        <v>87</v>
      </c>
      <c r="E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" spans="1:6" x14ac:dyDescent="0.35">
      <c r="A82" s="3">
        <v>87829283804</v>
      </c>
      <c r="B82" s="3">
        <v>29</v>
      </c>
      <c r="C82" s="32">
        <v>49099</v>
      </c>
      <c r="D82" s="32">
        <v>49106</v>
      </c>
      <c r="E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83" spans="1:6" x14ac:dyDescent="0.35">
      <c r="A83" s="3">
        <v>36811208391</v>
      </c>
      <c r="B83" s="3">
        <v>35</v>
      </c>
      <c r="C83" s="32">
        <v>49099</v>
      </c>
      <c r="D83" s="32" t="s">
        <v>87</v>
      </c>
      <c r="E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" spans="1:6" x14ac:dyDescent="0.35">
      <c r="A84" s="3">
        <v>11440065075</v>
      </c>
      <c r="B84" s="3">
        <v>45</v>
      </c>
      <c r="C84" s="32">
        <v>49099</v>
      </c>
      <c r="D84" s="32"/>
      <c r="E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" spans="1:6" x14ac:dyDescent="0.35">
      <c r="A85" s="3">
        <v>11447295009</v>
      </c>
      <c r="B85" s="3">
        <v>47</v>
      </c>
      <c r="C85" s="32">
        <v>49099</v>
      </c>
      <c r="D85" s="32" t="s">
        <v>87</v>
      </c>
      <c r="E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" spans="1:6" x14ac:dyDescent="0.35">
      <c r="A86" s="3">
        <v>65695665079</v>
      </c>
      <c r="B86" s="3">
        <v>53</v>
      </c>
      <c r="C86" s="32">
        <v>49099</v>
      </c>
      <c r="D86" s="32" t="s">
        <v>87</v>
      </c>
      <c r="E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" spans="1:6" x14ac:dyDescent="0.35">
      <c r="A87" s="3">
        <v>17861885355</v>
      </c>
      <c r="B87" s="3">
        <v>55</v>
      </c>
      <c r="C87" s="32">
        <v>49099</v>
      </c>
      <c r="D87" s="32" t="s">
        <v>87</v>
      </c>
      <c r="E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" spans="1:6" x14ac:dyDescent="0.35">
      <c r="A88" s="3">
        <v>32710064720</v>
      </c>
      <c r="B88" s="3">
        <v>56</v>
      </c>
      <c r="C88" s="32">
        <v>49099</v>
      </c>
      <c r="D88" s="32" t="s">
        <v>87</v>
      </c>
      <c r="E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" spans="1:6" x14ac:dyDescent="0.35">
      <c r="A89" s="3">
        <v>18099518603</v>
      </c>
      <c r="B89" s="3">
        <v>64</v>
      </c>
      <c r="C89" s="32">
        <v>49099</v>
      </c>
      <c r="D89" s="32" t="s">
        <v>87</v>
      </c>
      <c r="E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" spans="1:6" x14ac:dyDescent="0.35">
      <c r="A90" s="3">
        <v>80467421792</v>
      </c>
      <c r="B90" s="3">
        <v>73</v>
      </c>
      <c r="C90" s="32">
        <v>49099</v>
      </c>
      <c r="D90" s="32">
        <v>49218</v>
      </c>
      <c r="E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1" spans="1:6" x14ac:dyDescent="0.35">
      <c r="A91" s="3">
        <v>91970535678</v>
      </c>
      <c r="B91" s="3">
        <v>96</v>
      </c>
      <c r="C91" s="32">
        <v>49099</v>
      </c>
      <c r="D91" s="32" t="s">
        <v>87</v>
      </c>
      <c r="E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" spans="1:6" x14ac:dyDescent="0.35">
      <c r="A92" s="3">
        <v>83470857628</v>
      </c>
      <c r="B92" s="3">
        <v>105</v>
      </c>
      <c r="C92" s="32">
        <v>49099</v>
      </c>
      <c r="D92" s="32"/>
      <c r="E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" spans="1:6" x14ac:dyDescent="0.35">
      <c r="A93" s="3">
        <v>68344179710</v>
      </c>
      <c r="B93" s="3">
        <v>148</v>
      </c>
      <c r="C93" s="32">
        <v>49099</v>
      </c>
      <c r="D93" s="32" t="s">
        <v>87</v>
      </c>
      <c r="E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" spans="1:6" x14ac:dyDescent="0.35">
      <c r="A94" s="3">
        <v>84562390951</v>
      </c>
      <c r="B94" s="3">
        <v>177</v>
      </c>
      <c r="C94" s="32">
        <v>49099</v>
      </c>
      <c r="D94" s="32" t="s">
        <v>87</v>
      </c>
      <c r="E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" spans="1:6" x14ac:dyDescent="0.35">
      <c r="A95" s="3">
        <v>11139592028</v>
      </c>
      <c r="B95" s="3">
        <v>189</v>
      </c>
      <c r="C95" s="32">
        <v>49099</v>
      </c>
      <c r="D95" s="32" t="s">
        <v>87</v>
      </c>
      <c r="E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" spans="1:6" x14ac:dyDescent="0.35">
      <c r="A96" s="3">
        <v>30282900450</v>
      </c>
      <c r="B96" s="3">
        <v>195</v>
      </c>
      <c r="C96" s="32">
        <v>49099</v>
      </c>
      <c r="D96" s="32">
        <v>49190</v>
      </c>
      <c r="E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7" spans="1:6" x14ac:dyDescent="0.35">
      <c r="A97" s="3">
        <v>59335004798</v>
      </c>
      <c r="B97" s="3">
        <v>206</v>
      </c>
      <c r="C97" s="32">
        <v>49099</v>
      </c>
      <c r="D97" s="32" t="s">
        <v>87</v>
      </c>
      <c r="E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" spans="1:6" x14ac:dyDescent="0.35">
      <c r="A98" s="3">
        <v>61958741227</v>
      </c>
      <c r="B98" s="3">
        <v>208</v>
      </c>
      <c r="C98" s="32">
        <v>49099</v>
      </c>
      <c r="D98" s="32">
        <v>49139</v>
      </c>
      <c r="E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" spans="1:6" x14ac:dyDescent="0.35">
      <c r="A99" s="3">
        <v>37278200645</v>
      </c>
      <c r="B99" s="3">
        <v>220</v>
      </c>
      <c r="C99" s="32">
        <v>49099</v>
      </c>
      <c r="D99" s="32" t="s">
        <v>87</v>
      </c>
      <c r="E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" spans="1:6" x14ac:dyDescent="0.35">
      <c r="A100" s="3">
        <v>11539782471</v>
      </c>
      <c r="B100" s="3">
        <v>225</v>
      </c>
      <c r="C100" s="32">
        <v>49099</v>
      </c>
      <c r="D100" s="32"/>
      <c r="E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" spans="1:6" x14ac:dyDescent="0.35">
      <c r="A101" s="3">
        <v>17570785395</v>
      </c>
      <c r="B101" s="3">
        <v>236</v>
      </c>
      <c r="C101" s="32">
        <v>49099</v>
      </c>
      <c r="D101" s="32">
        <v>49216</v>
      </c>
      <c r="E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2" spans="1:6" x14ac:dyDescent="0.35">
      <c r="A102" s="3">
        <v>27500417384</v>
      </c>
      <c r="B102" s="3">
        <v>236</v>
      </c>
      <c r="C102" s="32">
        <v>49099</v>
      </c>
      <c r="D102" s="32" t="s">
        <v>87</v>
      </c>
      <c r="E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" spans="1:6" x14ac:dyDescent="0.35">
      <c r="A103" s="3">
        <v>30681810272</v>
      </c>
      <c r="B103" s="3">
        <v>256</v>
      </c>
      <c r="C103" s="32">
        <v>49099</v>
      </c>
      <c r="D103" s="32" t="s">
        <v>87</v>
      </c>
      <c r="E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" spans="1:6" x14ac:dyDescent="0.35">
      <c r="A104" s="3">
        <v>87748308974</v>
      </c>
      <c r="B104" s="3">
        <v>259</v>
      </c>
      <c r="C104" s="32">
        <v>49099</v>
      </c>
      <c r="D104" s="32" t="s">
        <v>87</v>
      </c>
      <c r="E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" spans="1:6" x14ac:dyDescent="0.35">
      <c r="A105" s="3">
        <v>37660936317</v>
      </c>
      <c r="B105" s="3">
        <v>273</v>
      </c>
      <c r="C105" s="32">
        <v>49099</v>
      </c>
      <c r="D105" s="32" t="s">
        <v>87</v>
      </c>
      <c r="E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" spans="1:6" x14ac:dyDescent="0.35">
      <c r="A106" s="3">
        <v>80913597524</v>
      </c>
      <c r="B106" s="3">
        <v>283</v>
      </c>
      <c r="C106" s="32">
        <v>49099</v>
      </c>
      <c r="D106" s="32"/>
      <c r="E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" spans="1:6" x14ac:dyDescent="0.35">
      <c r="A107" s="3">
        <v>33493522229</v>
      </c>
      <c r="B107" s="3">
        <v>285</v>
      </c>
      <c r="C107" s="32">
        <v>49099</v>
      </c>
      <c r="D107" s="32"/>
      <c r="E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" spans="1:6" x14ac:dyDescent="0.35">
      <c r="A108" s="3">
        <v>89588647459</v>
      </c>
      <c r="B108" s="3">
        <v>312</v>
      </c>
      <c r="C108" s="32">
        <v>49099</v>
      </c>
      <c r="D108" s="32" t="s">
        <v>87</v>
      </c>
      <c r="E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" spans="1:6" x14ac:dyDescent="0.35">
      <c r="A109" s="3">
        <v>47102724651</v>
      </c>
      <c r="B109" s="3">
        <v>319</v>
      </c>
      <c r="C109" s="32">
        <v>49099</v>
      </c>
      <c r="D109" s="32">
        <v>49129</v>
      </c>
      <c r="E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0" spans="1:6" x14ac:dyDescent="0.35">
      <c r="A110" s="3">
        <v>85494213717</v>
      </c>
      <c r="B110" s="3">
        <v>328</v>
      </c>
      <c r="C110" s="32">
        <v>49099</v>
      </c>
      <c r="D110" s="32" t="s">
        <v>87</v>
      </c>
      <c r="E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" spans="1:6" x14ac:dyDescent="0.35">
      <c r="A111" s="3">
        <v>42518879407</v>
      </c>
      <c r="B111" s="3">
        <v>331</v>
      </c>
      <c r="C111" s="32">
        <v>49099</v>
      </c>
      <c r="D111" s="32" t="s">
        <v>87</v>
      </c>
      <c r="E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" spans="1:6" x14ac:dyDescent="0.35">
      <c r="A112" s="3">
        <v>13658254445</v>
      </c>
      <c r="B112" s="3">
        <v>336</v>
      </c>
      <c r="C112" s="32">
        <v>49099</v>
      </c>
      <c r="D112" s="32"/>
      <c r="E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" spans="1:6" x14ac:dyDescent="0.35">
      <c r="A113" s="3">
        <v>24098776063</v>
      </c>
      <c r="B113" s="3">
        <v>337</v>
      </c>
      <c r="C113" s="32">
        <v>49099</v>
      </c>
      <c r="D113" s="32">
        <v>49213</v>
      </c>
      <c r="E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4" spans="1:6" x14ac:dyDescent="0.35">
      <c r="A114" s="3">
        <v>45480594740</v>
      </c>
      <c r="B114" s="3">
        <v>19</v>
      </c>
      <c r="C114" s="32">
        <v>49100</v>
      </c>
      <c r="D114" s="32" t="s">
        <v>87</v>
      </c>
      <c r="E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" spans="1:6" x14ac:dyDescent="0.35">
      <c r="A115" s="3">
        <v>56389259269</v>
      </c>
      <c r="B115" s="3">
        <v>44</v>
      </c>
      <c r="C115" s="32">
        <v>49100</v>
      </c>
      <c r="D115" s="32" t="s">
        <v>87</v>
      </c>
      <c r="E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" spans="1:6" x14ac:dyDescent="0.35">
      <c r="A116" s="3">
        <v>54044939110</v>
      </c>
      <c r="B116" s="3">
        <v>62</v>
      </c>
      <c r="C116" s="32">
        <v>49100</v>
      </c>
      <c r="D116" s="32" t="s">
        <v>87</v>
      </c>
      <c r="E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" spans="1:6" x14ac:dyDescent="0.35">
      <c r="A117" s="3">
        <v>74413770691</v>
      </c>
      <c r="B117" s="3">
        <v>66</v>
      </c>
      <c r="C117" s="32">
        <v>49100</v>
      </c>
      <c r="D117" s="32">
        <v>49187</v>
      </c>
      <c r="E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8" spans="1:6" x14ac:dyDescent="0.35">
      <c r="A118" s="3">
        <v>52349663305</v>
      </c>
      <c r="B118" s="3">
        <v>100</v>
      </c>
      <c r="C118" s="32">
        <v>49100</v>
      </c>
      <c r="D118" s="32" t="s">
        <v>87</v>
      </c>
      <c r="E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" spans="1:6" x14ac:dyDescent="0.35">
      <c r="A119" s="3">
        <v>82737217828</v>
      </c>
      <c r="B119" s="3">
        <v>119</v>
      </c>
      <c r="C119" s="32">
        <v>49100</v>
      </c>
      <c r="D119" s="32">
        <v>49142</v>
      </c>
      <c r="E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0" spans="1:6" x14ac:dyDescent="0.35">
      <c r="A120" s="3">
        <v>81894593644</v>
      </c>
      <c r="B120" s="3">
        <v>123</v>
      </c>
      <c r="C120" s="32">
        <v>49100</v>
      </c>
      <c r="D120" s="32" t="s">
        <v>87</v>
      </c>
      <c r="E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" spans="1:6" x14ac:dyDescent="0.35">
      <c r="A121" s="3">
        <v>68663986578</v>
      </c>
      <c r="B121" s="3">
        <v>131</v>
      </c>
      <c r="C121" s="32">
        <v>49100</v>
      </c>
      <c r="D121" s="32" t="s">
        <v>87</v>
      </c>
      <c r="E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" spans="1:6" x14ac:dyDescent="0.35">
      <c r="A122" s="3">
        <v>96603048332</v>
      </c>
      <c r="B122" s="3">
        <v>161</v>
      </c>
      <c r="C122" s="32">
        <v>49100</v>
      </c>
      <c r="D122" s="32" t="s">
        <v>87</v>
      </c>
      <c r="E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" spans="1:6" x14ac:dyDescent="0.35">
      <c r="A123" s="3">
        <v>68442251362</v>
      </c>
      <c r="B123" s="3">
        <v>175</v>
      </c>
      <c r="C123" s="32">
        <v>49100</v>
      </c>
      <c r="D123" s="32" t="s">
        <v>87</v>
      </c>
      <c r="E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" spans="1:6" x14ac:dyDescent="0.35">
      <c r="A124" s="3">
        <v>31403660181</v>
      </c>
      <c r="B124" s="3">
        <v>198</v>
      </c>
      <c r="C124" s="32">
        <v>49100</v>
      </c>
      <c r="D124" s="32">
        <v>49216</v>
      </c>
      <c r="E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5" spans="1:6" x14ac:dyDescent="0.35">
      <c r="A125" s="3">
        <v>30408027907</v>
      </c>
      <c r="B125" s="3">
        <v>244</v>
      </c>
      <c r="C125" s="32">
        <v>49100</v>
      </c>
      <c r="D125" s="32">
        <v>49182</v>
      </c>
      <c r="E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6" spans="1:6" x14ac:dyDescent="0.35">
      <c r="A126" s="3">
        <v>40262893439</v>
      </c>
      <c r="B126" s="3">
        <v>245</v>
      </c>
      <c r="C126" s="32">
        <v>49100</v>
      </c>
      <c r="D126" s="32" t="s">
        <v>87</v>
      </c>
      <c r="E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" spans="1:6" x14ac:dyDescent="0.35">
      <c r="A127" s="3">
        <v>49000195592</v>
      </c>
      <c r="B127" s="3">
        <v>255</v>
      </c>
      <c r="C127" s="32">
        <v>49100</v>
      </c>
      <c r="D127" s="32" t="s">
        <v>87</v>
      </c>
      <c r="E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" spans="1:6" x14ac:dyDescent="0.35">
      <c r="A128" s="3">
        <v>52940949514</v>
      </c>
      <c r="B128" s="3">
        <v>264</v>
      </c>
      <c r="C128" s="32">
        <v>49100</v>
      </c>
      <c r="D128" s="32" t="s">
        <v>87</v>
      </c>
      <c r="E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" spans="1:6" x14ac:dyDescent="0.35">
      <c r="A129" s="3">
        <v>92198983293</v>
      </c>
      <c r="B129" s="3">
        <v>267</v>
      </c>
      <c r="C129" s="32">
        <v>49100</v>
      </c>
      <c r="D129" s="32" t="s">
        <v>87</v>
      </c>
      <c r="E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" spans="1:6" x14ac:dyDescent="0.35">
      <c r="A130" s="3">
        <v>54220913514</v>
      </c>
      <c r="B130" s="3">
        <v>292</v>
      </c>
      <c r="C130" s="32">
        <v>49100</v>
      </c>
      <c r="D130" s="32" t="s">
        <v>87</v>
      </c>
      <c r="E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" spans="1:6" x14ac:dyDescent="0.35">
      <c r="A131" s="3">
        <v>79159356875</v>
      </c>
      <c r="B131" s="3">
        <v>303</v>
      </c>
      <c r="C131" s="32">
        <v>49100</v>
      </c>
      <c r="D131" s="32" t="s">
        <v>87</v>
      </c>
      <c r="E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" spans="1:6" x14ac:dyDescent="0.35">
      <c r="A132" s="3">
        <v>89002165412</v>
      </c>
      <c r="B132" s="3">
        <v>305</v>
      </c>
      <c r="C132" s="32">
        <v>49100</v>
      </c>
      <c r="D132" s="32">
        <v>49181</v>
      </c>
      <c r="E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3" spans="1:6" x14ac:dyDescent="0.35">
      <c r="A133" s="3">
        <v>52193465909</v>
      </c>
      <c r="B133" s="3">
        <v>316</v>
      </c>
      <c r="C133" s="32">
        <v>49100</v>
      </c>
      <c r="D133" s="32">
        <v>49137</v>
      </c>
      <c r="E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4" spans="1:6" x14ac:dyDescent="0.35">
      <c r="A134" s="3">
        <v>29638421062</v>
      </c>
      <c r="B134" s="3">
        <v>321</v>
      </c>
      <c r="C134" s="32">
        <v>49100</v>
      </c>
      <c r="D134" s="32" t="s">
        <v>87</v>
      </c>
      <c r="E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" spans="1:6" x14ac:dyDescent="0.35">
      <c r="A135" s="3">
        <v>54415848313</v>
      </c>
      <c r="B135" s="3">
        <v>321</v>
      </c>
      <c r="C135" s="32">
        <v>49100</v>
      </c>
      <c r="D135" s="32"/>
      <c r="E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" spans="1:6" x14ac:dyDescent="0.35">
      <c r="A136" s="3">
        <v>30452376622</v>
      </c>
      <c r="B136" s="3">
        <v>0</v>
      </c>
      <c r="C136" s="32">
        <v>49101</v>
      </c>
      <c r="D136" s="32" t="s">
        <v>87</v>
      </c>
      <c r="E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" spans="1:6" x14ac:dyDescent="0.35">
      <c r="A137" s="3">
        <v>49602868371</v>
      </c>
      <c r="B137" s="3">
        <v>12</v>
      </c>
      <c r="C137" s="32">
        <v>49101</v>
      </c>
      <c r="D137" s="32">
        <v>49172</v>
      </c>
      <c r="E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8" spans="1:6" x14ac:dyDescent="0.35">
      <c r="A138" s="3">
        <v>68981738704</v>
      </c>
      <c r="B138" s="3">
        <v>32</v>
      </c>
      <c r="C138" s="32">
        <v>49101</v>
      </c>
      <c r="D138" s="32" t="s">
        <v>87</v>
      </c>
      <c r="E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" spans="1:6" x14ac:dyDescent="0.35">
      <c r="A139" s="3">
        <v>28505290381</v>
      </c>
      <c r="B139" s="3">
        <v>36</v>
      </c>
      <c r="C139" s="32">
        <v>49101</v>
      </c>
      <c r="D139" s="32" t="s">
        <v>87</v>
      </c>
      <c r="E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" spans="1:6" x14ac:dyDescent="0.35">
      <c r="A140" s="3">
        <v>22595611907</v>
      </c>
      <c r="B140" s="3">
        <v>53</v>
      </c>
      <c r="C140" s="32">
        <v>49101</v>
      </c>
      <c r="D140" s="32">
        <v>49131</v>
      </c>
      <c r="E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41" spans="1:6" x14ac:dyDescent="0.35">
      <c r="A141" s="3">
        <v>33489958569</v>
      </c>
      <c r="B141" s="3">
        <v>80</v>
      </c>
      <c r="C141" s="32">
        <v>49101</v>
      </c>
      <c r="D141" s="32" t="s">
        <v>87</v>
      </c>
      <c r="E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" spans="1:6" x14ac:dyDescent="0.35">
      <c r="A142" s="3">
        <v>64424388113</v>
      </c>
      <c r="B142" s="3">
        <v>80</v>
      </c>
      <c r="C142" s="32">
        <v>49101</v>
      </c>
      <c r="D142" s="32" t="s">
        <v>87</v>
      </c>
      <c r="E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" spans="1:6" x14ac:dyDescent="0.35">
      <c r="A143" s="3">
        <v>25692838458</v>
      </c>
      <c r="B143" s="3">
        <v>82</v>
      </c>
      <c r="C143" s="32">
        <v>49101</v>
      </c>
      <c r="D143" s="32" t="s">
        <v>87</v>
      </c>
      <c r="E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" spans="1:6" x14ac:dyDescent="0.35">
      <c r="A144" s="3">
        <v>19130622628</v>
      </c>
      <c r="B144" s="3">
        <v>91</v>
      </c>
      <c r="C144" s="32">
        <v>49101</v>
      </c>
      <c r="D144" s="32">
        <v>49116</v>
      </c>
      <c r="E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45" spans="1:6" x14ac:dyDescent="0.35">
      <c r="A145" s="3">
        <v>73786944731</v>
      </c>
      <c r="B145" s="3">
        <v>100</v>
      </c>
      <c r="C145" s="32">
        <v>49101</v>
      </c>
      <c r="D145" s="32" t="s">
        <v>87</v>
      </c>
      <c r="E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" spans="1:6" x14ac:dyDescent="0.35">
      <c r="A146" s="3">
        <v>45608462359</v>
      </c>
      <c r="B146" s="3">
        <v>104</v>
      </c>
      <c r="C146" s="32">
        <v>49101</v>
      </c>
      <c r="D146" s="32"/>
      <c r="E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" spans="1:6" x14ac:dyDescent="0.35">
      <c r="A147" s="3">
        <v>73872394443</v>
      </c>
      <c r="B147" s="3">
        <v>108</v>
      </c>
      <c r="C147" s="32">
        <v>49101</v>
      </c>
      <c r="D147" s="32">
        <v>49209</v>
      </c>
      <c r="E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8" spans="1:6" x14ac:dyDescent="0.35">
      <c r="A148" s="3">
        <v>48119834370</v>
      </c>
      <c r="B148" s="3">
        <v>159</v>
      </c>
      <c r="C148" s="32">
        <v>49101</v>
      </c>
      <c r="D148" s="32" t="s">
        <v>87</v>
      </c>
      <c r="E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" spans="1:6" x14ac:dyDescent="0.35">
      <c r="A149" s="3">
        <v>12083000103</v>
      </c>
      <c r="B149" s="3">
        <v>162</v>
      </c>
      <c r="C149" s="32">
        <v>49101</v>
      </c>
      <c r="D149" s="32" t="s">
        <v>87</v>
      </c>
      <c r="E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" spans="1:6" x14ac:dyDescent="0.35">
      <c r="A150" s="3">
        <v>57812898537</v>
      </c>
      <c r="B150" s="3">
        <v>169</v>
      </c>
      <c r="C150" s="32">
        <v>49101</v>
      </c>
      <c r="D150" s="32" t="s">
        <v>87</v>
      </c>
      <c r="E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" spans="1:6" x14ac:dyDescent="0.35">
      <c r="A151" s="3">
        <v>96574786861</v>
      </c>
      <c r="B151" s="3">
        <v>184</v>
      </c>
      <c r="C151" s="32">
        <v>49101</v>
      </c>
      <c r="D151" s="32" t="s">
        <v>87</v>
      </c>
      <c r="E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" spans="1:6" x14ac:dyDescent="0.35">
      <c r="A152" s="3">
        <v>90352683215</v>
      </c>
      <c r="B152" s="3">
        <v>185</v>
      </c>
      <c r="C152" s="32">
        <v>49101</v>
      </c>
      <c r="D152" s="32" t="s">
        <v>87</v>
      </c>
      <c r="E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" spans="1:6" x14ac:dyDescent="0.35">
      <c r="A153" s="3">
        <v>67390836972</v>
      </c>
      <c r="B153" s="3">
        <v>185</v>
      </c>
      <c r="C153" s="32">
        <v>49101</v>
      </c>
      <c r="D153" s="32"/>
      <c r="E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" spans="1:6" x14ac:dyDescent="0.35">
      <c r="A154" s="3">
        <v>23856397500</v>
      </c>
      <c r="B154" s="3">
        <v>190</v>
      </c>
      <c r="C154" s="32">
        <v>49101</v>
      </c>
      <c r="D154" s="32" t="s">
        <v>87</v>
      </c>
      <c r="E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" spans="1:6" x14ac:dyDescent="0.35">
      <c r="A155" s="3">
        <v>98900253453</v>
      </c>
      <c r="B155" s="3">
        <v>217</v>
      </c>
      <c r="C155" s="32">
        <v>49101</v>
      </c>
      <c r="D155" s="32">
        <v>49115</v>
      </c>
      <c r="E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56" spans="1:6" x14ac:dyDescent="0.35">
      <c r="A156" s="3">
        <v>89518193257</v>
      </c>
      <c r="B156" s="3">
        <v>263</v>
      </c>
      <c r="C156" s="32">
        <v>49101</v>
      </c>
      <c r="D156" s="32">
        <v>49170</v>
      </c>
      <c r="E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7" spans="1:6" x14ac:dyDescent="0.35">
      <c r="A157" s="3">
        <v>75824928246</v>
      </c>
      <c r="B157" s="3">
        <v>269</v>
      </c>
      <c r="C157" s="32">
        <v>49101</v>
      </c>
      <c r="D157" s="32" t="s">
        <v>87</v>
      </c>
      <c r="E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" spans="1:6" x14ac:dyDescent="0.35">
      <c r="A158" s="3">
        <v>49977649326</v>
      </c>
      <c r="B158" s="3">
        <v>287</v>
      </c>
      <c r="C158" s="32">
        <v>49101</v>
      </c>
      <c r="D158" s="32" t="s">
        <v>87</v>
      </c>
      <c r="E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" spans="1:6" x14ac:dyDescent="0.35">
      <c r="A159" s="3">
        <v>21705381983</v>
      </c>
      <c r="B159" s="3">
        <v>295</v>
      </c>
      <c r="C159" s="32">
        <v>49101</v>
      </c>
      <c r="D159" s="32"/>
      <c r="E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" spans="1:6" x14ac:dyDescent="0.35">
      <c r="A160" s="3">
        <v>68124840363</v>
      </c>
      <c r="B160" s="3">
        <v>308</v>
      </c>
      <c r="C160" s="32">
        <v>49101</v>
      </c>
      <c r="D160" s="32"/>
      <c r="E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" spans="1:6" x14ac:dyDescent="0.35">
      <c r="A161" s="3">
        <v>95503056289</v>
      </c>
      <c r="B161" s="3">
        <v>330</v>
      </c>
      <c r="C161" s="32">
        <v>49101</v>
      </c>
      <c r="D161" s="32" t="s">
        <v>87</v>
      </c>
      <c r="E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" spans="1:6" x14ac:dyDescent="0.35">
      <c r="A162" s="3">
        <v>26355558319</v>
      </c>
      <c r="B162" s="3">
        <v>340</v>
      </c>
      <c r="C162" s="32">
        <v>49101</v>
      </c>
      <c r="D162" s="32">
        <v>49190</v>
      </c>
      <c r="E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3" spans="1:6" x14ac:dyDescent="0.35">
      <c r="A163" s="3">
        <v>49061723505</v>
      </c>
      <c r="B163" s="3">
        <v>4</v>
      </c>
      <c r="C163" s="32">
        <v>49102</v>
      </c>
      <c r="D163" s="32">
        <v>49196</v>
      </c>
      <c r="E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4" spans="1:6" x14ac:dyDescent="0.35">
      <c r="A164" s="3">
        <v>53546490102</v>
      </c>
      <c r="B164" s="3">
        <v>11</v>
      </c>
      <c r="C164" s="32">
        <v>49102</v>
      </c>
      <c r="D164" s="32" t="s">
        <v>87</v>
      </c>
      <c r="E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" spans="1:6" x14ac:dyDescent="0.35">
      <c r="A165" s="3">
        <v>87157023141</v>
      </c>
      <c r="B165" s="3">
        <v>40</v>
      </c>
      <c r="C165" s="32">
        <v>49102</v>
      </c>
      <c r="D165" s="32" t="s">
        <v>87</v>
      </c>
      <c r="E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" spans="1:6" x14ac:dyDescent="0.35">
      <c r="A166" s="3">
        <v>90969142315</v>
      </c>
      <c r="B166" s="3">
        <v>41</v>
      </c>
      <c r="C166" s="32">
        <v>49102</v>
      </c>
      <c r="D166" s="32" t="s">
        <v>87</v>
      </c>
      <c r="E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" spans="1:6" x14ac:dyDescent="0.35">
      <c r="A167" s="3">
        <v>56817868837</v>
      </c>
      <c r="B167" s="3">
        <v>41</v>
      </c>
      <c r="C167" s="32">
        <v>49102</v>
      </c>
      <c r="D167" s="32" t="s">
        <v>87</v>
      </c>
      <c r="E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" spans="1:6" x14ac:dyDescent="0.35">
      <c r="A168" s="3">
        <v>99410324373</v>
      </c>
      <c r="B168" s="3">
        <v>66</v>
      </c>
      <c r="C168" s="32">
        <v>49102</v>
      </c>
      <c r="D168" s="32">
        <v>49106</v>
      </c>
      <c r="E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69" spans="1:6" x14ac:dyDescent="0.35">
      <c r="A169" s="3">
        <v>35716934981</v>
      </c>
      <c r="B169" s="3">
        <v>78</v>
      </c>
      <c r="C169" s="32">
        <v>49102</v>
      </c>
      <c r="D169" s="32" t="s">
        <v>87</v>
      </c>
      <c r="E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" spans="1:6" x14ac:dyDescent="0.35">
      <c r="A170" s="3">
        <v>56804120393</v>
      </c>
      <c r="B170" s="3">
        <v>104</v>
      </c>
      <c r="C170" s="32">
        <v>49102</v>
      </c>
      <c r="D170" s="32" t="s">
        <v>87</v>
      </c>
      <c r="E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" spans="1:6" x14ac:dyDescent="0.35">
      <c r="A171" s="3">
        <v>50727772213</v>
      </c>
      <c r="B171" s="3">
        <v>105</v>
      </c>
      <c r="C171" s="32">
        <v>49102</v>
      </c>
      <c r="D171" s="32" t="s">
        <v>87</v>
      </c>
      <c r="E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" spans="1:6" x14ac:dyDescent="0.35">
      <c r="A172" s="3">
        <v>89874883804</v>
      </c>
      <c r="B172" s="3">
        <v>109</v>
      </c>
      <c r="C172" s="32">
        <v>49102</v>
      </c>
      <c r="D172" s="32" t="s">
        <v>87</v>
      </c>
      <c r="E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" spans="1:6" x14ac:dyDescent="0.35">
      <c r="A173" s="3">
        <v>30526619105</v>
      </c>
      <c r="B173" s="3">
        <v>113</v>
      </c>
      <c r="C173" s="32">
        <v>49102</v>
      </c>
      <c r="D173" s="32"/>
      <c r="E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" spans="1:6" x14ac:dyDescent="0.35">
      <c r="A174" s="3">
        <v>39757848097</v>
      </c>
      <c r="B174" s="3">
        <v>138</v>
      </c>
      <c r="C174" s="32">
        <v>49102</v>
      </c>
      <c r="D174" s="32" t="s">
        <v>87</v>
      </c>
      <c r="E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" spans="1:6" x14ac:dyDescent="0.35">
      <c r="A175" s="3">
        <v>39714125450</v>
      </c>
      <c r="B175" s="3">
        <v>141</v>
      </c>
      <c r="C175" s="32">
        <v>49102</v>
      </c>
      <c r="D175" s="32" t="s">
        <v>87</v>
      </c>
      <c r="E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" spans="1:6" x14ac:dyDescent="0.35">
      <c r="A176" s="3">
        <v>40288599322</v>
      </c>
      <c r="B176" s="3">
        <v>143</v>
      </c>
      <c r="C176" s="32">
        <v>49102</v>
      </c>
      <c r="D176" s="32" t="s">
        <v>87</v>
      </c>
      <c r="E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" spans="1:6" x14ac:dyDescent="0.35">
      <c r="A177" s="3">
        <v>30780679395</v>
      </c>
      <c r="B177" s="3">
        <v>164</v>
      </c>
      <c r="C177" s="32">
        <v>49102</v>
      </c>
      <c r="D177" s="32" t="s">
        <v>87</v>
      </c>
      <c r="E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" spans="1:6" x14ac:dyDescent="0.35">
      <c r="A178" s="3">
        <v>51525174613</v>
      </c>
      <c r="B178" s="3">
        <v>172</v>
      </c>
      <c r="C178" s="32">
        <v>49102</v>
      </c>
      <c r="D178" s="32">
        <v>49162</v>
      </c>
      <c r="E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9" spans="1:6" x14ac:dyDescent="0.35">
      <c r="A179" s="3">
        <v>28168515100</v>
      </c>
      <c r="B179" s="3">
        <v>180</v>
      </c>
      <c r="C179" s="32">
        <v>49102</v>
      </c>
      <c r="D179" s="32" t="s">
        <v>87</v>
      </c>
      <c r="E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" spans="1:6" x14ac:dyDescent="0.35">
      <c r="A180" s="3">
        <v>97899299443</v>
      </c>
      <c r="B180" s="3">
        <v>189</v>
      </c>
      <c r="C180" s="32">
        <v>49102</v>
      </c>
      <c r="D180" s="32" t="s">
        <v>87</v>
      </c>
      <c r="E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" spans="1:6" x14ac:dyDescent="0.35">
      <c r="A181" s="3">
        <v>39149675165</v>
      </c>
      <c r="B181" s="3">
        <v>236</v>
      </c>
      <c r="C181" s="32">
        <v>49102</v>
      </c>
      <c r="D181" s="32" t="s">
        <v>87</v>
      </c>
      <c r="E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" spans="1:6" x14ac:dyDescent="0.35">
      <c r="A182" s="3">
        <v>12283340089</v>
      </c>
      <c r="B182" s="3">
        <v>253</v>
      </c>
      <c r="C182" s="32">
        <v>49102</v>
      </c>
      <c r="D182" s="32" t="s">
        <v>87</v>
      </c>
      <c r="E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" spans="1:6" x14ac:dyDescent="0.35">
      <c r="A183" s="3">
        <v>69004613131</v>
      </c>
      <c r="B183" s="3">
        <v>257</v>
      </c>
      <c r="C183" s="32">
        <v>49102</v>
      </c>
      <c r="D183" s="32">
        <v>49180</v>
      </c>
      <c r="E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4" spans="1:6" x14ac:dyDescent="0.35">
      <c r="A184" s="3">
        <v>65566296177</v>
      </c>
      <c r="B184" s="3">
        <v>262</v>
      </c>
      <c r="C184" s="32">
        <v>49102</v>
      </c>
      <c r="D184" s="32" t="s">
        <v>87</v>
      </c>
      <c r="E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" spans="1:6" x14ac:dyDescent="0.35">
      <c r="A185" s="3">
        <v>28733099641</v>
      </c>
      <c r="B185" s="3">
        <v>269</v>
      </c>
      <c r="C185" s="32">
        <v>49102</v>
      </c>
      <c r="D185" s="32" t="s">
        <v>87</v>
      </c>
      <c r="E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" spans="1:6" x14ac:dyDescent="0.35">
      <c r="A186" s="3">
        <v>51978844204</v>
      </c>
      <c r="B186" s="3">
        <v>295</v>
      </c>
      <c r="C186" s="32">
        <v>49102</v>
      </c>
      <c r="D186" s="32" t="s">
        <v>87</v>
      </c>
      <c r="E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" spans="1:6" x14ac:dyDescent="0.35">
      <c r="A187" s="3">
        <v>64103501680</v>
      </c>
      <c r="B187" s="3">
        <v>317</v>
      </c>
      <c r="C187" s="32">
        <v>49102</v>
      </c>
      <c r="D187" s="32">
        <v>49153</v>
      </c>
      <c r="E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88" spans="1:6" x14ac:dyDescent="0.35">
      <c r="A188" s="3">
        <v>60895409923</v>
      </c>
      <c r="B188" s="3">
        <v>332</v>
      </c>
      <c r="C188" s="32">
        <v>49102</v>
      </c>
      <c r="D188" s="32">
        <v>49119</v>
      </c>
      <c r="E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89" spans="1:6" x14ac:dyDescent="0.35">
      <c r="A189" s="3">
        <v>86036356620</v>
      </c>
      <c r="B189" s="3">
        <v>335</v>
      </c>
      <c r="C189" s="32">
        <v>49102</v>
      </c>
      <c r="D189" s="32"/>
      <c r="E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" spans="1:6" x14ac:dyDescent="0.35">
      <c r="A190" s="3">
        <v>42326882307</v>
      </c>
      <c r="B190" s="3">
        <v>4</v>
      </c>
      <c r="C190" s="32">
        <v>49103</v>
      </c>
      <c r="D190" s="32">
        <v>49202</v>
      </c>
      <c r="E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" spans="1:6" x14ac:dyDescent="0.35">
      <c r="A191" s="3">
        <v>52600355957</v>
      </c>
      <c r="B191" s="3">
        <v>8</v>
      </c>
      <c r="C191" s="32">
        <v>49103</v>
      </c>
      <c r="D191" s="32"/>
      <c r="E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" spans="1:6" x14ac:dyDescent="0.35">
      <c r="A192" s="3">
        <v>44408803140</v>
      </c>
      <c r="B192" s="3">
        <v>22</v>
      </c>
      <c r="C192" s="32">
        <v>49103</v>
      </c>
      <c r="D192" s="32" t="s">
        <v>87</v>
      </c>
      <c r="E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" spans="1:6" x14ac:dyDescent="0.35">
      <c r="A193" s="3">
        <v>86997567522</v>
      </c>
      <c r="B193" s="3">
        <v>23</v>
      </c>
      <c r="C193" s="32">
        <v>49103</v>
      </c>
      <c r="D193" s="32" t="s">
        <v>87</v>
      </c>
      <c r="E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" spans="1:6" x14ac:dyDescent="0.35">
      <c r="A194" s="3">
        <v>48962964851</v>
      </c>
      <c r="B194" s="3">
        <v>31</v>
      </c>
      <c r="C194" s="32">
        <v>49103</v>
      </c>
      <c r="D194" s="32" t="s">
        <v>87</v>
      </c>
      <c r="E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" spans="1:6" x14ac:dyDescent="0.35">
      <c r="A195" s="3">
        <v>83760591201</v>
      </c>
      <c r="B195" s="3">
        <v>35</v>
      </c>
      <c r="C195" s="32">
        <v>49103</v>
      </c>
      <c r="D195" s="32"/>
      <c r="E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" spans="1:6" x14ac:dyDescent="0.35">
      <c r="A196" s="3">
        <v>79918640037</v>
      </c>
      <c r="B196" s="3">
        <v>58</v>
      </c>
      <c r="C196" s="32">
        <v>49103</v>
      </c>
      <c r="D196" s="32">
        <v>49128</v>
      </c>
      <c r="E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97" spans="1:6" x14ac:dyDescent="0.35">
      <c r="A197" s="3">
        <v>12017329141</v>
      </c>
      <c r="B197" s="3">
        <v>75</v>
      </c>
      <c r="C197" s="32">
        <v>49103</v>
      </c>
      <c r="D197" s="32"/>
      <c r="E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" spans="1:6" x14ac:dyDescent="0.35">
      <c r="A198" s="3">
        <v>29950026033</v>
      </c>
      <c r="B198" s="3">
        <v>103</v>
      </c>
      <c r="C198" s="32">
        <v>49103</v>
      </c>
      <c r="D198" s="32" t="s">
        <v>87</v>
      </c>
      <c r="E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" spans="1:6" x14ac:dyDescent="0.35">
      <c r="A199" s="3">
        <v>72611004481</v>
      </c>
      <c r="B199" s="3">
        <v>113</v>
      </c>
      <c r="C199" s="32">
        <v>49103</v>
      </c>
      <c r="D199" s="32" t="s">
        <v>87</v>
      </c>
      <c r="E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" spans="1:6" x14ac:dyDescent="0.35">
      <c r="A200" s="3">
        <v>88822766623</v>
      </c>
      <c r="B200" s="3">
        <v>120</v>
      </c>
      <c r="C200" s="32">
        <v>49103</v>
      </c>
      <c r="D200" s="32" t="s">
        <v>87</v>
      </c>
      <c r="E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" spans="1:6" x14ac:dyDescent="0.35">
      <c r="A201" s="3">
        <v>58982870897</v>
      </c>
      <c r="B201" s="3">
        <v>135</v>
      </c>
      <c r="C201" s="32">
        <v>49103</v>
      </c>
      <c r="D201" s="32">
        <v>49219</v>
      </c>
      <c r="E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2" spans="1:6" x14ac:dyDescent="0.35">
      <c r="A202" s="3">
        <v>72595637444</v>
      </c>
      <c r="B202" s="3">
        <v>144</v>
      </c>
      <c r="C202" s="32">
        <v>49103</v>
      </c>
      <c r="D202" s="32"/>
      <c r="E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" spans="1:6" x14ac:dyDescent="0.35">
      <c r="A203" s="3">
        <v>74479231337</v>
      </c>
      <c r="B203" s="3">
        <v>179</v>
      </c>
      <c r="C203" s="32">
        <v>49103</v>
      </c>
      <c r="D203" s="32" t="s">
        <v>87</v>
      </c>
      <c r="E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" spans="1:6" x14ac:dyDescent="0.35">
      <c r="A204" s="3">
        <v>20291302859</v>
      </c>
      <c r="B204" s="3">
        <v>182</v>
      </c>
      <c r="C204" s="32">
        <v>49103</v>
      </c>
      <c r="D204" s="32" t="s">
        <v>87</v>
      </c>
      <c r="E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" spans="1:6" x14ac:dyDescent="0.35">
      <c r="A205" s="3">
        <v>66486145377</v>
      </c>
      <c r="B205" s="3">
        <v>183</v>
      </c>
      <c r="C205" s="32">
        <v>49103</v>
      </c>
      <c r="D205" s="32">
        <v>49212</v>
      </c>
      <c r="E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6" spans="1:6" x14ac:dyDescent="0.35">
      <c r="A206" s="3">
        <v>90500713123</v>
      </c>
      <c r="B206" s="3">
        <v>203</v>
      </c>
      <c r="C206" s="32">
        <v>49103</v>
      </c>
      <c r="D206" s="32" t="s">
        <v>87</v>
      </c>
      <c r="E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" spans="1:6" x14ac:dyDescent="0.35">
      <c r="A207" s="3">
        <v>70635010707</v>
      </c>
      <c r="B207" s="3">
        <v>212</v>
      </c>
      <c r="C207" s="32">
        <v>49103</v>
      </c>
      <c r="D207" s="32" t="s">
        <v>87</v>
      </c>
      <c r="E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" spans="1:6" x14ac:dyDescent="0.35">
      <c r="A208" s="3">
        <v>11397739114</v>
      </c>
      <c r="B208" s="3">
        <v>224</v>
      </c>
      <c r="C208" s="32">
        <v>49103</v>
      </c>
      <c r="D208" s="32">
        <v>49220</v>
      </c>
      <c r="E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9" spans="1:6" x14ac:dyDescent="0.35">
      <c r="A209" s="3">
        <v>52759008905</v>
      </c>
      <c r="B209" s="3">
        <v>227</v>
      </c>
      <c r="C209" s="32">
        <v>49103</v>
      </c>
      <c r="D209" s="32" t="s">
        <v>87</v>
      </c>
      <c r="E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" spans="1:6" x14ac:dyDescent="0.35">
      <c r="A210" s="3">
        <v>37827348854</v>
      </c>
      <c r="B210" s="3">
        <v>282</v>
      </c>
      <c r="C210" s="32">
        <v>49103</v>
      </c>
      <c r="D210" s="32">
        <v>49166</v>
      </c>
      <c r="E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11" spans="1:6" x14ac:dyDescent="0.35">
      <c r="A211" s="3">
        <v>97933346811</v>
      </c>
      <c r="B211" s="3">
        <v>287</v>
      </c>
      <c r="C211" s="32">
        <v>49103</v>
      </c>
      <c r="D211" s="32" t="s">
        <v>87</v>
      </c>
      <c r="E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" spans="1:6" x14ac:dyDescent="0.35">
      <c r="A212" s="3">
        <v>16339287787</v>
      </c>
      <c r="B212" s="3">
        <v>291</v>
      </c>
      <c r="C212" s="32">
        <v>49103</v>
      </c>
      <c r="D212" s="32" t="s">
        <v>87</v>
      </c>
      <c r="E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" spans="1:6" x14ac:dyDescent="0.35">
      <c r="A213" s="3">
        <v>21456037287</v>
      </c>
      <c r="B213" s="3">
        <v>296</v>
      </c>
      <c r="C213" s="32">
        <v>49103</v>
      </c>
      <c r="D213" s="32">
        <v>49220</v>
      </c>
      <c r="E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4" spans="1:6" x14ac:dyDescent="0.35">
      <c r="A214" s="3">
        <v>89396160996</v>
      </c>
      <c r="B214" s="3">
        <v>303</v>
      </c>
      <c r="C214" s="32">
        <v>49103</v>
      </c>
      <c r="D214" s="32" t="s">
        <v>87</v>
      </c>
      <c r="E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" spans="1:6" x14ac:dyDescent="0.35">
      <c r="A215" s="3">
        <v>47739418607</v>
      </c>
      <c r="B215" s="3">
        <v>313</v>
      </c>
      <c r="C215" s="32">
        <v>49103</v>
      </c>
      <c r="D215" s="32" t="s">
        <v>87</v>
      </c>
      <c r="E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" spans="1:6" x14ac:dyDescent="0.35">
      <c r="A216" s="3">
        <v>91831207751</v>
      </c>
      <c r="B216" s="3">
        <v>340</v>
      </c>
      <c r="C216" s="32">
        <v>49103</v>
      </c>
      <c r="D216" s="32"/>
      <c r="E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" spans="1:6" x14ac:dyDescent="0.35">
      <c r="A217" s="3">
        <v>56724322673</v>
      </c>
      <c r="B217" s="3">
        <v>88</v>
      </c>
      <c r="C217" s="32">
        <v>49104</v>
      </c>
      <c r="D217" s="32"/>
      <c r="E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" spans="1:6" x14ac:dyDescent="0.35">
      <c r="A218" s="3">
        <v>57102947971</v>
      </c>
      <c r="B218" s="3">
        <v>99</v>
      </c>
      <c r="C218" s="32">
        <v>49104</v>
      </c>
      <c r="D218" s="32" t="s">
        <v>87</v>
      </c>
      <c r="E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" spans="1:6" x14ac:dyDescent="0.35">
      <c r="A219" s="3">
        <v>64086056554</v>
      </c>
      <c r="B219" s="3">
        <v>109</v>
      </c>
      <c r="C219" s="32">
        <v>49104</v>
      </c>
      <c r="D219" s="32" t="s">
        <v>87</v>
      </c>
      <c r="E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" spans="1:6" x14ac:dyDescent="0.35">
      <c r="A220" s="3">
        <v>90783347673</v>
      </c>
      <c r="B220" s="3">
        <v>117</v>
      </c>
      <c r="C220" s="32">
        <v>49104</v>
      </c>
      <c r="D220" s="32"/>
      <c r="E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" spans="1:6" x14ac:dyDescent="0.35">
      <c r="A221" s="3">
        <v>91398539092</v>
      </c>
      <c r="B221" s="3">
        <v>129</v>
      </c>
      <c r="C221" s="32">
        <v>49104</v>
      </c>
      <c r="D221" s="32" t="s">
        <v>87</v>
      </c>
      <c r="E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" spans="1:6" x14ac:dyDescent="0.35">
      <c r="A222" s="3">
        <v>51401320452</v>
      </c>
      <c r="B222" s="3">
        <v>134</v>
      </c>
      <c r="C222" s="32">
        <v>49104</v>
      </c>
      <c r="D222" s="32"/>
      <c r="E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" spans="1:6" x14ac:dyDescent="0.35">
      <c r="A223" s="3">
        <v>51888848323</v>
      </c>
      <c r="B223" s="3">
        <v>147</v>
      </c>
      <c r="C223" s="32">
        <v>49104</v>
      </c>
      <c r="D223" s="32" t="s">
        <v>87</v>
      </c>
      <c r="E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" spans="1:6" x14ac:dyDescent="0.35">
      <c r="A224" s="3">
        <v>86375490438</v>
      </c>
      <c r="B224" s="3">
        <v>168</v>
      </c>
      <c r="C224" s="32">
        <v>49104</v>
      </c>
      <c r="D224" s="32"/>
      <c r="E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" spans="1:6" x14ac:dyDescent="0.35">
      <c r="A225" s="3">
        <v>97298033943</v>
      </c>
      <c r="B225" s="3">
        <v>185</v>
      </c>
      <c r="C225" s="32">
        <v>49104</v>
      </c>
      <c r="D225" s="32" t="s">
        <v>87</v>
      </c>
      <c r="E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" spans="1:6" x14ac:dyDescent="0.35">
      <c r="A226" s="3">
        <v>32086957056</v>
      </c>
      <c r="B226" s="3">
        <v>208</v>
      </c>
      <c r="C226" s="32">
        <v>49104</v>
      </c>
      <c r="D226" s="32"/>
      <c r="E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" spans="1:6" x14ac:dyDescent="0.35">
      <c r="A227" s="3">
        <v>98609012350</v>
      </c>
      <c r="B227" s="3">
        <v>221</v>
      </c>
      <c r="C227" s="32">
        <v>49104</v>
      </c>
      <c r="D227" s="32">
        <v>49142</v>
      </c>
      <c r="E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28" spans="1:6" x14ac:dyDescent="0.35">
      <c r="A228" s="3">
        <v>60571799869</v>
      </c>
      <c r="B228" s="3">
        <v>265</v>
      </c>
      <c r="C228" s="32">
        <v>49104</v>
      </c>
      <c r="D228" s="32" t="s">
        <v>87</v>
      </c>
      <c r="E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" spans="1:6" x14ac:dyDescent="0.35">
      <c r="A229" s="3">
        <v>97070945189</v>
      </c>
      <c r="B229" s="3">
        <v>290</v>
      </c>
      <c r="C229" s="32">
        <v>49104</v>
      </c>
      <c r="D229" s="32" t="s">
        <v>87</v>
      </c>
      <c r="E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" spans="1:6" x14ac:dyDescent="0.35">
      <c r="A230" s="3">
        <v>53740076255</v>
      </c>
      <c r="B230" s="3">
        <v>295</v>
      </c>
      <c r="C230" s="32">
        <v>49104</v>
      </c>
      <c r="D230" s="32" t="s">
        <v>87</v>
      </c>
      <c r="E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" spans="1:6" x14ac:dyDescent="0.35">
      <c r="A231" s="3">
        <v>81445821967</v>
      </c>
      <c r="B231" s="3">
        <v>295</v>
      </c>
      <c r="C231" s="32">
        <v>49104</v>
      </c>
      <c r="D231" s="32" t="s">
        <v>87</v>
      </c>
      <c r="E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" spans="1:6" x14ac:dyDescent="0.35">
      <c r="A232" s="3">
        <v>50334320844</v>
      </c>
      <c r="B232" s="3">
        <v>309</v>
      </c>
      <c r="C232" s="32">
        <v>49104</v>
      </c>
      <c r="D232" s="32">
        <v>49190</v>
      </c>
      <c r="E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3" spans="1:6" x14ac:dyDescent="0.35">
      <c r="A233" s="3">
        <v>92912775291</v>
      </c>
      <c r="B233" s="3">
        <v>332</v>
      </c>
      <c r="C233" s="32">
        <v>49104</v>
      </c>
      <c r="D233" s="32"/>
      <c r="E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" spans="1:6" x14ac:dyDescent="0.35">
      <c r="A234" s="3">
        <v>42730388755</v>
      </c>
      <c r="B234" s="3">
        <v>336</v>
      </c>
      <c r="C234" s="32">
        <v>49104</v>
      </c>
      <c r="D234" s="32" t="s">
        <v>87</v>
      </c>
      <c r="E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" spans="1:6" x14ac:dyDescent="0.35">
      <c r="A235" s="3">
        <v>48439991630</v>
      </c>
      <c r="B235" s="3">
        <v>22</v>
      </c>
      <c r="C235" s="32">
        <v>49105</v>
      </c>
      <c r="D235" s="32" t="s">
        <v>87</v>
      </c>
      <c r="E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" spans="1:6" x14ac:dyDescent="0.35">
      <c r="A236" s="3">
        <v>62025203193</v>
      </c>
      <c r="B236" s="3">
        <v>33</v>
      </c>
      <c r="C236" s="32">
        <v>49105</v>
      </c>
      <c r="D236" s="32" t="s">
        <v>87</v>
      </c>
      <c r="E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" spans="1:6" x14ac:dyDescent="0.35">
      <c r="A237" s="3">
        <v>35771925753</v>
      </c>
      <c r="B237" s="3">
        <v>35</v>
      </c>
      <c r="C237" s="32">
        <v>49105</v>
      </c>
      <c r="D237" s="32" t="s">
        <v>87</v>
      </c>
      <c r="E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" spans="1:6" x14ac:dyDescent="0.35">
      <c r="A238" s="3">
        <v>33925931179</v>
      </c>
      <c r="B238" s="3">
        <v>42</v>
      </c>
      <c r="C238" s="32">
        <v>49105</v>
      </c>
      <c r="D238" s="32" t="s">
        <v>87</v>
      </c>
      <c r="E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" spans="1:6" x14ac:dyDescent="0.35">
      <c r="A239" s="3">
        <v>54432237912</v>
      </c>
      <c r="B239" s="3">
        <v>75</v>
      </c>
      <c r="C239" s="32">
        <v>49105</v>
      </c>
      <c r="D239" s="32"/>
      <c r="E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" spans="1:6" x14ac:dyDescent="0.35">
      <c r="A240" s="3">
        <v>51946754709</v>
      </c>
      <c r="B240" s="3">
        <v>90</v>
      </c>
      <c r="C240" s="32">
        <v>49105</v>
      </c>
      <c r="D240" s="32">
        <v>49138</v>
      </c>
      <c r="E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41" spans="1:6" x14ac:dyDescent="0.35">
      <c r="A241" s="3">
        <v>97100992462</v>
      </c>
      <c r="B241" s="3">
        <v>97</v>
      </c>
      <c r="C241" s="32">
        <v>49105</v>
      </c>
      <c r="D241" s="32" t="s">
        <v>87</v>
      </c>
      <c r="E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" spans="1:6" x14ac:dyDescent="0.35">
      <c r="A242" s="3">
        <v>45927201699</v>
      </c>
      <c r="B242" s="3">
        <v>129</v>
      </c>
      <c r="C242" s="32">
        <v>49105</v>
      </c>
      <c r="D242" s="32">
        <v>49130</v>
      </c>
      <c r="E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43" spans="1:6" x14ac:dyDescent="0.35">
      <c r="A243" s="3">
        <v>40876987569</v>
      </c>
      <c r="B243" s="3">
        <v>134</v>
      </c>
      <c r="C243" s="32">
        <v>49105</v>
      </c>
      <c r="D243" s="32" t="s">
        <v>87</v>
      </c>
      <c r="E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" spans="1:6" x14ac:dyDescent="0.35">
      <c r="A244" s="3">
        <v>36629457271</v>
      </c>
      <c r="B244" s="3">
        <v>160</v>
      </c>
      <c r="C244" s="32">
        <v>49105</v>
      </c>
      <c r="D244" s="32" t="s">
        <v>87</v>
      </c>
      <c r="E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" spans="1:6" x14ac:dyDescent="0.35">
      <c r="A245" s="3">
        <v>74043418930</v>
      </c>
      <c r="B245" s="3">
        <v>182</v>
      </c>
      <c r="C245" s="32">
        <v>49105</v>
      </c>
      <c r="D245" s="32"/>
      <c r="E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" spans="1:6" x14ac:dyDescent="0.35">
      <c r="A246" s="3">
        <v>82450210670</v>
      </c>
      <c r="B246" s="3">
        <v>200</v>
      </c>
      <c r="C246" s="32">
        <v>49105</v>
      </c>
      <c r="D246" s="32">
        <v>49189</v>
      </c>
      <c r="E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" spans="1:6" x14ac:dyDescent="0.35">
      <c r="A247" s="3">
        <v>91044587618</v>
      </c>
      <c r="B247" s="3">
        <v>224</v>
      </c>
      <c r="C247" s="32">
        <v>49105</v>
      </c>
      <c r="D247" s="32" t="s">
        <v>87</v>
      </c>
      <c r="E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" spans="1:6" x14ac:dyDescent="0.35">
      <c r="A248" s="3">
        <v>72116914058</v>
      </c>
      <c r="B248" s="3">
        <v>229</v>
      </c>
      <c r="C248" s="32">
        <v>49105</v>
      </c>
      <c r="D248" s="32" t="s">
        <v>87</v>
      </c>
      <c r="E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" spans="1:6" x14ac:dyDescent="0.35">
      <c r="A249" s="3">
        <v>55048652983</v>
      </c>
      <c r="B249" s="3">
        <v>237</v>
      </c>
      <c r="C249" s="32">
        <v>49105</v>
      </c>
      <c r="D249" s="32">
        <v>49129</v>
      </c>
      <c r="E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50" spans="1:6" x14ac:dyDescent="0.35">
      <c r="A250" s="3">
        <v>95716476838</v>
      </c>
      <c r="B250" s="3">
        <v>242</v>
      </c>
      <c r="C250" s="32">
        <v>49105</v>
      </c>
      <c r="D250" s="32" t="s">
        <v>87</v>
      </c>
      <c r="E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" spans="1:6" x14ac:dyDescent="0.35">
      <c r="A251" s="3">
        <v>49947679400</v>
      </c>
      <c r="B251" s="3">
        <v>243</v>
      </c>
      <c r="C251" s="32">
        <v>49105</v>
      </c>
      <c r="D251" s="32" t="s">
        <v>87</v>
      </c>
      <c r="E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" spans="1:6" x14ac:dyDescent="0.35">
      <c r="A252" s="3">
        <v>47936913634</v>
      </c>
      <c r="B252" s="3">
        <v>255</v>
      </c>
      <c r="C252" s="32">
        <v>49105</v>
      </c>
      <c r="D252" s="32" t="s">
        <v>87</v>
      </c>
      <c r="E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" spans="1:6" x14ac:dyDescent="0.35">
      <c r="A253" s="3">
        <v>15795772622</v>
      </c>
      <c r="B253" s="3">
        <v>262</v>
      </c>
      <c r="C253" s="32">
        <v>49105</v>
      </c>
      <c r="D253" s="32" t="s">
        <v>87</v>
      </c>
      <c r="E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" spans="1:6" x14ac:dyDescent="0.35">
      <c r="A254" s="3">
        <v>47887251756</v>
      </c>
      <c r="B254" s="3">
        <v>266</v>
      </c>
      <c r="C254" s="32">
        <v>49105</v>
      </c>
      <c r="D254" s="32" t="s">
        <v>87</v>
      </c>
      <c r="E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" spans="1:6" x14ac:dyDescent="0.35">
      <c r="A255" s="3">
        <v>95408740402</v>
      </c>
      <c r="B255" s="3">
        <v>285</v>
      </c>
      <c r="C255" s="32">
        <v>49105</v>
      </c>
      <c r="D255" s="32" t="s">
        <v>87</v>
      </c>
      <c r="E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" spans="1:6" x14ac:dyDescent="0.35">
      <c r="A256" s="3">
        <v>73122446750</v>
      </c>
      <c r="B256" s="3">
        <v>312</v>
      </c>
      <c r="C256" s="32">
        <v>49105</v>
      </c>
      <c r="D256" s="32"/>
      <c r="E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" spans="1:6" x14ac:dyDescent="0.35">
      <c r="A257" s="3">
        <v>16564247599</v>
      </c>
      <c r="B257" s="3">
        <v>10</v>
      </c>
      <c r="C257" s="32">
        <v>49106</v>
      </c>
      <c r="D257" s="32" t="s">
        <v>87</v>
      </c>
      <c r="E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" spans="1:6" x14ac:dyDescent="0.35">
      <c r="A258" s="3">
        <v>79294948101</v>
      </c>
      <c r="B258" s="3">
        <v>26</v>
      </c>
      <c r="C258" s="32">
        <v>49106</v>
      </c>
      <c r="D258" s="32" t="s">
        <v>87</v>
      </c>
      <c r="E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" spans="1:6" x14ac:dyDescent="0.35">
      <c r="A259" s="3">
        <v>57130124164</v>
      </c>
      <c r="B259" s="3">
        <v>34</v>
      </c>
      <c r="C259" s="32">
        <v>49106</v>
      </c>
      <c r="D259" s="32">
        <v>49111</v>
      </c>
      <c r="E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0" spans="1:6" x14ac:dyDescent="0.35">
      <c r="A260" s="3">
        <v>12507516163</v>
      </c>
      <c r="B260" s="3">
        <v>39</v>
      </c>
      <c r="C260" s="32">
        <v>49106</v>
      </c>
      <c r="D260" s="32" t="s">
        <v>87</v>
      </c>
      <c r="E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" spans="1:6" x14ac:dyDescent="0.35">
      <c r="A261" s="3">
        <v>62119762787</v>
      </c>
      <c r="B261" s="3">
        <v>57</v>
      </c>
      <c r="C261" s="32">
        <v>49106</v>
      </c>
      <c r="D261" s="32">
        <v>49123</v>
      </c>
      <c r="E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2" spans="1:6" x14ac:dyDescent="0.35">
      <c r="A262" s="3">
        <v>51929060073</v>
      </c>
      <c r="B262" s="3">
        <v>81</v>
      </c>
      <c r="C262" s="32">
        <v>49106</v>
      </c>
      <c r="D262" s="32" t="s">
        <v>87</v>
      </c>
      <c r="E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" spans="1:6" x14ac:dyDescent="0.35">
      <c r="A263" s="3">
        <v>62302915341</v>
      </c>
      <c r="B263" s="3">
        <v>112</v>
      </c>
      <c r="C263" s="32">
        <v>49106</v>
      </c>
      <c r="D263" s="32" t="s">
        <v>87</v>
      </c>
      <c r="E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" spans="1:6" x14ac:dyDescent="0.35">
      <c r="A264" s="3">
        <v>68532993017</v>
      </c>
      <c r="B264" s="3">
        <v>139</v>
      </c>
      <c r="C264" s="32">
        <v>49106</v>
      </c>
      <c r="D264" s="32" t="s">
        <v>87</v>
      </c>
      <c r="E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" spans="1:6" x14ac:dyDescent="0.35">
      <c r="A265" s="3">
        <v>31808204510</v>
      </c>
      <c r="B265" s="3">
        <v>148</v>
      </c>
      <c r="C265" s="32">
        <v>49106</v>
      </c>
      <c r="D265" s="32"/>
      <c r="E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" spans="1:6" x14ac:dyDescent="0.35">
      <c r="A266" s="3">
        <v>20299178851</v>
      </c>
      <c r="B266" s="3">
        <v>164</v>
      </c>
      <c r="C266" s="32">
        <v>49106</v>
      </c>
      <c r="D266" s="32">
        <v>49111</v>
      </c>
      <c r="E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7" spans="1:6" x14ac:dyDescent="0.35">
      <c r="A267" s="3">
        <v>78475663404</v>
      </c>
      <c r="B267" s="3">
        <v>165</v>
      </c>
      <c r="C267" s="32">
        <v>49106</v>
      </c>
      <c r="D267" s="32" t="s">
        <v>87</v>
      </c>
      <c r="E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" spans="1:6" x14ac:dyDescent="0.35">
      <c r="A268" s="3">
        <v>71650831543</v>
      </c>
      <c r="B268" s="3">
        <v>185</v>
      </c>
      <c r="C268" s="32">
        <v>49106</v>
      </c>
      <c r="D268" s="32">
        <v>49214</v>
      </c>
      <c r="E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9" spans="1:6" x14ac:dyDescent="0.35">
      <c r="A269" s="3">
        <v>25522572738</v>
      </c>
      <c r="B269" s="3">
        <v>187</v>
      </c>
      <c r="C269" s="32">
        <v>49106</v>
      </c>
      <c r="D269" s="32" t="s">
        <v>87</v>
      </c>
      <c r="E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" spans="1:6" x14ac:dyDescent="0.35">
      <c r="A270" s="3">
        <v>64339211163</v>
      </c>
      <c r="B270" s="3">
        <v>198</v>
      </c>
      <c r="C270" s="32">
        <v>49106</v>
      </c>
      <c r="D270" s="32" t="s">
        <v>87</v>
      </c>
      <c r="E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" spans="1:6" x14ac:dyDescent="0.35">
      <c r="A271" s="3">
        <v>54384481287</v>
      </c>
      <c r="B271" s="3">
        <v>228</v>
      </c>
      <c r="C271" s="32">
        <v>49106</v>
      </c>
      <c r="D271" s="32"/>
      <c r="E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" spans="1:6" x14ac:dyDescent="0.35">
      <c r="A272" s="3">
        <v>11875592074</v>
      </c>
      <c r="B272" s="3">
        <v>230</v>
      </c>
      <c r="C272" s="32">
        <v>49106</v>
      </c>
      <c r="D272" s="32" t="s">
        <v>87</v>
      </c>
      <c r="E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" spans="1:6" x14ac:dyDescent="0.35">
      <c r="A273" s="3">
        <v>18696150076</v>
      </c>
      <c r="B273" s="3">
        <v>234</v>
      </c>
      <c r="C273" s="32">
        <v>49106</v>
      </c>
      <c r="D273" s="32" t="s">
        <v>87</v>
      </c>
      <c r="E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" spans="1:6" x14ac:dyDescent="0.35">
      <c r="A274" s="3">
        <v>29987371915</v>
      </c>
      <c r="B274" s="3">
        <v>238</v>
      </c>
      <c r="C274" s="32">
        <v>49106</v>
      </c>
      <c r="D274" s="32" t="s">
        <v>87</v>
      </c>
      <c r="E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" spans="1:6" x14ac:dyDescent="0.35">
      <c r="A275" s="3">
        <v>60107041099</v>
      </c>
      <c r="B275" s="3">
        <v>248</v>
      </c>
      <c r="C275" s="32">
        <v>49106</v>
      </c>
      <c r="D275" s="32" t="s">
        <v>87</v>
      </c>
      <c r="E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" spans="1:6" x14ac:dyDescent="0.35">
      <c r="A276" s="3">
        <v>54901049151</v>
      </c>
      <c r="B276" s="3">
        <v>255</v>
      </c>
      <c r="C276" s="32">
        <v>49106</v>
      </c>
      <c r="D276" s="32" t="s">
        <v>87</v>
      </c>
      <c r="E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" spans="1:6" x14ac:dyDescent="0.35">
      <c r="A277" s="3">
        <v>87504251864</v>
      </c>
      <c r="B277" s="3">
        <v>255</v>
      </c>
      <c r="C277" s="32">
        <v>49106</v>
      </c>
      <c r="D277" s="32" t="s">
        <v>87</v>
      </c>
      <c r="E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" spans="1:6" x14ac:dyDescent="0.35">
      <c r="A278" s="3">
        <v>52744432224</v>
      </c>
      <c r="B278" s="3">
        <v>258</v>
      </c>
      <c r="C278" s="32">
        <v>49106</v>
      </c>
      <c r="D278" s="32">
        <v>49174</v>
      </c>
      <c r="E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79" spans="1:6" x14ac:dyDescent="0.35">
      <c r="A279" s="3">
        <v>23827158582</v>
      </c>
      <c r="B279" s="3">
        <v>264</v>
      </c>
      <c r="C279" s="32">
        <v>49106</v>
      </c>
      <c r="D279" s="32" t="s">
        <v>87</v>
      </c>
      <c r="E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" spans="1:6" x14ac:dyDescent="0.35">
      <c r="A280" s="3">
        <v>42986304076</v>
      </c>
      <c r="B280" s="3">
        <v>264</v>
      </c>
      <c r="C280" s="32">
        <v>49106</v>
      </c>
      <c r="D280" s="32" t="s">
        <v>87</v>
      </c>
      <c r="E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" spans="1:6" x14ac:dyDescent="0.35">
      <c r="A281" s="3">
        <v>50706529576</v>
      </c>
      <c r="B281" s="3">
        <v>266</v>
      </c>
      <c r="C281" s="32">
        <v>49106</v>
      </c>
      <c r="D281" s="32">
        <v>49182</v>
      </c>
      <c r="E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82" spans="1:6" x14ac:dyDescent="0.35">
      <c r="A282" s="3">
        <v>63651035533</v>
      </c>
      <c r="B282" s="3">
        <v>273</v>
      </c>
      <c r="C282" s="32">
        <v>49106</v>
      </c>
      <c r="D282" s="32"/>
      <c r="E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" spans="1:6" x14ac:dyDescent="0.35">
      <c r="A283" s="3">
        <v>21441655286</v>
      </c>
      <c r="B283" s="3">
        <v>274</v>
      </c>
      <c r="C283" s="32">
        <v>49106</v>
      </c>
      <c r="D283" s="32"/>
      <c r="E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" spans="1:6" x14ac:dyDescent="0.35">
      <c r="A284" s="3">
        <v>64793623057</v>
      </c>
      <c r="B284" s="3">
        <v>284</v>
      </c>
      <c r="C284" s="32">
        <v>49106</v>
      </c>
      <c r="D284" s="32" t="s">
        <v>87</v>
      </c>
      <c r="E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" spans="1:6" x14ac:dyDescent="0.35">
      <c r="A285" s="3">
        <v>20444974273</v>
      </c>
      <c r="B285" s="3">
        <v>287</v>
      </c>
      <c r="C285" s="32">
        <v>49106</v>
      </c>
      <c r="D285" s="32" t="s">
        <v>87</v>
      </c>
      <c r="E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" spans="1:6" x14ac:dyDescent="0.35">
      <c r="A286" s="3">
        <v>22396256593</v>
      </c>
      <c r="B286" s="3">
        <v>294</v>
      </c>
      <c r="C286" s="32">
        <v>49106</v>
      </c>
      <c r="D286" s="32" t="s">
        <v>87</v>
      </c>
      <c r="E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" spans="1:6" x14ac:dyDescent="0.35">
      <c r="A287" s="3">
        <v>72670921426</v>
      </c>
      <c r="B287" s="3">
        <v>309</v>
      </c>
      <c r="C287" s="32">
        <v>49106</v>
      </c>
      <c r="D287" s="32" t="s">
        <v>87</v>
      </c>
      <c r="E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" spans="1:6" x14ac:dyDescent="0.35">
      <c r="A288" s="3">
        <v>23130222873</v>
      </c>
      <c r="B288" s="3">
        <v>313</v>
      </c>
      <c r="C288" s="32">
        <v>49106</v>
      </c>
      <c r="D288" s="32">
        <v>49204</v>
      </c>
      <c r="E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9" spans="1:6" x14ac:dyDescent="0.35">
      <c r="A289" s="3">
        <v>89753082790</v>
      </c>
      <c r="B289" s="3">
        <v>324</v>
      </c>
      <c r="C289" s="32">
        <v>49106</v>
      </c>
      <c r="D289" s="32" t="s">
        <v>87</v>
      </c>
      <c r="E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" spans="1:6" x14ac:dyDescent="0.35">
      <c r="A290" s="3">
        <v>13779621960</v>
      </c>
      <c r="B290" s="3">
        <v>327</v>
      </c>
      <c r="C290" s="32">
        <v>49106</v>
      </c>
      <c r="D290" s="32" t="s">
        <v>87</v>
      </c>
      <c r="E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" spans="1:6" x14ac:dyDescent="0.35">
      <c r="A291" s="3">
        <v>74929221210</v>
      </c>
      <c r="B291" s="3">
        <v>331</v>
      </c>
      <c r="C291" s="32">
        <v>49106</v>
      </c>
      <c r="D291" s="32" t="s">
        <v>87</v>
      </c>
      <c r="E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" spans="1:6" x14ac:dyDescent="0.35">
      <c r="A292" s="3">
        <v>71379982756</v>
      </c>
      <c r="B292" s="3">
        <v>333</v>
      </c>
      <c r="C292" s="32">
        <v>49106</v>
      </c>
      <c r="D292" s="32" t="s">
        <v>87</v>
      </c>
      <c r="E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" spans="1:6" x14ac:dyDescent="0.35">
      <c r="A293" s="3">
        <v>54012934457</v>
      </c>
      <c r="B293" s="3">
        <v>334</v>
      </c>
      <c r="C293" s="32">
        <v>49106</v>
      </c>
      <c r="D293" s="32"/>
      <c r="E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" spans="1:6" x14ac:dyDescent="0.35">
      <c r="A294" s="3">
        <v>71248709513</v>
      </c>
      <c r="B294" s="3">
        <v>9</v>
      </c>
      <c r="C294" s="32">
        <v>49107</v>
      </c>
      <c r="D294" s="32">
        <v>49177</v>
      </c>
      <c r="E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95" spans="1:6" x14ac:dyDescent="0.35">
      <c r="A295" s="3">
        <v>80053456136</v>
      </c>
      <c r="B295" s="3">
        <v>19</v>
      </c>
      <c r="C295" s="32">
        <v>49107</v>
      </c>
      <c r="D295" s="32">
        <v>49147</v>
      </c>
      <c r="E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96" spans="1:6" x14ac:dyDescent="0.35">
      <c r="A296" s="3">
        <v>23528450909</v>
      </c>
      <c r="B296" s="3">
        <v>25</v>
      </c>
      <c r="C296" s="32">
        <v>49107</v>
      </c>
      <c r="D296" s="32">
        <v>49193</v>
      </c>
      <c r="E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97" spans="1:6" x14ac:dyDescent="0.35">
      <c r="A297" s="3">
        <v>86370204609</v>
      </c>
      <c r="B297" s="3">
        <v>37</v>
      </c>
      <c r="C297" s="32">
        <v>49107</v>
      </c>
      <c r="D297" s="32" t="s">
        <v>87</v>
      </c>
      <c r="E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" spans="1:6" x14ac:dyDescent="0.35">
      <c r="A298" s="3">
        <v>68809070776</v>
      </c>
      <c r="B298" s="3">
        <v>41</v>
      </c>
      <c r="C298" s="32">
        <v>49107</v>
      </c>
      <c r="D298" s="32" t="s">
        <v>87</v>
      </c>
      <c r="E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" spans="1:6" x14ac:dyDescent="0.35">
      <c r="A299" s="3">
        <v>14724004635</v>
      </c>
      <c r="B299" s="3">
        <v>51</v>
      </c>
      <c r="C299" s="32">
        <v>49107</v>
      </c>
      <c r="D299" s="32" t="s">
        <v>87</v>
      </c>
      <c r="E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" spans="1:6" x14ac:dyDescent="0.35">
      <c r="A300" s="3">
        <v>29627021626</v>
      </c>
      <c r="B300" s="3">
        <v>65</v>
      </c>
      <c r="C300" s="32">
        <v>49107</v>
      </c>
      <c r="D300" s="32" t="s">
        <v>87</v>
      </c>
      <c r="E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" spans="1:6" x14ac:dyDescent="0.35">
      <c r="A301" s="3">
        <v>63003892022</v>
      </c>
      <c r="B301" s="3">
        <v>73</v>
      </c>
      <c r="C301" s="32">
        <v>49107</v>
      </c>
      <c r="D301" s="32" t="s">
        <v>87</v>
      </c>
      <c r="E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" spans="1:6" x14ac:dyDescent="0.35">
      <c r="A302" s="3">
        <v>61187601147</v>
      </c>
      <c r="B302" s="3">
        <v>99</v>
      </c>
      <c r="C302" s="32">
        <v>49107</v>
      </c>
      <c r="D302" s="32" t="s">
        <v>87</v>
      </c>
      <c r="E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" spans="1:6" x14ac:dyDescent="0.35">
      <c r="A303" s="3">
        <v>29289358803</v>
      </c>
      <c r="B303" s="3">
        <v>109</v>
      </c>
      <c r="C303" s="32">
        <v>49107</v>
      </c>
      <c r="D303" s="32" t="s">
        <v>87</v>
      </c>
      <c r="E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" spans="1:6" x14ac:dyDescent="0.35">
      <c r="A304" s="3">
        <v>92879270225</v>
      </c>
      <c r="B304" s="3">
        <v>114</v>
      </c>
      <c r="C304" s="32">
        <v>49107</v>
      </c>
      <c r="D304" s="32" t="s">
        <v>87</v>
      </c>
      <c r="E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" spans="1:6" x14ac:dyDescent="0.35">
      <c r="A305" s="3">
        <v>76887312493</v>
      </c>
      <c r="B305" s="3">
        <v>116</v>
      </c>
      <c r="C305" s="32">
        <v>49107</v>
      </c>
      <c r="D305" s="32" t="s">
        <v>87</v>
      </c>
      <c r="E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" spans="1:6" x14ac:dyDescent="0.35">
      <c r="A306" s="3">
        <v>96374996541</v>
      </c>
      <c r="B306" s="3">
        <v>126</v>
      </c>
      <c r="C306" s="32">
        <v>49107</v>
      </c>
      <c r="D306" s="32" t="s">
        <v>87</v>
      </c>
      <c r="E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" spans="1:6" x14ac:dyDescent="0.35">
      <c r="A307" s="3">
        <v>89295718128</v>
      </c>
      <c r="B307" s="3">
        <v>127</v>
      </c>
      <c r="C307" s="32">
        <v>49107</v>
      </c>
      <c r="D307" s="32" t="s">
        <v>87</v>
      </c>
      <c r="E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" spans="1:6" x14ac:dyDescent="0.35">
      <c r="A308" s="3">
        <v>47668846734</v>
      </c>
      <c r="B308" s="3">
        <v>144</v>
      </c>
      <c r="C308" s="32">
        <v>49107</v>
      </c>
      <c r="D308" s="32"/>
      <c r="E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" spans="1:6" x14ac:dyDescent="0.35">
      <c r="A309" s="3">
        <v>23408438681</v>
      </c>
      <c r="B309" s="3">
        <v>150</v>
      </c>
      <c r="C309" s="32">
        <v>49107</v>
      </c>
      <c r="D309" s="32" t="s">
        <v>87</v>
      </c>
      <c r="E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" spans="1:6" x14ac:dyDescent="0.35">
      <c r="A310" s="3">
        <v>61855864468</v>
      </c>
      <c r="B310" s="3">
        <v>153</v>
      </c>
      <c r="C310" s="32">
        <v>49107</v>
      </c>
      <c r="D310" s="32" t="s">
        <v>87</v>
      </c>
      <c r="E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" spans="1:6" x14ac:dyDescent="0.35">
      <c r="A311" s="3">
        <v>44102314047</v>
      </c>
      <c r="B311" s="3">
        <v>169</v>
      </c>
      <c r="C311" s="32">
        <v>49107</v>
      </c>
      <c r="D311" s="32">
        <v>49169</v>
      </c>
      <c r="E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12" spans="1:6" x14ac:dyDescent="0.35">
      <c r="A312" s="3">
        <v>55212951693</v>
      </c>
      <c r="B312" s="3">
        <v>194</v>
      </c>
      <c r="C312" s="32">
        <v>49107</v>
      </c>
      <c r="D312" s="32" t="s">
        <v>87</v>
      </c>
      <c r="E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" spans="1:6" x14ac:dyDescent="0.35">
      <c r="A313" s="3">
        <v>80604742850</v>
      </c>
      <c r="B313" s="3">
        <v>203</v>
      </c>
      <c r="C313" s="32">
        <v>49107</v>
      </c>
      <c r="D313" s="32"/>
      <c r="E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" spans="1:6" x14ac:dyDescent="0.35">
      <c r="A314" s="3">
        <v>85754299905</v>
      </c>
      <c r="B314" s="3">
        <v>203</v>
      </c>
      <c r="C314" s="32">
        <v>49107</v>
      </c>
      <c r="D314" s="32" t="s">
        <v>87</v>
      </c>
      <c r="E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" spans="1:6" x14ac:dyDescent="0.35">
      <c r="A315" s="3">
        <v>44156032294</v>
      </c>
      <c r="B315" s="3">
        <v>206</v>
      </c>
      <c r="C315" s="32">
        <v>49107</v>
      </c>
      <c r="D315" s="32"/>
      <c r="E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" spans="1:6" x14ac:dyDescent="0.35">
      <c r="A316" s="3">
        <v>37909125073</v>
      </c>
      <c r="B316" s="3">
        <v>223</v>
      </c>
      <c r="C316" s="32">
        <v>49107</v>
      </c>
      <c r="D316" s="32">
        <v>49127</v>
      </c>
      <c r="E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17" spans="1:6" x14ac:dyDescent="0.35">
      <c r="A317" s="3">
        <v>50037942469</v>
      </c>
      <c r="B317" s="3">
        <v>233</v>
      </c>
      <c r="C317" s="32">
        <v>49107</v>
      </c>
      <c r="D317" s="32">
        <v>49176</v>
      </c>
      <c r="E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18" spans="1:6" x14ac:dyDescent="0.35">
      <c r="A318" s="3">
        <v>99319862523</v>
      </c>
      <c r="B318" s="3">
        <v>238</v>
      </c>
      <c r="C318" s="32">
        <v>49107</v>
      </c>
      <c r="D318" s="32">
        <v>49153</v>
      </c>
      <c r="E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19" spans="1:6" x14ac:dyDescent="0.35">
      <c r="A319" s="3">
        <v>36205925517</v>
      </c>
      <c r="B319" s="3">
        <v>244</v>
      </c>
      <c r="C319" s="32">
        <v>49107</v>
      </c>
      <c r="D319" s="32" t="s">
        <v>87</v>
      </c>
      <c r="E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" spans="1:6" x14ac:dyDescent="0.35">
      <c r="A320" s="3">
        <v>90061200054</v>
      </c>
      <c r="B320" s="3">
        <v>272</v>
      </c>
      <c r="C320" s="32">
        <v>49107</v>
      </c>
      <c r="D320" s="32" t="s">
        <v>87</v>
      </c>
      <c r="E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" spans="1:6" x14ac:dyDescent="0.35">
      <c r="A321" s="3">
        <v>46435354222</v>
      </c>
      <c r="B321" s="3">
        <v>293</v>
      </c>
      <c r="C321" s="32">
        <v>49107</v>
      </c>
      <c r="D321" s="32"/>
      <c r="E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" spans="1:6" x14ac:dyDescent="0.35">
      <c r="A322" s="3">
        <v>54735404832</v>
      </c>
      <c r="B322" s="3">
        <v>321</v>
      </c>
      <c r="C322" s="32">
        <v>49107</v>
      </c>
      <c r="D322" s="32" t="s">
        <v>87</v>
      </c>
      <c r="E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" spans="1:6" x14ac:dyDescent="0.35">
      <c r="A323" s="3">
        <v>99434737070</v>
      </c>
      <c r="B323" s="3">
        <v>2</v>
      </c>
      <c r="C323" s="32">
        <v>49108</v>
      </c>
      <c r="D323" s="32" t="s">
        <v>87</v>
      </c>
      <c r="E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" spans="1:6" x14ac:dyDescent="0.35">
      <c r="A324" s="3">
        <v>56199743596</v>
      </c>
      <c r="B324" s="3">
        <v>4</v>
      </c>
      <c r="C324" s="32">
        <v>49108</v>
      </c>
      <c r="D324" s="32"/>
      <c r="E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" spans="1:6" x14ac:dyDescent="0.35">
      <c r="A325" s="3">
        <v>14652678590</v>
      </c>
      <c r="B325" s="3">
        <v>9</v>
      </c>
      <c r="C325" s="32">
        <v>49108</v>
      </c>
      <c r="D325" s="32" t="s">
        <v>87</v>
      </c>
      <c r="E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" spans="1:6" x14ac:dyDescent="0.35">
      <c r="A326" s="3">
        <v>69663441531</v>
      </c>
      <c r="B326" s="3">
        <v>16</v>
      </c>
      <c r="C326" s="32">
        <v>49108</v>
      </c>
      <c r="D326" s="32">
        <v>49146</v>
      </c>
      <c r="E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27" spans="1:6" x14ac:dyDescent="0.35">
      <c r="A327" s="3">
        <v>63241550524</v>
      </c>
      <c r="B327" s="3">
        <v>27</v>
      </c>
      <c r="C327" s="32">
        <v>49108</v>
      </c>
      <c r="D327" s="32">
        <v>49209</v>
      </c>
      <c r="E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28" spans="1:6" x14ac:dyDescent="0.35">
      <c r="A328" s="3">
        <v>12645608327</v>
      </c>
      <c r="B328" s="3">
        <v>29</v>
      </c>
      <c r="C328" s="32">
        <v>49108</v>
      </c>
      <c r="D328" s="32" t="s">
        <v>87</v>
      </c>
      <c r="E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" spans="1:6" x14ac:dyDescent="0.35">
      <c r="A329" s="3">
        <v>74191410219</v>
      </c>
      <c r="B329" s="3">
        <v>39</v>
      </c>
      <c r="C329" s="32">
        <v>49108</v>
      </c>
      <c r="D329" s="32" t="s">
        <v>87</v>
      </c>
      <c r="E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" spans="1:6" x14ac:dyDescent="0.35">
      <c r="A330" s="3">
        <v>79308144066</v>
      </c>
      <c r="B330" s="3">
        <v>42</v>
      </c>
      <c r="C330" s="32">
        <v>49108</v>
      </c>
      <c r="D330" s="32">
        <v>49108</v>
      </c>
      <c r="E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31" spans="1:6" x14ac:dyDescent="0.35">
      <c r="A331" s="3">
        <v>51502044299</v>
      </c>
      <c r="B331" s="3">
        <v>43</v>
      </c>
      <c r="C331" s="32">
        <v>49108</v>
      </c>
      <c r="D331" s="32" t="s">
        <v>87</v>
      </c>
      <c r="E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" spans="1:6" x14ac:dyDescent="0.35">
      <c r="A332" s="3">
        <v>35974939224</v>
      </c>
      <c r="B332" s="3">
        <v>43</v>
      </c>
      <c r="C332" s="32">
        <v>49108</v>
      </c>
      <c r="D332" s="32" t="s">
        <v>87</v>
      </c>
      <c r="E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" spans="1:6" x14ac:dyDescent="0.35">
      <c r="A333" s="3">
        <v>23375685091</v>
      </c>
      <c r="B333" s="3">
        <v>48</v>
      </c>
      <c r="C333" s="32">
        <v>49108</v>
      </c>
      <c r="D333" s="32">
        <v>49110</v>
      </c>
      <c r="E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34" spans="1:6" x14ac:dyDescent="0.35">
      <c r="A334" s="3">
        <v>55798151606</v>
      </c>
      <c r="B334" s="3">
        <v>68</v>
      </c>
      <c r="C334" s="32">
        <v>49108</v>
      </c>
      <c r="D334" s="32">
        <v>49224</v>
      </c>
      <c r="E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5" spans="1:6" x14ac:dyDescent="0.35">
      <c r="A335" s="3">
        <v>23595702622</v>
      </c>
      <c r="B335" s="3">
        <v>71</v>
      </c>
      <c r="C335" s="32">
        <v>49108</v>
      </c>
      <c r="D335" s="32" t="s">
        <v>87</v>
      </c>
      <c r="E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" spans="1:6" x14ac:dyDescent="0.35">
      <c r="A336" s="3">
        <v>31876912454</v>
      </c>
      <c r="B336" s="3">
        <v>74</v>
      </c>
      <c r="C336" s="32">
        <v>49108</v>
      </c>
      <c r="D336" s="32" t="s">
        <v>87</v>
      </c>
      <c r="E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" spans="1:6" x14ac:dyDescent="0.35">
      <c r="A337" s="3">
        <v>23648505513</v>
      </c>
      <c r="B337" s="3">
        <v>77</v>
      </c>
      <c r="C337" s="32">
        <v>49108</v>
      </c>
      <c r="D337" s="32" t="s">
        <v>87</v>
      </c>
      <c r="E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" spans="1:6" x14ac:dyDescent="0.35">
      <c r="A338" s="3">
        <v>56984563106</v>
      </c>
      <c r="B338" s="3">
        <v>104</v>
      </c>
      <c r="C338" s="32">
        <v>49108</v>
      </c>
      <c r="D338" s="32">
        <v>49187</v>
      </c>
      <c r="E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39" spans="1:6" x14ac:dyDescent="0.35">
      <c r="A339" s="3">
        <v>25743018934</v>
      </c>
      <c r="B339" s="3">
        <v>139</v>
      </c>
      <c r="C339" s="32">
        <v>49108</v>
      </c>
      <c r="D339" s="32" t="s">
        <v>87</v>
      </c>
      <c r="E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" spans="1:6" x14ac:dyDescent="0.35">
      <c r="A340" s="3">
        <v>44424098610</v>
      </c>
      <c r="B340" s="3">
        <v>194</v>
      </c>
      <c r="C340" s="32">
        <v>49108</v>
      </c>
      <c r="D340" s="32"/>
      <c r="E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" spans="1:6" x14ac:dyDescent="0.35">
      <c r="A341" s="3">
        <v>79701537110</v>
      </c>
      <c r="B341" s="3">
        <v>210</v>
      </c>
      <c r="C341" s="32">
        <v>49108</v>
      </c>
      <c r="D341" s="32" t="s">
        <v>87</v>
      </c>
      <c r="E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" spans="1:6" x14ac:dyDescent="0.35">
      <c r="A342" s="3">
        <v>62247581713</v>
      </c>
      <c r="B342" s="3">
        <v>211</v>
      </c>
      <c r="C342" s="32">
        <v>49108</v>
      </c>
      <c r="D342" s="32"/>
      <c r="E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" spans="1:6" x14ac:dyDescent="0.35">
      <c r="A343" s="3">
        <v>77528382923</v>
      </c>
      <c r="B343" s="3">
        <v>221</v>
      </c>
      <c r="C343" s="32">
        <v>49108</v>
      </c>
      <c r="D343" s="32" t="s">
        <v>87</v>
      </c>
      <c r="E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" spans="1:6" x14ac:dyDescent="0.35">
      <c r="A344" s="3">
        <v>89674575384</v>
      </c>
      <c r="B344" s="3">
        <v>225</v>
      </c>
      <c r="C344" s="32">
        <v>49108</v>
      </c>
      <c r="D344" s="32">
        <v>49211</v>
      </c>
      <c r="E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45" spans="1:6" x14ac:dyDescent="0.35">
      <c r="A345" s="3">
        <v>74014145400</v>
      </c>
      <c r="B345" s="3">
        <v>256</v>
      </c>
      <c r="C345" s="32">
        <v>49108</v>
      </c>
      <c r="D345" s="32" t="s">
        <v>87</v>
      </c>
      <c r="E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" spans="1:6" x14ac:dyDescent="0.35">
      <c r="A346" s="3">
        <v>13388823949</v>
      </c>
      <c r="B346" s="3">
        <v>266</v>
      </c>
      <c r="C346" s="32">
        <v>49108</v>
      </c>
      <c r="D346" s="32" t="s">
        <v>87</v>
      </c>
      <c r="E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" spans="1:6" x14ac:dyDescent="0.35">
      <c r="A347" s="3">
        <v>97174943406</v>
      </c>
      <c r="B347" s="3">
        <v>280</v>
      </c>
      <c r="C347" s="32">
        <v>49108</v>
      </c>
      <c r="D347" s="32"/>
      <c r="E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" spans="1:6" x14ac:dyDescent="0.35">
      <c r="A348" s="3">
        <v>28210188923</v>
      </c>
      <c r="B348" s="3">
        <v>282</v>
      </c>
      <c r="C348" s="32">
        <v>49108</v>
      </c>
      <c r="D348" s="32">
        <v>49159</v>
      </c>
      <c r="E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49" spans="1:6" x14ac:dyDescent="0.35">
      <c r="A349" s="3">
        <v>49217432457</v>
      </c>
      <c r="B349" s="3">
        <v>287</v>
      </c>
      <c r="C349" s="32">
        <v>49108</v>
      </c>
      <c r="D349" s="32" t="s">
        <v>87</v>
      </c>
      <c r="E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" spans="1:6" x14ac:dyDescent="0.35">
      <c r="A350" s="3">
        <v>64432348990</v>
      </c>
      <c r="B350" s="3">
        <v>290</v>
      </c>
      <c r="C350" s="32">
        <v>49108</v>
      </c>
      <c r="D350" s="32">
        <v>49157</v>
      </c>
      <c r="E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1" spans="1:6" x14ac:dyDescent="0.35">
      <c r="A351" s="3">
        <v>55985341230</v>
      </c>
      <c r="B351" s="3">
        <v>291</v>
      </c>
      <c r="C351" s="32">
        <v>49108</v>
      </c>
      <c r="D351" s="32" t="s">
        <v>87</v>
      </c>
      <c r="E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" spans="1:6" x14ac:dyDescent="0.35">
      <c r="A352" s="3">
        <v>85658632145</v>
      </c>
      <c r="B352" s="3">
        <v>307</v>
      </c>
      <c r="C352" s="32">
        <v>49108</v>
      </c>
      <c r="D352" s="32">
        <v>49173</v>
      </c>
      <c r="E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3" spans="1:6" x14ac:dyDescent="0.35">
      <c r="A353" s="3">
        <v>73542394783</v>
      </c>
      <c r="B353" s="3">
        <v>308</v>
      </c>
      <c r="C353" s="32">
        <v>49108</v>
      </c>
      <c r="D353" s="32" t="s">
        <v>87</v>
      </c>
      <c r="E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" spans="1:6" x14ac:dyDescent="0.35">
      <c r="A354" s="3">
        <v>96618384212</v>
      </c>
      <c r="B354" s="3">
        <v>311</v>
      </c>
      <c r="C354" s="32">
        <v>49108</v>
      </c>
      <c r="D354" s="32">
        <v>49177</v>
      </c>
      <c r="E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5" spans="1:6" x14ac:dyDescent="0.35">
      <c r="A355" s="3">
        <v>95816975387</v>
      </c>
      <c r="B355" s="3">
        <v>327</v>
      </c>
      <c r="C355" s="32">
        <v>49108</v>
      </c>
      <c r="D355" s="32">
        <v>49129</v>
      </c>
      <c r="E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56" spans="1:6" x14ac:dyDescent="0.35">
      <c r="A356" s="3">
        <v>21995673548</v>
      </c>
      <c r="B356" s="3">
        <v>330</v>
      </c>
      <c r="C356" s="32">
        <v>49108</v>
      </c>
      <c r="D356" s="32" t="s">
        <v>87</v>
      </c>
      <c r="E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" spans="1:6" x14ac:dyDescent="0.35">
      <c r="A357" s="3">
        <v>23049620330</v>
      </c>
      <c r="B357" s="3">
        <v>333</v>
      </c>
      <c r="C357" s="32">
        <v>49108</v>
      </c>
      <c r="D357" s="32">
        <v>49158</v>
      </c>
      <c r="E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8" spans="1:6" x14ac:dyDescent="0.35">
      <c r="A358" s="3">
        <v>59177031739</v>
      </c>
      <c r="B358" s="3">
        <v>337</v>
      </c>
      <c r="C358" s="32">
        <v>49108</v>
      </c>
      <c r="D358" s="32" t="s">
        <v>87</v>
      </c>
      <c r="E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" spans="1:6" x14ac:dyDescent="0.35">
      <c r="A359" s="3">
        <v>37463165377</v>
      </c>
      <c r="B359" s="3">
        <v>338</v>
      </c>
      <c r="C359" s="32">
        <v>49108</v>
      </c>
      <c r="D359" s="32" t="s">
        <v>87</v>
      </c>
      <c r="E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" spans="1:6" x14ac:dyDescent="0.35">
      <c r="A360" s="3">
        <v>46977566214</v>
      </c>
      <c r="B360" s="3">
        <v>4</v>
      </c>
      <c r="C360" s="32">
        <v>49109</v>
      </c>
      <c r="D360" s="32" t="s">
        <v>87</v>
      </c>
      <c r="E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" spans="1:6" x14ac:dyDescent="0.35">
      <c r="A361" s="3">
        <v>77214004957</v>
      </c>
      <c r="B361" s="3">
        <v>9</v>
      </c>
      <c r="C361" s="32">
        <v>49109</v>
      </c>
      <c r="D361" s="32">
        <v>49110</v>
      </c>
      <c r="E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62" spans="1:6" x14ac:dyDescent="0.35">
      <c r="A362" s="3">
        <v>56731754552</v>
      </c>
      <c r="B362" s="3">
        <v>10</v>
      </c>
      <c r="C362" s="32">
        <v>49109</v>
      </c>
      <c r="D362" s="32">
        <v>49187</v>
      </c>
      <c r="E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63" spans="1:6" x14ac:dyDescent="0.35">
      <c r="A363" s="3">
        <v>17349583026</v>
      </c>
      <c r="B363" s="3">
        <v>17</v>
      </c>
      <c r="C363" s="32">
        <v>49109</v>
      </c>
      <c r="D363" s="32" t="s">
        <v>87</v>
      </c>
      <c r="E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" spans="1:6" x14ac:dyDescent="0.35">
      <c r="A364" s="3">
        <v>13005534210</v>
      </c>
      <c r="B364" s="3">
        <v>39</v>
      </c>
      <c r="C364" s="32">
        <v>49109</v>
      </c>
      <c r="D364" s="32" t="s">
        <v>87</v>
      </c>
      <c r="E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" spans="1:6" x14ac:dyDescent="0.35">
      <c r="A365" s="3">
        <v>95067966187</v>
      </c>
      <c r="B365" s="3">
        <v>73</v>
      </c>
      <c r="C365" s="32">
        <v>49109</v>
      </c>
      <c r="D365" s="32" t="s">
        <v>87</v>
      </c>
      <c r="E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" spans="1:6" x14ac:dyDescent="0.35">
      <c r="A366" s="3">
        <v>54934918776</v>
      </c>
      <c r="B366" s="3">
        <v>85</v>
      </c>
      <c r="C366" s="32">
        <v>49109</v>
      </c>
      <c r="D366" s="32">
        <v>49155</v>
      </c>
      <c r="E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67" spans="1:6" x14ac:dyDescent="0.35">
      <c r="A367" s="3">
        <v>74265856160</v>
      </c>
      <c r="B367" s="3">
        <v>89</v>
      </c>
      <c r="C367" s="32">
        <v>49109</v>
      </c>
      <c r="D367" s="32" t="s">
        <v>87</v>
      </c>
      <c r="E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" spans="1:6" x14ac:dyDescent="0.35">
      <c r="A368" s="3">
        <v>26800396801</v>
      </c>
      <c r="B368" s="3">
        <v>90</v>
      </c>
      <c r="C368" s="32">
        <v>49109</v>
      </c>
      <c r="D368" s="32" t="s">
        <v>87</v>
      </c>
      <c r="E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" spans="1:6" x14ac:dyDescent="0.35">
      <c r="A369" s="3">
        <v>53254240436</v>
      </c>
      <c r="B369" s="3">
        <v>92</v>
      </c>
      <c r="C369" s="32">
        <v>49109</v>
      </c>
      <c r="D369" s="32" t="s">
        <v>87</v>
      </c>
      <c r="E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" spans="1:6" x14ac:dyDescent="0.35">
      <c r="A370" s="3">
        <v>66482380537</v>
      </c>
      <c r="B370" s="3">
        <v>104</v>
      </c>
      <c r="C370" s="32">
        <v>49109</v>
      </c>
      <c r="D370" s="32">
        <v>49213</v>
      </c>
      <c r="E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1" spans="1:6" x14ac:dyDescent="0.35">
      <c r="A371" s="3">
        <v>41700883500</v>
      </c>
      <c r="B371" s="3">
        <v>119</v>
      </c>
      <c r="C371" s="32">
        <v>49109</v>
      </c>
      <c r="D371" s="32" t="s">
        <v>87</v>
      </c>
      <c r="E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" spans="1:6" x14ac:dyDescent="0.35">
      <c r="A372" s="3">
        <v>43000911141</v>
      </c>
      <c r="B372" s="3">
        <v>123</v>
      </c>
      <c r="C372" s="32">
        <v>49109</v>
      </c>
      <c r="D372" s="32" t="s">
        <v>87</v>
      </c>
      <c r="E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" spans="1:6" x14ac:dyDescent="0.35">
      <c r="A373" s="3">
        <v>71538271240</v>
      </c>
      <c r="B373" s="3">
        <v>126</v>
      </c>
      <c r="C373" s="32">
        <v>49109</v>
      </c>
      <c r="D373" s="32">
        <v>49196</v>
      </c>
      <c r="E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4" spans="1:6" x14ac:dyDescent="0.35">
      <c r="A374" s="3">
        <v>45492605380</v>
      </c>
      <c r="B374" s="3">
        <v>143</v>
      </c>
      <c r="C374" s="32">
        <v>49109</v>
      </c>
      <c r="D374" s="32">
        <v>49155</v>
      </c>
      <c r="E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75" spans="1:6" x14ac:dyDescent="0.35">
      <c r="A375" s="3">
        <v>14510996826</v>
      </c>
      <c r="B375" s="3">
        <v>152</v>
      </c>
      <c r="C375" s="32">
        <v>49109</v>
      </c>
      <c r="D375" s="32"/>
      <c r="E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" spans="1:6" x14ac:dyDescent="0.35">
      <c r="A376" s="3">
        <v>26545423302</v>
      </c>
      <c r="B376" s="3">
        <v>153</v>
      </c>
      <c r="C376" s="32">
        <v>49109</v>
      </c>
      <c r="D376" s="32">
        <v>49214</v>
      </c>
      <c r="E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7" spans="1:6" x14ac:dyDescent="0.35">
      <c r="A377" s="3">
        <v>27940418301</v>
      </c>
      <c r="B377" s="3">
        <v>154</v>
      </c>
      <c r="C377" s="32">
        <v>49109</v>
      </c>
      <c r="D377" s="32" t="s">
        <v>87</v>
      </c>
      <c r="E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" spans="1:6" x14ac:dyDescent="0.35">
      <c r="A378" s="3">
        <v>61881076924</v>
      </c>
      <c r="B378" s="3">
        <v>175</v>
      </c>
      <c r="C378" s="32">
        <v>49109</v>
      </c>
      <c r="D378" s="32" t="s">
        <v>87</v>
      </c>
      <c r="E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" spans="1:6" x14ac:dyDescent="0.35">
      <c r="A379" s="3">
        <v>44981582888</v>
      </c>
      <c r="B379" s="3">
        <v>179</v>
      </c>
      <c r="C379" s="32">
        <v>49109</v>
      </c>
      <c r="D379" s="32" t="s">
        <v>87</v>
      </c>
      <c r="E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" spans="1:6" x14ac:dyDescent="0.35">
      <c r="A380" s="3">
        <v>82336399318</v>
      </c>
      <c r="B380" s="3">
        <v>199</v>
      </c>
      <c r="C380" s="32">
        <v>49109</v>
      </c>
      <c r="D380" s="32" t="s">
        <v>87</v>
      </c>
      <c r="E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" spans="1:6" x14ac:dyDescent="0.35">
      <c r="A381" s="3">
        <v>20571376693</v>
      </c>
      <c r="B381" s="3">
        <v>222</v>
      </c>
      <c r="C381" s="32">
        <v>49109</v>
      </c>
      <c r="D381" s="32"/>
      <c r="E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" spans="1:6" x14ac:dyDescent="0.35">
      <c r="A382" s="3">
        <v>20207529693</v>
      </c>
      <c r="B382" s="3">
        <v>244</v>
      </c>
      <c r="C382" s="32">
        <v>49109</v>
      </c>
      <c r="D382" s="32"/>
      <c r="E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" spans="1:6" x14ac:dyDescent="0.35">
      <c r="A383" s="3">
        <v>24034384134</v>
      </c>
      <c r="B383" s="3">
        <v>251</v>
      </c>
      <c r="C383" s="32">
        <v>49109</v>
      </c>
      <c r="D383" s="32" t="s">
        <v>87</v>
      </c>
      <c r="E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" spans="1:6" x14ac:dyDescent="0.35">
      <c r="A384" s="3">
        <v>80261510585</v>
      </c>
      <c r="B384" s="3">
        <v>269</v>
      </c>
      <c r="C384" s="32">
        <v>49109</v>
      </c>
      <c r="D384" s="32" t="s">
        <v>87</v>
      </c>
      <c r="E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" spans="1:6" x14ac:dyDescent="0.35">
      <c r="A385" s="3">
        <v>83001100691</v>
      </c>
      <c r="B385" s="3">
        <v>277</v>
      </c>
      <c r="C385" s="32">
        <v>49109</v>
      </c>
      <c r="D385" s="32" t="s">
        <v>87</v>
      </c>
      <c r="E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" spans="1:6" x14ac:dyDescent="0.35">
      <c r="A386" s="3">
        <v>55564130029</v>
      </c>
      <c r="B386" s="3">
        <v>296</v>
      </c>
      <c r="C386" s="32">
        <v>49109</v>
      </c>
      <c r="D386" s="32">
        <v>49178</v>
      </c>
      <c r="E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87" spans="1:6" x14ac:dyDescent="0.35">
      <c r="A387" s="3">
        <v>96282111210</v>
      </c>
      <c r="B387" s="3">
        <v>307</v>
      </c>
      <c r="C387" s="32">
        <v>49109</v>
      </c>
      <c r="D387" s="32"/>
      <c r="E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" spans="1:6" x14ac:dyDescent="0.35">
      <c r="A388" s="3">
        <v>25691686090</v>
      </c>
      <c r="B388" s="3">
        <v>331</v>
      </c>
      <c r="C388" s="32">
        <v>49109</v>
      </c>
      <c r="D388" s="32"/>
      <c r="E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" spans="1:6" x14ac:dyDescent="0.35">
      <c r="A389" s="3">
        <v>78909491626</v>
      </c>
      <c r="B389" s="3">
        <v>15</v>
      </c>
      <c r="C389" s="32">
        <v>49110</v>
      </c>
      <c r="D389" s="32">
        <v>49172</v>
      </c>
      <c r="E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90" spans="1:6" x14ac:dyDescent="0.35">
      <c r="A390" s="3">
        <v>91531659593</v>
      </c>
      <c r="B390" s="3">
        <v>16</v>
      </c>
      <c r="C390" s="32">
        <v>49110</v>
      </c>
      <c r="D390" s="32" t="s">
        <v>87</v>
      </c>
      <c r="E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" spans="1:6" x14ac:dyDescent="0.35">
      <c r="A391" s="3">
        <v>68094302684</v>
      </c>
      <c r="B391" s="3">
        <v>18</v>
      </c>
      <c r="C391" s="32">
        <v>49110</v>
      </c>
      <c r="D391" s="32" t="s">
        <v>87</v>
      </c>
      <c r="E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" spans="1:6" x14ac:dyDescent="0.35">
      <c r="A392" s="3">
        <v>79240853865</v>
      </c>
      <c r="B392" s="3">
        <v>20</v>
      </c>
      <c r="C392" s="32">
        <v>49110</v>
      </c>
      <c r="D392" s="32"/>
      <c r="E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" spans="1:6" x14ac:dyDescent="0.35">
      <c r="A393" s="3">
        <v>93041615697</v>
      </c>
      <c r="B393" s="3">
        <v>24</v>
      </c>
      <c r="C393" s="32">
        <v>49110</v>
      </c>
      <c r="D393" s="32" t="s">
        <v>87</v>
      </c>
      <c r="E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" spans="1:6" x14ac:dyDescent="0.35">
      <c r="A394" s="3">
        <v>54983901861</v>
      </c>
      <c r="B394" s="3">
        <v>38</v>
      </c>
      <c r="C394" s="32">
        <v>49110</v>
      </c>
      <c r="D394" s="32" t="s">
        <v>87</v>
      </c>
      <c r="E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" spans="1:6" x14ac:dyDescent="0.35">
      <c r="A395" s="3">
        <v>65583645786</v>
      </c>
      <c r="B395" s="3">
        <v>45</v>
      </c>
      <c r="C395" s="32">
        <v>49110</v>
      </c>
      <c r="D395" s="32" t="s">
        <v>87</v>
      </c>
      <c r="E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" spans="1:6" x14ac:dyDescent="0.35">
      <c r="A396" s="3">
        <v>11332500827</v>
      </c>
      <c r="B396" s="3">
        <v>54</v>
      </c>
      <c r="C396" s="32">
        <v>49110</v>
      </c>
      <c r="D396" s="32">
        <v>49138</v>
      </c>
      <c r="E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97" spans="1:6" x14ac:dyDescent="0.35">
      <c r="A397" s="3">
        <v>91226465058</v>
      </c>
      <c r="B397" s="3">
        <v>54</v>
      </c>
      <c r="C397" s="32">
        <v>49110</v>
      </c>
      <c r="D397" s="32"/>
      <c r="E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" spans="1:6" x14ac:dyDescent="0.35">
      <c r="A398" s="3">
        <v>44492911862</v>
      </c>
      <c r="B398" s="3">
        <v>81</v>
      </c>
      <c r="C398" s="32">
        <v>49110</v>
      </c>
      <c r="D398" s="32" t="s">
        <v>87</v>
      </c>
      <c r="E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" spans="1:6" x14ac:dyDescent="0.35">
      <c r="A399" s="3">
        <v>78938622655</v>
      </c>
      <c r="B399" s="3">
        <v>112</v>
      </c>
      <c r="C399" s="32">
        <v>49110</v>
      </c>
      <c r="D399" s="32" t="s">
        <v>87</v>
      </c>
      <c r="E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" spans="1:6" x14ac:dyDescent="0.35">
      <c r="A400" s="3">
        <v>37215243064</v>
      </c>
      <c r="B400" s="3">
        <v>116</v>
      </c>
      <c r="C400" s="32">
        <v>49110</v>
      </c>
      <c r="D400" s="32" t="s">
        <v>87</v>
      </c>
      <c r="E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" spans="1:6" x14ac:dyDescent="0.35">
      <c r="A401" s="3">
        <v>94831446933</v>
      </c>
      <c r="B401" s="3">
        <v>136</v>
      </c>
      <c r="C401" s="32">
        <v>49110</v>
      </c>
      <c r="D401" s="32" t="s">
        <v>87</v>
      </c>
      <c r="E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" spans="1:6" x14ac:dyDescent="0.35">
      <c r="A402" s="3">
        <v>47836579701</v>
      </c>
      <c r="B402" s="3">
        <v>144</v>
      </c>
      <c r="C402" s="32">
        <v>49110</v>
      </c>
      <c r="D402" s="32" t="s">
        <v>87</v>
      </c>
      <c r="E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" spans="1:6" x14ac:dyDescent="0.35">
      <c r="A403" s="3">
        <v>14631487643</v>
      </c>
      <c r="B403" s="3">
        <v>191</v>
      </c>
      <c r="C403" s="32">
        <v>49110</v>
      </c>
      <c r="D403" s="32" t="s">
        <v>87</v>
      </c>
      <c r="E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" spans="1:6" x14ac:dyDescent="0.35">
      <c r="A404" s="3">
        <v>30470294987</v>
      </c>
      <c r="B404" s="3">
        <v>205</v>
      </c>
      <c r="C404" s="32">
        <v>49110</v>
      </c>
      <c r="D404" s="32" t="s">
        <v>87</v>
      </c>
      <c r="E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" spans="1:6" x14ac:dyDescent="0.35">
      <c r="A405" s="3">
        <v>39045300938</v>
      </c>
      <c r="B405" s="3">
        <v>210</v>
      </c>
      <c r="C405" s="32">
        <v>49110</v>
      </c>
      <c r="D405" s="32" t="s">
        <v>87</v>
      </c>
      <c r="E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" spans="1:6" x14ac:dyDescent="0.35">
      <c r="A406" s="3">
        <v>90043903556</v>
      </c>
      <c r="B406" s="3">
        <v>214</v>
      </c>
      <c r="C406" s="32">
        <v>49110</v>
      </c>
      <c r="D406" s="32">
        <v>49171</v>
      </c>
      <c r="E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07" spans="1:6" x14ac:dyDescent="0.35">
      <c r="A407" s="3">
        <v>46652462939</v>
      </c>
      <c r="B407" s="3">
        <v>217</v>
      </c>
      <c r="C407" s="32">
        <v>49110</v>
      </c>
      <c r="D407" s="32" t="s">
        <v>87</v>
      </c>
      <c r="E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" spans="1:6" x14ac:dyDescent="0.35">
      <c r="A408" s="3">
        <v>76860732303</v>
      </c>
      <c r="B408" s="3">
        <v>223</v>
      </c>
      <c r="C408" s="32">
        <v>49110</v>
      </c>
      <c r="D408" s="32" t="s">
        <v>87</v>
      </c>
      <c r="E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" spans="1:6" x14ac:dyDescent="0.35">
      <c r="A409" s="3">
        <v>31167769367</v>
      </c>
      <c r="B409" s="3">
        <v>223</v>
      </c>
      <c r="C409" s="32">
        <v>49110</v>
      </c>
      <c r="D409" s="32">
        <v>49158</v>
      </c>
      <c r="E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10" spans="1:6" x14ac:dyDescent="0.35">
      <c r="A410" s="3">
        <v>73960456202</v>
      </c>
      <c r="B410" s="3">
        <v>238</v>
      </c>
      <c r="C410" s="32">
        <v>49110</v>
      </c>
      <c r="D410" s="32" t="s">
        <v>87</v>
      </c>
      <c r="E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" spans="1:6" x14ac:dyDescent="0.35">
      <c r="A411" s="3">
        <v>19435287831</v>
      </c>
      <c r="B411" s="3">
        <v>248</v>
      </c>
      <c r="C411" s="32">
        <v>49110</v>
      </c>
      <c r="D411" s="32">
        <v>49181</v>
      </c>
      <c r="E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12" spans="1:6" x14ac:dyDescent="0.35">
      <c r="A412" s="3">
        <v>25637261358</v>
      </c>
      <c r="B412" s="3">
        <v>251</v>
      </c>
      <c r="C412" s="32">
        <v>49110</v>
      </c>
      <c r="D412" s="32" t="s">
        <v>87</v>
      </c>
      <c r="E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" spans="1:6" x14ac:dyDescent="0.35">
      <c r="A413" s="3">
        <v>43367328675</v>
      </c>
      <c r="B413" s="3">
        <v>258</v>
      </c>
      <c r="C413" s="32">
        <v>49110</v>
      </c>
      <c r="D413" s="32" t="s">
        <v>87</v>
      </c>
      <c r="E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" spans="1:6" x14ac:dyDescent="0.35">
      <c r="A414" s="3">
        <v>40528961571</v>
      </c>
      <c r="B414" s="3">
        <v>264</v>
      </c>
      <c r="C414" s="32">
        <v>49110</v>
      </c>
      <c r="D414" s="32" t="s">
        <v>87</v>
      </c>
      <c r="E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" spans="1:6" x14ac:dyDescent="0.35">
      <c r="A415" s="3">
        <v>42698807077</v>
      </c>
      <c r="B415" s="3">
        <v>266</v>
      </c>
      <c r="C415" s="32">
        <v>49110</v>
      </c>
      <c r="D415" s="32">
        <v>49117</v>
      </c>
      <c r="E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16" spans="1:6" x14ac:dyDescent="0.35">
      <c r="A416" s="3">
        <v>45577878463</v>
      </c>
      <c r="B416" s="3">
        <v>281</v>
      </c>
      <c r="C416" s="32">
        <v>49110</v>
      </c>
      <c r="D416" s="32" t="s">
        <v>87</v>
      </c>
      <c r="E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" spans="1:6" x14ac:dyDescent="0.35">
      <c r="A417" s="3">
        <v>88573831822</v>
      </c>
      <c r="B417" s="3">
        <v>288</v>
      </c>
      <c r="C417" s="32">
        <v>49110</v>
      </c>
      <c r="D417" s="32" t="s">
        <v>87</v>
      </c>
      <c r="E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" spans="1:6" x14ac:dyDescent="0.35">
      <c r="A418" s="3">
        <v>76401997823</v>
      </c>
      <c r="B418" s="3">
        <v>294</v>
      </c>
      <c r="C418" s="32">
        <v>49110</v>
      </c>
      <c r="D418" s="32"/>
      <c r="E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" spans="1:6" x14ac:dyDescent="0.35">
      <c r="A419" s="3">
        <v>71800294026</v>
      </c>
      <c r="B419" s="3">
        <v>296</v>
      </c>
      <c r="C419" s="32">
        <v>49110</v>
      </c>
      <c r="D419" s="32" t="s">
        <v>87</v>
      </c>
      <c r="E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" spans="1:6" x14ac:dyDescent="0.35">
      <c r="A420" s="3">
        <v>38232664367</v>
      </c>
      <c r="B420" s="3">
        <v>302</v>
      </c>
      <c r="C420" s="32">
        <v>49110</v>
      </c>
      <c r="D420" s="32" t="s">
        <v>87</v>
      </c>
      <c r="E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" spans="1:6" x14ac:dyDescent="0.35">
      <c r="A421" s="3">
        <v>28245004359</v>
      </c>
      <c r="B421" s="3">
        <v>309</v>
      </c>
      <c r="C421" s="32">
        <v>49110</v>
      </c>
      <c r="D421" s="32">
        <v>49114</v>
      </c>
      <c r="E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22" spans="1:6" x14ac:dyDescent="0.35">
      <c r="A422" s="3">
        <v>94582652645</v>
      </c>
      <c r="B422" s="3">
        <v>312</v>
      </c>
      <c r="C422" s="32">
        <v>49110</v>
      </c>
      <c r="D422" s="32" t="s">
        <v>87</v>
      </c>
      <c r="E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" spans="1:6" x14ac:dyDescent="0.35">
      <c r="A423" s="3">
        <v>90594514381</v>
      </c>
      <c r="B423" s="3">
        <v>329</v>
      </c>
      <c r="C423" s="32">
        <v>49110</v>
      </c>
      <c r="D423" s="32" t="s">
        <v>87</v>
      </c>
      <c r="E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" spans="1:6" x14ac:dyDescent="0.35">
      <c r="A424" s="3">
        <v>42177960497</v>
      </c>
      <c r="B424" s="3">
        <v>0</v>
      </c>
      <c r="C424" s="32">
        <v>49111</v>
      </c>
      <c r="D424" s="32" t="s">
        <v>87</v>
      </c>
      <c r="E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" spans="1:6" x14ac:dyDescent="0.35">
      <c r="A425" s="3">
        <v>90172708129</v>
      </c>
      <c r="B425" s="3">
        <v>1</v>
      </c>
      <c r="C425" s="32">
        <v>49111</v>
      </c>
      <c r="D425" s="32" t="s">
        <v>87</v>
      </c>
      <c r="E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" spans="1:6" x14ac:dyDescent="0.35">
      <c r="A426" s="3">
        <v>82823223669</v>
      </c>
      <c r="B426" s="3">
        <v>14</v>
      </c>
      <c r="C426" s="32">
        <v>49111</v>
      </c>
      <c r="D426" s="32" t="s">
        <v>87</v>
      </c>
      <c r="E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" spans="1:6" x14ac:dyDescent="0.35">
      <c r="A427" s="3">
        <v>91635176733</v>
      </c>
      <c r="B427" s="3">
        <v>17</v>
      </c>
      <c r="C427" s="32">
        <v>49111</v>
      </c>
      <c r="D427" s="32">
        <v>49226</v>
      </c>
      <c r="E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428" spans="1:6" x14ac:dyDescent="0.35">
      <c r="A428" s="3">
        <v>59578824729</v>
      </c>
      <c r="B428" s="3">
        <v>27</v>
      </c>
      <c r="C428" s="32">
        <v>49111</v>
      </c>
      <c r="D428" s="32">
        <v>49114</v>
      </c>
      <c r="E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29" spans="1:6" x14ac:dyDescent="0.35">
      <c r="A429" s="3">
        <v>72844856800</v>
      </c>
      <c r="B429" s="3">
        <v>31</v>
      </c>
      <c r="C429" s="32">
        <v>49111</v>
      </c>
      <c r="D429" s="32" t="s">
        <v>87</v>
      </c>
      <c r="E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" spans="1:6" x14ac:dyDescent="0.35">
      <c r="A430" s="3">
        <v>33374171050</v>
      </c>
      <c r="B430" s="3">
        <v>38</v>
      </c>
      <c r="C430" s="32">
        <v>49111</v>
      </c>
      <c r="D430" s="32" t="s">
        <v>87</v>
      </c>
      <c r="E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" spans="1:6" x14ac:dyDescent="0.35">
      <c r="A431" s="3">
        <v>92609295034</v>
      </c>
      <c r="B431" s="3">
        <v>59</v>
      </c>
      <c r="C431" s="32">
        <v>49111</v>
      </c>
      <c r="D431" s="32" t="s">
        <v>87</v>
      </c>
      <c r="E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" spans="1:6" x14ac:dyDescent="0.35">
      <c r="A432" s="3">
        <v>71637818176</v>
      </c>
      <c r="B432" s="3">
        <v>82</v>
      </c>
      <c r="C432" s="32">
        <v>49111</v>
      </c>
      <c r="D432" s="32">
        <v>49153</v>
      </c>
      <c r="E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33" spans="1:6" x14ac:dyDescent="0.35">
      <c r="A433" s="3">
        <v>55516996293</v>
      </c>
      <c r="B433" s="3">
        <v>85</v>
      </c>
      <c r="C433" s="32">
        <v>49111</v>
      </c>
      <c r="D433" s="32"/>
      <c r="E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" spans="1:6" x14ac:dyDescent="0.35">
      <c r="A434" s="3">
        <v>68357200302</v>
      </c>
      <c r="B434" s="3">
        <v>93</v>
      </c>
      <c r="C434" s="32">
        <v>49111</v>
      </c>
      <c r="D434" s="32"/>
      <c r="E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" spans="1:6" x14ac:dyDescent="0.35">
      <c r="A435" s="3">
        <v>45877587505</v>
      </c>
      <c r="B435" s="3">
        <v>97</v>
      </c>
      <c r="C435" s="32">
        <v>49111</v>
      </c>
      <c r="D435" s="32" t="s">
        <v>87</v>
      </c>
      <c r="E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" spans="1:6" x14ac:dyDescent="0.35">
      <c r="A436" s="3">
        <v>40373828439</v>
      </c>
      <c r="B436" s="3">
        <v>100</v>
      </c>
      <c r="C436" s="32">
        <v>49111</v>
      </c>
      <c r="D436" s="32"/>
      <c r="E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" spans="1:6" x14ac:dyDescent="0.35">
      <c r="A437" s="3">
        <v>43313905300</v>
      </c>
      <c r="B437" s="3">
        <v>101</v>
      </c>
      <c r="C437" s="32">
        <v>49111</v>
      </c>
      <c r="D437" s="32" t="s">
        <v>87</v>
      </c>
      <c r="E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" spans="1:6" x14ac:dyDescent="0.35">
      <c r="A438" s="3">
        <v>30261884560</v>
      </c>
      <c r="B438" s="3">
        <v>112</v>
      </c>
      <c r="C438" s="32">
        <v>49111</v>
      </c>
      <c r="D438" s="32" t="s">
        <v>87</v>
      </c>
      <c r="E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" spans="1:6" x14ac:dyDescent="0.35">
      <c r="A439" s="3">
        <v>28228148696</v>
      </c>
      <c r="B439" s="3">
        <v>117</v>
      </c>
      <c r="C439" s="32">
        <v>49111</v>
      </c>
      <c r="D439" s="32" t="s">
        <v>87</v>
      </c>
      <c r="E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" spans="1:6" x14ac:dyDescent="0.35">
      <c r="A440" s="3">
        <v>70914499125</v>
      </c>
      <c r="B440" s="3">
        <v>123</v>
      </c>
      <c r="C440" s="32">
        <v>49111</v>
      </c>
      <c r="D440" s="32" t="s">
        <v>87</v>
      </c>
      <c r="E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" spans="1:6" x14ac:dyDescent="0.35">
      <c r="A441" s="3">
        <v>13837900546</v>
      </c>
      <c r="B441" s="3">
        <v>145</v>
      </c>
      <c r="C441" s="32">
        <v>49111</v>
      </c>
      <c r="D441" s="32" t="s">
        <v>87</v>
      </c>
      <c r="E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" spans="1:6" x14ac:dyDescent="0.35">
      <c r="A442" s="3">
        <v>67861617550</v>
      </c>
      <c r="B442" s="3">
        <v>163</v>
      </c>
      <c r="C442" s="32">
        <v>49111</v>
      </c>
      <c r="D442" s="32" t="s">
        <v>87</v>
      </c>
      <c r="E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" spans="1:6" x14ac:dyDescent="0.35">
      <c r="A443" s="3">
        <v>20617472291</v>
      </c>
      <c r="B443" s="3">
        <v>170</v>
      </c>
      <c r="C443" s="32">
        <v>49111</v>
      </c>
      <c r="D443" s="32" t="s">
        <v>87</v>
      </c>
      <c r="E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" spans="1:6" x14ac:dyDescent="0.35">
      <c r="A444" s="3">
        <v>98904237154</v>
      </c>
      <c r="B444" s="3">
        <v>171</v>
      </c>
      <c r="C444" s="32">
        <v>49111</v>
      </c>
      <c r="D444" s="32"/>
      <c r="E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" spans="1:6" x14ac:dyDescent="0.35">
      <c r="A445" s="3">
        <v>15147549330</v>
      </c>
      <c r="B445" s="3">
        <v>182</v>
      </c>
      <c r="C445" s="32">
        <v>49111</v>
      </c>
      <c r="D445" s="32" t="s">
        <v>87</v>
      </c>
      <c r="E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" spans="1:6" x14ac:dyDescent="0.35">
      <c r="A446" s="3">
        <v>82677957921</v>
      </c>
      <c r="B446" s="3">
        <v>188</v>
      </c>
      <c r="C446" s="32">
        <v>49111</v>
      </c>
      <c r="D446" s="32">
        <v>49146</v>
      </c>
      <c r="E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47" spans="1:6" x14ac:dyDescent="0.35">
      <c r="A447" s="3">
        <v>48392889827</v>
      </c>
      <c r="B447" s="3">
        <v>211</v>
      </c>
      <c r="C447" s="32">
        <v>49111</v>
      </c>
      <c r="D447" s="32" t="s">
        <v>87</v>
      </c>
      <c r="E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" spans="1:6" x14ac:dyDescent="0.35">
      <c r="A448" s="3">
        <v>60367710787</v>
      </c>
      <c r="B448" s="3">
        <v>216</v>
      </c>
      <c r="C448" s="32">
        <v>49111</v>
      </c>
      <c r="D448" s="32"/>
      <c r="E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" spans="1:6" x14ac:dyDescent="0.35">
      <c r="A449" s="3">
        <v>84564344704</v>
      </c>
      <c r="B449" s="3">
        <v>227</v>
      </c>
      <c r="C449" s="32">
        <v>49111</v>
      </c>
      <c r="D449" s="32"/>
      <c r="E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" spans="1:6" x14ac:dyDescent="0.35">
      <c r="A450" s="3">
        <v>56534338989</v>
      </c>
      <c r="B450" s="3">
        <v>234</v>
      </c>
      <c r="C450" s="32">
        <v>49111</v>
      </c>
      <c r="D450" s="32">
        <v>49216</v>
      </c>
      <c r="E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51" spans="1:6" x14ac:dyDescent="0.35">
      <c r="A451" s="3">
        <v>33895669976</v>
      </c>
      <c r="B451" s="3">
        <v>260</v>
      </c>
      <c r="C451" s="32">
        <v>49111</v>
      </c>
      <c r="D451" s="32">
        <v>49118</v>
      </c>
      <c r="E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52" spans="1:6" x14ac:dyDescent="0.35">
      <c r="A452" s="3">
        <v>99259593938</v>
      </c>
      <c r="B452" s="3">
        <v>283</v>
      </c>
      <c r="C452" s="32">
        <v>49111</v>
      </c>
      <c r="D452" s="32" t="s">
        <v>87</v>
      </c>
      <c r="E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" spans="1:6" x14ac:dyDescent="0.35">
      <c r="A453" s="3">
        <v>14886303279</v>
      </c>
      <c r="B453" s="3">
        <v>288</v>
      </c>
      <c r="C453" s="32">
        <v>49111</v>
      </c>
      <c r="D453" s="32" t="s">
        <v>87</v>
      </c>
      <c r="E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" spans="1:6" x14ac:dyDescent="0.35">
      <c r="A454" s="3">
        <v>25868700504</v>
      </c>
      <c r="B454" s="3">
        <v>289</v>
      </c>
      <c r="C454" s="32">
        <v>49111</v>
      </c>
      <c r="D454" s="32" t="s">
        <v>87</v>
      </c>
      <c r="E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" spans="1:6" x14ac:dyDescent="0.35">
      <c r="A455" s="3">
        <v>96741561672</v>
      </c>
      <c r="B455" s="3">
        <v>293</v>
      </c>
      <c r="C455" s="32">
        <v>49111</v>
      </c>
      <c r="D455" s="32" t="s">
        <v>87</v>
      </c>
      <c r="E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" spans="1:6" x14ac:dyDescent="0.35">
      <c r="A456" s="3">
        <v>76015109882</v>
      </c>
      <c r="B456" s="3">
        <v>302</v>
      </c>
      <c r="C456" s="32">
        <v>49111</v>
      </c>
      <c r="D456" s="32" t="s">
        <v>87</v>
      </c>
      <c r="E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" spans="1:6" x14ac:dyDescent="0.35">
      <c r="A457" s="3">
        <v>32896332847</v>
      </c>
      <c r="B457" s="3">
        <v>314</v>
      </c>
      <c r="C457" s="32">
        <v>49111</v>
      </c>
      <c r="D457" s="32" t="s">
        <v>87</v>
      </c>
      <c r="E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" spans="1:6" x14ac:dyDescent="0.35">
      <c r="A458" s="3">
        <v>22287226570</v>
      </c>
      <c r="B458" s="3">
        <v>319</v>
      </c>
      <c r="C458" s="32">
        <v>49111</v>
      </c>
      <c r="D458" s="32" t="s">
        <v>87</v>
      </c>
      <c r="E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" spans="1:6" x14ac:dyDescent="0.35">
      <c r="A459" s="3">
        <v>55805365270</v>
      </c>
      <c r="B459" s="3">
        <v>336</v>
      </c>
      <c r="C459" s="32">
        <v>49111</v>
      </c>
      <c r="D459" s="32" t="s">
        <v>87</v>
      </c>
      <c r="E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" spans="1:6" x14ac:dyDescent="0.35">
      <c r="A460" s="3">
        <v>29053710284</v>
      </c>
      <c r="B460" s="3">
        <v>2</v>
      </c>
      <c r="C460" s="32">
        <v>49112</v>
      </c>
      <c r="D460" s="32">
        <v>49143</v>
      </c>
      <c r="E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61" spans="1:6" x14ac:dyDescent="0.35">
      <c r="A461" s="3">
        <v>26937759469</v>
      </c>
      <c r="B461" s="3">
        <v>19</v>
      </c>
      <c r="C461" s="32">
        <v>49112</v>
      </c>
      <c r="D461" s="32" t="s">
        <v>87</v>
      </c>
      <c r="E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" spans="1:6" x14ac:dyDescent="0.35">
      <c r="A462" s="3">
        <v>80666822686</v>
      </c>
      <c r="B462" s="3">
        <v>46</v>
      </c>
      <c r="C462" s="32">
        <v>49112</v>
      </c>
      <c r="D462" s="32" t="s">
        <v>87</v>
      </c>
      <c r="E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" spans="1:6" x14ac:dyDescent="0.35">
      <c r="A463" s="3">
        <v>79951220624</v>
      </c>
      <c r="B463" s="3">
        <v>59</v>
      </c>
      <c r="C463" s="32">
        <v>49112</v>
      </c>
      <c r="D463" s="32"/>
      <c r="E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" spans="1:6" x14ac:dyDescent="0.35">
      <c r="A464" s="3">
        <v>79518651477</v>
      </c>
      <c r="B464" s="3">
        <v>68</v>
      </c>
      <c r="C464" s="32">
        <v>49112</v>
      </c>
      <c r="D464" s="32">
        <v>49159</v>
      </c>
      <c r="E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65" spans="1:6" x14ac:dyDescent="0.35">
      <c r="A465" s="3">
        <v>39063667492</v>
      </c>
      <c r="B465" s="3">
        <v>72</v>
      </c>
      <c r="C465" s="32">
        <v>49112</v>
      </c>
      <c r="D465" s="32" t="s">
        <v>87</v>
      </c>
      <c r="E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" spans="1:6" x14ac:dyDescent="0.35">
      <c r="A466" s="3">
        <v>96408294656</v>
      </c>
      <c r="B466" s="3">
        <v>75</v>
      </c>
      <c r="C466" s="32">
        <v>49112</v>
      </c>
      <c r="D466" s="32"/>
      <c r="E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" spans="1:6" x14ac:dyDescent="0.35">
      <c r="A467" s="3">
        <v>26541229834</v>
      </c>
      <c r="B467" s="3">
        <v>78</v>
      </c>
      <c r="C467" s="32">
        <v>49112</v>
      </c>
      <c r="D467" s="32"/>
      <c r="E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" spans="1:6" x14ac:dyDescent="0.35">
      <c r="A468" s="3">
        <v>64342206206</v>
      </c>
      <c r="B468" s="3">
        <v>99</v>
      </c>
      <c r="C468" s="32">
        <v>49112</v>
      </c>
      <c r="D468" s="32" t="s">
        <v>87</v>
      </c>
      <c r="E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" spans="1:6" x14ac:dyDescent="0.35">
      <c r="A469" s="3">
        <v>19457902114</v>
      </c>
      <c r="B469" s="3">
        <v>101</v>
      </c>
      <c r="C469" s="32">
        <v>49112</v>
      </c>
      <c r="D469" s="32" t="s">
        <v>87</v>
      </c>
      <c r="E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" spans="1:6" x14ac:dyDescent="0.35">
      <c r="A470" s="3">
        <v>19709471953</v>
      </c>
      <c r="B470" s="3">
        <v>115</v>
      </c>
      <c r="C470" s="32">
        <v>49112</v>
      </c>
      <c r="D470" s="32">
        <v>49194</v>
      </c>
      <c r="E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1" spans="1:6" x14ac:dyDescent="0.35">
      <c r="A471" s="3">
        <v>95384100713</v>
      </c>
      <c r="B471" s="3">
        <v>117</v>
      </c>
      <c r="C471" s="32">
        <v>49112</v>
      </c>
      <c r="D471" s="32">
        <v>49176</v>
      </c>
      <c r="E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72" spans="1:6" x14ac:dyDescent="0.35">
      <c r="A472" s="3">
        <v>60562837550</v>
      </c>
      <c r="B472" s="3">
        <v>126</v>
      </c>
      <c r="C472" s="32">
        <v>49112</v>
      </c>
      <c r="D472" s="32" t="s">
        <v>87</v>
      </c>
      <c r="E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" spans="1:6" x14ac:dyDescent="0.35">
      <c r="A473" s="3">
        <v>98328218258</v>
      </c>
      <c r="B473" s="3">
        <v>133</v>
      </c>
      <c r="C473" s="32">
        <v>49112</v>
      </c>
      <c r="D473" s="32" t="s">
        <v>87</v>
      </c>
      <c r="E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" spans="1:6" x14ac:dyDescent="0.35">
      <c r="A474" s="3">
        <v>20391415814</v>
      </c>
      <c r="B474" s="3">
        <v>164</v>
      </c>
      <c r="C474" s="32">
        <v>49112</v>
      </c>
      <c r="D474" s="32"/>
      <c r="E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" spans="1:6" x14ac:dyDescent="0.35">
      <c r="A475" s="3">
        <v>57811364146</v>
      </c>
      <c r="B475" s="3">
        <v>166</v>
      </c>
      <c r="C475" s="32">
        <v>49112</v>
      </c>
      <c r="D475" s="32" t="s">
        <v>87</v>
      </c>
      <c r="E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" spans="1:6" x14ac:dyDescent="0.35">
      <c r="A476" s="3">
        <v>15584073123</v>
      </c>
      <c r="B476" s="3">
        <v>167</v>
      </c>
      <c r="C476" s="32">
        <v>49112</v>
      </c>
      <c r="D476" s="32">
        <v>49194</v>
      </c>
      <c r="E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7" spans="1:6" x14ac:dyDescent="0.35">
      <c r="A477" s="3">
        <v>71790035042</v>
      </c>
      <c r="B477" s="3">
        <v>182</v>
      </c>
      <c r="C477" s="32">
        <v>49112</v>
      </c>
      <c r="D477" s="32">
        <v>49197</v>
      </c>
      <c r="E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8" spans="1:6" x14ac:dyDescent="0.35">
      <c r="A478" s="3">
        <v>14496157112</v>
      </c>
      <c r="B478" s="3">
        <v>212</v>
      </c>
      <c r="C478" s="32">
        <v>49112</v>
      </c>
      <c r="D478" s="32" t="s">
        <v>87</v>
      </c>
      <c r="E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" spans="1:6" x14ac:dyDescent="0.35">
      <c r="A479" s="3">
        <v>82375358875</v>
      </c>
      <c r="B479" s="3">
        <v>242</v>
      </c>
      <c r="C479" s="32">
        <v>49112</v>
      </c>
      <c r="D479" s="32"/>
      <c r="E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" spans="1:6" x14ac:dyDescent="0.35">
      <c r="A480" s="3">
        <v>37615059784</v>
      </c>
      <c r="B480" s="3">
        <v>254</v>
      </c>
      <c r="C480" s="32">
        <v>49112</v>
      </c>
      <c r="D480" s="32" t="s">
        <v>87</v>
      </c>
      <c r="E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" spans="1:6" x14ac:dyDescent="0.35">
      <c r="A481" s="3">
        <v>50111933896</v>
      </c>
      <c r="B481" s="3">
        <v>261</v>
      </c>
      <c r="C481" s="32">
        <v>49112</v>
      </c>
      <c r="D481" s="32" t="s">
        <v>87</v>
      </c>
      <c r="E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" spans="1:6" x14ac:dyDescent="0.35">
      <c r="A482" s="3">
        <v>89659478147</v>
      </c>
      <c r="B482" s="3">
        <v>263</v>
      </c>
      <c r="C482" s="32">
        <v>49112</v>
      </c>
      <c r="D482" s="32" t="s">
        <v>87</v>
      </c>
      <c r="E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" spans="1:6" x14ac:dyDescent="0.35">
      <c r="A483" s="3">
        <v>57478701962</v>
      </c>
      <c r="B483" s="3">
        <v>267</v>
      </c>
      <c r="C483" s="32">
        <v>49112</v>
      </c>
      <c r="D483" s="32"/>
      <c r="E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" spans="1:6" x14ac:dyDescent="0.35">
      <c r="A484" s="3">
        <v>33924049001</v>
      </c>
      <c r="B484" s="3">
        <v>287</v>
      </c>
      <c r="C484" s="32">
        <v>49112</v>
      </c>
      <c r="D484" s="32" t="s">
        <v>87</v>
      </c>
      <c r="E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" spans="1:6" x14ac:dyDescent="0.35">
      <c r="A485" s="3">
        <v>79890296508</v>
      </c>
      <c r="B485" s="3">
        <v>318</v>
      </c>
      <c r="C485" s="32">
        <v>49112</v>
      </c>
      <c r="D485" s="32"/>
      <c r="E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" spans="1:6" x14ac:dyDescent="0.35">
      <c r="A486" s="3">
        <v>66637127658</v>
      </c>
      <c r="B486" s="3">
        <v>323</v>
      </c>
      <c r="C486" s="32">
        <v>49112</v>
      </c>
      <c r="D486" s="32" t="s">
        <v>87</v>
      </c>
      <c r="E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" spans="1:6" x14ac:dyDescent="0.35">
      <c r="A487" s="3">
        <v>55744140421</v>
      </c>
      <c r="B487" s="3">
        <v>336</v>
      </c>
      <c r="C487" s="32">
        <v>49112</v>
      </c>
      <c r="D487" s="32">
        <v>49145</v>
      </c>
      <c r="E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88" spans="1:6" x14ac:dyDescent="0.35">
      <c r="A488" s="3">
        <v>32186038644</v>
      </c>
      <c r="B488" s="3">
        <v>338</v>
      </c>
      <c r="C488" s="32">
        <v>49112</v>
      </c>
      <c r="D488" s="32" t="s">
        <v>87</v>
      </c>
      <c r="E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" spans="1:6" x14ac:dyDescent="0.35">
      <c r="A489" s="3">
        <v>51571927888</v>
      </c>
      <c r="B489" s="3">
        <v>6</v>
      </c>
      <c r="C489" s="32">
        <v>49113</v>
      </c>
      <c r="D489" s="32" t="s">
        <v>87</v>
      </c>
      <c r="E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" spans="1:6" x14ac:dyDescent="0.35">
      <c r="A490" s="3">
        <v>54943287429</v>
      </c>
      <c r="B490" s="3">
        <v>6</v>
      </c>
      <c r="C490" s="32">
        <v>49113</v>
      </c>
      <c r="D490" s="32" t="s">
        <v>87</v>
      </c>
      <c r="E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" spans="1:6" x14ac:dyDescent="0.35">
      <c r="A491" s="3">
        <v>26076092469</v>
      </c>
      <c r="B491" s="3">
        <v>12</v>
      </c>
      <c r="C491" s="32">
        <v>49113</v>
      </c>
      <c r="D491" s="32" t="s">
        <v>87</v>
      </c>
      <c r="E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" spans="1:6" x14ac:dyDescent="0.35">
      <c r="A492" s="3">
        <v>27319559740</v>
      </c>
      <c r="B492" s="3">
        <v>25</v>
      </c>
      <c r="C492" s="32">
        <v>49113</v>
      </c>
      <c r="D492" s="32" t="s">
        <v>87</v>
      </c>
      <c r="E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" spans="1:6" x14ac:dyDescent="0.35">
      <c r="A493" s="3">
        <v>53972951404</v>
      </c>
      <c r="B493" s="3">
        <v>32</v>
      </c>
      <c r="C493" s="32">
        <v>49113</v>
      </c>
      <c r="D493" s="32" t="s">
        <v>87</v>
      </c>
      <c r="E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" spans="1:6" x14ac:dyDescent="0.35">
      <c r="A494" s="3">
        <v>59313825847</v>
      </c>
      <c r="B494" s="3">
        <v>34</v>
      </c>
      <c r="C494" s="32">
        <v>49113</v>
      </c>
      <c r="D494" s="32">
        <v>49226</v>
      </c>
      <c r="E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495" spans="1:6" x14ac:dyDescent="0.35">
      <c r="A495" s="3">
        <v>16310796902</v>
      </c>
      <c r="B495" s="3">
        <v>37</v>
      </c>
      <c r="C495" s="32">
        <v>49113</v>
      </c>
      <c r="D495" s="32" t="s">
        <v>87</v>
      </c>
      <c r="E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" spans="1:6" x14ac:dyDescent="0.35">
      <c r="A496" s="3">
        <v>31133701444</v>
      </c>
      <c r="B496" s="3">
        <v>41</v>
      </c>
      <c r="C496" s="32">
        <v>49113</v>
      </c>
      <c r="D496" s="32" t="s">
        <v>87</v>
      </c>
      <c r="E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" spans="1:6" x14ac:dyDescent="0.35">
      <c r="A497" s="3">
        <v>92939296722</v>
      </c>
      <c r="B497" s="3">
        <v>49</v>
      </c>
      <c r="C497" s="32">
        <v>49113</v>
      </c>
      <c r="D497" s="32" t="s">
        <v>87</v>
      </c>
      <c r="E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" spans="1:6" x14ac:dyDescent="0.35">
      <c r="A498" s="3">
        <v>93570663098</v>
      </c>
      <c r="B498" s="3">
        <v>66</v>
      </c>
      <c r="C498" s="32">
        <v>49113</v>
      </c>
      <c r="D498" s="32">
        <v>49202</v>
      </c>
      <c r="E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99" spans="1:6" x14ac:dyDescent="0.35">
      <c r="A499" s="3">
        <v>27012250743</v>
      </c>
      <c r="B499" s="3">
        <v>70</v>
      </c>
      <c r="C499" s="32">
        <v>49113</v>
      </c>
      <c r="D499" s="32" t="s">
        <v>87</v>
      </c>
      <c r="E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" spans="1:6" x14ac:dyDescent="0.35">
      <c r="A500" s="3">
        <v>68579618516</v>
      </c>
      <c r="B500" s="3">
        <v>74</v>
      </c>
      <c r="C500" s="32">
        <v>49113</v>
      </c>
      <c r="D500" s="32" t="s">
        <v>87</v>
      </c>
      <c r="E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" spans="1:6" x14ac:dyDescent="0.35">
      <c r="A501" s="3">
        <v>41270542524</v>
      </c>
      <c r="B501" s="3">
        <v>82</v>
      </c>
      <c r="C501" s="32">
        <v>49113</v>
      </c>
      <c r="D501" s="32">
        <v>49117</v>
      </c>
      <c r="E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02" spans="1:6" x14ac:dyDescent="0.35">
      <c r="A502" s="3">
        <v>57522391455</v>
      </c>
      <c r="B502" s="3">
        <v>111</v>
      </c>
      <c r="C502" s="32">
        <v>49113</v>
      </c>
      <c r="D502" s="32" t="s">
        <v>87</v>
      </c>
      <c r="E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" spans="1:6" x14ac:dyDescent="0.35">
      <c r="A503" s="3">
        <v>19552202403</v>
      </c>
      <c r="B503" s="3">
        <v>115</v>
      </c>
      <c r="C503" s="32">
        <v>49113</v>
      </c>
      <c r="D503" s="32" t="s">
        <v>87</v>
      </c>
      <c r="E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" spans="1:6" x14ac:dyDescent="0.35">
      <c r="A504" s="3">
        <v>54958394059</v>
      </c>
      <c r="B504" s="3">
        <v>119</v>
      </c>
      <c r="C504" s="32">
        <v>49113</v>
      </c>
      <c r="D504" s="32" t="s">
        <v>87</v>
      </c>
      <c r="E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" spans="1:6" x14ac:dyDescent="0.35">
      <c r="A505" s="3">
        <v>47422543382</v>
      </c>
      <c r="B505" s="3">
        <v>136</v>
      </c>
      <c r="C505" s="32">
        <v>49113</v>
      </c>
      <c r="D505" s="32" t="s">
        <v>87</v>
      </c>
      <c r="E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" spans="1:6" x14ac:dyDescent="0.35">
      <c r="A506" s="3">
        <v>17330372728</v>
      </c>
      <c r="B506" s="3">
        <v>139</v>
      </c>
      <c r="C506" s="32">
        <v>49113</v>
      </c>
      <c r="D506" s="32"/>
      <c r="E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" spans="1:6" x14ac:dyDescent="0.35">
      <c r="A507" s="3">
        <v>26364072676</v>
      </c>
      <c r="B507" s="3">
        <v>152</v>
      </c>
      <c r="C507" s="32">
        <v>49113</v>
      </c>
      <c r="D507" s="32">
        <v>49115</v>
      </c>
      <c r="E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08" spans="1:6" x14ac:dyDescent="0.35">
      <c r="A508" s="3">
        <v>97453667148</v>
      </c>
      <c r="B508" s="3">
        <v>160</v>
      </c>
      <c r="C508" s="32">
        <v>49113</v>
      </c>
      <c r="D508" s="32">
        <v>49161</v>
      </c>
      <c r="E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09" spans="1:6" x14ac:dyDescent="0.35">
      <c r="A509" s="3">
        <v>52156239337</v>
      </c>
      <c r="B509" s="3">
        <v>172</v>
      </c>
      <c r="C509" s="32">
        <v>49113</v>
      </c>
      <c r="D509" s="32" t="s">
        <v>87</v>
      </c>
      <c r="E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" spans="1:6" x14ac:dyDescent="0.35">
      <c r="A510" s="3">
        <v>94172228074</v>
      </c>
      <c r="B510" s="3">
        <v>175</v>
      </c>
      <c r="C510" s="32">
        <v>49113</v>
      </c>
      <c r="D510" s="32" t="s">
        <v>87</v>
      </c>
      <c r="E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" spans="1:6" x14ac:dyDescent="0.35">
      <c r="A511" s="3">
        <v>70422717645</v>
      </c>
      <c r="B511" s="3">
        <v>182</v>
      </c>
      <c r="C511" s="32">
        <v>49113</v>
      </c>
      <c r="D511" s="32" t="s">
        <v>87</v>
      </c>
      <c r="E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" spans="1:6" x14ac:dyDescent="0.35">
      <c r="A512" s="3">
        <v>82975611764</v>
      </c>
      <c r="B512" s="3">
        <v>184</v>
      </c>
      <c r="C512" s="32">
        <v>49113</v>
      </c>
      <c r="D512" s="32">
        <v>49175</v>
      </c>
      <c r="E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13" spans="1:6" x14ac:dyDescent="0.35">
      <c r="A513" s="3">
        <v>84420140412</v>
      </c>
      <c r="B513" s="3">
        <v>201</v>
      </c>
      <c r="C513" s="32">
        <v>49113</v>
      </c>
      <c r="D513" s="32" t="s">
        <v>87</v>
      </c>
      <c r="E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" spans="1:6" x14ac:dyDescent="0.35">
      <c r="A514" s="3">
        <v>46686471524</v>
      </c>
      <c r="B514" s="3">
        <v>205</v>
      </c>
      <c r="C514" s="32">
        <v>49113</v>
      </c>
      <c r="D514" s="32" t="s">
        <v>87</v>
      </c>
      <c r="E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" spans="1:6" x14ac:dyDescent="0.35">
      <c r="A515" s="3">
        <v>89788551641</v>
      </c>
      <c r="B515" s="3">
        <v>211</v>
      </c>
      <c r="C515" s="32">
        <v>49113</v>
      </c>
      <c r="D515" s="32">
        <v>49228</v>
      </c>
      <c r="E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16" spans="1:6" x14ac:dyDescent="0.35">
      <c r="A516" s="3">
        <v>55717030250</v>
      </c>
      <c r="B516" s="3">
        <v>242</v>
      </c>
      <c r="C516" s="32">
        <v>49113</v>
      </c>
      <c r="D516" s="32" t="s">
        <v>87</v>
      </c>
      <c r="E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" spans="1:6" x14ac:dyDescent="0.35">
      <c r="A517" s="3">
        <v>18131363500</v>
      </c>
      <c r="B517" s="3">
        <v>253</v>
      </c>
      <c r="C517" s="32">
        <v>49113</v>
      </c>
      <c r="D517" s="32" t="s">
        <v>87</v>
      </c>
      <c r="E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" spans="1:6" x14ac:dyDescent="0.35">
      <c r="A518" s="3">
        <v>32529627066</v>
      </c>
      <c r="B518" s="3">
        <v>315</v>
      </c>
      <c r="C518" s="32">
        <v>49113</v>
      </c>
      <c r="D518" s="32">
        <v>49188</v>
      </c>
      <c r="E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19" spans="1:6" x14ac:dyDescent="0.35">
      <c r="A519" s="3">
        <v>45475720449</v>
      </c>
      <c r="B519" s="3">
        <v>315</v>
      </c>
      <c r="C519" s="32">
        <v>49113</v>
      </c>
      <c r="D519" s="32" t="s">
        <v>87</v>
      </c>
      <c r="E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" spans="1:6" x14ac:dyDescent="0.35">
      <c r="A520" s="3">
        <v>99946487496</v>
      </c>
      <c r="B520" s="3">
        <v>326</v>
      </c>
      <c r="C520" s="32">
        <v>49113</v>
      </c>
      <c r="D520" s="32"/>
      <c r="E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" spans="1:6" x14ac:dyDescent="0.35">
      <c r="A521" s="3">
        <v>81791155637</v>
      </c>
      <c r="B521" s="3">
        <v>334</v>
      </c>
      <c r="C521" s="32">
        <v>49113</v>
      </c>
      <c r="D521" s="32" t="s">
        <v>87</v>
      </c>
      <c r="E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" spans="1:6" x14ac:dyDescent="0.35">
      <c r="A522" s="3">
        <v>32537063791</v>
      </c>
      <c r="B522" s="3">
        <v>339</v>
      </c>
      <c r="C522" s="32">
        <v>49113</v>
      </c>
      <c r="D522" s="32" t="s">
        <v>87</v>
      </c>
      <c r="E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" spans="1:6" x14ac:dyDescent="0.35">
      <c r="A523" s="3">
        <v>96334428002</v>
      </c>
      <c r="B523" s="3">
        <v>26</v>
      </c>
      <c r="C523" s="32">
        <v>49114</v>
      </c>
      <c r="D523" s="32" t="s">
        <v>87</v>
      </c>
      <c r="E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" spans="1:6" x14ac:dyDescent="0.35">
      <c r="A524" s="3">
        <v>52641553572</v>
      </c>
      <c r="B524" s="3">
        <v>30</v>
      </c>
      <c r="C524" s="32">
        <v>49114</v>
      </c>
      <c r="D524" s="32" t="s">
        <v>87</v>
      </c>
      <c r="E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" spans="1:6" x14ac:dyDescent="0.35">
      <c r="A525" s="3">
        <v>18606397329</v>
      </c>
      <c r="B525" s="3">
        <v>39</v>
      </c>
      <c r="C525" s="32">
        <v>49114</v>
      </c>
      <c r="D525" s="32" t="s">
        <v>87</v>
      </c>
      <c r="E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" spans="1:6" x14ac:dyDescent="0.35">
      <c r="A526" s="3">
        <v>65724771311</v>
      </c>
      <c r="B526" s="3">
        <v>56</v>
      </c>
      <c r="C526" s="32">
        <v>49114</v>
      </c>
      <c r="D526" s="32">
        <v>49205</v>
      </c>
      <c r="E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27" spans="1:6" x14ac:dyDescent="0.35">
      <c r="A527" s="3">
        <v>81993628410</v>
      </c>
      <c r="B527" s="3">
        <v>89</v>
      </c>
      <c r="C527" s="32">
        <v>49114</v>
      </c>
      <c r="D527" s="32"/>
      <c r="E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" spans="1:6" x14ac:dyDescent="0.35">
      <c r="A528" s="3">
        <v>72580366602</v>
      </c>
      <c r="B528" s="3">
        <v>91</v>
      </c>
      <c r="C528" s="32">
        <v>49114</v>
      </c>
      <c r="D528" s="32"/>
      <c r="E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" spans="1:6" x14ac:dyDescent="0.35">
      <c r="A529" s="3">
        <v>62731185872</v>
      </c>
      <c r="B529" s="3">
        <v>94</v>
      </c>
      <c r="C529" s="32">
        <v>49114</v>
      </c>
      <c r="D529" s="32">
        <v>49197</v>
      </c>
      <c r="E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30" spans="1:6" x14ac:dyDescent="0.35">
      <c r="A530" s="3">
        <v>17255612685</v>
      </c>
      <c r="B530" s="3">
        <v>95</v>
      </c>
      <c r="C530" s="32">
        <v>49114</v>
      </c>
      <c r="D530" s="32">
        <v>49120</v>
      </c>
      <c r="E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31" spans="1:6" x14ac:dyDescent="0.35">
      <c r="A531" s="3">
        <v>42338124468</v>
      </c>
      <c r="B531" s="3">
        <v>105</v>
      </c>
      <c r="C531" s="32">
        <v>49114</v>
      </c>
      <c r="D531" s="32"/>
      <c r="E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" spans="1:6" x14ac:dyDescent="0.35">
      <c r="A532" s="3">
        <v>56800821837</v>
      </c>
      <c r="B532" s="3">
        <v>106</v>
      </c>
      <c r="C532" s="32">
        <v>49114</v>
      </c>
      <c r="D532" s="32" t="s">
        <v>87</v>
      </c>
      <c r="E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" spans="1:6" x14ac:dyDescent="0.35">
      <c r="A533" s="3">
        <v>51668627840</v>
      </c>
      <c r="B533" s="3">
        <v>107</v>
      </c>
      <c r="C533" s="32">
        <v>49114</v>
      </c>
      <c r="D533" s="32" t="s">
        <v>87</v>
      </c>
      <c r="E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" spans="1:6" x14ac:dyDescent="0.35">
      <c r="A534" s="3">
        <v>11566683365</v>
      </c>
      <c r="B534" s="3">
        <v>113</v>
      </c>
      <c r="C534" s="32">
        <v>49114</v>
      </c>
      <c r="D534" s="32">
        <v>49133</v>
      </c>
      <c r="E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35" spans="1:6" x14ac:dyDescent="0.35">
      <c r="A535" s="3">
        <v>80614638749</v>
      </c>
      <c r="B535" s="3">
        <v>115</v>
      </c>
      <c r="C535" s="32">
        <v>49114</v>
      </c>
      <c r="D535" s="32"/>
      <c r="E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" spans="1:6" x14ac:dyDescent="0.35">
      <c r="A536" s="3">
        <v>47030316689</v>
      </c>
      <c r="B536" s="3">
        <v>128</v>
      </c>
      <c r="C536" s="32">
        <v>49114</v>
      </c>
      <c r="D536" s="32" t="s">
        <v>87</v>
      </c>
      <c r="E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" spans="1:6" x14ac:dyDescent="0.35">
      <c r="A537" s="3">
        <v>40762659999</v>
      </c>
      <c r="B537" s="3">
        <v>136</v>
      </c>
      <c r="C537" s="32">
        <v>49114</v>
      </c>
      <c r="D537" s="32">
        <v>49210</v>
      </c>
      <c r="E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38" spans="1:6" x14ac:dyDescent="0.35">
      <c r="A538" s="3">
        <v>30462124470</v>
      </c>
      <c r="B538" s="3">
        <v>168</v>
      </c>
      <c r="C538" s="32">
        <v>49114</v>
      </c>
      <c r="D538" s="32" t="s">
        <v>87</v>
      </c>
      <c r="E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" spans="1:6" x14ac:dyDescent="0.35">
      <c r="A539" s="3">
        <v>76901500760</v>
      </c>
      <c r="B539" s="3">
        <v>170</v>
      </c>
      <c r="C539" s="32">
        <v>49114</v>
      </c>
      <c r="D539" s="32">
        <v>49183</v>
      </c>
      <c r="E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40" spans="1:6" x14ac:dyDescent="0.35">
      <c r="A540" s="3">
        <v>28981326032</v>
      </c>
      <c r="B540" s="3">
        <v>178</v>
      </c>
      <c r="C540" s="32">
        <v>49114</v>
      </c>
      <c r="D540" s="32">
        <v>49202</v>
      </c>
      <c r="E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41" spans="1:6" x14ac:dyDescent="0.35">
      <c r="A541" s="3">
        <v>36287905745</v>
      </c>
      <c r="B541" s="3">
        <v>202</v>
      </c>
      <c r="C541" s="32">
        <v>49114</v>
      </c>
      <c r="D541" s="32"/>
      <c r="E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" spans="1:6" x14ac:dyDescent="0.35">
      <c r="A542" s="3">
        <v>47569024479</v>
      </c>
      <c r="B542" s="3">
        <v>218</v>
      </c>
      <c r="C542" s="32">
        <v>49114</v>
      </c>
      <c r="D542" s="32" t="s">
        <v>87</v>
      </c>
      <c r="E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" spans="1:6" x14ac:dyDescent="0.35">
      <c r="A543" s="3">
        <v>28959069513</v>
      </c>
      <c r="B543" s="3">
        <v>229</v>
      </c>
      <c r="C543" s="32">
        <v>49114</v>
      </c>
      <c r="D543" s="32">
        <v>49150</v>
      </c>
      <c r="E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44" spans="1:6" x14ac:dyDescent="0.35">
      <c r="A544" s="3">
        <v>18816690077</v>
      </c>
      <c r="B544" s="3">
        <v>235</v>
      </c>
      <c r="C544" s="32">
        <v>49114</v>
      </c>
      <c r="D544" s="32" t="s">
        <v>87</v>
      </c>
      <c r="E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" spans="1:6" x14ac:dyDescent="0.35">
      <c r="A545" s="3">
        <v>38798644576</v>
      </c>
      <c r="B545" s="3">
        <v>246</v>
      </c>
      <c r="C545" s="32">
        <v>49114</v>
      </c>
      <c r="D545" s="32" t="s">
        <v>87</v>
      </c>
      <c r="E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" spans="1:6" x14ac:dyDescent="0.35">
      <c r="A546" s="3">
        <v>53400804477</v>
      </c>
      <c r="B546" s="3">
        <v>266</v>
      </c>
      <c r="C546" s="32">
        <v>49114</v>
      </c>
      <c r="D546" s="32" t="s">
        <v>87</v>
      </c>
      <c r="E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" spans="1:6" x14ac:dyDescent="0.35">
      <c r="A547" s="3">
        <v>36591959460</v>
      </c>
      <c r="B547" s="3">
        <v>267</v>
      </c>
      <c r="C547" s="32">
        <v>49114</v>
      </c>
      <c r="D547" s="32" t="s">
        <v>87</v>
      </c>
      <c r="E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" spans="1:6" x14ac:dyDescent="0.35">
      <c r="A548" s="3">
        <v>88235747253</v>
      </c>
      <c r="B548" s="3">
        <v>283</v>
      </c>
      <c r="C548" s="32">
        <v>49114</v>
      </c>
      <c r="D548" s="32"/>
      <c r="E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" spans="1:6" x14ac:dyDescent="0.35">
      <c r="A549" s="3">
        <v>87658544110</v>
      </c>
      <c r="B549" s="3">
        <v>292</v>
      </c>
      <c r="C549" s="32">
        <v>49114</v>
      </c>
      <c r="D549" s="32" t="s">
        <v>87</v>
      </c>
      <c r="E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" spans="1:6" x14ac:dyDescent="0.35">
      <c r="A550" s="3">
        <v>70866150095</v>
      </c>
      <c r="B550" s="3">
        <v>310</v>
      </c>
      <c r="C550" s="32">
        <v>49114</v>
      </c>
      <c r="D550" s="32" t="s">
        <v>87</v>
      </c>
      <c r="E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" spans="1:6" x14ac:dyDescent="0.35">
      <c r="A551" s="3">
        <v>39947883773</v>
      </c>
      <c r="B551" s="3">
        <v>314</v>
      </c>
      <c r="C551" s="32">
        <v>49114</v>
      </c>
      <c r="D551" s="32"/>
      <c r="E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" spans="1:6" x14ac:dyDescent="0.35">
      <c r="A552" s="3">
        <v>66639587660</v>
      </c>
      <c r="B552" s="3">
        <v>324</v>
      </c>
      <c r="C552" s="32">
        <v>49114</v>
      </c>
      <c r="D552" s="32">
        <v>49212</v>
      </c>
      <c r="E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53" spans="1:6" x14ac:dyDescent="0.35">
      <c r="A553" s="3">
        <v>86085918906</v>
      </c>
      <c r="B553" s="3">
        <v>337</v>
      </c>
      <c r="C553" s="32">
        <v>49114</v>
      </c>
      <c r="D553" s="32">
        <v>49161</v>
      </c>
      <c r="E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54" spans="1:6" x14ac:dyDescent="0.35">
      <c r="A554" s="3">
        <v>85337613206</v>
      </c>
      <c r="B554" s="3">
        <v>7</v>
      </c>
      <c r="C554" s="32">
        <v>49115</v>
      </c>
      <c r="D554" s="32">
        <v>49221</v>
      </c>
      <c r="E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55" spans="1:6" x14ac:dyDescent="0.35">
      <c r="A555" s="3">
        <v>52856554284</v>
      </c>
      <c r="B555" s="3">
        <v>12</v>
      </c>
      <c r="C555" s="32">
        <v>49115</v>
      </c>
      <c r="D555" s="32" t="s">
        <v>87</v>
      </c>
      <c r="E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" spans="1:6" x14ac:dyDescent="0.35">
      <c r="A556" s="3">
        <v>11142816321</v>
      </c>
      <c r="B556" s="3">
        <v>13</v>
      </c>
      <c r="C556" s="32">
        <v>49115</v>
      </c>
      <c r="D556" s="32">
        <v>49121</v>
      </c>
      <c r="E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57" spans="1:6" x14ac:dyDescent="0.35">
      <c r="A557" s="3">
        <v>46323510362</v>
      </c>
      <c r="B557" s="3">
        <v>24</v>
      </c>
      <c r="C557" s="32">
        <v>49115</v>
      </c>
      <c r="D557" s="32" t="s">
        <v>87</v>
      </c>
      <c r="E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" spans="1:6" x14ac:dyDescent="0.35">
      <c r="A558" s="3">
        <v>12071908303</v>
      </c>
      <c r="B558" s="3">
        <v>28</v>
      </c>
      <c r="C558" s="32">
        <v>49115</v>
      </c>
      <c r="D558" s="32">
        <v>49172</v>
      </c>
      <c r="E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59" spans="1:6" x14ac:dyDescent="0.35">
      <c r="A559" s="3">
        <v>78991489127</v>
      </c>
      <c r="B559" s="3">
        <v>38</v>
      </c>
      <c r="C559" s="32">
        <v>49115</v>
      </c>
      <c r="D559" s="32"/>
      <c r="E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" spans="1:6" x14ac:dyDescent="0.35">
      <c r="A560" s="3">
        <v>34121521151</v>
      </c>
      <c r="B560" s="3">
        <v>47</v>
      </c>
      <c r="C560" s="32">
        <v>49115</v>
      </c>
      <c r="D560" s="32" t="s">
        <v>87</v>
      </c>
      <c r="E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" spans="1:6" x14ac:dyDescent="0.35">
      <c r="A561" s="3">
        <v>64584641256</v>
      </c>
      <c r="B561" s="3">
        <v>48</v>
      </c>
      <c r="C561" s="32">
        <v>49115</v>
      </c>
      <c r="D561" s="32">
        <v>49136</v>
      </c>
      <c r="E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62" spans="1:6" x14ac:dyDescent="0.35">
      <c r="A562" s="3">
        <v>30774026730</v>
      </c>
      <c r="B562" s="3">
        <v>51</v>
      </c>
      <c r="C562" s="32">
        <v>49115</v>
      </c>
      <c r="D562" s="32">
        <v>49131</v>
      </c>
      <c r="E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63" spans="1:6" x14ac:dyDescent="0.35">
      <c r="A563" s="3">
        <v>31351325437</v>
      </c>
      <c r="B563" s="3">
        <v>77</v>
      </c>
      <c r="C563" s="32">
        <v>49115</v>
      </c>
      <c r="D563" s="32" t="s">
        <v>87</v>
      </c>
      <c r="E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" spans="1:6" x14ac:dyDescent="0.35">
      <c r="A564" s="3">
        <v>49421511530</v>
      </c>
      <c r="B564" s="3">
        <v>82</v>
      </c>
      <c r="C564" s="32">
        <v>49115</v>
      </c>
      <c r="D564" s="32">
        <v>49193</v>
      </c>
      <c r="E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65" spans="1:6" x14ac:dyDescent="0.35">
      <c r="A565" s="3">
        <v>64125500138</v>
      </c>
      <c r="B565" s="3">
        <v>89</v>
      </c>
      <c r="C565" s="32">
        <v>49115</v>
      </c>
      <c r="D565" s="32">
        <v>49121</v>
      </c>
      <c r="E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66" spans="1:6" x14ac:dyDescent="0.35">
      <c r="A566" s="3">
        <v>16914923484</v>
      </c>
      <c r="B566" s="3">
        <v>97</v>
      </c>
      <c r="C566" s="32">
        <v>49115</v>
      </c>
      <c r="D566" s="32"/>
      <c r="E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" spans="1:6" x14ac:dyDescent="0.35">
      <c r="A567" s="3">
        <v>75911092481</v>
      </c>
      <c r="B567" s="3">
        <v>102</v>
      </c>
      <c r="C567" s="32">
        <v>49115</v>
      </c>
      <c r="D567" s="32" t="s">
        <v>87</v>
      </c>
      <c r="E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" spans="1:6" x14ac:dyDescent="0.35">
      <c r="A568" s="3">
        <v>27684302130</v>
      </c>
      <c r="B568" s="3">
        <v>116</v>
      </c>
      <c r="C568" s="32">
        <v>49115</v>
      </c>
      <c r="D568" s="32" t="s">
        <v>87</v>
      </c>
      <c r="E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" spans="1:6" x14ac:dyDescent="0.35">
      <c r="A569" s="3">
        <v>68634812540</v>
      </c>
      <c r="B569" s="3">
        <v>141</v>
      </c>
      <c r="C569" s="32">
        <v>49115</v>
      </c>
      <c r="D569" s="32" t="s">
        <v>87</v>
      </c>
      <c r="E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" spans="1:6" x14ac:dyDescent="0.35">
      <c r="A570" s="3">
        <v>72694318739</v>
      </c>
      <c r="B570" s="3">
        <v>153</v>
      </c>
      <c r="C570" s="32">
        <v>49115</v>
      </c>
      <c r="D570" s="32" t="s">
        <v>87</v>
      </c>
      <c r="E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" spans="1:6" x14ac:dyDescent="0.35">
      <c r="A571" s="3">
        <v>62212263512</v>
      </c>
      <c r="B571" s="3">
        <v>153</v>
      </c>
      <c r="C571" s="32">
        <v>49115</v>
      </c>
      <c r="D571" s="32" t="s">
        <v>87</v>
      </c>
      <c r="E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" spans="1:6" x14ac:dyDescent="0.35">
      <c r="A572" s="3">
        <v>95249480560</v>
      </c>
      <c r="B572" s="3">
        <v>159</v>
      </c>
      <c r="C572" s="32">
        <v>49115</v>
      </c>
      <c r="D572" s="32">
        <v>49129</v>
      </c>
      <c r="E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73" spans="1:6" x14ac:dyDescent="0.35">
      <c r="A573" s="3">
        <v>89613149274</v>
      </c>
      <c r="B573" s="3">
        <v>163</v>
      </c>
      <c r="C573" s="32">
        <v>49115</v>
      </c>
      <c r="D573" s="32"/>
      <c r="E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" spans="1:6" x14ac:dyDescent="0.35">
      <c r="A574" s="3">
        <v>49408922679</v>
      </c>
      <c r="B574" s="3">
        <v>170</v>
      </c>
      <c r="C574" s="32">
        <v>49115</v>
      </c>
      <c r="D574" s="32" t="s">
        <v>87</v>
      </c>
      <c r="E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" spans="1:6" x14ac:dyDescent="0.35">
      <c r="A575" s="3">
        <v>99506373294</v>
      </c>
      <c r="B575" s="3">
        <v>174</v>
      </c>
      <c r="C575" s="32">
        <v>49115</v>
      </c>
      <c r="D575" s="32" t="s">
        <v>87</v>
      </c>
      <c r="E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" spans="1:6" x14ac:dyDescent="0.35">
      <c r="A576" s="3">
        <v>71520203627</v>
      </c>
      <c r="B576" s="3">
        <v>177</v>
      </c>
      <c r="C576" s="32">
        <v>49115</v>
      </c>
      <c r="D576" s="32">
        <v>49199</v>
      </c>
      <c r="E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77" spans="1:6" x14ac:dyDescent="0.35">
      <c r="A577" s="3">
        <v>92293197080</v>
      </c>
      <c r="B577" s="3">
        <v>182</v>
      </c>
      <c r="C577" s="32">
        <v>49115</v>
      </c>
      <c r="D577" s="32" t="s">
        <v>87</v>
      </c>
      <c r="E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" spans="1:6" x14ac:dyDescent="0.35">
      <c r="A578" s="3">
        <v>21604756572</v>
      </c>
      <c r="B578" s="3">
        <v>188</v>
      </c>
      <c r="C578" s="32">
        <v>49115</v>
      </c>
      <c r="D578" s="32" t="s">
        <v>87</v>
      </c>
      <c r="E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" spans="1:6" x14ac:dyDescent="0.35">
      <c r="A579" s="3">
        <v>82512947308</v>
      </c>
      <c r="B579" s="3">
        <v>195</v>
      </c>
      <c r="C579" s="32">
        <v>49115</v>
      </c>
      <c r="D579" s="32">
        <v>49219</v>
      </c>
      <c r="E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80" spans="1:6" x14ac:dyDescent="0.35">
      <c r="A580" s="3">
        <v>67726237221</v>
      </c>
      <c r="B580" s="3">
        <v>202</v>
      </c>
      <c r="C580" s="32">
        <v>49115</v>
      </c>
      <c r="D580" s="32" t="s">
        <v>87</v>
      </c>
      <c r="E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" spans="1:6" x14ac:dyDescent="0.35">
      <c r="A581" s="3">
        <v>11420464250</v>
      </c>
      <c r="B581" s="3">
        <v>216</v>
      </c>
      <c r="C581" s="32">
        <v>49115</v>
      </c>
      <c r="D581" s="32">
        <v>49121</v>
      </c>
      <c r="E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82" spans="1:6" x14ac:dyDescent="0.35">
      <c r="A582" s="3">
        <v>78737983933</v>
      </c>
      <c r="B582" s="3">
        <v>222</v>
      </c>
      <c r="C582" s="32">
        <v>49115</v>
      </c>
      <c r="D582" s="32"/>
      <c r="E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" spans="1:6" x14ac:dyDescent="0.35">
      <c r="A583" s="3">
        <v>99768877460</v>
      </c>
      <c r="B583" s="3">
        <v>238</v>
      </c>
      <c r="C583" s="32">
        <v>49115</v>
      </c>
      <c r="D583" s="32" t="s">
        <v>87</v>
      </c>
      <c r="E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" spans="1:6" x14ac:dyDescent="0.35">
      <c r="A584" s="3">
        <v>71718883524</v>
      </c>
      <c r="B584" s="3">
        <v>251</v>
      </c>
      <c r="C584" s="32">
        <v>49115</v>
      </c>
      <c r="D584" s="32" t="s">
        <v>87</v>
      </c>
      <c r="E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" spans="1:6" x14ac:dyDescent="0.35">
      <c r="A585" s="3">
        <v>89989440154</v>
      </c>
      <c r="B585" s="3">
        <v>287</v>
      </c>
      <c r="C585" s="32">
        <v>49115</v>
      </c>
      <c r="D585" s="32" t="s">
        <v>87</v>
      </c>
      <c r="E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" spans="1:6" x14ac:dyDescent="0.35">
      <c r="A586" s="3">
        <v>67743901880</v>
      </c>
      <c r="B586" s="3">
        <v>293</v>
      </c>
      <c r="C586" s="32">
        <v>49115</v>
      </c>
      <c r="D586" s="32">
        <v>49226</v>
      </c>
      <c r="E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87" spans="1:6" x14ac:dyDescent="0.35">
      <c r="A587" s="3">
        <v>12861010424</v>
      </c>
      <c r="B587" s="3">
        <v>297</v>
      </c>
      <c r="C587" s="32">
        <v>49115</v>
      </c>
      <c r="D587" s="32" t="s">
        <v>87</v>
      </c>
      <c r="E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" spans="1:6" x14ac:dyDescent="0.35">
      <c r="A588" s="3">
        <v>68642315941</v>
      </c>
      <c r="B588" s="3">
        <v>298</v>
      </c>
      <c r="C588" s="32">
        <v>49115</v>
      </c>
      <c r="D588" s="32"/>
      <c r="E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" spans="1:6" x14ac:dyDescent="0.35">
      <c r="A589" s="3">
        <v>14343386135</v>
      </c>
      <c r="B589" s="3">
        <v>28</v>
      </c>
      <c r="C589" s="32">
        <v>49116</v>
      </c>
      <c r="D589" s="32" t="s">
        <v>87</v>
      </c>
      <c r="E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" spans="1:6" x14ac:dyDescent="0.35">
      <c r="A590" s="3">
        <v>49145493045</v>
      </c>
      <c r="B590" s="3">
        <v>28</v>
      </c>
      <c r="C590" s="32">
        <v>49116</v>
      </c>
      <c r="D590" s="32" t="s">
        <v>87</v>
      </c>
      <c r="E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" spans="1:6" x14ac:dyDescent="0.35">
      <c r="A591" s="3">
        <v>21045497400</v>
      </c>
      <c r="B591" s="3">
        <v>43</v>
      </c>
      <c r="C591" s="32">
        <v>49116</v>
      </c>
      <c r="D591" s="32" t="s">
        <v>87</v>
      </c>
      <c r="E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" spans="1:6" x14ac:dyDescent="0.35">
      <c r="A592" s="3">
        <v>78564476950</v>
      </c>
      <c r="B592" s="3">
        <v>69</v>
      </c>
      <c r="C592" s="32">
        <v>49116</v>
      </c>
      <c r="D592" s="32" t="s">
        <v>87</v>
      </c>
      <c r="E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" spans="1:6" x14ac:dyDescent="0.35">
      <c r="A593" s="3">
        <v>42454454681</v>
      </c>
      <c r="B593" s="3">
        <v>87</v>
      </c>
      <c r="C593" s="32">
        <v>49116</v>
      </c>
      <c r="D593" s="32" t="s">
        <v>87</v>
      </c>
      <c r="E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" spans="1:6" x14ac:dyDescent="0.35">
      <c r="A594" s="3">
        <v>88773722932</v>
      </c>
      <c r="B594" s="3">
        <v>110</v>
      </c>
      <c r="C594" s="32">
        <v>49116</v>
      </c>
      <c r="D594" s="32" t="s">
        <v>87</v>
      </c>
      <c r="E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" spans="1:6" x14ac:dyDescent="0.35">
      <c r="A595" s="3">
        <v>36278216957</v>
      </c>
      <c r="B595" s="3">
        <v>119</v>
      </c>
      <c r="C595" s="32">
        <v>49116</v>
      </c>
      <c r="D595" s="32" t="s">
        <v>87</v>
      </c>
      <c r="E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" spans="1:6" x14ac:dyDescent="0.35">
      <c r="A596" s="3">
        <v>75083743224</v>
      </c>
      <c r="B596" s="3">
        <v>132</v>
      </c>
      <c r="C596" s="32">
        <v>49116</v>
      </c>
      <c r="D596" s="32">
        <v>49171</v>
      </c>
      <c r="E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97" spans="1:6" x14ac:dyDescent="0.35">
      <c r="A597" s="3">
        <v>51523930309</v>
      </c>
      <c r="B597" s="3">
        <v>137</v>
      </c>
      <c r="C597" s="32">
        <v>49116</v>
      </c>
      <c r="D597" s="32">
        <v>49151</v>
      </c>
      <c r="E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98" spans="1:6" x14ac:dyDescent="0.35">
      <c r="A598" s="3">
        <v>45525747369</v>
      </c>
      <c r="B598" s="3">
        <v>149</v>
      </c>
      <c r="C598" s="32">
        <v>49116</v>
      </c>
      <c r="D598" s="32" t="s">
        <v>87</v>
      </c>
      <c r="E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" spans="1:6" x14ac:dyDescent="0.35">
      <c r="A599" s="3">
        <v>29910895242</v>
      </c>
      <c r="B599" s="3">
        <v>154</v>
      </c>
      <c r="C599" s="32">
        <v>49116</v>
      </c>
      <c r="D599" s="32" t="s">
        <v>87</v>
      </c>
      <c r="E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" spans="1:6" x14ac:dyDescent="0.35">
      <c r="A600" s="3">
        <v>62498982726</v>
      </c>
      <c r="B600" s="3">
        <v>155</v>
      </c>
      <c r="C600" s="32">
        <v>49116</v>
      </c>
      <c r="D600" s="32"/>
      <c r="E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" spans="1:6" x14ac:dyDescent="0.35">
      <c r="A601" s="3">
        <v>89114890366</v>
      </c>
      <c r="B601" s="3">
        <v>156</v>
      </c>
      <c r="C601" s="32">
        <v>49116</v>
      </c>
      <c r="D601" s="32"/>
      <c r="E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" spans="1:6" x14ac:dyDescent="0.35">
      <c r="A602" s="3">
        <v>60775003858</v>
      </c>
      <c r="B602" s="3">
        <v>170</v>
      </c>
      <c r="C602" s="32">
        <v>49116</v>
      </c>
      <c r="D602" s="32" t="s">
        <v>87</v>
      </c>
      <c r="E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" spans="1:6" x14ac:dyDescent="0.35">
      <c r="A603" s="3">
        <v>66330386371</v>
      </c>
      <c r="B603" s="3">
        <v>220</v>
      </c>
      <c r="C603" s="32">
        <v>49116</v>
      </c>
      <c r="D603" s="32" t="s">
        <v>87</v>
      </c>
      <c r="E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" spans="1:6" x14ac:dyDescent="0.35">
      <c r="A604" s="3">
        <v>88833096912</v>
      </c>
      <c r="B604" s="3">
        <v>254</v>
      </c>
      <c r="C604" s="32">
        <v>49116</v>
      </c>
      <c r="D604" s="32" t="s">
        <v>87</v>
      </c>
      <c r="E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" spans="1:6" x14ac:dyDescent="0.35">
      <c r="A605" s="3">
        <v>89781336327</v>
      </c>
      <c r="B605" s="3">
        <v>263</v>
      </c>
      <c r="C605" s="32">
        <v>49116</v>
      </c>
      <c r="D605" s="32" t="s">
        <v>87</v>
      </c>
      <c r="E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" spans="1:6" x14ac:dyDescent="0.35">
      <c r="A606" s="3">
        <v>26912080818</v>
      </c>
      <c r="B606" s="3">
        <v>263</v>
      </c>
      <c r="C606" s="32">
        <v>49116</v>
      </c>
      <c r="D606" s="32" t="s">
        <v>87</v>
      </c>
      <c r="E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" spans="1:6" x14ac:dyDescent="0.35">
      <c r="A607" s="3">
        <v>68471959274</v>
      </c>
      <c r="B607" s="3">
        <v>298</v>
      </c>
      <c r="C607" s="32">
        <v>49116</v>
      </c>
      <c r="D607" s="32">
        <v>49134</v>
      </c>
      <c r="E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08" spans="1:6" x14ac:dyDescent="0.35">
      <c r="A608" s="3">
        <v>22712987119</v>
      </c>
      <c r="B608" s="3">
        <v>308</v>
      </c>
      <c r="C608" s="32">
        <v>49116</v>
      </c>
      <c r="D608" s="32">
        <v>49120</v>
      </c>
      <c r="E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609" spans="1:6" x14ac:dyDescent="0.35">
      <c r="A609" s="3">
        <v>24313203890</v>
      </c>
      <c r="B609" s="3">
        <v>311</v>
      </c>
      <c r="C609" s="32">
        <v>49116</v>
      </c>
      <c r="D609" s="32" t="s">
        <v>87</v>
      </c>
      <c r="E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" spans="1:6" x14ac:dyDescent="0.35">
      <c r="A610" s="3">
        <v>99514845211</v>
      </c>
      <c r="B610" s="3">
        <v>320</v>
      </c>
      <c r="C610" s="32">
        <v>49116</v>
      </c>
      <c r="D610" s="32" t="s">
        <v>87</v>
      </c>
      <c r="E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" spans="1:6" x14ac:dyDescent="0.35">
      <c r="A611" s="3">
        <v>76816895285</v>
      </c>
      <c r="B611" s="3">
        <v>321</v>
      </c>
      <c r="C611" s="32">
        <v>49116</v>
      </c>
      <c r="D611" s="32" t="s">
        <v>87</v>
      </c>
      <c r="E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" spans="1:6" x14ac:dyDescent="0.35">
      <c r="A612" s="3">
        <v>87600971847</v>
      </c>
      <c r="B612" s="3">
        <v>327</v>
      </c>
      <c r="C612" s="32">
        <v>49116</v>
      </c>
      <c r="D612" s="32"/>
      <c r="E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" spans="1:6" x14ac:dyDescent="0.35">
      <c r="A613" s="3">
        <v>30877105272</v>
      </c>
      <c r="B613" s="3">
        <v>335</v>
      </c>
      <c r="C613" s="32">
        <v>49116</v>
      </c>
      <c r="D613" s="32" t="s">
        <v>87</v>
      </c>
      <c r="E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" spans="1:6" x14ac:dyDescent="0.35">
      <c r="A614" s="3">
        <v>84427127702</v>
      </c>
      <c r="B614" s="3">
        <v>340</v>
      </c>
      <c r="C614" s="32">
        <v>49116</v>
      </c>
      <c r="D614" s="32" t="s">
        <v>87</v>
      </c>
      <c r="E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" spans="1:6" x14ac:dyDescent="0.35">
      <c r="A615" s="3">
        <v>46434112476</v>
      </c>
      <c r="B615" s="3">
        <v>10</v>
      </c>
      <c r="C615" s="32">
        <v>49117</v>
      </c>
      <c r="D615" s="32" t="s">
        <v>87</v>
      </c>
      <c r="E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" spans="1:6" x14ac:dyDescent="0.35">
      <c r="A616" s="3">
        <v>47755595174</v>
      </c>
      <c r="B616" s="3">
        <v>43</v>
      </c>
      <c r="C616" s="32">
        <v>49117</v>
      </c>
      <c r="D616" s="32" t="s">
        <v>87</v>
      </c>
      <c r="E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" spans="1:6" x14ac:dyDescent="0.35">
      <c r="A617" s="3">
        <v>76862096653</v>
      </c>
      <c r="B617" s="3">
        <v>63</v>
      </c>
      <c r="C617" s="32">
        <v>49117</v>
      </c>
      <c r="D617" s="32"/>
      <c r="E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" spans="1:6" x14ac:dyDescent="0.35">
      <c r="A618" s="3">
        <v>99449830056</v>
      </c>
      <c r="B618" s="3">
        <v>77</v>
      </c>
      <c r="C618" s="32">
        <v>49117</v>
      </c>
      <c r="D618" s="32"/>
      <c r="E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" spans="1:6" x14ac:dyDescent="0.35">
      <c r="A619" s="3">
        <v>30521065395</v>
      </c>
      <c r="B619" s="3">
        <v>86</v>
      </c>
      <c r="C619" s="32">
        <v>49117</v>
      </c>
      <c r="D619" s="32" t="s">
        <v>87</v>
      </c>
      <c r="E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0" spans="1:6" x14ac:dyDescent="0.35">
      <c r="A620" s="3">
        <v>73077704740</v>
      </c>
      <c r="B620" s="3">
        <v>94</v>
      </c>
      <c r="C620" s="32">
        <v>49117</v>
      </c>
      <c r="D620" s="32" t="s">
        <v>87</v>
      </c>
      <c r="E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1" spans="1:6" x14ac:dyDescent="0.35">
      <c r="A621" s="3">
        <v>24213589086</v>
      </c>
      <c r="B621" s="3">
        <v>108</v>
      </c>
      <c r="C621" s="32">
        <v>49117</v>
      </c>
      <c r="D621" s="32" t="s">
        <v>87</v>
      </c>
      <c r="E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2" spans="1:6" x14ac:dyDescent="0.35">
      <c r="A622" s="3">
        <v>98214939779</v>
      </c>
      <c r="B622" s="3">
        <v>132</v>
      </c>
      <c r="C622" s="32">
        <v>49117</v>
      </c>
      <c r="D622" s="32" t="s">
        <v>87</v>
      </c>
      <c r="E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3" spans="1:6" x14ac:dyDescent="0.35">
      <c r="A623" s="3">
        <v>89599258784</v>
      </c>
      <c r="B623" s="3">
        <v>140</v>
      </c>
      <c r="C623" s="32">
        <v>49117</v>
      </c>
      <c r="D623" s="32">
        <v>49214</v>
      </c>
      <c r="E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624" spans="1:6" x14ac:dyDescent="0.35">
      <c r="A624" s="3">
        <v>37296258557</v>
      </c>
      <c r="B624" s="3">
        <v>143</v>
      </c>
      <c r="C624" s="32">
        <v>49117</v>
      </c>
      <c r="D624" s="32" t="s">
        <v>87</v>
      </c>
      <c r="E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5" spans="1:6" x14ac:dyDescent="0.35">
      <c r="A625" s="3">
        <v>50424887906</v>
      </c>
      <c r="B625" s="3">
        <v>148</v>
      </c>
      <c r="C625" s="32">
        <v>49117</v>
      </c>
      <c r="D625" s="32"/>
      <c r="E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6" spans="1:6" x14ac:dyDescent="0.35">
      <c r="A626" s="3">
        <v>22308672622</v>
      </c>
      <c r="B626" s="3">
        <v>152</v>
      </c>
      <c r="C626" s="32">
        <v>49117</v>
      </c>
      <c r="D626" s="32"/>
      <c r="E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7" spans="1:6" x14ac:dyDescent="0.35">
      <c r="A627" s="3">
        <v>33659269406</v>
      </c>
      <c r="B627" s="3">
        <v>156</v>
      </c>
      <c r="C627" s="32">
        <v>49117</v>
      </c>
      <c r="D627" s="32" t="s">
        <v>87</v>
      </c>
      <c r="E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8" spans="1:6" x14ac:dyDescent="0.35">
      <c r="A628" s="3">
        <v>42592269239</v>
      </c>
      <c r="B628" s="3">
        <v>163</v>
      </c>
      <c r="C628" s="32">
        <v>49117</v>
      </c>
      <c r="D628" s="32"/>
      <c r="E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9" spans="1:6" x14ac:dyDescent="0.35">
      <c r="A629" s="3">
        <v>29832085295</v>
      </c>
      <c r="B629" s="3">
        <v>182</v>
      </c>
      <c r="C629" s="32">
        <v>49117</v>
      </c>
      <c r="D629" s="32">
        <v>49228</v>
      </c>
      <c r="E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30" spans="1:6" x14ac:dyDescent="0.35">
      <c r="A630" s="3">
        <v>72820664733</v>
      </c>
      <c r="B630" s="3">
        <v>188</v>
      </c>
      <c r="C630" s="32">
        <v>49117</v>
      </c>
      <c r="D630" s="32" t="s">
        <v>87</v>
      </c>
      <c r="E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1" spans="1:6" x14ac:dyDescent="0.35">
      <c r="A631" s="3">
        <v>77073468873</v>
      </c>
      <c r="B631" s="3">
        <v>192</v>
      </c>
      <c r="C631" s="32">
        <v>49117</v>
      </c>
      <c r="D631" s="32" t="s">
        <v>87</v>
      </c>
      <c r="E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2" spans="1:6" x14ac:dyDescent="0.35">
      <c r="A632" s="3">
        <v>31353927368</v>
      </c>
      <c r="B632" s="3">
        <v>196</v>
      </c>
      <c r="C632" s="32">
        <v>49117</v>
      </c>
      <c r="D632" s="32" t="s">
        <v>87</v>
      </c>
      <c r="E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3" spans="1:6" x14ac:dyDescent="0.35">
      <c r="A633" s="3">
        <v>96321883066</v>
      </c>
      <c r="B633" s="3">
        <v>198</v>
      </c>
      <c r="C633" s="32">
        <v>49117</v>
      </c>
      <c r="D633" s="32" t="s">
        <v>87</v>
      </c>
      <c r="E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4" spans="1:6" x14ac:dyDescent="0.35">
      <c r="A634" s="3">
        <v>48497190026</v>
      </c>
      <c r="B634" s="3">
        <v>208</v>
      </c>
      <c r="C634" s="32">
        <v>49117</v>
      </c>
      <c r="D634" s="32">
        <v>49215</v>
      </c>
      <c r="E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635" spans="1:6" x14ac:dyDescent="0.35">
      <c r="A635" s="3">
        <v>98215622961</v>
      </c>
      <c r="B635" s="3">
        <v>215</v>
      </c>
      <c r="C635" s="32">
        <v>49117</v>
      </c>
      <c r="D635" s="32"/>
      <c r="E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6" spans="1:6" x14ac:dyDescent="0.35">
      <c r="A636" s="3">
        <v>39575027006</v>
      </c>
      <c r="B636" s="3">
        <v>217</v>
      </c>
      <c r="C636" s="32">
        <v>49117</v>
      </c>
      <c r="D636" s="32" t="s">
        <v>87</v>
      </c>
      <c r="E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7" spans="1:6" x14ac:dyDescent="0.35">
      <c r="A637" s="3">
        <v>51425792346</v>
      </c>
      <c r="B637" s="3">
        <v>217</v>
      </c>
      <c r="C637" s="32">
        <v>49117</v>
      </c>
      <c r="D637" s="32">
        <v>49141</v>
      </c>
      <c r="E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38" spans="1:6" x14ac:dyDescent="0.35">
      <c r="A638" s="3">
        <v>80221538036</v>
      </c>
      <c r="B638" s="3">
        <v>222</v>
      </c>
      <c r="C638" s="32">
        <v>49117</v>
      </c>
      <c r="D638" s="32" t="s">
        <v>87</v>
      </c>
      <c r="E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9" spans="1:6" x14ac:dyDescent="0.35">
      <c r="A639" s="3">
        <v>28293372655</v>
      </c>
      <c r="B639" s="3">
        <v>248</v>
      </c>
      <c r="C639" s="32">
        <v>49117</v>
      </c>
      <c r="D639" s="32" t="s">
        <v>87</v>
      </c>
      <c r="E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0" spans="1:6" x14ac:dyDescent="0.35">
      <c r="A640" s="3">
        <v>56026837863</v>
      </c>
      <c r="B640" s="3">
        <v>269</v>
      </c>
      <c r="C640" s="32">
        <v>49117</v>
      </c>
      <c r="D640" s="32" t="s">
        <v>87</v>
      </c>
      <c r="E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1" spans="1:6" x14ac:dyDescent="0.35">
      <c r="A641" s="3">
        <v>85168319185</v>
      </c>
      <c r="B641" s="3">
        <v>314</v>
      </c>
      <c r="C641" s="32">
        <v>49117</v>
      </c>
      <c r="D641" s="32" t="s">
        <v>87</v>
      </c>
      <c r="E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2" spans="1:6" x14ac:dyDescent="0.35">
      <c r="A642" s="3">
        <v>85089520717</v>
      </c>
      <c r="B642" s="3">
        <v>315</v>
      </c>
      <c r="C642" s="32">
        <v>49117</v>
      </c>
      <c r="D642" s="32" t="s">
        <v>87</v>
      </c>
      <c r="E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3" spans="1:6" x14ac:dyDescent="0.35">
      <c r="A643" s="3">
        <v>80997651016</v>
      </c>
      <c r="B643" s="3">
        <v>319</v>
      </c>
      <c r="C643" s="32">
        <v>49117</v>
      </c>
      <c r="D643" s="32" t="s">
        <v>87</v>
      </c>
      <c r="E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4" spans="1:6" x14ac:dyDescent="0.35">
      <c r="A644" s="3">
        <v>49344286814</v>
      </c>
      <c r="B644" s="3">
        <v>331</v>
      </c>
      <c r="C644" s="32">
        <v>49117</v>
      </c>
      <c r="D644" s="32"/>
      <c r="E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5" spans="1:6" x14ac:dyDescent="0.35">
      <c r="A645" s="3">
        <v>94653395468</v>
      </c>
      <c r="B645" s="3">
        <v>9</v>
      </c>
      <c r="C645" s="32">
        <v>49118</v>
      </c>
      <c r="D645" s="32" t="s">
        <v>87</v>
      </c>
      <c r="E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6" spans="1:6" x14ac:dyDescent="0.35">
      <c r="A646" s="3">
        <v>48736025960</v>
      </c>
      <c r="B646" s="3">
        <v>9</v>
      </c>
      <c r="C646" s="32">
        <v>49118</v>
      </c>
      <c r="D646" s="32" t="s">
        <v>87</v>
      </c>
      <c r="E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7" spans="1:6" x14ac:dyDescent="0.35">
      <c r="A647" s="3">
        <v>23328446864</v>
      </c>
      <c r="B647" s="3">
        <v>12</v>
      </c>
      <c r="C647" s="32">
        <v>49118</v>
      </c>
      <c r="D647" s="32" t="s">
        <v>87</v>
      </c>
      <c r="E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8" spans="1:6" x14ac:dyDescent="0.35">
      <c r="A648" s="3">
        <v>58160735927</v>
      </c>
      <c r="B648" s="3">
        <v>21</v>
      </c>
      <c r="C648" s="32">
        <v>49118</v>
      </c>
      <c r="D648" s="32" t="s">
        <v>87</v>
      </c>
      <c r="E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9" spans="1:6" x14ac:dyDescent="0.35">
      <c r="A649" s="3">
        <v>41766472122</v>
      </c>
      <c r="B649" s="3">
        <v>24</v>
      </c>
      <c r="C649" s="32">
        <v>49118</v>
      </c>
      <c r="D649" s="32" t="s">
        <v>87</v>
      </c>
      <c r="E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0" spans="1:6" x14ac:dyDescent="0.35">
      <c r="A650" s="3">
        <v>99957451170</v>
      </c>
      <c r="B650" s="3">
        <v>35</v>
      </c>
      <c r="C650" s="32">
        <v>49118</v>
      </c>
      <c r="D650" s="32" t="s">
        <v>87</v>
      </c>
      <c r="E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1" spans="1:6" x14ac:dyDescent="0.35">
      <c r="A651" s="3">
        <v>31270787993</v>
      </c>
      <c r="B651" s="3">
        <v>38</v>
      </c>
      <c r="C651" s="32">
        <v>49118</v>
      </c>
      <c r="D651" s="32" t="s">
        <v>87</v>
      </c>
      <c r="E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2" spans="1:6" x14ac:dyDescent="0.35">
      <c r="A652" s="3">
        <v>67931877588</v>
      </c>
      <c r="B652" s="3">
        <v>38</v>
      </c>
      <c r="C652" s="32">
        <v>49118</v>
      </c>
      <c r="D652" s="32" t="s">
        <v>87</v>
      </c>
      <c r="E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3" spans="1:6" x14ac:dyDescent="0.35">
      <c r="A653" s="3">
        <v>74558848345</v>
      </c>
      <c r="B653" s="3">
        <v>38</v>
      </c>
      <c r="C653" s="32">
        <v>49118</v>
      </c>
      <c r="D653" s="32" t="s">
        <v>87</v>
      </c>
      <c r="E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4" spans="1:6" x14ac:dyDescent="0.35">
      <c r="A654" s="3">
        <v>41309531750</v>
      </c>
      <c r="B654" s="3">
        <v>51</v>
      </c>
      <c r="C654" s="32">
        <v>49118</v>
      </c>
      <c r="D654" s="32"/>
      <c r="E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5" spans="1:6" x14ac:dyDescent="0.35">
      <c r="A655" s="3">
        <v>34978879554</v>
      </c>
      <c r="B655" s="3">
        <v>58</v>
      </c>
      <c r="C655" s="32">
        <v>49118</v>
      </c>
      <c r="D655" s="32" t="s">
        <v>87</v>
      </c>
      <c r="E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6" spans="1:6" x14ac:dyDescent="0.35">
      <c r="A656" s="3">
        <v>95814467719</v>
      </c>
      <c r="B656" s="3">
        <v>91</v>
      </c>
      <c r="C656" s="32">
        <v>49118</v>
      </c>
      <c r="D656" s="32" t="s">
        <v>87</v>
      </c>
      <c r="E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7" spans="1:6" x14ac:dyDescent="0.35">
      <c r="A657" s="3">
        <v>87314472981</v>
      </c>
      <c r="B657" s="3">
        <v>107</v>
      </c>
      <c r="C657" s="32">
        <v>49118</v>
      </c>
      <c r="D657" s="32" t="s">
        <v>87</v>
      </c>
      <c r="E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8" spans="1:6" x14ac:dyDescent="0.35">
      <c r="A658" s="3">
        <v>42273895445</v>
      </c>
      <c r="B658" s="3">
        <v>108</v>
      </c>
      <c r="C658" s="32">
        <v>49118</v>
      </c>
      <c r="D658" s="32" t="s">
        <v>87</v>
      </c>
      <c r="E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9" spans="1:6" x14ac:dyDescent="0.35">
      <c r="A659" s="3">
        <v>63250797404</v>
      </c>
      <c r="B659" s="3">
        <v>111</v>
      </c>
      <c r="C659" s="32">
        <v>49118</v>
      </c>
      <c r="D659" s="32" t="s">
        <v>87</v>
      </c>
      <c r="E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0" spans="1:6" x14ac:dyDescent="0.35">
      <c r="A660" s="3">
        <v>73388622688</v>
      </c>
      <c r="B660" s="3">
        <v>126</v>
      </c>
      <c r="C660" s="32">
        <v>49118</v>
      </c>
      <c r="D660" s="32" t="s">
        <v>87</v>
      </c>
      <c r="E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1" spans="1:6" x14ac:dyDescent="0.35">
      <c r="A661" s="3">
        <v>25429853324</v>
      </c>
      <c r="B661" s="3">
        <v>148</v>
      </c>
      <c r="C661" s="32">
        <v>49118</v>
      </c>
      <c r="D661" s="32" t="s">
        <v>87</v>
      </c>
      <c r="E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2" spans="1:6" x14ac:dyDescent="0.35">
      <c r="A662" s="3">
        <v>71920956504</v>
      </c>
      <c r="B662" s="3">
        <v>155</v>
      </c>
      <c r="C662" s="32">
        <v>49118</v>
      </c>
      <c r="D662" s="32"/>
      <c r="E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3" spans="1:6" x14ac:dyDescent="0.35">
      <c r="A663" s="3">
        <v>35002577285</v>
      </c>
      <c r="B663" s="3">
        <v>187</v>
      </c>
      <c r="C663" s="32">
        <v>49118</v>
      </c>
      <c r="D663" s="32">
        <v>49154</v>
      </c>
      <c r="E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64" spans="1:6" x14ac:dyDescent="0.35">
      <c r="A664" s="3">
        <v>60029401074</v>
      </c>
      <c r="B664" s="3">
        <v>208</v>
      </c>
      <c r="C664" s="32">
        <v>49118</v>
      </c>
      <c r="D664" s="32" t="s">
        <v>87</v>
      </c>
      <c r="E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5" spans="1:6" x14ac:dyDescent="0.35">
      <c r="A665" s="3">
        <v>42464936292</v>
      </c>
      <c r="B665" s="3">
        <v>242</v>
      </c>
      <c r="C665" s="32">
        <v>49118</v>
      </c>
      <c r="D665" s="32"/>
      <c r="E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6" spans="1:6" x14ac:dyDescent="0.35">
      <c r="A666" s="3">
        <v>69286287719</v>
      </c>
      <c r="B666" s="3">
        <v>244</v>
      </c>
      <c r="C666" s="32">
        <v>49118</v>
      </c>
      <c r="D666" s="32"/>
      <c r="E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7" spans="1:6" x14ac:dyDescent="0.35">
      <c r="A667" s="3">
        <v>54067931243</v>
      </c>
      <c r="B667" s="3">
        <v>258</v>
      </c>
      <c r="C667" s="32">
        <v>49118</v>
      </c>
      <c r="D667" s="32" t="s">
        <v>87</v>
      </c>
      <c r="E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8" spans="1:6" x14ac:dyDescent="0.35">
      <c r="A668" s="3">
        <v>42749943635</v>
      </c>
      <c r="B668" s="3">
        <v>308</v>
      </c>
      <c r="C668" s="32">
        <v>49118</v>
      </c>
      <c r="D668" s="32" t="s">
        <v>87</v>
      </c>
      <c r="E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9" spans="1:6" x14ac:dyDescent="0.35">
      <c r="A669" s="3">
        <v>45144142743</v>
      </c>
      <c r="B669" s="3">
        <v>314</v>
      </c>
      <c r="C669" s="32">
        <v>49118</v>
      </c>
      <c r="D669" s="32" t="s">
        <v>87</v>
      </c>
      <c r="E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0" spans="1:6" x14ac:dyDescent="0.35">
      <c r="A670" s="3">
        <v>25309721332</v>
      </c>
      <c r="B670" s="3">
        <v>333</v>
      </c>
      <c r="C670" s="32">
        <v>49118</v>
      </c>
      <c r="D670" s="32" t="s">
        <v>87</v>
      </c>
      <c r="E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1" spans="1:6" x14ac:dyDescent="0.35">
      <c r="A671" s="3">
        <v>16361497688</v>
      </c>
      <c r="B671" s="3">
        <v>8</v>
      </c>
      <c r="C671" s="32">
        <v>49119</v>
      </c>
      <c r="D671" s="32" t="s">
        <v>87</v>
      </c>
      <c r="E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2" spans="1:6" x14ac:dyDescent="0.35">
      <c r="A672" s="3">
        <v>30034189700</v>
      </c>
      <c r="B672" s="3">
        <v>23</v>
      </c>
      <c r="C672" s="32">
        <v>49119</v>
      </c>
      <c r="D672" s="32" t="s">
        <v>87</v>
      </c>
      <c r="E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3" spans="1:6" x14ac:dyDescent="0.35">
      <c r="A673" s="3">
        <v>74318531486</v>
      </c>
      <c r="B673" s="3">
        <v>26</v>
      </c>
      <c r="C673" s="32">
        <v>49119</v>
      </c>
      <c r="D673" s="32" t="s">
        <v>87</v>
      </c>
      <c r="E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4" spans="1:6" x14ac:dyDescent="0.35">
      <c r="A674" s="3">
        <v>41938184580</v>
      </c>
      <c r="B674" s="3">
        <v>41</v>
      </c>
      <c r="C674" s="32">
        <v>49119</v>
      </c>
      <c r="D674" s="32" t="s">
        <v>87</v>
      </c>
      <c r="E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5" spans="1:6" x14ac:dyDescent="0.35">
      <c r="A675" s="3">
        <v>88732019715</v>
      </c>
      <c r="B675" s="3">
        <v>43</v>
      </c>
      <c r="C675" s="32">
        <v>49119</v>
      </c>
      <c r="D675" s="32" t="s">
        <v>87</v>
      </c>
      <c r="E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6" spans="1:6" x14ac:dyDescent="0.35">
      <c r="A676" s="3">
        <v>19525675770</v>
      </c>
      <c r="B676" s="3">
        <v>65</v>
      </c>
      <c r="C676" s="32">
        <v>49119</v>
      </c>
      <c r="D676" s="32" t="s">
        <v>87</v>
      </c>
      <c r="E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7" spans="1:6" x14ac:dyDescent="0.35">
      <c r="A677" s="3">
        <v>52941894383</v>
      </c>
      <c r="B677" s="3">
        <v>76</v>
      </c>
      <c r="C677" s="32">
        <v>49119</v>
      </c>
      <c r="D677" s="32" t="s">
        <v>87</v>
      </c>
      <c r="E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8" spans="1:6" x14ac:dyDescent="0.35">
      <c r="A678" s="3">
        <v>42321415990</v>
      </c>
      <c r="B678" s="3">
        <v>78</v>
      </c>
      <c r="C678" s="32">
        <v>49119</v>
      </c>
      <c r="D678" s="32"/>
      <c r="E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9" spans="1:6" x14ac:dyDescent="0.35">
      <c r="A679" s="3">
        <v>12065646048</v>
      </c>
      <c r="B679" s="3">
        <v>80</v>
      </c>
      <c r="C679" s="32">
        <v>49119</v>
      </c>
      <c r="D679" s="32" t="s">
        <v>87</v>
      </c>
      <c r="E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0" spans="1:6" x14ac:dyDescent="0.35">
      <c r="A680" s="3">
        <v>76559094489</v>
      </c>
      <c r="B680" s="3">
        <v>105</v>
      </c>
      <c r="C680" s="32">
        <v>49119</v>
      </c>
      <c r="D680" s="32" t="s">
        <v>87</v>
      </c>
      <c r="E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1" spans="1:6" x14ac:dyDescent="0.35">
      <c r="A681" s="3">
        <v>13210988579</v>
      </c>
      <c r="B681" s="3">
        <v>107</v>
      </c>
      <c r="C681" s="32">
        <v>49119</v>
      </c>
      <c r="D681" s="32" t="s">
        <v>87</v>
      </c>
      <c r="E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2" spans="1:6" x14ac:dyDescent="0.35">
      <c r="A682" s="3">
        <v>73267379211</v>
      </c>
      <c r="B682" s="3">
        <v>121</v>
      </c>
      <c r="C682" s="32">
        <v>49119</v>
      </c>
      <c r="D682" s="32"/>
      <c r="E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3" spans="1:6" x14ac:dyDescent="0.35">
      <c r="A683" s="3">
        <v>64618713469</v>
      </c>
      <c r="B683" s="3">
        <v>131</v>
      </c>
      <c r="C683" s="32">
        <v>49119</v>
      </c>
      <c r="D683" s="32" t="s">
        <v>87</v>
      </c>
      <c r="E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4" spans="1:6" x14ac:dyDescent="0.35">
      <c r="A684" s="3">
        <v>32389305260</v>
      </c>
      <c r="B684" s="3">
        <v>147</v>
      </c>
      <c r="C684" s="32">
        <v>49119</v>
      </c>
      <c r="D684" s="32"/>
      <c r="E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5" spans="1:6" x14ac:dyDescent="0.35">
      <c r="A685" s="3">
        <v>66739952156</v>
      </c>
      <c r="B685" s="3">
        <v>172</v>
      </c>
      <c r="C685" s="32">
        <v>49119</v>
      </c>
      <c r="D685" s="32">
        <v>49226</v>
      </c>
      <c r="E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86" spans="1:6" x14ac:dyDescent="0.35">
      <c r="A686" s="3">
        <v>34101970722</v>
      </c>
      <c r="B686" s="3">
        <v>202</v>
      </c>
      <c r="C686" s="32">
        <v>49119</v>
      </c>
      <c r="D686" s="32" t="s">
        <v>87</v>
      </c>
      <c r="E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7" spans="1:6" x14ac:dyDescent="0.35">
      <c r="A687" s="3">
        <v>82877382576</v>
      </c>
      <c r="B687" s="3">
        <v>206</v>
      </c>
      <c r="C687" s="32">
        <v>49119</v>
      </c>
      <c r="D687" s="32"/>
      <c r="E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8" spans="1:6" x14ac:dyDescent="0.35">
      <c r="A688" s="3">
        <v>25430753940</v>
      </c>
      <c r="B688" s="3">
        <v>206</v>
      </c>
      <c r="C688" s="32">
        <v>49119</v>
      </c>
      <c r="D688" s="32">
        <v>49180</v>
      </c>
      <c r="E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689" spans="1:6" x14ac:dyDescent="0.35">
      <c r="A689" s="3">
        <v>82565916808</v>
      </c>
      <c r="B689" s="3">
        <v>212</v>
      </c>
      <c r="C689" s="32">
        <v>49119</v>
      </c>
      <c r="D689" s="32"/>
      <c r="E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0" spans="1:6" x14ac:dyDescent="0.35">
      <c r="A690" s="3">
        <v>27561695060</v>
      </c>
      <c r="B690" s="3">
        <v>220</v>
      </c>
      <c r="C690" s="32">
        <v>49119</v>
      </c>
      <c r="D690" s="32"/>
      <c r="E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1" spans="1:6" x14ac:dyDescent="0.35">
      <c r="A691" s="3">
        <v>83071441370</v>
      </c>
      <c r="B691" s="3">
        <v>230</v>
      </c>
      <c r="C691" s="32">
        <v>49119</v>
      </c>
      <c r="D691" s="32"/>
      <c r="E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2" spans="1:6" x14ac:dyDescent="0.35">
      <c r="A692" s="3">
        <v>68913181997</v>
      </c>
      <c r="B692" s="3">
        <v>241</v>
      </c>
      <c r="C692" s="32">
        <v>49119</v>
      </c>
      <c r="D692" s="32" t="s">
        <v>87</v>
      </c>
      <c r="E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3" spans="1:6" x14ac:dyDescent="0.35">
      <c r="A693" s="3">
        <v>93881537658</v>
      </c>
      <c r="B693" s="3">
        <v>243</v>
      </c>
      <c r="C693" s="32">
        <v>49119</v>
      </c>
      <c r="D693" s="32"/>
      <c r="E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4" spans="1:6" x14ac:dyDescent="0.35">
      <c r="A694" s="3">
        <v>11686497228</v>
      </c>
      <c r="B694" s="3">
        <v>253</v>
      </c>
      <c r="C694" s="32">
        <v>49119</v>
      </c>
      <c r="D694" s="32">
        <v>49140</v>
      </c>
      <c r="E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95" spans="1:6" x14ac:dyDescent="0.35">
      <c r="A695" s="3">
        <v>50724858788</v>
      </c>
      <c r="B695" s="3">
        <v>255</v>
      </c>
      <c r="C695" s="32">
        <v>49119</v>
      </c>
      <c r="D695" s="32" t="s">
        <v>87</v>
      </c>
      <c r="E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6" spans="1:6" x14ac:dyDescent="0.35">
      <c r="A696" s="3">
        <v>13240826394</v>
      </c>
      <c r="B696" s="3">
        <v>257</v>
      </c>
      <c r="C696" s="32">
        <v>49119</v>
      </c>
      <c r="D696" s="32">
        <v>49222</v>
      </c>
      <c r="E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97" spans="1:6" x14ac:dyDescent="0.35">
      <c r="A697" s="3">
        <v>32963137068</v>
      </c>
      <c r="B697" s="3">
        <v>271</v>
      </c>
      <c r="C697" s="32">
        <v>49119</v>
      </c>
      <c r="D697" s="32"/>
      <c r="E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8" spans="1:6" x14ac:dyDescent="0.35">
      <c r="A698" s="3">
        <v>43936653484</v>
      </c>
      <c r="B698" s="3">
        <v>274</v>
      </c>
      <c r="C698" s="32">
        <v>49119</v>
      </c>
      <c r="D698" s="32">
        <v>49143</v>
      </c>
      <c r="E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99" spans="1:6" x14ac:dyDescent="0.35">
      <c r="A699" s="3">
        <v>84945659161</v>
      </c>
      <c r="B699" s="3">
        <v>277</v>
      </c>
      <c r="C699" s="32">
        <v>49119</v>
      </c>
      <c r="D699" s="32" t="s">
        <v>87</v>
      </c>
      <c r="E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0" spans="1:6" x14ac:dyDescent="0.35">
      <c r="A700" s="3">
        <v>43548639626</v>
      </c>
      <c r="B700" s="3">
        <v>300</v>
      </c>
      <c r="C700" s="32">
        <v>49119</v>
      </c>
      <c r="D700" s="32" t="s">
        <v>87</v>
      </c>
      <c r="E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1" spans="1:6" x14ac:dyDescent="0.35">
      <c r="A701" s="3">
        <v>99962298514</v>
      </c>
      <c r="B701" s="3">
        <v>304</v>
      </c>
      <c r="C701" s="32">
        <v>49119</v>
      </c>
      <c r="D701" s="32" t="s">
        <v>87</v>
      </c>
      <c r="E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2" spans="1:6" x14ac:dyDescent="0.35">
      <c r="A702" s="3">
        <v>69615886139</v>
      </c>
      <c r="B702" s="3">
        <v>314</v>
      </c>
      <c r="C702" s="32">
        <v>49119</v>
      </c>
      <c r="D702" s="32" t="s">
        <v>87</v>
      </c>
      <c r="E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3" spans="1:6" x14ac:dyDescent="0.35">
      <c r="A703" s="3">
        <v>39773169370</v>
      </c>
      <c r="B703" s="3">
        <v>322</v>
      </c>
      <c r="C703" s="32">
        <v>49119</v>
      </c>
      <c r="D703" s="32" t="s">
        <v>87</v>
      </c>
      <c r="E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4" spans="1:6" x14ac:dyDescent="0.35">
      <c r="A704" s="3">
        <v>98521990045</v>
      </c>
      <c r="B704" s="3">
        <v>10</v>
      </c>
      <c r="C704" s="32">
        <v>49120</v>
      </c>
      <c r="D704" s="32" t="s">
        <v>87</v>
      </c>
      <c r="E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5" spans="1:6" x14ac:dyDescent="0.35">
      <c r="A705" s="3">
        <v>70368318300</v>
      </c>
      <c r="B705" s="3">
        <v>35</v>
      </c>
      <c r="C705" s="32">
        <v>49120</v>
      </c>
      <c r="D705" s="32" t="s">
        <v>87</v>
      </c>
      <c r="E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6" spans="1:6" x14ac:dyDescent="0.35">
      <c r="A706" s="3">
        <v>40037850256</v>
      </c>
      <c r="B706" s="3">
        <v>36</v>
      </c>
      <c r="C706" s="32">
        <v>49120</v>
      </c>
      <c r="D706" s="32" t="s">
        <v>87</v>
      </c>
      <c r="E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7" spans="1:6" x14ac:dyDescent="0.35">
      <c r="A707" s="3">
        <v>66819335113</v>
      </c>
      <c r="B707" s="3">
        <v>74</v>
      </c>
      <c r="C707" s="32">
        <v>49120</v>
      </c>
      <c r="D707" s="32" t="s">
        <v>87</v>
      </c>
      <c r="E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8" spans="1:6" x14ac:dyDescent="0.35">
      <c r="A708" s="3">
        <v>92135679735</v>
      </c>
      <c r="B708" s="3">
        <v>84</v>
      </c>
      <c r="C708" s="32">
        <v>49120</v>
      </c>
      <c r="D708" s="32">
        <v>49175</v>
      </c>
      <c r="E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09" spans="1:6" x14ac:dyDescent="0.35">
      <c r="A709" s="3">
        <v>56258163125</v>
      </c>
      <c r="B709" s="3">
        <v>84</v>
      </c>
      <c r="C709" s="32">
        <v>49120</v>
      </c>
      <c r="D709" s="32" t="s">
        <v>87</v>
      </c>
      <c r="E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0" spans="1:6" x14ac:dyDescent="0.35">
      <c r="A710" s="3">
        <v>99718226466</v>
      </c>
      <c r="B710" s="3">
        <v>93</v>
      </c>
      <c r="C710" s="32">
        <v>49120</v>
      </c>
      <c r="D710" s="32" t="s">
        <v>87</v>
      </c>
      <c r="E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1" spans="1:6" x14ac:dyDescent="0.35">
      <c r="A711" s="3">
        <v>33483290206</v>
      </c>
      <c r="B711" s="3">
        <v>98</v>
      </c>
      <c r="C711" s="32">
        <v>49120</v>
      </c>
      <c r="D711" s="32" t="s">
        <v>87</v>
      </c>
      <c r="E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2" spans="1:6" x14ac:dyDescent="0.35">
      <c r="A712" s="3">
        <v>93199434455</v>
      </c>
      <c r="B712" s="3">
        <v>103</v>
      </c>
      <c r="C712" s="32">
        <v>49120</v>
      </c>
      <c r="D712" s="32" t="s">
        <v>87</v>
      </c>
      <c r="E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3" spans="1:6" x14ac:dyDescent="0.35">
      <c r="A713" s="3">
        <v>58107069339</v>
      </c>
      <c r="B713" s="3">
        <v>136</v>
      </c>
      <c r="C713" s="32">
        <v>49120</v>
      </c>
      <c r="D713" s="32"/>
      <c r="E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4" spans="1:6" x14ac:dyDescent="0.35">
      <c r="A714" s="3">
        <v>84259711458</v>
      </c>
      <c r="B714" s="3">
        <v>137</v>
      </c>
      <c r="C714" s="32">
        <v>49120</v>
      </c>
      <c r="D714" s="32" t="s">
        <v>87</v>
      </c>
      <c r="E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5" spans="1:6" x14ac:dyDescent="0.35">
      <c r="A715" s="3">
        <v>68216442714</v>
      </c>
      <c r="B715" s="3">
        <v>140</v>
      </c>
      <c r="C715" s="32">
        <v>49120</v>
      </c>
      <c r="D715" s="32">
        <v>49121</v>
      </c>
      <c r="E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16" spans="1:6" x14ac:dyDescent="0.35">
      <c r="A716" s="3">
        <v>46815094050</v>
      </c>
      <c r="B716" s="3">
        <v>165</v>
      </c>
      <c r="C716" s="32">
        <v>49120</v>
      </c>
      <c r="D716" s="32" t="s">
        <v>87</v>
      </c>
      <c r="E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7" spans="1:6" x14ac:dyDescent="0.35">
      <c r="A717" s="3">
        <v>14635710714</v>
      </c>
      <c r="B717" s="3">
        <v>176</v>
      </c>
      <c r="C717" s="32">
        <v>49120</v>
      </c>
      <c r="D717" s="32">
        <v>49127</v>
      </c>
      <c r="E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18" spans="1:6" x14ac:dyDescent="0.35">
      <c r="A718" s="3">
        <v>58174807191</v>
      </c>
      <c r="B718" s="3">
        <v>193</v>
      </c>
      <c r="C718" s="32">
        <v>49120</v>
      </c>
      <c r="D718" s="32">
        <v>49215</v>
      </c>
      <c r="E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19" spans="1:6" x14ac:dyDescent="0.35">
      <c r="A719" s="3">
        <v>20787693597</v>
      </c>
      <c r="B719" s="3">
        <v>199</v>
      </c>
      <c r="C719" s="32">
        <v>49120</v>
      </c>
      <c r="D719" s="32" t="s">
        <v>87</v>
      </c>
      <c r="E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0" spans="1:6" x14ac:dyDescent="0.35">
      <c r="A720" s="3">
        <v>11885609273</v>
      </c>
      <c r="B720" s="3">
        <v>232</v>
      </c>
      <c r="C720" s="32">
        <v>49120</v>
      </c>
      <c r="D720" s="32" t="s">
        <v>87</v>
      </c>
      <c r="E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1" spans="1:6" x14ac:dyDescent="0.35">
      <c r="A721" s="3">
        <v>69966644391</v>
      </c>
      <c r="B721" s="3">
        <v>240</v>
      </c>
      <c r="C721" s="32">
        <v>49120</v>
      </c>
      <c r="D721" s="32" t="s">
        <v>87</v>
      </c>
      <c r="E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2" spans="1:6" x14ac:dyDescent="0.35">
      <c r="A722" s="3">
        <v>60974202230</v>
      </c>
      <c r="B722" s="3">
        <v>241</v>
      </c>
      <c r="C722" s="32">
        <v>49120</v>
      </c>
      <c r="D722" s="32" t="s">
        <v>87</v>
      </c>
      <c r="E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3" spans="1:6" x14ac:dyDescent="0.35">
      <c r="A723" s="3">
        <v>55001368140</v>
      </c>
      <c r="B723" s="3">
        <v>246</v>
      </c>
      <c r="C723" s="32">
        <v>49120</v>
      </c>
      <c r="D723" s="32" t="s">
        <v>87</v>
      </c>
      <c r="E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4" spans="1:6" x14ac:dyDescent="0.35">
      <c r="A724" s="3">
        <v>66457957384</v>
      </c>
      <c r="B724" s="3">
        <v>247</v>
      </c>
      <c r="C724" s="32">
        <v>49120</v>
      </c>
      <c r="D724" s="32" t="s">
        <v>87</v>
      </c>
      <c r="E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5" spans="1:6" x14ac:dyDescent="0.35">
      <c r="A725" s="3">
        <v>59547522286</v>
      </c>
      <c r="B725" s="3">
        <v>268</v>
      </c>
      <c r="C725" s="32">
        <v>49120</v>
      </c>
      <c r="D725" s="32" t="s">
        <v>87</v>
      </c>
      <c r="E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6" spans="1:6" x14ac:dyDescent="0.35">
      <c r="A726" s="3">
        <v>71758383126</v>
      </c>
      <c r="B726" s="3">
        <v>273</v>
      </c>
      <c r="C726" s="32">
        <v>49120</v>
      </c>
      <c r="D726" s="32" t="s">
        <v>87</v>
      </c>
      <c r="E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7" spans="1:6" x14ac:dyDescent="0.35">
      <c r="A727" s="3">
        <v>48466343173</v>
      </c>
      <c r="B727" s="3">
        <v>320</v>
      </c>
      <c r="C727" s="32">
        <v>49120</v>
      </c>
      <c r="D727" s="32" t="s">
        <v>87</v>
      </c>
      <c r="E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8" spans="1:6" x14ac:dyDescent="0.35">
      <c r="A728" s="3">
        <v>95441523261</v>
      </c>
      <c r="B728" s="3">
        <v>34</v>
      </c>
      <c r="C728" s="32">
        <v>49121</v>
      </c>
      <c r="D728" s="32"/>
      <c r="E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9" spans="1:6" x14ac:dyDescent="0.35">
      <c r="A729" s="3">
        <v>42949245134</v>
      </c>
      <c r="B729" s="3">
        <v>34</v>
      </c>
      <c r="C729" s="32">
        <v>49121</v>
      </c>
      <c r="D729" s="32" t="s">
        <v>87</v>
      </c>
      <c r="E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0" spans="1:6" x14ac:dyDescent="0.35">
      <c r="A730" s="3">
        <v>81159111037</v>
      </c>
      <c r="B730" s="3">
        <v>50</v>
      </c>
      <c r="C730" s="32">
        <v>49121</v>
      </c>
      <c r="D730" s="32">
        <v>49220</v>
      </c>
      <c r="E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31" spans="1:6" x14ac:dyDescent="0.35">
      <c r="A731" s="3">
        <v>86546372920</v>
      </c>
      <c r="B731" s="3">
        <v>53</v>
      </c>
      <c r="C731" s="32">
        <v>49121</v>
      </c>
      <c r="D731" s="32" t="s">
        <v>87</v>
      </c>
      <c r="E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2" spans="1:6" x14ac:dyDescent="0.35">
      <c r="A732" s="3">
        <v>18144477384</v>
      </c>
      <c r="B732" s="3">
        <v>84</v>
      </c>
      <c r="C732" s="32">
        <v>49121</v>
      </c>
      <c r="D732" s="32">
        <v>49192</v>
      </c>
      <c r="E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33" spans="1:6" x14ac:dyDescent="0.35">
      <c r="A733" s="3">
        <v>62331595011</v>
      </c>
      <c r="B733" s="3">
        <v>98</v>
      </c>
      <c r="C733" s="32">
        <v>49121</v>
      </c>
      <c r="D733" s="32">
        <v>49204</v>
      </c>
      <c r="E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34" spans="1:6" x14ac:dyDescent="0.35">
      <c r="A734" s="3">
        <v>38736908132</v>
      </c>
      <c r="B734" s="3">
        <v>105</v>
      </c>
      <c r="C734" s="32">
        <v>49121</v>
      </c>
      <c r="D734" s="32" t="s">
        <v>87</v>
      </c>
      <c r="E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5" spans="1:6" x14ac:dyDescent="0.35">
      <c r="A735" s="3">
        <v>87354219247</v>
      </c>
      <c r="B735" s="3">
        <v>113</v>
      </c>
      <c r="C735" s="32">
        <v>49121</v>
      </c>
      <c r="D735" s="32" t="s">
        <v>87</v>
      </c>
      <c r="E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6" spans="1:6" x14ac:dyDescent="0.35">
      <c r="A736" s="3">
        <v>34609547704</v>
      </c>
      <c r="B736" s="3">
        <v>124</v>
      </c>
      <c r="C736" s="32">
        <v>49121</v>
      </c>
      <c r="D736" s="32">
        <v>49220</v>
      </c>
      <c r="E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37" spans="1:6" x14ac:dyDescent="0.35">
      <c r="A737" s="3">
        <v>65793398297</v>
      </c>
      <c r="B737" s="3">
        <v>132</v>
      </c>
      <c r="C737" s="32">
        <v>49121</v>
      </c>
      <c r="D737" s="32" t="s">
        <v>87</v>
      </c>
      <c r="E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8" spans="1:6" x14ac:dyDescent="0.35">
      <c r="A738" s="3">
        <v>95587144776</v>
      </c>
      <c r="B738" s="3">
        <v>136</v>
      </c>
      <c r="C738" s="32">
        <v>49121</v>
      </c>
      <c r="D738" s="32" t="s">
        <v>87</v>
      </c>
      <c r="E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9" spans="1:6" x14ac:dyDescent="0.35">
      <c r="A739" s="3">
        <v>63173321861</v>
      </c>
      <c r="B739" s="3">
        <v>142</v>
      </c>
      <c r="C739" s="32">
        <v>49121</v>
      </c>
      <c r="D739" s="32"/>
      <c r="E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0" spans="1:6" x14ac:dyDescent="0.35">
      <c r="A740" s="3">
        <v>82115273741</v>
      </c>
      <c r="B740" s="3">
        <v>169</v>
      </c>
      <c r="C740" s="32">
        <v>49121</v>
      </c>
      <c r="D740" s="32" t="s">
        <v>87</v>
      </c>
      <c r="E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1" spans="1:6" x14ac:dyDescent="0.35">
      <c r="A741" s="3">
        <v>11590486350</v>
      </c>
      <c r="B741" s="3">
        <v>174</v>
      </c>
      <c r="C741" s="32">
        <v>49121</v>
      </c>
      <c r="D741" s="32">
        <v>49194</v>
      </c>
      <c r="E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42" spans="1:6" x14ac:dyDescent="0.35">
      <c r="A742" s="3">
        <v>84910823894</v>
      </c>
      <c r="B742" s="3">
        <v>185</v>
      </c>
      <c r="C742" s="32">
        <v>49121</v>
      </c>
      <c r="D742" s="32">
        <v>49232</v>
      </c>
      <c r="E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43" spans="1:6" x14ac:dyDescent="0.35">
      <c r="A743" s="3">
        <v>92981096369</v>
      </c>
      <c r="B743" s="3">
        <v>202</v>
      </c>
      <c r="C743" s="32">
        <v>49121</v>
      </c>
      <c r="D743" s="32">
        <v>49152</v>
      </c>
      <c r="E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44" spans="1:6" x14ac:dyDescent="0.35">
      <c r="A744" s="3">
        <v>39793931625</v>
      </c>
      <c r="B744" s="3">
        <v>206</v>
      </c>
      <c r="C744" s="32">
        <v>49121</v>
      </c>
      <c r="D744" s="32" t="s">
        <v>87</v>
      </c>
      <c r="E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5" spans="1:6" x14ac:dyDescent="0.35">
      <c r="A745" s="3">
        <v>94169318658</v>
      </c>
      <c r="B745" s="3">
        <v>210</v>
      </c>
      <c r="C745" s="32">
        <v>49121</v>
      </c>
      <c r="D745" s="32" t="s">
        <v>87</v>
      </c>
      <c r="E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6" spans="1:6" x14ac:dyDescent="0.35">
      <c r="A746" s="3">
        <v>47476874820</v>
      </c>
      <c r="B746" s="3">
        <v>223</v>
      </c>
      <c r="C746" s="32">
        <v>49121</v>
      </c>
      <c r="D746" s="32" t="s">
        <v>87</v>
      </c>
      <c r="E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7" spans="1:6" x14ac:dyDescent="0.35">
      <c r="A747" s="3">
        <v>56247334117</v>
      </c>
      <c r="B747" s="3">
        <v>237</v>
      </c>
      <c r="C747" s="32">
        <v>49121</v>
      </c>
      <c r="D747" s="32" t="s">
        <v>87</v>
      </c>
      <c r="E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8" spans="1:6" x14ac:dyDescent="0.35">
      <c r="A748" s="3">
        <v>24957627792</v>
      </c>
      <c r="B748" s="3">
        <v>277</v>
      </c>
      <c r="C748" s="32">
        <v>49121</v>
      </c>
      <c r="D748" s="32" t="s">
        <v>87</v>
      </c>
      <c r="E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9" spans="1:6" x14ac:dyDescent="0.35">
      <c r="A749" s="3">
        <v>20535771562</v>
      </c>
      <c r="B749" s="3">
        <v>283</v>
      </c>
      <c r="C749" s="32">
        <v>49121</v>
      </c>
      <c r="D749" s="32" t="s">
        <v>87</v>
      </c>
      <c r="E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0" spans="1:6" x14ac:dyDescent="0.35">
      <c r="A750" s="3">
        <v>73280621696</v>
      </c>
      <c r="B750" s="3">
        <v>293</v>
      </c>
      <c r="C750" s="32">
        <v>49121</v>
      </c>
      <c r="D750" s="32" t="s">
        <v>87</v>
      </c>
      <c r="E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1" spans="1:6" x14ac:dyDescent="0.35">
      <c r="A751" s="3">
        <v>99913725386</v>
      </c>
      <c r="B751" s="3">
        <v>303</v>
      </c>
      <c r="C751" s="32">
        <v>49121</v>
      </c>
      <c r="D751" s="32" t="s">
        <v>87</v>
      </c>
      <c r="E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2" spans="1:6" x14ac:dyDescent="0.35">
      <c r="A752" s="3">
        <v>57415942424</v>
      </c>
      <c r="B752" s="3">
        <v>304</v>
      </c>
      <c r="C752" s="32">
        <v>49121</v>
      </c>
      <c r="D752" s="32" t="s">
        <v>87</v>
      </c>
      <c r="E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3" spans="1:6" x14ac:dyDescent="0.35">
      <c r="A753" s="3">
        <v>43047990447</v>
      </c>
      <c r="B753" s="3">
        <v>322</v>
      </c>
      <c r="C753" s="32">
        <v>49121</v>
      </c>
      <c r="D753" s="32" t="s">
        <v>87</v>
      </c>
      <c r="E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4" spans="1:6" x14ac:dyDescent="0.35">
      <c r="A754" s="3">
        <v>47699480470</v>
      </c>
      <c r="B754" s="3">
        <v>14</v>
      </c>
      <c r="C754" s="32">
        <v>49122</v>
      </c>
      <c r="D754" s="32">
        <v>49154</v>
      </c>
      <c r="E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55" spans="1:6" x14ac:dyDescent="0.35">
      <c r="A755" s="3">
        <v>79054538341</v>
      </c>
      <c r="B755" s="3">
        <v>14</v>
      </c>
      <c r="C755" s="32">
        <v>49122</v>
      </c>
      <c r="D755" s="32">
        <v>49219</v>
      </c>
      <c r="E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56" spans="1:6" x14ac:dyDescent="0.35">
      <c r="A756" s="3">
        <v>70616557469</v>
      </c>
      <c r="B756" s="3">
        <v>19</v>
      </c>
      <c r="C756" s="32">
        <v>49122</v>
      </c>
      <c r="D756" s="32" t="s">
        <v>87</v>
      </c>
      <c r="E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7" spans="1:6" x14ac:dyDescent="0.35">
      <c r="A757" s="3">
        <v>44404908329</v>
      </c>
      <c r="B757" s="3">
        <v>26</v>
      </c>
      <c r="C757" s="32">
        <v>49122</v>
      </c>
      <c r="D757" s="32"/>
      <c r="E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8" spans="1:6" x14ac:dyDescent="0.35">
      <c r="A758" s="3">
        <v>53356730104</v>
      </c>
      <c r="B758" s="3">
        <v>27</v>
      </c>
      <c r="C758" s="32">
        <v>49122</v>
      </c>
      <c r="D758" s="32"/>
      <c r="E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9" spans="1:6" x14ac:dyDescent="0.35">
      <c r="A759" s="3">
        <v>45539195308</v>
      </c>
      <c r="B759" s="3">
        <v>55</v>
      </c>
      <c r="C759" s="32">
        <v>49122</v>
      </c>
      <c r="D759" s="32" t="s">
        <v>87</v>
      </c>
      <c r="E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0" spans="1:6" x14ac:dyDescent="0.35">
      <c r="A760" s="3">
        <v>27812806974</v>
      </c>
      <c r="B760" s="3">
        <v>58</v>
      </c>
      <c r="C760" s="32">
        <v>49122</v>
      </c>
      <c r="D760" s="32"/>
      <c r="E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1" spans="1:6" x14ac:dyDescent="0.35">
      <c r="A761" s="3">
        <v>98403130680</v>
      </c>
      <c r="B761" s="3">
        <v>75</v>
      </c>
      <c r="C761" s="32">
        <v>49122</v>
      </c>
      <c r="D761" s="32">
        <v>49197</v>
      </c>
      <c r="E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62" spans="1:6" x14ac:dyDescent="0.35">
      <c r="A762" s="3">
        <v>81838135784</v>
      </c>
      <c r="B762" s="3">
        <v>81</v>
      </c>
      <c r="C762" s="32">
        <v>49122</v>
      </c>
      <c r="D762" s="32">
        <v>49227</v>
      </c>
      <c r="E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63" spans="1:6" x14ac:dyDescent="0.35">
      <c r="A763" s="3">
        <v>33325467724</v>
      </c>
      <c r="B763" s="3">
        <v>87</v>
      </c>
      <c r="C763" s="32">
        <v>49122</v>
      </c>
      <c r="D763" s="32"/>
      <c r="E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4" spans="1:6" x14ac:dyDescent="0.35">
      <c r="A764" s="3">
        <v>16132224538</v>
      </c>
      <c r="B764" s="3">
        <v>99</v>
      </c>
      <c r="C764" s="32">
        <v>49122</v>
      </c>
      <c r="D764" s="32" t="s">
        <v>87</v>
      </c>
      <c r="E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5" spans="1:6" x14ac:dyDescent="0.35">
      <c r="A765" s="3">
        <v>80604899826</v>
      </c>
      <c r="B765" s="3">
        <v>124</v>
      </c>
      <c r="C765" s="32">
        <v>49122</v>
      </c>
      <c r="D765" s="32" t="s">
        <v>87</v>
      </c>
      <c r="E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6" spans="1:6" x14ac:dyDescent="0.35">
      <c r="A766" s="3">
        <v>53433268697</v>
      </c>
      <c r="B766" s="3">
        <v>133</v>
      </c>
      <c r="C766" s="32">
        <v>49122</v>
      </c>
      <c r="D766" s="32">
        <v>49199</v>
      </c>
      <c r="E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67" spans="1:6" x14ac:dyDescent="0.35">
      <c r="A767" s="3">
        <v>77687226541</v>
      </c>
      <c r="B767" s="3">
        <v>155</v>
      </c>
      <c r="C767" s="32">
        <v>49122</v>
      </c>
      <c r="D767" s="32" t="s">
        <v>87</v>
      </c>
      <c r="E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8" spans="1:6" x14ac:dyDescent="0.35">
      <c r="A768" s="3">
        <v>26513159795</v>
      </c>
      <c r="B768" s="3">
        <v>162</v>
      </c>
      <c r="C768" s="32">
        <v>49122</v>
      </c>
      <c r="D768" s="32" t="s">
        <v>87</v>
      </c>
      <c r="E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9" spans="1:6" x14ac:dyDescent="0.35">
      <c r="A769" s="3">
        <v>48724441539</v>
      </c>
      <c r="B769" s="3">
        <v>163</v>
      </c>
      <c r="C769" s="32">
        <v>49122</v>
      </c>
      <c r="D769" s="32" t="s">
        <v>87</v>
      </c>
      <c r="E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0" spans="1:6" x14ac:dyDescent="0.35">
      <c r="A770" s="3">
        <v>34399707292</v>
      </c>
      <c r="B770" s="3">
        <v>164</v>
      </c>
      <c r="C770" s="32">
        <v>49122</v>
      </c>
      <c r="D770" s="32" t="s">
        <v>87</v>
      </c>
      <c r="E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1" spans="1:6" x14ac:dyDescent="0.35">
      <c r="A771" s="3">
        <v>11443957938</v>
      </c>
      <c r="B771" s="3">
        <v>164</v>
      </c>
      <c r="C771" s="32">
        <v>49122</v>
      </c>
      <c r="D771" s="32" t="s">
        <v>87</v>
      </c>
      <c r="E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2" spans="1:6" x14ac:dyDescent="0.35">
      <c r="A772" s="3">
        <v>32079262178</v>
      </c>
      <c r="B772" s="3">
        <v>177</v>
      </c>
      <c r="C772" s="32">
        <v>49122</v>
      </c>
      <c r="D772" s="32"/>
      <c r="E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3" spans="1:6" x14ac:dyDescent="0.35">
      <c r="A773" s="3">
        <v>36034081109</v>
      </c>
      <c r="B773" s="3">
        <v>177</v>
      </c>
      <c r="C773" s="32">
        <v>49122</v>
      </c>
      <c r="D773" s="32" t="s">
        <v>87</v>
      </c>
      <c r="E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4" spans="1:6" x14ac:dyDescent="0.35">
      <c r="A774" s="3">
        <v>54121901961</v>
      </c>
      <c r="B774" s="3">
        <v>187</v>
      </c>
      <c r="C774" s="32">
        <v>49122</v>
      </c>
      <c r="D774" s="32">
        <v>49200</v>
      </c>
      <c r="E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75" spans="1:6" x14ac:dyDescent="0.35">
      <c r="A775" s="3">
        <v>42469886221</v>
      </c>
      <c r="B775" s="3">
        <v>216</v>
      </c>
      <c r="C775" s="32">
        <v>49122</v>
      </c>
      <c r="D775" s="32" t="s">
        <v>87</v>
      </c>
      <c r="E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6" spans="1:6" x14ac:dyDescent="0.35">
      <c r="A776" s="3">
        <v>39417898936</v>
      </c>
      <c r="B776" s="3">
        <v>218</v>
      </c>
      <c r="C776" s="32">
        <v>49122</v>
      </c>
      <c r="D776" s="32">
        <v>49183</v>
      </c>
      <c r="E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77" spans="1:6" x14ac:dyDescent="0.35">
      <c r="A777" s="3">
        <v>39970754683</v>
      </c>
      <c r="B777" s="3">
        <v>273</v>
      </c>
      <c r="C777" s="32">
        <v>49122</v>
      </c>
      <c r="D777" s="32"/>
      <c r="E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8" spans="1:6" x14ac:dyDescent="0.35">
      <c r="A778" s="3">
        <v>46600302138</v>
      </c>
      <c r="B778" s="3">
        <v>275</v>
      </c>
      <c r="C778" s="32">
        <v>49122</v>
      </c>
      <c r="D778" s="32"/>
      <c r="E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9" spans="1:6" x14ac:dyDescent="0.35">
      <c r="A779" s="3">
        <v>38875344270</v>
      </c>
      <c r="B779" s="3">
        <v>277</v>
      </c>
      <c r="C779" s="32">
        <v>49122</v>
      </c>
      <c r="D779" s="32" t="s">
        <v>87</v>
      </c>
      <c r="E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0" spans="1:6" x14ac:dyDescent="0.35">
      <c r="A780" s="3">
        <v>90104868272</v>
      </c>
      <c r="B780" s="3">
        <v>278</v>
      </c>
      <c r="C780" s="32">
        <v>49122</v>
      </c>
      <c r="D780" s="32"/>
      <c r="E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1" spans="1:6" x14ac:dyDescent="0.35">
      <c r="A781" s="3">
        <v>47881138746</v>
      </c>
      <c r="B781" s="3">
        <v>307</v>
      </c>
      <c r="C781" s="32">
        <v>49122</v>
      </c>
      <c r="D781" s="32" t="s">
        <v>87</v>
      </c>
      <c r="E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2" spans="1:6" x14ac:dyDescent="0.35">
      <c r="A782" s="3">
        <v>61065302537</v>
      </c>
      <c r="B782" s="3">
        <v>322</v>
      </c>
      <c r="C782" s="32">
        <v>49122</v>
      </c>
      <c r="D782" s="32" t="s">
        <v>87</v>
      </c>
      <c r="E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3" spans="1:6" x14ac:dyDescent="0.35">
      <c r="A783" s="3">
        <v>42828927693</v>
      </c>
      <c r="B783" s="3">
        <v>325</v>
      </c>
      <c r="C783" s="32">
        <v>49122</v>
      </c>
      <c r="D783" s="32">
        <v>49168</v>
      </c>
      <c r="E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84" spans="1:6" x14ac:dyDescent="0.35">
      <c r="A784" s="3">
        <v>81924306760</v>
      </c>
      <c r="B784" s="3">
        <v>34</v>
      </c>
      <c r="C784" s="32">
        <v>49123</v>
      </c>
      <c r="D784" s="32" t="s">
        <v>87</v>
      </c>
      <c r="E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5" spans="1:6" x14ac:dyDescent="0.35">
      <c r="A785" s="3">
        <v>58116034858</v>
      </c>
      <c r="B785" s="3">
        <v>38</v>
      </c>
      <c r="C785" s="32">
        <v>49123</v>
      </c>
      <c r="D785" s="32">
        <v>49183</v>
      </c>
      <c r="E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86" spans="1:6" x14ac:dyDescent="0.35">
      <c r="A786" s="3">
        <v>92562281322</v>
      </c>
      <c r="B786" s="3">
        <v>41</v>
      </c>
      <c r="C786" s="32">
        <v>49123</v>
      </c>
      <c r="D786" s="32" t="s">
        <v>87</v>
      </c>
      <c r="E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7" spans="1:6" x14ac:dyDescent="0.35">
      <c r="A787" s="3">
        <v>45536164253</v>
      </c>
      <c r="B787" s="3">
        <v>49</v>
      </c>
      <c r="C787" s="32">
        <v>49123</v>
      </c>
      <c r="D787" s="32"/>
      <c r="E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8" spans="1:6" x14ac:dyDescent="0.35">
      <c r="A788" s="3">
        <v>48706504819</v>
      </c>
      <c r="B788" s="3">
        <v>65</v>
      </c>
      <c r="C788" s="32">
        <v>49123</v>
      </c>
      <c r="D788" s="32" t="s">
        <v>87</v>
      </c>
      <c r="E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9" spans="1:6" x14ac:dyDescent="0.35">
      <c r="A789" s="3">
        <v>74309087993</v>
      </c>
      <c r="B789" s="3">
        <v>79</v>
      </c>
      <c r="C789" s="32">
        <v>49123</v>
      </c>
      <c r="D789" s="32">
        <v>49151</v>
      </c>
      <c r="E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90" spans="1:6" x14ac:dyDescent="0.35">
      <c r="A790" s="3">
        <v>46553557203</v>
      </c>
      <c r="B790" s="3">
        <v>81</v>
      </c>
      <c r="C790" s="32">
        <v>49123</v>
      </c>
      <c r="D790" s="32" t="s">
        <v>87</v>
      </c>
      <c r="E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1" spans="1:6" x14ac:dyDescent="0.35">
      <c r="A791" s="3">
        <v>32924117087</v>
      </c>
      <c r="B791" s="3">
        <v>85</v>
      </c>
      <c r="C791" s="32">
        <v>49123</v>
      </c>
      <c r="D791" s="32" t="s">
        <v>87</v>
      </c>
      <c r="E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2" spans="1:6" x14ac:dyDescent="0.35">
      <c r="A792" s="3">
        <v>21711116675</v>
      </c>
      <c r="B792" s="3">
        <v>87</v>
      </c>
      <c r="C792" s="32">
        <v>49123</v>
      </c>
      <c r="D792" s="32" t="s">
        <v>87</v>
      </c>
      <c r="E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3" spans="1:6" x14ac:dyDescent="0.35">
      <c r="A793" s="3">
        <v>45770135809</v>
      </c>
      <c r="B793" s="3">
        <v>127</v>
      </c>
      <c r="C793" s="32">
        <v>49123</v>
      </c>
      <c r="D793" s="32" t="s">
        <v>87</v>
      </c>
      <c r="E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4" spans="1:6" x14ac:dyDescent="0.35">
      <c r="A794" s="3">
        <v>89149096085</v>
      </c>
      <c r="B794" s="3">
        <v>211</v>
      </c>
      <c r="C794" s="32">
        <v>49123</v>
      </c>
      <c r="D794" s="32">
        <v>49159</v>
      </c>
      <c r="E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95" spans="1:6" x14ac:dyDescent="0.35">
      <c r="A795" s="3">
        <v>12865599957</v>
      </c>
      <c r="B795" s="3">
        <v>213</v>
      </c>
      <c r="C795" s="32">
        <v>49123</v>
      </c>
      <c r="D795" s="32">
        <v>49131</v>
      </c>
      <c r="E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96" spans="1:6" x14ac:dyDescent="0.35">
      <c r="A796" s="3">
        <v>48399733342</v>
      </c>
      <c r="B796" s="3">
        <v>224</v>
      </c>
      <c r="C796" s="32">
        <v>49123</v>
      </c>
      <c r="D796" s="32"/>
      <c r="E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7" spans="1:6" x14ac:dyDescent="0.35">
      <c r="A797" s="3">
        <v>67247070705</v>
      </c>
      <c r="B797" s="3">
        <v>241</v>
      </c>
      <c r="C797" s="32">
        <v>49123</v>
      </c>
      <c r="D797" s="32" t="s">
        <v>87</v>
      </c>
      <c r="E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8" spans="1:6" x14ac:dyDescent="0.35">
      <c r="A798" s="3">
        <v>14547197633</v>
      </c>
      <c r="B798" s="3">
        <v>253</v>
      </c>
      <c r="C798" s="32">
        <v>49123</v>
      </c>
      <c r="D798" s="32" t="s">
        <v>87</v>
      </c>
      <c r="E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9" spans="1:6" x14ac:dyDescent="0.35">
      <c r="A799" s="3">
        <v>48403463231</v>
      </c>
      <c r="B799" s="3">
        <v>257</v>
      </c>
      <c r="C799" s="32">
        <v>49123</v>
      </c>
      <c r="D799" s="32" t="s">
        <v>87</v>
      </c>
      <c r="E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0" spans="1:6" x14ac:dyDescent="0.35">
      <c r="A800" s="3">
        <v>83272360691</v>
      </c>
      <c r="B800" s="3">
        <v>270</v>
      </c>
      <c r="C800" s="32">
        <v>49123</v>
      </c>
      <c r="D800" s="32" t="s">
        <v>87</v>
      </c>
      <c r="E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1" spans="1:6" x14ac:dyDescent="0.35">
      <c r="A801" s="3">
        <v>33154790361</v>
      </c>
      <c r="B801" s="3">
        <v>299</v>
      </c>
      <c r="C801" s="32">
        <v>49123</v>
      </c>
      <c r="D801" s="32" t="s">
        <v>87</v>
      </c>
      <c r="E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2" spans="1:6" x14ac:dyDescent="0.35">
      <c r="A802" s="3">
        <v>23971017017</v>
      </c>
      <c r="B802" s="3">
        <v>301</v>
      </c>
      <c r="C802" s="32">
        <v>49123</v>
      </c>
      <c r="D802" s="32" t="s">
        <v>87</v>
      </c>
      <c r="E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3" spans="1:6" x14ac:dyDescent="0.35">
      <c r="A803" s="3">
        <v>66139149065</v>
      </c>
      <c r="B803" s="3">
        <v>321</v>
      </c>
      <c r="C803" s="32">
        <v>49123</v>
      </c>
      <c r="D803" s="32" t="s">
        <v>87</v>
      </c>
      <c r="E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4" spans="1:6" x14ac:dyDescent="0.35">
      <c r="A804" s="3">
        <v>56811261634</v>
      </c>
      <c r="B804" s="3">
        <v>324</v>
      </c>
      <c r="C804" s="32">
        <v>49123</v>
      </c>
      <c r="D804" s="32"/>
      <c r="E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5" spans="1:6" x14ac:dyDescent="0.35">
      <c r="A805" s="3">
        <v>91557912533</v>
      </c>
      <c r="B805" s="3">
        <v>326</v>
      </c>
      <c r="C805" s="32">
        <v>49123</v>
      </c>
      <c r="D805" s="32"/>
      <c r="E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6" spans="1:6" x14ac:dyDescent="0.35">
      <c r="A806" s="3">
        <v>63741923021</v>
      </c>
      <c r="B806" s="3">
        <v>333</v>
      </c>
      <c r="C806" s="32">
        <v>49123</v>
      </c>
      <c r="D806" s="32" t="s">
        <v>87</v>
      </c>
      <c r="E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7" spans="1:6" x14ac:dyDescent="0.35">
      <c r="A807" s="3">
        <v>87504700820</v>
      </c>
      <c r="B807" s="3">
        <v>5</v>
      </c>
      <c r="C807" s="32">
        <v>49124</v>
      </c>
      <c r="D807" s="32" t="s">
        <v>87</v>
      </c>
      <c r="E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8" spans="1:6" x14ac:dyDescent="0.35">
      <c r="A808" s="3">
        <v>61973555842</v>
      </c>
      <c r="B808" s="3">
        <v>31</v>
      </c>
      <c r="C808" s="32">
        <v>49124</v>
      </c>
      <c r="D808" s="32">
        <v>49189</v>
      </c>
      <c r="E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09" spans="1:6" x14ac:dyDescent="0.35">
      <c r="A809" s="3">
        <v>93944570468</v>
      </c>
      <c r="B809" s="3">
        <v>46</v>
      </c>
      <c r="C809" s="32">
        <v>49124</v>
      </c>
      <c r="D809" s="32" t="s">
        <v>87</v>
      </c>
      <c r="E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0" spans="1:6" x14ac:dyDescent="0.35">
      <c r="A810" s="3">
        <v>81419666440</v>
      </c>
      <c r="B810" s="3">
        <v>54</v>
      </c>
      <c r="C810" s="32">
        <v>49124</v>
      </c>
      <c r="D810" s="32" t="s">
        <v>87</v>
      </c>
      <c r="E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1" spans="1:6" x14ac:dyDescent="0.35">
      <c r="A811" s="3">
        <v>29436738076</v>
      </c>
      <c r="B811" s="3">
        <v>63</v>
      </c>
      <c r="C811" s="32">
        <v>49124</v>
      </c>
      <c r="D811" s="32" t="s">
        <v>87</v>
      </c>
      <c r="E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2" spans="1:6" x14ac:dyDescent="0.35">
      <c r="A812" s="3">
        <v>27060404735</v>
      </c>
      <c r="B812" s="3">
        <v>67</v>
      </c>
      <c r="C812" s="32">
        <v>49124</v>
      </c>
      <c r="D812" s="32" t="s">
        <v>87</v>
      </c>
      <c r="E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3" spans="1:6" x14ac:dyDescent="0.35">
      <c r="A813" s="3">
        <v>45884479832</v>
      </c>
      <c r="B813" s="3">
        <v>74</v>
      </c>
      <c r="C813" s="32">
        <v>49124</v>
      </c>
      <c r="D813" s="32" t="s">
        <v>87</v>
      </c>
      <c r="E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4" spans="1:6" x14ac:dyDescent="0.35">
      <c r="A814" s="3">
        <v>88232186588</v>
      </c>
      <c r="B814" s="3">
        <v>76</v>
      </c>
      <c r="C814" s="32">
        <v>49124</v>
      </c>
      <c r="D814" s="32" t="s">
        <v>87</v>
      </c>
      <c r="E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5" spans="1:6" x14ac:dyDescent="0.35">
      <c r="A815" s="3">
        <v>27137406885</v>
      </c>
      <c r="B815" s="3">
        <v>80</v>
      </c>
      <c r="C815" s="32">
        <v>49124</v>
      </c>
      <c r="D815" s="32" t="s">
        <v>87</v>
      </c>
      <c r="E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6" spans="1:6" x14ac:dyDescent="0.35">
      <c r="A816" s="3">
        <v>18735526676</v>
      </c>
      <c r="B816" s="3">
        <v>106</v>
      </c>
      <c r="C816" s="32">
        <v>49124</v>
      </c>
      <c r="D816" s="32" t="s">
        <v>87</v>
      </c>
      <c r="E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7" spans="1:6" x14ac:dyDescent="0.35">
      <c r="A817" s="3">
        <v>18389132051</v>
      </c>
      <c r="B817" s="3">
        <v>131</v>
      </c>
      <c r="C817" s="32">
        <v>49124</v>
      </c>
      <c r="D817" s="32" t="s">
        <v>87</v>
      </c>
      <c r="E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8" spans="1:6" x14ac:dyDescent="0.35">
      <c r="A818" s="3">
        <v>26675958214</v>
      </c>
      <c r="B818" s="3">
        <v>132</v>
      </c>
      <c r="C818" s="32">
        <v>49124</v>
      </c>
      <c r="D818" s="32" t="s">
        <v>87</v>
      </c>
      <c r="E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9" spans="1:6" x14ac:dyDescent="0.35">
      <c r="A819" s="3">
        <v>53207430505</v>
      </c>
      <c r="B819" s="3">
        <v>156</v>
      </c>
      <c r="C819" s="32">
        <v>49124</v>
      </c>
      <c r="D819" s="32">
        <v>49206</v>
      </c>
      <c r="E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20" spans="1:6" x14ac:dyDescent="0.35">
      <c r="A820" s="3">
        <v>58164715539</v>
      </c>
      <c r="B820" s="3">
        <v>167</v>
      </c>
      <c r="C820" s="32">
        <v>49124</v>
      </c>
      <c r="D820" s="32" t="s">
        <v>87</v>
      </c>
      <c r="E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1" spans="1:6" x14ac:dyDescent="0.35">
      <c r="A821" s="3">
        <v>82939861040</v>
      </c>
      <c r="B821" s="3">
        <v>170</v>
      </c>
      <c r="C821" s="32">
        <v>49124</v>
      </c>
      <c r="D821" s="32" t="s">
        <v>87</v>
      </c>
      <c r="E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2" spans="1:6" x14ac:dyDescent="0.35">
      <c r="A822" s="3">
        <v>43144680688</v>
      </c>
      <c r="B822" s="3">
        <v>172</v>
      </c>
      <c r="C822" s="32">
        <v>49124</v>
      </c>
      <c r="D822" s="32" t="s">
        <v>87</v>
      </c>
      <c r="E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3" spans="1:6" x14ac:dyDescent="0.35">
      <c r="A823" s="3">
        <v>79517428260</v>
      </c>
      <c r="B823" s="3">
        <v>172</v>
      </c>
      <c r="C823" s="32">
        <v>49124</v>
      </c>
      <c r="D823" s="32" t="s">
        <v>87</v>
      </c>
      <c r="E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4" spans="1:6" x14ac:dyDescent="0.35">
      <c r="A824" s="3">
        <v>37667378140</v>
      </c>
      <c r="B824" s="3">
        <v>173</v>
      </c>
      <c r="C824" s="32">
        <v>49124</v>
      </c>
      <c r="D824" s="32" t="s">
        <v>87</v>
      </c>
      <c r="E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5" spans="1:6" x14ac:dyDescent="0.35">
      <c r="A825" s="3">
        <v>78137937475</v>
      </c>
      <c r="B825" s="3">
        <v>210</v>
      </c>
      <c r="C825" s="32">
        <v>49124</v>
      </c>
      <c r="D825" s="32" t="s">
        <v>87</v>
      </c>
      <c r="E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6" spans="1:6" x14ac:dyDescent="0.35">
      <c r="A826" s="3">
        <v>77326099748</v>
      </c>
      <c r="B826" s="3">
        <v>235</v>
      </c>
      <c r="C826" s="32">
        <v>49124</v>
      </c>
      <c r="D826" s="32"/>
      <c r="E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7" spans="1:6" x14ac:dyDescent="0.35">
      <c r="A827" s="3">
        <v>56328586999</v>
      </c>
      <c r="B827" s="3">
        <v>258</v>
      </c>
      <c r="C827" s="32">
        <v>49124</v>
      </c>
      <c r="D827" s="32" t="s">
        <v>87</v>
      </c>
      <c r="E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8" spans="1:6" x14ac:dyDescent="0.35">
      <c r="A828" s="3">
        <v>35531491430</v>
      </c>
      <c r="B828" s="3">
        <v>284</v>
      </c>
      <c r="C828" s="32">
        <v>49124</v>
      </c>
      <c r="D828" s="32" t="s">
        <v>87</v>
      </c>
      <c r="E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9" spans="1:6" x14ac:dyDescent="0.35">
      <c r="A829" s="3">
        <v>53288734842</v>
      </c>
      <c r="B829" s="3">
        <v>304</v>
      </c>
      <c r="C829" s="32">
        <v>49124</v>
      </c>
      <c r="D829" s="32"/>
      <c r="E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0" spans="1:6" x14ac:dyDescent="0.35">
      <c r="A830" s="3">
        <v>88584283836</v>
      </c>
      <c r="B830" s="3">
        <v>331</v>
      </c>
      <c r="C830" s="32">
        <v>49124</v>
      </c>
      <c r="D830" s="32">
        <v>49205</v>
      </c>
      <c r="E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31" spans="1:6" x14ac:dyDescent="0.35">
      <c r="A831" s="3">
        <v>28750443238</v>
      </c>
      <c r="B831" s="3">
        <v>3</v>
      </c>
      <c r="C831" s="32">
        <v>49125</v>
      </c>
      <c r="D831" s="32" t="s">
        <v>87</v>
      </c>
      <c r="E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2" spans="1:6" x14ac:dyDescent="0.35">
      <c r="A832" s="3">
        <v>76041601855</v>
      </c>
      <c r="B832" s="3">
        <v>20</v>
      </c>
      <c r="C832" s="32">
        <v>49125</v>
      </c>
      <c r="D832" s="32">
        <v>49203</v>
      </c>
      <c r="E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33" spans="1:6" x14ac:dyDescent="0.35">
      <c r="A833" s="3">
        <v>82754263583</v>
      </c>
      <c r="B833" s="3">
        <v>30</v>
      </c>
      <c r="C833" s="32">
        <v>49125</v>
      </c>
      <c r="D833" s="32">
        <v>49186</v>
      </c>
      <c r="E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834" spans="1:6" x14ac:dyDescent="0.35">
      <c r="A834" s="3">
        <v>58616609092</v>
      </c>
      <c r="B834" s="3">
        <v>32</v>
      </c>
      <c r="C834" s="32">
        <v>49125</v>
      </c>
      <c r="D834" s="32"/>
      <c r="E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5" spans="1:6" x14ac:dyDescent="0.35">
      <c r="A835" s="3">
        <v>52784225667</v>
      </c>
      <c r="B835" s="3">
        <v>43</v>
      </c>
      <c r="C835" s="32">
        <v>49125</v>
      </c>
      <c r="D835" s="32" t="s">
        <v>87</v>
      </c>
      <c r="E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6" spans="1:6" x14ac:dyDescent="0.35">
      <c r="A836" s="3">
        <v>73538942801</v>
      </c>
      <c r="B836" s="3">
        <v>58</v>
      </c>
      <c r="C836" s="32">
        <v>49125</v>
      </c>
      <c r="D836" s="32" t="s">
        <v>87</v>
      </c>
      <c r="E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7" spans="1:6" x14ac:dyDescent="0.35">
      <c r="A837" s="3">
        <v>98289925565</v>
      </c>
      <c r="B837" s="3">
        <v>80</v>
      </c>
      <c r="C837" s="32">
        <v>49125</v>
      </c>
      <c r="D837" s="32" t="s">
        <v>87</v>
      </c>
      <c r="E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8" spans="1:6" x14ac:dyDescent="0.35">
      <c r="A838" s="3">
        <v>11988368769</v>
      </c>
      <c r="B838" s="3">
        <v>110</v>
      </c>
      <c r="C838" s="32">
        <v>49125</v>
      </c>
      <c r="D838" s="32" t="s">
        <v>87</v>
      </c>
      <c r="E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9" spans="1:6" x14ac:dyDescent="0.35">
      <c r="A839" s="3">
        <v>56187951936</v>
      </c>
      <c r="B839" s="3">
        <v>112</v>
      </c>
      <c r="C839" s="32">
        <v>49125</v>
      </c>
      <c r="D839" s="32">
        <v>49152</v>
      </c>
      <c r="E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40" spans="1:6" x14ac:dyDescent="0.35">
      <c r="A840" s="3">
        <v>73528405165</v>
      </c>
      <c r="B840" s="3">
        <v>119</v>
      </c>
      <c r="C840" s="32">
        <v>49125</v>
      </c>
      <c r="D840" s="32">
        <v>49126</v>
      </c>
      <c r="E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41" spans="1:6" x14ac:dyDescent="0.35">
      <c r="A841" s="3">
        <v>24076084288</v>
      </c>
      <c r="B841" s="3">
        <v>124</v>
      </c>
      <c r="C841" s="32">
        <v>49125</v>
      </c>
      <c r="D841" s="32">
        <v>49178</v>
      </c>
      <c r="E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842" spans="1:6" x14ac:dyDescent="0.35">
      <c r="A842" s="3">
        <v>45140495647</v>
      </c>
      <c r="B842" s="3">
        <v>139</v>
      </c>
      <c r="C842" s="32">
        <v>49125</v>
      </c>
      <c r="D842" s="32" t="s">
        <v>87</v>
      </c>
      <c r="E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3" spans="1:6" x14ac:dyDescent="0.35">
      <c r="A843" s="3">
        <v>77059291140</v>
      </c>
      <c r="B843" s="3">
        <v>152</v>
      </c>
      <c r="C843" s="32">
        <v>49125</v>
      </c>
      <c r="D843" s="32" t="s">
        <v>87</v>
      </c>
      <c r="E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4" spans="1:6" x14ac:dyDescent="0.35">
      <c r="A844" s="3">
        <v>66866342994</v>
      </c>
      <c r="B844" s="3">
        <v>184</v>
      </c>
      <c r="C844" s="32">
        <v>49125</v>
      </c>
      <c r="D844" s="32" t="s">
        <v>87</v>
      </c>
      <c r="E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5" spans="1:6" x14ac:dyDescent="0.35">
      <c r="A845" s="3">
        <v>67602448349</v>
      </c>
      <c r="B845" s="3">
        <v>191</v>
      </c>
      <c r="C845" s="32">
        <v>49125</v>
      </c>
      <c r="D845" s="32" t="s">
        <v>87</v>
      </c>
      <c r="E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6" spans="1:6" x14ac:dyDescent="0.35">
      <c r="A846" s="3">
        <v>80253047093</v>
      </c>
      <c r="B846" s="3">
        <v>236</v>
      </c>
      <c r="C846" s="32">
        <v>49125</v>
      </c>
      <c r="D846" s="32" t="s">
        <v>87</v>
      </c>
      <c r="E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7" spans="1:6" x14ac:dyDescent="0.35">
      <c r="A847" s="3">
        <v>38471034630</v>
      </c>
      <c r="B847" s="3">
        <v>263</v>
      </c>
      <c r="C847" s="32">
        <v>49125</v>
      </c>
      <c r="D847" s="32" t="s">
        <v>87</v>
      </c>
      <c r="E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8" spans="1:6" x14ac:dyDescent="0.35">
      <c r="A848" s="3">
        <v>88730976583</v>
      </c>
      <c r="B848" s="3">
        <v>287</v>
      </c>
      <c r="C848" s="32">
        <v>49125</v>
      </c>
      <c r="D848" s="32" t="s">
        <v>87</v>
      </c>
      <c r="E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9" spans="1:6" x14ac:dyDescent="0.35">
      <c r="A849" s="3">
        <v>39942173399</v>
      </c>
      <c r="B849" s="3">
        <v>291</v>
      </c>
      <c r="C849" s="32">
        <v>49125</v>
      </c>
      <c r="D849" s="32"/>
      <c r="E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0" spans="1:6" x14ac:dyDescent="0.35">
      <c r="A850" s="3">
        <v>81658649032</v>
      </c>
      <c r="B850" s="3">
        <v>292</v>
      </c>
      <c r="C850" s="32">
        <v>49125</v>
      </c>
      <c r="D850" s="32"/>
      <c r="E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1" spans="1:6" x14ac:dyDescent="0.35">
      <c r="A851" s="3">
        <v>35660727677</v>
      </c>
      <c r="B851" s="3">
        <v>311</v>
      </c>
      <c r="C851" s="32">
        <v>49125</v>
      </c>
      <c r="D851" s="32" t="s">
        <v>87</v>
      </c>
      <c r="E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2" spans="1:6" x14ac:dyDescent="0.35">
      <c r="A852" s="3">
        <v>51248643688</v>
      </c>
      <c r="B852" s="3">
        <v>312</v>
      </c>
      <c r="C852" s="32">
        <v>49125</v>
      </c>
      <c r="D852" s="32" t="s">
        <v>87</v>
      </c>
      <c r="E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3" spans="1:6" x14ac:dyDescent="0.35">
      <c r="A853" s="3">
        <v>85597588840</v>
      </c>
      <c r="B853" s="3">
        <v>2</v>
      </c>
      <c r="C853" s="32">
        <v>49126</v>
      </c>
      <c r="D853" s="32" t="s">
        <v>87</v>
      </c>
      <c r="E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4" spans="1:6" x14ac:dyDescent="0.35">
      <c r="A854" s="3">
        <v>92481886532</v>
      </c>
      <c r="B854" s="3">
        <v>23</v>
      </c>
      <c r="C854" s="32">
        <v>49126</v>
      </c>
      <c r="D854" s="32" t="s">
        <v>87</v>
      </c>
      <c r="E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5" spans="1:6" x14ac:dyDescent="0.35">
      <c r="A855" s="3">
        <v>67383012930</v>
      </c>
      <c r="B855" s="3">
        <v>39</v>
      </c>
      <c r="C855" s="32">
        <v>49126</v>
      </c>
      <c r="D855" s="32" t="s">
        <v>87</v>
      </c>
      <c r="E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6" spans="1:6" x14ac:dyDescent="0.35">
      <c r="A856" s="3">
        <v>60974686343</v>
      </c>
      <c r="B856" s="3">
        <v>40</v>
      </c>
      <c r="C856" s="32">
        <v>49126</v>
      </c>
      <c r="D856" s="32" t="s">
        <v>87</v>
      </c>
      <c r="E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7" spans="1:6" x14ac:dyDescent="0.35">
      <c r="A857" s="3">
        <v>86370576590</v>
      </c>
      <c r="B857" s="3">
        <v>46</v>
      </c>
      <c r="C857" s="32">
        <v>49126</v>
      </c>
      <c r="D857" s="32" t="s">
        <v>87</v>
      </c>
      <c r="E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8" spans="1:6" x14ac:dyDescent="0.35">
      <c r="A858" s="3">
        <v>91809130622</v>
      </c>
      <c r="B858" s="3">
        <v>87</v>
      </c>
      <c r="C858" s="32">
        <v>49126</v>
      </c>
      <c r="D858" s="32">
        <v>49152</v>
      </c>
      <c r="E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59" spans="1:6" x14ac:dyDescent="0.35">
      <c r="A859" s="3">
        <v>98051540035</v>
      </c>
      <c r="B859" s="3">
        <v>96</v>
      </c>
      <c r="C859" s="32">
        <v>49126</v>
      </c>
      <c r="D859" s="32">
        <v>49241</v>
      </c>
      <c r="E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60" spans="1:6" x14ac:dyDescent="0.35">
      <c r="A860" s="3">
        <v>13637592571</v>
      </c>
      <c r="B860" s="3">
        <v>96</v>
      </c>
      <c r="C860" s="32">
        <v>49126</v>
      </c>
      <c r="D860" s="32" t="s">
        <v>87</v>
      </c>
      <c r="E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1" spans="1:6" x14ac:dyDescent="0.35">
      <c r="A861" s="3">
        <v>20685575326</v>
      </c>
      <c r="B861" s="3">
        <v>112</v>
      </c>
      <c r="C861" s="32">
        <v>49126</v>
      </c>
      <c r="D861" s="32" t="s">
        <v>87</v>
      </c>
      <c r="E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2" spans="1:6" x14ac:dyDescent="0.35">
      <c r="A862" s="3">
        <v>59373563851</v>
      </c>
      <c r="B862" s="3">
        <v>120</v>
      </c>
      <c r="C862" s="32">
        <v>49126</v>
      </c>
      <c r="D862" s="32" t="s">
        <v>87</v>
      </c>
      <c r="E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3" spans="1:6" x14ac:dyDescent="0.35">
      <c r="A863" s="3">
        <v>92336037120</v>
      </c>
      <c r="B863" s="3">
        <v>161</v>
      </c>
      <c r="C863" s="32">
        <v>49126</v>
      </c>
      <c r="D863" s="32" t="s">
        <v>87</v>
      </c>
      <c r="E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4" spans="1:6" x14ac:dyDescent="0.35">
      <c r="A864" s="3">
        <v>37355318107</v>
      </c>
      <c r="B864" s="3">
        <v>172</v>
      </c>
      <c r="C864" s="32">
        <v>49126</v>
      </c>
      <c r="D864" s="32">
        <v>49197</v>
      </c>
      <c r="E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65" spans="1:6" x14ac:dyDescent="0.35">
      <c r="A865" s="3">
        <v>30487113130</v>
      </c>
      <c r="B865" s="3">
        <v>175</v>
      </c>
      <c r="C865" s="32">
        <v>49126</v>
      </c>
      <c r="D865" s="32">
        <v>49129</v>
      </c>
      <c r="E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66" spans="1:6" x14ac:dyDescent="0.35">
      <c r="A866" s="3">
        <v>96454120029</v>
      </c>
      <c r="B866" s="3">
        <v>180</v>
      </c>
      <c r="C866" s="32">
        <v>49126</v>
      </c>
      <c r="D866" s="32" t="s">
        <v>87</v>
      </c>
      <c r="E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7" spans="1:6" x14ac:dyDescent="0.35">
      <c r="A867" s="3">
        <v>73547296448</v>
      </c>
      <c r="B867" s="3">
        <v>184</v>
      </c>
      <c r="C867" s="32">
        <v>49126</v>
      </c>
      <c r="D867" s="32" t="s">
        <v>87</v>
      </c>
      <c r="E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8" spans="1:6" x14ac:dyDescent="0.35">
      <c r="A868" s="3">
        <v>91122993858</v>
      </c>
      <c r="B868" s="3">
        <v>190</v>
      </c>
      <c r="C868" s="32">
        <v>49126</v>
      </c>
      <c r="D868" s="32">
        <v>49196</v>
      </c>
      <c r="E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69" spans="1:6" x14ac:dyDescent="0.35">
      <c r="A869" s="3">
        <v>82438682711</v>
      </c>
      <c r="B869" s="3">
        <v>190</v>
      </c>
      <c r="C869" s="32">
        <v>49126</v>
      </c>
      <c r="D869" s="32" t="s">
        <v>87</v>
      </c>
      <c r="E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0" spans="1:6" x14ac:dyDescent="0.35">
      <c r="A870" s="3">
        <v>92193766367</v>
      </c>
      <c r="B870" s="3">
        <v>196</v>
      </c>
      <c r="C870" s="32">
        <v>49126</v>
      </c>
      <c r="D870" s="32" t="s">
        <v>87</v>
      </c>
      <c r="E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1" spans="1:6" x14ac:dyDescent="0.35">
      <c r="A871" s="3">
        <v>58089163987</v>
      </c>
      <c r="B871" s="3">
        <v>220</v>
      </c>
      <c r="C871" s="32">
        <v>49126</v>
      </c>
      <c r="D871" s="32" t="s">
        <v>87</v>
      </c>
      <c r="E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2" spans="1:6" x14ac:dyDescent="0.35">
      <c r="A872" s="3">
        <v>33861321904</v>
      </c>
      <c r="B872" s="3">
        <v>232</v>
      </c>
      <c r="C872" s="32">
        <v>49126</v>
      </c>
      <c r="D872" s="32" t="s">
        <v>87</v>
      </c>
      <c r="E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3" spans="1:6" x14ac:dyDescent="0.35">
      <c r="A873" s="3">
        <v>76058655338</v>
      </c>
      <c r="B873" s="3">
        <v>238</v>
      </c>
      <c r="C873" s="32">
        <v>49126</v>
      </c>
      <c r="D873" s="32" t="s">
        <v>87</v>
      </c>
      <c r="E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4" spans="1:6" x14ac:dyDescent="0.35">
      <c r="A874" s="3">
        <v>91836022701</v>
      </c>
      <c r="B874" s="3">
        <v>245</v>
      </c>
      <c r="C874" s="32">
        <v>49126</v>
      </c>
      <c r="D874" s="32" t="s">
        <v>87</v>
      </c>
      <c r="E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5" spans="1:6" x14ac:dyDescent="0.35">
      <c r="A875" s="3">
        <v>21376510085</v>
      </c>
      <c r="B875" s="3">
        <v>260</v>
      </c>
      <c r="C875" s="32">
        <v>49126</v>
      </c>
      <c r="D875" s="32" t="s">
        <v>87</v>
      </c>
      <c r="E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6" spans="1:6" x14ac:dyDescent="0.35">
      <c r="A876" s="3">
        <v>25148112272</v>
      </c>
      <c r="B876" s="3">
        <v>261</v>
      </c>
      <c r="C876" s="32">
        <v>49126</v>
      </c>
      <c r="D876" s="32" t="s">
        <v>87</v>
      </c>
      <c r="E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7" spans="1:6" x14ac:dyDescent="0.35">
      <c r="A877" s="3">
        <v>35233435278</v>
      </c>
      <c r="B877" s="3">
        <v>268</v>
      </c>
      <c r="C877" s="32">
        <v>49126</v>
      </c>
      <c r="D877" s="32" t="s">
        <v>87</v>
      </c>
      <c r="E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8" spans="1:6" x14ac:dyDescent="0.35">
      <c r="A878" s="3">
        <v>26257771630</v>
      </c>
      <c r="B878" s="3">
        <v>274</v>
      </c>
      <c r="C878" s="32">
        <v>49126</v>
      </c>
      <c r="D878" s="32"/>
      <c r="E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9" spans="1:6" x14ac:dyDescent="0.35">
      <c r="A879" s="3">
        <v>21842597103</v>
      </c>
      <c r="B879" s="3">
        <v>289</v>
      </c>
      <c r="C879" s="32">
        <v>49126</v>
      </c>
      <c r="D879" s="32" t="s">
        <v>87</v>
      </c>
      <c r="E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0" spans="1:6" x14ac:dyDescent="0.35">
      <c r="A880" s="3">
        <v>61148579356</v>
      </c>
      <c r="B880" s="3">
        <v>289</v>
      </c>
      <c r="C880" s="32">
        <v>49126</v>
      </c>
      <c r="D880" s="32" t="s">
        <v>87</v>
      </c>
      <c r="E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1" spans="1:6" x14ac:dyDescent="0.35">
      <c r="A881" s="3">
        <v>69195622129</v>
      </c>
      <c r="B881" s="3">
        <v>312</v>
      </c>
      <c r="C881" s="32">
        <v>49126</v>
      </c>
      <c r="D881" s="32" t="s">
        <v>87</v>
      </c>
      <c r="E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2" spans="1:6" x14ac:dyDescent="0.35">
      <c r="A882" s="3">
        <v>38155186358</v>
      </c>
      <c r="B882" s="3">
        <v>332</v>
      </c>
      <c r="C882" s="32">
        <v>49126</v>
      </c>
      <c r="D882" s="32"/>
      <c r="E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3" spans="1:6" x14ac:dyDescent="0.35">
      <c r="A883" s="3">
        <v>14162203218</v>
      </c>
      <c r="B883" s="3">
        <v>336</v>
      </c>
      <c r="C883" s="32">
        <v>49126</v>
      </c>
      <c r="D883" s="32" t="s">
        <v>87</v>
      </c>
      <c r="E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4" spans="1:6" x14ac:dyDescent="0.35">
      <c r="A884" s="3">
        <v>14506369237</v>
      </c>
      <c r="B884" s="3">
        <v>1</v>
      </c>
      <c r="C884" s="32">
        <v>49127</v>
      </c>
      <c r="D884" s="32">
        <v>49231</v>
      </c>
      <c r="E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85" spans="1:6" x14ac:dyDescent="0.35">
      <c r="A885" s="3">
        <v>75278138310</v>
      </c>
      <c r="B885" s="3">
        <v>5</v>
      </c>
      <c r="C885" s="32">
        <v>49127</v>
      </c>
      <c r="D885" s="32">
        <v>49234</v>
      </c>
      <c r="E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86" spans="1:6" x14ac:dyDescent="0.35">
      <c r="A886" s="3">
        <v>33055692727</v>
      </c>
      <c r="B886" s="3">
        <v>17</v>
      </c>
      <c r="C886" s="32">
        <v>49127</v>
      </c>
      <c r="D886" s="32" t="s">
        <v>87</v>
      </c>
      <c r="E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7" spans="1:6" x14ac:dyDescent="0.35">
      <c r="A887" s="3">
        <v>55651533536</v>
      </c>
      <c r="B887" s="3">
        <v>39</v>
      </c>
      <c r="C887" s="32">
        <v>49127</v>
      </c>
      <c r="D887" s="32" t="s">
        <v>87</v>
      </c>
      <c r="E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8" spans="1:6" x14ac:dyDescent="0.35">
      <c r="A888" s="3">
        <v>73482366047</v>
      </c>
      <c r="B888" s="3">
        <v>43</v>
      </c>
      <c r="C888" s="32">
        <v>49127</v>
      </c>
      <c r="D888" s="32" t="s">
        <v>87</v>
      </c>
      <c r="E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9" spans="1:6" x14ac:dyDescent="0.35">
      <c r="A889" s="3">
        <v>95890894836</v>
      </c>
      <c r="B889" s="3">
        <v>47</v>
      </c>
      <c r="C889" s="32">
        <v>49127</v>
      </c>
      <c r="D889" s="32"/>
      <c r="E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0" spans="1:6" x14ac:dyDescent="0.35">
      <c r="A890" s="3">
        <v>48698908159</v>
      </c>
      <c r="B890" s="3">
        <v>49</v>
      </c>
      <c r="C890" s="32">
        <v>49127</v>
      </c>
      <c r="D890" s="32" t="s">
        <v>87</v>
      </c>
      <c r="E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1" spans="1:6" x14ac:dyDescent="0.35">
      <c r="A891" s="3">
        <v>68199923393</v>
      </c>
      <c r="B891" s="3">
        <v>53</v>
      </c>
      <c r="C891" s="32">
        <v>49127</v>
      </c>
      <c r="D891" s="32"/>
      <c r="E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2" spans="1:6" x14ac:dyDescent="0.35">
      <c r="A892" s="3">
        <v>29465609449</v>
      </c>
      <c r="B892" s="3">
        <v>57</v>
      </c>
      <c r="C892" s="32">
        <v>49127</v>
      </c>
      <c r="D892" s="32" t="s">
        <v>87</v>
      </c>
      <c r="E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3" spans="1:6" x14ac:dyDescent="0.35">
      <c r="A893" s="3">
        <v>31183270027</v>
      </c>
      <c r="B893" s="3">
        <v>96</v>
      </c>
      <c r="C893" s="32">
        <v>49127</v>
      </c>
      <c r="D893" s="32" t="s">
        <v>87</v>
      </c>
      <c r="E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4" spans="1:6" x14ac:dyDescent="0.35">
      <c r="A894" s="3">
        <v>82209764401</v>
      </c>
      <c r="B894" s="3">
        <v>130</v>
      </c>
      <c r="C894" s="32">
        <v>49127</v>
      </c>
      <c r="D894" s="32" t="s">
        <v>87</v>
      </c>
      <c r="E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5" spans="1:6" x14ac:dyDescent="0.35">
      <c r="A895" s="3">
        <v>24331051008</v>
      </c>
      <c r="B895" s="3">
        <v>136</v>
      </c>
      <c r="C895" s="32">
        <v>49127</v>
      </c>
      <c r="D895" s="32" t="s">
        <v>87</v>
      </c>
      <c r="E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6" spans="1:6" x14ac:dyDescent="0.35">
      <c r="A896" s="3">
        <v>11898312281</v>
      </c>
      <c r="B896" s="3">
        <v>137</v>
      </c>
      <c r="C896" s="32">
        <v>49127</v>
      </c>
      <c r="D896" s="32">
        <v>49190</v>
      </c>
      <c r="E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97" spans="1:6" x14ac:dyDescent="0.35">
      <c r="A897" s="3">
        <v>87078594163</v>
      </c>
      <c r="B897" s="3">
        <v>156</v>
      </c>
      <c r="C897" s="32">
        <v>49127</v>
      </c>
      <c r="D897" s="32">
        <v>49218</v>
      </c>
      <c r="E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98" spans="1:6" x14ac:dyDescent="0.35">
      <c r="A898" s="3">
        <v>55898908290</v>
      </c>
      <c r="B898" s="3">
        <v>164</v>
      </c>
      <c r="C898" s="32">
        <v>49127</v>
      </c>
      <c r="D898" s="32" t="s">
        <v>87</v>
      </c>
      <c r="E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9" spans="1:6" x14ac:dyDescent="0.35">
      <c r="A899" s="3">
        <v>30932071097</v>
      </c>
      <c r="B899" s="3">
        <v>195</v>
      </c>
      <c r="C899" s="32">
        <v>49127</v>
      </c>
      <c r="D899" s="32" t="s">
        <v>87</v>
      </c>
      <c r="E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0" spans="1:6" x14ac:dyDescent="0.35">
      <c r="A900" s="3">
        <v>76676708268</v>
      </c>
      <c r="B900" s="3">
        <v>199</v>
      </c>
      <c r="C900" s="32">
        <v>49127</v>
      </c>
      <c r="D900" s="32" t="s">
        <v>87</v>
      </c>
      <c r="E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1" spans="1:6" x14ac:dyDescent="0.35">
      <c r="A901" s="3">
        <v>88583341190</v>
      </c>
      <c r="B901" s="3">
        <v>200</v>
      </c>
      <c r="C901" s="32">
        <v>49127</v>
      </c>
      <c r="D901" s="32" t="s">
        <v>87</v>
      </c>
      <c r="E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2" spans="1:6" x14ac:dyDescent="0.35">
      <c r="A902" s="3">
        <v>14278083367</v>
      </c>
      <c r="B902" s="3">
        <v>253</v>
      </c>
      <c r="C902" s="32">
        <v>49127</v>
      </c>
      <c r="D902" s="32"/>
      <c r="E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3" spans="1:6" x14ac:dyDescent="0.35">
      <c r="A903" s="3">
        <v>44728123168</v>
      </c>
      <c r="B903" s="3">
        <v>272</v>
      </c>
      <c r="C903" s="32">
        <v>49127</v>
      </c>
      <c r="D903" s="32">
        <v>49245</v>
      </c>
      <c r="E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04" spans="1:6" x14ac:dyDescent="0.35">
      <c r="A904" s="3">
        <v>36571233624</v>
      </c>
      <c r="B904" s="3">
        <v>280</v>
      </c>
      <c r="C904" s="32">
        <v>49127</v>
      </c>
      <c r="D904" s="32"/>
      <c r="E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5" spans="1:6" x14ac:dyDescent="0.35">
      <c r="A905" s="3">
        <v>17294567116</v>
      </c>
      <c r="B905" s="3">
        <v>286</v>
      </c>
      <c r="C905" s="32">
        <v>49127</v>
      </c>
      <c r="D905" s="32">
        <v>49134</v>
      </c>
      <c r="E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06" spans="1:6" x14ac:dyDescent="0.35">
      <c r="A906" s="3">
        <v>62715446958</v>
      </c>
      <c r="B906" s="3">
        <v>329</v>
      </c>
      <c r="C906" s="32">
        <v>49127</v>
      </c>
      <c r="D906" s="32"/>
      <c r="E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7" spans="1:6" x14ac:dyDescent="0.35">
      <c r="A907" s="3">
        <v>21152426434</v>
      </c>
      <c r="B907" s="3">
        <v>335</v>
      </c>
      <c r="C907" s="32">
        <v>49127</v>
      </c>
      <c r="D907" s="32" t="s">
        <v>87</v>
      </c>
      <c r="E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8" spans="1:6" x14ac:dyDescent="0.35">
      <c r="A908" s="3">
        <v>71051588983</v>
      </c>
      <c r="B908" s="3">
        <v>22</v>
      </c>
      <c r="C908" s="32">
        <v>49128</v>
      </c>
      <c r="D908" s="32">
        <v>49228</v>
      </c>
      <c r="E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09" spans="1:6" x14ac:dyDescent="0.35">
      <c r="A909" s="3">
        <v>63866622804</v>
      </c>
      <c r="B909" s="3">
        <v>27</v>
      </c>
      <c r="C909" s="32">
        <v>49128</v>
      </c>
      <c r="D909" s="32">
        <v>49166</v>
      </c>
      <c r="E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10" spans="1:6" x14ac:dyDescent="0.35">
      <c r="A910" s="3">
        <v>80684223971</v>
      </c>
      <c r="B910" s="3">
        <v>28</v>
      </c>
      <c r="C910" s="32">
        <v>49128</v>
      </c>
      <c r="D910" s="32" t="s">
        <v>87</v>
      </c>
      <c r="E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1" spans="1:6" x14ac:dyDescent="0.35">
      <c r="A911" s="3">
        <v>87648209992</v>
      </c>
      <c r="B911" s="3">
        <v>42</v>
      </c>
      <c r="C911" s="32">
        <v>49128</v>
      </c>
      <c r="D911" s="32" t="s">
        <v>87</v>
      </c>
      <c r="E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2" spans="1:6" x14ac:dyDescent="0.35">
      <c r="A912" s="3">
        <v>13317253263</v>
      </c>
      <c r="B912" s="3">
        <v>50</v>
      </c>
      <c r="C912" s="32">
        <v>49128</v>
      </c>
      <c r="D912" s="32" t="s">
        <v>87</v>
      </c>
      <c r="E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3" spans="1:6" x14ac:dyDescent="0.35">
      <c r="A913" s="3">
        <v>99978378492</v>
      </c>
      <c r="B913" s="3">
        <v>50</v>
      </c>
      <c r="C913" s="32">
        <v>49128</v>
      </c>
      <c r="D913" s="32" t="s">
        <v>87</v>
      </c>
      <c r="E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4" spans="1:6" x14ac:dyDescent="0.35">
      <c r="A914" s="3">
        <v>82427963656</v>
      </c>
      <c r="B914" s="3">
        <v>52</v>
      </c>
      <c r="C914" s="32">
        <v>49128</v>
      </c>
      <c r="D914" s="32"/>
      <c r="E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5" spans="1:6" x14ac:dyDescent="0.35">
      <c r="A915" s="3">
        <v>84435766652</v>
      </c>
      <c r="B915" s="3">
        <v>96</v>
      </c>
      <c r="C915" s="32">
        <v>49128</v>
      </c>
      <c r="D915" s="32">
        <v>49239</v>
      </c>
      <c r="E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16" spans="1:6" x14ac:dyDescent="0.35">
      <c r="A916" s="3">
        <v>35427365921</v>
      </c>
      <c r="B916" s="3">
        <v>106</v>
      </c>
      <c r="C916" s="32">
        <v>49128</v>
      </c>
      <c r="D916" s="32" t="s">
        <v>87</v>
      </c>
      <c r="E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7" spans="1:6" x14ac:dyDescent="0.35">
      <c r="A917" s="3">
        <v>19748476661</v>
      </c>
      <c r="B917" s="3">
        <v>131</v>
      </c>
      <c r="C917" s="32">
        <v>49128</v>
      </c>
      <c r="D917" s="32">
        <v>49193</v>
      </c>
      <c r="E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18" spans="1:6" x14ac:dyDescent="0.35">
      <c r="A918" s="3">
        <v>75773453186</v>
      </c>
      <c r="B918" s="3">
        <v>139</v>
      </c>
      <c r="C918" s="32">
        <v>49128</v>
      </c>
      <c r="D918" s="32" t="s">
        <v>87</v>
      </c>
      <c r="E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9" spans="1:6" x14ac:dyDescent="0.35">
      <c r="A919" s="3">
        <v>20793290391</v>
      </c>
      <c r="B919" s="3">
        <v>141</v>
      </c>
      <c r="C919" s="32">
        <v>49128</v>
      </c>
      <c r="D919" s="32">
        <v>49175</v>
      </c>
      <c r="E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20" spans="1:6" x14ac:dyDescent="0.35">
      <c r="A920" s="3">
        <v>60035900277</v>
      </c>
      <c r="B920" s="3">
        <v>144</v>
      </c>
      <c r="C920" s="32">
        <v>49128</v>
      </c>
      <c r="D920" s="32" t="s">
        <v>87</v>
      </c>
      <c r="E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1" spans="1:6" x14ac:dyDescent="0.35">
      <c r="A921" s="3">
        <v>38262429586</v>
      </c>
      <c r="B921" s="3">
        <v>156</v>
      </c>
      <c r="C921" s="32">
        <v>49128</v>
      </c>
      <c r="D921" s="32" t="s">
        <v>87</v>
      </c>
      <c r="E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2" spans="1:6" x14ac:dyDescent="0.35">
      <c r="A922" s="3">
        <v>40807810151</v>
      </c>
      <c r="B922" s="3">
        <v>181</v>
      </c>
      <c r="C922" s="32">
        <v>49128</v>
      </c>
      <c r="D922" s="32"/>
      <c r="E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3" spans="1:6" x14ac:dyDescent="0.35">
      <c r="A923" s="3">
        <v>81690402837</v>
      </c>
      <c r="B923" s="3">
        <v>199</v>
      </c>
      <c r="C923" s="32">
        <v>49128</v>
      </c>
      <c r="D923" s="32">
        <v>49239</v>
      </c>
      <c r="E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24" spans="1:6" x14ac:dyDescent="0.35">
      <c r="A924" s="3">
        <v>87707724896</v>
      </c>
      <c r="B924" s="3">
        <v>237</v>
      </c>
      <c r="C924" s="32">
        <v>49128</v>
      </c>
      <c r="D924" s="32" t="s">
        <v>87</v>
      </c>
      <c r="E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5" spans="1:6" x14ac:dyDescent="0.35">
      <c r="A925" s="3">
        <v>57781674671</v>
      </c>
      <c r="B925" s="3">
        <v>246</v>
      </c>
      <c r="C925" s="32">
        <v>49128</v>
      </c>
      <c r="D925" s="32">
        <v>49133</v>
      </c>
      <c r="E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26" spans="1:6" x14ac:dyDescent="0.35">
      <c r="A926" s="3">
        <v>22204674324</v>
      </c>
      <c r="B926" s="3">
        <v>277</v>
      </c>
      <c r="C926" s="32">
        <v>49128</v>
      </c>
      <c r="D926" s="32" t="s">
        <v>87</v>
      </c>
      <c r="E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7" spans="1:6" x14ac:dyDescent="0.35">
      <c r="A927" s="3">
        <v>39382682676</v>
      </c>
      <c r="B927" s="3">
        <v>283</v>
      </c>
      <c r="C927" s="32">
        <v>49128</v>
      </c>
      <c r="D927" s="32" t="s">
        <v>87</v>
      </c>
      <c r="E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8" spans="1:6" x14ac:dyDescent="0.35">
      <c r="A928" s="3">
        <v>49939236227</v>
      </c>
      <c r="B928" s="3">
        <v>288</v>
      </c>
      <c r="C928" s="32">
        <v>49128</v>
      </c>
      <c r="D928" s="32" t="s">
        <v>87</v>
      </c>
      <c r="E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9" spans="1:6" x14ac:dyDescent="0.35">
      <c r="A929" s="3">
        <v>33727478211</v>
      </c>
      <c r="B929" s="3">
        <v>296</v>
      </c>
      <c r="C929" s="32">
        <v>49128</v>
      </c>
      <c r="D929" s="32" t="s">
        <v>87</v>
      </c>
      <c r="E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0" spans="1:6" x14ac:dyDescent="0.35">
      <c r="A930" s="3">
        <v>18570918924</v>
      </c>
      <c r="B930" s="3">
        <v>305</v>
      </c>
      <c r="C930" s="32">
        <v>49128</v>
      </c>
      <c r="D930" s="32">
        <v>49193</v>
      </c>
      <c r="E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31" spans="1:6" x14ac:dyDescent="0.35">
      <c r="A931" s="3">
        <v>94339233802</v>
      </c>
      <c r="B931" s="3">
        <v>313</v>
      </c>
      <c r="C931" s="32">
        <v>49128</v>
      </c>
      <c r="D931" s="32">
        <v>49131</v>
      </c>
      <c r="E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32" spans="1:6" x14ac:dyDescent="0.35">
      <c r="A932" s="3">
        <v>58119032587</v>
      </c>
      <c r="B932" s="3">
        <v>320</v>
      </c>
      <c r="C932" s="32">
        <v>49128</v>
      </c>
      <c r="D932" s="32" t="s">
        <v>87</v>
      </c>
      <c r="E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3" spans="1:6" x14ac:dyDescent="0.35">
      <c r="A933" s="3">
        <v>64102121145</v>
      </c>
      <c r="B933" s="3">
        <v>335</v>
      </c>
      <c r="C933" s="32">
        <v>49128</v>
      </c>
      <c r="D933" s="32" t="s">
        <v>87</v>
      </c>
      <c r="E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4" spans="1:6" x14ac:dyDescent="0.35">
      <c r="A934" s="3">
        <v>22001153346</v>
      </c>
      <c r="B934" s="3">
        <v>11</v>
      </c>
      <c r="C934" s="32">
        <v>49129</v>
      </c>
      <c r="D934" s="32" t="s">
        <v>87</v>
      </c>
      <c r="E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5" spans="1:6" x14ac:dyDescent="0.35">
      <c r="A935" s="3">
        <v>15233929936</v>
      </c>
      <c r="B935" s="3">
        <v>25</v>
      </c>
      <c r="C935" s="32">
        <v>49129</v>
      </c>
      <c r="D935" s="32">
        <v>49229</v>
      </c>
      <c r="E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36" spans="1:6" x14ac:dyDescent="0.35">
      <c r="A936" s="3">
        <v>36360576085</v>
      </c>
      <c r="B936" s="3">
        <v>48</v>
      </c>
      <c r="C936" s="32">
        <v>49129</v>
      </c>
      <c r="D936" s="32" t="s">
        <v>87</v>
      </c>
      <c r="E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7" spans="1:6" x14ac:dyDescent="0.35">
      <c r="A937" s="3">
        <v>94880719426</v>
      </c>
      <c r="B937" s="3">
        <v>54</v>
      </c>
      <c r="C937" s="32">
        <v>49129</v>
      </c>
      <c r="D937" s="32" t="s">
        <v>87</v>
      </c>
      <c r="E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8" spans="1:6" x14ac:dyDescent="0.35">
      <c r="A938" s="3">
        <v>54620706745</v>
      </c>
      <c r="B938" s="3">
        <v>55</v>
      </c>
      <c r="C938" s="32">
        <v>49129</v>
      </c>
      <c r="D938" s="32"/>
      <c r="E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9" spans="1:6" x14ac:dyDescent="0.35">
      <c r="A939" s="3">
        <v>15335905269</v>
      </c>
      <c r="B939" s="3">
        <v>85</v>
      </c>
      <c r="C939" s="32">
        <v>49129</v>
      </c>
      <c r="D939" s="32" t="s">
        <v>87</v>
      </c>
      <c r="E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0" spans="1:6" x14ac:dyDescent="0.35">
      <c r="A940" s="3">
        <v>48725289104</v>
      </c>
      <c r="B940" s="3">
        <v>88</v>
      </c>
      <c r="C940" s="32">
        <v>49129</v>
      </c>
      <c r="D940" s="32" t="s">
        <v>87</v>
      </c>
      <c r="E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1" spans="1:6" x14ac:dyDescent="0.35">
      <c r="A941" s="3">
        <v>94864439735</v>
      </c>
      <c r="B941" s="3">
        <v>102</v>
      </c>
      <c r="C941" s="32">
        <v>49129</v>
      </c>
      <c r="D941" s="32">
        <v>49200</v>
      </c>
      <c r="E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42" spans="1:6" x14ac:dyDescent="0.35">
      <c r="A942" s="3">
        <v>63931672081</v>
      </c>
      <c r="B942" s="3">
        <v>103</v>
      </c>
      <c r="C942" s="32">
        <v>49129</v>
      </c>
      <c r="D942" s="32">
        <v>49175</v>
      </c>
      <c r="E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43" spans="1:6" x14ac:dyDescent="0.35">
      <c r="A943" s="3">
        <v>90471655199</v>
      </c>
      <c r="B943" s="3">
        <v>105</v>
      </c>
      <c r="C943" s="32">
        <v>49129</v>
      </c>
      <c r="D943" s="32" t="s">
        <v>87</v>
      </c>
      <c r="E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4" spans="1:6" x14ac:dyDescent="0.35">
      <c r="A944" s="3">
        <v>36591141070</v>
      </c>
      <c r="B944" s="3">
        <v>115</v>
      </c>
      <c r="C944" s="32">
        <v>49129</v>
      </c>
      <c r="D944" s="32">
        <v>49207</v>
      </c>
      <c r="E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45" spans="1:6" x14ac:dyDescent="0.35">
      <c r="A945" s="3">
        <v>24965621616</v>
      </c>
      <c r="B945" s="3">
        <v>142</v>
      </c>
      <c r="C945" s="32">
        <v>49129</v>
      </c>
      <c r="D945" s="32" t="s">
        <v>87</v>
      </c>
      <c r="E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6" spans="1:6" x14ac:dyDescent="0.35">
      <c r="A946" s="3">
        <v>85202821059</v>
      </c>
      <c r="B946" s="3">
        <v>157</v>
      </c>
      <c r="C946" s="32">
        <v>49129</v>
      </c>
      <c r="D946" s="32">
        <v>49130</v>
      </c>
      <c r="E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47" spans="1:6" x14ac:dyDescent="0.35">
      <c r="A947" s="3">
        <v>63743097516</v>
      </c>
      <c r="B947" s="3">
        <v>163</v>
      </c>
      <c r="C947" s="32">
        <v>49129</v>
      </c>
      <c r="D947" s="32" t="s">
        <v>87</v>
      </c>
      <c r="E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8" spans="1:6" x14ac:dyDescent="0.35">
      <c r="A948" s="3">
        <v>61676886514</v>
      </c>
      <c r="B948" s="3">
        <v>163</v>
      </c>
      <c r="C948" s="32">
        <v>49129</v>
      </c>
      <c r="D948" s="32" t="s">
        <v>87</v>
      </c>
      <c r="E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9" spans="1:6" x14ac:dyDescent="0.35">
      <c r="A949" s="3">
        <v>69588527557</v>
      </c>
      <c r="B949" s="3">
        <v>171</v>
      </c>
      <c r="C949" s="32">
        <v>49129</v>
      </c>
      <c r="D949" s="32"/>
      <c r="E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0" spans="1:6" x14ac:dyDescent="0.35">
      <c r="A950" s="3">
        <v>97186100003</v>
      </c>
      <c r="B950" s="3">
        <v>173</v>
      </c>
      <c r="C950" s="32">
        <v>49129</v>
      </c>
      <c r="D950" s="32" t="s">
        <v>87</v>
      </c>
      <c r="E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1" spans="1:6" x14ac:dyDescent="0.35">
      <c r="A951" s="3">
        <v>31475179914</v>
      </c>
      <c r="B951" s="3">
        <v>180</v>
      </c>
      <c r="C951" s="32">
        <v>49129</v>
      </c>
      <c r="D951" s="32" t="s">
        <v>87</v>
      </c>
      <c r="E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2" spans="1:6" x14ac:dyDescent="0.35">
      <c r="A952" s="3">
        <v>40596272278</v>
      </c>
      <c r="B952" s="3">
        <v>180</v>
      </c>
      <c r="C952" s="32">
        <v>49129</v>
      </c>
      <c r="D952" s="32"/>
      <c r="E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3" spans="1:6" x14ac:dyDescent="0.35">
      <c r="A953" s="3">
        <v>99027420975</v>
      </c>
      <c r="B953" s="3">
        <v>216</v>
      </c>
      <c r="C953" s="32">
        <v>49129</v>
      </c>
      <c r="D953" s="32" t="s">
        <v>87</v>
      </c>
      <c r="E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4" spans="1:6" x14ac:dyDescent="0.35">
      <c r="A954" s="3">
        <v>53465157692</v>
      </c>
      <c r="B954" s="3">
        <v>227</v>
      </c>
      <c r="C954" s="32">
        <v>49129</v>
      </c>
      <c r="D954" s="32" t="s">
        <v>87</v>
      </c>
      <c r="E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5" spans="1:6" x14ac:dyDescent="0.35">
      <c r="A955" s="3">
        <v>38677598171</v>
      </c>
      <c r="B955" s="3">
        <v>232</v>
      </c>
      <c r="C955" s="32">
        <v>49129</v>
      </c>
      <c r="D955" s="32" t="s">
        <v>87</v>
      </c>
      <c r="E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6" spans="1:6" x14ac:dyDescent="0.35">
      <c r="A956" s="3">
        <v>22357882899</v>
      </c>
      <c r="B956" s="3">
        <v>245</v>
      </c>
      <c r="C956" s="32">
        <v>49129</v>
      </c>
      <c r="D956" s="32" t="s">
        <v>87</v>
      </c>
      <c r="E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7" spans="1:6" x14ac:dyDescent="0.35">
      <c r="A957" s="3">
        <v>60093542683</v>
      </c>
      <c r="B957" s="3">
        <v>246</v>
      </c>
      <c r="C957" s="32">
        <v>49129</v>
      </c>
      <c r="D957" s="32" t="s">
        <v>87</v>
      </c>
      <c r="E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8" spans="1:6" x14ac:dyDescent="0.35">
      <c r="A958" s="3">
        <v>76674842828</v>
      </c>
      <c r="B958" s="3">
        <v>248</v>
      </c>
      <c r="C958" s="32">
        <v>49129</v>
      </c>
      <c r="D958" s="32" t="s">
        <v>87</v>
      </c>
      <c r="E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9" spans="1:6" x14ac:dyDescent="0.35">
      <c r="A959" s="3">
        <v>44103956387</v>
      </c>
      <c r="B959" s="3">
        <v>251</v>
      </c>
      <c r="C959" s="32">
        <v>49129</v>
      </c>
      <c r="D959" s="32">
        <v>49198</v>
      </c>
      <c r="E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60" spans="1:6" x14ac:dyDescent="0.35">
      <c r="A960" s="3">
        <v>31056433940</v>
      </c>
      <c r="B960" s="3">
        <v>272</v>
      </c>
      <c r="C960" s="32">
        <v>49129</v>
      </c>
      <c r="D960" s="32" t="s">
        <v>87</v>
      </c>
      <c r="E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1" spans="1:6" x14ac:dyDescent="0.35">
      <c r="A961" s="3">
        <v>97138491934</v>
      </c>
      <c r="B961" s="3">
        <v>280</v>
      </c>
      <c r="C961" s="32">
        <v>49129</v>
      </c>
      <c r="D961" s="32" t="s">
        <v>87</v>
      </c>
      <c r="E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2" spans="1:6" x14ac:dyDescent="0.35">
      <c r="A962" s="3">
        <v>70142518678</v>
      </c>
      <c r="B962" s="3">
        <v>308</v>
      </c>
      <c r="C962" s="32">
        <v>49129</v>
      </c>
      <c r="D962" s="32" t="s">
        <v>87</v>
      </c>
      <c r="E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3" spans="1:6" x14ac:dyDescent="0.35">
      <c r="A963" s="3">
        <v>48379156255</v>
      </c>
      <c r="B963" s="3">
        <v>308</v>
      </c>
      <c r="C963" s="32">
        <v>49129</v>
      </c>
      <c r="D963" s="32" t="s">
        <v>87</v>
      </c>
      <c r="E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4" spans="1:6" x14ac:dyDescent="0.35">
      <c r="A964" s="3">
        <v>94436566573</v>
      </c>
      <c r="B964" s="3">
        <v>327</v>
      </c>
      <c r="C964" s="32">
        <v>49129</v>
      </c>
      <c r="D964" s="32" t="s">
        <v>87</v>
      </c>
      <c r="E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5" spans="1:6" x14ac:dyDescent="0.35">
      <c r="A965" s="3">
        <v>28155667999</v>
      </c>
      <c r="B965" s="3">
        <v>335</v>
      </c>
      <c r="C965" s="32">
        <v>49129</v>
      </c>
      <c r="D965" s="32" t="s">
        <v>87</v>
      </c>
      <c r="E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6" spans="1:6" x14ac:dyDescent="0.35">
      <c r="A966" s="3">
        <v>24526886618</v>
      </c>
      <c r="B966" s="3">
        <v>336</v>
      </c>
      <c r="C966" s="32">
        <v>49129</v>
      </c>
      <c r="D966" s="32">
        <v>49138</v>
      </c>
      <c r="E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67" spans="1:6" x14ac:dyDescent="0.35">
      <c r="A967" s="3">
        <v>82666800824</v>
      </c>
      <c r="B967" s="3">
        <v>29</v>
      </c>
      <c r="C967" s="32">
        <v>49130</v>
      </c>
      <c r="D967" s="32" t="s">
        <v>87</v>
      </c>
      <c r="E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8" spans="1:6" x14ac:dyDescent="0.35">
      <c r="A968" s="3">
        <v>23036646766</v>
      </c>
      <c r="B968" s="3">
        <v>41</v>
      </c>
      <c r="C968" s="32">
        <v>49130</v>
      </c>
      <c r="D968" s="32" t="s">
        <v>87</v>
      </c>
      <c r="E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9" spans="1:6" x14ac:dyDescent="0.35">
      <c r="A969" s="3">
        <v>65668948194</v>
      </c>
      <c r="B969" s="3">
        <v>41</v>
      </c>
      <c r="C969" s="32">
        <v>49130</v>
      </c>
      <c r="D969" s="32">
        <v>49245</v>
      </c>
      <c r="E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70" spans="1:6" x14ac:dyDescent="0.35">
      <c r="A970" s="3">
        <v>18964842667</v>
      </c>
      <c r="B970" s="3">
        <v>53</v>
      </c>
      <c r="C970" s="32">
        <v>49130</v>
      </c>
      <c r="D970" s="32" t="s">
        <v>87</v>
      </c>
      <c r="E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1" spans="1:6" x14ac:dyDescent="0.35">
      <c r="A971" s="3">
        <v>61045719788</v>
      </c>
      <c r="B971" s="3">
        <v>63</v>
      </c>
      <c r="C971" s="32">
        <v>49130</v>
      </c>
      <c r="D971" s="32" t="s">
        <v>87</v>
      </c>
      <c r="E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2" spans="1:6" x14ac:dyDescent="0.35">
      <c r="A972" s="3">
        <v>99698481153</v>
      </c>
      <c r="B972" s="3">
        <v>71</v>
      </c>
      <c r="C972" s="32">
        <v>49130</v>
      </c>
      <c r="D972" s="32" t="s">
        <v>87</v>
      </c>
      <c r="E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3" spans="1:6" x14ac:dyDescent="0.35">
      <c r="A973" s="3">
        <v>22332102375</v>
      </c>
      <c r="B973" s="3">
        <v>71</v>
      </c>
      <c r="C973" s="32">
        <v>49130</v>
      </c>
      <c r="D973" s="32" t="s">
        <v>87</v>
      </c>
      <c r="E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4" spans="1:6" x14ac:dyDescent="0.35">
      <c r="A974" s="3">
        <v>33390716518</v>
      </c>
      <c r="B974" s="3">
        <v>87</v>
      </c>
      <c r="C974" s="32">
        <v>49130</v>
      </c>
      <c r="D974" s="32" t="s">
        <v>87</v>
      </c>
      <c r="E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5" spans="1:6" x14ac:dyDescent="0.35">
      <c r="A975" s="3">
        <v>94683463154</v>
      </c>
      <c r="B975" s="3">
        <v>93</v>
      </c>
      <c r="C975" s="32">
        <v>49130</v>
      </c>
      <c r="D975" s="32" t="s">
        <v>87</v>
      </c>
      <c r="E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6" spans="1:6" x14ac:dyDescent="0.35">
      <c r="A976" s="3">
        <v>45476578092</v>
      </c>
      <c r="B976" s="3">
        <v>111</v>
      </c>
      <c r="C976" s="32">
        <v>49130</v>
      </c>
      <c r="D976" s="32" t="s">
        <v>87</v>
      </c>
      <c r="E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7" spans="1:6" x14ac:dyDescent="0.35">
      <c r="A977" s="3">
        <v>68059835764</v>
      </c>
      <c r="B977" s="3">
        <v>112</v>
      </c>
      <c r="C977" s="32">
        <v>49130</v>
      </c>
      <c r="D977" s="32" t="s">
        <v>87</v>
      </c>
      <c r="E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8" spans="1:6" x14ac:dyDescent="0.35">
      <c r="A978" s="3">
        <v>56420121290</v>
      </c>
      <c r="B978" s="3">
        <v>129</v>
      </c>
      <c r="C978" s="32">
        <v>49130</v>
      </c>
      <c r="D978" s="32"/>
      <c r="E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9" spans="1:6" x14ac:dyDescent="0.35">
      <c r="A979" s="3">
        <v>89791861202</v>
      </c>
      <c r="B979" s="3">
        <v>146</v>
      </c>
      <c r="C979" s="32">
        <v>49130</v>
      </c>
      <c r="D979" s="32" t="s">
        <v>87</v>
      </c>
      <c r="E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0" spans="1:6" x14ac:dyDescent="0.35">
      <c r="A980" s="3">
        <v>16567254715</v>
      </c>
      <c r="B980" s="3">
        <v>164</v>
      </c>
      <c r="C980" s="32">
        <v>49130</v>
      </c>
      <c r="D980" s="32">
        <v>49181</v>
      </c>
      <c r="E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81" spans="1:6" x14ac:dyDescent="0.35">
      <c r="A981" s="3">
        <v>62722648617</v>
      </c>
      <c r="B981" s="3">
        <v>190</v>
      </c>
      <c r="C981" s="32">
        <v>49130</v>
      </c>
      <c r="D981" s="32" t="s">
        <v>87</v>
      </c>
      <c r="E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2" spans="1:6" x14ac:dyDescent="0.35">
      <c r="A982" s="3">
        <v>11159722480</v>
      </c>
      <c r="B982" s="3">
        <v>196</v>
      </c>
      <c r="C982" s="32">
        <v>49130</v>
      </c>
      <c r="D982" s="32">
        <v>49154</v>
      </c>
      <c r="E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83" spans="1:6" x14ac:dyDescent="0.35">
      <c r="A983" s="3">
        <v>21141488862</v>
      </c>
      <c r="B983" s="3">
        <v>213</v>
      </c>
      <c r="C983" s="32">
        <v>49130</v>
      </c>
      <c r="D983" s="32" t="s">
        <v>87</v>
      </c>
      <c r="E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4" spans="1:6" x14ac:dyDescent="0.35">
      <c r="A984" s="3">
        <v>21698082799</v>
      </c>
      <c r="B984" s="3">
        <v>218</v>
      </c>
      <c r="C984" s="32">
        <v>49130</v>
      </c>
      <c r="D984" s="32" t="s">
        <v>87</v>
      </c>
      <c r="E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5" spans="1:6" x14ac:dyDescent="0.35">
      <c r="A985" s="3">
        <v>52470133794</v>
      </c>
      <c r="B985" s="3">
        <v>224</v>
      </c>
      <c r="C985" s="32">
        <v>49130</v>
      </c>
      <c r="D985" s="32"/>
      <c r="E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6" spans="1:6" x14ac:dyDescent="0.35">
      <c r="A986" s="3">
        <v>90535474327</v>
      </c>
      <c r="B986" s="3">
        <v>245</v>
      </c>
      <c r="C986" s="32">
        <v>49130</v>
      </c>
      <c r="D986" s="32">
        <v>49247</v>
      </c>
      <c r="E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87" spans="1:6" x14ac:dyDescent="0.35">
      <c r="A987" s="3">
        <v>90729927642</v>
      </c>
      <c r="B987" s="3">
        <v>303</v>
      </c>
      <c r="C987" s="32">
        <v>49130</v>
      </c>
      <c r="D987" s="32" t="s">
        <v>87</v>
      </c>
      <c r="E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8" spans="1:6" x14ac:dyDescent="0.35">
      <c r="A988" s="3">
        <v>52487021382</v>
      </c>
      <c r="B988" s="3">
        <v>305</v>
      </c>
      <c r="C988" s="32">
        <v>49130</v>
      </c>
      <c r="D988" s="32"/>
      <c r="E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9" spans="1:6" x14ac:dyDescent="0.35">
      <c r="A989" s="3">
        <v>34862733445</v>
      </c>
      <c r="B989" s="3">
        <v>308</v>
      </c>
      <c r="C989" s="32">
        <v>49130</v>
      </c>
      <c r="D989" s="32"/>
      <c r="E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0" spans="1:6" x14ac:dyDescent="0.35">
      <c r="A990" s="3">
        <v>31650006791</v>
      </c>
      <c r="B990" s="3">
        <v>322</v>
      </c>
      <c r="C990" s="32">
        <v>49130</v>
      </c>
      <c r="D990" s="32" t="s">
        <v>87</v>
      </c>
      <c r="E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1" spans="1:6" x14ac:dyDescent="0.35">
      <c r="A991" s="3">
        <v>18309119852</v>
      </c>
      <c r="B991" s="3">
        <v>2</v>
      </c>
      <c r="C991" s="32">
        <v>49131</v>
      </c>
      <c r="D991" s="32" t="s">
        <v>87</v>
      </c>
      <c r="E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2" spans="1:6" x14ac:dyDescent="0.35">
      <c r="A992" s="3">
        <v>48555402208</v>
      </c>
      <c r="B992" s="3">
        <v>21</v>
      </c>
      <c r="C992" s="32">
        <v>49131</v>
      </c>
      <c r="D992" s="32" t="s">
        <v>87</v>
      </c>
      <c r="E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3" spans="1:6" x14ac:dyDescent="0.35">
      <c r="A993" s="3">
        <v>42097405825</v>
      </c>
      <c r="B993" s="3">
        <v>31</v>
      </c>
      <c r="C993" s="32">
        <v>49131</v>
      </c>
      <c r="D993" s="32" t="s">
        <v>87</v>
      </c>
      <c r="E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4" spans="1:6" x14ac:dyDescent="0.35">
      <c r="A994" s="3">
        <v>66110010656</v>
      </c>
      <c r="B994" s="3">
        <v>62</v>
      </c>
      <c r="C994" s="32">
        <v>49131</v>
      </c>
      <c r="D994" s="32">
        <v>49153</v>
      </c>
      <c r="E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5" spans="1:6" x14ac:dyDescent="0.35">
      <c r="A995" s="3">
        <v>31729892548</v>
      </c>
      <c r="B995" s="3">
        <v>64</v>
      </c>
      <c r="C995" s="32">
        <v>49131</v>
      </c>
      <c r="D995" s="32" t="s">
        <v>87</v>
      </c>
      <c r="E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6" spans="1:6" x14ac:dyDescent="0.35">
      <c r="A996" s="3">
        <v>68638272032</v>
      </c>
      <c r="B996" s="3">
        <v>70</v>
      </c>
      <c r="C996" s="32">
        <v>49131</v>
      </c>
      <c r="D996" s="32">
        <v>49151</v>
      </c>
      <c r="E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7" spans="1:6" x14ac:dyDescent="0.35">
      <c r="A997" s="3">
        <v>77613531944</v>
      </c>
      <c r="B997" s="3">
        <v>83</v>
      </c>
      <c r="C997" s="32">
        <v>49131</v>
      </c>
      <c r="D997" s="32" t="s">
        <v>87</v>
      </c>
      <c r="E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8" spans="1:6" x14ac:dyDescent="0.35">
      <c r="A998" s="3">
        <v>57037112020</v>
      </c>
      <c r="B998" s="3">
        <v>85</v>
      </c>
      <c r="C998" s="32">
        <v>49131</v>
      </c>
      <c r="D998" s="32" t="s">
        <v>87</v>
      </c>
      <c r="E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9" spans="1:6" x14ac:dyDescent="0.35">
      <c r="A999" s="3">
        <v>62417887438</v>
      </c>
      <c r="B999" s="3">
        <v>88</v>
      </c>
      <c r="C999" s="32">
        <v>49131</v>
      </c>
      <c r="D999" s="32">
        <v>49173</v>
      </c>
      <c r="E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00" spans="1:6" x14ac:dyDescent="0.35">
      <c r="A1000" s="3">
        <v>22129529237</v>
      </c>
      <c r="B1000" s="3">
        <v>103</v>
      </c>
      <c r="C1000" s="32">
        <v>49131</v>
      </c>
      <c r="D1000" s="32" t="s">
        <v>87</v>
      </c>
      <c r="E1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1" spans="1:6" x14ac:dyDescent="0.35">
      <c r="A1001" s="3">
        <v>21958648234</v>
      </c>
      <c r="B1001" s="3">
        <v>120</v>
      </c>
      <c r="C1001" s="32">
        <v>49131</v>
      </c>
      <c r="D1001" s="32" t="s">
        <v>87</v>
      </c>
      <c r="E1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2" spans="1:6" x14ac:dyDescent="0.35">
      <c r="A1002" s="3">
        <v>85619274560</v>
      </c>
      <c r="B1002" s="3">
        <v>125</v>
      </c>
      <c r="C1002" s="32">
        <v>49131</v>
      </c>
      <c r="D1002" s="32" t="s">
        <v>87</v>
      </c>
      <c r="E1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3" spans="1:6" x14ac:dyDescent="0.35">
      <c r="A1003" s="3">
        <v>81195357353</v>
      </c>
      <c r="B1003" s="3">
        <v>128</v>
      </c>
      <c r="C1003" s="32">
        <v>49131</v>
      </c>
      <c r="D1003" s="32" t="s">
        <v>87</v>
      </c>
      <c r="E1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4" spans="1:6" x14ac:dyDescent="0.35">
      <c r="A1004" s="3">
        <v>45720043231</v>
      </c>
      <c r="B1004" s="3">
        <v>175</v>
      </c>
      <c r="C1004" s="32">
        <v>49131</v>
      </c>
      <c r="D1004" s="32" t="s">
        <v>87</v>
      </c>
      <c r="E1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5" spans="1:6" x14ac:dyDescent="0.35">
      <c r="A1005" s="3">
        <v>88073394775</v>
      </c>
      <c r="B1005" s="3">
        <v>189</v>
      </c>
      <c r="C1005" s="32">
        <v>49131</v>
      </c>
      <c r="D1005" s="32" t="s">
        <v>87</v>
      </c>
      <c r="E1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6" spans="1:6" x14ac:dyDescent="0.35">
      <c r="A1006" s="3">
        <v>85290612906</v>
      </c>
      <c r="B1006" s="3">
        <v>193</v>
      </c>
      <c r="C1006" s="32">
        <v>49131</v>
      </c>
      <c r="D1006" s="32" t="s">
        <v>87</v>
      </c>
      <c r="E1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7" spans="1:6" x14ac:dyDescent="0.35">
      <c r="A1007" s="3">
        <v>46173520385</v>
      </c>
      <c r="B1007" s="3">
        <v>195</v>
      </c>
      <c r="C1007" s="32">
        <v>49131</v>
      </c>
      <c r="D1007" s="32" t="s">
        <v>87</v>
      </c>
      <c r="E1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8" spans="1:6" x14ac:dyDescent="0.35">
      <c r="A1008" s="3">
        <v>12975982717</v>
      </c>
      <c r="B1008" s="3">
        <v>213</v>
      </c>
      <c r="C1008" s="32">
        <v>49131</v>
      </c>
      <c r="D1008" s="32" t="s">
        <v>87</v>
      </c>
      <c r="E1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9" spans="1:6" x14ac:dyDescent="0.35">
      <c r="A1009" s="3">
        <v>86578442466</v>
      </c>
      <c r="B1009" s="3">
        <v>230</v>
      </c>
      <c r="C1009" s="32">
        <v>49131</v>
      </c>
      <c r="D1009" s="32">
        <v>49208</v>
      </c>
      <c r="E1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10" spans="1:6" x14ac:dyDescent="0.35">
      <c r="A1010" s="3">
        <v>22003807183</v>
      </c>
      <c r="B1010" s="3">
        <v>233</v>
      </c>
      <c r="C1010" s="32">
        <v>49131</v>
      </c>
      <c r="D1010" s="32"/>
      <c r="E1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1" spans="1:6" x14ac:dyDescent="0.35">
      <c r="A1011" s="3">
        <v>47138136788</v>
      </c>
      <c r="B1011" s="3">
        <v>242</v>
      </c>
      <c r="C1011" s="32">
        <v>49131</v>
      </c>
      <c r="D1011" s="32"/>
      <c r="E1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2" spans="1:6" x14ac:dyDescent="0.35">
      <c r="A1012" s="3">
        <v>75696909250</v>
      </c>
      <c r="B1012" s="3">
        <v>247</v>
      </c>
      <c r="C1012" s="32">
        <v>49131</v>
      </c>
      <c r="D1012" s="32" t="s">
        <v>87</v>
      </c>
      <c r="E1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3" spans="1:6" x14ac:dyDescent="0.35">
      <c r="A1013" s="3">
        <v>60783752189</v>
      </c>
      <c r="B1013" s="3">
        <v>259</v>
      </c>
      <c r="C1013" s="32">
        <v>49131</v>
      </c>
      <c r="D1013" s="32"/>
      <c r="E1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4" spans="1:6" x14ac:dyDescent="0.35">
      <c r="A1014" s="3">
        <v>24605368133</v>
      </c>
      <c r="B1014" s="3">
        <v>265</v>
      </c>
      <c r="C1014" s="32">
        <v>49131</v>
      </c>
      <c r="D1014" s="32" t="s">
        <v>87</v>
      </c>
      <c r="E1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5" spans="1:6" x14ac:dyDescent="0.35">
      <c r="A1015" s="3">
        <v>16344182084</v>
      </c>
      <c r="B1015" s="3">
        <v>288</v>
      </c>
      <c r="C1015" s="32">
        <v>49131</v>
      </c>
      <c r="D1015" s="32"/>
      <c r="E1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6" spans="1:6" x14ac:dyDescent="0.35">
      <c r="A1016" s="3">
        <v>78223769377</v>
      </c>
      <c r="B1016" s="3">
        <v>291</v>
      </c>
      <c r="C1016" s="32">
        <v>49131</v>
      </c>
      <c r="D1016" s="32" t="s">
        <v>87</v>
      </c>
      <c r="E1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7" spans="1:6" x14ac:dyDescent="0.35">
      <c r="A1017" s="3">
        <v>21028790392</v>
      </c>
      <c r="B1017" s="3">
        <v>306</v>
      </c>
      <c r="C1017" s="32">
        <v>49131</v>
      </c>
      <c r="D1017" s="32" t="s">
        <v>87</v>
      </c>
      <c r="E1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8" spans="1:6" x14ac:dyDescent="0.35">
      <c r="A1018" s="3">
        <v>23669274576</v>
      </c>
      <c r="B1018" s="3">
        <v>43</v>
      </c>
      <c r="C1018" s="32">
        <v>49132</v>
      </c>
      <c r="D1018" s="32" t="s">
        <v>87</v>
      </c>
      <c r="E1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9" spans="1:6" x14ac:dyDescent="0.35">
      <c r="A1019" s="3">
        <v>22271397748</v>
      </c>
      <c r="B1019" s="3">
        <v>55</v>
      </c>
      <c r="C1019" s="32">
        <v>49132</v>
      </c>
      <c r="D1019" s="32" t="s">
        <v>87</v>
      </c>
      <c r="E1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0" spans="1:6" x14ac:dyDescent="0.35">
      <c r="A1020" s="3">
        <v>61531224712</v>
      </c>
      <c r="B1020" s="3">
        <v>57</v>
      </c>
      <c r="C1020" s="32">
        <v>49132</v>
      </c>
      <c r="D1020" s="32"/>
      <c r="E1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1" spans="1:6" x14ac:dyDescent="0.35">
      <c r="A1021" s="3">
        <v>49498180410</v>
      </c>
      <c r="B1021" s="3">
        <v>86</v>
      </c>
      <c r="C1021" s="32">
        <v>49132</v>
      </c>
      <c r="D1021" s="32">
        <v>49157</v>
      </c>
      <c r="E1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22" spans="1:6" x14ac:dyDescent="0.35">
      <c r="A1022" s="3">
        <v>20176583884</v>
      </c>
      <c r="B1022" s="3">
        <v>104</v>
      </c>
      <c r="C1022" s="32">
        <v>49132</v>
      </c>
      <c r="D1022" s="32" t="s">
        <v>87</v>
      </c>
      <c r="E1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3" spans="1:6" x14ac:dyDescent="0.35">
      <c r="A1023" s="3">
        <v>22905130306</v>
      </c>
      <c r="B1023" s="3">
        <v>115</v>
      </c>
      <c r="C1023" s="32">
        <v>49132</v>
      </c>
      <c r="D1023" s="32"/>
      <c r="E1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4" spans="1:6" x14ac:dyDescent="0.35">
      <c r="A1024" s="3">
        <v>85036881962</v>
      </c>
      <c r="B1024" s="3">
        <v>133</v>
      </c>
      <c r="C1024" s="32">
        <v>49132</v>
      </c>
      <c r="D1024" s="32" t="s">
        <v>87</v>
      </c>
      <c r="E1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5" spans="1:6" x14ac:dyDescent="0.35">
      <c r="A1025" s="3">
        <v>27699207440</v>
      </c>
      <c r="B1025" s="3">
        <v>151</v>
      </c>
      <c r="C1025" s="32">
        <v>49132</v>
      </c>
      <c r="D1025" s="32" t="s">
        <v>87</v>
      </c>
      <c r="E1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6" spans="1:6" x14ac:dyDescent="0.35">
      <c r="A1026" s="3">
        <v>58673124694</v>
      </c>
      <c r="B1026" s="3">
        <v>176</v>
      </c>
      <c r="C1026" s="32">
        <v>49132</v>
      </c>
      <c r="D1026" s="32" t="s">
        <v>87</v>
      </c>
      <c r="E1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7" spans="1:6" x14ac:dyDescent="0.35">
      <c r="A1027" s="3">
        <v>68636625831</v>
      </c>
      <c r="B1027" s="3">
        <v>194</v>
      </c>
      <c r="C1027" s="32">
        <v>49132</v>
      </c>
      <c r="D1027" s="32"/>
      <c r="E1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8" spans="1:6" x14ac:dyDescent="0.35">
      <c r="A1028" s="3">
        <v>59019403496</v>
      </c>
      <c r="B1028" s="3">
        <v>224</v>
      </c>
      <c r="C1028" s="32">
        <v>49132</v>
      </c>
      <c r="D1028" s="32" t="s">
        <v>87</v>
      </c>
      <c r="E1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9" spans="1:6" x14ac:dyDescent="0.35">
      <c r="A1029" s="3">
        <v>87082985068</v>
      </c>
      <c r="B1029" s="3">
        <v>254</v>
      </c>
      <c r="C1029" s="32">
        <v>49132</v>
      </c>
      <c r="D1029" s="32" t="s">
        <v>87</v>
      </c>
      <c r="E1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0" spans="1:6" x14ac:dyDescent="0.35">
      <c r="A1030" s="3">
        <v>82306968127</v>
      </c>
      <c r="B1030" s="3">
        <v>263</v>
      </c>
      <c r="C1030" s="32">
        <v>49132</v>
      </c>
      <c r="D1030" s="32" t="s">
        <v>87</v>
      </c>
      <c r="E1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1" spans="1:6" x14ac:dyDescent="0.35">
      <c r="A1031" s="3">
        <v>50436319128</v>
      </c>
      <c r="B1031" s="3">
        <v>274</v>
      </c>
      <c r="C1031" s="32">
        <v>49132</v>
      </c>
      <c r="D1031" s="32" t="s">
        <v>87</v>
      </c>
      <c r="E1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2" spans="1:6" x14ac:dyDescent="0.35">
      <c r="A1032" s="3">
        <v>30828925618</v>
      </c>
      <c r="B1032" s="3">
        <v>277</v>
      </c>
      <c r="C1032" s="32">
        <v>49132</v>
      </c>
      <c r="D1032" s="32" t="s">
        <v>87</v>
      </c>
      <c r="E1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3" spans="1:6" x14ac:dyDescent="0.35">
      <c r="A1033" s="3">
        <v>42724275731</v>
      </c>
      <c r="B1033" s="3">
        <v>292</v>
      </c>
      <c r="C1033" s="32">
        <v>49132</v>
      </c>
      <c r="D1033" s="32">
        <v>49178</v>
      </c>
      <c r="E1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34" spans="1:6" x14ac:dyDescent="0.35">
      <c r="A1034" s="3">
        <v>40333280688</v>
      </c>
      <c r="B1034" s="3">
        <v>322</v>
      </c>
      <c r="C1034" s="32">
        <v>49132</v>
      </c>
      <c r="D1034" s="32" t="s">
        <v>87</v>
      </c>
      <c r="E1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5" spans="1:6" x14ac:dyDescent="0.35">
      <c r="A1035" s="3">
        <v>84483655090</v>
      </c>
      <c r="B1035" s="3">
        <v>329</v>
      </c>
      <c r="C1035" s="32">
        <v>49132</v>
      </c>
      <c r="D1035" s="32"/>
      <c r="E1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6" spans="1:6" x14ac:dyDescent="0.35">
      <c r="A1036" s="3">
        <v>62183462776</v>
      </c>
      <c r="B1036" s="3">
        <v>335</v>
      </c>
      <c r="C1036" s="32">
        <v>49132</v>
      </c>
      <c r="D1036" s="32">
        <v>49142</v>
      </c>
      <c r="E1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37" spans="1:6" x14ac:dyDescent="0.35">
      <c r="A1037" s="3">
        <v>62262752475</v>
      </c>
      <c r="B1037" s="3">
        <v>0</v>
      </c>
      <c r="C1037" s="32">
        <v>49133</v>
      </c>
      <c r="D1037" s="32" t="s">
        <v>87</v>
      </c>
      <c r="E1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8" spans="1:6" x14ac:dyDescent="0.35">
      <c r="A1038" s="3">
        <v>16926845395</v>
      </c>
      <c r="B1038" s="3">
        <v>2</v>
      </c>
      <c r="C1038" s="32">
        <v>49133</v>
      </c>
      <c r="D1038" s="32">
        <v>49140</v>
      </c>
      <c r="E1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39" spans="1:6" x14ac:dyDescent="0.35">
      <c r="A1039" s="3">
        <v>44594633412</v>
      </c>
      <c r="B1039" s="3">
        <v>16</v>
      </c>
      <c r="C1039" s="32">
        <v>49133</v>
      </c>
      <c r="D1039" s="32" t="s">
        <v>87</v>
      </c>
      <c r="E1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0" spans="1:6" x14ac:dyDescent="0.35">
      <c r="A1040" s="3">
        <v>54575637391</v>
      </c>
      <c r="B1040" s="3">
        <v>29</v>
      </c>
      <c r="C1040" s="32">
        <v>49133</v>
      </c>
      <c r="D1040" s="32" t="s">
        <v>87</v>
      </c>
      <c r="E1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1" spans="1:6" x14ac:dyDescent="0.35">
      <c r="A1041" s="3">
        <v>62150858125</v>
      </c>
      <c r="B1041" s="3">
        <v>34</v>
      </c>
      <c r="C1041" s="32">
        <v>49133</v>
      </c>
      <c r="D1041" s="32" t="s">
        <v>87</v>
      </c>
      <c r="E1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2" spans="1:6" x14ac:dyDescent="0.35">
      <c r="A1042" s="3">
        <v>22090934788</v>
      </c>
      <c r="B1042" s="3">
        <v>55</v>
      </c>
      <c r="C1042" s="32">
        <v>49133</v>
      </c>
      <c r="D1042" s="32" t="s">
        <v>87</v>
      </c>
      <c r="E1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3" spans="1:6" x14ac:dyDescent="0.35">
      <c r="A1043" s="3">
        <v>55042282942</v>
      </c>
      <c r="B1043" s="3">
        <v>78</v>
      </c>
      <c r="C1043" s="32">
        <v>49133</v>
      </c>
      <c r="D1043" s="32" t="s">
        <v>87</v>
      </c>
      <c r="E1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4" spans="1:6" x14ac:dyDescent="0.35">
      <c r="A1044" s="3">
        <v>78847698496</v>
      </c>
      <c r="B1044" s="3">
        <v>80</v>
      </c>
      <c r="C1044" s="32">
        <v>49133</v>
      </c>
      <c r="D1044" s="32" t="s">
        <v>87</v>
      </c>
      <c r="E1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5" spans="1:6" x14ac:dyDescent="0.35">
      <c r="A1045" s="3">
        <v>86699548216</v>
      </c>
      <c r="B1045" s="3">
        <v>94</v>
      </c>
      <c r="C1045" s="32">
        <v>49133</v>
      </c>
      <c r="D1045" s="32" t="s">
        <v>87</v>
      </c>
      <c r="E1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6" spans="1:6" x14ac:dyDescent="0.35">
      <c r="A1046" s="3">
        <v>77920343068</v>
      </c>
      <c r="B1046" s="3">
        <v>101</v>
      </c>
      <c r="C1046" s="32">
        <v>49133</v>
      </c>
      <c r="D1046" s="32" t="s">
        <v>87</v>
      </c>
      <c r="E1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7" spans="1:6" x14ac:dyDescent="0.35">
      <c r="A1047" s="3">
        <v>58972175437</v>
      </c>
      <c r="B1047" s="3">
        <v>105</v>
      </c>
      <c r="C1047" s="32">
        <v>49133</v>
      </c>
      <c r="D1047" s="32">
        <v>49178</v>
      </c>
      <c r="E1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48" spans="1:6" x14ac:dyDescent="0.35">
      <c r="A1048" s="3">
        <v>81138136040</v>
      </c>
      <c r="B1048" s="3">
        <v>119</v>
      </c>
      <c r="C1048" s="32">
        <v>49133</v>
      </c>
      <c r="D1048" s="32">
        <v>49219</v>
      </c>
      <c r="E1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49" spans="1:6" x14ac:dyDescent="0.35">
      <c r="A1049" s="3">
        <v>50637120097</v>
      </c>
      <c r="B1049" s="3">
        <v>128</v>
      </c>
      <c r="C1049" s="32">
        <v>49133</v>
      </c>
      <c r="D1049" s="32">
        <v>49223</v>
      </c>
      <c r="E1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50" spans="1:6" x14ac:dyDescent="0.35">
      <c r="A1050" s="3">
        <v>71757309240</v>
      </c>
      <c r="B1050" s="3">
        <v>134</v>
      </c>
      <c r="C1050" s="32">
        <v>49133</v>
      </c>
      <c r="D1050" s="32">
        <v>49202</v>
      </c>
      <c r="E1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51" spans="1:6" x14ac:dyDescent="0.35">
      <c r="A1051" s="3">
        <v>52383226822</v>
      </c>
      <c r="B1051" s="3">
        <v>147</v>
      </c>
      <c r="C1051" s="32">
        <v>49133</v>
      </c>
      <c r="D1051" s="32" t="s">
        <v>87</v>
      </c>
      <c r="E1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2" spans="1:6" x14ac:dyDescent="0.35">
      <c r="A1052" s="3">
        <v>16260923814</v>
      </c>
      <c r="B1052" s="3">
        <v>148</v>
      </c>
      <c r="C1052" s="32">
        <v>49133</v>
      </c>
      <c r="D1052" s="32">
        <v>49189</v>
      </c>
      <c r="E1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53" spans="1:6" x14ac:dyDescent="0.35">
      <c r="A1053" s="3">
        <v>91607117949</v>
      </c>
      <c r="B1053" s="3">
        <v>171</v>
      </c>
      <c r="C1053" s="32">
        <v>49133</v>
      </c>
      <c r="D1053" s="32"/>
      <c r="E1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4" spans="1:6" x14ac:dyDescent="0.35">
      <c r="A1054" s="3">
        <v>22827388681</v>
      </c>
      <c r="B1054" s="3">
        <v>175</v>
      </c>
      <c r="C1054" s="32">
        <v>49133</v>
      </c>
      <c r="D1054" s="32"/>
      <c r="E1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5" spans="1:6" x14ac:dyDescent="0.35">
      <c r="A1055" s="3">
        <v>49227941318</v>
      </c>
      <c r="B1055" s="3">
        <v>175</v>
      </c>
      <c r="C1055" s="32">
        <v>49133</v>
      </c>
      <c r="D1055" s="32" t="s">
        <v>87</v>
      </c>
      <c r="E1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6" spans="1:6" x14ac:dyDescent="0.35">
      <c r="A1056" s="3">
        <v>52174283643</v>
      </c>
      <c r="B1056" s="3">
        <v>197</v>
      </c>
      <c r="C1056" s="32">
        <v>49133</v>
      </c>
      <c r="D1056" s="32" t="s">
        <v>87</v>
      </c>
      <c r="E1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7" spans="1:6" x14ac:dyDescent="0.35">
      <c r="A1057" s="3">
        <v>44995671139</v>
      </c>
      <c r="B1057" s="3">
        <v>199</v>
      </c>
      <c r="C1057" s="32">
        <v>49133</v>
      </c>
      <c r="D1057" s="32" t="s">
        <v>87</v>
      </c>
      <c r="E1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8" spans="1:6" x14ac:dyDescent="0.35">
      <c r="A1058" s="3">
        <v>83769435455</v>
      </c>
      <c r="B1058" s="3">
        <v>222</v>
      </c>
      <c r="C1058" s="32">
        <v>49133</v>
      </c>
      <c r="D1058" s="32" t="s">
        <v>87</v>
      </c>
      <c r="E1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9" spans="1:6" x14ac:dyDescent="0.35">
      <c r="A1059" s="3">
        <v>45424381867</v>
      </c>
      <c r="B1059" s="3">
        <v>225</v>
      </c>
      <c r="C1059" s="32">
        <v>49133</v>
      </c>
      <c r="D1059" s="32" t="s">
        <v>87</v>
      </c>
      <c r="E1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0" spans="1:6" x14ac:dyDescent="0.35">
      <c r="A1060" s="3">
        <v>13838408173</v>
      </c>
      <c r="B1060" s="3">
        <v>246</v>
      </c>
      <c r="C1060" s="32">
        <v>49133</v>
      </c>
      <c r="D1060" s="32" t="s">
        <v>87</v>
      </c>
      <c r="E1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1" spans="1:6" x14ac:dyDescent="0.35">
      <c r="A1061" s="3">
        <v>82960452603</v>
      </c>
      <c r="B1061" s="3">
        <v>251</v>
      </c>
      <c r="C1061" s="32">
        <v>49133</v>
      </c>
      <c r="D1061" s="32" t="s">
        <v>87</v>
      </c>
      <c r="E1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2" spans="1:6" x14ac:dyDescent="0.35">
      <c r="A1062" s="3">
        <v>91286865856</v>
      </c>
      <c r="B1062" s="3">
        <v>272</v>
      </c>
      <c r="C1062" s="32">
        <v>49133</v>
      </c>
      <c r="D1062" s="32"/>
      <c r="E1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3" spans="1:6" x14ac:dyDescent="0.35">
      <c r="A1063" s="3">
        <v>88517856199</v>
      </c>
      <c r="B1063" s="3">
        <v>287</v>
      </c>
      <c r="C1063" s="32">
        <v>49133</v>
      </c>
      <c r="D1063" s="32" t="s">
        <v>87</v>
      </c>
      <c r="E1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4" spans="1:6" x14ac:dyDescent="0.35">
      <c r="A1064" s="3">
        <v>41103930963</v>
      </c>
      <c r="B1064" s="3">
        <v>309</v>
      </c>
      <c r="C1064" s="32">
        <v>49133</v>
      </c>
      <c r="D1064" s="32" t="s">
        <v>87</v>
      </c>
      <c r="E1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5" spans="1:6" x14ac:dyDescent="0.35">
      <c r="A1065" s="3">
        <v>13875750654</v>
      </c>
      <c r="B1065" s="3">
        <v>312</v>
      </c>
      <c r="C1065" s="32">
        <v>49133</v>
      </c>
      <c r="D1065" s="32" t="s">
        <v>87</v>
      </c>
      <c r="E1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6" spans="1:6" x14ac:dyDescent="0.35">
      <c r="A1066" s="3">
        <v>24802891281</v>
      </c>
      <c r="B1066" s="3">
        <v>312</v>
      </c>
      <c r="C1066" s="32">
        <v>49133</v>
      </c>
      <c r="D1066" s="32"/>
      <c r="E1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7" spans="1:6" x14ac:dyDescent="0.35">
      <c r="A1067" s="3">
        <v>18623904439</v>
      </c>
      <c r="B1067" s="3">
        <v>314</v>
      </c>
      <c r="C1067" s="32">
        <v>49133</v>
      </c>
      <c r="D1067" s="32" t="s">
        <v>87</v>
      </c>
      <c r="E1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8" spans="1:6" x14ac:dyDescent="0.35">
      <c r="A1068" s="3">
        <v>37591518620</v>
      </c>
      <c r="B1068" s="3">
        <v>7</v>
      </c>
      <c r="C1068" s="32">
        <v>49134</v>
      </c>
      <c r="D1068" s="32"/>
      <c r="E1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9" spans="1:6" x14ac:dyDescent="0.35">
      <c r="A1069" s="3">
        <v>34476751574</v>
      </c>
      <c r="B1069" s="3">
        <v>9</v>
      </c>
      <c r="C1069" s="32">
        <v>49134</v>
      </c>
      <c r="D1069" s="32" t="s">
        <v>87</v>
      </c>
      <c r="E1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0" spans="1:6" x14ac:dyDescent="0.35">
      <c r="A1070" s="3">
        <v>44468146119</v>
      </c>
      <c r="B1070" s="3">
        <v>21</v>
      </c>
      <c r="C1070" s="32">
        <v>49134</v>
      </c>
      <c r="D1070" s="32" t="s">
        <v>87</v>
      </c>
      <c r="E1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1" spans="1:6" x14ac:dyDescent="0.35">
      <c r="A1071" s="3">
        <v>56255613067</v>
      </c>
      <c r="B1071" s="3">
        <v>33</v>
      </c>
      <c r="C1071" s="32">
        <v>49134</v>
      </c>
      <c r="D1071" s="32" t="s">
        <v>87</v>
      </c>
      <c r="E1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2" spans="1:6" x14ac:dyDescent="0.35">
      <c r="A1072" s="3">
        <v>42454624438</v>
      </c>
      <c r="B1072" s="3">
        <v>59</v>
      </c>
      <c r="C1072" s="32">
        <v>49134</v>
      </c>
      <c r="D1072" s="32">
        <v>49238</v>
      </c>
      <c r="E1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73" spans="1:6" x14ac:dyDescent="0.35">
      <c r="A1073" s="3">
        <v>32144073033</v>
      </c>
      <c r="B1073" s="3">
        <v>72</v>
      </c>
      <c r="C1073" s="32">
        <v>49134</v>
      </c>
      <c r="D1073" s="32" t="s">
        <v>87</v>
      </c>
      <c r="E1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4" spans="1:6" x14ac:dyDescent="0.35">
      <c r="A1074" s="3">
        <v>40417023839</v>
      </c>
      <c r="B1074" s="3">
        <v>84</v>
      </c>
      <c r="C1074" s="32">
        <v>49134</v>
      </c>
      <c r="D1074" s="32" t="s">
        <v>87</v>
      </c>
      <c r="E1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5" spans="1:6" x14ac:dyDescent="0.35">
      <c r="A1075" s="3">
        <v>72163524340</v>
      </c>
      <c r="B1075" s="3">
        <v>87</v>
      </c>
      <c r="C1075" s="32">
        <v>49134</v>
      </c>
      <c r="D1075" s="32">
        <v>49170</v>
      </c>
      <c r="E1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76" spans="1:6" x14ac:dyDescent="0.35">
      <c r="A1076" s="3">
        <v>75108870050</v>
      </c>
      <c r="B1076" s="3">
        <v>94</v>
      </c>
      <c r="C1076" s="32">
        <v>49134</v>
      </c>
      <c r="D1076" s="32">
        <v>49153</v>
      </c>
      <c r="E1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77" spans="1:6" x14ac:dyDescent="0.35">
      <c r="A1077" s="3">
        <v>66198245667</v>
      </c>
      <c r="B1077" s="3">
        <v>112</v>
      </c>
      <c r="C1077" s="32">
        <v>49134</v>
      </c>
      <c r="D1077" s="32" t="s">
        <v>87</v>
      </c>
      <c r="E1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8" spans="1:6" x14ac:dyDescent="0.35">
      <c r="A1078" s="3">
        <v>34072182090</v>
      </c>
      <c r="B1078" s="3">
        <v>123</v>
      </c>
      <c r="C1078" s="32">
        <v>49134</v>
      </c>
      <c r="D1078" s="32" t="s">
        <v>87</v>
      </c>
      <c r="E1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9" spans="1:6" x14ac:dyDescent="0.35">
      <c r="A1079" s="3">
        <v>76659416746</v>
      </c>
      <c r="B1079" s="3">
        <v>128</v>
      </c>
      <c r="C1079" s="32">
        <v>49134</v>
      </c>
      <c r="D1079" s="32" t="s">
        <v>87</v>
      </c>
      <c r="E1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0" spans="1:6" x14ac:dyDescent="0.35">
      <c r="A1080" s="3">
        <v>16991618458</v>
      </c>
      <c r="B1080" s="3">
        <v>134</v>
      </c>
      <c r="C1080" s="32">
        <v>49134</v>
      </c>
      <c r="D1080" s="32" t="s">
        <v>87</v>
      </c>
      <c r="E1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1" spans="1:6" x14ac:dyDescent="0.35">
      <c r="A1081" s="3">
        <v>31012749168</v>
      </c>
      <c r="B1081" s="3">
        <v>176</v>
      </c>
      <c r="C1081" s="32">
        <v>49134</v>
      </c>
      <c r="D1081" s="32">
        <v>49168</v>
      </c>
      <c r="E1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82" spans="1:6" x14ac:dyDescent="0.35">
      <c r="A1082" s="3">
        <v>64020627936</v>
      </c>
      <c r="B1082" s="3">
        <v>183</v>
      </c>
      <c r="C1082" s="32">
        <v>49134</v>
      </c>
      <c r="D1082" s="32"/>
      <c r="E1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3" spans="1:6" x14ac:dyDescent="0.35">
      <c r="A1083" s="3">
        <v>26717890557</v>
      </c>
      <c r="B1083" s="3">
        <v>199</v>
      </c>
      <c r="C1083" s="32">
        <v>49134</v>
      </c>
      <c r="D1083" s="32" t="s">
        <v>87</v>
      </c>
      <c r="E1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4" spans="1:6" x14ac:dyDescent="0.35">
      <c r="A1084" s="3">
        <v>19910644693</v>
      </c>
      <c r="B1084" s="3">
        <v>223</v>
      </c>
      <c r="C1084" s="32">
        <v>49134</v>
      </c>
      <c r="D1084" s="32" t="s">
        <v>87</v>
      </c>
      <c r="E1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5" spans="1:6" x14ac:dyDescent="0.35">
      <c r="A1085" s="3">
        <v>32163862809</v>
      </c>
      <c r="B1085" s="3">
        <v>227</v>
      </c>
      <c r="C1085" s="32">
        <v>49134</v>
      </c>
      <c r="D1085" s="32" t="s">
        <v>87</v>
      </c>
      <c r="E1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6" spans="1:6" x14ac:dyDescent="0.35">
      <c r="A1086" s="3">
        <v>59813379210</v>
      </c>
      <c r="B1086" s="3">
        <v>252</v>
      </c>
      <c r="C1086" s="32">
        <v>49134</v>
      </c>
      <c r="D1086" s="32">
        <v>49156</v>
      </c>
      <c r="E1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87" spans="1:6" x14ac:dyDescent="0.35">
      <c r="A1087" s="3">
        <v>63171219880</v>
      </c>
      <c r="B1087" s="3">
        <v>272</v>
      </c>
      <c r="C1087" s="32">
        <v>49134</v>
      </c>
      <c r="D1087" s="32" t="s">
        <v>87</v>
      </c>
      <c r="E1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8" spans="1:6" x14ac:dyDescent="0.35">
      <c r="A1088" s="3">
        <v>37360204114</v>
      </c>
      <c r="B1088" s="3">
        <v>309</v>
      </c>
      <c r="C1088" s="32">
        <v>49134</v>
      </c>
      <c r="D1088" s="32" t="s">
        <v>87</v>
      </c>
      <c r="E1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9" spans="1:6" x14ac:dyDescent="0.35">
      <c r="A1089" s="3">
        <v>65124752809</v>
      </c>
      <c r="B1089" s="3">
        <v>320</v>
      </c>
      <c r="C1089" s="32">
        <v>49134</v>
      </c>
      <c r="D1089" s="32" t="s">
        <v>87</v>
      </c>
      <c r="E1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0" spans="1:6" x14ac:dyDescent="0.35">
      <c r="A1090" s="3">
        <v>83052916050</v>
      </c>
      <c r="B1090" s="3">
        <v>330</v>
      </c>
      <c r="C1090" s="32">
        <v>49134</v>
      </c>
      <c r="D1090" s="32" t="s">
        <v>87</v>
      </c>
      <c r="E1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1" spans="1:6" x14ac:dyDescent="0.35">
      <c r="A1091" s="3">
        <v>87080665474</v>
      </c>
      <c r="B1091" s="3">
        <v>11</v>
      </c>
      <c r="C1091" s="32">
        <v>49135</v>
      </c>
      <c r="D1091" s="32" t="s">
        <v>87</v>
      </c>
      <c r="E1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2" spans="1:6" x14ac:dyDescent="0.35">
      <c r="A1092" s="3">
        <v>88012195650</v>
      </c>
      <c r="B1092" s="3">
        <v>12</v>
      </c>
      <c r="C1092" s="32">
        <v>49135</v>
      </c>
      <c r="D1092" s="32" t="s">
        <v>87</v>
      </c>
      <c r="E1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3" spans="1:6" x14ac:dyDescent="0.35">
      <c r="A1093" s="3">
        <v>57323006821</v>
      </c>
      <c r="B1093" s="3">
        <v>14</v>
      </c>
      <c r="C1093" s="32">
        <v>49135</v>
      </c>
      <c r="D1093" s="32" t="s">
        <v>87</v>
      </c>
      <c r="E1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4" spans="1:6" x14ac:dyDescent="0.35">
      <c r="A1094" s="3">
        <v>93063582676</v>
      </c>
      <c r="B1094" s="3">
        <v>23</v>
      </c>
      <c r="C1094" s="32">
        <v>49135</v>
      </c>
      <c r="D1094" s="32" t="s">
        <v>87</v>
      </c>
      <c r="E1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5" spans="1:6" x14ac:dyDescent="0.35">
      <c r="A1095" s="3">
        <v>28552881712</v>
      </c>
      <c r="B1095" s="3">
        <v>24</v>
      </c>
      <c r="C1095" s="32">
        <v>49135</v>
      </c>
      <c r="D1095" s="32" t="s">
        <v>87</v>
      </c>
      <c r="E1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6" spans="1:6" x14ac:dyDescent="0.35">
      <c r="A1096" s="3">
        <v>40370179477</v>
      </c>
      <c r="B1096" s="3">
        <v>25</v>
      </c>
      <c r="C1096" s="32">
        <v>49135</v>
      </c>
      <c r="D1096" s="32" t="s">
        <v>87</v>
      </c>
      <c r="E1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7" spans="1:6" x14ac:dyDescent="0.35">
      <c r="A1097" s="3">
        <v>60075197162</v>
      </c>
      <c r="B1097" s="3">
        <v>36</v>
      </c>
      <c r="C1097" s="32">
        <v>49135</v>
      </c>
      <c r="D1097" s="32">
        <v>49219</v>
      </c>
      <c r="E1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98" spans="1:6" x14ac:dyDescent="0.35">
      <c r="A1098" s="3">
        <v>11980143407</v>
      </c>
      <c r="B1098" s="3">
        <v>45</v>
      </c>
      <c r="C1098" s="32">
        <v>49135</v>
      </c>
      <c r="D1098" s="32">
        <v>49141</v>
      </c>
      <c r="E1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99" spans="1:6" x14ac:dyDescent="0.35">
      <c r="A1099" s="3">
        <v>84381747810</v>
      </c>
      <c r="B1099" s="3">
        <v>53</v>
      </c>
      <c r="C1099" s="32">
        <v>49135</v>
      </c>
      <c r="D1099" s="32">
        <v>49193</v>
      </c>
      <c r="E1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00" spans="1:6" x14ac:dyDescent="0.35">
      <c r="A1100" s="3">
        <v>72485336065</v>
      </c>
      <c r="B1100" s="3">
        <v>66</v>
      </c>
      <c r="C1100" s="32">
        <v>49135</v>
      </c>
      <c r="D1100" s="32" t="s">
        <v>87</v>
      </c>
      <c r="E1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1" spans="1:6" x14ac:dyDescent="0.35">
      <c r="A1101" s="3">
        <v>87903203875</v>
      </c>
      <c r="B1101" s="3">
        <v>68</v>
      </c>
      <c r="C1101" s="32">
        <v>49135</v>
      </c>
      <c r="D1101" s="32" t="s">
        <v>87</v>
      </c>
      <c r="E1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2" spans="1:6" x14ac:dyDescent="0.35">
      <c r="A1102" s="3">
        <v>48556706223</v>
      </c>
      <c r="B1102" s="3">
        <v>72</v>
      </c>
      <c r="C1102" s="32">
        <v>49135</v>
      </c>
      <c r="D1102" s="32" t="s">
        <v>87</v>
      </c>
      <c r="E1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3" spans="1:6" x14ac:dyDescent="0.35">
      <c r="A1103" s="3">
        <v>89792875823</v>
      </c>
      <c r="B1103" s="3">
        <v>74</v>
      </c>
      <c r="C1103" s="32">
        <v>49135</v>
      </c>
      <c r="D1103" s="32" t="s">
        <v>87</v>
      </c>
      <c r="E1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4" spans="1:6" x14ac:dyDescent="0.35">
      <c r="A1104" s="3">
        <v>83001707157</v>
      </c>
      <c r="B1104" s="3">
        <v>79</v>
      </c>
      <c r="C1104" s="32">
        <v>49135</v>
      </c>
      <c r="D1104" s="32" t="s">
        <v>87</v>
      </c>
      <c r="E1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5" spans="1:6" x14ac:dyDescent="0.35">
      <c r="A1105" s="3">
        <v>48448930905</v>
      </c>
      <c r="B1105" s="3">
        <v>107</v>
      </c>
      <c r="C1105" s="32">
        <v>49135</v>
      </c>
      <c r="D1105" s="32" t="s">
        <v>87</v>
      </c>
      <c r="E1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6" spans="1:6" x14ac:dyDescent="0.35">
      <c r="A1106" s="3">
        <v>34042896504</v>
      </c>
      <c r="B1106" s="3">
        <v>113</v>
      </c>
      <c r="C1106" s="32">
        <v>49135</v>
      </c>
      <c r="D1106" s="32"/>
      <c r="E1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7" spans="1:6" x14ac:dyDescent="0.35">
      <c r="A1107" s="3">
        <v>78522345818</v>
      </c>
      <c r="B1107" s="3">
        <v>128</v>
      </c>
      <c r="C1107" s="32">
        <v>49135</v>
      </c>
      <c r="D1107" s="32"/>
      <c r="E1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8" spans="1:6" x14ac:dyDescent="0.35">
      <c r="A1108" s="3">
        <v>35138320951</v>
      </c>
      <c r="B1108" s="3">
        <v>136</v>
      </c>
      <c r="C1108" s="32">
        <v>49135</v>
      </c>
      <c r="D1108" s="32"/>
      <c r="E1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9" spans="1:6" x14ac:dyDescent="0.35">
      <c r="A1109" s="3">
        <v>14672851719</v>
      </c>
      <c r="B1109" s="3">
        <v>138</v>
      </c>
      <c r="C1109" s="32">
        <v>49135</v>
      </c>
      <c r="D1109" s="32" t="s">
        <v>87</v>
      </c>
      <c r="E1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0" spans="1:6" x14ac:dyDescent="0.35">
      <c r="A1110" s="3">
        <v>65755303158</v>
      </c>
      <c r="B1110" s="3">
        <v>156</v>
      </c>
      <c r="C1110" s="32">
        <v>49135</v>
      </c>
      <c r="D1110" s="32" t="s">
        <v>87</v>
      </c>
      <c r="E1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1" spans="1:6" x14ac:dyDescent="0.35">
      <c r="A1111" s="3">
        <v>59797869205</v>
      </c>
      <c r="B1111" s="3">
        <v>157</v>
      </c>
      <c r="C1111" s="32">
        <v>49135</v>
      </c>
      <c r="D1111" s="32" t="s">
        <v>87</v>
      </c>
      <c r="E1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2" spans="1:6" x14ac:dyDescent="0.35">
      <c r="A1112" s="3">
        <v>48915576454</v>
      </c>
      <c r="B1112" s="3">
        <v>180</v>
      </c>
      <c r="C1112" s="32">
        <v>49135</v>
      </c>
      <c r="D1112" s="32" t="s">
        <v>87</v>
      </c>
      <c r="E1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3" spans="1:6" x14ac:dyDescent="0.35">
      <c r="A1113" s="3">
        <v>13246139023</v>
      </c>
      <c r="B1113" s="3">
        <v>184</v>
      </c>
      <c r="C1113" s="32">
        <v>49135</v>
      </c>
      <c r="D1113" s="32"/>
      <c r="E1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4" spans="1:6" x14ac:dyDescent="0.35">
      <c r="A1114" s="3">
        <v>72131776398</v>
      </c>
      <c r="B1114" s="3">
        <v>195</v>
      </c>
      <c r="C1114" s="32">
        <v>49135</v>
      </c>
      <c r="D1114" s="32">
        <v>49202</v>
      </c>
      <c r="E1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15" spans="1:6" x14ac:dyDescent="0.35">
      <c r="A1115" s="3">
        <v>95610002309</v>
      </c>
      <c r="B1115" s="3">
        <v>198</v>
      </c>
      <c r="C1115" s="32">
        <v>49135</v>
      </c>
      <c r="D1115" s="32"/>
      <c r="E1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6" spans="1:6" x14ac:dyDescent="0.35">
      <c r="A1116" s="3">
        <v>84675239459</v>
      </c>
      <c r="B1116" s="3">
        <v>215</v>
      </c>
      <c r="C1116" s="32">
        <v>49135</v>
      </c>
      <c r="D1116" s="32" t="s">
        <v>87</v>
      </c>
      <c r="E1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7" spans="1:6" x14ac:dyDescent="0.35">
      <c r="A1117" s="3">
        <v>46620050714</v>
      </c>
      <c r="B1117" s="3">
        <v>216</v>
      </c>
      <c r="C1117" s="32">
        <v>49135</v>
      </c>
      <c r="D1117" s="32" t="s">
        <v>87</v>
      </c>
      <c r="E1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8" spans="1:6" x14ac:dyDescent="0.35">
      <c r="A1118" s="3">
        <v>26572627436</v>
      </c>
      <c r="B1118" s="3">
        <v>242</v>
      </c>
      <c r="C1118" s="32">
        <v>49135</v>
      </c>
      <c r="D1118" s="32" t="s">
        <v>87</v>
      </c>
      <c r="E1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9" spans="1:6" x14ac:dyDescent="0.35">
      <c r="A1119" s="3">
        <v>54657718696</v>
      </c>
      <c r="B1119" s="3">
        <v>249</v>
      </c>
      <c r="C1119" s="32">
        <v>49135</v>
      </c>
      <c r="D1119" s="32" t="s">
        <v>87</v>
      </c>
      <c r="E1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0" spans="1:6" x14ac:dyDescent="0.35">
      <c r="A1120" s="3">
        <v>25315104992</v>
      </c>
      <c r="B1120" s="3">
        <v>255</v>
      </c>
      <c r="C1120" s="32">
        <v>49135</v>
      </c>
      <c r="D1120" s="32" t="s">
        <v>87</v>
      </c>
      <c r="E1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1" spans="1:6" x14ac:dyDescent="0.35">
      <c r="A1121" s="3">
        <v>18780883885</v>
      </c>
      <c r="B1121" s="3">
        <v>259</v>
      </c>
      <c r="C1121" s="32">
        <v>49135</v>
      </c>
      <c r="D1121" s="32"/>
      <c r="E1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2" spans="1:6" x14ac:dyDescent="0.35">
      <c r="A1122" s="3">
        <v>23984338823</v>
      </c>
      <c r="B1122" s="3">
        <v>269</v>
      </c>
      <c r="C1122" s="32">
        <v>49135</v>
      </c>
      <c r="D1122" s="32" t="s">
        <v>87</v>
      </c>
      <c r="E1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3" spans="1:6" x14ac:dyDescent="0.35">
      <c r="A1123" s="3">
        <v>93796056517</v>
      </c>
      <c r="B1123" s="3">
        <v>285</v>
      </c>
      <c r="C1123" s="32">
        <v>49135</v>
      </c>
      <c r="D1123" s="32">
        <v>49205</v>
      </c>
      <c r="E1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24" spans="1:6" x14ac:dyDescent="0.35">
      <c r="A1124" s="3">
        <v>24979610495</v>
      </c>
      <c r="B1124" s="3">
        <v>291</v>
      </c>
      <c r="C1124" s="32">
        <v>49135</v>
      </c>
      <c r="D1124" s="32">
        <v>49230</v>
      </c>
      <c r="E1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25" spans="1:6" x14ac:dyDescent="0.35">
      <c r="A1125" s="3">
        <v>95517205808</v>
      </c>
      <c r="B1125" s="3">
        <v>300</v>
      </c>
      <c r="C1125" s="32">
        <v>49135</v>
      </c>
      <c r="D1125" s="32" t="s">
        <v>87</v>
      </c>
      <c r="E1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6" spans="1:6" x14ac:dyDescent="0.35">
      <c r="A1126" s="3">
        <v>20117876658</v>
      </c>
      <c r="B1126" s="3">
        <v>305</v>
      </c>
      <c r="C1126" s="32">
        <v>49135</v>
      </c>
      <c r="D1126" s="32" t="s">
        <v>87</v>
      </c>
      <c r="E1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7" spans="1:6" x14ac:dyDescent="0.35">
      <c r="A1127" s="3">
        <v>69961058149</v>
      </c>
      <c r="B1127" s="3">
        <v>306</v>
      </c>
      <c r="C1127" s="32">
        <v>49135</v>
      </c>
      <c r="D1127" s="32">
        <v>49177</v>
      </c>
      <c r="E1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28" spans="1:6" x14ac:dyDescent="0.35">
      <c r="A1128" s="3">
        <v>59553935654</v>
      </c>
      <c r="B1128" s="3">
        <v>306</v>
      </c>
      <c r="C1128" s="32">
        <v>49135</v>
      </c>
      <c r="D1128" s="32" t="s">
        <v>87</v>
      </c>
      <c r="E1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9" spans="1:6" x14ac:dyDescent="0.35">
      <c r="A1129" s="3">
        <v>58707168576</v>
      </c>
      <c r="B1129" s="3">
        <v>318</v>
      </c>
      <c r="C1129" s="32">
        <v>49135</v>
      </c>
      <c r="D1129" s="32" t="s">
        <v>87</v>
      </c>
      <c r="E1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0" spans="1:6" x14ac:dyDescent="0.35">
      <c r="A1130" s="3">
        <v>23112289245</v>
      </c>
      <c r="B1130" s="3">
        <v>333</v>
      </c>
      <c r="C1130" s="32">
        <v>49135</v>
      </c>
      <c r="D1130" s="32">
        <v>49197</v>
      </c>
      <c r="E1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31" spans="1:6" x14ac:dyDescent="0.35">
      <c r="A1131" s="3">
        <v>70730692444</v>
      </c>
      <c r="B1131" s="3">
        <v>6</v>
      </c>
      <c r="C1131" s="32">
        <v>49136</v>
      </c>
      <c r="D1131" s="32" t="s">
        <v>87</v>
      </c>
      <c r="E1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2" spans="1:6" x14ac:dyDescent="0.35">
      <c r="A1132" s="3">
        <v>51941436149</v>
      </c>
      <c r="B1132" s="3">
        <v>15</v>
      </c>
      <c r="C1132" s="32">
        <v>49136</v>
      </c>
      <c r="D1132" s="32"/>
      <c r="E1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3" spans="1:6" x14ac:dyDescent="0.35">
      <c r="A1133" s="3">
        <v>43867666363</v>
      </c>
      <c r="B1133" s="3">
        <v>25</v>
      </c>
      <c r="C1133" s="32">
        <v>49136</v>
      </c>
      <c r="D1133" s="32" t="s">
        <v>87</v>
      </c>
      <c r="E1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4" spans="1:6" x14ac:dyDescent="0.35">
      <c r="A1134" s="3">
        <v>13968201913</v>
      </c>
      <c r="B1134" s="3">
        <v>47</v>
      </c>
      <c r="C1134" s="32">
        <v>49136</v>
      </c>
      <c r="D1134" s="32">
        <v>49138</v>
      </c>
      <c r="E1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35" spans="1:6" x14ac:dyDescent="0.35">
      <c r="A1135" s="3">
        <v>88546765967</v>
      </c>
      <c r="B1135" s="3">
        <v>55</v>
      </c>
      <c r="C1135" s="32">
        <v>49136</v>
      </c>
      <c r="D1135" s="32" t="s">
        <v>87</v>
      </c>
      <c r="E1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6" spans="1:6" x14ac:dyDescent="0.35">
      <c r="A1136" s="3">
        <v>11248075650</v>
      </c>
      <c r="B1136" s="3">
        <v>59</v>
      </c>
      <c r="C1136" s="32">
        <v>49136</v>
      </c>
      <c r="D1136" s="32" t="s">
        <v>87</v>
      </c>
      <c r="E1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7" spans="1:6" x14ac:dyDescent="0.35">
      <c r="A1137" s="3">
        <v>15007957644</v>
      </c>
      <c r="B1137" s="3">
        <v>69</v>
      </c>
      <c r="C1137" s="32">
        <v>49136</v>
      </c>
      <c r="D1137" s="32"/>
      <c r="E1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8" spans="1:6" x14ac:dyDescent="0.35">
      <c r="A1138" s="3">
        <v>26951281581</v>
      </c>
      <c r="B1138" s="3">
        <v>71</v>
      </c>
      <c r="C1138" s="32">
        <v>49136</v>
      </c>
      <c r="D1138" s="32">
        <v>49252</v>
      </c>
      <c r="E1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39" spans="1:6" x14ac:dyDescent="0.35">
      <c r="A1139" s="3">
        <v>14627174114</v>
      </c>
      <c r="B1139" s="3">
        <v>74</v>
      </c>
      <c r="C1139" s="32">
        <v>49136</v>
      </c>
      <c r="D1139" s="32" t="s">
        <v>87</v>
      </c>
      <c r="E1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0" spans="1:6" x14ac:dyDescent="0.35">
      <c r="A1140" s="3">
        <v>26810711389</v>
      </c>
      <c r="B1140" s="3">
        <v>74</v>
      </c>
      <c r="C1140" s="32">
        <v>49136</v>
      </c>
      <c r="D1140" s="32" t="s">
        <v>87</v>
      </c>
      <c r="E1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1" spans="1:6" x14ac:dyDescent="0.35">
      <c r="A1141" s="3">
        <v>60316369542</v>
      </c>
      <c r="B1141" s="3">
        <v>74</v>
      </c>
      <c r="C1141" s="32">
        <v>49136</v>
      </c>
      <c r="D1141" s="32" t="s">
        <v>87</v>
      </c>
      <c r="E1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2" spans="1:6" x14ac:dyDescent="0.35">
      <c r="A1142" s="3">
        <v>60352478421</v>
      </c>
      <c r="B1142" s="3">
        <v>82</v>
      </c>
      <c r="C1142" s="32">
        <v>49136</v>
      </c>
      <c r="D1142" s="32" t="s">
        <v>87</v>
      </c>
      <c r="E1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3" spans="1:6" x14ac:dyDescent="0.35">
      <c r="A1143" s="3">
        <v>47314041034</v>
      </c>
      <c r="B1143" s="3">
        <v>91</v>
      </c>
      <c r="C1143" s="32">
        <v>49136</v>
      </c>
      <c r="D1143" s="32" t="s">
        <v>87</v>
      </c>
      <c r="E1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4" spans="1:6" x14ac:dyDescent="0.35">
      <c r="A1144" s="3">
        <v>79424739746</v>
      </c>
      <c r="B1144" s="3">
        <v>98</v>
      </c>
      <c r="C1144" s="32">
        <v>49136</v>
      </c>
      <c r="D1144" s="32" t="s">
        <v>87</v>
      </c>
      <c r="E1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5" spans="1:6" x14ac:dyDescent="0.35">
      <c r="A1145" s="3">
        <v>14256185166</v>
      </c>
      <c r="B1145" s="3">
        <v>123</v>
      </c>
      <c r="C1145" s="32">
        <v>49136</v>
      </c>
      <c r="D1145" s="32">
        <v>49226</v>
      </c>
      <c r="E1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46" spans="1:6" x14ac:dyDescent="0.35">
      <c r="A1146" s="3">
        <v>60266834925</v>
      </c>
      <c r="B1146" s="3">
        <v>125</v>
      </c>
      <c r="C1146" s="32">
        <v>49136</v>
      </c>
      <c r="D1146" s="32">
        <v>49216</v>
      </c>
      <c r="E1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47" spans="1:6" x14ac:dyDescent="0.35">
      <c r="A1147" s="3">
        <v>18761583681</v>
      </c>
      <c r="B1147" s="3">
        <v>130</v>
      </c>
      <c r="C1147" s="32">
        <v>49136</v>
      </c>
      <c r="D1147" s="32" t="s">
        <v>87</v>
      </c>
      <c r="E1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8" spans="1:6" x14ac:dyDescent="0.35">
      <c r="A1148" s="3">
        <v>97018959655</v>
      </c>
      <c r="B1148" s="3">
        <v>133</v>
      </c>
      <c r="C1148" s="32">
        <v>49136</v>
      </c>
      <c r="D1148" s="32">
        <v>49183</v>
      </c>
      <c r="E1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49" spans="1:6" x14ac:dyDescent="0.35">
      <c r="A1149" s="3">
        <v>83057201811</v>
      </c>
      <c r="B1149" s="3">
        <v>140</v>
      </c>
      <c r="C1149" s="32">
        <v>49136</v>
      </c>
      <c r="D1149" s="32">
        <v>49186</v>
      </c>
      <c r="E1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50" spans="1:6" x14ac:dyDescent="0.35">
      <c r="A1150" s="3">
        <v>78894468515</v>
      </c>
      <c r="B1150" s="3">
        <v>147</v>
      </c>
      <c r="C1150" s="32">
        <v>49136</v>
      </c>
      <c r="D1150" s="32" t="s">
        <v>87</v>
      </c>
      <c r="E1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1" spans="1:6" x14ac:dyDescent="0.35">
      <c r="A1151" s="3">
        <v>33286256015</v>
      </c>
      <c r="B1151" s="3">
        <v>154</v>
      </c>
      <c r="C1151" s="32">
        <v>49136</v>
      </c>
      <c r="D1151" s="32" t="s">
        <v>87</v>
      </c>
      <c r="E1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2" spans="1:6" x14ac:dyDescent="0.35">
      <c r="A1152" s="3">
        <v>67085925516</v>
      </c>
      <c r="B1152" s="3">
        <v>193</v>
      </c>
      <c r="C1152" s="32">
        <v>49136</v>
      </c>
      <c r="D1152" s="32" t="s">
        <v>87</v>
      </c>
      <c r="E1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3" spans="1:6" x14ac:dyDescent="0.35">
      <c r="A1153" s="3">
        <v>24618484138</v>
      </c>
      <c r="B1153" s="3">
        <v>199</v>
      </c>
      <c r="C1153" s="32">
        <v>49136</v>
      </c>
      <c r="D1153" s="32" t="s">
        <v>87</v>
      </c>
      <c r="E1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4" spans="1:6" x14ac:dyDescent="0.35">
      <c r="A1154" s="3">
        <v>70141577788</v>
      </c>
      <c r="B1154" s="3">
        <v>203</v>
      </c>
      <c r="C1154" s="32">
        <v>49136</v>
      </c>
      <c r="D1154" s="32" t="s">
        <v>87</v>
      </c>
      <c r="E1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5" spans="1:6" x14ac:dyDescent="0.35">
      <c r="A1155" s="3">
        <v>59491007445</v>
      </c>
      <c r="B1155" s="3">
        <v>214</v>
      </c>
      <c r="C1155" s="32">
        <v>49136</v>
      </c>
      <c r="D1155" s="32">
        <v>49176</v>
      </c>
      <c r="E1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56" spans="1:6" x14ac:dyDescent="0.35">
      <c r="A1156" s="3">
        <v>37545853067</v>
      </c>
      <c r="B1156" s="3">
        <v>224</v>
      </c>
      <c r="C1156" s="32">
        <v>49136</v>
      </c>
      <c r="D1156" s="32" t="s">
        <v>87</v>
      </c>
      <c r="E1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7" spans="1:6" x14ac:dyDescent="0.35">
      <c r="A1157" s="3">
        <v>39247218528</v>
      </c>
      <c r="B1157" s="3">
        <v>240</v>
      </c>
      <c r="C1157" s="32">
        <v>49136</v>
      </c>
      <c r="D1157" s="32"/>
      <c r="E1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8" spans="1:6" x14ac:dyDescent="0.35">
      <c r="A1158" s="3">
        <v>23139658474</v>
      </c>
      <c r="B1158" s="3">
        <v>241</v>
      </c>
      <c r="C1158" s="32">
        <v>49136</v>
      </c>
      <c r="D1158" s="32" t="s">
        <v>87</v>
      </c>
      <c r="E1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9" spans="1:6" x14ac:dyDescent="0.35">
      <c r="A1159" s="3">
        <v>80316056267</v>
      </c>
      <c r="B1159" s="3">
        <v>249</v>
      </c>
      <c r="C1159" s="32">
        <v>49136</v>
      </c>
      <c r="D1159" s="32" t="s">
        <v>87</v>
      </c>
      <c r="E1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0" spans="1:6" x14ac:dyDescent="0.35">
      <c r="A1160" s="3">
        <v>48433728433</v>
      </c>
      <c r="B1160" s="3">
        <v>296</v>
      </c>
      <c r="C1160" s="32">
        <v>49136</v>
      </c>
      <c r="D1160" s="32">
        <v>49150</v>
      </c>
      <c r="E1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61" spans="1:6" x14ac:dyDescent="0.35">
      <c r="A1161" s="3">
        <v>32241820591</v>
      </c>
      <c r="B1161" s="3">
        <v>302</v>
      </c>
      <c r="C1161" s="32">
        <v>49136</v>
      </c>
      <c r="D1161" s="32"/>
      <c r="E1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2" spans="1:6" x14ac:dyDescent="0.35">
      <c r="A1162" s="3">
        <v>44783012488</v>
      </c>
      <c r="B1162" s="3">
        <v>310</v>
      </c>
      <c r="C1162" s="32">
        <v>49136</v>
      </c>
      <c r="D1162" s="32" t="s">
        <v>87</v>
      </c>
      <c r="E1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3" spans="1:6" x14ac:dyDescent="0.35">
      <c r="A1163" s="3">
        <v>11595234929</v>
      </c>
      <c r="B1163" s="3">
        <v>328</v>
      </c>
      <c r="C1163" s="32">
        <v>49136</v>
      </c>
      <c r="D1163" s="32" t="s">
        <v>87</v>
      </c>
      <c r="E1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4" spans="1:6" x14ac:dyDescent="0.35">
      <c r="A1164" s="3">
        <v>25645809151</v>
      </c>
      <c r="B1164" s="3">
        <v>4</v>
      </c>
      <c r="C1164" s="32">
        <v>49137</v>
      </c>
      <c r="D1164" s="32" t="s">
        <v>87</v>
      </c>
      <c r="E1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5" spans="1:6" x14ac:dyDescent="0.35">
      <c r="A1165" s="3">
        <v>86648289589</v>
      </c>
      <c r="B1165" s="3">
        <v>8</v>
      </c>
      <c r="C1165" s="32">
        <v>49137</v>
      </c>
      <c r="D1165" s="32" t="s">
        <v>87</v>
      </c>
      <c r="E1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6" spans="1:6" x14ac:dyDescent="0.35">
      <c r="A1166" s="3">
        <v>28194385980</v>
      </c>
      <c r="B1166" s="3">
        <v>11</v>
      </c>
      <c r="C1166" s="32">
        <v>49137</v>
      </c>
      <c r="D1166" s="32" t="s">
        <v>87</v>
      </c>
      <c r="E1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7" spans="1:6" x14ac:dyDescent="0.35">
      <c r="A1167" s="3">
        <v>65501609538</v>
      </c>
      <c r="B1167" s="3">
        <v>14</v>
      </c>
      <c r="C1167" s="32">
        <v>49137</v>
      </c>
      <c r="D1167" s="32" t="s">
        <v>87</v>
      </c>
      <c r="E1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8" spans="1:6" x14ac:dyDescent="0.35">
      <c r="A1168" s="3">
        <v>63660981762</v>
      </c>
      <c r="B1168" s="3">
        <v>54</v>
      </c>
      <c r="C1168" s="32">
        <v>49137</v>
      </c>
      <c r="D1168" s="32">
        <v>49236</v>
      </c>
      <c r="E1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69" spans="1:6" x14ac:dyDescent="0.35">
      <c r="A1169" s="3">
        <v>20326204269</v>
      </c>
      <c r="B1169" s="3">
        <v>81</v>
      </c>
      <c r="C1169" s="32">
        <v>49137</v>
      </c>
      <c r="D1169" s="32">
        <v>49173</v>
      </c>
      <c r="E1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70" spans="1:6" x14ac:dyDescent="0.35">
      <c r="A1170" s="3">
        <v>33469621915</v>
      </c>
      <c r="B1170" s="3">
        <v>101</v>
      </c>
      <c r="C1170" s="32">
        <v>49137</v>
      </c>
      <c r="D1170" s="32" t="s">
        <v>87</v>
      </c>
      <c r="E1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1" spans="1:6" x14ac:dyDescent="0.35">
      <c r="A1171" s="3">
        <v>82186420348</v>
      </c>
      <c r="B1171" s="3">
        <v>126</v>
      </c>
      <c r="C1171" s="32">
        <v>49137</v>
      </c>
      <c r="D1171" s="32" t="s">
        <v>87</v>
      </c>
      <c r="E1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2" spans="1:6" x14ac:dyDescent="0.35">
      <c r="A1172" s="3">
        <v>37942198183</v>
      </c>
      <c r="B1172" s="3">
        <v>149</v>
      </c>
      <c r="C1172" s="32">
        <v>49137</v>
      </c>
      <c r="D1172" s="32"/>
      <c r="E1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3" spans="1:6" x14ac:dyDescent="0.35">
      <c r="A1173" s="3">
        <v>49534039674</v>
      </c>
      <c r="B1173" s="3">
        <v>163</v>
      </c>
      <c r="C1173" s="32">
        <v>49137</v>
      </c>
      <c r="D1173" s="32" t="s">
        <v>87</v>
      </c>
      <c r="E1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4" spans="1:6" x14ac:dyDescent="0.35">
      <c r="A1174" s="3">
        <v>43090428248</v>
      </c>
      <c r="B1174" s="3">
        <v>169</v>
      </c>
      <c r="C1174" s="32">
        <v>49137</v>
      </c>
      <c r="D1174" s="32" t="s">
        <v>87</v>
      </c>
      <c r="E1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5" spans="1:6" x14ac:dyDescent="0.35">
      <c r="A1175" s="3">
        <v>99905380883</v>
      </c>
      <c r="B1175" s="3">
        <v>175</v>
      </c>
      <c r="C1175" s="32">
        <v>49137</v>
      </c>
      <c r="D1175" s="32">
        <v>49257</v>
      </c>
      <c r="E1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76" spans="1:6" x14ac:dyDescent="0.35">
      <c r="A1176" s="3">
        <v>26337687448</v>
      </c>
      <c r="B1176" s="3">
        <v>182</v>
      </c>
      <c r="C1176" s="32">
        <v>49137</v>
      </c>
      <c r="D1176" s="32">
        <v>49202</v>
      </c>
      <c r="E1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77" spans="1:6" x14ac:dyDescent="0.35">
      <c r="A1177" s="3">
        <v>22057594435</v>
      </c>
      <c r="B1177" s="3">
        <v>187</v>
      </c>
      <c r="C1177" s="32">
        <v>49137</v>
      </c>
      <c r="D1177" s="32"/>
      <c r="E1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8" spans="1:6" x14ac:dyDescent="0.35">
      <c r="A1178" s="3">
        <v>78109183660</v>
      </c>
      <c r="B1178" s="3">
        <v>203</v>
      </c>
      <c r="C1178" s="32">
        <v>49137</v>
      </c>
      <c r="D1178" s="32">
        <v>49145</v>
      </c>
      <c r="E1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79" spans="1:6" x14ac:dyDescent="0.35">
      <c r="A1179" s="3">
        <v>49824519645</v>
      </c>
      <c r="B1179" s="3">
        <v>220</v>
      </c>
      <c r="C1179" s="32">
        <v>49137</v>
      </c>
      <c r="D1179" s="32">
        <v>49232</v>
      </c>
      <c r="E1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80" spans="1:6" x14ac:dyDescent="0.35">
      <c r="A1180" s="3">
        <v>41023751976</v>
      </c>
      <c r="B1180" s="3">
        <v>263</v>
      </c>
      <c r="C1180" s="32">
        <v>49137</v>
      </c>
      <c r="D1180" s="32">
        <v>49251</v>
      </c>
      <c r="E1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81" spans="1:6" x14ac:dyDescent="0.35">
      <c r="A1181" s="3">
        <v>48892846770</v>
      </c>
      <c r="B1181" s="3">
        <v>275</v>
      </c>
      <c r="C1181" s="32">
        <v>49137</v>
      </c>
      <c r="D1181" s="32">
        <v>49155</v>
      </c>
      <c r="E1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82" spans="1:6" x14ac:dyDescent="0.35">
      <c r="A1182" s="3">
        <v>59048018032</v>
      </c>
      <c r="B1182" s="3">
        <v>277</v>
      </c>
      <c r="C1182" s="32">
        <v>49137</v>
      </c>
      <c r="D1182" s="32">
        <v>49211</v>
      </c>
      <c r="E1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83" spans="1:6" x14ac:dyDescent="0.35">
      <c r="A1183" s="3">
        <v>44096878950</v>
      </c>
      <c r="B1183" s="3">
        <v>290</v>
      </c>
      <c r="C1183" s="32">
        <v>49137</v>
      </c>
      <c r="D1183" s="32" t="s">
        <v>87</v>
      </c>
      <c r="E1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4" spans="1:6" x14ac:dyDescent="0.35">
      <c r="A1184" s="3">
        <v>23746024566</v>
      </c>
      <c r="B1184" s="3">
        <v>300</v>
      </c>
      <c r="C1184" s="32">
        <v>49137</v>
      </c>
      <c r="D1184" s="32" t="s">
        <v>87</v>
      </c>
      <c r="E1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5" spans="1:6" x14ac:dyDescent="0.35">
      <c r="A1185" s="3">
        <v>64745071151</v>
      </c>
      <c r="B1185" s="3">
        <v>305</v>
      </c>
      <c r="C1185" s="32">
        <v>49137</v>
      </c>
      <c r="D1185" s="32" t="s">
        <v>87</v>
      </c>
      <c r="E1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6" spans="1:6" x14ac:dyDescent="0.35">
      <c r="A1186" s="3">
        <v>95852057690</v>
      </c>
      <c r="B1186" s="3">
        <v>309</v>
      </c>
      <c r="C1186" s="32">
        <v>49137</v>
      </c>
      <c r="D1186" s="32" t="s">
        <v>87</v>
      </c>
      <c r="E1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7" spans="1:6" x14ac:dyDescent="0.35">
      <c r="A1187" s="3">
        <v>98622328984</v>
      </c>
      <c r="B1187" s="3">
        <v>323</v>
      </c>
      <c r="C1187" s="32">
        <v>49137</v>
      </c>
      <c r="D1187" s="32" t="s">
        <v>87</v>
      </c>
      <c r="E1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8" spans="1:6" x14ac:dyDescent="0.35">
      <c r="A1188" s="3">
        <v>33918368800</v>
      </c>
      <c r="B1188" s="3">
        <v>0</v>
      </c>
      <c r="C1188" s="32">
        <v>49138</v>
      </c>
      <c r="D1188" s="32" t="s">
        <v>87</v>
      </c>
      <c r="E1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9" spans="1:6" x14ac:dyDescent="0.35">
      <c r="A1189" s="3">
        <v>19244668817</v>
      </c>
      <c r="B1189" s="3">
        <v>10</v>
      </c>
      <c r="C1189" s="32">
        <v>49138</v>
      </c>
      <c r="D1189" s="32">
        <v>49249</v>
      </c>
      <c r="E1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90" spans="1:6" x14ac:dyDescent="0.35">
      <c r="A1190" s="3">
        <v>48718455651</v>
      </c>
      <c r="B1190" s="3">
        <v>11</v>
      </c>
      <c r="C1190" s="32">
        <v>49138</v>
      </c>
      <c r="D1190" s="32"/>
      <c r="E1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1" spans="1:6" x14ac:dyDescent="0.35">
      <c r="A1191" s="3">
        <v>23740748270</v>
      </c>
      <c r="B1191" s="3">
        <v>11</v>
      </c>
      <c r="C1191" s="32">
        <v>49138</v>
      </c>
      <c r="D1191" s="32" t="s">
        <v>87</v>
      </c>
      <c r="E1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2" spans="1:6" x14ac:dyDescent="0.35">
      <c r="A1192" s="3">
        <v>50556398438</v>
      </c>
      <c r="B1192" s="3">
        <v>19</v>
      </c>
      <c r="C1192" s="32">
        <v>49138</v>
      </c>
      <c r="D1192" s="32">
        <v>49247</v>
      </c>
      <c r="E1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93" spans="1:6" x14ac:dyDescent="0.35">
      <c r="A1193" s="3">
        <v>30207722157</v>
      </c>
      <c r="B1193" s="3">
        <v>21</v>
      </c>
      <c r="C1193" s="32">
        <v>49138</v>
      </c>
      <c r="D1193" s="32" t="s">
        <v>87</v>
      </c>
      <c r="E1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4" spans="1:6" x14ac:dyDescent="0.35">
      <c r="A1194" s="3">
        <v>46098534373</v>
      </c>
      <c r="B1194" s="3">
        <v>23</v>
      </c>
      <c r="C1194" s="32">
        <v>49138</v>
      </c>
      <c r="D1194" s="32" t="s">
        <v>87</v>
      </c>
      <c r="E1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5" spans="1:6" x14ac:dyDescent="0.35">
      <c r="A1195" s="3">
        <v>91767966589</v>
      </c>
      <c r="B1195" s="3">
        <v>44</v>
      </c>
      <c r="C1195" s="32">
        <v>49138</v>
      </c>
      <c r="D1195" s="32" t="s">
        <v>87</v>
      </c>
      <c r="E1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6" spans="1:6" x14ac:dyDescent="0.35">
      <c r="A1196" s="3">
        <v>32773491528</v>
      </c>
      <c r="B1196" s="3">
        <v>114</v>
      </c>
      <c r="C1196" s="32">
        <v>49138</v>
      </c>
      <c r="D1196" s="32">
        <v>49157</v>
      </c>
      <c r="E1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97" spans="1:6" x14ac:dyDescent="0.35">
      <c r="A1197" s="3">
        <v>87699070762</v>
      </c>
      <c r="B1197" s="3">
        <v>129</v>
      </c>
      <c r="C1197" s="32">
        <v>49138</v>
      </c>
      <c r="D1197" s="32" t="s">
        <v>87</v>
      </c>
      <c r="E1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8" spans="1:6" x14ac:dyDescent="0.35">
      <c r="A1198" s="3">
        <v>99388514355</v>
      </c>
      <c r="B1198" s="3">
        <v>147</v>
      </c>
      <c r="C1198" s="32">
        <v>49138</v>
      </c>
      <c r="D1198" s="32"/>
      <c r="E1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9" spans="1:6" x14ac:dyDescent="0.35">
      <c r="A1199" s="3">
        <v>92067624597</v>
      </c>
      <c r="B1199" s="3">
        <v>149</v>
      </c>
      <c r="C1199" s="32">
        <v>49138</v>
      </c>
      <c r="D1199" s="32" t="s">
        <v>87</v>
      </c>
      <c r="E1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0" spans="1:6" x14ac:dyDescent="0.35">
      <c r="A1200" s="3">
        <v>80507228799</v>
      </c>
      <c r="B1200" s="3">
        <v>154</v>
      </c>
      <c r="C1200" s="32">
        <v>49138</v>
      </c>
      <c r="D1200" s="32" t="s">
        <v>87</v>
      </c>
      <c r="E1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1" spans="1:6" x14ac:dyDescent="0.35">
      <c r="A1201" s="3">
        <v>47182300718</v>
      </c>
      <c r="B1201" s="3">
        <v>159</v>
      </c>
      <c r="C1201" s="32">
        <v>49138</v>
      </c>
      <c r="D1201" s="32" t="s">
        <v>87</v>
      </c>
      <c r="E1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2" spans="1:6" x14ac:dyDescent="0.35">
      <c r="A1202" s="3">
        <v>99563380288</v>
      </c>
      <c r="B1202" s="3">
        <v>191</v>
      </c>
      <c r="C1202" s="32">
        <v>49138</v>
      </c>
      <c r="D1202" s="32" t="s">
        <v>87</v>
      </c>
      <c r="E1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3" spans="1:6" x14ac:dyDescent="0.35">
      <c r="A1203" s="3">
        <v>55687455763</v>
      </c>
      <c r="B1203" s="3">
        <v>204</v>
      </c>
      <c r="C1203" s="32">
        <v>49138</v>
      </c>
      <c r="D1203" s="32" t="s">
        <v>87</v>
      </c>
      <c r="E1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4" spans="1:6" x14ac:dyDescent="0.35">
      <c r="A1204" s="3">
        <v>56848451832</v>
      </c>
      <c r="B1204" s="3">
        <v>222</v>
      </c>
      <c r="C1204" s="32">
        <v>49138</v>
      </c>
      <c r="D1204" s="32">
        <v>49187</v>
      </c>
      <c r="E1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05" spans="1:6" x14ac:dyDescent="0.35">
      <c r="A1205" s="3">
        <v>78063973885</v>
      </c>
      <c r="B1205" s="3">
        <v>228</v>
      </c>
      <c r="C1205" s="32">
        <v>49138</v>
      </c>
      <c r="D1205" s="32"/>
      <c r="E1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6" spans="1:6" x14ac:dyDescent="0.35">
      <c r="A1206" s="3">
        <v>36397590668</v>
      </c>
      <c r="B1206" s="3">
        <v>256</v>
      </c>
      <c r="C1206" s="32">
        <v>49138</v>
      </c>
      <c r="D1206" s="32">
        <v>49174</v>
      </c>
      <c r="E1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07" spans="1:6" x14ac:dyDescent="0.35">
      <c r="A1207" s="3">
        <v>41031825787</v>
      </c>
      <c r="B1207" s="3">
        <v>264</v>
      </c>
      <c r="C1207" s="32">
        <v>49138</v>
      </c>
      <c r="D1207" s="32" t="s">
        <v>87</v>
      </c>
      <c r="E1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8" spans="1:6" x14ac:dyDescent="0.35">
      <c r="A1208" s="3">
        <v>23404051452</v>
      </c>
      <c r="B1208" s="3">
        <v>268</v>
      </c>
      <c r="C1208" s="32">
        <v>49138</v>
      </c>
      <c r="D1208" s="32" t="s">
        <v>87</v>
      </c>
      <c r="E1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9" spans="1:6" x14ac:dyDescent="0.35">
      <c r="A1209" s="3">
        <v>30262953212</v>
      </c>
      <c r="B1209" s="3">
        <v>284</v>
      </c>
      <c r="C1209" s="32">
        <v>49138</v>
      </c>
      <c r="D1209" s="32" t="s">
        <v>87</v>
      </c>
      <c r="E1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0" spans="1:6" x14ac:dyDescent="0.35">
      <c r="A1210" s="3">
        <v>87238853788</v>
      </c>
      <c r="B1210" s="3">
        <v>43</v>
      </c>
      <c r="C1210" s="32">
        <v>49139</v>
      </c>
      <c r="D1210" s="32" t="s">
        <v>87</v>
      </c>
      <c r="E1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1" spans="1:6" x14ac:dyDescent="0.35">
      <c r="A1211" s="3">
        <v>15152467408</v>
      </c>
      <c r="B1211" s="3">
        <v>43</v>
      </c>
      <c r="C1211" s="32">
        <v>49139</v>
      </c>
      <c r="D1211" s="32" t="s">
        <v>87</v>
      </c>
      <c r="E1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2" spans="1:6" x14ac:dyDescent="0.35">
      <c r="A1212" s="3">
        <v>74206201903</v>
      </c>
      <c r="B1212" s="3">
        <v>57</v>
      </c>
      <c r="C1212" s="32">
        <v>49139</v>
      </c>
      <c r="D1212" s="32" t="s">
        <v>87</v>
      </c>
      <c r="E1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3" spans="1:6" x14ac:dyDescent="0.35">
      <c r="A1213" s="3">
        <v>99404335018</v>
      </c>
      <c r="B1213" s="3">
        <v>58</v>
      </c>
      <c r="C1213" s="32">
        <v>49139</v>
      </c>
      <c r="D1213" s="32" t="s">
        <v>87</v>
      </c>
      <c r="E1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4" spans="1:6" x14ac:dyDescent="0.35">
      <c r="A1214" s="3">
        <v>32889615625</v>
      </c>
      <c r="B1214" s="3">
        <v>92</v>
      </c>
      <c r="C1214" s="32">
        <v>49139</v>
      </c>
      <c r="D1214" s="32" t="s">
        <v>87</v>
      </c>
      <c r="E1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5" spans="1:6" x14ac:dyDescent="0.35">
      <c r="A1215" s="3">
        <v>24585006657</v>
      </c>
      <c r="B1215" s="3">
        <v>101</v>
      </c>
      <c r="C1215" s="32">
        <v>49139</v>
      </c>
      <c r="D1215" s="32" t="s">
        <v>87</v>
      </c>
      <c r="E1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6" spans="1:6" x14ac:dyDescent="0.35">
      <c r="A1216" s="3">
        <v>55822806203</v>
      </c>
      <c r="B1216" s="3">
        <v>116</v>
      </c>
      <c r="C1216" s="32">
        <v>49139</v>
      </c>
      <c r="D1216" s="32" t="s">
        <v>87</v>
      </c>
      <c r="E1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7" spans="1:6" x14ac:dyDescent="0.35">
      <c r="A1217" s="3">
        <v>20676225210</v>
      </c>
      <c r="B1217" s="3">
        <v>118</v>
      </c>
      <c r="C1217" s="32">
        <v>49139</v>
      </c>
      <c r="D1217" s="32" t="s">
        <v>87</v>
      </c>
      <c r="E1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8" spans="1:6" x14ac:dyDescent="0.35">
      <c r="A1218" s="3">
        <v>84920602697</v>
      </c>
      <c r="B1218" s="3">
        <v>128</v>
      </c>
      <c r="C1218" s="32">
        <v>49139</v>
      </c>
      <c r="D1218" s="32" t="s">
        <v>87</v>
      </c>
      <c r="E1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9" spans="1:6" x14ac:dyDescent="0.35">
      <c r="A1219" s="3">
        <v>34978500144</v>
      </c>
      <c r="B1219" s="3">
        <v>139</v>
      </c>
      <c r="C1219" s="32">
        <v>49139</v>
      </c>
      <c r="D1219" s="32" t="s">
        <v>87</v>
      </c>
      <c r="E1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0" spans="1:6" x14ac:dyDescent="0.35">
      <c r="A1220" s="3">
        <v>80507755554</v>
      </c>
      <c r="B1220" s="3">
        <v>142</v>
      </c>
      <c r="C1220" s="32">
        <v>49139</v>
      </c>
      <c r="D1220" s="32">
        <v>49217</v>
      </c>
      <c r="E1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21" spans="1:6" x14ac:dyDescent="0.35">
      <c r="A1221" s="3">
        <v>57695134194</v>
      </c>
      <c r="B1221" s="3">
        <v>171</v>
      </c>
      <c r="C1221" s="32">
        <v>49139</v>
      </c>
      <c r="D1221" s="32" t="s">
        <v>87</v>
      </c>
      <c r="E1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2" spans="1:6" x14ac:dyDescent="0.35">
      <c r="A1222" s="3">
        <v>63932830491</v>
      </c>
      <c r="B1222" s="3">
        <v>180</v>
      </c>
      <c r="C1222" s="32">
        <v>49139</v>
      </c>
      <c r="D1222" s="32" t="s">
        <v>87</v>
      </c>
      <c r="E1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3" spans="1:6" x14ac:dyDescent="0.35">
      <c r="A1223" s="3">
        <v>39096817197</v>
      </c>
      <c r="B1223" s="3">
        <v>222</v>
      </c>
      <c r="C1223" s="32">
        <v>49139</v>
      </c>
      <c r="D1223" s="32"/>
      <c r="E1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4" spans="1:6" x14ac:dyDescent="0.35">
      <c r="A1224" s="3">
        <v>80305691069</v>
      </c>
      <c r="B1224" s="3">
        <v>227</v>
      </c>
      <c r="C1224" s="32">
        <v>49139</v>
      </c>
      <c r="D1224" s="32" t="s">
        <v>87</v>
      </c>
      <c r="E1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5" spans="1:6" x14ac:dyDescent="0.35">
      <c r="A1225" s="3">
        <v>40227431114</v>
      </c>
      <c r="B1225" s="3">
        <v>234</v>
      </c>
      <c r="C1225" s="32">
        <v>49139</v>
      </c>
      <c r="D1225" s="32" t="s">
        <v>87</v>
      </c>
      <c r="E1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6" spans="1:6" x14ac:dyDescent="0.35">
      <c r="A1226" s="3">
        <v>17626365760</v>
      </c>
      <c r="B1226" s="3">
        <v>241</v>
      </c>
      <c r="C1226" s="32">
        <v>49139</v>
      </c>
      <c r="D1226" s="32" t="s">
        <v>87</v>
      </c>
      <c r="E1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7" spans="1:6" x14ac:dyDescent="0.35">
      <c r="A1227" s="3">
        <v>72844953989</v>
      </c>
      <c r="B1227" s="3">
        <v>245</v>
      </c>
      <c r="C1227" s="32">
        <v>49139</v>
      </c>
      <c r="D1227" s="32" t="s">
        <v>87</v>
      </c>
      <c r="E1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8" spans="1:6" x14ac:dyDescent="0.35">
      <c r="A1228" s="3">
        <v>22782407817</v>
      </c>
      <c r="B1228" s="3">
        <v>253</v>
      </c>
      <c r="C1228" s="32">
        <v>49139</v>
      </c>
      <c r="D1228" s="32" t="s">
        <v>87</v>
      </c>
      <c r="E1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9" spans="1:6" x14ac:dyDescent="0.35">
      <c r="A1229" s="3">
        <v>49507996609</v>
      </c>
      <c r="B1229" s="3">
        <v>278</v>
      </c>
      <c r="C1229" s="32">
        <v>49139</v>
      </c>
      <c r="D1229" s="32" t="s">
        <v>87</v>
      </c>
      <c r="E1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0" spans="1:6" x14ac:dyDescent="0.35">
      <c r="A1230" s="3">
        <v>89335413200</v>
      </c>
      <c r="B1230" s="3">
        <v>299</v>
      </c>
      <c r="C1230" s="32">
        <v>49139</v>
      </c>
      <c r="D1230" s="32" t="s">
        <v>87</v>
      </c>
      <c r="E1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1" spans="1:6" x14ac:dyDescent="0.35">
      <c r="A1231" s="3">
        <v>65415617313</v>
      </c>
      <c r="B1231" s="3">
        <v>320</v>
      </c>
      <c r="C1231" s="32">
        <v>49139</v>
      </c>
      <c r="D1231" s="32"/>
      <c r="E1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2" spans="1:6" x14ac:dyDescent="0.35">
      <c r="A1232" s="3">
        <v>21532015388</v>
      </c>
      <c r="B1232" s="3">
        <v>6</v>
      </c>
      <c r="C1232" s="32">
        <v>49140</v>
      </c>
      <c r="D1232" s="32">
        <v>49218</v>
      </c>
      <c r="E1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33" spans="1:6" x14ac:dyDescent="0.35">
      <c r="A1233" s="3">
        <v>96257260880</v>
      </c>
      <c r="B1233" s="3">
        <v>17</v>
      </c>
      <c r="C1233" s="32">
        <v>49140</v>
      </c>
      <c r="D1233" s="32">
        <v>49210</v>
      </c>
      <c r="E1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34" spans="1:6" x14ac:dyDescent="0.35">
      <c r="A1234" s="3">
        <v>83050794368</v>
      </c>
      <c r="B1234" s="3">
        <v>40</v>
      </c>
      <c r="C1234" s="32">
        <v>49140</v>
      </c>
      <c r="D1234" s="32" t="s">
        <v>87</v>
      </c>
      <c r="E1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5" spans="1:6" x14ac:dyDescent="0.35">
      <c r="A1235" s="3">
        <v>90485595579</v>
      </c>
      <c r="B1235" s="3">
        <v>40</v>
      </c>
      <c r="C1235" s="32">
        <v>49140</v>
      </c>
      <c r="D1235" s="32">
        <v>49198</v>
      </c>
      <c r="E1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36" spans="1:6" x14ac:dyDescent="0.35">
      <c r="A1236" s="3">
        <v>62556653783</v>
      </c>
      <c r="B1236" s="3">
        <v>56</v>
      </c>
      <c r="C1236" s="32">
        <v>49140</v>
      </c>
      <c r="D1236" s="32" t="s">
        <v>87</v>
      </c>
      <c r="E1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7" spans="1:6" x14ac:dyDescent="0.35">
      <c r="A1237" s="3">
        <v>45532981311</v>
      </c>
      <c r="B1237" s="3">
        <v>74</v>
      </c>
      <c r="C1237" s="32">
        <v>49140</v>
      </c>
      <c r="D1237" s="32" t="s">
        <v>87</v>
      </c>
      <c r="E1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8" spans="1:6" x14ac:dyDescent="0.35">
      <c r="A1238" s="3">
        <v>31296810837</v>
      </c>
      <c r="B1238" s="3">
        <v>98</v>
      </c>
      <c r="C1238" s="32">
        <v>49140</v>
      </c>
      <c r="D1238" s="32" t="s">
        <v>87</v>
      </c>
      <c r="E1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9" spans="1:6" x14ac:dyDescent="0.35">
      <c r="A1239" s="3">
        <v>33540266131</v>
      </c>
      <c r="B1239" s="3">
        <v>110</v>
      </c>
      <c r="C1239" s="32">
        <v>49140</v>
      </c>
      <c r="D1239" s="32" t="s">
        <v>87</v>
      </c>
      <c r="E1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0" spans="1:6" x14ac:dyDescent="0.35">
      <c r="A1240" s="3">
        <v>27353863560</v>
      </c>
      <c r="B1240" s="3">
        <v>118</v>
      </c>
      <c r="C1240" s="32">
        <v>49140</v>
      </c>
      <c r="D1240" s="32" t="s">
        <v>87</v>
      </c>
      <c r="E1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1" spans="1:6" x14ac:dyDescent="0.35">
      <c r="A1241" s="3">
        <v>39343133426</v>
      </c>
      <c r="B1241" s="3">
        <v>158</v>
      </c>
      <c r="C1241" s="32">
        <v>49140</v>
      </c>
      <c r="D1241" s="32" t="s">
        <v>87</v>
      </c>
      <c r="E1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2" spans="1:6" x14ac:dyDescent="0.35">
      <c r="A1242" s="3">
        <v>97866428304</v>
      </c>
      <c r="B1242" s="3">
        <v>160</v>
      </c>
      <c r="C1242" s="32">
        <v>49140</v>
      </c>
      <c r="D1242" s="32">
        <v>49226</v>
      </c>
      <c r="E1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43" spans="1:6" x14ac:dyDescent="0.35">
      <c r="A1243" s="3">
        <v>34074858218</v>
      </c>
      <c r="B1243" s="3">
        <v>182</v>
      </c>
      <c r="C1243" s="32">
        <v>49140</v>
      </c>
      <c r="D1243" s="32">
        <v>49230</v>
      </c>
      <c r="E1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44" spans="1:6" x14ac:dyDescent="0.35">
      <c r="A1244" s="3">
        <v>19651343968</v>
      </c>
      <c r="B1244" s="3">
        <v>208</v>
      </c>
      <c r="C1244" s="32">
        <v>49140</v>
      </c>
      <c r="D1244" s="32" t="s">
        <v>87</v>
      </c>
      <c r="E1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5" spans="1:6" x14ac:dyDescent="0.35">
      <c r="A1245" s="3">
        <v>76972268872</v>
      </c>
      <c r="B1245" s="3">
        <v>220</v>
      </c>
      <c r="C1245" s="32">
        <v>49140</v>
      </c>
      <c r="D1245" s="32">
        <v>49182</v>
      </c>
      <c r="E1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46" spans="1:6" x14ac:dyDescent="0.35">
      <c r="A1246" s="3">
        <v>41780044781</v>
      </c>
      <c r="B1246" s="3">
        <v>237</v>
      </c>
      <c r="C1246" s="32">
        <v>49140</v>
      </c>
      <c r="D1246" s="32" t="s">
        <v>87</v>
      </c>
      <c r="E1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7" spans="1:6" x14ac:dyDescent="0.35">
      <c r="A1247" s="3">
        <v>59926104611</v>
      </c>
      <c r="B1247" s="3">
        <v>239</v>
      </c>
      <c r="C1247" s="32">
        <v>49140</v>
      </c>
      <c r="D1247" s="32" t="s">
        <v>87</v>
      </c>
      <c r="E1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8" spans="1:6" x14ac:dyDescent="0.35">
      <c r="A1248" s="3">
        <v>67136855235</v>
      </c>
      <c r="B1248" s="3">
        <v>243</v>
      </c>
      <c r="C1248" s="32">
        <v>49140</v>
      </c>
      <c r="D1248" s="32"/>
      <c r="E1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9" spans="1:6" x14ac:dyDescent="0.35">
      <c r="A1249" s="3">
        <v>93392742986</v>
      </c>
      <c r="B1249" s="3">
        <v>260</v>
      </c>
      <c r="C1249" s="32">
        <v>49140</v>
      </c>
      <c r="D1249" s="32" t="s">
        <v>87</v>
      </c>
      <c r="E1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0" spans="1:6" x14ac:dyDescent="0.35">
      <c r="A1250" s="3">
        <v>86731980137</v>
      </c>
      <c r="B1250" s="3">
        <v>261</v>
      </c>
      <c r="C1250" s="32">
        <v>49140</v>
      </c>
      <c r="D1250" s="32" t="s">
        <v>87</v>
      </c>
      <c r="E1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1" spans="1:6" x14ac:dyDescent="0.35">
      <c r="A1251" s="3">
        <v>68876487019</v>
      </c>
      <c r="B1251" s="3">
        <v>277</v>
      </c>
      <c r="C1251" s="32">
        <v>49140</v>
      </c>
      <c r="D1251" s="32" t="s">
        <v>87</v>
      </c>
      <c r="E1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2" spans="1:6" x14ac:dyDescent="0.35">
      <c r="A1252" s="3">
        <v>23866123351</v>
      </c>
      <c r="B1252" s="3">
        <v>281</v>
      </c>
      <c r="C1252" s="32">
        <v>49140</v>
      </c>
      <c r="D1252" s="32">
        <v>49250</v>
      </c>
      <c r="E1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253" spans="1:6" x14ac:dyDescent="0.35">
      <c r="A1253" s="3">
        <v>76327385799</v>
      </c>
      <c r="B1253" s="3">
        <v>284</v>
      </c>
      <c r="C1253" s="32">
        <v>49140</v>
      </c>
      <c r="D1253" s="32" t="s">
        <v>87</v>
      </c>
      <c r="E1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4" spans="1:6" x14ac:dyDescent="0.35">
      <c r="A1254" s="3">
        <v>78298287198</v>
      </c>
      <c r="B1254" s="3">
        <v>284</v>
      </c>
      <c r="C1254" s="32">
        <v>49140</v>
      </c>
      <c r="D1254" s="32" t="s">
        <v>87</v>
      </c>
      <c r="E1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5" spans="1:6" x14ac:dyDescent="0.35">
      <c r="A1255" s="3">
        <v>75511643545</v>
      </c>
      <c r="B1255" s="3">
        <v>297</v>
      </c>
      <c r="C1255" s="32">
        <v>49140</v>
      </c>
      <c r="D1255" s="32" t="s">
        <v>87</v>
      </c>
      <c r="E1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6" spans="1:6" x14ac:dyDescent="0.35">
      <c r="A1256" s="3">
        <v>36155346799</v>
      </c>
      <c r="B1256" s="3">
        <v>306</v>
      </c>
      <c r="C1256" s="32">
        <v>49140</v>
      </c>
      <c r="D1256" s="32" t="s">
        <v>87</v>
      </c>
      <c r="E1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7" spans="1:6" x14ac:dyDescent="0.35">
      <c r="A1257" s="3">
        <v>86914069128</v>
      </c>
      <c r="B1257" s="3">
        <v>316</v>
      </c>
      <c r="C1257" s="32">
        <v>49140</v>
      </c>
      <c r="D1257" s="32" t="s">
        <v>87</v>
      </c>
      <c r="E1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8" spans="1:6" x14ac:dyDescent="0.35">
      <c r="A1258" s="3">
        <v>37797819762</v>
      </c>
      <c r="B1258" s="3">
        <v>321</v>
      </c>
      <c r="C1258" s="32">
        <v>49140</v>
      </c>
      <c r="D1258" s="32">
        <v>49228</v>
      </c>
      <c r="E1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59" spans="1:6" x14ac:dyDescent="0.35">
      <c r="A1259" s="3">
        <v>91763568997</v>
      </c>
      <c r="B1259" s="3">
        <v>324</v>
      </c>
      <c r="C1259" s="32">
        <v>49140</v>
      </c>
      <c r="D1259" s="32" t="s">
        <v>87</v>
      </c>
      <c r="E1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0" spans="1:6" x14ac:dyDescent="0.35">
      <c r="A1260" s="3">
        <v>13251507138</v>
      </c>
      <c r="B1260" s="3">
        <v>328</v>
      </c>
      <c r="C1260" s="32">
        <v>49140</v>
      </c>
      <c r="D1260" s="32"/>
      <c r="E1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1" spans="1:6" x14ac:dyDescent="0.35">
      <c r="A1261" s="3">
        <v>59679660356</v>
      </c>
      <c r="B1261" s="3">
        <v>10</v>
      </c>
      <c r="C1261" s="32">
        <v>49141</v>
      </c>
      <c r="D1261" s="32">
        <v>49204</v>
      </c>
      <c r="E1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62" spans="1:6" x14ac:dyDescent="0.35">
      <c r="A1262" s="3">
        <v>77098245858</v>
      </c>
      <c r="B1262" s="3">
        <v>11</v>
      </c>
      <c r="C1262" s="32">
        <v>49141</v>
      </c>
      <c r="D1262" s="32" t="s">
        <v>87</v>
      </c>
      <c r="E1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3" spans="1:6" x14ac:dyDescent="0.35">
      <c r="A1263" s="3">
        <v>51868754408</v>
      </c>
      <c r="B1263" s="3">
        <v>56</v>
      </c>
      <c r="C1263" s="32">
        <v>49141</v>
      </c>
      <c r="D1263" s="32"/>
      <c r="E1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4" spans="1:6" x14ac:dyDescent="0.35">
      <c r="A1264" s="3">
        <v>43960292501</v>
      </c>
      <c r="B1264" s="3">
        <v>60</v>
      </c>
      <c r="C1264" s="32">
        <v>49141</v>
      </c>
      <c r="D1264" s="32" t="s">
        <v>87</v>
      </c>
      <c r="E1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5" spans="1:6" x14ac:dyDescent="0.35">
      <c r="A1265" s="3">
        <v>37297082805</v>
      </c>
      <c r="B1265" s="3">
        <v>64</v>
      </c>
      <c r="C1265" s="32">
        <v>49141</v>
      </c>
      <c r="D1265" s="32"/>
      <c r="E1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6" spans="1:6" x14ac:dyDescent="0.35">
      <c r="A1266" s="3">
        <v>52967193206</v>
      </c>
      <c r="B1266" s="3">
        <v>87</v>
      </c>
      <c r="C1266" s="32">
        <v>49141</v>
      </c>
      <c r="D1266" s="32" t="s">
        <v>87</v>
      </c>
      <c r="E1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7" spans="1:6" x14ac:dyDescent="0.35">
      <c r="A1267" s="3">
        <v>27868433723</v>
      </c>
      <c r="B1267" s="3">
        <v>95</v>
      </c>
      <c r="C1267" s="32">
        <v>49141</v>
      </c>
      <c r="D1267" s="32"/>
      <c r="E1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8" spans="1:6" x14ac:dyDescent="0.35">
      <c r="A1268" s="3">
        <v>29294769958</v>
      </c>
      <c r="B1268" s="3">
        <v>101</v>
      </c>
      <c r="C1268" s="32">
        <v>49141</v>
      </c>
      <c r="D1268" s="32" t="s">
        <v>87</v>
      </c>
      <c r="E1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9" spans="1:6" x14ac:dyDescent="0.35">
      <c r="A1269" s="3">
        <v>31339743208</v>
      </c>
      <c r="B1269" s="3">
        <v>119</v>
      </c>
      <c r="C1269" s="32">
        <v>49141</v>
      </c>
      <c r="D1269" s="32" t="s">
        <v>87</v>
      </c>
      <c r="E1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0" spans="1:6" x14ac:dyDescent="0.35">
      <c r="A1270" s="3">
        <v>96629488227</v>
      </c>
      <c r="B1270" s="3">
        <v>154</v>
      </c>
      <c r="C1270" s="32">
        <v>49141</v>
      </c>
      <c r="D1270" s="32" t="s">
        <v>87</v>
      </c>
      <c r="E1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1" spans="1:6" x14ac:dyDescent="0.35">
      <c r="A1271" s="3">
        <v>23087911259</v>
      </c>
      <c r="B1271" s="3">
        <v>155</v>
      </c>
      <c r="C1271" s="32">
        <v>49141</v>
      </c>
      <c r="D1271" s="32">
        <v>49141</v>
      </c>
      <c r="E1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72" spans="1:6" x14ac:dyDescent="0.35">
      <c r="A1272" s="3">
        <v>79916678114</v>
      </c>
      <c r="B1272" s="3">
        <v>193</v>
      </c>
      <c r="C1272" s="32">
        <v>49141</v>
      </c>
      <c r="D1272" s="32"/>
      <c r="E1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3" spans="1:6" x14ac:dyDescent="0.35">
      <c r="A1273" s="3">
        <v>49736387177</v>
      </c>
      <c r="B1273" s="3">
        <v>238</v>
      </c>
      <c r="C1273" s="32">
        <v>49141</v>
      </c>
      <c r="D1273" s="32" t="s">
        <v>87</v>
      </c>
      <c r="E1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4" spans="1:6" x14ac:dyDescent="0.35">
      <c r="A1274" s="3">
        <v>69240000846</v>
      </c>
      <c r="B1274" s="3">
        <v>246</v>
      </c>
      <c r="C1274" s="32">
        <v>49141</v>
      </c>
      <c r="D1274" s="32" t="s">
        <v>87</v>
      </c>
      <c r="E1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5" spans="1:6" x14ac:dyDescent="0.35">
      <c r="A1275" s="3">
        <v>87566302748</v>
      </c>
      <c r="B1275" s="3">
        <v>256</v>
      </c>
      <c r="C1275" s="32">
        <v>49141</v>
      </c>
      <c r="D1275" s="32" t="s">
        <v>87</v>
      </c>
      <c r="E1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6" spans="1:6" x14ac:dyDescent="0.35">
      <c r="A1276" s="3">
        <v>65836938941</v>
      </c>
      <c r="B1276" s="3">
        <v>258</v>
      </c>
      <c r="C1276" s="32">
        <v>49141</v>
      </c>
      <c r="D1276" s="32" t="s">
        <v>87</v>
      </c>
      <c r="E1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7" spans="1:6" x14ac:dyDescent="0.35">
      <c r="A1277" s="3">
        <v>41627495299</v>
      </c>
      <c r="B1277" s="3">
        <v>276</v>
      </c>
      <c r="C1277" s="32">
        <v>49141</v>
      </c>
      <c r="D1277" s="32" t="s">
        <v>87</v>
      </c>
      <c r="E1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8" spans="1:6" x14ac:dyDescent="0.35">
      <c r="A1278" s="3">
        <v>12226974826</v>
      </c>
      <c r="B1278" s="3">
        <v>276</v>
      </c>
      <c r="C1278" s="32">
        <v>49141</v>
      </c>
      <c r="D1278" s="32" t="s">
        <v>87</v>
      </c>
      <c r="E1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9" spans="1:6" x14ac:dyDescent="0.35">
      <c r="A1279" s="3">
        <v>81390419388</v>
      </c>
      <c r="B1279" s="3">
        <v>280</v>
      </c>
      <c r="C1279" s="32">
        <v>49141</v>
      </c>
      <c r="D1279" s="32" t="s">
        <v>87</v>
      </c>
      <c r="E1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0" spans="1:6" x14ac:dyDescent="0.35">
      <c r="A1280" s="3">
        <v>93641081019</v>
      </c>
      <c r="B1280" s="3">
        <v>320</v>
      </c>
      <c r="C1280" s="32">
        <v>49141</v>
      </c>
      <c r="D1280" s="32" t="s">
        <v>87</v>
      </c>
      <c r="E1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1" spans="1:6" x14ac:dyDescent="0.35">
      <c r="A1281" s="3">
        <v>27070429593</v>
      </c>
      <c r="B1281" s="3">
        <v>336</v>
      </c>
      <c r="C1281" s="32">
        <v>49141</v>
      </c>
      <c r="D1281" s="32">
        <v>49234</v>
      </c>
      <c r="E1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82" spans="1:6" x14ac:dyDescent="0.35">
      <c r="A1282" s="3">
        <v>91402114623</v>
      </c>
      <c r="B1282" s="3">
        <v>339</v>
      </c>
      <c r="C1282" s="32">
        <v>49141</v>
      </c>
      <c r="D1282" s="32">
        <v>49185</v>
      </c>
      <c r="E1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83" spans="1:6" x14ac:dyDescent="0.35">
      <c r="A1283" s="3">
        <v>77775797473</v>
      </c>
      <c r="B1283" s="3">
        <v>340</v>
      </c>
      <c r="C1283" s="32">
        <v>49141</v>
      </c>
      <c r="D1283" s="32">
        <v>49148</v>
      </c>
      <c r="E1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84" spans="1:6" x14ac:dyDescent="0.35">
      <c r="A1284" s="3">
        <v>89948959945</v>
      </c>
      <c r="B1284" s="3">
        <v>4</v>
      </c>
      <c r="C1284" s="32">
        <v>49142</v>
      </c>
      <c r="D1284" s="32" t="s">
        <v>87</v>
      </c>
      <c r="E1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5" spans="1:6" x14ac:dyDescent="0.35">
      <c r="A1285" s="3">
        <v>18419780593</v>
      </c>
      <c r="B1285" s="3">
        <v>5</v>
      </c>
      <c r="C1285" s="32">
        <v>49142</v>
      </c>
      <c r="D1285" s="32" t="s">
        <v>87</v>
      </c>
      <c r="E1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6" spans="1:6" x14ac:dyDescent="0.35">
      <c r="A1286" s="3">
        <v>78556523873</v>
      </c>
      <c r="B1286" s="3">
        <v>16</v>
      </c>
      <c r="C1286" s="32">
        <v>49142</v>
      </c>
      <c r="D1286" s="32" t="s">
        <v>87</v>
      </c>
      <c r="E1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7" spans="1:6" x14ac:dyDescent="0.35">
      <c r="A1287" s="3">
        <v>86491534434</v>
      </c>
      <c r="B1287" s="3">
        <v>17</v>
      </c>
      <c r="C1287" s="32">
        <v>49142</v>
      </c>
      <c r="D1287" s="32" t="s">
        <v>87</v>
      </c>
      <c r="E1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8" spans="1:6" x14ac:dyDescent="0.35">
      <c r="A1288" s="3">
        <v>68849619365</v>
      </c>
      <c r="B1288" s="3">
        <v>29</v>
      </c>
      <c r="C1288" s="32">
        <v>49142</v>
      </c>
      <c r="D1288" s="32" t="s">
        <v>87</v>
      </c>
      <c r="E1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9" spans="1:6" x14ac:dyDescent="0.35">
      <c r="A1289" s="3">
        <v>35773615334</v>
      </c>
      <c r="B1289" s="3">
        <v>37</v>
      </c>
      <c r="C1289" s="32">
        <v>49142</v>
      </c>
      <c r="D1289" s="32" t="s">
        <v>87</v>
      </c>
      <c r="E1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0" spans="1:6" x14ac:dyDescent="0.35">
      <c r="A1290" s="3">
        <v>66095559872</v>
      </c>
      <c r="B1290" s="3">
        <v>44</v>
      </c>
      <c r="C1290" s="32">
        <v>49142</v>
      </c>
      <c r="D1290" s="32">
        <v>49215</v>
      </c>
      <c r="E1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91" spans="1:6" x14ac:dyDescent="0.35">
      <c r="A1291" s="3">
        <v>64402787526</v>
      </c>
      <c r="B1291" s="3">
        <v>55</v>
      </c>
      <c r="C1291" s="32">
        <v>49142</v>
      </c>
      <c r="D1291" s="32" t="s">
        <v>87</v>
      </c>
      <c r="E1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2" spans="1:6" x14ac:dyDescent="0.35">
      <c r="A1292" s="3">
        <v>18118120652</v>
      </c>
      <c r="B1292" s="3">
        <v>79</v>
      </c>
      <c r="C1292" s="32">
        <v>49142</v>
      </c>
      <c r="D1292" s="32" t="s">
        <v>87</v>
      </c>
      <c r="E1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3" spans="1:6" x14ac:dyDescent="0.35">
      <c r="A1293" s="3">
        <v>18818370414</v>
      </c>
      <c r="B1293" s="3">
        <v>104</v>
      </c>
      <c r="C1293" s="32">
        <v>49142</v>
      </c>
      <c r="D1293" s="32">
        <v>49217</v>
      </c>
      <c r="E1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94" spans="1:6" x14ac:dyDescent="0.35">
      <c r="A1294" s="3">
        <v>24895543311</v>
      </c>
      <c r="B1294" s="3">
        <v>158</v>
      </c>
      <c r="C1294" s="32">
        <v>49142</v>
      </c>
      <c r="D1294" s="32" t="s">
        <v>87</v>
      </c>
      <c r="E1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5" spans="1:6" x14ac:dyDescent="0.35">
      <c r="A1295" s="3">
        <v>67145834979</v>
      </c>
      <c r="B1295" s="3">
        <v>161</v>
      </c>
      <c r="C1295" s="32">
        <v>49142</v>
      </c>
      <c r="D1295" s="32" t="s">
        <v>87</v>
      </c>
      <c r="E1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6" spans="1:6" x14ac:dyDescent="0.35">
      <c r="A1296" s="3">
        <v>97598088690</v>
      </c>
      <c r="B1296" s="3">
        <v>166</v>
      </c>
      <c r="C1296" s="32">
        <v>49142</v>
      </c>
      <c r="D1296" s="32"/>
      <c r="E1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7" spans="1:6" x14ac:dyDescent="0.35">
      <c r="A1297" s="3">
        <v>41730712328</v>
      </c>
      <c r="B1297" s="3">
        <v>168</v>
      </c>
      <c r="C1297" s="32">
        <v>49142</v>
      </c>
      <c r="D1297" s="32" t="s">
        <v>87</v>
      </c>
      <c r="E1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8" spans="1:6" x14ac:dyDescent="0.35">
      <c r="A1298" s="3">
        <v>41566118487</v>
      </c>
      <c r="B1298" s="3">
        <v>204</v>
      </c>
      <c r="C1298" s="32">
        <v>49142</v>
      </c>
      <c r="D1298" s="32" t="s">
        <v>87</v>
      </c>
      <c r="E1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9" spans="1:6" x14ac:dyDescent="0.35">
      <c r="A1299" s="3">
        <v>54127669903</v>
      </c>
      <c r="B1299" s="3">
        <v>206</v>
      </c>
      <c r="C1299" s="32">
        <v>49142</v>
      </c>
      <c r="D1299" s="32">
        <v>49179</v>
      </c>
      <c r="E1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00" spans="1:6" x14ac:dyDescent="0.35">
      <c r="A1300" s="3">
        <v>54823011639</v>
      </c>
      <c r="B1300" s="3">
        <v>238</v>
      </c>
      <c r="C1300" s="32">
        <v>49142</v>
      </c>
      <c r="D1300" s="32" t="s">
        <v>87</v>
      </c>
      <c r="E1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1" spans="1:6" x14ac:dyDescent="0.35">
      <c r="A1301" s="3">
        <v>11332647580</v>
      </c>
      <c r="B1301" s="3">
        <v>246</v>
      </c>
      <c r="C1301" s="32">
        <v>49142</v>
      </c>
      <c r="D1301" s="32" t="s">
        <v>87</v>
      </c>
      <c r="E1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2" spans="1:6" x14ac:dyDescent="0.35">
      <c r="A1302" s="3">
        <v>92897131872</v>
      </c>
      <c r="B1302" s="3">
        <v>325</v>
      </c>
      <c r="C1302" s="32">
        <v>49142</v>
      </c>
      <c r="D1302" s="32" t="s">
        <v>87</v>
      </c>
      <c r="E1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3" spans="1:6" x14ac:dyDescent="0.35">
      <c r="A1303" s="3">
        <v>41492926595</v>
      </c>
      <c r="B1303" s="3">
        <v>9</v>
      </c>
      <c r="C1303" s="32">
        <v>49143</v>
      </c>
      <c r="D1303" s="32" t="s">
        <v>87</v>
      </c>
      <c r="E1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4" spans="1:6" x14ac:dyDescent="0.35">
      <c r="A1304" s="3">
        <v>25987726536</v>
      </c>
      <c r="B1304" s="3">
        <v>23</v>
      </c>
      <c r="C1304" s="32">
        <v>49143</v>
      </c>
      <c r="D1304" s="32" t="s">
        <v>87</v>
      </c>
      <c r="E1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5" spans="1:6" x14ac:dyDescent="0.35">
      <c r="A1305" s="3">
        <v>91381772114</v>
      </c>
      <c r="B1305" s="3">
        <v>39</v>
      </c>
      <c r="C1305" s="32">
        <v>49143</v>
      </c>
      <c r="D1305" s="32" t="s">
        <v>87</v>
      </c>
      <c r="E1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6" spans="1:6" x14ac:dyDescent="0.35">
      <c r="A1306" s="3">
        <v>84862140722</v>
      </c>
      <c r="B1306" s="3">
        <v>59</v>
      </c>
      <c r="C1306" s="32">
        <v>49143</v>
      </c>
      <c r="D1306" s="32" t="s">
        <v>87</v>
      </c>
      <c r="E1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7" spans="1:6" x14ac:dyDescent="0.35">
      <c r="A1307" s="3">
        <v>74523023374</v>
      </c>
      <c r="B1307" s="3">
        <v>64</v>
      </c>
      <c r="C1307" s="32">
        <v>49143</v>
      </c>
      <c r="D1307" s="32" t="s">
        <v>87</v>
      </c>
      <c r="E1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8" spans="1:6" x14ac:dyDescent="0.35">
      <c r="A1308" s="3">
        <v>67178614084</v>
      </c>
      <c r="B1308" s="3">
        <v>78</v>
      </c>
      <c r="C1308" s="32">
        <v>49143</v>
      </c>
      <c r="D1308" s="32" t="s">
        <v>87</v>
      </c>
      <c r="E1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9" spans="1:6" x14ac:dyDescent="0.35">
      <c r="A1309" s="3">
        <v>20107921325</v>
      </c>
      <c r="B1309" s="3">
        <v>89</v>
      </c>
      <c r="C1309" s="32">
        <v>49143</v>
      </c>
      <c r="D1309" s="32">
        <v>49216</v>
      </c>
      <c r="E1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10" spans="1:6" x14ac:dyDescent="0.35">
      <c r="A1310" s="3">
        <v>49636765561</v>
      </c>
      <c r="B1310" s="3">
        <v>112</v>
      </c>
      <c r="C1310" s="32">
        <v>49143</v>
      </c>
      <c r="D1310" s="32" t="s">
        <v>87</v>
      </c>
      <c r="E1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1" spans="1:6" x14ac:dyDescent="0.35">
      <c r="A1311" s="3">
        <v>34866835999</v>
      </c>
      <c r="B1311" s="3">
        <v>126</v>
      </c>
      <c r="C1311" s="32">
        <v>49143</v>
      </c>
      <c r="D1311" s="32" t="s">
        <v>87</v>
      </c>
      <c r="E1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2" spans="1:6" x14ac:dyDescent="0.35">
      <c r="A1312" s="3">
        <v>14741907808</v>
      </c>
      <c r="B1312" s="3">
        <v>159</v>
      </c>
      <c r="C1312" s="32">
        <v>49143</v>
      </c>
      <c r="D1312" s="32" t="s">
        <v>87</v>
      </c>
      <c r="E1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3" spans="1:6" x14ac:dyDescent="0.35">
      <c r="A1313" s="3">
        <v>15642272260</v>
      </c>
      <c r="B1313" s="3">
        <v>161</v>
      </c>
      <c r="C1313" s="32">
        <v>49143</v>
      </c>
      <c r="D1313" s="32" t="s">
        <v>87</v>
      </c>
      <c r="E1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4" spans="1:6" x14ac:dyDescent="0.35">
      <c r="A1314" s="3">
        <v>45952913351</v>
      </c>
      <c r="B1314" s="3">
        <v>163</v>
      </c>
      <c r="C1314" s="32">
        <v>49143</v>
      </c>
      <c r="D1314" s="32" t="s">
        <v>87</v>
      </c>
      <c r="E1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5" spans="1:6" x14ac:dyDescent="0.35">
      <c r="A1315" s="3">
        <v>43667098795</v>
      </c>
      <c r="B1315" s="3">
        <v>189</v>
      </c>
      <c r="C1315" s="32">
        <v>49143</v>
      </c>
      <c r="D1315" s="32" t="s">
        <v>87</v>
      </c>
      <c r="E1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6" spans="1:6" x14ac:dyDescent="0.35">
      <c r="A1316" s="3">
        <v>69803614849</v>
      </c>
      <c r="B1316" s="3">
        <v>202</v>
      </c>
      <c r="C1316" s="32">
        <v>49143</v>
      </c>
      <c r="D1316" s="32" t="s">
        <v>87</v>
      </c>
      <c r="E1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7" spans="1:6" x14ac:dyDescent="0.35">
      <c r="A1317" s="3">
        <v>43308705381</v>
      </c>
      <c r="B1317" s="3">
        <v>215</v>
      </c>
      <c r="C1317" s="32">
        <v>49143</v>
      </c>
      <c r="D1317" s="32">
        <v>49233</v>
      </c>
      <c r="E1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18" spans="1:6" x14ac:dyDescent="0.35">
      <c r="A1318" s="3">
        <v>19023878318</v>
      </c>
      <c r="B1318" s="3">
        <v>230</v>
      </c>
      <c r="C1318" s="32">
        <v>49143</v>
      </c>
      <c r="D1318" s="32">
        <v>49198</v>
      </c>
      <c r="E1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19" spans="1:6" x14ac:dyDescent="0.35">
      <c r="A1319" s="3">
        <v>72359450513</v>
      </c>
      <c r="B1319" s="3">
        <v>233</v>
      </c>
      <c r="C1319" s="32">
        <v>49143</v>
      </c>
      <c r="D1319" s="32" t="s">
        <v>87</v>
      </c>
      <c r="E1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0" spans="1:6" x14ac:dyDescent="0.35">
      <c r="A1320" s="3">
        <v>13288697228</v>
      </c>
      <c r="B1320" s="3">
        <v>244</v>
      </c>
      <c r="C1320" s="32">
        <v>49143</v>
      </c>
      <c r="D1320" s="32" t="s">
        <v>87</v>
      </c>
      <c r="E1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1" spans="1:6" x14ac:dyDescent="0.35">
      <c r="A1321" s="3">
        <v>70341557676</v>
      </c>
      <c r="B1321" s="3">
        <v>245</v>
      </c>
      <c r="C1321" s="32">
        <v>49143</v>
      </c>
      <c r="D1321" s="32" t="s">
        <v>87</v>
      </c>
      <c r="E1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2" spans="1:6" x14ac:dyDescent="0.35">
      <c r="A1322" s="3">
        <v>13249654769</v>
      </c>
      <c r="B1322" s="3">
        <v>248</v>
      </c>
      <c r="C1322" s="32">
        <v>49143</v>
      </c>
      <c r="D1322" s="32" t="s">
        <v>87</v>
      </c>
      <c r="E1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3" spans="1:6" x14ac:dyDescent="0.35">
      <c r="A1323" s="3">
        <v>33446849377</v>
      </c>
      <c r="B1323" s="3">
        <v>255</v>
      </c>
      <c r="C1323" s="32">
        <v>49143</v>
      </c>
      <c r="D1323" s="32" t="s">
        <v>87</v>
      </c>
      <c r="E1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4" spans="1:6" x14ac:dyDescent="0.35">
      <c r="A1324" s="3">
        <v>93119955349</v>
      </c>
      <c r="B1324" s="3">
        <v>273</v>
      </c>
      <c r="C1324" s="32">
        <v>49143</v>
      </c>
      <c r="D1324" s="32"/>
      <c r="E1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5" spans="1:6" x14ac:dyDescent="0.35">
      <c r="A1325" s="3">
        <v>65126626404</v>
      </c>
      <c r="B1325" s="3">
        <v>302</v>
      </c>
      <c r="C1325" s="32">
        <v>49143</v>
      </c>
      <c r="D1325" s="32" t="s">
        <v>87</v>
      </c>
      <c r="E1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6" spans="1:6" x14ac:dyDescent="0.35">
      <c r="A1326" s="3">
        <v>31946707156</v>
      </c>
      <c r="B1326" s="3">
        <v>303</v>
      </c>
      <c r="C1326" s="32">
        <v>49143</v>
      </c>
      <c r="D1326" s="32" t="s">
        <v>87</v>
      </c>
      <c r="E1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7" spans="1:6" x14ac:dyDescent="0.35">
      <c r="A1327" s="3">
        <v>46958649124</v>
      </c>
      <c r="B1327" s="3">
        <v>314</v>
      </c>
      <c r="C1327" s="32">
        <v>49143</v>
      </c>
      <c r="D1327" s="32" t="s">
        <v>87</v>
      </c>
      <c r="E1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8" spans="1:6" x14ac:dyDescent="0.35">
      <c r="A1328" s="3">
        <v>71388120390</v>
      </c>
      <c r="B1328" s="3">
        <v>340</v>
      </c>
      <c r="C1328" s="32">
        <v>49143</v>
      </c>
      <c r="D1328" s="32" t="s">
        <v>87</v>
      </c>
      <c r="E1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9" spans="1:6" x14ac:dyDescent="0.35">
      <c r="A1329" s="3">
        <v>78597313905</v>
      </c>
      <c r="B1329" s="3">
        <v>27</v>
      </c>
      <c r="C1329" s="32">
        <v>49144</v>
      </c>
      <c r="D1329" s="32" t="s">
        <v>87</v>
      </c>
      <c r="E1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0" spans="1:6" x14ac:dyDescent="0.35">
      <c r="A1330" s="3">
        <v>46077662104</v>
      </c>
      <c r="B1330" s="3">
        <v>34</v>
      </c>
      <c r="C1330" s="32">
        <v>49144</v>
      </c>
      <c r="D1330" s="32"/>
      <c r="E1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1" spans="1:6" x14ac:dyDescent="0.35">
      <c r="A1331" s="3">
        <v>50085905188</v>
      </c>
      <c r="B1331" s="3">
        <v>38</v>
      </c>
      <c r="C1331" s="32">
        <v>49144</v>
      </c>
      <c r="D1331" s="32" t="s">
        <v>87</v>
      </c>
      <c r="E1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2" spans="1:6" x14ac:dyDescent="0.35">
      <c r="A1332" s="3">
        <v>32659350184</v>
      </c>
      <c r="B1332" s="3">
        <v>70</v>
      </c>
      <c r="C1332" s="32">
        <v>49144</v>
      </c>
      <c r="D1332" s="32" t="s">
        <v>87</v>
      </c>
      <c r="E1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3" spans="1:6" x14ac:dyDescent="0.35">
      <c r="A1333" s="3">
        <v>42249078819</v>
      </c>
      <c r="B1333" s="3">
        <v>71</v>
      </c>
      <c r="C1333" s="32">
        <v>49144</v>
      </c>
      <c r="D1333" s="32">
        <v>49247</v>
      </c>
      <c r="E1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34" spans="1:6" x14ac:dyDescent="0.35">
      <c r="A1334" s="3">
        <v>63514927072</v>
      </c>
      <c r="B1334" s="3">
        <v>75</v>
      </c>
      <c r="C1334" s="32">
        <v>49144</v>
      </c>
      <c r="D1334" s="32"/>
      <c r="E1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5" spans="1:6" x14ac:dyDescent="0.35">
      <c r="A1335" s="3">
        <v>43909521820</v>
      </c>
      <c r="B1335" s="3">
        <v>77</v>
      </c>
      <c r="C1335" s="32">
        <v>49144</v>
      </c>
      <c r="D1335" s="32" t="s">
        <v>87</v>
      </c>
      <c r="E1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6" spans="1:6" x14ac:dyDescent="0.35">
      <c r="A1336" s="3">
        <v>90466578841</v>
      </c>
      <c r="B1336" s="3">
        <v>79</v>
      </c>
      <c r="C1336" s="32">
        <v>49144</v>
      </c>
      <c r="D1336" s="32"/>
      <c r="E1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7" spans="1:6" x14ac:dyDescent="0.35">
      <c r="A1337" s="3">
        <v>35177226759</v>
      </c>
      <c r="B1337" s="3">
        <v>88</v>
      </c>
      <c r="C1337" s="32">
        <v>49144</v>
      </c>
      <c r="D1337" s="32" t="s">
        <v>87</v>
      </c>
      <c r="E1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8" spans="1:6" x14ac:dyDescent="0.35">
      <c r="A1338" s="3">
        <v>39769600586</v>
      </c>
      <c r="B1338" s="3">
        <v>102</v>
      </c>
      <c r="C1338" s="32">
        <v>49144</v>
      </c>
      <c r="D1338" s="32" t="s">
        <v>87</v>
      </c>
      <c r="E1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9" spans="1:6" x14ac:dyDescent="0.35">
      <c r="A1339" s="3">
        <v>62112399635</v>
      </c>
      <c r="B1339" s="3">
        <v>105</v>
      </c>
      <c r="C1339" s="32">
        <v>49144</v>
      </c>
      <c r="D1339" s="32" t="s">
        <v>87</v>
      </c>
      <c r="E1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0" spans="1:6" x14ac:dyDescent="0.35">
      <c r="A1340" s="3">
        <v>72206450704</v>
      </c>
      <c r="B1340" s="3">
        <v>114</v>
      </c>
      <c r="C1340" s="32">
        <v>49144</v>
      </c>
      <c r="D1340" s="32" t="s">
        <v>87</v>
      </c>
      <c r="E1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1" spans="1:6" x14ac:dyDescent="0.35">
      <c r="A1341" s="3">
        <v>64798255688</v>
      </c>
      <c r="B1341" s="3">
        <v>149</v>
      </c>
      <c r="C1341" s="32">
        <v>49144</v>
      </c>
      <c r="D1341" s="32" t="s">
        <v>87</v>
      </c>
      <c r="E1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2" spans="1:6" x14ac:dyDescent="0.35">
      <c r="A1342" s="3">
        <v>49576180245</v>
      </c>
      <c r="B1342" s="3">
        <v>152</v>
      </c>
      <c r="C1342" s="32">
        <v>49144</v>
      </c>
      <c r="D1342" s="32" t="s">
        <v>87</v>
      </c>
      <c r="E1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3" spans="1:6" x14ac:dyDescent="0.35">
      <c r="A1343" s="3">
        <v>59543190928</v>
      </c>
      <c r="B1343" s="3">
        <v>180</v>
      </c>
      <c r="C1343" s="32">
        <v>49144</v>
      </c>
      <c r="D1343" s="32" t="s">
        <v>87</v>
      </c>
      <c r="E1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4" spans="1:6" x14ac:dyDescent="0.35">
      <c r="A1344" s="3">
        <v>25003479827</v>
      </c>
      <c r="B1344" s="3">
        <v>182</v>
      </c>
      <c r="C1344" s="32">
        <v>49144</v>
      </c>
      <c r="D1344" s="32" t="s">
        <v>87</v>
      </c>
      <c r="E1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5" spans="1:6" x14ac:dyDescent="0.35">
      <c r="A1345" s="3">
        <v>37167189675</v>
      </c>
      <c r="B1345" s="3">
        <v>199</v>
      </c>
      <c r="C1345" s="32">
        <v>49144</v>
      </c>
      <c r="D1345" s="32">
        <v>49147</v>
      </c>
      <c r="E1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46" spans="1:6" x14ac:dyDescent="0.35">
      <c r="A1346" s="3">
        <v>23172936946</v>
      </c>
      <c r="B1346" s="3">
        <v>209</v>
      </c>
      <c r="C1346" s="32">
        <v>49144</v>
      </c>
      <c r="D1346" s="32" t="s">
        <v>87</v>
      </c>
      <c r="E1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7" spans="1:6" x14ac:dyDescent="0.35">
      <c r="A1347" s="3">
        <v>47193934838</v>
      </c>
      <c r="B1347" s="3">
        <v>234</v>
      </c>
      <c r="C1347" s="32">
        <v>49144</v>
      </c>
      <c r="D1347" s="32">
        <v>49188</v>
      </c>
      <c r="E1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48" spans="1:6" x14ac:dyDescent="0.35">
      <c r="A1348" s="3">
        <v>70497562333</v>
      </c>
      <c r="B1348" s="3">
        <v>245</v>
      </c>
      <c r="C1348" s="32">
        <v>49144</v>
      </c>
      <c r="D1348" s="32" t="s">
        <v>87</v>
      </c>
      <c r="E1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9" spans="1:6" x14ac:dyDescent="0.35">
      <c r="A1349" s="3">
        <v>46890136415</v>
      </c>
      <c r="B1349" s="3">
        <v>278</v>
      </c>
      <c r="C1349" s="32">
        <v>49144</v>
      </c>
      <c r="D1349" s="32"/>
      <c r="E1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0" spans="1:6" x14ac:dyDescent="0.35">
      <c r="A1350" s="3">
        <v>43463529276</v>
      </c>
      <c r="B1350" s="3">
        <v>300</v>
      </c>
      <c r="C1350" s="32">
        <v>49144</v>
      </c>
      <c r="D1350" s="32" t="s">
        <v>87</v>
      </c>
      <c r="E1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1" spans="1:6" x14ac:dyDescent="0.35">
      <c r="A1351" s="3">
        <v>91552388118</v>
      </c>
      <c r="B1351" s="3">
        <v>306</v>
      </c>
      <c r="C1351" s="32">
        <v>49144</v>
      </c>
      <c r="D1351" s="32" t="s">
        <v>87</v>
      </c>
      <c r="E1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2" spans="1:6" x14ac:dyDescent="0.35">
      <c r="A1352" s="3">
        <v>88325077574</v>
      </c>
      <c r="B1352" s="3">
        <v>309</v>
      </c>
      <c r="C1352" s="32">
        <v>49144</v>
      </c>
      <c r="D1352" s="32" t="s">
        <v>87</v>
      </c>
      <c r="E1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3" spans="1:6" x14ac:dyDescent="0.35">
      <c r="A1353" s="3">
        <v>21192999281</v>
      </c>
      <c r="B1353" s="3">
        <v>31</v>
      </c>
      <c r="C1353" s="32">
        <v>49145</v>
      </c>
      <c r="D1353" s="32"/>
      <c r="E1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4" spans="1:6" x14ac:dyDescent="0.35">
      <c r="A1354" s="3">
        <v>13686592624</v>
      </c>
      <c r="B1354" s="3">
        <v>32</v>
      </c>
      <c r="C1354" s="32">
        <v>49145</v>
      </c>
      <c r="D1354" s="32" t="s">
        <v>87</v>
      </c>
      <c r="E1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5" spans="1:6" x14ac:dyDescent="0.35">
      <c r="A1355" s="3">
        <v>85608824489</v>
      </c>
      <c r="B1355" s="3">
        <v>39</v>
      </c>
      <c r="C1355" s="32">
        <v>49145</v>
      </c>
      <c r="D1355" s="32">
        <v>49164</v>
      </c>
      <c r="E1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56" spans="1:6" x14ac:dyDescent="0.35">
      <c r="A1356" s="3">
        <v>78578072457</v>
      </c>
      <c r="B1356" s="3">
        <v>54</v>
      </c>
      <c r="C1356" s="32">
        <v>49145</v>
      </c>
      <c r="D1356" s="32" t="s">
        <v>87</v>
      </c>
      <c r="E1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7" spans="1:6" x14ac:dyDescent="0.35">
      <c r="A1357" s="3">
        <v>33338200390</v>
      </c>
      <c r="B1357" s="3">
        <v>88</v>
      </c>
      <c r="C1357" s="32">
        <v>49145</v>
      </c>
      <c r="D1357" s="32" t="s">
        <v>87</v>
      </c>
      <c r="E1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8" spans="1:6" x14ac:dyDescent="0.35">
      <c r="A1358" s="3">
        <v>42464261977</v>
      </c>
      <c r="B1358" s="3">
        <v>99</v>
      </c>
      <c r="C1358" s="32">
        <v>49145</v>
      </c>
      <c r="D1358" s="32" t="s">
        <v>87</v>
      </c>
      <c r="E1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9" spans="1:6" x14ac:dyDescent="0.35">
      <c r="A1359" s="3">
        <v>42428271915</v>
      </c>
      <c r="B1359" s="3">
        <v>99</v>
      </c>
      <c r="C1359" s="32">
        <v>49145</v>
      </c>
      <c r="D1359" s="32" t="s">
        <v>87</v>
      </c>
      <c r="E1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0" spans="1:6" x14ac:dyDescent="0.35">
      <c r="A1360" s="3">
        <v>62679548257</v>
      </c>
      <c r="B1360" s="3">
        <v>106</v>
      </c>
      <c r="C1360" s="32">
        <v>49145</v>
      </c>
      <c r="D1360" s="32" t="s">
        <v>87</v>
      </c>
      <c r="E1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1" spans="1:6" x14ac:dyDescent="0.35">
      <c r="A1361" s="3">
        <v>17285419358</v>
      </c>
      <c r="B1361" s="3">
        <v>109</v>
      </c>
      <c r="C1361" s="32">
        <v>49145</v>
      </c>
      <c r="D1361" s="32"/>
      <c r="E1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2" spans="1:6" x14ac:dyDescent="0.35">
      <c r="A1362" s="3">
        <v>53101769965</v>
      </c>
      <c r="B1362" s="3">
        <v>113</v>
      </c>
      <c r="C1362" s="32">
        <v>49145</v>
      </c>
      <c r="D1362" s="32" t="s">
        <v>87</v>
      </c>
      <c r="E1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3" spans="1:6" x14ac:dyDescent="0.35">
      <c r="A1363" s="3">
        <v>59240322277</v>
      </c>
      <c r="B1363" s="3">
        <v>121</v>
      </c>
      <c r="C1363" s="32">
        <v>49145</v>
      </c>
      <c r="D1363" s="32">
        <v>49234</v>
      </c>
      <c r="E1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64" spans="1:6" x14ac:dyDescent="0.35">
      <c r="A1364" s="3">
        <v>99916712821</v>
      </c>
      <c r="B1364" s="3">
        <v>195</v>
      </c>
      <c r="C1364" s="32">
        <v>49145</v>
      </c>
      <c r="D1364" s="32" t="s">
        <v>87</v>
      </c>
      <c r="E1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5" spans="1:6" x14ac:dyDescent="0.35">
      <c r="A1365" s="3">
        <v>82780660927</v>
      </c>
      <c r="B1365" s="3">
        <v>210</v>
      </c>
      <c r="C1365" s="32">
        <v>49145</v>
      </c>
      <c r="D1365" s="32" t="s">
        <v>87</v>
      </c>
      <c r="E1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6" spans="1:6" x14ac:dyDescent="0.35">
      <c r="A1366" s="3">
        <v>65086436020</v>
      </c>
      <c r="B1366" s="3">
        <v>225</v>
      </c>
      <c r="C1366" s="32">
        <v>49145</v>
      </c>
      <c r="D1366" s="32" t="s">
        <v>87</v>
      </c>
      <c r="E1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7" spans="1:6" x14ac:dyDescent="0.35">
      <c r="A1367" s="3">
        <v>42911039475</v>
      </c>
      <c r="B1367" s="3">
        <v>225</v>
      </c>
      <c r="C1367" s="32">
        <v>49145</v>
      </c>
      <c r="D1367" s="32"/>
      <c r="E1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8" spans="1:6" x14ac:dyDescent="0.35">
      <c r="A1368" s="3">
        <v>72091008370</v>
      </c>
      <c r="B1368" s="3">
        <v>237</v>
      </c>
      <c r="C1368" s="32">
        <v>49145</v>
      </c>
      <c r="D1368" s="32">
        <v>49223</v>
      </c>
      <c r="E1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69" spans="1:6" x14ac:dyDescent="0.35">
      <c r="A1369" s="3">
        <v>93681802394</v>
      </c>
      <c r="B1369" s="3">
        <v>249</v>
      </c>
      <c r="C1369" s="32">
        <v>49145</v>
      </c>
      <c r="D1369" s="32">
        <v>49176</v>
      </c>
      <c r="E1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70" spans="1:6" x14ac:dyDescent="0.35">
      <c r="A1370" s="3">
        <v>66556230264</v>
      </c>
      <c r="B1370" s="3">
        <v>259</v>
      </c>
      <c r="C1370" s="32">
        <v>49145</v>
      </c>
      <c r="D1370" s="32"/>
      <c r="E1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1" spans="1:6" x14ac:dyDescent="0.35">
      <c r="A1371" s="3">
        <v>30555691339</v>
      </c>
      <c r="B1371" s="3">
        <v>266</v>
      </c>
      <c r="C1371" s="32">
        <v>49145</v>
      </c>
      <c r="D1371" s="32">
        <v>49146</v>
      </c>
      <c r="E1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72" spans="1:6" x14ac:dyDescent="0.35">
      <c r="A1372" s="3">
        <v>84542160902</v>
      </c>
      <c r="B1372" s="3">
        <v>309</v>
      </c>
      <c r="C1372" s="32">
        <v>49145</v>
      </c>
      <c r="D1372" s="32" t="s">
        <v>87</v>
      </c>
      <c r="E1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3" spans="1:6" x14ac:dyDescent="0.35">
      <c r="A1373" s="3">
        <v>71737191330</v>
      </c>
      <c r="B1373" s="3">
        <v>313</v>
      </c>
      <c r="C1373" s="32">
        <v>49145</v>
      </c>
      <c r="D1373" s="32">
        <v>49202</v>
      </c>
      <c r="E1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4" spans="1:6" x14ac:dyDescent="0.35">
      <c r="A1374" s="3">
        <v>18741199026</v>
      </c>
      <c r="B1374" s="3">
        <v>329</v>
      </c>
      <c r="C1374" s="32">
        <v>49145</v>
      </c>
      <c r="D1374" s="32" t="s">
        <v>87</v>
      </c>
      <c r="E1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5" spans="1:6" x14ac:dyDescent="0.35">
      <c r="A1375" s="3">
        <v>20028830289</v>
      </c>
      <c r="B1375" s="3">
        <v>334</v>
      </c>
      <c r="C1375" s="32">
        <v>49145</v>
      </c>
      <c r="D1375" s="32">
        <v>49242</v>
      </c>
      <c r="E1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76" spans="1:6" x14ac:dyDescent="0.35">
      <c r="A1376" s="3">
        <v>16624300321</v>
      </c>
      <c r="B1376" s="3">
        <v>9</v>
      </c>
      <c r="C1376" s="32">
        <v>49146</v>
      </c>
      <c r="D1376" s="32">
        <v>49215</v>
      </c>
      <c r="E1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7" spans="1:6" x14ac:dyDescent="0.35">
      <c r="A1377" s="3">
        <v>76733036336</v>
      </c>
      <c r="B1377" s="3">
        <v>29</v>
      </c>
      <c r="C1377" s="32">
        <v>49146</v>
      </c>
      <c r="D1377" s="32"/>
      <c r="E1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8" spans="1:6" x14ac:dyDescent="0.35">
      <c r="A1378" s="3">
        <v>16492810003</v>
      </c>
      <c r="B1378" s="3">
        <v>31</v>
      </c>
      <c r="C1378" s="32">
        <v>49146</v>
      </c>
      <c r="D1378" s="32">
        <v>49195</v>
      </c>
      <c r="E1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9" spans="1:6" x14ac:dyDescent="0.35">
      <c r="A1379" s="3">
        <v>33706397325</v>
      </c>
      <c r="B1379" s="3">
        <v>49</v>
      </c>
      <c r="C1379" s="32">
        <v>49146</v>
      </c>
      <c r="D1379" s="32"/>
      <c r="E1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0" spans="1:6" x14ac:dyDescent="0.35">
      <c r="A1380" s="3">
        <v>22994798050</v>
      </c>
      <c r="B1380" s="3">
        <v>50</v>
      </c>
      <c r="C1380" s="32">
        <v>49146</v>
      </c>
      <c r="D1380" s="32" t="s">
        <v>87</v>
      </c>
      <c r="E1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1" spans="1:6" x14ac:dyDescent="0.35">
      <c r="A1381" s="3">
        <v>28485171147</v>
      </c>
      <c r="B1381" s="3">
        <v>65</v>
      </c>
      <c r="C1381" s="32">
        <v>49146</v>
      </c>
      <c r="D1381" s="32" t="s">
        <v>87</v>
      </c>
      <c r="E1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2" spans="1:6" x14ac:dyDescent="0.35">
      <c r="A1382" s="3">
        <v>54277106114</v>
      </c>
      <c r="B1382" s="3">
        <v>68</v>
      </c>
      <c r="C1382" s="32">
        <v>49146</v>
      </c>
      <c r="D1382" s="32" t="s">
        <v>87</v>
      </c>
      <c r="E1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3" spans="1:6" x14ac:dyDescent="0.35">
      <c r="A1383" s="3">
        <v>80092376340</v>
      </c>
      <c r="B1383" s="3">
        <v>75</v>
      </c>
      <c r="C1383" s="32">
        <v>49146</v>
      </c>
      <c r="D1383" s="32" t="s">
        <v>87</v>
      </c>
      <c r="E1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4" spans="1:6" x14ac:dyDescent="0.35">
      <c r="A1384" s="3">
        <v>53114851651</v>
      </c>
      <c r="B1384" s="3">
        <v>145</v>
      </c>
      <c r="C1384" s="32">
        <v>49146</v>
      </c>
      <c r="D1384" s="32">
        <v>49254</v>
      </c>
      <c r="E1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385" spans="1:6" x14ac:dyDescent="0.35">
      <c r="A1385" s="3">
        <v>16130163146</v>
      </c>
      <c r="B1385" s="3">
        <v>152</v>
      </c>
      <c r="C1385" s="32">
        <v>49146</v>
      </c>
      <c r="D1385" s="32" t="s">
        <v>87</v>
      </c>
      <c r="E1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6" spans="1:6" x14ac:dyDescent="0.35">
      <c r="A1386" s="3">
        <v>22271486716</v>
      </c>
      <c r="B1386" s="3">
        <v>157</v>
      </c>
      <c r="C1386" s="32">
        <v>49146</v>
      </c>
      <c r="D1386" s="32" t="s">
        <v>87</v>
      </c>
      <c r="E1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7" spans="1:6" x14ac:dyDescent="0.35">
      <c r="A1387" s="3">
        <v>99982715860</v>
      </c>
      <c r="B1387" s="3">
        <v>157</v>
      </c>
      <c r="C1387" s="32">
        <v>49146</v>
      </c>
      <c r="D1387" s="32"/>
      <c r="E1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8" spans="1:6" x14ac:dyDescent="0.35">
      <c r="A1388" s="3">
        <v>80377129868</v>
      </c>
      <c r="B1388" s="3">
        <v>173</v>
      </c>
      <c r="C1388" s="32">
        <v>49146</v>
      </c>
      <c r="D1388" s="32" t="s">
        <v>87</v>
      </c>
      <c r="E1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9" spans="1:6" x14ac:dyDescent="0.35">
      <c r="A1389" s="3">
        <v>55524292153</v>
      </c>
      <c r="B1389" s="3">
        <v>175</v>
      </c>
      <c r="C1389" s="32">
        <v>49146</v>
      </c>
      <c r="D1389" s="32">
        <v>49246</v>
      </c>
      <c r="E1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90" spans="1:6" x14ac:dyDescent="0.35">
      <c r="A1390" s="3">
        <v>87192739071</v>
      </c>
      <c r="B1390" s="3">
        <v>210</v>
      </c>
      <c r="C1390" s="32">
        <v>49146</v>
      </c>
      <c r="D1390" s="32" t="s">
        <v>87</v>
      </c>
      <c r="E1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1" spans="1:6" x14ac:dyDescent="0.35">
      <c r="A1391" s="3">
        <v>37328669481</v>
      </c>
      <c r="B1391" s="3">
        <v>226</v>
      </c>
      <c r="C1391" s="32">
        <v>49146</v>
      </c>
      <c r="D1391" s="32" t="s">
        <v>87</v>
      </c>
      <c r="E1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2" spans="1:6" x14ac:dyDescent="0.35">
      <c r="A1392" s="3">
        <v>33968540993</v>
      </c>
      <c r="B1392" s="3">
        <v>230</v>
      </c>
      <c r="C1392" s="32">
        <v>49146</v>
      </c>
      <c r="D1392" s="32">
        <v>49199</v>
      </c>
      <c r="E1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93" spans="1:6" x14ac:dyDescent="0.35">
      <c r="A1393" s="3">
        <v>94755187190</v>
      </c>
      <c r="B1393" s="3">
        <v>250</v>
      </c>
      <c r="C1393" s="32">
        <v>49146</v>
      </c>
      <c r="D1393" s="32" t="s">
        <v>87</v>
      </c>
      <c r="E1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4" spans="1:6" x14ac:dyDescent="0.35">
      <c r="A1394" s="3">
        <v>74938670905</v>
      </c>
      <c r="B1394" s="3">
        <v>275</v>
      </c>
      <c r="C1394" s="32">
        <v>49146</v>
      </c>
      <c r="D1394" s="32" t="s">
        <v>87</v>
      </c>
      <c r="E1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5" spans="1:6" x14ac:dyDescent="0.35">
      <c r="A1395" s="3">
        <v>78807434967</v>
      </c>
      <c r="B1395" s="3">
        <v>308</v>
      </c>
      <c r="C1395" s="32">
        <v>49146</v>
      </c>
      <c r="D1395" s="32">
        <v>49217</v>
      </c>
      <c r="E1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96" spans="1:6" x14ac:dyDescent="0.35">
      <c r="A1396" s="3">
        <v>27347704398</v>
      </c>
      <c r="B1396" s="3">
        <v>339</v>
      </c>
      <c r="C1396" s="32">
        <v>49146</v>
      </c>
      <c r="D1396" s="32">
        <v>49148</v>
      </c>
      <c r="E1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97" spans="1:6" x14ac:dyDescent="0.35">
      <c r="A1397" s="3">
        <v>51309608438</v>
      </c>
      <c r="B1397" s="3">
        <v>7</v>
      </c>
      <c r="C1397" s="32">
        <v>49147</v>
      </c>
      <c r="D1397" s="32" t="s">
        <v>87</v>
      </c>
      <c r="E1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8" spans="1:6" x14ac:dyDescent="0.35">
      <c r="A1398" s="3">
        <v>92178756143</v>
      </c>
      <c r="B1398" s="3">
        <v>16</v>
      </c>
      <c r="C1398" s="32">
        <v>49147</v>
      </c>
      <c r="D1398" s="32" t="s">
        <v>87</v>
      </c>
      <c r="E1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9" spans="1:6" x14ac:dyDescent="0.35">
      <c r="A1399" s="3">
        <v>35097139790</v>
      </c>
      <c r="B1399" s="3">
        <v>18</v>
      </c>
      <c r="C1399" s="32">
        <v>49147</v>
      </c>
      <c r="D1399" s="32"/>
      <c r="E1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0" spans="1:6" x14ac:dyDescent="0.35">
      <c r="A1400" s="3">
        <v>73001107690</v>
      </c>
      <c r="B1400" s="3">
        <v>28</v>
      </c>
      <c r="C1400" s="32">
        <v>49147</v>
      </c>
      <c r="D1400" s="32" t="s">
        <v>87</v>
      </c>
      <c r="E1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1" spans="1:6" x14ac:dyDescent="0.35">
      <c r="A1401" s="3">
        <v>73738876888</v>
      </c>
      <c r="B1401" s="3">
        <v>54</v>
      </c>
      <c r="C1401" s="32">
        <v>49147</v>
      </c>
      <c r="D1401" s="32" t="s">
        <v>87</v>
      </c>
      <c r="E1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2" spans="1:6" x14ac:dyDescent="0.35">
      <c r="A1402" s="3">
        <v>16652801829</v>
      </c>
      <c r="B1402" s="3">
        <v>64</v>
      </c>
      <c r="C1402" s="32">
        <v>49147</v>
      </c>
      <c r="D1402" s="32"/>
      <c r="E1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3" spans="1:6" x14ac:dyDescent="0.35">
      <c r="A1403" s="3">
        <v>89716530950</v>
      </c>
      <c r="B1403" s="3">
        <v>80</v>
      </c>
      <c r="C1403" s="32">
        <v>49147</v>
      </c>
      <c r="D1403" s="32" t="s">
        <v>87</v>
      </c>
      <c r="E1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4" spans="1:6" x14ac:dyDescent="0.35">
      <c r="A1404" s="3">
        <v>18058327390</v>
      </c>
      <c r="B1404" s="3">
        <v>83</v>
      </c>
      <c r="C1404" s="32">
        <v>49147</v>
      </c>
      <c r="D1404" s="32" t="s">
        <v>87</v>
      </c>
      <c r="E1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5" spans="1:6" x14ac:dyDescent="0.35">
      <c r="A1405" s="3">
        <v>16415270889</v>
      </c>
      <c r="B1405" s="3">
        <v>85</v>
      </c>
      <c r="C1405" s="32">
        <v>49147</v>
      </c>
      <c r="D1405" s="32" t="s">
        <v>87</v>
      </c>
      <c r="E1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6" spans="1:6" x14ac:dyDescent="0.35">
      <c r="A1406" s="3">
        <v>90386509125</v>
      </c>
      <c r="B1406" s="3">
        <v>90</v>
      </c>
      <c r="C1406" s="32">
        <v>49147</v>
      </c>
      <c r="D1406" s="32" t="s">
        <v>87</v>
      </c>
      <c r="E1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7" spans="1:6" x14ac:dyDescent="0.35">
      <c r="A1407" s="3">
        <v>35112058659</v>
      </c>
      <c r="B1407" s="3">
        <v>90</v>
      </c>
      <c r="C1407" s="32">
        <v>49147</v>
      </c>
      <c r="D1407" s="32">
        <v>49262</v>
      </c>
      <c r="E1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08" spans="1:6" x14ac:dyDescent="0.35">
      <c r="A1408" s="3">
        <v>80663110373</v>
      </c>
      <c r="B1408" s="3">
        <v>90</v>
      </c>
      <c r="C1408" s="32">
        <v>49147</v>
      </c>
      <c r="D1408" s="32">
        <v>49185</v>
      </c>
      <c r="E1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09" spans="1:6" x14ac:dyDescent="0.35">
      <c r="A1409" s="3">
        <v>47994806538</v>
      </c>
      <c r="B1409" s="3">
        <v>96</v>
      </c>
      <c r="C1409" s="32">
        <v>49147</v>
      </c>
      <c r="D1409" s="32"/>
      <c r="E1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0" spans="1:6" x14ac:dyDescent="0.35">
      <c r="A1410" s="3">
        <v>73979608841</v>
      </c>
      <c r="B1410" s="3">
        <v>127</v>
      </c>
      <c r="C1410" s="32">
        <v>49147</v>
      </c>
      <c r="D1410" s="32" t="s">
        <v>87</v>
      </c>
      <c r="E1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1" spans="1:6" x14ac:dyDescent="0.35">
      <c r="A1411" s="3">
        <v>48235671216</v>
      </c>
      <c r="B1411" s="3">
        <v>134</v>
      </c>
      <c r="C1411" s="32">
        <v>49147</v>
      </c>
      <c r="D1411" s="32"/>
      <c r="E1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2" spans="1:6" x14ac:dyDescent="0.35">
      <c r="A1412" s="3">
        <v>93301598481</v>
      </c>
      <c r="B1412" s="3">
        <v>136</v>
      </c>
      <c r="C1412" s="32">
        <v>49147</v>
      </c>
      <c r="D1412" s="32" t="s">
        <v>87</v>
      </c>
      <c r="E1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3" spans="1:6" x14ac:dyDescent="0.35">
      <c r="A1413" s="3">
        <v>71308708279</v>
      </c>
      <c r="B1413" s="3">
        <v>138</v>
      </c>
      <c r="C1413" s="32">
        <v>49147</v>
      </c>
      <c r="D1413" s="32" t="s">
        <v>87</v>
      </c>
      <c r="E1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4" spans="1:6" x14ac:dyDescent="0.35">
      <c r="A1414" s="3">
        <v>56389127610</v>
      </c>
      <c r="B1414" s="3">
        <v>140</v>
      </c>
      <c r="C1414" s="32">
        <v>49147</v>
      </c>
      <c r="D1414" s="32"/>
      <c r="E1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5" spans="1:6" x14ac:dyDescent="0.35">
      <c r="A1415" s="3">
        <v>37179472991</v>
      </c>
      <c r="B1415" s="3">
        <v>150</v>
      </c>
      <c r="C1415" s="32">
        <v>49147</v>
      </c>
      <c r="D1415" s="32"/>
      <c r="E1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6" spans="1:6" x14ac:dyDescent="0.35">
      <c r="A1416" s="3">
        <v>36432127278</v>
      </c>
      <c r="B1416" s="3">
        <v>161</v>
      </c>
      <c r="C1416" s="32">
        <v>49147</v>
      </c>
      <c r="D1416" s="32"/>
      <c r="E1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7" spans="1:6" x14ac:dyDescent="0.35">
      <c r="A1417" s="3">
        <v>56326728863</v>
      </c>
      <c r="B1417" s="3">
        <v>161</v>
      </c>
      <c r="C1417" s="32">
        <v>49147</v>
      </c>
      <c r="D1417" s="32">
        <v>49175</v>
      </c>
      <c r="E1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18" spans="1:6" x14ac:dyDescent="0.35">
      <c r="A1418" s="3">
        <v>75292296223</v>
      </c>
      <c r="B1418" s="3">
        <v>175</v>
      </c>
      <c r="C1418" s="32">
        <v>49147</v>
      </c>
      <c r="D1418" s="32" t="s">
        <v>87</v>
      </c>
      <c r="E1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9" spans="1:6" x14ac:dyDescent="0.35">
      <c r="A1419" s="3">
        <v>91915196884</v>
      </c>
      <c r="B1419" s="3">
        <v>181</v>
      </c>
      <c r="C1419" s="32">
        <v>49147</v>
      </c>
      <c r="D1419" s="32" t="s">
        <v>87</v>
      </c>
      <c r="E1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0" spans="1:6" x14ac:dyDescent="0.35">
      <c r="A1420" s="3">
        <v>94514821042</v>
      </c>
      <c r="B1420" s="3">
        <v>188</v>
      </c>
      <c r="C1420" s="32">
        <v>49147</v>
      </c>
      <c r="D1420" s="32" t="s">
        <v>87</v>
      </c>
      <c r="E1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1" spans="1:6" x14ac:dyDescent="0.35">
      <c r="A1421" s="3">
        <v>26696884386</v>
      </c>
      <c r="B1421" s="3">
        <v>189</v>
      </c>
      <c r="C1421" s="32">
        <v>49147</v>
      </c>
      <c r="D1421" s="32" t="s">
        <v>87</v>
      </c>
      <c r="E1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2" spans="1:6" x14ac:dyDescent="0.35">
      <c r="A1422" s="3">
        <v>88440823910</v>
      </c>
      <c r="B1422" s="3">
        <v>204</v>
      </c>
      <c r="C1422" s="32">
        <v>49147</v>
      </c>
      <c r="D1422" s="32" t="s">
        <v>87</v>
      </c>
      <c r="E1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3" spans="1:6" x14ac:dyDescent="0.35">
      <c r="A1423" s="3">
        <v>69144087696</v>
      </c>
      <c r="B1423" s="3">
        <v>227</v>
      </c>
      <c r="C1423" s="32">
        <v>49147</v>
      </c>
      <c r="D1423" s="32">
        <v>49180</v>
      </c>
      <c r="E1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24" spans="1:6" x14ac:dyDescent="0.35">
      <c r="A1424" s="3">
        <v>83500253673</v>
      </c>
      <c r="B1424" s="3">
        <v>227</v>
      </c>
      <c r="C1424" s="32">
        <v>49147</v>
      </c>
      <c r="D1424" s="32">
        <v>49261</v>
      </c>
      <c r="E1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25" spans="1:6" x14ac:dyDescent="0.35">
      <c r="A1425" s="3">
        <v>25631260966</v>
      </c>
      <c r="B1425" s="3">
        <v>233</v>
      </c>
      <c r="C1425" s="32">
        <v>49147</v>
      </c>
      <c r="D1425" s="32"/>
      <c r="E1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6" spans="1:6" x14ac:dyDescent="0.35">
      <c r="A1426" s="3">
        <v>69890825470</v>
      </c>
      <c r="B1426" s="3">
        <v>234</v>
      </c>
      <c r="C1426" s="32">
        <v>49147</v>
      </c>
      <c r="D1426" s="32"/>
      <c r="E1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7" spans="1:6" x14ac:dyDescent="0.35">
      <c r="A1427" s="3">
        <v>12852029948</v>
      </c>
      <c r="B1427" s="3">
        <v>243</v>
      </c>
      <c r="C1427" s="32">
        <v>49147</v>
      </c>
      <c r="D1427" s="32"/>
      <c r="E1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8" spans="1:6" x14ac:dyDescent="0.35">
      <c r="A1428" s="3">
        <v>40395532921</v>
      </c>
      <c r="B1428" s="3">
        <v>247</v>
      </c>
      <c r="C1428" s="32">
        <v>49147</v>
      </c>
      <c r="D1428" s="32" t="s">
        <v>87</v>
      </c>
      <c r="E1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9" spans="1:6" x14ac:dyDescent="0.35">
      <c r="A1429" s="3">
        <v>97403464333</v>
      </c>
      <c r="B1429" s="3">
        <v>267</v>
      </c>
      <c r="C1429" s="32">
        <v>49147</v>
      </c>
      <c r="D1429" s="32" t="s">
        <v>87</v>
      </c>
      <c r="E1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0" spans="1:6" x14ac:dyDescent="0.35">
      <c r="A1430" s="3">
        <v>86156959572</v>
      </c>
      <c r="B1430" s="3">
        <v>270</v>
      </c>
      <c r="C1430" s="32">
        <v>49147</v>
      </c>
      <c r="D1430" s="32" t="s">
        <v>87</v>
      </c>
      <c r="E1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1" spans="1:6" x14ac:dyDescent="0.35">
      <c r="A1431" s="3">
        <v>53095634532</v>
      </c>
      <c r="B1431" s="3">
        <v>282</v>
      </c>
      <c r="C1431" s="32">
        <v>49147</v>
      </c>
      <c r="D1431" s="32" t="s">
        <v>87</v>
      </c>
      <c r="E1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2" spans="1:6" x14ac:dyDescent="0.35">
      <c r="A1432" s="3">
        <v>23546741465</v>
      </c>
      <c r="B1432" s="3">
        <v>284</v>
      </c>
      <c r="C1432" s="32">
        <v>49147</v>
      </c>
      <c r="D1432" s="32" t="s">
        <v>87</v>
      </c>
      <c r="E1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3" spans="1:6" x14ac:dyDescent="0.35">
      <c r="A1433" s="3">
        <v>62121124301</v>
      </c>
      <c r="B1433" s="3">
        <v>296</v>
      </c>
      <c r="C1433" s="32">
        <v>49147</v>
      </c>
      <c r="D1433" s="32">
        <v>49256</v>
      </c>
      <c r="E1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34" spans="1:6" x14ac:dyDescent="0.35">
      <c r="A1434" s="3">
        <v>17688942312</v>
      </c>
      <c r="B1434" s="3">
        <v>301</v>
      </c>
      <c r="C1434" s="32">
        <v>49147</v>
      </c>
      <c r="D1434" s="32" t="s">
        <v>87</v>
      </c>
      <c r="E1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5" spans="1:6" x14ac:dyDescent="0.35">
      <c r="A1435" s="3">
        <v>81554517588</v>
      </c>
      <c r="B1435" s="3">
        <v>330</v>
      </c>
      <c r="C1435" s="32">
        <v>49147</v>
      </c>
      <c r="D1435" s="32" t="s">
        <v>87</v>
      </c>
      <c r="E1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6" spans="1:6" x14ac:dyDescent="0.35">
      <c r="A1436" s="3">
        <v>82307037207</v>
      </c>
      <c r="B1436" s="3">
        <v>29</v>
      </c>
      <c r="C1436" s="32">
        <v>49148</v>
      </c>
      <c r="D1436" s="32"/>
      <c r="E1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7" spans="1:6" x14ac:dyDescent="0.35">
      <c r="A1437" s="3">
        <v>43748541462</v>
      </c>
      <c r="B1437" s="3">
        <v>41</v>
      </c>
      <c r="C1437" s="32">
        <v>49148</v>
      </c>
      <c r="D1437" s="32"/>
      <c r="E1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8" spans="1:6" x14ac:dyDescent="0.35">
      <c r="A1438" s="3">
        <v>75697725997</v>
      </c>
      <c r="B1438" s="3">
        <v>62</v>
      </c>
      <c r="C1438" s="32">
        <v>49148</v>
      </c>
      <c r="D1438" s="32"/>
      <c r="E1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9" spans="1:6" x14ac:dyDescent="0.35">
      <c r="A1439" s="3">
        <v>90057741508</v>
      </c>
      <c r="B1439" s="3">
        <v>73</v>
      </c>
      <c r="C1439" s="32">
        <v>49148</v>
      </c>
      <c r="D1439" s="32" t="s">
        <v>87</v>
      </c>
      <c r="E1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0" spans="1:6" x14ac:dyDescent="0.35">
      <c r="A1440" s="3">
        <v>95126954019</v>
      </c>
      <c r="B1440" s="3">
        <v>102</v>
      </c>
      <c r="C1440" s="32">
        <v>49148</v>
      </c>
      <c r="D1440" s="32">
        <v>49218</v>
      </c>
      <c r="E1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41" spans="1:6" x14ac:dyDescent="0.35">
      <c r="A1441" s="3">
        <v>27407722662</v>
      </c>
      <c r="B1441" s="3">
        <v>103</v>
      </c>
      <c r="C1441" s="32">
        <v>49148</v>
      </c>
      <c r="D1441" s="32" t="s">
        <v>87</v>
      </c>
      <c r="E1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2" spans="1:6" x14ac:dyDescent="0.35">
      <c r="A1442" s="3">
        <v>88744250446</v>
      </c>
      <c r="B1442" s="3">
        <v>116</v>
      </c>
      <c r="C1442" s="32">
        <v>49148</v>
      </c>
      <c r="D1442" s="32"/>
      <c r="E1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3" spans="1:6" x14ac:dyDescent="0.35">
      <c r="A1443" s="3">
        <v>19039660491</v>
      </c>
      <c r="B1443" s="3">
        <v>122</v>
      </c>
      <c r="C1443" s="32">
        <v>49148</v>
      </c>
      <c r="D1443" s="32"/>
      <c r="E1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4" spans="1:6" x14ac:dyDescent="0.35">
      <c r="A1444" s="3">
        <v>54100765165</v>
      </c>
      <c r="B1444" s="3">
        <v>126</v>
      </c>
      <c r="C1444" s="32">
        <v>49148</v>
      </c>
      <c r="D1444" s="32" t="s">
        <v>87</v>
      </c>
      <c r="E1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5" spans="1:6" x14ac:dyDescent="0.35">
      <c r="A1445" s="3">
        <v>48557101362</v>
      </c>
      <c r="B1445" s="3">
        <v>133</v>
      </c>
      <c r="C1445" s="32">
        <v>49148</v>
      </c>
      <c r="D1445" s="32" t="s">
        <v>87</v>
      </c>
      <c r="E1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6" spans="1:6" x14ac:dyDescent="0.35">
      <c r="A1446" s="3">
        <v>47529978253</v>
      </c>
      <c r="B1446" s="3">
        <v>134</v>
      </c>
      <c r="C1446" s="32">
        <v>49148</v>
      </c>
      <c r="D1446" s="32" t="s">
        <v>87</v>
      </c>
      <c r="E1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7" spans="1:6" x14ac:dyDescent="0.35">
      <c r="A1447" s="3">
        <v>11749188620</v>
      </c>
      <c r="B1447" s="3">
        <v>141</v>
      </c>
      <c r="C1447" s="32">
        <v>49148</v>
      </c>
      <c r="D1447" s="32">
        <v>49229</v>
      </c>
      <c r="E1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48" spans="1:6" x14ac:dyDescent="0.35">
      <c r="A1448" s="3">
        <v>30213117318</v>
      </c>
      <c r="B1448" s="3">
        <v>143</v>
      </c>
      <c r="C1448" s="32">
        <v>49148</v>
      </c>
      <c r="D1448" s="32"/>
      <c r="E1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9" spans="1:6" x14ac:dyDescent="0.35">
      <c r="A1449" s="3">
        <v>89269709439</v>
      </c>
      <c r="B1449" s="3">
        <v>154</v>
      </c>
      <c r="C1449" s="32">
        <v>49148</v>
      </c>
      <c r="D1449" s="32">
        <v>49262</v>
      </c>
      <c r="E1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50" spans="1:6" x14ac:dyDescent="0.35">
      <c r="A1450" s="3">
        <v>72856271710</v>
      </c>
      <c r="B1450" s="3">
        <v>165</v>
      </c>
      <c r="C1450" s="32">
        <v>49148</v>
      </c>
      <c r="D1450" s="32" t="s">
        <v>87</v>
      </c>
      <c r="E1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1" spans="1:6" x14ac:dyDescent="0.35">
      <c r="A1451" s="3">
        <v>15925444994</v>
      </c>
      <c r="B1451" s="3">
        <v>172</v>
      </c>
      <c r="C1451" s="32">
        <v>49148</v>
      </c>
      <c r="D1451" s="32" t="s">
        <v>87</v>
      </c>
      <c r="E1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2" spans="1:6" x14ac:dyDescent="0.35">
      <c r="A1452" s="3">
        <v>20942396884</v>
      </c>
      <c r="B1452" s="3">
        <v>224</v>
      </c>
      <c r="C1452" s="32">
        <v>49148</v>
      </c>
      <c r="D1452" s="32">
        <v>49246</v>
      </c>
      <c r="E1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53" spans="1:6" x14ac:dyDescent="0.35">
      <c r="A1453" s="3">
        <v>84605026196</v>
      </c>
      <c r="B1453" s="3">
        <v>226</v>
      </c>
      <c r="C1453" s="32">
        <v>49148</v>
      </c>
      <c r="D1453" s="32" t="s">
        <v>87</v>
      </c>
      <c r="E1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4" spans="1:6" x14ac:dyDescent="0.35">
      <c r="A1454" s="3">
        <v>18604515997</v>
      </c>
      <c r="B1454" s="3">
        <v>226</v>
      </c>
      <c r="C1454" s="32">
        <v>49148</v>
      </c>
      <c r="D1454" s="32">
        <v>49188</v>
      </c>
      <c r="E1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55" spans="1:6" x14ac:dyDescent="0.35">
      <c r="A1455" s="3">
        <v>32049312109</v>
      </c>
      <c r="B1455" s="3">
        <v>233</v>
      </c>
      <c r="C1455" s="32">
        <v>49148</v>
      </c>
      <c r="D1455" s="32" t="s">
        <v>87</v>
      </c>
      <c r="E1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6" spans="1:6" x14ac:dyDescent="0.35">
      <c r="A1456" s="3">
        <v>61141295438</v>
      </c>
      <c r="B1456" s="3">
        <v>234</v>
      </c>
      <c r="C1456" s="32">
        <v>49148</v>
      </c>
      <c r="D1456" s="32">
        <v>49170</v>
      </c>
      <c r="E1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57" spans="1:6" x14ac:dyDescent="0.35">
      <c r="A1457" s="3">
        <v>33668961560</v>
      </c>
      <c r="B1457" s="3">
        <v>252</v>
      </c>
      <c r="C1457" s="32">
        <v>49148</v>
      </c>
      <c r="D1457" s="32" t="s">
        <v>87</v>
      </c>
      <c r="E1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8" spans="1:6" x14ac:dyDescent="0.35">
      <c r="A1458" s="3">
        <v>81504317654</v>
      </c>
      <c r="B1458" s="3">
        <v>258</v>
      </c>
      <c r="C1458" s="32">
        <v>49148</v>
      </c>
      <c r="D1458" s="32" t="s">
        <v>87</v>
      </c>
      <c r="E1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9" spans="1:6" x14ac:dyDescent="0.35">
      <c r="A1459" s="3">
        <v>42430518373</v>
      </c>
      <c r="B1459" s="3">
        <v>285</v>
      </c>
      <c r="C1459" s="32">
        <v>49148</v>
      </c>
      <c r="D1459" s="32" t="s">
        <v>87</v>
      </c>
      <c r="E1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0" spans="1:6" x14ac:dyDescent="0.35">
      <c r="A1460" s="3">
        <v>13972357320</v>
      </c>
      <c r="B1460" s="3">
        <v>314</v>
      </c>
      <c r="C1460" s="32">
        <v>49148</v>
      </c>
      <c r="D1460" s="32" t="s">
        <v>87</v>
      </c>
      <c r="E1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1" spans="1:6" x14ac:dyDescent="0.35">
      <c r="A1461" s="3">
        <v>30854413636</v>
      </c>
      <c r="B1461" s="3">
        <v>314</v>
      </c>
      <c r="C1461" s="32">
        <v>49148</v>
      </c>
      <c r="D1461" s="32" t="s">
        <v>87</v>
      </c>
      <c r="E1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2" spans="1:6" x14ac:dyDescent="0.35">
      <c r="A1462" s="3">
        <v>26242094959</v>
      </c>
      <c r="B1462" s="3">
        <v>325</v>
      </c>
      <c r="C1462" s="32">
        <v>49148</v>
      </c>
      <c r="D1462" s="32" t="s">
        <v>87</v>
      </c>
      <c r="E1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3" spans="1:6" x14ac:dyDescent="0.35">
      <c r="A1463" s="3">
        <v>53597709966</v>
      </c>
      <c r="B1463" s="3">
        <v>329</v>
      </c>
      <c r="C1463" s="32">
        <v>49148</v>
      </c>
      <c r="D1463" s="32" t="s">
        <v>87</v>
      </c>
      <c r="E1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4" spans="1:6" x14ac:dyDescent="0.35">
      <c r="A1464" s="3">
        <v>27449624091</v>
      </c>
      <c r="B1464" s="3">
        <v>29</v>
      </c>
      <c r="C1464" s="32">
        <v>49149</v>
      </c>
      <c r="D1464" s="32">
        <v>49257</v>
      </c>
      <c r="E1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65" spans="1:6" x14ac:dyDescent="0.35">
      <c r="A1465" s="3">
        <v>27686145305</v>
      </c>
      <c r="B1465" s="3">
        <v>53</v>
      </c>
      <c r="C1465" s="32">
        <v>49149</v>
      </c>
      <c r="D1465" s="32" t="s">
        <v>87</v>
      </c>
      <c r="E1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6" spans="1:6" x14ac:dyDescent="0.35">
      <c r="A1466" s="3">
        <v>39869900688</v>
      </c>
      <c r="B1466" s="3">
        <v>62</v>
      </c>
      <c r="C1466" s="32">
        <v>49149</v>
      </c>
      <c r="D1466" s="32"/>
      <c r="E1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7" spans="1:6" x14ac:dyDescent="0.35">
      <c r="A1467" s="3">
        <v>68713075111</v>
      </c>
      <c r="B1467" s="3">
        <v>65</v>
      </c>
      <c r="C1467" s="32">
        <v>49149</v>
      </c>
      <c r="D1467" s="32" t="s">
        <v>87</v>
      </c>
      <c r="E1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8" spans="1:6" x14ac:dyDescent="0.35">
      <c r="A1468" s="3">
        <v>17364429284</v>
      </c>
      <c r="B1468" s="3">
        <v>77</v>
      </c>
      <c r="C1468" s="32">
        <v>49149</v>
      </c>
      <c r="D1468" s="32" t="s">
        <v>87</v>
      </c>
      <c r="E1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9" spans="1:6" x14ac:dyDescent="0.35">
      <c r="A1469" s="3">
        <v>25026134456</v>
      </c>
      <c r="B1469" s="3">
        <v>97</v>
      </c>
      <c r="C1469" s="32">
        <v>49149</v>
      </c>
      <c r="D1469" s="32">
        <v>49245</v>
      </c>
      <c r="E1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70" spans="1:6" x14ac:dyDescent="0.35">
      <c r="A1470" s="3">
        <v>79656394698</v>
      </c>
      <c r="B1470" s="3">
        <v>110</v>
      </c>
      <c r="C1470" s="32">
        <v>49149</v>
      </c>
      <c r="D1470" s="32"/>
      <c r="E1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1" spans="1:6" x14ac:dyDescent="0.35">
      <c r="A1471" s="3">
        <v>75071504995</v>
      </c>
      <c r="B1471" s="3">
        <v>111</v>
      </c>
      <c r="C1471" s="32">
        <v>49149</v>
      </c>
      <c r="D1471" s="32" t="s">
        <v>87</v>
      </c>
      <c r="E1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2" spans="1:6" x14ac:dyDescent="0.35">
      <c r="A1472" s="3">
        <v>96621222477</v>
      </c>
      <c r="B1472" s="3">
        <v>123</v>
      </c>
      <c r="C1472" s="32">
        <v>49149</v>
      </c>
      <c r="D1472" s="32" t="s">
        <v>87</v>
      </c>
      <c r="E1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3" spans="1:6" x14ac:dyDescent="0.35">
      <c r="A1473" s="3">
        <v>37240814245</v>
      </c>
      <c r="B1473" s="3">
        <v>135</v>
      </c>
      <c r="C1473" s="32">
        <v>49149</v>
      </c>
      <c r="D1473" s="32">
        <v>49171</v>
      </c>
      <c r="E1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74" spans="1:6" x14ac:dyDescent="0.35">
      <c r="A1474" s="3">
        <v>18806267350</v>
      </c>
      <c r="B1474" s="3">
        <v>182</v>
      </c>
      <c r="C1474" s="32">
        <v>49149</v>
      </c>
      <c r="D1474" s="32">
        <v>49193</v>
      </c>
      <c r="E1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75" spans="1:6" x14ac:dyDescent="0.35">
      <c r="A1475" s="3">
        <v>45029187971</v>
      </c>
      <c r="B1475" s="3">
        <v>197</v>
      </c>
      <c r="C1475" s="32">
        <v>49149</v>
      </c>
      <c r="D1475" s="32">
        <v>49263</v>
      </c>
      <c r="E1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76" spans="1:6" x14ac:dyDescent="0.35">
      <c r="A1476" s="3">
        <v>15262334252</v>
      </c>
      <c r="B1476" s="3">
        <v>216</v>
      </c>
      <c r="C1476" s="32">
        <v>49149</v>
      </c>
      <c r="D1476" s="32" t="s">
        <v>87</v>
      </c>
      <c r="E1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7" spans="1:6" x14ac:dyDescent="0.35">
      <c r="A1477" s="3">
        <v>31406060429</v>
      </c>
      <c r="B1477" s="3">
        <v>221</v>
      </c>
      <c r="C1477" s="32">
        <v>49149</v>
      </c>
      <c r="D1477" s="32" t="s">
        <v>87</v>
      </c>
      <c r="E1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8" spans="1:6" x14ac:dyDescent="0.35">
      <c r="A1478" s="3">
        <v>68299709383</v>
      </c>
      <c r="B1478" s="3">
        <v>222</v>
      </c>
      <c r="C1478" s="32">
        <v>49149</v>
      </c>
      <c r="D1478" s="32" t="s">
        <v>87</v>
      </c>
      <c r="E1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9" spans="1:6" x14ac:dyDescent="0.35">
      <c r="A1479" s="3">
        <v>46704653403</v>
      </c>
      <c r="B1479" s="3">
        <v>223</v>
      </c>
      <c r="C1479" s="32">
        <v>49149</v>
      </c>
      <c r="D1479" s="32" t="s">
        <v>87</v>
      </c>
      <c r="E1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0" spans="1:6" x14ac:dyDescent="0.35">
      <c r="A1480" s="3">
        <v>55183202243</v>
      </c>
      <c r="B1480" s="3">
        <v>228</v>
      </c>
      <c r="C1480" s="32">
        <v>49149</v>
      </c>
      <c r="D1480" s="32"/>
      <c r="E1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1" spans="1:6" x14ac:dyDescent="0.35">
      <c r="A1481" s="3">
        <v>74378708199</v>
      </c>
      <c r="B1481" s="3">
        <v>239</v>
      </c>
      <c r="C1481" s="32">
        <v>49149</v>
      </c>
      <c r="D1481" s="32" t="s">
        <v>87</v>
      </c>
      <c r="E1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2" spans="1:6" x14ac:dyDescent="0.35">
      <c r="A1482" s="3">
        <v>20755901426</v>
      </c>
      <c r="B1482" s="3">
        <v>250</v>
      </c>
      <c r="C1482" s="32">
        <v>49149</v>
      </c>
      <c r="D1482" s="32" t="s">
        <v>87</v>
      </c>
      <c r="E1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3" spans="1:6" x14ac:dyDescent="0.35">
      <c r="A1483" s="3">
        <v>43082318039</v>
      </c>
      <c r="B1483" s="3">
        <v>255</v>
      </c>
      <c r="C1483" s="32">
        <v>49149</v>
      </c>
      <c r="D1483" s="32"/>
      <c r="E1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4" spans="1:6" x14ac:dyDescent="0.35">
      <c r="A1484" s="3">
        <v>33183534556</v>
      </c>
      <c r="B1484" s="3">
        <v>276</v>
      </c>
      <c r="C1484" s="32">
        <v>49149</v>
      </c>
      <c r="D1484" s="32" t="s">
        <v>87</v>
      </c>
      <c r="E1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5" spans="1:6" x14ac:dyDescent="0.35">
      <c r="A1485" s="3">
        <v>38686685007</v>
      </c>
      <c r="B1485" s="3">
        <v>281</v>
      </c>
      <c r="C1485" s="32">
        <v>49149</v>
      </c>
      <c r="D1485" s="32">
        <v>49226</v>
      </c>
      <c r="E1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86" spans="1:6" x14ac:dyDescent="0.35">
      <c r="A1486" s="3">
        <v>81939517481</v>
      </c>
      <c r="B1486" s="3">
        <v>283</v>
      </c>
      <c r="C1486" s="32">
        <v>49149</v>
      </c>
      <c r="D1486" s="32" t="s">
        <v>87</v>
      </c>
      <c r="E1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7" spans="1:6" x14ac:dyDescent="0.35">
      <c r="A1487" s="3">
        <v>18375363806</v>
      </c>
      <c r="B1487" s="3">
        <v>302</v>
      </c>
      <c r="C1487" s="32">
        <v>49149</v>
      </c>
      <c r="D1487" s="32" t="s">
        <v>87</v>
      </c>
      <c r="E1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8" spans="1:6" x14ac:dyDescent="0.35">
      <c r="A1488" s="3">
        <v>94688507234</v>
      </c>
      <c r="B1488" s="3">
        <v>324</v>
      </c>
      <c r="C1488" s="32">
        <v>49149</v>
      </c>
      <c r="D1488" s="32"/>
      <c r="E1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9" spans="1:6" x14ac:dyDescent="0.35">
      <c r="A1489" s="3">
        <v>54663320752</v>
      </c>
      <c r="B1489" s="3">
        <v>325</v>
      </c>
      <c r="C1489" s="32">
        <v>49149</v>
      </c>
      <c r="D1489" s="32">
        <v>49213</v>
      </c>
      <c r="E1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90" spans="1:6" x14ac:dyDescent="0.35">
      <c r="A1490" s="3">
        <v>85141384408</v>
      </c>
      <c r="B1490" s="3">
        <v>325</v>
      </c>
      <c r="C1490" s="32">
        <v>49149</v>
      </c>
      <c r="D1490" s="32" t="s">
        <v>87</v>
      </c>
      <c r="E1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1" spans="1:6" x14ac:dyDescent="0.35">
      <c r="A1491" s="3">
        <v>76422012279</v>
      </c>
      <c r="B1491" s="3">
        <v>334</v>
      </c>
      <c r="C1491" s="32">
        <v>49149</v>
      </c>
      <c r="D1491" s="32" t="s">
        <v>87</v>
      </c>
      <c r="E1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2" spans="1:6" x14ac:dyDescent="0.35">
      <c r="A1492" s="3">
        <v>90346727738</v>
      </c>
      <c r="B1492" s="3">
        <v>6</v>
      </c>
      <c r="C1492" s="32">
        <v>49150</v>
      </c>
      <c r="D1492" s="32" t="s">
        <v>87</v>
      </c>
      <c r="E1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3" spans="1:6" x14ac:dyDescent="0.35">
      <c r="A1493" s="3">
        <v>48307526178</v>
      </c>
      <c r="B1493" s="3">
        <v>25</v>
      </c>
      <c r="C1493" s="32">
        <v>49150</v>
      </c>
      <c r="D1493" s="32" t="s">
        <v>87</v>
      </c>
      <c r="E1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4" spans="1:6" x14ac:dyDescent="0.35">
      <c r="A1494" s="3">
        <v>74672651744</v>
      </c>
      <c r="B1494" s="3">
        <v>33</v>
      </c>
      <c r="C1494" s="32">
        <v>49150</v>
      </c>
      <c r="D1494" s="32" t="s">
        <v>87</v>
      </c>
      <c r="E1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5" spans="1:6" x14ac:dyDescent="0.35">
      <c r="A1495" s="3">
        <v>31716402145</v>
      </c>
      <c r="B1495" s="3">
        <v>53</v>
      </c>
      <c r="C1495" s="32">
        <v>49150</v>
      </c>
      <c r="D1495" s="32" t="s">
        <v>87</v>
      </c>
      <c r="E1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6" spans="1:6" x14ac:dyDescent="0.35">
      <c r="A1496" s="3">
        <v>50768594952</v>
      </c>
      <c r="B1496" s="3">
        <v>143</v>
      </c>
      <c r="C1496" s="32">
        <v>49150</v>
      </c>
      <c r="D1496" s="32" t="s">
        <v>87</v>
      </c>
      <c r="E1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7" spans="1:6" x14ac:dyDescent="0.35">
      <c r="A1497" s="3">
        <v>51668786516</v>
      </c>
      <c r="B1497" s="3">
        <v>193</v>
      </c>
      <c r="C1497" s="32">
        <v>49150</v>
      </c>
      <c r="D1497" s="32" t="s">
        <v>87</v>
      </c>
      <c r="E1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8" spans="1:6" x14ac:dyDescent="0.35">
      <c r="A1498" s="3">
        <v>20146178178</v>
      </c>
      <c r="B1498" s="3">
        <v>242</v>
      </c>
      <c r="C1498" s="32">
        <v>49150</v>
      </c>
      <c r="D1498" s="32" t="s">
        <v>87</v>
      </c>
      <c r="E1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9" spans="1:6" x14ac:dyDescent="0.35">
      <c r="A1499" s="3">
        <v>32763747467</v>
      </c>
      <c r="B1499" s="3">
        <v>253</v>
      </c>
      <c r="C1499" s="32">
        <v>49150</v>
      </c>
      <c r="D1499" s="32" t="s">
        <v>87</v>
      </c>
      <c r="E1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0" spans="1:6" x14ac:dyDescent="0.35">
      <c r="A1500" s="3">
        <v>30556930716</v>
      </c>
      <c r="B1500" s="3">
        <v>255</v>
      </c>
      <c r="C1500" s="32">
        <v>49150</v>
      </c>
      <c r="D1500" s="32">
        <v>49258</v>
      </c>
      <c r="E1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501" spans="1:6" x14ac:dyDescent="0.35">
      <c r="A1501" s="3">
        <v>43709876690</v>
      </c>
      <c r="B1501" s="3">
        <v>267</v>
      </c>
      <c r="C1501" s="32">
        <v>49150</v>
      </c>
      <c r="D1501" s="32" t="s">
        <v>87</v>
      </c>
      <c r="E1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2" spans="1:6" x14ac:dyDescent="0.35">
      <c r="A1502" s="3">
        <v>68346514069</v>
      </c>
      <c r="B1502" s="3">
        <v>288</v>
      </c>
      <c r="C1502" s="32">
        <v>49150</v>
      </c>
      <c r="D1502" s="32" t="s">
        <v>87</v>
      </c>
      <c r="E1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3" spans="1:6" x14ac:dyDescent="0.35">
      <c r="A1503" s="3">
        <v>78028431714</v>
      </c>
      <c r="B1503" s="3">
        <v>294</v>
      </c>
      <c r="C1503" s="32">
        <v>49150</v>
      </c>
      <c r="D1503" s="32">
        <v>49154</v>
      </c>
      <c r="E1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04" spans="1:6" x14ac:dyDescent="0.35">
      <c r="A1504" s="3">
        <v>61170329314</v>
      </c>
      <c r="B1504" s="3">
        <v>301</v>
      </c>
      <c r="C1504" s="32">
        <v>49150</v>
      </c>
      <c r="D1504" s="32">
        <v>49190</v>
      </c>
      <c r="E1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05" spans="1:6" x14ac:dyDescent="0.35">
      <c r="A1505" s="3">
        <v>80842132142</v>
      </c>
      <c r="B1505" s="3">
        <v>306</v>
      </c>
      <c r="C1505" s="32">
        <v>49150</v>
      </c>
      <c r="D1505" s="32">
        <v>49156</v>
      </c>
      <c r="E1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06" spans="1:6" x14ac:dyDescent="0.35">
      <c r="A1506" s="3">
        <v>25355679963</v>
      </c>
      <c r="B1506" s="3">
        <v>316</v>
      </c>
      <c r="C1506" s="32">
        <v>49150</v>
      </c>
      <c r="D1506" s="32"/>
      <c r="E1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7" spans="1:6" x14ac:dyDescent="0.35">
      <c r="A1507" s="3">
        <v>40926331260</v>
      </c>
      <c r="B1507" s="3">
        <v>318</v>
      </c>
      <c r="C1507" s="32">
        <v>49150</v>
      </c>
      <c r="D1507" s="32">
        <v>49236</v>
      </c>
      <c r="E1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08" spans="1:6" x14ac:dyDescent="0.35">
      <c r="A1508" s="3">
        <v>59047152206</v>
      </c>
      <c r="B1508" s="3">
        <v>321</v>
      </c>
      <c r="C1508" s="32">
        <v>49150</v>
      </c>
      <c r="D1508" s="32" t="s">
        <v>87</v>
      </c>
      <c r="E1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9" spans="1:6" x14ac:dyDescent="0.35">
      <c r="A1509" s="3">
        <v>19254583742</v>
      </c>
      <c r="B1509" s="3">
        <v>327</v>
      </c>
      <c r="C1509" s="32">
        <v>49150</v>
      </c>
      <c r="D1509" s="32"/>
      <c r="E1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0" spans="1:6" x14ac:dyDescent="0.35">
      <c r="A1510" s="3">
        <v>27836596635</v>
      </c>
      <c r="B1510" s="3">
        <v>327</v>
      </c>
      <c r="C1510" s="32">
        <v>49150</v>
      </c>
      <c r="D1510" s="32" t="s">
        <v>87</v>
      </c>
      <c r="E1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1" spans="1:6" x14ac:dyDescent="0.35">
      <c r="A1511" s="3">
        <v>70463821980</v>
      </c>
      <c r="B1511" s="3">
        <v>330</v>
      </c>
      <c r="C1511" s="32">
        <v>49150</v>
      </c>
      <c r="D1511" s="32"/>
      <c r="E1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2" spans="1:6" x14ac:dyDescent="0.35">
      <c r="A1512" s="3">
        <v>44570631272</v>
      </c>
      <c r="B1512" s="3">
        <v>338</v>
      </c>
      <c r="C1512" s="32">
        <v>49150</v>
      </c>
      <c r="D1512" s="32" t="s">
        <v>87</v>
      </c>
      <c r="E1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3" spans="1:6" x14ac:dyDescent="0.35">
      <c r="A1513" s="3">
        <v>56507333045</v>
      </c>
      <c r="B1513" s="3">
        <v>0</v>
      </c>
      <c r="C1513" s="32">
        <v>49151</v>
      </c>
      <c r="D1513" s="32" t="s">
        <v>87</v>
      </c>
      <c r="E1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4" spans="1:6" x14ac:dyDescent="0.35">
      <c r="A1514" s="3">
        <v>76325960832</v>
      </c>
      <c r="B1514" s="3">
        <v>1</v>
      </c>
      <c r="C1514" s="32">
        <v>49151</v>
      </c>
      <c r="D1514" s="32" t="s">
        <v>87</v>
      </c>
      <c r="E1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5" spans="1:6" x14ac:dyDescent="0.35">
      <c r="A1515" s="3">
        <v>39534055766</v>
      </c>
      <c r="B1515" s="3">
        <v>14</v>
      </c>
      <c r="C1515" s="32">
        <v>49151</v>
      </c>
      <c r="D1515" s="32"/>
      <c r="E1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6" spans="1:6" x14ac:dyDescent="0.35">
      <c r="A1516" s="3">
        <v>31931873004</v>
      </c>
      <c r="B1516" s="3">
        <v>18</v>
      </c>
      <c r="C1516" s="32">
        <v>49151</v>
      </c>
      <c r="D1516" s="32" t="s">
        <v>87</v>
      </c>
      <c r="E1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7" spans="1:6" x14ac:dyDescent="0.35">
      <c r="A1517" s="3">
        <v>70159402948</v>
      </c>
      <c r="B1517" s="3">
        <v>57</v>
      </c>
      <c r="C1517" s="32">
        <v>49151</v>
      </c>
      <c r="D1517" s="32" t="s">
        <v>87</v>
      </c>
      <c r="E1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8" spans="1:6" x14ac:dyDescent="0.35">
      <c r="A1518" s="3">
        <v>25182580259</v>
      </c>
      <c r="B1518" s="3">
        <v>59</v>
      </c>
      <c r="C1518" s="32">
        <v>49151</v>
      </c>
      <c r="D1518" s="32" t="s">
        <v>87</v>
      </c>
      <c r="E1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9" spans="1:6" x14ac:dyDescent="0.35">
      <c r="A1519" s="3">
        <v>68000264345</v>
      </c>
      <c r="B1519" s="3">
        <v>87</v>
      </c>
      <c r="C1519" s="32">
        <v>49151</v>
      </c>
      <c r="D1519" s="32" t="s">
        <v>87</v>
      </c>
      <c r="E1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0" spans="1:6" x14ac:dyDescent="0.35">
      <c r="A1520" s="3">
        <v>73520238747</v>
      </c>
      <c r="B1520" s="3">
        <v>114</v>
      </c>
      <c r="C1520" s="32">
        <v>49151</v>
      </c>
      <c r="D1520" s="32"/>
      <c r="E1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1" spans="1:6" x14ac:dyDescent="0.35">
      <c r="A1521" s="3">
        <v>96332781395</v>
      </c>
      <c r="B1521" s="3">
        <v>114</v>
      </c>
      <c r="C1521" s="32">
        <v>49151</v>
      </c>
      <c r="D1521" s="32">
        <v>49198</v>
      </c>
      <c r="E1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22" spans="1:6" x14ac:dyDescent="0.35">
      <c r="A1522" s="3">
        <v>33500406123</v>
      </c>
      <c r="B1522" s="3">
        <v>135</v>
      </c>
      <c r="C1522" s="32">
        <v>49151</v>
      </c>
      <c r="D1522" s="32"/>
      <c r="E1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3" spans="1:6" x14ac:dyDescent="0.35">
      <c r="A1523" s="3">
        <v>73554912833</v>
      </c>
      <c r="B1523" s="3">
        <v>150</v>
      </c>
      <c r="C1523" s="32">
        <v>49151</v>
      </c>
      <c r="D1523" s="32" t="s">
        <v>87</v>
      </c>
      <c r="E1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4" spans="1:6" x14ac:dyDescent="0.35">
      <c r="A1524" s="3">
        <v>37412270909</v>
      </c>
      <c r="B1524" s="3">
        <v>170</v>
      </c>
      <c r="C1524" s="32">
        <v>49151</v>
      </c>
      <c r="D1524" s="32">
        <v>49216</v>
      </c>
      <c r="E1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25" spans="1:6" x14ac:dyDescent="0.35">
      <c r="A1525" s="3">
        <v>43253555439</v>
      </c>
      <c r="B1525" s="3">
        <v>181</v>
      </c>
      <c r="C1525" s="32">
        <v>49151</v>
      </c>
      <c r="D1525" s="32"/>
      <c r="E1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6" spans="1:6" x14ac:dyDescent="0.35">
      <c r="A1526" s="3">
        <v>95701555869</v>
      </c>
      <c r="B1526" s="3">
        <v>182</v>
      </c>
      <c r="C1526" s="32">
        <v>49151</v>
      </c>
      <c r="D1526" s="32" t="s">
        <v>87</v>
      </c>
      <c r="E1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7" spans="1:6" x14ac:dyDescent="0.35">
      <c r="A1527" s="3">
        <v>92691948202</v>
      </c>
      <c r="B1527" s="3">
        <v>187</v>
      </c>
      <c r="C1527" s="32">
        <v>49151</v>
      </c>
      <c r="D1527" s="32" t="s">
        <v>87</v>
      </c>
      <c r="E1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8" spans="1:6" x14ac:dyDescent="0.35">
      <c r="A1528" s="3">
        <v>17004125842</v>
      </c>
      <c r="B1528" s="3">
        <v>197</v>
      </c>
      <c r="C1528" s="32">
        <v>49151</v>
      </c>
      <c r="D1528" s="32" t="s">
        <v>87</v>
      </c>
      <c r="E1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9" spans="1:6" x14ac:dyDescent="0.35">
      <c r="A1529" s="3">
        <v>79548649538</v>
      </c>
      <c r="B1529" s="3">
        <v>204</v>
      </c>
      <c r="C1529" s="32">
        <v>49151</v>
      </c>
      <c r="D1529" s="32" t="s">
        <v>87</v>
      </c>
      <c r="E1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0" spans="1:6" x14ac:dyDescent="0.35">
      <c r="A1530" s="3">
        <v>20392999566</v>
      </c>
      <c r="B1530" s="3">
        <v>233</v>
      </c>
      <c r="C1530" s="32">
        <v>49151</v>
      </c>
      <c r="D1530" s="32" t="s">
        <v>87</v>
      </c>
      <c r="E1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1" spans="1:6" x14ac:dyDescent="0.35">
      <c r="A1531" s="3">
        <v>92113887398</v>
      </c>
      <c r="B1531" s="3">
        <v>257</v>
      </c>
      <c r="C1531" s="32">
        <v>49151</v>
      </c>
      <c r="D1531" s="32"/>
      <c r="E1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2" spans="1:6" x14ac:dyDescent="0.35">
      <c r="A1532" s="3">
        <v>98483436903</v>
      </c>
      <c r="B1532" s="3">
        <v>258</v>
      </c>
      <c r="C1532" s="32">
        <v>49151</v>
      </c>
      <c r="D1532" s="32"/>
      <c r="E1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3" spans="1:6" x14ac:dyDescent="0.35">
      <c r="A1533" s="3">
        <v>81850099882</v>
      </c>
      <c r="B1533" s="3">
        <v>260</v>
      </c>
      <c r="C1533" s="32">
        <v>49151</v>
      </c>
      <c r="D1533" s="32">
        <v>49181</v>
      </c>
      <c r="E1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34" spans="1:6" x14ac:dyDescent="0.35">
      <c r="A1534" s="3">
        <v>67803947589</v>
      </c>
      <c r="B1534" s="3">
        <v>261</v>
      </c>
      <c r="C1534" s="32">
        <v>49151</v>
      </c>
      <c r="D1534" s="32" t="s">
        <v>87</v>
      </c>
      <c r="E1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5" spans="1:6" x14ac:dyDescent="0.35">
      <c r="A1535" s="3">
        <v>28853062942</v>
      </c>
      <c r="B1535" s="3">
        <v>262</v>
      </c>
      <c r="C1535" s="32">
        <v>49151</v>
      </c>
      <c r="D1535" s="32" t="s">
        <v>87</v>
      </c>
      <c r="E1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6" spans="1:6" x14ac:dyDescent="0.35">
      <c r="A1536" s="3">
        <v>53877932750</v>
      </c>
      <c r="B1536" s="3">
        <v>274</v>
      </c>
      <c r="C1536" s="32">
        <v>49151</v>
      </c>
      <c r="D1536" s="32" t="s">
        <v>87</v>
      </c>
      <c r="E1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7" spans="1:6" x14ac:dyDescent="0.35">
      <c r="A1537" s="3">
        <v>29055297950</v>
      </c>
      <c r="B1537" s="3">
        <v>286</v>
      </c>
      <c r="C1537" s="32">
        <v>49151</v>
      </c>
      <c r="D1537" s="32" t="s">
        <v>87</v>
      </c>
      <c r="E1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8" spans="1:6" x14ac:dyDescent="0.35">
      <c r="A1538" s="3">
        <v>89304439557</v>
      </c>
      <c r="B1538" s="3">
        <v>305</v>
      </c>
      <c r="C1538" s="32">
        <v>49151</v>
      </c>
      <c r="D1538" s="32">
        <v>49158</v>
      </c>
      <c r="E1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39" spans="1:6" x14ac:dyDescent="0.35">
      <c r="A1539" s="3">
        <v>71760851511</v>
      </c>
      <c r="B1539" s="3">
        <v>3</v>
      </c>
      <c r="C1539" s="32">
        <v>49152</v>
      </c>
      <c r="D1539" s="32" t="s">
        <v>87</v>
      </c>
      <c r="E1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0" spans="1:6" x14ac:dyDescent="0.35">
      <c r="A1540" s="3">
        <v>92299181151</v>
      </c>
      <c r="B1540" s="3">
        <v>3</v>
      </c>
      <c r="C1540" s="32">
        <v>49152</v>
      </c>
      <c r="D1540" s="32"/>
      <c r="E1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1" spans="1:6" x14ac:dyDescent="0.35">
      <c r="A1541" s="3">
        <v>72873090382</v>
      </c>
      <c r="B1541" s="3">
        <v>11</v>
      </c>
      <c r="C1541" s="32">
        <v>49152</v>
      </c>
      <c r="D1541" s="32" t="s">
        <v>87</v>
      </c>
      <c r="E1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2" spans="1:6" x14ac:dyDescent="0.35">
      <c r="A1542" s="3">
        <v>48490259137</v>
      </c>
      <c r="B1542" s="3">
        <v>38</v>
      </c>
      <c r="C1542" s="32">
        <v>49152</v>
      </c>
      <c r="D1542" s="32" t="s">
        <v>87</v>
      </c>
      <c r="E1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3" spans="1:6" x14ac:dyDescent="0.35">
      <c r="A1543" s="3">
        <v>68502028178</v>
      </c>
      <c r="B1543" s="3">
        <v>49</v>
      </c>
      <c r="C1543" s="32">
        <v>49152</v>
      </c>
      <c r="D1543" s="32" t="s">
        <v>87</v>
      </c>
      <c r="E1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4" spans="1:6" x14ac:dyDescent="0.35">
      <c r="A1544" s="3">
        <v>57447131140</v>
      </c>
      <c r="B1544" s="3">
        <v>79</v>
      </c>
      <c r="C1544" s="32">
        <v>49152</v>
      </c>
      <c r="D1544" s="32" t="s">
        <v>87</v>
      </c>
      <c r="E1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5" spans="1:6" x14ac:dyDescent="0.35">
      <c r="A1545" s="3">
        <v>87421355345</v>
      </c>
      <c r="B1545" s="3">
        <v>100</v>
      </c>
      <c r="C1545" s="32">
        <v>49152</v>
      </c>
      <c r="D1545" s="32" t="s">
        <v>87</v>
      </c>
      <c r="E1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6" spans="1:6" x14ac:dyDescent="0.35">
      <c r="A1546" s="3">
        <v>15150488071</v>
      </c>
      <c r="B1546" s="3">
        <v>106</v>
      </c>
      <c r="C1546" s="32">
        <v>49152</v>
      </c>
      <c r="D1546" s="32"/>
      <c r="E1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7" spans="1:6" x14ac:dyDescent="0.35">
      <c r="A1547" s="3">
        <v>69736160592</v>
      </c>
      <c r="B1547" s="3">
        <v>124</v>
      </c>
      <c r="C1547" s="32">
        <v>49152</v>
      </c>
      <c r="D1547" s="32">
        <v>49195</v>
      </c>
      <c r="E1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48" spans="1:6" x14ac:dyDescent="0.35">
      <c r="A1548" s="3">
        <v>36547662483</v>
      </c>
      <c r="B1548" s="3">
        <v>132</v>
      </c>
      <c r="C1548" s="32">
        <v>49152</v>
      </c>
      <c r="D1548" s="32" t="s">
        <v>87</v>
      </c>
      <c r="E1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9" spans="1:6" x14ac:dyDescent="0.35">
      <c r="A1549" s="3">
        <v>82149169114</v>
      </c>
      <c r="B1549" s="3">
        <v>202</v>
      </c>
      <c r="C1549" s="32">
        <v>49152</v>
      </c>
      <c r="D1549" s="32"/>
      <c r="E1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0" spans="1:6" x14ac:dyDescent="0.35">
      <c r="A1550" s="3">
        <v>77883328755</v>
      </c>
      <c r="B1550" s="3">
        <v>206</v>
      </c>
      <c r="C1550" s="32">
        <v>49152</v>
      </c>
      <c r="D1550" s="32" t="s">
        <v>87</v>
      </c>
      <c r="E1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1" spans="1:6" x14ac:dyDescent="0.35">
      <c r="A1551" s="3">
        <v>77367227565</v>
      </c>
      <c r="B1551" s="3">
        <v>210</v>
      </c>
      <c r="C1551" s="32">
        <v>49152</v>
      </c>
      <c r="D1551" s="32" t="s">
        <v>87</v>
      </c>
      <c r="E1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2" spans="1:6" x14ac:dyDescent="0.35">
      <c r="A1552" s="3">
        <v>21601358812</v>
      </c>
      <c r="B1552" s="3">
        <v>221</v>
      </c>
      <c r="C1552" s="32">
        <v>49152</v>
      </c>
      <c r="D1552" s="32">
        <v>49232</v>
      </c>
      <c r="E1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3" spans="1:6" x14ac:dyDescent="0.35">
      <c r="A1553" s="3">
        <v>54116953352</v>
      </c>
      <c r="B1553" s="3">
        <v>239</v>
      </c>
      <c r="C1553" s="32">
        <v>49152</v>
      </c>
      <c r="D1553" s="32" t="s">
        <v>87</v>
      </c>
      <c r="E1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4" spans="1:6" x14ac:dyDescent="0.35">
      <c r="A1554" s="3">
        <v>31286431130</v>
      </c>
      <c r="B1554" s="3">
        <v>261</v>
      </c>
      <c r="C1554" s="32">
        <v>49152</v>
      </c>
      <c r="D1554" s="32">
        <v>49239</v>
      </c>
      <c r="E1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5" spans="1:6" x14ac:dyDescent="0.35">
      <c r="A1555" s="3">
        <v>88065975581</v>
      </c>
      <c r="B1555" s="3">
        <v>263</v>
      </c>
      <c r="C1555" s="32">
        <v>49152</v>
      </c>
      <c r="D1555" s="32"/>
      <c r="E1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6" spans="1:6" x14ac:dyDescent="0.35">
      <c r="A1556" s="3">
        <v>91812190016</v>
      </c>
      <c r="B1556" s="3">
        <v>270</v>
      </c>
      <c r="C1556" s="32">
        <v>49152</v>
      </c>
      <c r="D1556" s="32" t="s">
        <v>87</v>
      </c>
      <c r="E1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7" spans="1:6" x14ac:dyDescent="0.35">
      <c r="A1557" s="3">
        <v>45013193736</v>
      </c>
      <c r="B1557" s="3">
        <v>272</v>
      </c>
      <c r="C1557" s="32">
        <v>49152</v>
      </c>
      <c r="D1557" s="32">
        <v>49231</v>
      </c>
      <c r="E1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8" spans="1:6" x14ac:dyDescent="0.35">
      <c r="A1558" s="3">
        <v>50569658047</v>
      </c>
      <c r="B1558" s="3">
        <v>275</v>
      </c>
      <c r="C1558" s="32">
        <v>49152</v>
      </c>
      <c r="D1558" s="32" t="s">
        <v>87</v>
      </c>
      <c r="E1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9" spans="1:6" x14ac:dyDescent="0.35">
      <c r="A1559" s="3">
        <v>31434509926</v>
      </c>
      <c r="B1559" s="3">
        <v>279</v>
      </c>
      <c r="C1559" s="32">
        <v>49152</v>
      </c>
      <c r="D1559" s="32">
        <v>49162</v>
      </c>
      <c r="E1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0" spans="1:6" x14ac:dyDescent="0.35">
      <c r="A1560" s="3">
        <v>51787062082</v>
      </c>
      <c r="B1560" s="3">
        <v>279</v>
      </c>
      <c r="C1560" s="32">
        <v>49152</v>
      </c>
      <c r="D1560" s="32">
        <v>49182</v>
      </c>
      <c r="E1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1" spans="1:6" x14ac:dyDescent="0.35">
      <c r="A1561" s="3">
        <v>73975156091</v>
      </c>
      <c r="B1561" s="3">
        <v>280</v>
      </c>
      <c r="C1561" s="32">
        <v>49152</v>
      </c>
      <c r="D1561" s="32" t="s">
        <v>87</v>
      </c>
      <c r="E1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2" spans="1:6" x14ac:dyDescent="0.35">
      <c r="A1562" s="3">
        <v>88571070556</v>
      </c>
      <c r="B1562" s="3">
        <v>286</v>
      </c>
      <c r="C1562" s="32">
        <v>49152</v>
      </c>
      <c r="D1562" s="32" t="s">
        <v>87</v>
      </c>
      <c r="E1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3" spans="1:6" x14ac:dyDescent="0.35">
      <c r="A1563" s="3">
        <v>68624430508</v>
      </c>
      <c r="B1563" s="3">
        <v>305</v>
      </c>
      <c r="C1563" s="32">
        <v>49152</v>
      </c>
      <c r="D1563" s="32">
        <v>49154</v>
      </c>
      <c r="E1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64" spans="1:6" x14ac:dyDescent="0.35">
      <c r="A1564" s="3">
        <v>47371871800</v>
      </c>
      <c r="B1564" s="3">
        <v>309</v>
      </c>
      <c r="C1564" s="32">
        <v>49152</v>
      </c>
      <c r="D1564" s="32" t="s">
        <v>87</v>
      </c>
      <c r="E1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5" spans="1:6" x14ac:dyDescent="0.35">
      <c r="A1565" s="3">
        <v>23597519048</v>
      </c>
      <c r="B1565" s="3">
        <v>312</v>
      </c>
      <c r="C1565" s="32">
        <v>49152</v>
      </c>
      <c r="D1565" s="32" t="s">
        <v>87</v>
      </c>
      <c r="E1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6" spans="1:6" x14ac:dyDescent="0.35">
      <c r="A1566" s="3">
        <v>60124945204</v>
      </c>
      <c r="B1566" s="3">
        <v>318</v>
      </c>
      <c r="C1566" s="32">
        <v>49152</v>
      </c>
      <c r="D1566" s="32">
        <v>49190</v>
      </c>
      <c r="E1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67" spans="1:6" x14ac:dyDescent="0.35">
      <c r="A1567" s="3">
        <v>80545923586</v>
      </c>
      <c r="B1567" s="3">
        <v>332</v>
      </c>
      <c r="C1567" s="32">
        <v>49152</v>
      </c>
      <c r="D1567" s="32" t="s">
        <v>87</v>
      </c>
      <c r="E1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8" spans="1:6" x14ac:dyDescent="0.35">
      <c r="A1568" s="3">
        <v>46260782883</v>
      </c>
      <c r="B1568" s="3">
        <v>3</v>
      </c>
      <c r="C1568" s="32">
        <v>49153</v>
      </c>
      <c r="D1568" s="32">
        <v>49181</v>
      </c>
      <c r="E1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9" spans="1:6" x14ac:dyDescent="0.35">
      <c r="A1569" s="3">
        <v>83457948269</v>
      </c>
      <c r="B1569" s="3">
        <v>12</v>
      </c>
      <c r="C1569" s="32">
        <v>49153</v>
      </c>
      <c r="D1569" s="32">
        <v>49237</v>
      </c>
      <c r="E1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70" spans="1:6" x14ac:dyDescent="0.35">
      <c r="A1570" s="3">
        <v>65197318559</v>
      </c>
      <c r="B1570" s="3">
        <v>80</v>
      </c>
      <c r="C1570" s="32">
        <v>49153</v>
      </c>
      <c r="D1570" s="32" t="s">
        <v>87</v>
      </c>
      <c r="E1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1" spans="1:6" x14ac:dyDescent="0.35">
      <c r="A1571" s="3">
        <v>61461131882</v>
      </c>
      <c r="B1571" s="3">
        <v>87</v>
      </c>
      <c r="C1571" s="32">
        <v>49153</v>
      </c>
      <c r="D1571" s="32" t="s">
        <v>87</v>
      </c>
      <c r="E1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2" spans="1:6" x14ac:dyDescent="0.35">
      <c r="A1572" s="3">
        <v>45816102610</v>
      </c>
      <c r="B1572" s="3">
        <v>89</v>
      </c>
      <c r="C1572" s="32">
        <v>49153</v>
      </c>
      <c r="D1572" s="32" t="s">
        <v>87</v>
      </c>
      <c r="E1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3" spans="1:6" x14ac:dyDescent="0.35">
      <c r="A1573" s="3">
        <v>36221990164</v>
      </c>
      <c r="B1573" s="3">
        <v>97</v>
      </c>
      <c r="C1573" s="32">
        <v>49153</v>
      </c>
      <c r="D1573" s="32"/>
      <c r="E1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4" spans="1:6" x14ac:dyDescent="0.35">
      <c r="A1574" s="3">
        <v>31870015594</v>
      </c>
      <c r="B1574" s="3">
        <v>110</v>
      </c>
      <c r="C1574" s="32">
        <v>49153</v>
      </c>
      <c r="D1574" s="32" t="s">
        <v>87</v>
      </c>
      <c r="E1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5" spans="1:6" x14ac:dyDescent="0.35">
      <c r="A1575" s="3">
        <v>34197861129</v>
      </c>
      <c r="B1575" s="3">
        <v>115</v>
      </c>
      <c r="C1575" s="32">
        <v>49153</v>
      </c>
      <c r="D1575" s="32"/>
      <c r="E1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6" spans="1:6" x14ac:dyDescent="0.35">
      <c r="A1576" s="3">
        <v>60575924002</v>
      </c>
      <c r="B1576" s="3">
        <v>136</v>
      </c>
      <c r="C1576" s="32">
        <v>49153</v>
      </c>
      <c r="D1576" s="32" t="s">
        <v>87</v>
      </c>
      <c r="E1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7" spans="1:6" x14ac:dyDescent="0.35">
      <c r="A1577" s="3">
        <v>24739371952</v>
      </c>
      <c r="B1577" s="3">
        <v>141</v>
      </c>
      <c r="C1577" s="32">
        <v>49153</v>
      </c>
      <c r="D1577" s="32" t="s">
        <v>87</v>
      </c>
      <c r="E1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8" spans="1:6" x14ac:dyDescent="0.35">
      <c r="A1578" s="3">
        <v>88400990419</v>
      </c>
      <c r="B1578" s="3">
        <v>155</v>
      </c>
      <c r="C1578" s="32">
        <v>49153</v>
      </c>
      <c r="D1578" s="32">
        <v>49226</v>
      </c>
      <c r="E1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79" spans="1:6" x14ac:dyDescent="0.35">
      <c r="A1579" s="3">
        <v>96154970314</v>
      </c>
      <c r="B1579" s="3">
        <v>161</v>
      </c>
      <c r="C1579" s="32">
        <v>49153</v>
      </c>
      <c r="D1579" s="32" t="s">
        <v>87</v>
      </c>
      <c r="E1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0" spans="1:6" x14ac:dyDescent="0.35">
      <c r="A1580" s="3">
        <v>28555975129</v>
      </c>
      <c r="B1580" s="3">
        <v>175</v>
      </c>
      <c r="C1580" s="32">
        <v>49153</v>
      </c>
      <c r="D1580" s="32">
        <v>49262</v>
      </c>
      <c r="E1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581" spans="1:6" x14ac:dyDescent="0.35">
      <c r="A1581" s="3">
        <v>86544074154</v>
      </c>
      <c r="B1581" s="3">
        <v>176</v>
      </c>
      <c r="C1581" s="32">
        <v>49153</v>
      </c>
      <c r="D1581" s="32" t="s">
        <v>87</v>
      </c>
      <c r="E1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2" spans="1:6" x14ac:dyDescent="0.35">
      <c r="A1582" s="3">
        <v>78091932993</v>
      </c>
      <c r="B1582" s="3">
        <v>208</v>
      </c>
      <c r="C1582" s="32">
        <v>49153</v>
      </c>
      <c r="D1582" s="32" t="s">
        <v>87</v>
      </c>
      <c r="E1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3" spans="1:6" x14ac:dyDescent="0.35">
      <c r="A1583" s="3">
        <v>39024335094</v>
      </c>
      <c r="B1583" s="3">
        <v>215</v>
      </c>
      <c r="C1583" s="32">
        <v>49153</v>
      </c>
      <c r="D1583" s="32" t="s">
        <v>87</v>
      </c>
      <c r="E1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4" spans="1:6" x14ac:dyDescent="0.35">
      <c r="A1584" s="3">
        <v>48996578978</v>
      </c>
      <c r="B1584" s="3">
        <v>216</v>
      </c>
      <c r="C1584" s="32">
        <v>49153</v>
      </c>
      <c r="D1584" s="32" t="s">
        <v>87</v>
      </c>
      <c r="E1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5" spans="1:6" x14ac:dyDescent="0.35">
      <c r="A1585" s="3">
        <v>96269664193</v>
      </c>
      <c r="B1585" s="3">
        <v>224</v>
      </c>
      <c r="C1585" s="32">
        <v>49153</v>
      </c>
      <c r="D1585" s="32" t="s">
        <v>87</v>
      </c>
      <c r="E1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6" spans="1:6" x14ac:dyDescent="0.35">
      <c r="A1586" s="3">
        <v>40623421723</v>
      </c>
      <c r="B1586" s="3">
        <v>252</v>
      </c>
      <c r="C1586" s="32">
        <v>49153</v>
      </c>
      <c r="D1586" s="32" t="s">
        <v>87</v>
      </c>
      <c r="E1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7" spans="1:6" x14ac:dyDescent="0.35">
      <c r="A1587" s="3">
        <v>62392965661</v>
      </c>
      <c r="B1587" s="3">
        <v>316</v>
      </c>
      <c r="C1587" s="32">
        <v>49153</v>
      </c>
      <c r="D1587" s="32">
        <v>49193</v>
      </c>
      <c r="E1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88" spans="1:6" x14ac:dyDescent="0.35">
      <c r="A1588" s="3">
        <v>22335020051</v>
      </c>
      <c r="B1588" s="3">
        <v>326</v>
      </c>
      <c r="C1588" s="32">
        <v>49153</v>
      </c>
      <c r="D1588" s="32" t="s">
        <v>87</v>
      </c>
      <c r="E1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9" spans="1:6" x14ac:dyDescent="0.35">
      <c r="A1589" s="3">
        <v>30116213306</v>
      </c>
      <c r="B1589" s="3">
        <v>333</v>
      </c>
      <c r="C1589" s="32">
        <v>49153</v>
      </c>
      <c r="D1589" s="32" t="s">
        <v>87</v>
      </c>
      <c r="E1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0" spans="1:6" x14ac:dyDescent="0.35">
      <c r="A1590" s="3">
        <v>29740736829</v>
      </c>
      <c r="B1590" s="3">
        <v>335</v>
      </c>
      <c r="C1590" s="32">
        <v>49153</v>
      </c>
      <c r="D1590" s="32" t="s">
        <v>87</v>
      </c>
      <c r="E1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1" spans="1:6" x14ac:dyDescent="0.35">
      <c r="A1591" s="3">
        <v>93406206179</v>
      </c>
      <c r="B1591" s="3">
        <v>340</v>
      </c>
      <c r="C1591" s="32">
        <v>49153</v>
      </c>
      <c r="D1591" s="32" t="s">
        <v>87</v>
      </c>
      <c r="E1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2" spans="1:6" x14ac:dyDescent="0.35">
      <c r="A1592" s="3">
        <v>60689463958</v>
      </c>
      <c r="B1592" s="3">
        <v>1</v>
      </c>
      <c r="C1592" s="32">
        <v>49154</v>
      </c>
      <c r="D1592" s="32" t="s">
        <v>87</v>
      </c>
      <c r="E1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3" spans="1:6" x14ac:dyDescent="0.35">
      <c r="A1593" s="3">
        <v>95227982688</v>
      </c>
      <c r="B1593" s="3">
        <v>22</v>
      </c>
      <c r="C1593" s="32">
        <v>49154</v>
      </c>
      <c r="D1593" s="32">
        <v>49215</v>
      </c>
      <c r="E1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94" spans="1:6" x14ac:dyDescent="0.35">
      <c r="A1594" s="3">
        <v>51622529885</v>
      </c>
      <c r="B1594" s="3">
        <v>27</v>
      </c>
      <c r="C1594" s="32">
        <v>49154</v>
      </c>
      <c r="D1594" s="32" t="s">
        <v>87</v>
      </c>
      <c r="E1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5" spans="1:6" x14ac:dyDescent="0.35">
      <c r="A1595" s="3">
        <v>43428230947</v>
      </c>
      <c r="B1595" s="3">
        <v>37</v>
      </c>
      <c r="C1595" s="32">
        <v>49154</v>
      </c>
      <c r="D1595" s="32" t="s">
        <v>87</v>
      </c>
      <c r="E1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6" spans="1:6" x14ac:dyDescent="0.35">
      <c r="A1596" s="3">
        <v>43355369425</v>
      </c>
      <c r="B1596" s="3">
        <v>40</v>
      </c>
      <c r="C1596" s="32">
        <v>49154</v>
      </c>
      <c r="D1596" s="32" t="s">
        <v>87</v>
      </c>
      <c r="E1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7" spans="1:6" x14ac:dyDescent="0.35">
      <c r="A1597" s="3">
        <v>81883306705</v>
      </c>
      <c r="B1597" s="3">
        <v>50</v>
      </c>
      <c r="C1597" s="32">
        <v>49154</v>
      </c>
      <c r="D1597" s="32"/>
      <c r="E1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8" spans="1:6" x14ac:dyDescent="0.35">
      <c r="A1598" s="3">
        <v>46046461150</v>
      </c>
      <c r="B1598" s="3">
        <v>58</v>
      </c>
      <c r="C1598" s="32">
        <v>49154</v>
      </c>
      <c r="D1598" s="32" t="s">
        <v>87</v>
      </c>
      <c r="E1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9" spans="1:6" x14ac:dyDescent="0.35">
      <c r="A1599" s="3">
        <v>52076802524</v>
      </c>
      <c r="B1599" s="3">
        <v>60</v>
      </c>
      <c r="C1599" s="32">
        <v>49154</v>
      </c>
      <c r="D1599" s="32">
        <v>49273</v>
      </c>
      <c r="E1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00" spans="1:6" x14ac:dyDescent="0.35">
      <c r="A1600" s="3">
        <v>74049775593</v>
      </c>
      <c r="B1600" s="3">
        <v>101</v>
      </c>
      <c r="C1600" s="32">
        <v>49154</v>
      </c>
      <c r="D1600" s="32">
        <v>49239</v>
      </c>
      <c r="E1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01" spans="1:6" x14ac:dyDescent="0.35">
      <c r="A1601" s="3">
        <v>36130064274</v>
      </c>
      <c r="B1601" s="3">
        <v>105</v>
      </c>
      <c r="C1601" s="32">
        <v>49154</v>
      </c>
      <c r="D1601" s="32" t="s">
        <v>87</v>
      </c>
      <c r="E1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2" spans="1:6" x14ac:dyDescent="0.35">
      <c r="A1602" s="3">
        <v>26080908600</v>
      </c>
      <c r="B1602" s="3">
        <v>109</v>
      </c>
      <c r="C1602" s="32">
        <v>49154</v>
      </c>
      <c r="D1602" s="32" t="s">
        <v>87</v>
      </c>
      <c r="E1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3" spans="1:6" x14ac:dyDescent="0.35">
      <c r="A1603" s="3">
        <v>85844017157</v>
      </c>
      <c r="B1603" s="3">
        <v>110</v>
      </c>
      <c r="C1603" s="32">
        <v>49154</v>
      </c>
      <c r="D1603" s="32">
        <v>49197</v>
      </c>
      <c r="E1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04" spans="1:6" x14ac:dyDescent="0.35">
      <c r="A1604" s="3">
        <v>57012757879</v>
      </c>
      <c r="B1604" s="3">
        <v>124</v>
      </c>
      <c r="C1604" s="32">
        <v>49154</v>
      </c>
      <c r="D1604" s="32" t="s">
        <v>87</v>
      </c>
      <c r="E1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5" spans="1:6" x14ac:dyDescent="0.35">
      <c r="A1605" s="3">
        <v>17616568557</v>
      </c>
      <c r="B1605" s="3">
        <v>132</v>
      </c>
      <c r="C1605" s="32">
        <v>49154</v>
      </c>
      <c r="D1605" s="32"/>
      <c r="E1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6" spans="1:6" x14ac:dyDescent="0.35">
      <c r="A1606" s="3">
        <v>16124985022</v>
      </c>
      <c r="B1606" s="3">
        <v>138</v>
      </c>
      <c r="C1606" s="32">
        <v>49154</v>
      </c>
      <c r="D1606" s="32" t="s">
        <v>87</v>
      </c>
      <c r="E1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7" spans="1:6" x14ac:dyDescent="0.35">
      <c r="A1607" s="3">
        <v>69010426298</v>
      </c>
      <c r="B1607" s="3">
        <v>144</v>
      </c>
      <c r="C1607" s="32">
        <v>49154</v>
      </c>
      <c r="D1607" s="32"/>
      <c r="E1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8" spans="1:6" x14ac:dyDescent="0.35">
      <c r="A1608" s="3">
        <v>22200150323</v>
      </c>
      <c r="B1608" s="3">
        <v>187</v>
      </c>
      <c r="C1608" s="32">
        <v>49154</v>
      </c>
      <c r="D1608" s="32" t="s">
        <v>87</v>
      </c>
      <c r="E1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9" spans="1:6" x14ac:dyDescent="0.35">
      <c r="A1609" s="3">
        <v>18338440086</v>
      </c>
      <c r="B1609" s="3">
        <v>187</v>
      </c>
      <c r="C1609" s="32">
        <v>49154</v>
      </c>
      <c r="D1609" s="32" t="s">
        <v>87</v>
      </c>
      <c r="E1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0" spans="1:6" x14ac:dyDescent="0.35">
      <c r="A1610" s="3">
        <v>94704139121</v>
      </c>
      <c r="B1610" s="3">
        <v>191</v>
      </c>
      <c r="C1610" s="32">
        <v>49154</v>
      </c>
      <c r="D1610" s="32" t="s">
        <v>87</v>
      </c>
      <c r="E1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1" spans="1:6" x14ac:dyDescent="0.35">
      <c r="A1611" s="3">
        <v>54945623738</v>
      </c>
      <c r="B1611" s="3">
        <v>205</v>
      </c>
      <c r="C1611" s="32">
        <v>49154</v>
      </c>
      <c r="D1611" s="32" t="s">
        <v>87</v>
      </c>
      <c r="E1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2" spans="1:6" x14ac:dyDescent="0.35">
      <c r="A1612" s="3">
        <v>95621650154</v>
      </c>
      <c r="B1612" s="3">
        <v>216</v>
      </c>
      <c r="C1612" s="32">
        <v>49154</v>
      </c>
      <c r="D1612" s="32"/>
      <c r="E1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3" spans="1:6" x14ac:dyDescent="0.35">
      <c r="A1613" s="3">
        <v>72763503987</v>
      </c>
      <c r="B1613" s="3">
        <v>218</v>
      </c>
      <c r="C1613" s="32">
        <v>49154</v>
      </c>
      <c r="D1613" s="32">
        <v>49271</v>
      </c>
      <c r="E1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14" spans="1:6" x14ac:dyDescent="0.35">
      <c r="A1614" s="3">
        <v>97349254090</v>
      </c>
      <c r="B1614" s="3">
        <v>223</v>
      </c>
      <c r="C1614" s="32">
        <v>49154</v>
      </c>
      <c r="D1614" s="32">
        <v>49158</v>
      </c>
      <c r="E1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15" spans="1:6" x14ac:dyDescent="0.35">
      <c r="A1615" s="3">
        <v>34788371146</v>
      </c>
      <c r="B1615" s="3">
        <v>234</v>
      </c>
      <c r="C1615" s="32">
        <v>49154</v>
      </c>
      <c r="D1615" s="32" t="s">
        <v>87</v>
      </c>
      <c r="E1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6" spans="1:6" x14ac:dyDescent="0.35">
      <c r="A1616" s="3">
        <v>21234984388</v>
      </c>
      <c r="B1616" s="3">
        <v>248</v>
      </c>
      <c r="C1616" s="32">
        <v>49154</v>
      </c>
      <c r="D1616" s="32">
        <v>49268</v>
      </c>
      <c r="E1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17" spans="1:6" x14ac:dyDescent="0.35">
      <c r="A1617" s="3">
        <v>84979617447</v>
      </c>
      <c r="B1617" s="3">
        <v>287</v>
      </c>
      <c r="C1617" s="32">
        <v>49154</v>
      </c>
      <c r="D1617" s="32">
        <v>49184</v>
      </c>
      <c r="E1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18" spans="1:6" x14ac:dyDescent="0.35">
      <c r="A1618" s="3">
        <v>45126996875</v>
      </c>
      <c r="B1618" s="3">
        <v>324</v>
      </c>
      <c r="C1618" s="32">
        <v>49154</v>
      </c>
      <c r="D1618" s="32"/>
      <c r="E1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9" spans="1:6" x14ac:dyDescent="0.35">
      <c r="A1619" s="3">
        <v>54501452176</v>
      </c>
      <c r="B1619" s="3">
        <v>325</v>
      </c>
      <c r="C1619" s="32">
        <v>49154</v>
      </c>
      <c r="D1619" s="32" t="s">
        <v>87</v>
      </c>
      <c r="E1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0" spans="1:6" x14ac:dyDescent="0.35">
      <c r="A1620" s="3">
        <v>42188556436</v>
      </c>
      <c r="B1620" s="3">
        <v>328</v>
      </c>
      <c r="C1620" s="32">
        <v>49154</v>
      </c>
      <c r="D1620" s="32" t="s">
        <v>87</v>
      </c>
      <c r="E1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1" spans="1:6" x14ac:dyDescent="0.35">
      <c r="A1621" s="3">
        <v>59217896373</v>
      </c>
      <c r="B1621" s="3">
        <v>2</v>
      </c>
      <c r="C1621" s="32">
        <v>49155</v>
      </c>
      <c r="D1621" s="32" t="s">
        <v>87</v>
      </c>
      <c r="E1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2" spans="1:6" x14ac:dyDescent="0.35">
      <c r="A1622" s="3">
        <v>90813532436</v>
      </c>
      <c r="B1622" s="3">
        <v>3</v>
      </c>
      <c r="C1622" s="32">
        <v>49155</v>
      </c>
      <c r="D1622" s="32" t="s">
        <v>87</v>
      </c>
      <c r="E1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3" spans="1:6" x14ac:dyDescent="0.35">
      <c r="A1623" s="3">
        <v>87618999023</v>
      </c>
      <c r="B1623" s="3">
        <v>31</v>
      </c>
      <c r="C1623" s="32">
        <v>49155</v>
      </c>
      <c r="D1623" s="32">
        <v>49264</v>
      </c>
      <c r="E1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24" spans="1:6" x14ac:dyDescent="0.35">
      <c r="A1624" s="3">
        <v>78486044470</v>
      </c>
      <c r="B1624" s="3">
        <v>40</v>
      </c>
      <c r="C1624" s="32">
        <v>49155</v>
      </c>
      <c r="D1624" s="32" t="s">
        <v>87</v>
      </c>
      <c r="E1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5" spans="1:6" x14ac:dyDescent="0.35">
      <c r="A1625" s="3">
        <v>34020676674</v>
      </c>
      <c r="B1625" s="3">
        <v>44</v>
      </c>
      <c r="C1625" s="32">
        <v>49155</v>
      </c>
      <c r="D1625" s="32" t="s">
        <v>87</v>
      </c>
      <c r="E1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6" spans="1:6" x14ac:dyDescent="0.35">
      <c r="A1626" s="3">
        <v>75777634915</v>
      </c>
      <c r="B1626" s="3">
        <v>59</v>
      </c>
      <c r="C1626" s="32">
        <v>49155</v>
      </c>
      <c r="D1626" s="32" t="s">
        <v>87</v>
      </c>
      <c r="E1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7" spans="1:6" x14ac:dyDescent="0.35">
      <c r="A1627" s="3">
        <v>86814388679</v>
      </c>
      <c r="B1627" s="3">
        <v>75</v>
      </c>
      <c r="C1627" s="32">
        <v>49155</v>
      </c>
      <c r="D1627" s="32" t="s">
        <v>87</v>
      </c>
      <c r="E1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8" spans="1:6" x14ac:dyDescent="0.35">
      <c r="A1628" s="3">
        <v>95098323030</v>
      </c>
      <c r="B1628" s="3">
        <v>84</v>
      </c>
      <c r="C1628" s="32">
        <v>49155</v>
      </c>
      <c r="D1628" s="32" t="s">
        <v>87</v>
      </c>
      <c r="E1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9" spans="1:6" x14ac:dyDescent="0.35">
      <c r="A1629" s="3">
        <v>55056282087</v>
      </c>
      <c r="B1629" s="3">
        <v>110</v>
      </c>
      <c r="C1629" s="32">
        <v>49155</v>
      </c>
      <c r="D1629" s="32" t="s">
        <v>87</v>
      </c>
      <c r="E1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0" spans="1:6" x14ac:dyDescent="0.35">
      <c r="A1630" s="3">
        <v>61124179180</v>
      </c>
      <c r="B1630" s="3">
        <v>121</v>
      </c>
      <c r="C1630" s="32">
        <v>49155</v>
      </c>
      <c r="D1630" s="32" t="s">
        <v>87</v>
      </c>
      <c r="E1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1" spans="1:6" x14ac:dyDescent="0.35">
      <c r="A1631" s="3">
        <v>16866542600</v>
      </c>
      <c r="B1631" s="3">
        <v>127</v>
      </c>
      <c r="C1631" s="32">
        <v>49155</v>
      </c>
      <c r="D1631" s="32" t="s">
        <v>87</v>
      </c>
      <c r="E1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2" spans="1:6" x14ac:dyDescent="0.35">
      <c r="A1632" s="3">
        <v>56508422179</v>
      </c>
      <c r="B1632" s="3">
        <v>144</v>
      </c>
      <c r="C1632" s="32">
        <v>49155</v>
      </c>
      <c r="D1632" s="32">
        <v>49248</v>
      </c>
      <c r="E1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33" spans="1:6" x14ac:dyDescent="0.35">
      <c r="A1633" s="3">
        <v>12358386817</v>
      </c>
      <c r="B1633" s="3">
        <v>146</v>
      </c>
      <c r="C1633" s="32">
        <v>49155</v>
      </c>
      <c r="D1633" s="32"/>
      <c r="E1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4" spans="1:6" x14ac:dyDescent="0.35">
      <c r="A1634" s="3">
        <v>96303426211</v>
      </c>
      <c r="B1634" s="3">
        <v>149</v>
      </c>
      <c r="C1634" s="32">
        <v>49155</v>
      </c>
      <c r="D1634" s="32">
        <v>49229</v>
      </c>
      <c r="E1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35" spans="1:6" x14ac:dyDescent="0.35">
      <c r="A1635" s="3">
        <v>59531967148</v>
      </c>
      <c r="B1635" s="3">
        <v>151</v>
      </c>
      <c r="C1635" s="32">
        <v>49155</v>
      </c>
      <c r="D1635" s="32">
        <v>49158</v>
      </c>
      <c r="E1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36" spans="1:6" x14ac:dyDescent="0.35">
      <c r="A1636" s="3">
        <v>34106657166</v>
      </c>
      <c r="B1636" s="3">
        <v>159</v>
      </c>
      <c r="C1636" s="32">
        <v>49155</v>
      </c>
      <c r="D1636" s="32" t="s">
        <v>87</v>
      </c>
      <c r="E1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7" spans="1:6" x14ac:dyDescent="0.35">
      <c r="A1637" s="3">
        <v>88474919767</v>
      </c>
      <c r="B1637" s="3">
        <v>173</v>
      </c>
      <c r="C1637" s="32">
        <v>49155</v>
      </c>
      <c r="D1637" s="32">
        <v>49249</v>
      </c>
      <c r="E1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38" spans="1:6" x14ac:dyDescent="0.35">
      <c r="A1638" s="3">
        <v>76717973116</v>
      </c>
      <c r="B1638" s="3">
        <v>184</v>
      </c>
      <c r="C1638" s="32">
        <v>49155</v>
      </c>
      <c r="D1638" s="32">
        <v>49157</v>
      </c>
      <c r="E1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39" spans="1:6" x14ac:dyDescent="0.35">
      <c r="A1639" s="3">
        <v>12141451894</v>
      </c>
      <c r="B1639" s="3">
        <v>186</v>
      </c>
      <c r="C1639" s="32">
        <v>49155</v>
      </c>
      <c r="D1639" s="32">
        <v>49185</v>
      </c>
      <c r="E1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40" spans="1:6" x14ac:dyDescent="0.35">
      <c r="A1640" s="3">
        <v>28091160060</v>
      </c>
      <c r="B1640" s="3">
        <v>207</v>
      </c>
      <c r="C1640" s="32">
        <v>49155</v>
      </c>
      <c r="D1640" s="32" t="s">
        <v>87</v>
      </c>
      <c r="E1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1" spans="1:6" x14ac:dyDescent="0.35">
      <c r="A1641" s="3">
        <v>38210578453</v>
      </c>
      <c r="B1641" s="3">
        <v>208</v>
      </c>
      <c r="C1641" s="32">
        <v>49155</v>
      </c>
      <c r="D1641" s="32" t="s">
        <v>87</v>
      </c>
      <c r="E1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2" spans="1:6" x14ac:dyDescent="0.35">
      <c r="A1642" s="3">
        <v>97920451787</v>
      </c>
      <c r="B1642" s="3">
        <v>225</v>
      </c>
      <c r="C1642" s="32">
        <v>49155</v>
      </c>
      <c r="D1642" s="32">
        <v>49251</v>
      </c>
      <c r="E1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43" spans="1:6" x14ac:dyDescent="0.35">
      <c r="A1643" s="3">
        <v>81156179282</v>
      </c>
      <c r="B1643" s="3">
        <v>239</v>
      </c>
      <c r="C1643" s="32">
        <v>49155</v>
      </c>
      <c r="D1643" s="32" t="s">
        <v>87</v>
      </c>
      <c r="E1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4" spans="1:6" x14ac:dyDescent="0.35">
      <c r="A1644" s="3">
        <v>19056804870</v>
      </c>
      <c r="B1644" s="3">
        <v>239</v>
      </c>
      <c r="C1644" s="32">
        <v>49155</v>
      </c>
      <c r="D1644" s="32" t="s">
        <v>87</v>
      </c>
      <c r="E1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5" spans="1:6" x14ac:dyDescent="0.35">
      <c r="A1645" s="3">
        <v>31091243591</v>
      </c>
      <c r="B1645" s="3">
        <v>255</v>
      </c>
      <c r="C1645" s="32">
        <v>49155</v>
      </c>
      <c r="D1645" s="32" t="s">
        <v>87</v>
      </c>
      <c r="E1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6" spans="1:6" x14ac:dyDescent="0.35">
      <c r="A1646" s="3">
        <v>69256075199</v>
      </c>
      <c r="B1646" s="3">
        <v>270</v>
      </c>
      <c r="C1646" s="32">
        <v>49155</v>
      </c>
      <c r="D1646" s="32">
        <v>49271</v>
      </c>
      <c r="E1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47" spans="1:6" x14ac:dyDescent="0.35">
      <c r="A1647" s="3">
        <v>66727925965</v>
      </c>
      <c r="B1647" s="3">
        <v>286</v>
      </c>
      <c r="C1647" s="32">
        <v>49155</v>
      </c>
      <c r="D1647" s="32" t="s">
        <v>87</v>
      </c>
      <c r="E1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8" spans="1:6" x14ac:dyDescent="0.35">
      <c r="A1648" s="3">
        <v>66218745929</v>
      </c>
      <c r="B1648" s="3">
        <v>298</v>
      </c>
      <c r="C1648" s="32">
        <v>49155</v>
      </c>
      <c r="D1648" s="32" t="s">
        <v>87</v>
      </c>
      <c r="E1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9" spans="1:6" x14ac:dyDescent="0.35">
      <c r="A1649" s="3">
        <v>64463957419</v>
      </c>
      <c r="B1649" s="3">
        <v>301</v>
      </c>
      <c r="C1649" s="32">
        <v>49155</v>
      </c>
      <c r="D1649" s="32"/>
      <c r="E1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0" spans="1:6" x14ac:dyDescent="0.35">
      <c r="A1650" s="3">
        <v>52367310654</v>
      </c>
      <c r="B1650" s="3">
        <v>302</v>
      </c>
      <c r="C1650" s="32">
        <v>49155</v>
      </c>
      <c r="D1650" s="32" t="s">
        <v>87</v>
      </c>
      <c r="E1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1" spans="1:6" x14ac:dyDescent="0.35">
      <c r="A1651" s="3">
        <v>93296187700</v>
      </c>
      <c r="B1651" s="3">
        <v>317</v>
      </c>
      <c r="C1651" s="32">
        <v>49155</v>
      </c>
      <c r="D1651" s="32">
        <v>49172</v>
      </c>
      <c r="E1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52" spans="1:6" x14ac:dyDescent="0.35">
      <c r="A1652" s="3">
        <v>65496378824</v>
      </c>
      <c r="B1652" s="3">
        <v>322</v>
      </c>
      <c r="C1652" s="32">
        <v>49155</v>
      </c>
      <c r="D1652" s="32" t="s">
        <v>87</v>
      </c>
      <c r="E1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3" spans="1:6" x14ac:dyDescent="0.35">
      <c r="A1653" s="3">
        <v>38476929211</v>
      </c>
      <c r="B1653" s="3">
        <v>328</v>
      </c>
      <c r="C1653" s="32">
        <v>49155</v>
      </c>
      <c r="D1653" s="32" t="s">
        <v>87</v>
      </c>
      <c r="E1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4" spans="1:6" x14ac:dyDescent="0.35">
      <c r="A1654" s="3">
        <v>74662333996</v>
      </c>
      <c r="B1654" s="3">
        <v>334</v>
      </c>
      <c r="C1654" s="32">
        <v>49155</v>
      </c>
      <c r="D1654" s="32" t="s">
        <v>87</v>
      </c>
      <c r="E1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5" spans="1:6" x14ac:dyDescent="0.35">
      <c r="A1655" s="3">
        <v>21738621719</v>
      </c>
      <c r="B1655" s="3">
        <v>57</v>
      </c>
      <c r="C1655" s="32">
        <v>49156</v>
      </c>
      <c r="D1655" s="32" t="s">
        <v>87</v>
      </c>
      <c r="E1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6" spans="1:6" x14ac:dyDescent="0.35">
      <c r="A1656" s="3">
        <v>87673567845</v>
      </c>
      <c r="B1656" s="3">
        <v>57</v>
      </c>
      <c r="C1656" s="32">
        <v>49156</v>
      </c>
      <c r="D1656" s="32"/>
      <c r="E1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7" spans="1:6" x14ac:dyDescent="0.35">
      <c r="A1657" s="3">
        <v>13884787596</v>
      </c>
      <c r="B1657" s="3">
        <v>59</v>
      </c>
      <c r="C1657" s="32">
        <v>49156</v>
      </c>
      <c r="D1657" s="32"/>
      <c r="E1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8" spans="1:6" x14ac:dyDescent="0.35">
      <c r="A1658" s="3">
        <v>90900836845</v>
      </c>
      <c r="B1658" s="3">
        <v>84</v>
      </c>
      <c r="C1658" s="32">
        <v>49156</v>
      </c>
      <c r="D1658" s="32" t="s">
        <v>87</v>
      </c>
      <c r="E1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9" spans="1:6" x14ac:dyDescent="0.35">
      <c r="A1659" s="3">
        <v>29588699548</v>
      </c>
      <c r="B1659" s="3">
        <v>86</v>
      </c>
      <c r="C1659" s="32">
        <v>49156</v>
      </c>
      <c r="D1659" s="32">
        <v>49185</v>
      </c>
      <c r="E1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60" spans="1:6" x14ac:dyDescent="0.35">
      <c r="A1660" s="3">
        <v>38913046091</v>
      </c>
      <c r="B1660" s="3">
        <v>89</v>
      </c>
      <c r="C1660" s="32">
        <v>49156</v>
      </c>
      <c r="D1660" s="32" t="s">
        <v>87</v>
      </c>
      <c r="E1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1" spans="1:6" x14ac:dyDescent="0.35">
      <c r="A1661" s="3">
        <v>44307932403</v>
      </c>
      <c r="B1661" s="3">
        <v>116</v>
      </c>
      <c r="C1661" s="32">
        <v>49156</v>
      </c>
      <c r="D1661" s="32" t="s">
        <v>87</v>
      </c>
      <c r="E1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2" spans="1:6" x14ac:dyDescent="0.35">
      <c r="A1662" s="3">
        <v>55080891550</v>
      </c>
      <c r="B1662" s="3">
        <v>121</v>
      </c>
      <c r="C1662" s="32">
        <v>49156</v>
      </c>
      <c r="D1662" s="32"/>
      <c r="E1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3" spans="1:6" x14ac:dyDescent="0.35">
      <c r="A1663" s="3">
        <v>80314378521</v>
      </c>
      <c r="B1663" s="3">
        <v>140</v>
      </c>
      <c r="C1663" s="32">
        <v>49156</v>
      </c>
      <c r="D1663" s="32" t="s">
        <v>87</v>
      </c>
      <c r="E1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4" spans="1:6" x14ac:dyDescent="0.35">
      <c r="A1664" s="3">
        <v>58369926643</v>
      </c>
      <c r="B1664" s="3">
        <v>141</v>
      </c>
      <c r="C1664" s="32">
        <v>49156</v>
      </c>
      <c r="D1664" s="32" t="s">
        <v>87</v>
      </c>
      <c r="E1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5" spans="1:6" x14ac:dyDescent="0.35">
      <c r="A1665" s="3">
        <v>77760270552</v>
      </c>
      <c r="B1665" s="3">
        <v>178</v>
      </c>
      <c r="C1665" s="32">
        <v>49156</v>
      </c>
      <c r="D1665" s="32" t="s">
        <v>87</v>
      </c>
      <c r="E1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6" spans="1:6" x14ac:dyDescent="0.35">
      <c r="A1666" s="3">
        <v>48958589886</v>
      </c>
      <c r="B1666" s="3">
        <v>185</v>
      </c>
      <c r="C1666" s="32">
        <v>49156</v>
      </c>
      <c r="D1666" s="32" t="s">
        <v>87</v>
      </c>
      <c r="E1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7" spans="1:6" x14ac:dyDescent="0.35">
      <c r="A1667" s="3">
        <v>55765092648</v>
      </c>
      <c r="B1667" s="3">
        <v>187</v>
      </c>
      <c r="C1667" s="32">
        <v>49156</v>
      </c>
      <c r="D1667" s="32" t="s">
        <v>87</v>
      </c>
      <c r="E1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8" spans="1:6" x14ac:dyDescent="0.35">
      <c r="A1668" s="3">
        <v>60495428572</v>
      </c>
      <c r="B1668" s="3">
        <v>225</v>
      </c>
      <c r="C1668" s="32">
        <v>49156</v>
      </c>
      <c r="D1668" s="32" t="s">
        <v>87</v>
      </c>
      <c r="E1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9" spans="1:6" x14ac:dyDescent="0.35">
      <c r="A1669" s="3">
        <v>36276835926</v>
      </c>
      <c r="B1669" s="3">
        <v>247</v>
      </c>
      <c r="C1669" s="32">
        <v>49156</v>
      </c>
      <c r="D1669" s="32" t="s">
        <v>87</v>
      </c>
      <c r="E1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0" spans="1:6" x14ac:dyDescent="0.35">
      <c r="A1670" s="3">
        <v>11429735254</v>
      </c>
      <c r="B1670" s="3">
        <v>269</v>
      </c>
      <c r="C1670" s="32">
        <v>49156</v>
      </c>
      <c r="D1670" s="32"/>
      <c r="E1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1" spans="1:6" x14ac:dyDescent="0.35">
      <c r="A1671" s="3">
        <v>71538551671</v>
      </c>
      <c r="B1671" s="3">
        <v>314</v>
      </c>
      <c r="C1671" s="32">
        <v>49156</v>
      </c>
      <c r="D1671" s="32" t="s">
        <v>87</v>
      </c>
      <c r="E1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2" spans="1:6" x14ac:dyDescent="0.35">
      <c r="A1672" s="3">
        <v>11235423687</v>
      </c>
      <c r="B1672" s="3">
        <v>319</v>
      </c>
      <c r="C1672" s="32">
        <v>49156</v>
      </c>
      <c r="D1672" s="32">
        <v>49236</v>
      </c>
      <c r="E1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73" spans="1:6" x14ac:dyDescent="0.35">
      <c r="A1673" s="3">
        <v>92361561981</v>
      </c>
      <c r="B1673" s="3">
        <v>13</v>
      </c>
      <c r="C1673" s="32">
        <v>49157</v>
      </c>
      <c r="D1673" s="32" t="s">
        <v>87</v>
      </c>
      <c r="E1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4" spans="1:6" x14ac:dyDescent="0.35">
      <c r="A1674" s="3">
        <v>59816584428</v>
      </c>
      <c r="B1674" s="3">
        <v>13</v>
      </c>
      <c r="C1674" s="32">
        <v>49157</v>
      </c>
      <c r="D1674" s="32" t="s">
        <v>87</v>
      </c>
      <c r="E1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5" spans="1:6" x14ac:dyDescent="0.35">
      <c r="A1675" s="3">
        <v>91843653151</v>
      </c>
      <c r="B1675" s="3">
        <v>14</v>
      </c>
      <c r="C1675" s="32">
        <v>49157</v>
      </c>
      <c r="D1675" s="32">
        <v>49203</v>
      </c>
      <c r="E1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76" spans="1:6" x14ac:dyDescent="0.35">
      <c r="A1676" s="3">
        <v>84528103773</v>
      </c>
      <c r="B1676" s="3">
        <v>21</v>
      </c>
      <c r="C1676" s="32">
        <v>49157</v>
      </c>
      <c r="D1676" s="32" t="s">
        <v>87</v>
      </c>
      <c r="E1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7" spans="1:6" x14ac:dyDescent="0.35">
      <c r="A1677" s="3">
        <v>68158996217</v>
      </c>
      <c r="B1677" s="3">
        <v>22</v>
      </c>
      <c r="C1677" s="32">
        <v>49157</v>
      </c>
      <c r="D1677" s="32" t="s">
        <v>87</v>
      </c>
      <c r="E1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8" spans="1:6" x14ac:dyDescent="0.35">
      <c r="A1678" s="3">
        <v>43478194132</v>
      </c>
      <c r="B1678" s="3">
        <v>46</v>
      </c>
      <c r="C1678" s="32">
        <v>49157</v>
      </c>
      <c r="D1678" s="32" t="s">
        <v>87</v>
      </c>
      <c r="E1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9" spans="1:6" x14ac:dyDescent="0.35">
      <c r="A1679" s="3">
        <v>26431203700</v>
      </c>
      <c r="B1679" s="3">
        <v>81</v>
      </c>
      <c r="C1679" s="32">
        <v>49157</v>
      </c>
      <c r="D1679" s="32" t="s">
        <v>87</v>
      </c>
      <c r="E1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0" spans="1:6" x14ac:dyDescent="0.35">
      <c r="A1680" s="3">
        <v>45778448155</v>
      </c>
      <c r="B1680" s="3">
        <v>97</v>
      </c>
      <c r="C1680" s="32">
        <v>49157</v>
      </c>
      <c r="D1680" s="32" t="s">
        <v>87</v>
      </c>
      <c r="E1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1" spans="1:6" x14ac:dyDescent="0.35">
      <c r="A1681" s="3">
        <v>90153575083</v>
      </c>
      <c r="B1681" s="3">
        <v>113</v>
      </c>
      <c r="C1681" s="32">
        <v>49157</v>
      </c>
      <c r="D1681" s="32" t="s">
        <v>87</v>
      </c>
      <c r="E1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2" spans="1:6" x14ac:dyDescent="0.35">
      <c r="A1682" s="3">
        <v>49113905900</v>
      </c>
      <c r="B1682" s="3">
        <v>127</v>
      </c>
      <c r="C1682" s="32">
        <v>49157</v>
      </c>
      <c r="D1682" s="32">
        <v>49235</v>
      </c>
      <c r="E1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83" spans="1:6" x14ac:dyDescent="0.35">
      <c r="A1683" s="3">
        <v>76151003408</v>
      </c>
      <c r="B1683" s="3">
        <v>138</v>
      </c>
      <c r="C1683" s="32">
        <v>49157</v>
      </c>
      <c r="D1683" s="32" t="s">
        <v>87</v>
      </c>
      <c r="E1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4" spans="1:6" x14ac:dyDescent="0.35">
      <c r="A1684" s="3">
        <v>33793212157</v>
      </c>
      <c r="B1684" s="3">
        <v>155</v>
      </c>
      <c r="C1684" s="32">
        <v>49157</v>
      </c>
      <c r="D1684" s="32" t="s">
        <v>87</v>
      </c>
      <c r="E1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5" spans="1:6" x14ac:dyDescent="0.35">
      <c r="A1685" s="3">
        <v>35147123943</v>
      </c>
      <c r="B1685" s="3">
        <v>157</v>
      </c>
      <c r="C1685" s="32">
        <v>49157</v>
      </c>
      <c r="D1685" s="32" t="s">
        <v>87</v>
      </c>
      <c r="E1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6" spans="1:6" x14ac:dyDescent="0.35">
      <c r="A1686" s="3">
        <v>99079995200</v>
      </c>
      <c r="B1686" s="3">
        <v>166</v>
      </c>
      <c r="C1686" s="32">
        <v>49157</v>
      </c>
      <c r="D1686" s="32" t="s">
        <v>87</v>
      </c>
      <c r="E1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7" spans="1:6" x14ac:dyDescent="0.35">
      <c r="A1687" s="3">
        <v>27760122881</v>
      </c>
      <c r="B1687" s="3">
        <v>173</v>
      </c>
      <c r="C1687" s="32">
        <v>49157</v>
      </c>
      <c r="D1687" s="32" t="s">
        <v>87</v>
      </c>
      <c r="E1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8" spans="1:6" x14ac:dyDescent="0.35">
      <c r="A1688" s="3">
        <v>42409794017</v>
      </c>
      <c r="B1688" s="3">
        <v>190</v>
      </c>
      <c r="C1688" s="32">
        <v>49157</v>
      </c>
      <c r="D1688" s="32"/>
      <c r="E1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9" spans="1:6" x14ac:dyDescent="0.35">
      <c r="A1689" s="3">
        <v>84675849237</v>
      </c>
      <c r="B1689" s="3">
        <v>199</v>
      </c>
      <c r="C1689" s="32">
        <v>49157</v>
      </c>
      <c r="D1689" s="32" t="s">
        <v>87</v>
      </c>
      <c r="E1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0" spans="1:6" x14ac:dyDescent="0.35">
      <c r="A1690" s="3">
        <v>44982428786</v>
      </c>
      <c r="B1690" s="3">
        <v>218</v>
      </c>
      <c r="C1690" s="32">
        <v>49157</v>
      </c>
      <c r="D1690" s="32" t="s">
        <v>87</v>
      </c>
      <c r="E1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1" spans="1:6" x14ac:dyDescent="0.35">
      <c r="A1691" s="3">
        <v>28797944464</v>
      </c>
      <c r="B1691" s="3">
        <v>222</v>
      </c>
      <c r="C1691" s="32">
        <v>49157</v>
      </c>
      <c r="D1691" s="32"/>
      <c r="E1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2" spans="1:6" x14ac:dyDescent="0.35">
      <c r="A1692" s="3">
        <v>93928028240</v>
      </c>
      <c r="B1692" s="3">
        <v>232</v>
      </c>
      <c r="C1692" s="32">
        <v>49157</v>
      </c>
      <c r="D1692" s="32" t="s">
        <v>87</v>
      </c>
      <c r="E1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3" spans="1:6" x14ac:dyDescent="0.35">
      <c r="A1693" s="3">
        <v>92117815769</v>
      </c>
      <c r="B1693" s="3">
        <v>249</v>
      </c>
      <c r="C1693" s="32">
        <v>49157</v>
      </c>
      <c r="D1693" s="32" t="s">
        <v>87</v>
      </c>
      <c r="E1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4" spans="1:6" x14ac:dyDescent="0.35">
      <c r="A1694" s="3">
        <v>50503541348</v>
      </c>
      <c r="B1694" s="3">
        <v>256</v>
      </c>
      <c r="C1694" s="32">
        <v>49157</v>
      </c>
      <c r="D1694" s="32" t="s">
        <v>87</v>
      </c>
      <c r="E1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5" spans="1:6" x14ac:dyDescent="0.35">
      <c r="A1695" s="3">
        <v>32723448286</v>
      </c>
      <c r="B1695" s="3">
        <v>256</v>
      </c>
      <c r="C1695" s="32">
        <v>49157</v>
      </c>
      <c r="D1695" s="32">
        <v>49159</v>
      </c>
      <c r="E1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96" spans="1:6" x14ac:dyDescent="0.35">
      <c r="A1696" s="3">
        <v>11320705218</v>
      </c>
      <c r="B1696" s="3">
        <v>257</v>
      </c>
      <c r="C1696" s="32">
        <v>49157</v>
      </c>
      <c r="D1696" s="32" t="s">
        <v>87</v>
      </c>
      <c r="E1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7" spans="1:6" x14ac:dyDescent="0.35">
      <c r="A1697" s="3">
        <v>68917008783</v>
      </c>
      <c r="B1697" s="3">
        <v>259</v>
      </c>
      <c r="C1697" s="32">
        <v>49157</v>
      </c>
      <c r="D1697" s="32" t="s">
        <v>87</v>
      </c>
      <c r="E1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8" spans="1:6" x14ac:dyDescent="0.35">
      <c r="A1698" s="3">
        <v>44825446005</v>
      </c>
      <c r="B1698" s="3">
        <v>263</v>
      </c>
      <c r="C1698" s="32">
        <v>49157</v>
      </c>
      <c r="D1698" s="32" t="s">
        <v>87</v>
      </c>
      <c r="E1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9" spans="1:6" x14ac:dyDescent="0.35">
      <c r="A1699" s="3">
        <v>40816200883</v>
      </c>
      <c r="B1699" s="3">
        <v>286</v>
      </c>
      <c r="C1699" s="32">
        <v>49157</v>
      </c>
      <c r="D1699" s="32">
        <v>49229</v>
      </c>
      <c r="E1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00" spans="1:6" x14ac:dyDescent="0.35">
      <c r="A1700" s="3">
        <v>71360708177</v>
      </c>
      <c r="B1700" s="3">
        <v>289</v>
      </c>
      <c r="C1700" s="32">
        <v>49157</v>
      </c>
      <c r="D1700" s="32"/>
      <c r="E1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1" spans="1:6" x14ac:dyDescent="0.35">
      <c r="A1701" s="3">
        <v>73707685036</v>
      </c>
      <c r="B1701" s="3">
        <v>294</v>
      </c>
      <c r="C1701" s="32">
        <v>49157</v>
      </c>
      <c r="D1701" s="32" t="s">
        <v>87</v>
      </c>
      <c r="E1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2" spans="1:6" x14ac:dyDescent="0.35">
      <c r="A1702" s="3">
        <v>38403060769</v>
      </c>
      <c r="B1702" s="3">
        <v>304</v>
      </c>
      <c r="C1702" s="32">
        <v>49157</v>
      </c>
      <c r="D1702" s="32">
        <v>49184</v>
      </c>
      <c r="E1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03" spans="1:6" x14ac:dyDescent="0.35">
      <c r="A1703" s="3">
        <v>84318595830</v>
      </c>
      <c r="B1703" s="3">
        <v>336</v>
      </c>
      <c r="C1703" s="32">
        <v>49157</v>
      </c>
      <c r="D1703" s="32" t="s">
        <v>87</v>
      </c>
      <c r="E1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4" spans="1:6" x14ac:dyDescent="0.35">
      <c r="A1704" s="3">
        <v>21554017919</v>
      </c>
      <c r="B1704" s="3">
        <v>12</v>
      </c>
      <c r="C1704" s="32">
        <v>49158</v>
      </c>
      <c r="D1704" s="32" t="s">
        <v>87</v>
      </c>
      <c r="E1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5" spans="1:6" x14ac:dyDescent="0.35">
      <c r="A1705" s="3">
        <v>58546927512</v>
      </c>
      <c r="B1705" s="3">
        <v>15</v>
      </c>
      <c r="C1705" s="32">
        <v>49158</v>
      </c>
      <c r="D1705" s="32"/>
      <c r="E1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6" spans="1:6" x14ac:dyDescent="0.35">
      <c r="A1706" s="3">
        <v>45966083166</v>
      </c>
      <c r="B1706" s="3">
        <v>33</v>
      </c>
      <c r="C1706" s="32">
        <v>49158</v>
      </c>
      <c r="D1706" s="32" t="s">
        <v>87</v>
      </c>
      <c r="E1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7" spans="1:6" x14ac:dyDescent="0.35">
      <c r="A1707" s="3">
        <v>54248234642</v>
      </c>
      <c r="B1707" s="3">
        <v>40</v>
      </c>
      <c r="C1707" s="32">
        <v>49158</v>
      </c>
      <c r="D1707" s="32">
        <v>49189</v>
      </c>
      <c r="E1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08" spans="1:6" x14ac:dyDescent="0.35">
      <c r="A1708" s="3">
        <v>43002880400</v>
      </c>
      <c r="B1708" s="3">
        <v>56</v>
      </c>
      <c r="C1708" s="32">
        <v>49158</v>
      </c>
      <c r="D1708" s="32" t="s">
        <v>87</v>
      </c>
      <c r="E1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9" spans="1:6" x14ac:dyDescent="0.35">
      <c r="A1709" s="3">
        <v>66068127427</v>
      </c>
      <c r="B1709" s="3">
        <v>126</v>
      </c>
      <c r="C1709" s="32">
        <v>49158</v>
      </c>
      <c r="D1709" s="32" t="s">
        <v>87</v>
      </c>
      <c r="E1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0" spans="1:6" x14ac:dyDescent="0.35">
      <c r="A1710" s="3">
        <v>61019924283</v>
      </c>
      <c r="B1710" s="3">
        <v>128</v>
      </c>
      <c r="C1710" s="32">
        <v>49158</v>
      </c>
      <c r="D1710" s="32"/>
      <c r="E1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1" spans="1:6" x14ac:dyDescent="0.35">
      <c r="A1711" s="3">
        <v>32480144448</v>
      </c>
      <c r="B1711" s="3">
        <v>144</v>
      </c>
      <c r="C1711" s="32">
        <v>49158</v>
      </c>
      <c r="D1711" s="32" t="s">
        <v>87</v>
      </c>
      <c r="E1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2" spans="1:6" x14ac:dyDescent="0.35">
      <c r="A1712" s="3">
        <v>54159685297</v>
      </c>
      <c r="B1712" s="3">
        <v>152</v>
      </c>
      <c r="C1712" s="32">
        <v>49158</v>
      </c>
      <c r="D1712" s="32" t="s">
        <v>87</v>
      </c>
      <c r="E1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3" spans="1:6" x14ac:dyDescent="0.35">
      <c r="A1713" s="3">
        <v>62939475692</v>
      </c>
      <c r="B1713" s="3">
        <v>160</v>
      </c>
      <c r="C1713" s="32">
        <v>49158</v>
      </c>
      <c r="D1713" s="32"/>
      <c r="E1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4" spans="1:6" x14ac:dyDescent="0.35">
      <c r="A1714" s="3">
        <v>51174044261</v>
      </c>
      <c r="B1714" s="3">
        <v>164</v>
      </c>
      <c r="C1714" s="32">
        <v>49158</v>
      </c>
      <c r="D1714" s="32">
        <v>49210</v>
      </c>
      <c r="E1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15" spans="1:6" x14ac:dyDescent="0.35">
      <c r="A1715" s="3">
        <v>79470127798</v>
      </c>
      <c r="B1715" s="3">
        <v>190</v>
      </c>
      <c r="C1715" s="32">
        <v>49158</v>
      </c>
      <c r="D1715" s="32" t="s">
        <v>87</v>
      </c>
      <c r="E1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6" spans="1:6" x14ac:dyDescent="0.35">
      <c r="A1716" s="3">
        <v>71394839565</v>
      </c>
      <c r="B1716" s="3">
        <v>206</v>
      </c>
      <c r="C1716" s="32">
        <v>49158</v>
      </c>
      <c r="D1716" s="32" t="s">
        <v>87</v>
      </c>
      <c r="E1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7" spans="1:6" x14ac:dyDescent="0.35">
      <c r="A1717" s="3">
        <v>43360995493</v>
      </c>
      <c r="B1717" s="3">
        <v>212</v>
      </c>
      <c r="C1717" s="32">
        <v>49158</v>
      </c>
      <c r="D1717" s="32">
        <v>49239</v>
      </c>
      <c r="E1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18" spans="1:6" x14ac:dyDescent="0.35">
      <c r="A1718" s="3">
        <v>43270935845</v>
      </c>
      <c r="B1718" s="3">
        <v>246</v>
      </c>
      <c r="C1718" s="32">
        <v>49158</v>
      </c>
      <c r="D1718" s="32"/>
      <c r="E1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9" spans="1:6" x14ac:dyDescent="0.35">
      <c r="A1719" s="3">
        <v>83454855229</v>
      </c>
      <c r="B1719" s="3">
        <v>271</v>
      </c>
      <c r="C1719" s="32">
        <v>49158</v>
      </c>
      <c r="D1719" s="32" t="s">
        <v>87</v>
      </c>
      <c r="E1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0" spans="1:6" x14ac:dyDescent="0.35">
      <c r="A1720" s="3">
        <v>88122814968</v>
      </c>
      <c r="B1720" s="3">
        <v>274</v>
      </c>
      <c r="C1720" s="32">
        <v>49158</v>
      </c>
      <c r="D1720" s="32" t="s">
        <v>87</v>
      </c>
      <c r="E1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1" spans="1:6" x14ac:dyDescent="0.35">
      <c r="A1721" s="3">
        <v>59054273136</v>
      </c>
      <c r="B1721" s="3">
        <v>323</v>
      </c>
      <c r="C1721" s="32">
        <v>49158</v>
      </c>
      <c r="D1721" s="32" t="s">
        <v>87</v>
      </c>
      <c r="E1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2" spans="1:6" x14ac:dyDescent="0.35">
      <c r="A1722" s="3">
        <v>56051707355</v>
      </c>
      <c r="B1722" s="3">
        <v>329</v>
      </c>
      <c r="C1722" s="32">
        <v>49158</v>
      </c>
      <c r="D1722" s="32">
        <v>49232</v>
      </c>
      <c r="E1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23" spans="1:6" x14ac:dyDescent="0.35">
      <c r="A1723" s="3">
        <v>34603176662</v>
      </c>
      <c r="B1723" s="3">
        <v>34</v>
      </c>
      <c r="C1723" s="32">
        <v>49159</v>
      </c>
      <c r="D1723" s="32" t="s">
        <v>87</v>
      </c>
      <c r="E1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4" spans="1:6" x14ac:dyDescent="0.35">
      <c r="A1724" s="3">
        <v>98637002009</v>
      </c>
      <c r="B1724" s="3">
        <v>47</v>
      </c>
      <c r="C1724" s="32">
        <v>49159</v>
      </c>
      <c r="D1724" s="32" t="s">
        <v>87</v>
      </c>
      <c r="E1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5" spans="1:6" x14ac:dyDescent="0.35">
      <c r="A1725" s="3">
        <v>78133245588</v>
      </c>
      <c r="B1725" s="3">
        <v>86</v>
      </c>
      <c r="C1725" s="32">
        <v>49159</v>
      </c>
      <c r="D1725" s="32"/>
      <c r="E1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6" spans="1:6" x14ac:dyDescent="0.35">
      <c r="A1726" s="3">
        <v>58501923477</v>
      </c>
      <c r="B1726" s="3">
        <v>144</v>
      </c>
      <c r="C1726" s="32">
        <v>49159</v>
      </c>
      <c r="D1726" s="32" t="s">
        <v>87</v>
      </c>
      <c r="E1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7" spans="1:6" x14ac:dyDescent="0.35">
      <c r="A1727" s="3">
        <v>63381973497</v>
      </c>
      <c r="B1727" s="3">
        <v>146</v>
      </c>
      <c r="C1727" s="32">
        <v>49159</v>
      </c>
      <c r="D1727" s="32" t="s">
        <v>87</v>
      </c>
      <c r="E1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8" spans="1:6" x14ac:dyDescent="0.35">
      <c r="A1728" s="3">
        <v>16919450947</v>
      </c>
      <c r="B1728" s="3">
        <v>148</v>
      </c>
      <c r="C1728" s="32">
        <v>49159</v>
      </c>
      <c r="D1728" s="32" t="s">
        <v>87</v>
      </c>
      <c r="E1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9" spans="1:6" x14ac:dyDescent="0.35">
      <c r="A1729" s="3">
        <v>94205400465</v>
      </c>
      <c r="B1729" s="3">
        <v>195</v>
      </c>
      <c r="C1729" s="32">
        <v>49159</v>
      </c>
      <c r="D1729" s="32" t="s">
        <v>87</v>
      </c>
      <c r="E1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0" spans="1:6" x14ac:dyDescent="0.35">
      <c r="A1730" s="3">
        <v>60451512602</v>
      </c>
      <c r="B1730" s="3">
        <v>205</v>
      </c>
      <c r="C1730" s="32">
        <v>49159</v>
      </c>
      <c r="D1730" s="32" t="s">
        <v>87</v>
      </c>
      <c r="E1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1" spans="1:6" x14ac:dyDescent="0.35">
      <c r="A1731" s="3">
        <v>35060471236</v>
      </c>
      <c r="B1731" s="3">
        <v>244</v>
      </c>
      <c r="C1731" s="32">
        <v>49159</v>
      </c>
      <c r="D1731" s="32">
        <v>49240</v>
      </c>
      <c r="E1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32" spans="1:6" x14ac:dyDescent="0.35">
      <c r="A1732" s="3">
        <v>29409607753</v>
      </c>
      <c r="B1732" s="3">
        <v>254</v>
      </c>
      <c r="C1732" s="32">
        <v>49159</v>
      </c>
      <c r="D1732" s="32" t="s">
        <v>87</v>
      </c>
      <c r="E1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3" spans="1:6" x14ac:dyDescent="0.35">
      <c r="A1733" s="3">
        <v>42928515875</v>
      </c>
      <c r="B1733" s="3">
        <v>276</v>
      </c>
      <c r="C1733" s="32">
        <v>49159</v>
      </c>
      <c r="D1733" s="32" t="s">
        <v>87</v>
      </c>
      <c r="E1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4" spans="1:6" x14ac:dyDescent="0.35">
      <c r="A1734" s="3">
        <v>32242793034</v>
      </c>
      <c r="B1734" s="3">
        <v>288</v>
      </c>
      <c r="C1734" s="32">
        <v>49159</v>
      </c>
      <c r="D1734" s="32" t="s">
        <v>87</v>
      </c>
      <c r="E1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5" spans="1:6" x14ac:dyDescent="0.35">
      <c r="A1735" s="3">
        <v>33033794001</v>
      </c>
      <c r="B1735" s="3">
        <v>304</v>
      </c>
      <c r="C1735" s="32">
        <v>49159</v>
      </c>
      <c r="D1735" s="32">
        <v>49230</v>
      </c>
      <c r="E1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36" spans="1:6" x14ac:dyDescent="0.35">
      <c r="A1736" s="3">
        <v>24098734101</v>
      </c>
      <c r="B1736" s="3">
        <v>316</v>
      </c>
      <c r="C1736" s="32">
        <v>49159</v>
      </c>
      <c r="D1736" s="32" t="s">
        <v>87</v>
      </c>
      <c r="E1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7" spans="1:6" x14ac:dyDescent="0.35">
      <c r="A1737" s="3">
        <v>31321233839</v>
      </c>
      <c r="B1737" s="3">
        <v>331</v>
      </c>
      <c r="C1737" s="32">
        <v>49159</v>
      </c>
      <c r="D1737" s="32" t="s">
        <v>87</v>
      </c>
      <c r="E1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8" spans="1:6" x14ac:dyDescent="0.35">
      <c r="A1738" s="3">
        <v>78739435644</v>
      </c>
      <c r="B1738" s="3">
        <v>333</v>
      </c>
      <c r="C1738" s="32">
        <v>49159</v>
      </c>
      <c r="D1738" s="32" t="s">
        <v>87</v>
      </c>
      <c r="E1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9" spans="1:6" x14ac:dyDescent="0.35">
      <c r="A1739" s="3">
        <v>36489193175</v>
      </c>
      <c r="B1739" s="3">
        <v>33</v>
      </c>
      <c r="C1739" s="32">
        <v>49160</v>
      </c>
      <c r="D1739" s="32" t="s">
        <v>87</v>
      </c>
      <c r="E1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0" spans="1:6" x14ac:dyDescent="0.35">
      <c r="A1740" s="3">
        <v>83120095945</v>
      </c>
      <c r="B1740" s="3">
        <v>47</v>
      </c>
      <c r="C1740" s="32">
        <v>49160</v>
      </c>
      <c r="D1740" s="32" t="s">
        <v>87</v>
      </c>
      <c r="E1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1" spans="1:6" x14ac:dyDescent="0.35">
      <c r="A1741" s="3">
        <v>97612597558</v>
      </c>
      <c r="B1741" s="3">
        <v>62</v>
      </c>
      <c r="C1741" s="32">
        <v>49160</v>
      </c>
      <c r="D1741" s="32" t="s">
        <v>87</v>
      </c>
      <c r="E1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2" spans="1:6" x14ac:dyDescent="0.35">
      <c r="A1742" s="3">
        <v>96165690155</v>
      </c>
      <c r="B1742" s="3">
        <v>107</v>
      </c>
      <c r="C1742" s="32">
        <v>49160</v>
      </c>
      <c r="D1742" s="32" t="s">
        <v>87</v>
      </c>
      <c r="E1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3" spans="1:6" x14ac:dyDescent="0.35">
      <c r="A1743" s="3">
        <v>70055981916</v>
      </c>
      <c r="B1743" s="3">
        <v>131</v>
      </c>
      <c r="C1743" s="32">
        <v>49160</v>
      </c>
      <c r="D1743" s="32" t="s">
        <v>87</v>
      </c>
      <c r="E1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4" spans="1:6" x14ac:dyDescent="0.35">
      <c r="A1744" s="3">
        <v>80288337566</v>
      </c>
      <c r="B1744" s="3">
        <v>152</v>
      </c>
      <c r="C1744" s="32">
        <v>49160</v>
      </c>
      <c r="D1744" s="32">
        <v>49264</v>
      </c>
      <c r="E1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745" spans="1:6" x14ac:dyDescent="0.35">
      <c r="A1745" s="3">
        <v>29932728051</v>
      </c>
      <c r="B1745" s="3">
        <v>158</v>
      </c>
      <c r="C1745" s="32">
        <v>49160</v>
      </c>
      <c r="D1745" s="32" t="s">
        <v>87</v>
      </c>
      <c r="E1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6" spans="1:6" x14ac:dyDescent="0.35">
      <c r="A1746" s="3">
        <v>70622756239</v>
      </c>
      <c r="B1746" s="3">
        <v>202</v>
      </c>
      <c r="C1746" s="32">
        <v>49160</v>
      </c>
      <c r="D1746" s="32" t="s">
        <v>87</v>
      </c>
      <c r="E1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7" spans="1:6" x14ac:dyDescent="0.35">
      <c r="A1747" s="3">
        <v>77185146588</v>
      </c>
      <c r="B1747" s="3">
        <v>207</v>
      </c>
      <c r="C1747" s="32">
        <v>49160</v>
      </c>
      <c r="D1747" s="32" t="s">
        <v>87</v>
      </c>
      <c r="E1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8" spans="1:6" x14ac:dyDescent="0.35">
      <c r="A1748" s="3">
        <v>65707000952</v>
      </c>
      <c r="B1748" s="3">
        <v>208</v>
      </c>
      <c r="C1748" s="32">
        <v>49160</v>
      </c>
      <c r="D1748" s="32"/>
      <c r="E1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9" spans="1:6" x14ac:dyDescent="0.35">
      <c r="A1749" s="3">
        <v>94075834088</v>
      </c>
      <c r="B1749" s="3">
        <v>230</v>
      </c>
      <c r="C1749" s="32">
        <v>49160</v>
      </c>
      <c r="D1749" s="32" t="s">
        <v>87</v>
      </c>
      <c r="E1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0" spans="1:6" x14ac:dyDescent="0.35">
      <c r="A1750" s="3">
        <v>81292396193</v>
      </c>
      <c r="B1750" s="3">
        <v>240</v>
      </c>
      <c r="C1750" s="32">
        <v>49160</v>
      </c>
      <c r="D1750" s="32" t="s">
        <v>87</v>
      </c>
      <c r="E1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1" spans="1:6" x14ac:dyDescent="0.35">
      <c r="A1751" s="3">
        <v>89850406464</v>
      </c>
      <c r="B1751" s="3">
        <v>242</v>
      </c>
      <c r="C1751" s="32">
        <v>49160</v>
      </c>
      <c r="D1751" s="32">
        <v>49280</v>
      </c>
      <c r="E1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752" spans="1:6" x14ac:dyDescent="0.35">
      <c r="A1752" s="3">
        <v>90626995973</v>
      </c>
      <c r="B1752" s="3">
        <v>316</v>
      </c>
      <c r="C1752" s="32">
        <v>49160</v>
      </c>
      <c r="D1752" s="32" t="s">
        <v>87</v>
      </c>
      <c r="E1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3" spans="1:6" x14ac:dyDescent="0.35">
      <c r="A1753" s="3">
        <v>60219641224</v>
      </c>
      <c r="B1753" s="3">
        <v>14</v>
      </c>
      <c r="C1753" s="32">
        <v>49161</v>
      </c>
      <c r="D1753" s="32">
        <v>49214</v>
      </c>
      <c r="E1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54" spans="1:6" x14ac:dyDescent="0.35">
      <c r="A1754" s="3">
        <v>37001072094</v>
      </c>
      <c r="B1754" s="3">
        <v>17</v>
      </c>
      <c r="C1754" s="32">
        <v>49161</v>
      </c>
      <c r="D1754" s="32" t="s">
        <v>87</v>
      </c>
      <c r="E1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5" spans="1:6" x14ac:dyDescent="0.35">
      <c r="A1755" s="3">
        <v>54005198397</v>
      </c>
      <c r="B1755" s="3">
        <v>38</v>
      </c>
      <c r="C1755" s="32">
        <v>49161</v>
      </c>
      <c r="D1755" s="32" t="s">
        <v>87</v>
      </c>
      <c r="E1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6" spans="1:6" x14ac:dyDescent="0.35">
      <c r="A1756" s="3">
        <v>51068080788</v>
      </c>
      <c r="B1756" s="3">
        <v>41</v>
      </c>
      <c r="C1756" s="32">
        <v>49161</v>
      </c>
      <c r="D1756" s="32" t="s">
        <v>87</v>
      </c>
      <c r="E1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7" spans="1:6" x14ac:dyDescent="0.35">
      <c r="A1757" s="3">
        <v>50610107072</v>
      </c>
      <c r="B1757" s="3">
        <v>58</v>
      </c>
      <c r="C1757" s="32">
        <v>49161</v>
      </c>
      <c r="D1757" s="32" t="s">
        <v>87</v>
      </c>
      <c r="E1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8" spans="1:6" x14ac:dyDescent="0.35">
      <c r="A1758" s="3">
        <v>42886351727</v>
      </c>
      <c r="B1758" s="3">
        <v>64</v>
      </c>
      <c r="C1758" s="32">
        <v>49161</v>
      </c>
      <c r="D1758" s="32" t="s">
        <v>87</v>
      </c>
      <c r="E1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9" spans="1:6" x14ac:dyDescent="0.35">
      <c r="A1759" s="3">
        <v>16933277417</v>
      </c>
      <c r="B1759" s="3">
        <v>64</v>
      </c>
      <c r="C1759" s="32">
        <v>49161</v>
      </c>
      <c r="D1759" s="32" t="s">
        <v>87</v>
      </c>
      <c r="E1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0" spans="1:6" x14ac:dyDescent="0.35">
      <c r="A1760" s="3">
        <v>20789536931</v>
      </c>
      <c r="B1760" s="3">
        <v>69</v>
      </c>
      <c r="C1760" s="32">
        <v>49161</v>
      </c>
      <c r="D1760" s="32">
        <v>49162</v>
      </c>
      <c r="E1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61" spans="1:6" x14ac:dyDescent="0.35">
      <c r="A1761" s="3">
        <v>76599422903</v>
      </c>
      <c r="B1761" s="3">
        <v>84</v>
      </c>
      <c r="C1761" s="32">
        <v>49161</v>
      </c>
      <c r="D1761" s="32" t="s">
        <v>87</v>
      </c>
      <c r="E1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2" spans="1:6" x14ac:dyDescent="0.35">
      <c r="A1762" s="3">
        <v>87413795240</v>
      </c>
      <c r="B1762" s="3">
        <v>118</v>
      </c>
      <c r="C1762" s="32">
        <v>49161</v>
      </c>
      <c r="D1762" s="32" t="s">
        <v>87</v>
      </c>
      <c r="E1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3" spans="1:6" x14ac:dyDescent="0.35">
      <c r="A1763" s="3">
        <v>20270821641</v>
      </c>
      <c r="B1763" s="3">
        <v>149</v>
      </c>
      <c r="C1763" s="32">
        <v>49161</v>
      </c>
      <c r="D1763" s="32">
        <v>49198</v>
      </c>
      <c r="E1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64" spans="1:6" x14ac:dyDescent="0.35">
      <c r="A1764" s="3">
        <v>76743173510</v>
      </c>
      <c r="B1764" s="3">
        <v>165</v>
      </c>
      <c r="C1764" s="32">
        <v>49161</v>
      </c>
      <c r="D1764" s="32" t="s">
        <v>87</v>
      </c>
      <c r="E1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5" spans="1:6" x14ac:dyDescent="0.35">
      <c r="A1765" s="3">
        <v>84296347950</v>
      </c>
      <c r="B1765" s="3">
        <v>190</v>
      </c>
      <c r="C1765" s="32">
        <v>49161</v>
      </c>
      <c r="D1765" s="32" t="s">
        <v>87</v>
      </c>
      <c r="E1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6" spans="1:6" x14ac:dyDescent="0.35">
      <c r="A1766" s="3">
        <v>94491093736</v>
      </c>
      <c r="B1766" s="3">
        <v>200</v>
      </c>
      <c r="C1766" s="32">
        <v>49161</v>
      </c>
      <c r="D1766" s="32" t="s">
        <v>87</v>
      </c>
      <c r="E1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7" spans="1:6" x14ac:dyDescent="0.35">
      <c r="A1767" s="3">
        <v>56799038383</v>
      </c>
      <c r="B1767" s="3">
        <v>200</v>
      </c>
      <c r="C1767" s="32">
        <v>49161</v>
      </c>
      <c r="D1767" s="32" t="s">
        <v>87</v>
      </c>
      <c r="E1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8" spans="1:6" x14ac:dyDescent="0.35">
      <c r="A1768" s="3">
        <v>39230156270</v>
      </c>
      <c r="B1768" s="3">
        <v>201</v>
      </c>
      <c r="C1768" s="32">
        <v>49161</v>
      </c>
      <c r="D1768" s="32" t="s">
        <v>87</v>
      </c>
      <c r="E1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9" spans="1:6" x14ac:dyDescent="0.35">
      <c r="A1769" s="3">
        <v>43020745504</v>
      </c>
      <c r="B1769" s="3">
        <v>205</v>
      </c>
      <c r="C1769" s="32">
        <v>49161</v>
      </c>
      <c r="D1769" s="32" t="s">
        <v>87</v>
      </c>
      <c r="E1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0" spans="1:6" x14ac:dyDescent="0.35">
      <c r="A1770" s="3">
        <v>96172892477</v>
      </c>
      <c r="B1770" s="3">
        <v>214</v>
      </c>
      <c r="C1770" s="32">
        <v>49161</v>
      </c>
      <c r="D1770" s="32" t="s">
        <v>87</v>
      </c>
      <c r="E1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1" spans="1:6" x14ac:dyDescent="0.35">
      <c r="A1771" s="3">
        <v>43048616534</v>
      </c>
      <c r="B1771" s="3">
        <v>220</v>
      </c>
      <c r="C1771" s="32">
        <v>49161</v>
      </c>
      <c r="D1771" s="32" t="s">
        <v>87</v>
      </c>
      <c r="E1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2" spans="1:6" x14ac:dyDescent="0.35">
      <c r="A1772" s="3">
        <v>43214180428</v>
      </c>
      <c r="B1772" s="3">
        <v>233</v>
      </c>
      <c r="C1772" s="32">
        <v>49161</v>
      </c>
      <c r="D1772" s="32" t="s">
        <v>87</v>
      </c>
      <c r="E1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3" spans="1:6" x14ac:dyDescent="0.35">
      <c r="A1773" s="3">
        <v>31106429386</v>
      </c>
      <c r="B1773" s="3">
        <v>234</v>
      </c>
      <c r="C1773" s="32">
        <v>49161</v>
      </c>
      <c r="D1773" s="32" t="s">
        <v>87</v>
      </c>
      <c r="E1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4" spans="1:6" x14ac:dyDescent="0.35">
      <c r="A1774" s="3">
        <v>55534977201</v>
      </c>
      <c r="B1774" s="3">
        <v>238</v>
      </c>
      <c r="C1774" s="32">
        <v>49161</v>
      </c>
      <c r="D1774" s="32" t="s">
        <v>87</v>
      </c>
      <c r="E1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5" spans="1:6" x14ac:dyDescent="0.35">
      <c r="A1775" s="3">
        <v>19761634123</v>
      </c>
      <c r="B1775" s="3">
        <v>251</v>
      </c>
      <c r="C1775" s="32">
        <v>49161</v>
      </c>
      <c r="D1775" s="32" t="s">
        <v>87</v>
      </c>
      <c r="E1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6" spans="1:6" x14ac:dyDescent="0.35">
      <c r="A1776" s="3">
        <v>70803680998</v>
      </c>
      <c r="B1776" s="3">
        <v>276</v>
      </c>
      <c r="C1776" s="32">
        <v>49161</v>
      </c>
      <c r="D1776" s="32">
        <v>49252</v>
      </c>
      <c r="E1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777" spans="1:6" x14ac:dyDescent="0.35">
      <c r="A1777" s="3">
        <v>54486107158</v>
      </c>
      <c r="B1777" s="3">
        <v>294</v>
      </c>
      <c r="C1777" s="32">
        <v>49161</v>
      </c>
      <c r="D1777" s="32"/>
      <c r="E1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8" spans="1:6" x14ac:dyDescent="0.35">
      <c r="A1778" s="3">
        <v>85505686006</v>
      </c>
      <c r="B1778" s="3">
        <v>311</v>
      </c>
      <c r="C1778" s="32">
        <v>49161</v>
      </c>
      <c r="D1778" s="32" t="s">
        <v>87</v>
      </c>
      <c r="E1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9" spans="1:6" x14ac:dyDescent="0.35">
      <c r="A1779" s="3">
        <v>30541245196</v>
      </c>
      <c r="B1779" s="3">
        <v>338</v>
      </c>
      <c r="C1779" s="32">
        <v>49161</v>
      </c>
      <c r="D1779" s="32">
        <v>49222</v>
      </c>
      <c r="E1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80" spans="1:6" x14ac:dyDescent="0.35">
      <c r="A1780" s="3">
        <v>90404149800</v>
      </c>
      <c r="B1780" s="3">
        <v>8</v>
      </c>
      <c r="C1780" s="32">
        <v>49162</v>
      </c>
      <c r="D1780" s="32" t="s">
        <v>87</v>
      </c>
      <c r="E1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1" spans="1:6" x14ac:dyDescent="0.35">
      <c r="A1781" s="3">
        <v>52207982576</v>
      </c>
      <c r="B1781" s="3">
        <v>16</v>
      </c>
      <c r="C1781" s="32">
        <v>49162</v>
      </c>
      <c r="D1781" s="32" t="s">
        <v>87</v>
      </c>
      <c r="E1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2" spans="1:6" x14ac:dyDescent="0.35">
      <c r="A1782" s="3">
        <v>84423535063</v>
      </c>
      <c r="B1782" s="3">
        <v>19</v>
      </c>
      <c r="C1782" s="32">
        <v>49162</v>
      </c>
      <c r="D1782" s="32" t="s">
        <v>87</v>
      </c>
      <c r="E1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3" spans="1:6" x14ac:dyDescent="0.35">
      <c r="A1783" s="3">
        <v>48324100936</v>
      </c>
      <c r="B1783" s="3">
        <v>23</v>
      </c>
      <c r="C1783" s="32">
        <v>49162</v>
      </c>
      <c r="D1783" s="32" t="s">
        <v>87</v>
      </c>
      <c r="E1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4" spans="1:6" x14ac:dyDescent="0.35">
      <c r="A1784" s="3">
        <v>99727638662</v>
      </c>
      <c r="B1784" s="3">
        <v>36</v>
      </c>
      <c r="C1784" s="32">
        <v>49162</v>
      </c>
      <c r="D1784" s="32"/>
      <c r="E1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5" spans="1:6" x14ac:dyDescent="0.35">
      <c r="A1785" s="3">
        <v>57186355912</v>
      </c>
      <c r="B1785" s="3">
        <v>46</v>
      </c>
      <c r="C1785" s="32">
        <v>49162</v>
      </c>
      <c r="D1785" s="32" t="s">
        <v>87</v>
      </c>
      <c r="E1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6" spans="1:6" x14ac:dyDescent="0.35">
      <c r="A1786" s="3">
        <v>29317621936</v>
      </c>
      <c r="B1786" s="3">
        <v>47</v>
      </c>
      <c r="C1786" s="32">
        <v>49162</v>
      </c>
      <c r="D1786" s="32" t="s">
        <v>87</v>
      </c>
      <c r="E1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7" spans="1:6" x14ac:dyDescent="0.35">
      <c r="A1787" s="3">
        <v>34534163795</v>
      </c>
      <c r="B1787" s="3">
        <v>105</v>
      </c>
      <c r="C1787" s="32">
        <v>49162</v>
      </c>
      <c r="D1787" s="32">
        <v>49220</v>
      </c>
      <c r="E1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88" spans="1:6" x14ac:dyDescent="0.35">
      <c r="A1788" s="3">
        <v>39197055728</v>
      </c>
      <c r="B1788" s="3">
        <v>111</v>
      </c>
      <c r="C1788" s="32">
        <v>49162</v>
      </c>
      <c r="D1788" s="32"/>
      <c r="E1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9" spans="1:6" x14ac:dyDescent="0.35">
      <c r="A1789" s="3">
        <v>62509010423</v>
      </c>
      <c r="B1789" s="3">
        <v>115</v>
      </c>
      <c r="C1789" s="32">
        <v>49162</v>
      </c>
      <c r="D1789" s="32" t="s">
        <v>87</v>
      </c>
      <c r="E1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0" spans="1:6" x14ac:dyDescent="0.35">
      <c r="A1790" s="3">
        <v>50648553298</v>
      </c>
      <c r="B1790" s="3">
        <v>123</v>
      </c>
      <c r="C1790" s="32">
        <v>49162</v>
      </c>
      <c r="D1790" s="32" t="s">
        <v>87</v>
      </c>
      <c r="E1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1" spans="1:6" x14ac:dyDescent="0.35">
      <c r="A1791" s="3">
        <v>98628367034</v>
      </c>
      <c r="B1791" s="3">
        <v>135</v>
      </c>
      <c r="C1791" s="32">
        <v>49162</v>
      </c>
      <c r="D1791" s="32" t="s">
        <v>87</v>
      </c>
      <c r="E1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2" spans="1:6" x14ac:dyDescent="0.35">
      <c r="A1792" s="3">
        <v>82963969778</v>
      </c>
      <c r="B1792" s="3">
        <v>151</v>
      </c>
      <c r="C1792" s="32">
        <v>49162</v>
      </c>
      <c r="D1792" s="32"/>
      <c r="E1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3" spans="1:6" x14ac:dyDescent="0.35">
      <c r="A1793" s="3">
        <v>48799942531</v>
      </c>
      <c r="B1793" s="3">
        <v>178</v>
      </c>
      <c r="C1793" s="32">
        <v>49162</v>
      </c>
      <c r="D1793" s="32" t="s">
        <v>87</v>
      </c>
      <c r="E1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4" spans="1:6" x14ac:dyDescent="0.35">
      <c r="A1794" s="3">
        <v>80684049499</v>
      </c>
      <c r="B1794" s="3">
        <v>185</v>
      </c>
      <c r="C1794" s="32">
        <v>49162</v>
      </c>
      <c r="D1794" s="32" t="s">
        <v>87</v>
      </c>
      <c r="E1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5" spans="1:6" x14ac:dyDescent="0.35">
      <c r="A1795" s="3">
        <v>44333130078</v>
      </c>
      <c r="B1795" s="3">
        <v>213</v>
      </c>
      <c r="C1795" s="32">
        <v>49162</v>
      </c>
      <c r="D1795" s="32" t="s">
        <v>87</v>
      </c>
      <c r="E1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6" spans="1:6" x14ac:dyDescent="0.35">
      <c r="A1796" s="3">
        <v>23961115690</v>
      </c>
      <c r="B1796" s="3">
        <v>230</v>
      </c>
      <c r="C1796" s="32">
        <v>49162</v>
      </c>
      <c r="D1796" s="32" t="s">
        <v>87</v>
      </c>
      <c r="E1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7" spans="1:6" x14ac:dyDescent="0.35">
      <c r="A1797" s="3">
        <v>76907593219</v>
      </c>
      <c r="B1797" s="3">
        <v>242</v>
      </c>
      <c r="C1797" s="32">
        <v>49162</v>
      </c>
      <c r="D1797" s="32" t="s">
        <v>87</v>
      </c>
      <c r="E1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8" spans="1:6" x14ac:dyDescent="0.35">
      <c r="A1798" s="3">
        <v>67608245481</v>
      </c>
      <c r="B1798" s="3">
        <v>253</v>
      </c>
      <c r="C1798" s="32">
        <v>49162</v>
      </c>
      <c r="D1798" s="32">
        <v>49194</v>
      </c>
      <c r="E1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99" spans="1:6" x14ac:dyDescent="0.35">
      <c r="A1799" s="3">
        <v>70360784043</v>
      </c>
      <c r="B1799" s="3">
        <v>259</v>
      </c>
      <c r="C1799" s="32">
        <v>49162</v>
      </c>
      <c r="D1799" s="32" t="s">
        <v>87</v>
      </c>
      <c r="E1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0" spans="1:6" x14ac:dyDescent="0.35">
      <c r="A1800" s="3">
        <v>23599653324</v>
      </c>
      <c r="B1800" s="3">
        <v>282</v>
      </c>
      <c r="C1800" s="32">
        <v>49162</v>
      </c>
      <c r="D1800" s="32">
        <v>49180</v>
      </c>
      <c r="E1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1" spans="1:6" x14ac:dyDescent="0.35">
      <c r="A1801" s="3">
        <v>24116123261</v>
      </c>
      <c r="B1801" s="3">
        <v>289</v>
      </c>
      <c r="C1801" s="32">
        <v>49162</v>
      </c>
      <c r="D1801" s="32" t="s">
        <v>87</v>
      </c>
      <c r="E1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2" spans="1:6" x14ac:dyDescent="0.35">
      <c r="A1802" s="3">
        <v>61008671853</v>
      </c>
      <c r="B1802" s="3">
        <v>316</v>
      </c>
      <c r="C1802" s="32">
        <v>49162</v>
      </c>
      <c r="D1802" s="32" t="s">
        <v>87</v>
      </c>
      <c r="E1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3" spans="1:6" x14ac:dyDescent="0.35">
      <c r="A1803" s="3">
        <v>47180208242</v>
      </c>
      <c r="B1803" s="3">
        <v>325</v>
      </c>
      <c r="C1803" s="32">
        <v>49162</v>
      </c>
      <c r="D1803" s="32" t="s">
        <v>87</v>
      </c>
      <c r="E1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4" spans="1:6" x14ac:dyDescent="0.35">
      <c r="A1804" s="3">
        <v>89115803525</v>
      </c>
      <c r="B1804" s="3">
        <v>22</v>
      </c>
      <c r="C1804" s="32">
        <v>49163</v>
      </c>
      <c r="D1804" s="32">
        <v>49181</v>
      </c>
      <c r="E1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5" spans="1:6" x14ac:dyDescent="0.35">
      <c r="A1805" s="3">
        <v>60413949604</v>
      </c>
      <c r="B1805" s="3">
        <v>50</v>
      </c>
      <c r="C1805" s="32">
        <v>49163</v>
      </c>
      <c r="D1805" s="32">
        <v>49178</v>
      </c>
      <c r="E1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6" spans="1:6" x14ac:dyDescent="0.35">
      <c r="A1806" s="3">
        <v>76095825632</v>
      </c>
      <c r="B1806" s="3">
        <v>56</v>
      </c>
      <c r="C1806" s="32">
        <v>49163</v>
      </c>
      <c r="D1806" s="32"/>
      <c r="E1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7" spans="1:6" x14ac:dyDescent="0.35">
      <c r="A1807" s="3">
        <v>90885946417</v>
      </c>
      <c r="B1807" s="3">
        <v>93</v>
      </c>
      <c r="C1807" s="32">
        <v>49163</v>
      </c>
      <c r="D1807" s="32" t="s">
        <v>87</v>
      </c>
      <c r="E1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8" spans="1:6" x14ac:dyDescent="0.35">
      <c r="A1808" s="3">
        <v>13073504413</v>
      </c>
      <c r="B1808" s="3">
        <v>95</v>
      </c>
      <c r="C1808" s="32">
        <v>49163</v>
      </c>
      <c r="D1808" s="32" t="s">
        <v>87</v>
      </c>
      <c r="E1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9" spans="1:6" x14ac:dyDescent="0.35">
      <c r="A1809" s="3">
        <v>85565411013</v>
      </c>
      <c r="B1809" s="3">
        <v>105</v>
      </c>
      <c r="C1809" s="32">
        <v>49163</v>
      </c>
      <c r="D1809" s="32" t="s">
        <v>87</v>
      </c>
      <c r="E1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0" spans="1:6" x14ac:dyDescent="0.35">
      <c r="A1810" s="3">
        <v>26870047993</v>
      </c>
      <c r="B1810" s="3">
        <v>114</v>
      </c>
      <c r="C1810" s="32">
        <v>49163</v>
      </c>
      <c r="D1810" s="32" t="s">
        <v>87</v>
      </c>
      <c r="E1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1" spans="1:6" x14ac:dyDescent="0.35">
      <c r="A1811" s="3">
        <v>77038818208</v>
      </c>
      <c r="B1811" s="3">
        <v>120</v>
      </c>
      <c r="C1811" s="32">
        <v>49163</v>
      </c>
      <c r="D1811" s="32"/>
      <c r="E1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2" spans="1:6" x14ac:dyDescent="0.35">
      <c r="A1812" s="3">
        <v>38625186922</v>
      </c>
      <c r="B1812" s="3">
        <v>128</v>
      </c>
      <c r="C1812" s="32">
        <v>49163</v>
      </c>
      <c r="D1812" s="32" t="s">
        <v>87</v>
      </c>
      <c r="E1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3" spans="1:6" x14ac:dyDescent="0.35">
      <c r="A1813" s="3">
        <v>86330646325</v>
      </c>
      <c r="B1813" s="3">
        <v>141</v>
      </c>
      <c r="C1813" s="32">
        <v>49163</v>
      </c>
      <c r="D1813" s="32" t="s">
        <v>87</v>
      </c>
      <c r="E1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4" spans="1:6" x14ac:dyDescent="0.35">
      <c r="A1814" s="3">
        <v>37913741268</v>
      </c>
      <c r="B1814" s="3">
        <v>144</v>
      </c>
      <c r="C1814" s="32">
        <v>49163</v>
      </c>
      <c r="D1814" s="32">
        <v>49263</v>
      </c>
      <c r="E1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15" spans="1:6" x14ac:dyDescent="0.35">
      <c r="A1815" s="3">
        <v>50039265775</v>
      </c>
      <c r="B1815" s="3">
        <v>153</v>
      </c>
      <c r="C1815" s="32">
        <v>49163</v>
      </c>
      <c r="D1815" s="32" t="s">
        <v>87</v>
      </c>
      <c r="E1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6" spans="1:6" x14ac:dyDescent="0.35">
      <c r="A1816" s="3">
        <v>51735025683</v>
      </c>
      <c r="B1816" s="3">
        <v>170</v>
      </c>
      <c r="C1816" s="32">
        <v>49163</v>
      </c>
      <c r="D1816" s="32" t="s">
        <v>87</v>
      </c>
      <c r="E1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7" spans="1:6" x14ac:dyDescent="0.35">
      <c r="A1817" s="3">
        <v>16108636223</v>
      </c>
      <c r="B1817" s="3">
        <v>181</v>
      </c>
      <c r="C1817" s="32">
        <v>49163</v>
      </c>
      <c r="D1817" s="32" t="s">
        <v>87</v>
      </c>
      <c r="E1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8" spans="1:6" x14ac:dyDescent="0.35">
      <c r="A1818" s="3">
        <v>26996583633</v>
      </c>
      <c r="B1818" s="3">
        <v>186</v>
      </c>
      <c r="C1818" s="32">
        <v>49163</v>
      </c>
      <c r="D1818" s="32" t="s">
        <v>87</v>
      </c>
      <c r="E1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9" spans="1:6" x14ac:dyDescent="0.35">
      <c r="A1819" s="3">
        <v>51394234580</v>
      </c>
      <c r="B1819" s="3">
        <v>187</v>
      </c>
      <c r="C1819" s="32">
        <v>49163</v>
      </c>
      <c r="D1819" s="32"/>
      <c r="E1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0" spans="1:6" x14ac:dyDescent="0.35">
      <c r="A1820" s="3">
        <v>36250900182</v>
      </c>
      <c r="B1820" s="3">
        <v>195</v>
      </c>
      <c r="C1820" s="32">
        <v>49163</v>
      </c>
      <c r="D1820" s="32">
        <v>49279</v>
      </c>
      <c r="E1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21" spans="1:6" x14ac:dyDescent="0.35">
      <c r="A1821" s="3">
        <v>57956876074</v>
      </c>
      <c r="B1821" s="3">
        <v>199</v>
      </c>
      <c r="C1821" s="32">
        <v>49163</v>
      </c>
      <c r="D1821" s="32" t="s">
        <v>87</v>
      </c>
      <c r="E1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2" spans="1:6" x14ac:dyDescent="0.35">
      <c r="A1822" s="3">
        <v>18308693109</v>
      </c>
      <c r="B1822" s="3">
        <v>202</v>
      </c>
      <c r="C1822" s="32">
        <v>49163</v>
      </c>
      <c r="D1822" s="32">
        <v>49198</v>
      </c>
      <c r="E1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23" spans="1:6" x14ac:dyDescent="0.35">
      <c r="A1823" s="3">
        <v>85023887032</v>
      </c>
      <c r="B1823" s="3">
        <v>221</v>
      </c>
      <c r="C1823" s="32">
        <v>49163</v>
      </c>
      <c r="D1823" s="32">
        <v>49182</v>
      </c>
      <c r="E1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24" spans="1:6" x14ac:dyDescent="0.35">
      <c r="A1824" s="3">
        <v>97555683046</v>
      </c>
      <c r="B1824" s="3">
        <v>231</v>
      </c>
      <c r="C1824" s="32">
        <v>49163</v>
      </c>
      <c r="D1824" s="32" t="s">
        <v>87</v>
      </c>
      <c r="E1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5" spans="1:6" x14ac:dyDescent="0.35">
      <c r="A1825" s="3">
        <v>86270542963</v>
      </c>
      <c r="B1825" s="3">
        <v>237</v>
      </c>
      <c r="C1825" s="32">
        <v>49163</v>
      </c>
      <c r="D1825" s="32">
        <v>49264</v>
      </c>
      <c r="E1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26" spans="1:6" x14ac:dyDescent="0.35">
      <c r="A1826" s="3">
        <v>57603412835</v>
      </c>
      <c r="B1826" s="3">
        <v>257</v>
      </c>
      <c r="C1826" s="32">
        <v>49163</v>
      </c>
      <c r="D1826" s="32">
        <v>49282</v>
      </c>
      <c r="E1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27" spans="1:6" x14ac:dyDescent="0.35">
      <c r="A1827" s="3">
        <v>96620365402</v>
      </c>
      <c r="B1827" s="3">
        <v>264</v>
      </c>
      <c r="C1827" s="32">
        <v>49163</v>
      </c>
      <c r="D1827" s="32" t="s">
        <v>87</v>
      </c>
      <c r="E1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8" spans="1:6" x14ac:dyDescent="0.35">
      <c r="A1828" s="3">
        <v>67455767152</v>
      </c>
      <c r="B1828" s="3">
        <v>302</v>
      </c>
      <c r="C1828" s="32">
        <v>49163</v>
      </c>
      <c r="D1828" s="32" t="s">
        <v>87</v>
      </c>
      <c r="E1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9" spans="1:6" x14ac:dyDescent="0.35">
      <c r="A1829" s="3">
        <v>84465125000</v>
      </c>
      <c r="B1829" s="3">
        <v>328</v>
      </c>
      <c r="C1829" s="32">
        <v>49163</v>
      </c>
      <c r="D1829" s="32" t="s">
        <v>87</v>
      </c>
      <c r="E1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0" spans="1:6" x14ac:dyDescent="0.35">
      <c r="A1830" s="3">
        <v>51251401076</v>
      </c>
      <c r="B1830" s="3">
        <v>333</v>
      </c>
      <c r="C1830" s="32">
        <v>49163</v>
      </c>
      <c r="D1830" s="32">
        <v>49253</v>
      </c>
      <c r="E1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31" spans="1:6" x14ac:dyDescent="0.35">
      <c r="A1831" s="3">
        <v>78307455223</v>
      </c>
      <c r="B1831" s="3">
        <v>336</v>
      </c>
      <c r="C1831" s="32">
        <v>49163</v>
      </c>
      <c r="D1831" s="32">
        <v>49177</v>
      </c>
      <c r="E1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32" spans="1:6" x14ac:dyDescent="0.35">
      <c r="A1832" s="3">
        <v>82861831167</v>
      </c>
      <c r="B1832" s="3">
        <v>14</v>
      </c>
      <c r="C1832" s="32">
        <v>49164</v>
      </c>
      <c r="D1832" s="32" t="s">
        <v>87</v>
      </c>
      <c r="E1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3" spans="1:6" x14ac:dyDescent="0.35">
      <c r="A1833" s="3">
        <v>97301292379</v>
      </c>
      <c r="B1833" s="3">
        <v>50</v>
      </c>
      <c r="C1833" s="32">
        <v>49164</v>
      </c>
      <c r="D1833" s="32" t="s">
        <v>87</v>
      </c>
      <c r="E1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4" spans="1:6" x14ac:dyDescent="0.35">
      <c r="A1834" s="3">
        <v>46248368895</v>
      </c>
      <c r="B1834" s="3">
        <v>52</v>
      </c>
      <c r="C1834" s="32">
        <v>49164</v>
      </c>
      <c r="D1834" s="32">
        <v>49210</v>
      </c>
      <c r="E1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35" spans="1:6" x14ac:dyDescent="0.35">
      <c r="A1835" s="3">
        <v>45385133720</v>
      </c>
      <c r="B1835" s="3">
        <v>58</v>
      </c>
      <c r="C1835" s="32">
        <v>49164</v>
      </c>
      <c r="D1835" s="32" t="s">
        <v>87</v>
      </c>
      <c r="E1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6" spans="1:6" x14ac:dyDescent="0.35">
      <c r="A1836" s="3">
        <v>81286443151</v>
      </c>
      <c r="B1836" s="3">
        <v>61</v>
      </c>
      <c r="C1836" s="32">
        <v>49164</v>
      </c>
      <c r="D1836" s="32" t="s">
        <v>87</v>
      </c>
      <c r="E1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7" spans="1:6" x14ac:dyDescent="0.35">
      <c r="A1837" s="3">
        <v>40659697771</v>
      </c>
      <c r="B1837" s="3">
        <v>69</v>
      </c>
      <c r="C1837" s="32">
        <v>49164</v>
      </c>
      <c r="D1837" s="32" t="s">
        <v>87</v>
      </c>
      <c r="E1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8" spans="1:6" x14ac:dyDescent="0.35">
      <c r="A1838" s="3">
        <v>66786844509</v>
      </c>
      <c r="B1838" s="3">
        <v>99</v>
      </c>
      <c r="C1838" s="32">
        <v>49164</v>
      </c>
      <c r="D1838" s="32" t="s">
        <v>87</v>
      </c>
      <c r="E1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9" spans="1:6" x14ac:dyDescent="0.35">
      <c r="A1839" s="3">
        <v>78075079287</v>
      </c>
      <c r="B1839" s="3">
        <v>119</v>
      </c>
      <c r="C1839" s="32">
        <v>49164</v>
      </c>
      <c r="D1839" s="32" t="s">
        <v>87</v>
      </c>
      <c r="E1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0" spans="1:6" x14ac:dyDescent="0.35">
      <c r="A1840" s="3">
        <v>54956216360</v>
      </c>
      <c r="B1840" s="3">
        <v>130</v>
      </c>
      <c r="C1840" s="32">
        <v>49164</v>
      </c>
      <c r="D1840" s="32" t="s">
        <v>87</v>
      </c>
      <c r="E1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1" spans="1:6" x14ac:dyDescent="0.35">
      <c r="A1841" s="3">
        <v>64512139354</v>
      </c>
      <c r="B1841" s="3">
        <v>153</v>
      </c>
      <c r="C1841" s="32">
        <v>49164</v>
      </c>
      <c r="D1841" s="32" t="s">
        <v>87</v>
      </c>
      <c r="E1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2" spans="1:6" x14ac:dyDescent="0.35">
      <c r="A1842" s="3">
        <v>84920261442</v>
      </c>
      <c r="B1842" s="3">
        <v>162</v>
      </c>
      <c r="C1842" s="32">
        <v>49164</v>
      </c>
      <c r="D1842" s="32" t="s">
        <v>87</v>
      </c>
      <c r="E1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3" spans="1:6" x14ac:dyDescent="0.35">
      <c r="A1843" s="3">
        <v>27892077619</v>
      </c>
      <c r="B1843" s="3">
        <v>183</v>
      </c>
      <c r="C1843" s="32">
        <v>49164</v>
      </c>
      <c r="D1843" s="32" t="s">
        <v>87</v>
      </c>
      <c r="E1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4" spans="1:6" x14ac:dyDescent="0.35">
      <c r="A1844" s="3">
        <v>76052873897</v>
      </c>
      <c r="B1844" s="3">
        <v>204</v>
      </c>
      <c r="C1844" s="32">
        <v>49164</v>
      </c>
      <c r="D1844" s="32" t="s">
        <v>87</v>
      </c>
      <c r="E1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5" spans="1:6" x14ac:dyDescent="0.35">
      <c r="A1845" s="3">
        <v>54020666885</v>
      </c>
      <c r="B1845" s="3">
        <v>215</v>
      </c>
      <c r="C1845" s="32">
        <v>49164</v>
      </c>
      <c r="D1845" s="32" t="s">
        <v>87</v>
      </c>
      <c r="E1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6" spans="1:6" x14ac:dyDescent="0.35">
      <c r="A1846" s="3">
        <v>73706695482</v>
      </c>
      <c r="B1846" s="3">
        <v>234</v>
      </c>
      <c r="C1846" s="32">
        <v>49164</v>
      </c>
      <c r="D1846" s="32" t="s">
        <v>87</v>
      </c>
      <c r="E1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7" spans="1:6" x14ac:dyDescent="0.35">
      <c r="A1847" s="3">
        <v>28039493894</v>
      </c>
      <c r="B1847" s="3">
        <v>246</v>
      </c>
      <c r="C1847" s="32">
        <v>49164</v>
      </c>
      <c r="D1847" s="32" t="s">
        <v>87</v>
      </c>
      <c r="E1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8" spans="1:6" x14ac:dyDescent="0.35">
      <c r="A1848" s="3">
        <v>75748390520</v>
      </c>
      <c r="B1848" s="3">
        <v>284</v>
      </c>
      <c r="C1848" s="32">
        <v>49164</v>
      </c>
      <c r="D1848" s="32" t="s">
        <v>87</v>
      </c>
      <c r="E1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9" spans="1:6" x14ac:dyDescent="0.35">
      <c r="A1849" s="3">
        <v>48089539884</v>
      </c>
      <c r="B1849" s="3">
        <v>288</v>
      </c>
      <c r="C1849" s="32">
        <v>49164</v>
      </c>
      <c r="D1849" s="32" t="s">
        <v>87</v>
      </c>
      <c r="E1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0" spans="1:6" x14ac:dyDescent="0.35">
      <c r="A1850" s="3">
        <v>90781011815</v>
      </c>
      <c r="B1850" s="3">
        <v>290</v>
      </c>
      <c r="C1850" s="32">
        <v>49164</v>
      </c>
      <c r="D1850" s="32">
        <v>49282</v>
      </c>
      <c r="E1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51" spans="1:6" x14ac:dyDescent="0.35">
      <c r="A1851" s="3">
        <v>29817575147</v>
      </c>
      <c r="B1851" s="3">
        <v>301</v>
      </c>
      <c r="C1851" s="32">
        <v>49164</v>
      </c>
      <c r="D1851" s="32">
        <v>49215</v>
      </c>
      <c r="E1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52" spans="1:6" x14ac:dyDescent="0.35">
      <c r="A1852" s="3">
        <v>41811159939</v>
      </c>
      <c r="B1852" s="3">
        <v>334</v>
      </c>
      <c r="C1852" s="32">
        <v>49164</v>
      </c>
      <c r="D1852" s="32">
        <v>49231</v>
      </c>
      <c r="E1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53" spans="1:6" x14ac:dyDescent="0.35">
      <c r="A1853" s="3">
        <v>98441537737</v>
      </c>
      <c r="B1853" s="3">
        <v>0</v>
      </c>
      <c r="C1853" s="32">
        <v>49165</v>
      </c>
      <c r="D1853" s="32"/>
      <c r="E1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4" spans="1:6" x14ac:dyDescent="0.35">
      <c r="A1854" s="3">
        <v>23027282574</v>
      </c>
      <c r="B1854" s="3">
        <v>7</v>
      </c>
      <c r="C1854" s="32">
        <v>49165</v>
      </c>
      <c r="D1854" s="32" t="s">
        <v>87</v>
      </c>
      <c r="E1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5" spans="1:6" x14ac:dyDescent="0.35">
      <c r="A1855" s="3">
        <v>37404099326</v>
      </c>
      <c r="B1855" s="3">
        <v>8</v>
      </c>
      <c r="C1855" s="32">
        <v>49165</v>
      </c>
      <c r="D1855" s="32" t="s">
        <v>87</v>
      </c>
      <c r="E1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6" spans="1:6" x14ac:dyDescent="0.35">
      <c r="A1856" s="3">
        <v>71911565159</v>
      </c>
      <c r="B1856" s="3">
        <v>23</v>
      </c>
      <c r="C1856" s="32">
        <v>49165</v>
      </c>
      <c r="D1856" s="32" t="s">
        <v>87</v>
      </c>
      <c r="E1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7" spans="1:6" x14ac:dyDescent="0.35">
      <c r="A1857" s="3">
        <v>74859663699</v>
      </c>
      <c r="B1857" s="3">
        <v>25</v>
      </c>
      <c r="C1857" s="32">
        <v>49165</v>
      </c>
      <c r="D1857" s="32" t="s">
        <v>87</v>
      </c>
      <c r="E1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8" spans="1:6" x14ac:dyDescent="0.35">
      <c r="A1858" s="3">
        <v>39060375941</v>
      </c>
      <c r="B1858" s="3">
        <v>34</v>
      </c>
      <c r="C1858" s="32">
        <v>49165</v>
      </c>
      <c r="D1858" s="32">
        <v>49216</v>
      </c>
      <c r="E1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59" spans="1:6" x14ac:dyDescent="0.35">
      <c r="A1859" s="3">
        <v>51105193231</v>
      </c>
      <c r="B1859" s="3">
        <v>44</v>
      </c>
      <c r="C1859" s="32">
        <v>49165</v>
      </c>
      <c r="D1859" s="32" t="s">
        <v>87</v>
      </c>
      <c r="E1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0" spans="1:6" x14ac:dyDescent="0.35">
      <c r="A1860" s="3">
        <v>40953896264</v>
      </c>
      <c r="B1860" s="3">
        <v>58</v>
      </c>
      <c r="C1860" s="32">
        <v>49165</v>
      </c>
      <c r="D1860" s="32">
        <v>49165</v>
      </c>
      <c r="E1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61" spans="1:6" x14ac:dyDescent="0.35">
      <c r="A1861" s="3">
        <v>36012420993</v>
      </c>
      <c r="B1861" s="3">
        <v>68</v>
      </c>
      <c r="C1861" s="32">
        <v>49165</v>
      </c>
      <c r="D1861" s="32">
        <v>49214</v>
      </c>
      <c r="E1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62" spans="1:6" x14ac:dyDescent="0.35">
      <c r="A1862" s="3">
        <v>93912746655</v>
      </c>
      <c r="B1862" s="3">
        <v>81</v>
      </c>
      <c r="C1862" s="32">
        <v>49165</v>
      </c>
      <c r="D1862" s="32" t="s">
        <v>87</v>
      </c>
      <c r="E1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3" spans="1:6" x14ac:dyDescent="0.35">
      <c r="A1863" s="3">
        <v>57491985142</v>
      </c>
      <c r="B1863" s="3">
        <v>91</v>
      </c>
      <c r="C1863" s="32">
        <v>49165</v>
      </c>
      <c r="D1863" s="32"/>
      <c r="E1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4" spans="1:6" x14ac:dyDescent="0.35">
      <c r="A1864" s="3">
        <v>58132139349</v>
      </c>
      <c r="B1864" s="3">
        <v>125</v>
      </c>
      <c r="C1864" s="32">
        <v>49165</v>
      </c>
      <c r="D1864" s="32" t="s">
        <v>87</v>
      </c>
      <c r="E1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5" spans="1:6" x14ac:dyDescent="0.35">
      <c r="A1865" s="3">
        <v>23603877313</v>
      </c>
      <c r="B1865" s="3">
        <v>131</v>
      </c>
      <c r="C1865" s="32">
        <v>49165</v>
      </c>
      <c r="D1865" s="32" t="s">
        <v>87</v>
      </c>
      <c r="E1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6" spans="1:6" x14ac:dyDescent="0.35">
      <c r="A1866" s="3">
        <v>63153207502</v>
      </c>
      <c r="B1866" s="3">
        <v>142</v>
      </c>
      <c r="C1866" s="32">
        <v>49165</v>
      </c>
      <c r="D1866" s="32" t="s">
        <v>87</v>
      </c>
      <c r="E1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7" spans="1:6" x14ac:dyDescent="0.35">
      <c r="A1867" s="3">
        <v>72953101313</v>
      </c>
      <c r="B1867" s="3">
        <v>142</v>
      </c>
      <c r="C1867" s="32">
        <v>49165</v>
      </c>
      <c r="D1867" s="32" t="s">
        <v>87</v>
      </c>
      <c r="E1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8" spans="1:6" x14ac:dyDescent="0.35">
      <c r="A1868" s="3">
        <v>21334835986</v>
      </c>
      <c r="B1868" s="3">
        <v>150</v>
      </c>
      <c r="C1868" s="32">
        <v>49165</v>
      </c>
      <c r="D1868" s="32"/>
      <c r="E1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9" spans="1:6" x14ac:dyDescent="0.35">
      <c r="A1869" s="3">
        <v>32834281650</v>
      </c>
      <c r="B1869" s="3">
        <v>192</v>
      </c>
      <c r="C1869" s="32">
        <v>49165</v>
      </c>
      <c r="D1869" s="32">
        <v>49194</v>
      </c>
      <c r="E1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70" spans="1:6" x14ac:dyDescent="0.35">
      <c r="A1870" s="3">
        <v>83000014181</v>
      </c>
      <c r="B1870" s="3">
        <v>215</v>
      </c>
      <c r="C1870" s="32">
        <v>49165</v>
      </c>
      <c r="D1870" s="32" t="s">
        <v>87</v>
      </c>
      <c r="E1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1" spans="1:6" x14ac:dyDescent="0.35">
      <c r="A1871" s="3">
        <v>40938186566</v>
      </c>
      <c r="B1871" s="3">
        <v>238</v>
      </c>
      <c r="C1871" s="32">
        <v>49165</v>
      </c>
      <c r="D1871" s="32" t="s">
        <v>87</v>
      </c>
      <c r="E1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2" spans="1:6" x14ac:dyDescent="0.35">
      <c r="A1872" s="3">
        <v>13687287800</v>
      </c>
      <c r="B1872" s="3">
        <v>256</v>
      </c>
      <c r="C1872" s="32">
        <v>49165</v>
      </c>
      <c r="D1872" s="32" t="s">
        <v>87</v>
      </c>
      <c r="E1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3" spans="1:6" x14ac:dyDescent="0.35">
      <c r="A1873" s="3">
        <v>73819021208</v>
      </c>
      <c r="B1873" s="3">
        <v>258</v>
      </c>
      <c r="C1873" s="32">
        <v>49165</v>
      </c>
      <c r="D1873" s="32">
        <v>49227</v>
      </c>
      <c r="E1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74" spans="1:6" x14ac:dyDescent="0.35">
      <c r="A1874" s="3">
        <v>71412338624</v>
      </c>
      <c r="B1874" s="3">
        <v>273</v>
      </c>
      <c r="C1874" s="32">
        <v>49165</v>
      </c>
      <c r="D1874" s="32" t="s">
        <v>87</v>
      </c>
      <c r="E1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5" spans="1:6" x14ac:dyDescent="0.35">
      <c r="A1875" s="3">
        <v>65761119202</v>
      </c>
      <c r="B1875" s="3">
        <v>290</v>
      </c>
      <c r="C1875" s="32">
        <v>49165</v>
      </c>
      <c r="D1875" s="32"/>
      <c r="E1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6" spans="1:6" x14ac:dyDescent="0.35">
      <c r="A1876" s="3">
        <v>20154667294</v>
      </c>
      <c r="B1876" s="3">
        <v>310</v>
      </c>
      <c r="C1876" s="32">
        <v>49165</v>
      </c>
      <c r="D1876" s="32" t="s">
        <v>87</v>
      </c>
      <c r="E1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7" spans="1:6" x14ac:dyDescent="0.35">
      <c r="A1877" s="3">
        <v>78570424588</v>
      </c>
      <c r="B1877" s="3">
        <v>318</v>
      </c>
      <c r="C1877" s="32">
        <v>49165</v>
      </c>
      <c r="D1877" s="32" t="s">
        <v>87</v>
      </c>
      <c r="E1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8" spans="1:6" x14ac:dyDescent="0.35">
      <c r="A1878" s="3">
        <v>81297046938</v>
      </c>
      <c r="B1878" s="3">
        <v>8</v>
      </c>
      <c r="C1878" s="32">
        <v>49166</v>
      </c>
      <c r="D1878" s="32">
        <v>49198</v>
      </c>
      <c r="E1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79" spans="1:6" x14ac:dyDescent="0.35">
      <c r="A1879" s="3">
        <v>95211021932</v>
      </c>
      <c r="B1879" s="3">
        <v>19</v>
      </c>
      <c r="C1879" s="32">
        <v>49166</v>
      </c>
      <c r="D1879" s="32" t="s">
        <v>87</v>
      </c>
      <c r="E1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0" spans="1:6" x14ac:dyDescent="0.35">
      <c r="A1880" s="3">
        <v>76820078128</v>
      </c>
      <c r="B1880" s="3">
        <v>30</v>
      </c>
      <c r="C1880" s="32">
        <v>49166</v>
      </c>
      <c r="D1880" s="32" t="s">
        <v>87</v>
      </c>
      <c r="E1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1" spans="1:6" x14ac:dyDescent="0.35">
      <c r="A1881" s="3">
        <v>33258653697</v>
      </c>
      <c r="B1881" s="3">
        <v>54</v>
      </c>
      <c r="C1881" s="32">
        <v>49166</v>
      </c>
      <c r="D1881" s="32">
        <v>49282</v>
      </c>
      <c r="E1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82" spans="1:6" x14ac:dyDescent="0.35">
      <c r="A1882" s="3">
        <v>33000829293</v>
      </c>
      <c r="B1882" s="3">
        <v>55</v>
      </c>
      <c r="C1882" s="32">
        <v>49166</v>
      </c>
      <c r="D1882" s="32" t="s">
        <v>87</v>
      </c>
      <c r="E1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3" spans="1:6" x14ac:dyDescent="0.35">
      <c r="A1883" s="3">
        <v>40137503561</v>
      </c>
      <c r="B1883" s="3">
        <v>92</v>
      </c>
      <c r="C1883" s="32">
        <v>49166</v>
      </c>
      <c r="D1883" s="32">
        <v>49278</v>
      </c>
      <c r="E1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84" spans="1:6" x14ac:dyDescent="0.35">
      <c r="A1884" s="3">
        <v>34938633418</v>
      </c>
      <c r="B1884" s="3">
        <v>95</v>
      </c>
      <c r="C1884" s="32">
        <v>49166</v>
      </c>
      <c r="D1884" s="32">
        <v>49204</v>
      </c>
      <c r="E1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5" spans="1:6" x14ac:dyDescent="0.35">
      <c r="A1885" s="3">
        <v>41213775689</v>
      </c>
      <c r="B1885" s="3">
        <v>103</v>
      </c>
      <c r="C1885" s="32">
        <v>49166</v>
      </c>
      <c r="D1885" s="32">
        <v>49207</v>
      </c>
      <c r="E1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6" spans="1:6" x14ac:dyDescent="0.35">
      <c r="A1886" s="3">
        <v>76028758453</v>
      </c>
      <c r="B1886" s="3">
        <v>107</v>
      </c>
      <c r="C1886" s="32">
        <v>49166</v>
      </c>
      <c r="D1886" s="32">
        <v>49191</v>
      </c>
      <c r="E1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7" spans="1:6" x14ac:dyDescent="0.35">
      <c r="A1887" s="3">
        <v>58233670709</v>
      </c>
      <c r="B1887" s="3">
        <v>110</v>
      </c>
      <c r="C1887" s="32">
        <v>49166</v>
      </c>
      <c r="D1887" s="32" t="s">
        <v>87</v>
      </c>
      <c r="E1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8" spans="1:6" x14ac:dyDescent="0.35">
      <c r="A1888" s="3">
        <v>88751405288</v>
      </c>
      <c r="B1888" s="3">
        <v>115</v>
      </c>
      <c r="C1888" s="32">
        <v>49166</v>
      </c>
      <c r="D1888" s="32" t="s">
        <v>87</v>
      </c>
      <c r="E1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9" spans="1:6" x14ac:dyDescent="0.35">
      <c r="A1889" s="3">
        <v>49470176290</v>
      </c>
      <c r="B1889" s="3">
        <v>140</v>
      </c>
      <c r="C1889" s="32">
        <v>49166</v>
      </c>
      <c r="D1889" s="32" t="s">
        <v>87</v>
      </c>
      <c r="E1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0" spans="1:6" x14ac:dyDescent="0.35">
      <c r="A1890" s="3">
        <v>46574981792</v>
      </c>
      <c r="B1890" s="3">
        <v>152</v>
      </c>
      <c r="C1890" s="32">
        <v>49166</v>
      </c>
      <c r="D1890" s="32" t="s">
        <v>87</v>
      </c>
      <c r="E1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1" spans="1:6" x14ac:dyDescent="0.35">
      <c r="A1891" s="3">
        <v>91241014241</v>
      </c>
      <c r="B1891" s="3">
        <v>191</v>
      </c>
      <c r="C1891" s="32">
        <v>49166</v>
      </c>
      <c r="D1891" s="32" t="s">
        <v>87</v>
      </c>
      <c r="E1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2" spans="1:6" x14ac:dyDescent="0.35">
      <c r="A1892" s="3">
        <v>24357531290</v>
      </c>
      <c r="B1892" s="3">
        <v>215</v>
      </c>
      <c r="C1892" s="32">
        <v>49166</v>
      </c>
      <c r="D1892" s="32" t="s">
        <v>87</v>
      </c>
      <c r="E1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3" spans="1:6" x14ac:dyDescent="0.35">
      <c r="A1893" s="3">
        <v>65421302781</v>
      </c>
      <c r="B1893" s="3">
        <v>265</v>
      </c>
      <c r="C1893" s="32">
        <v>49166</v>
      </c>
      <c r="D1893" s="32">
        <v>49184</v>
      </c>
      <c r="E1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94" spans="1:6" x14ac:dyDescent="0.35">
      <c r="A1894" s="3">
        <v>97257395469</v>
      </c>
      <c r="B1894" s="3">
        <v>277</v>
      </c>
      <c r="C1894" s="32">
        <v>49166</v>
      </c>
      <c r="D1894" s="32" t="s">
        <v>87</v>
      </c>
      <c r="E1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5" spans="1:6" x14ac:dyDescent="0.35">
      <c r="A1895" s="3">
        <v>94348738345</v>
      </c>
      <c r="B1895" s="3">
        <v>301</v>
      </c>
      <c r="C1895" s="32">
        <v>49166</v>
      </c>
      <c r="D1895" s="32" t="s">
        <v>87</v>
      </c>
      <c r="E1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6" spans="1:6" x14ac:dyDescent="0.35">
      <c r="A1896" s="3">
        <v>44977388322</v>
      </c>
      <c r="B1896" s="3">
        <v>311</v>
      </c>
      <c r="C1896" s="32">
        <v>49166</v>
      </c>
      <c r="D1896" s="32">
        <v>49227</v>
      </c>
      <c r="E1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97" spans="1:6" x14ac:dyDescent="0.35">
      <c r="A1897" s="3">
        <v>56796581364</v>
      </c>
      <c r="B1897" s="3">
        <v>7</v>
      </c>
      <c r="C1897" s="32">
        <v>49167</v>
      </c>
      <c r="D1897" s="32">
        <v>49218</v>
      </c>
      <c r="E1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98" spans="1:6" x14ac:dyDescent="0.35">
      <c r="A1898" s="3">
        <v>30522087890</v>
      </c>
      <c r="B1898" s="3">
        <v>8</v>
      </c>
      <c r="C1898" s="32">
        <v>49167</v>
      </c>
      <c r="D1898" s="32" t="s">
        <v>87</v>
      </c>
      <c r="E1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9" spans="1:6" x14ac:dyDescent="0.35">
      <c r="A1899" s="3">
        <v>78747594519</v>
      </c>
      <c r="B1899" s="3">
        <v>75</v>
      </c>
      <c r="C1899" s="32">
        <v>49167</v>
      </c>
      <c r="D1899" s="32">
        <v>49254</v>
      </c>
      <c r="E1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00" spans="1:6" x14ac:dyDescent="0.35">
      <c r="A1900" s="3">
        <v>93989075461</v>
      </c>
      <c r="B1900" s="3">
        <v>94</v>
      </c>
      <c r="C1900" s="32">
        <v>49167</v>
      </c>
      <c r="D1900" s="32" t="s">
        <v>87</v>
      </c>
      <c r="E1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1" spans="1:6" x14ac:dyDescent="0.35">
      <c r="A1901" s="3">
        <v>30013707638</v>
      </c>
      <c r="B1901" s="3">
        <v>124</v>
      </c>
      <c r="C1901" s="32">
        <v>49167</v>
      </c>
      <c r="D1901" s="32" t="s">
        <v>87</v>
      </c>
      <c r="E1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2" spans="1:6" x14ac:dyDescent="0.35">
      <c r="A1902" s="3">
        <v>64830649719</v>
      </c>
      <c r="B1902" s="3">
        <v>124</v>
      </c>
      <c r="C1902" s="32">
        <v>49167</v>
      </c>
      <c r="D1902" s="32" t="s">
        <v>87</v>
      </c>
      <c r="E1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3" spans="1:6" x14ac:dyDescent="0.35">
      <c r="A1903" s="3">
        <v>63153796101</v>
      </c>
      <c r="B1903" s="3">
        <v>132</v>
      </c>
      <c r="C1903" s="32">
        <v>49167</v>
      </c>
      <c r="D1903" s="32" t="s">
        <v>87</v>
      </c>
      <c r="E1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4" spans="1:6" x14ac:dyDescent="0.35">
      <c r="A1904" s="3">
        <v>49058353390</v>
      </c>
      <c r="B1904" s="3">
        <v>148</v>
      </c>
      <c r="C1904" s="32">
        <v>49167</v>
      </c>
      <c r="D1904" s="32" t="s">
        <v>87</v>
      </c>
      <c r="E1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5" spans="1:6" x14ac:dyDescent="0.35">
      <c r="A1905" s="3">
        <v>15129876332</v>
      </c>
      <c r="B1905" s="3">
        <v>149</v>
      </c>
      <c r="C1905" s="32">
        <v>49167</v>
      </c>
      <c r="D1905" s="32" t="s">
        <v>87</v>
      </c>
      <c r="E1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6" spans="1:6" x14ac:dyDescent="0.35">
      <c r="A1906" s="3">
        <v>79840864773</v>
      </c>
      <c r="B1906" s="3">
        <v>157</v>
      </c>
      <c r="C1906" s="32">
        <v>49167</v>
      </c>
      <c r="D1906" s="32" t="s">
        <v>87</v>
      </c>
      <c r="E1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7" spans="1:6" x14ac:dyDescent="0.35">
      <c r="A1907" s="3">
        <v>30635210876</v>
      </c>
      <c r="B1907" s="3">
        <v>162</v>
      </c>
      <c r="C1907" s="32">
        <v>49167</v>
      </c>
      <c r="D1907" s="32" t="s">
        <v>87</v>
      </c>
      <c r="E1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8" spans="1:6" x14ac:dyDescent="0.35">
      <c r="A1908" s="3">
        <v>13233794737</v>
      </c>
      <c r="B1908" s="3">
        <v>166</v>
      </c>
      <c r="C1908" s="32">
        <v>49167</v>
      </c>
      <c r="D1908" s="32" t="s">
        <v>87</v>
      </c>
      <c r="E1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9" spans="1:6" x14ac:dyDescent="0.35">
      <c r="A1909" s="3">
        <v>28910415025</v>
      </c>
      <c r="B1909" s="3">
        <v>185</v>
      </c>
      <c r="C1909" s="32">
        <v>49167</v>
      </c>
      <c r="D1909" s="32" t="s">
        <v>87</v>
      </c>
      <c r="E1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0" spans="1:6" x14ac:dyDescent="0.35">
      <c r="A1910" s="3">
        <v>48524647133</v>
      </c>
      <c r="B1910" s="3">
        <v>198</v>
      </c>
      <c r="C1910" s="32">
        <v>49167</v>
      </c>
      <c r="D1910" s="32">
        <v>49201</v>
      </c>
      <c r="E1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1" spans="1:6" x14ac:dyDescent="0.35">
      <c r="A1911" s="3">
        <v>33781857130</v>
      </c>
      <c r="B1911" s="3">
        <v>201</v>
      </c>
      <c r="C1911" s="32">
        <v>49167</v>
      </c>
      <c r="D1911" s="32" t="s">
        <v>87</v>
      </c>
      <c r="E1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2" spans="1:6" x14ac:dyDescent="0.35">
      <c r="A1912" s="3">
        <v>33667573853</v>
      </c>
      <c r="B1912" s="3">
        <v>230</v>
      </c>
      <c r="C1912" s="32">
        <v>49167</v>
      </c>
      <c r="D1912" s="32" t="s">
        <v>87</v>
      </c>
      <c r="E1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3" spans="1:6" x14ac:dyDescent="0.35">
      <c r="A1913" s="3">
        <v>44809069453</v>
      </c>
      <c r="B1913" s="3">
        <v>237</v>
      </c>
      <c r="C1913" s="32">
        <v>49167</v>
      </c>
      <c r="D1913" s="32"/>
      <c r="E1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4" spans="1:6" x14ac:dyDescent="0.35">
      <c r="A1914" s="3">
        <v>90969263333</v>
      </c>
      <c r="B1914" s="3">
        <v>240</v>
      </c>
      <c r="C1914" s="32">
        <v>49167</v>
      </c>
      <c r="D1914" s="32" t="s">
        <v>87</v>
      </c>
      <c r="E1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5" spans="1:6" x14ac:dyDescent="0.35">
      <c r="A1915" s="3">
        <v>58608009978</v>
      </c>
      <c r="B1915" s="3">
        <v>260</v>
      </c>
      <c r="C1915" s="32">
        <v>49167</v>
      </c>
      <c r="D1915" s="32" t="s">
        <v>87</v>
      </c>
      <c r="E1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6" spans="1:6" x14ac:dyDescent="0.35">
      <c r="A1916" s="3">
        <v>40441266373</v>
      </c>
      <c r="B1916" s="3">
        <v>273</v>
      </c>
      <c r="C1916" s="32">
        <v>49167</v>
      </c>
      <c r="D1916" s="32">
        <v>49203</v>
      </c>
      <c r="E1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7" spans="1:6" x14ac:dyDescent="0.35">
      <c r="A1917" s="3">
        <v>58253294989</v>
      </c>
      <c r="B1917" s="3">
        <v>281</v>
      </c>
      <c r="C1917" s="32">
        <v>49167</v>
      </c>
      <c r="D1917" s="32" t="s">
        <v>87</v>
      </c>
      <c r="E1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8" spans="1:6" x14ac:dyDescent="0.35">
      <c r="A1918" s="3">
        <v>18155390416</v>
      </c>
      <c r="B1918" s="3">
        <v>287</v>
      </c>
      <c r="C1918" s="32">
        <v>49167</v>
      </c>
      <c r="D1918" s="32">
        <v>49175</v>
      </c>
      <c r="E1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19" spans="1:6" x14ac:dyDescent="0.35">
      <c r="A1919" s="3">
        <v>82058128900</v>
      </c>
      <c r="B1919" s="3">
        <v>290</v>
      </c>
      <c r="C1919" s="32">
        <v>49167</v>
      </c>
      <c r="D1919" s="32" t="s">
        <v>87</v>
      </c>
      <c r="E1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0" spans="1:6" x14ac:dyDescent="0.35">
      <c r="A1920" s="3">
        <v>90417168307</v>
      </c>
      <c r="B1920" s="3">
        <v>293</v>
      </c>
      <c r="C1920" s="32">
        <v>49167</v>
      </c>
      <c r="D1920" s="32"/>
      <c r="E1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1" spans="1:6" x14ac:dyDescent="0.35">
      <c r="A1921" s="3">
        <v>64506366097</v>
      </c>
      <c r="B1921" s="3">
        <v>306</v>
      </c>
      <c r="C1921" s="32">
        <v>49167</v>
      </c>
      <c r="D1921" s="32">
        <v>49286</v>
      </c>
      <c r="E1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22" spans="1:6" x14ac:dyDescent="0.35">
      <c r="A1922" s="3">
        <v>14778185314</v>
      </c>
      <c r="B1922" s="3">
        <v>11</v>
      </c>
      <c r="C1922" s="32">
        <v>49168</v>
      </c>
      <c r="D1922" s="32"/>
      <c r="E1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3" spans="1:6" x14ac:dyDescent="0.35">
      <c r="A1923" s="3">
        <v>88779324349</v>
      </c>
      <c r="B1923" s="3">
        <v>36</v>
      </c>
      <c r="C1923" s="32">
        <v>49168</v>
      </c>
      <c r="D1923" s="32" t="s">
        <v>87</v>
      </c>
      <c r="E1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4" spans="1:6" x14ac:dyDescent="0.35">
      <c r="A1924" s="3">
        <v>26020352333</v>
      </c>
      <c r="B1924" s="3">
        <v>54</v>
      </c>
      <c r="C1924" s="32">
        <v>49168</v>
      </c>
      <c r="D1924" s="32">
        <v>49284</v>
      </c>
      <c r="E1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25" spans="1:6" x14ac:dyDescent="0.35">
      <c r="A1925" s="3">
        <v>25439973492</v>
      </c>
      <c r="B1925" s="3">
        <v>64</v>
      </c>
      <c r="C1925" s="32">
        <v>49168</v>
      </c>
      <c r="D1925" s="32" t="s">
        <v>87</v>
      </c>
      <c r="E1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6" spans="1:6" x14ac:dyDescent="0.35">
      <c r="A1926" s="3">
        <v>78654833041</v>
      </c>
      <c r="B1926" s="3">
        <v>98</v>
      </c>
      <c r="C1926" s="32">
        <v>49168</v>
      </c>
      <c r="D1926" s="32" t="s">
        <v>87</v>
      </c>
      <c r="E1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7" spans="1:6" x14ac:dyDescent="0.35">
      <c r="A1927" s="3">
        <v>16924443207</v>
      </c>
      <c r="B1927" s="3">
        <v>110</v>
      </c>
      <c r="C1927" s="32">
        <v>49168</v>
      </c>
      <c r="D1927" s="32" t="s">
        <v>87</v>
      </c>
      <c r="E1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8" spans="1:6" x14ac:dyDescent="0.35">
      <c r="A1928" s="3">
        <v>30310528460</v>
      </c>
      <c r="B1928" s="3">
        <v>112</v>
      </c>
      <c r="C1928" s="32">
        <v>49168</v>
      </c>
      <c r="D1928" s="32" t="s">
        <v>87</v>
      </c>
      <c r="E1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9" spans="1:6" x14ac:dyDescent="0.35">
      <c r="A1929" s="3">
        <v>38016487835</v>
      </c>
      <c r="B1929" s="3">
        <v>112</v>
      </c>
      <c r="C1929" s="32">
        <v>49168</v>
      </c>
      <c r="D1929" s="32" t="s">
        <v>87</v>
      </c>
      <c r="E1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0" spans="1:6" x14ac:dyDescent="0.35">
      <c r="A1930" s="3">
        <v>15385217157</v>
      </c>
      <c r="B1930" s="3">
        <v>165</v>
      </c>
      <c r="C1930" s="32">
        <v>49168</v>
      </c>
      <c r="D1930" s="32">
        <v>49285</v>
      </c>
      <c r="E1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31" spans="1:6" x14ac:dyDescent="0.35">
      <c r="A1931" s="3">
        <v>41204718055</v>
      </c>
      <c r="B1931" s="3">
        <v>173</v>
      </c>
      <c r="C1931" s="32">
        <v>49168</v>
      </c>
      <c r="D1931" s="32" t="s">
        <v>87</v>
      </c>
      <c r="E1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2" spans="1:6" x14ac:dyDescent="0.35">
      <c r="A1932" s="3">
        <v>91743120045</v>
      </c>
      <c r="B1932" s="3">
        <v>179</v>
      </c>
      <c r="C1932" s="32">
        <v>49168</v>
      </c>
      <c r="D1932" s="32" t="s">
        <v>87</v>
      </c>
      <c r="E1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3" spans="1:6" x14ac:dyDescent="0.35">
      <c r="A1933" s="3">
        <v>26022907523</v>
      </c>
      <c r="B1933" s="3">
        <v>183</v>
      </c>
      <c r="C1933" s="32">
        <v>49168</v>
      </c>
      <c r="D1933" s="32" t="s">
        <v>87</v>
      </c>
      <c r="E1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4" spans="1:6" x14ac:dyDescent="0.35">
      <c r="A1934" s="3">
        <v>43763814202</v>
      </c>
      <c r="B1934" s="3">
        <v>211</v>
      </c>
      <c r="C1934" s="32">
        <v>49168</v>
      </c>
      <c r="D1934" s="32" t="s">
        <v>87</v>
      </c>
      <c r="E1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5" spans="1:6" x14ac:dyDescent="0.35">
      <c r="A1935" s="3">
        <v>56420092453</v>
      </c>
      <c r="B1935" s="3">
        <v>224</v>
      </c>
      <c r="C1935" s="32">
        <v>49168</v>
      </c>
      <c r="D1935" s="32" t="s">
        <v>87</v>
      </c>
      <c r="E1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6" spans="1:6" x14ac:dyDescent="0.35">
      <c r="A1936" s="3">
        <v>27648148815</v>
      </c>
      <c r="B1936" s="3">
        <v>252</v>
      </c>
      <c r="C1936" s="32">
        <v>49168</v>
      </c>
      <c r="D1936" s="32"/>
      <c r="E1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7" spans="1:6" x14ac:dyDescent="0.35">
      <c r="A1937" s="3">
        <v>76473511259</v>
      </c>
      <c r="B1937" s="3">
        <v>255</v>
      </c>
      <c r="C1937" s="32">
        <v>49168</v>
      </c>
      <c r="D1937" s="32" t="s">
        <v>87</v>
      </c>
      <c r="E1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8" spans="1:6" x14ac:dyDescent="0.35">
      <c r="A1938" s="3">
        <v>75113438461</v>
      </c>
      <c r="B1938" s="3">
        <v>291</v>
      </c>
      <c r="C1938" s="32">
        <v>49168</v>
      </c>
      <c r="D1938" s="32" t="s">
        <v>87</v>
      </c>
      <c r="E1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9" spans="1:6" x14ac:dyDescent="0.35">
      <c r="A1939" s="3">
        <v>71452978471</v>
      </c>
      <c r="B1939" s="3">
        <v>319</v>
      </c>
      <c r="C1939" s="32">
        <v>49168</v>
      </c>
      <c r="D1939" s="32" t="s">
        <v>87</v>
      </c>
      <c r="E1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0" spans="1:6" x14ac:dyDescent="0.35">
      <c r="A1940" s="3">
        <v>33054200715</v>
      </c>
      <c r="B1940" s="3">
        <v>328</v>
      </c>
      <c r="C1940" s="32">
        <v>49168</v>
      </c>
      <c r="D1940" s="32" t="s">
        <v>87</v>
      </c>
      <c r="E1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1" spans="1:6" x14ac:dyDescent="0.35">
      <c r="A1941" s="3">
        <v>61176513402</v>
      </c>
      <c r="B1941" s="3">
        <v>334</v>
      </c>
      <c r="C1941" s="32">
        <v>49168</v>
      </c>
      <c r="D1941" s="32"/>
      <c r="E1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2" spans="1:6" x14ac:dyDescent="0.35">
      <c r="A1942" s="3">
        <v>85359887079</v>
      </c>
      <c r="B1942" s="3">
        <v>339</v>
      </c>
      <c r="C1942" s="32">
        <v>49168</v>
      </c>
      <c r="D1942" s="32" t="s">
        <v>87</v>
      </c>
      <c r="E1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3" spans="1:6" x14ac:dyDescent="0.35">
      <c r="A1943" s="3">
        <v>41803840882</v>
      </c>
      <c r="B1943" s="3">
        <v>4</v>
      </c>
      <c r="C1943" s="32">
        <v>49169</v>
      </c>
      <c r="D1943" s="32">
        <v>49257</v>
      </c>
      <c r="E1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44" spans="1:6" x14ac:dyDescent="0.35">
      <c r="A1944" s="3">
        <v>72914659394</v>
      </c>
      <c r="B1944" s="3">
        <v>5</v>
      </c>
      <c r="C1944" s="32">
        <v>49169</v>
      </c>
      <c r="D1944" s="32"/>
      <c r="E1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5" spans="1:6" x14ac:dyDescent="0.35">
      <c r="A1945" s="3">
        <v>40637222564</v>
      </c>
      <c r="B1945" s="3">
        <v>25</v>
      </c>
      <c r="C1945" s="32">
        <v>49169</v>
      </c>
      <c r="D1945" s="32">
        <v>49267</v>
      </c>
      <c r="E1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46" spans="1:6" x14ac:dyDescent="0.35">
      <c r="A1946" s="3">
        <v>37614374210</v>
      </c>
      <c r="B1946" s="3">
        <v>35</v>
      </c>
      <c r="C1946" s="32">
        <v>49169</v>
      </c>
      <c r="D1946" s="32" t="s">
        <v>87</v>
      </c>
      <c r="E1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7" spans="1:6" x14ac:dyDescent="0.35">
      <c r="A1947" s="3">
        <v>50282250511</v>
      </c>
      <c r="B1947" s="3">
        <v>86</v>
      </c>
      <c r="C1947" s="32">
        <v>49169</v>
      </c>
      <c r="D1947" s="32" t="s">
        <v>87</v>
      </c>
      <c r="E1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8" spans="1:6" x14ac:dyDescent="0.35">
      <c r="A1948" s="3">
        <v>12725158977</v>
      </c>
      <c r="B1948" s="3">
        <v>105</v>
      </c>
      <c r="C1948" s="32">
        <v>49169</v>
      </c>
      <c r="D1948" s="32">
        <v>49177</v>
      </c>
      <c r="E1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49" spans="1:6" x14ac:dyDescent="0.35">
      <c r="A1949" s="3">
        <v>15764766184</v>
      </c>
      <c r="B1949" s="3">
        <v>120</v>
      </c>
      <c r="C1949" s="32">
        <v>49169</v>
      </c>
      <c r="D1949" s="32" t="s">
        <v>87</v>
      </c>
      <c r="E1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0" spans="1:6" x14ac:dyDescent="0.35">
      <c r="A1950" s="3">
        <v>58162084500</v>
      </c>
      <c r="B1950" s="3">
        <v>128</v>
      </c>
      <c r="C1950" s="32">
        <v>49169</v>
      </c>
      <c r="D1950" s="32" t="s">
        <v>87</v>
      </c>
      <c r="E1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1" spans="1:6" x14ac:dyDescent="0.35">
      <c r="A1951" s="3">
        <v>77496164720</v>
      </c>
      <c r="B1951" s="3">
        <v>174</v>
      </c>
      <c r="C1951" s="32">
        <v>49169</v>
      </c>
      <c r="D1951" s="32">
        <v>49202</v>
      </c>
      <c r="E1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52" spans="1:6" x14ac:dyDescent="0.35">
      <c r="A1952" s="3">
        <v>98592572118</v>
      </c>
      <c r="B1952" s="3">
        <v>178</v>
      </c>
      <c r="C1952" s="32">
        <v>49169</v>
      </c>
      <c r="D1952" s="32" t="s">
        <v>87</v>
      </c>
      <c r="E1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3" spans="1:6" x14ac:dyDescent="0.35">
      <c r="A1953" s="3">
        <v>83529800230</v>
      </c>
      <c r="B1953" s="3">
        <v>189</v>
      </c>
      <c r="C1953" s="32">
        <v>49169</v>
      </c>
      <c r="D1953" s="32" t="s">
        <v>87</v>
      </c>
      <c r="E1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4" spans="1:6" x14ac:dyDescent="0.35">
      <c r="A1954" s="3">
        <v>47783371009</v>
      </c>
      <c r="B1954" s="3">
        <v>196</v>
      </c>
      <c r="C1954" s="32">
        <v>49169</v>
      </c>
      <c r="D1954" s="32" t="s">
        <v>87</v>
      </c>
      <c r="E1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5" spans="1:6" x14ac:dyDescent="0.35">
      <c r="A1955" s="3">
        <v>30920859610</v>
      </c>
      <c r="B1955" s="3">
        <v>198</v>
      </c>
      <c r="C1955" s="32">
        <v>49169</v>
      </c>
      <c r="D1955" s="32" t="s">
        <v>87</v>
      </c>
      <c r="E1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6" spans="1:6" x14ac:dyDescent="0.35">
      <c r="A1956" s="3">
        <v>20926017907</v>
      </c>
      <c r="B1956" s="3">
        <v>205</v>
      </c>
      <c r="C1956" s="32">
        <v>49169</v>
      </c>
      <c r="D1956" s="32"/>
      <c r="E1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7" spans="1:6" x14ac:dyDescent="0.35">
      <c r="A1957" s="3">
        <v>97150608475</v>
      </c>
      <c r="B1957" s="3">
        <v>209</v>
      </c>
      <c r="C1957" s="32">
        <v>49169</v>
      </c>
      <c r="D1957" s="32">
        <v>49171</v>
      </c>
      <c r="E1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58" spans="1:6" x14ac:dyDescent="0.35">
      <c r="A1958" s="3">
        <v>82352704355</v>
      </c>
      <c r="B1958" s="3">
        <v>234</v>
      </c>
      <c r="C1958" s="32">
        <v>49169</v>
      </c>
      <c r="D1958" s="32" t="s">
        <v>87</v>
      </c>
      <c r="E1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9" spans="1:6" x14ac:dyDescent="0.35">
      <c r="A1959" s="3">
        <v>24090331832</v>
      </c>
      <c r="B1959" s="3">
        <v>274</v>
      </c>
      <c r="C1959" s="32">
        <v>49169</v>
      </c>
      <c r="D1959" s="32">
        <v>49231</v>
      </c>
      <c r="E1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60" spans="1:6" x14ac:dyDescent="0.35">
      <c r="A1960" s="3">
        <v>21684363278</v>
      </c>
      <c r="B1960" s="3">
        <v>275</v>
      </c>
      <c r="C1960" s="32">
        <v>49169</v>
      </c>
      <c r="D1960" s="32" t="s">
        <v>87</v>
      </c>
      <c r="E1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1" spans="1:6" x14ac:dyDescent="0.35">
      <c r="A1961" s="3">
        <v>26533805694</v>
      </c>
      <c r="B1961" s="3">
        <v>276</v>
      </c>
      <c r="C1961" s="32">
        <v>49169</v>
      </c>
      <c r="D1961" s="32" t="s">
        <v>87</v>
      </c>
      <c r="E1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2" spans="1:6" x14ac:dyDescent="0.35">
      <c r="A1962" s="3">
        <v>38270616166</v>
      </c>
      <c r="B1962" s="3">
        <v>295</v>
      </c>
      <c r="C1962" s="32">
        <v>49169</v>
      </c>
      <c r="D1962" s="32" t="s">
        <v>87</v>
      </c>
      <c r="E1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3" spans="1:6" x14ac:dyDescent="0.35">
      <c r="A1963" s="3">
        <v>54676171855</v>
      </c>
      <c r="B1963" s="3">
        <v>329</v>
      </c>
      <c r="C1963" s="32">
        <v>49169</v>
      </c>
      <c r="D1963" s="32" t="s">
        <v>87</v>
      </c>
      <c r="E1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4" spans="1:6" x14ac:dyDescent="0.35">
      <c r="A1964" s="3">
        <v>12058627094</v>
      </c>
      <c r="B1964" s="3">
        <v>35</v>
      </c>
      <c r="C1964" s="32">
        <v>49170</v>
      </c>
      <c r="D1964" s="32" t="s">
        <v>87</v>
      </c>
      <c r="E1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5" spans="1:6" x14ac:dyDescent="0.35">
      <c r="A1965" s="3">
        <v>21011104886</v>
      </c>
      <c r="B1965" s="3">
        <v>58</v>
      </c>
      <c r="C1965" s="32">
        <v>49170</v>
      </c>
      <c r="D1965" s="32"/>
      <c r="E1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6" spans="1:6" x14ac:dyDescent="0.35">
      <c r="A1966" s="3">
        <v>13432594521</v>
      </c>
      <c r="B1966" s="3">
        <v>75</v>
      </c>
      <c r="C1966" s="32">
        <v>49170</v>
      </c>
      <c r="D1966" s="32">
        <v>49290</v>
      </c>
      <c r="E1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67" spans="1:6" x14ac:dyDescent="0.35">
      <c r="A1967" s="3">
        <v>49305145505</v>
      </c>
      <c r="B1967" s="3">
        <v>91</v>
      </c>
      <c r="C1967" s="32">
        <v>49170</v>
      </c>
      <c r="D1967" s="32" t="s">
        <v>87</v>
      </c>
      <c r="E1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8" spans="1:6" x14ac:dyDescent="0.35">
      <c r="A1968" s="3">
        <v>49892544854</v>
      </c>
      <c r="B1968" s="3">
        <v>130</v>
      </c>
      <c r="C1968" s="32">
        <v>49170</v>
      </c>
      <c r="D1968" s="32" t="s">
        <v>87</v>
      </c>
      <c r="E1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9" spans="1:6" x14ac:dyDescent="0.35">
      <c r="A1969" s="3">
        <v>54241099885</v>
      </c>
      <c r="B1969" s="3">
        <v>164</v>
      </c>
      <c r="C1969" s="32">
        <v>49170</v>
      </c>
      <c r="D1969" s="32">
        <v>49233</v>
      </c>
      <c r="E1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70" spans="1:6" x14ac:dyDescent="0.35">
      <c r="A1970" s="3">
        <v>91651012700</v>
      </c>
      <c r="B1970" s="3">
        <v>173</v>
      </c>
      <c r="C1970" s="32">
        <v>49170</v>
      </c>
      <c r="D1970" s="32"/>
      <c r="E1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1" spans="1:6" x14ac:dyDescent="0.35">
      <c r="A1971" s="3">
        <v>57224593567</v>
      </c>
      <c r="B1971" s="3">
        <v>190</v>
      </c>
      <c r="C1971" s="32">
        <v>49170</v>
      </c>
      <c r="D1971" s="32">
        <v>49171</v>
      </c>
      <c r="E1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72" spans="1:6" x14ac:dyDescent="0.35">
      <c r="A1972" s="3">
        <v>19392035521</v>
      </c>
      <c r="B1972" s="3">
        <v>191</v>
      </c>
      <c r="C1972" s="32">
        <v>49170</v>
      </c>
      <c r="D1972" s="32" t="s">
        <v>87</v>
      </c>
      <c r="E1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3" spans="1:6" x14ac:dyDescent="0.35">
      <c r="A1973" s="3">
        <v>66293438071</v>
      </c>
      <c r="B1973" s="3">
        <v>215</v>
      </c>
      <c r="C1973" s="32">
        <v>49170</v>
      </c>
      <c r="D1973" s="32" t="s">
        <v>87</v>
      </c>
      <c r="E1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4" spans="1:6" x14ac:dyDescent="0.35">
      <c r="A1974" s="3">
        <v>48740924876</v>
      </c>
      <c r="B1974" s="3">
        <v>235</v>
      </c>
      <c r="C1974" s="32">
        <v>49170</v>
      </c>
      <c r="D1974" s="32" t="s">
        <v>87</v>
      </c>
      <c r="E1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5" spans="1:6" x14ac:dyDescent="0.35">
      <c r="A1975" s="3">
        <v>70163085344</v>
      </c>
      <c r="B1975" s="3">
        <v>260</v>
      </c>
      <c r="C1975" s="32">
        <v>49170</v>
      </c>
      <c r="D1975" s="32" t="s">
        <v>87</v>
      </c>
      <c r="E1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6" spans="1:6" x14ac:dyDescent="0.35">
      <c r="A1976" s="3">
        <v>52561319643</v>
      </c>
      <c r="B1976" s="3">
        <v>327</v>
      </c>
      <c r="C1976" s="32">
        <v>49170</v>
      </c>
      <c r="D1976" s="32" t="s">
        <v>87</v>
      </c>
      <c r="E1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7" spans="1:6" x14ac:dyDescent="0.35">
      <c r="A1977" s="3">
        <v>22130114285</v>
      </c>
      <c r="B1977" s="3">
        <v>1</v>
      </c>
      <c r="C1977" s="32">
        <v>49171</v>
      </c>
      <c r="D1977" s="32" t="s">
        <v>87</v>
      </c>
      <c r="E1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8" spans="1:6" x14ac:dyDescent="0.35">
      <c r="A1978" s="3">
        <v>13451602367</v>
      </c>
      <c r="B1978" s="3">
        <v>9</v>
      </c>
      <c r="C1978" s="32">
        <v>49171</v>
      </c>
      <c r="D1978" s="32">
        <v>49172</v>
      </c>
      <c r="E1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79" spans="1:6" x14ac:dyDescent="0.35">
      <c r="A1979" s="3">
        <v>62555300496</v>
      </c>
      <c r="B1979" s="3">
        <v>13</v>
      </c>
      <c r="C1979" s="32">
        <v>49171</v>
      </c>
      <c r="D1979" s="32" t="s">
        <v>87</v>
      </c>
      <c r="E1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0" spans="1:6" x14ac:dyDescent="0.35">
      <c r="A1980" s="3">
        <v>44312892340</v>
      </c>
      <c r="B1980" s="3">
        <v>59</v>
      </c>
      <c r="C1980" s="32">
        <v>49171</v>
      </c>
      <c r="D1980" s="32" t="s">
        <v>87</v>
      </c>
      <c r="E1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1" spans="1:6" x14ac:dyDescent="0.35">
      <c r="A1981" s="3">
        <v>33775388156</v>
      </c>
      <c r="B1981" s="3">
        <v>67</v>
      </c>
      <c r="C1981" s="32">
        <v>49171</v>
      </c>
      <c r="D1981" s="32" t="s">
        <v>87</v>
      </c>
      <c r="E1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2" spans="1:6" x14ac:dyDescent="0.35">
      <c r="A1982" s="3">
        <v>89593877645</v>
      </c>
      <c r="B1982" s="3">
        <v>77</v>
      </c>
      <c r="C1982" s="32">
        <v>49171</v>
      </c>
      <c r="D1982" s="32">
        <v>49182</v>
      </c>
      <c r="E1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83" spans="1:6" x14ac:dyDescent="0.35">
      <c r="A1983" s="3">
        <v>49544418034</v>
      </c>
      <c r="B1983" s="3">
        <v>84</v>
      </c>
      <c r="C1983" s="32">
        <v>49171</v>
      </c>
      <c r="D1983" s="32">
        <v>49283</v>
      </c>
      <c r="E1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84" spans="1:6" x14ac:dyDescent="0.35">
      <c r="A1984" s="3">
        <v>51343210002</v>
      </c>
      <c r="B1984" s="3">
        <v>97</v>
      </c>
      <c r="C1984" s="32">
        <v>49171</v>
      </c>
      <c r="D1984" s="32">
        <v>49180</v>
      </c>
      <c r="E1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85" spans="1:6" x14ac:dyDescent="0.35">
      <c r="A1985" s="3">
        <v>89291518736</v>
      </c>
      <c r="B1985" s="3">
        <v>165</v>
      </c>
      <c r="C1985" s="32">
        <v>49171</v>
      </c>
      <c r="D1985" s="32" t="s">
        <v>87</v>
      </c>
      <c r="E1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6" spans="1:6" x14ac:dyDescent="0.35">
      <c r="A1986" s="3">
        <v>11840077812</v>
      </c>
      <c r="B1986" s="3">
        <v>165</v>
      </c>
      <c r="C1986" s="32">
        <v>49171</v>
      </c>
      <c r="D1986" s="32" t="s">
        <v>87</v>
      </c>
      <c r="E1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7" spans="1:6" x14ac:dyDescent="0.35">
      <c r="A1987" s="3">
        <v>20782426453</v>
      </c>
      <c r="B1987" s="3">
        <v>233</v>
      </c>
      <c r="C1987" s="32">
        <v>49171</v>
      </c>
      <c r="D1987" s="32" t="s">
        <v>87</v>
      </c>
      <c r="E1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8" spans="1:6" x14ac:dyDescent="0.35">
      <c r="A1988" s="3">
        <v>83211368115</v>
      </c>
      <c r="B1988" s="3">
        <v>241</v>
      </c>
      <c r="C1988" s="32">
        <v>49171</v>
      </c>
      <c r="D1988" s="32">
        <v>49244</v>
      </c>
      <c r="E1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89" spans="1:6" x14ac:dyDescent="0.35">
      <c r="A1989" s="3">
        <v>15182677184</v>
      </c>
      <c r="B1989" s="3">
        <v>246</v>
      </c>
      <c r="C1989" s="32">
        <v>49171</v>
      </c>
      <c r="D1989" s="32" t="s">
        <v>87</v>
      </c>
      <c r="E1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0" spans="1:6" x14ac:dyDescent="0.35">
      <c r="A1990" s="3">
        <v>61620877315</v>
      </c>
      <c r="B1990" s="3">
        <v>254</v>
      </c>
      <c r="C1990" s="32">
        <v>49171</v>
      </c>
      <c r="D1990" s="32" t="s">
        <v>87</v>
      </c>
      <c r="E1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1" spans="1:6" x14ac:dyDescent="0.35">
      <c r="A1991" s="3">
        <v>25227024838</v>
      </c>
      <c r="B1991" s="3">
        <v>300</v>
      </c>
      <c r="C1991" s="32">
        <v>49171</v>
      </c>
      <c r="D1991" s="32" t="s">
        <v>87</v>
      </c>
      <c r="E1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2" spans="1:6" x14ac:dyDescent="0.35">
      <c r="A1992" s="3">
        <v>80513600382</v>
      </c>
      <c r="B1992" s="3">
        <v>304</v>
      </c>
      <c r="C1992" s="32">
        <v>49171</v>
      </c>
      <c r="D1992" s="32" t="s">
        <v>87</v>
      </c>
      <c r="E1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3" spans="1:6" x14ac:dyDescent="0.35">
      <c r="A1993" s="3">
        <v>25931979716</v>
      </c>
      <c r="B1993" s="3">
        <v>313</v>
      </c>
      <c r="C1993" s="32">
        <v>49171</v>
      </c>
      <c r="D1993" s="32">
        <v>49212</v>
      </c>
      <c r="E1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94" spans="1:6" x14ac:dyDescent="0.35">
      <c r="A1994" s="3">
        <v>20742136191</v>
      </c>
      <c r="B1994" s="3">
        <v>323</v>
      </c>
      <c r="C1994" s="32">
        <v>49171</v>
      </c>
      <c r="D1994" s="32" t="s">
        <v>87</v>
      </c>
      <c r="E1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5" spans="1:6" x14ac:dyDescent="0.35">
      <c r="A1995" s="3">
        <v>26679816806</v>
      </c>
      <c r="B1995" s="3">
        <v>10</v>
      </c>
      <c r="C1995" s="32">
        <v>49172</v>
      </c>
      <c r="D1995" s="32" t="s">
        <v>87</v>
      </c>
      <c r="E1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6" spans="1:6" x14ac:dyDescent="0.35">
      <c r="A1996" s="3">
        <v>43525130372</v>
      </c>
      <c r="B1996" s="3">
        <v>14</v>
      </c>
      <c r="C1996" s="32">
        <v>49172</v>
      </c>
      <c r="D1996" s="32" t="s">
        <v>87</v>
      </c>
      <c r="E1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7" spans="1:6" x14ac:dyDescent="0.35">
      <c r="A1997" s="3">
        <v>65703755003</v>
      </c>
      <c r="B1997" s="3">
        <v>34</v>
      </c>
      <c r="C1997" s="32">
        <v>49172</v>
      </c>
      <c r="D1997" s="32">
        <v>49289</v>
      </c>
      <c r="E1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98" spans="1:6" x14ac:dyDescent="0.35">
      <c r="A1998" s="3">
        <v>64097036240</v>
      </c>
      <c r="B1998" s="3">
        <v>71</v>
      </c>
      <c r="C1998" s="32">
        <v>49172</v>
      </c>
      <c r="D1998" s="32" t="s">
        <v>87</v>
      </c>
      <c r="E1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9" spans="1:6" x14ac:dyDescent="0.35">
      <c r="A1999" s="3">
        <v>30058404113</v>
      </c>
      <c r="B1999" s="3">
        <v>84</v>
      </c>
      <c r="C1999" s="32">
        <v>49172</v>
      </c>
      <c r="D1999" s="32" t="s">
        <v>87</v>
      </c>
      <c r="E1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0" spans="1:6" x14ac:dyDescent="0.35">
      <c r="A2000" s="3">
        <v>95411277511</v>
      </c>
      <c r="B2000" s="3">
        <v>92</v>
      </c>
      <c r="C2000" s="32">
        <v>49172</v>
      </c>
      <c r="D2000" s="32">
        <v>49260</v>
      </c>
      <c r="E2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01" spans="1:6" x14ac:dyDescent="0.35">
      <c r="A2001" s="3">
        <v>61619947035</v>
      </c>
      <c r="B2001" s="3">
        <v>96</v>
      </c>
      <c r="C2001" s="32">
        <v>49172</v>
      </c>
      <c r="D2001" s="32" t="s">
        <v>87</v>
      </c>
      <c r="E2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2" spans="1:6" x14ac:dyDescent="0.35">
      <c r="A2002" s="3">
        <v>35723535549</v>
      </c>
      <c r="B2002" s="3">
        <v>107</v>
      </c>
      <c r="C2002" s="32">
        <v>49172</v>
      </c>
      <c r="D2002" s="32" t="s">
        <v>87</v>
      </c>
      <c r="E2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3" spans="1:6" x14ac:dyDescent="0.35">
      <c r="A2003" s="3">
        <v>35872395570</v>
      </c>
      <c r="B2003" s="3">
        <v>116</v>
      </c>
      <c r="C2003" s="32">
        <v>49172</v>
      </c>
      <c r="D2003" s="32" t="s">
        <v>87</v>
      </c>
      <c r="E2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4" spans="1:6" x14ac:dyDescent="0.35">
      <c r="A2004" s="3">
        <v>69588972051</v>
      </c>
      <c r="B2004" s="3">
        <v>117</v>
      </c>
      <c r="C2004" s="32">
        <v>49172</v>
      </c>
      <c r="D2004" s="32">
        <v>49202</v>
      </c>
      <c r="E2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05" spans="1:6" x14ac:dyDescent="0.35">
      <c r="A2005" s="3">
        <v>79557331093</v>
      </c>
      <c r="B2005" s="3">
        <v>150</v>
      </c>
      <c r="C2005" s="32">
        <v>49172</v>
      </c>
      <c r="D2005" s="32" t="s">
        <v>87</v>
      </c>
      <c r="E2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6" spans="1:6" x14ac:dyDescent="0.35">
      <c r="A2006" s="3">
        <v>85490112021</v>
      </c>
      <c r="B2006" s="3">
        <v>150</v>
      </c>
      <c r="C2006" s="32">
        <v>49172</v>
      </c>
      <c r="D2006" s="32" t="s">
        <v>87</v>
      </c>
      <c r="E2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7" spans="1:6" x14ac:dyDescent="0.35">
      <c r="A2007" s="3">
        <v>27195582973</v>
      </c>
      <c r="B2007" s="3">
        <v>153</v>
      </c>
      <c r="C2007" s="32">
        <v>49172</v>
      </c>
      <c r="D2007" s="32">
        <v>49230</v>
      </c>
      <c r="E2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08" spans="1:6" x14ac:dyDescent="0.35">
      <c r="A2008" s="3">
        <v>29151595583</v>
      </c>
      <c r="B2008" s="3">
        <v>164</v>
      </c>
      <c r="C2008" s="32">
        <v>49172</v>
      </c>
      <c r="D2008" s="32" t="s">
        <v>87</v>
      </c>
      <c r="E2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9" spans="1:6" x14ac:dyDescent="0.35">
      <c r="A2009" s="3">
        <v>93610280949</v>
      </c>
      <c r="B2009" s="3">
        <v>170</v>
      </c>
      <c r="C2009" s="32">
        <v>49172</v>
      </c>
      <c r="D2009" s="32" t="s">
        <v>87</v>
      </c>
      <c r="E2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0" spans="1:6" x14ac:dyDescent="0.35">
      <c r="A2010" s="3">
        <v>52160336050</v>
      </c>
      <c r="B2010" s="3">
        <v>175</v>
      </c>
      <c r="C2010" s="32">
        <v>49172</v>
      </c>
      <c r="D2010" s="32" t="s">
        <v>87</v>
      </c>
      <c r="E2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1" spans="1:6" x14ac:dyDescent="0.35">
      <c r="A2011" s="3">
        <v>99030425279</v>
      </c>
      <c r="B2011" s="3">
        <v>198</v>
      </c>
      <c r="C2011" s="32">
        <v>49172</v>
      </c>
      <c r="D2011" s="32"/>
      <c r="E2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2" spans="1:6" x14ac:dyDescent="0.35">
      <c r="A2012" s="3">
        <v>43394252865</v>
      </c>
      <c r="B2012" s="3">
        <v>201</v>
      </c>
      <c r="C2012" s="32">
        <v>49172</v>
      </c>
      <c r="D2012" s="32">
        <v>49198</v>
      </c>
      <c r="E2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13" spans="1:6" x14ac:dyDescent="0.35">
      <c r="A2013" s="3">
        <v>81307194086</v>
      </c>
      <c r="B2013" s="3">
        <v>205</v>
      </c>
      <c r="C2013" s="32">
        <v>49172</v>
      </c>
      <c r="D2013" s="32" t="s">
        <v>87</v>
      </c>
      <c r="E2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4" spans="1:6" x14ac:dyDescent="0.35">
      <c r="A2014" s="3">
        <v>95877988309</v>
      </c>
      <c r="B2014" s="3">
        <v>229</v>
      </c>
      <c r="C2014" s="32">
        <v>49172</v>
      </c>
      <c r="D2014" s="32" t="s">
        <v>87</v>
      </c>
      <c r="E2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5" spans="1:6" x14ac:dyDescent="0.35">
      <c r="A2015" s="3">
        <v>33490749940</v>
      </c>
      <c r="B2015" s="3">
        <v>329</v>
      </c>
      <c r="C2015" s="32">
        <v>49172</v>
      </c>
      <c r="D2015" s="32"/>
      <c r="E2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6" spans="1:6" x14ac:dyDescent="0.35">
      <c r="A2016" s="3">
        <v>52731712412</v>
      </c>
      <c r="B2016" s="3">
        <v>9</v>
      </c>
      <c r="C2016" s="32">
        <v>49173</v>
      </c>
      <c r="D2016" s="32" t="s">
        <v>87</v>
      </c>
      <c r="E2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7" spans="1:6" x14ac:dyDescent="0.35">
      <c r="A2017" s="3">
        <v>21112848134</v>
      </c>
      <c r="B2017" s="3">
        <v>22</v>
      </c>
      <c r="C2017" s="32">
        <v>49173</v>
      </c>
      <c r="D2017" s="32" t="s">
        <v>87</v>
      </c>
      <c r="E2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8" spans="1:6" x14ac:dyDescent="0.35">
      <c r="A2018" s="3">
        <v>58220392556</v>
      </c>
      <c r="B2018" s="3">
        <v>24</v>
      </c>
      <c r="C2018" s="32">
        <v>49173</v>
      </c>
      <c r="D2018" s="32">
        <v>49282</v>
      </c>
      <c r="E2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19" spans="1:6" x14ac:dyDescent="0.35">
      <c r="A2019" s="3">
        <v>37466989845</v>
      </c>
      <c r="B2019" s="3">
        <v>58</v>
      </c>
      <c r="C2019" s="32">
        <v>49173</v>
      </c>
      <c r="D2019" s="32">
        <v>49285</v>
      </c>
      <c r="E2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20" spans="1:6" x14ac:dyDescent="0.35">
      <c r="A2020" s="3">
        <v>56073590346</v>
      </c>
      <c r="B2020" s="3">
        <v>89</v>
      </c>
      <c r="C2020" s="32">
        <v>49173</v>
      </c>
      <c r="D2020" s="32" t="s">
        <v>87</v>
      </c>
      <c r="E2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1" spans="1:6" x14ac:dyDescent="0.35">
      <c r="A2021" s="3">
        <v>79515182961</v>
      </c>
      <c r="B2021" s="3">
        <v>94</v>
      </c>
      <c r="C2021" s="32">
        <v>49173</v>
      </c>
      <c r="D2021" s="32"/>
      <c r="E2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2" spans="1:6" x14ac:dyDescent="0.35">
      <c r="A2022" s="3">
        <v>51672648963</v>
      </c>
      <c r="B2022" s="3">
        <v>97</v>
      </c>
      <c r="C2022" s="32">
        <v>49173</v>
      </c>
      <c r="D2022" s="32"/>
      <c r="E2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3" spans="1:6" x14ac:dyDescent="0.35">
      <c r="A2023" s="3">
        <v>24323484962</v>
      </c>
      <c r="B2023" s="3">
        <v>99</v>
      </c>
      <c r="C2023" s="32">
        <v>49173</v>
      </c>
      <c r="D2023" s="32" t="s">
        <v>87</v>
      </c>
      <c r="E2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4" spans="1:6" x14ac:dyDescent="0.35">
      <c r="A2024" s="3">
        <v>76192602983</v>
      </c>
      <c r="B2024" s="3">
        <v>103</v>
      </c>
      <c r="C2024" s="32">
        <v>49173</v>
      </c>
      <c r="D2024" s="32" t="s">
        <v>87</v>
      </c>
      <c r="E2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5" spans="1:6" x14ac:dyDescent="0.35">
      <c r="A2025" s="3">
        <v>90853673757</v>
      </c>
      <c r="B2025" s="3">
        <v>109</v>
      </c>
      <c r="C2025" s="32">
        <v>49173</v>
      </c>
      <c r="D2025" s="32" t="s">
        <v>87</v>
      </c>
      <c r="E2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6" spans="1:6" x14ac:dyDescent="0.35">
      <c r="A2026" s="3">
        <v>77109061500</v>
      </c>
      <c r="B2026" s="3">
        <v>168</v>
      </c>
      <c r="C2026" s="32">
        <v>49173</v>
      </c>
      <c r="D2026" s="32" t="s">
        <v>87</v>
      </c>
      <c r="E2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7" spans="1:6" x14ac:dyDescent="0.35">
      <c r="A2027" s="3">
        <v>50495431113</v>
      </c>
      <c r="B2027" s="3">
        <v>196</v>
      </c>
      <c r="C2027" s="32">
        <v>49173</v>
      </c>
      <c r="D2027" s="32" t="s">
        <v>87</v>
      </c>
      <c r="E2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8" spans="1:6" x14ac:dyDescent="0.35">
      <c r="A2028" s="3">
        <v>45412331482</v>
      </c>
      <c r="B2028" s="3">
        <v>203</v>
      </c>
      <c r="C2028" s="32">
        <v>49173</v>
      </c>
      <c r="D2028" s="32" t="s">
        <v>87</v>
      </c>
      <c r="E2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9" spans="1:6" x14ac:dyDescent="0.35">
      <c r="A2029" s="3">
        <v>49356982495</v>
      </c>
      <c r="B2029" s="3">
        <v>234</v>
      </c>
      <c r="C2029" s="32">
        <v>49173</v>
      </c>
      <c r="D2029" s="32" t="s">
        <v>87</v>
      </c>
      <c r="E2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0" spans="1:6" x14ac:dyDescent="0.35">
      <c r="A2030" s="3">
        <v>81041044370</v>
      </c>
      <c r="B2030" s="3">
        <v>235</v>
      </c>
      <c r="C2030" s="32">
        <v>49173</v>
      </c>
      <c r="D2030" s="32">
        <v>49252</v>
      </c>
      <c r="E2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31" spans="1:6" x14ac:dyDescent="0.35">
      <c r="A2031" s="3">
        <v>62423950619</v>
      </c>
      <c r="B2031" s="3">
        <v>238</v>
      </c>
      <c r="C2031" s="32">
        <v>49173</v>
      </c>
      <c r="D2031" s="32" t="s">
        <v>87</v>
      </c>
      <c r="E2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2" spans="1:6" x14ac:dyDescent="0.35">
      <c r="A2032" s="3">
        <v>94982832301</v>
      </c>
      <c r="B2032" s="3">
        <v>244</v>
      </c>
      <c r="C2032" s="32">
        <v>49173</v>
      </c>
      <c r="D2032" s="32" t="s">
        <v>87</v>
      </c>
      <c r="E2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3" spans="1:6" x14ac:dyDescent="0.35">
      <c r="A2033" s="3">
        <v>87282161384</v>
      </c>
      <c r="B2033" s="3">
        <v>252</v>
      </c>
      <c r="C2033" s="32">
        <v>49173</v>
      </c>
      <c r="D2033" s="32" t="s">
        <v>87</v>
      </c>
      <c r="E2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4" spans="1:6" x14ac:dyDescent="0.35">
      <c r="A2034" s="3">
        <v>52502316429</v>
      </c>
      <c r="B2034" s="3">
        <v>253</v>
      </c>
      <c r="C2034" s="32">
        <v>49173</v>
      </c>
      <c r="D2034" s="32" t="s">
        <v>87</v>
      </c>
      <c r="E2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5" spans="1:6" x14ac:dyDescent="0.35">
      <c r="A2035" s="3">
        <v>72736582305</v>
      </c>
      <c r="B2035" s="3">
        <v>276</v>
      </c>
      <c r="C2035" s="32">
        <v>49173</v>
      </c>
      <c r="D2035" s="32" t="s">
        <v>87</v>
      </c>
      <c r="E2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6" spans="1:6" x14ac:dyDescent="0.35">
      <c r="A2036" s="3">
        <v>92703422800</v>
      </c>
      <c r="B2036" s="3">
        <v>293</v>
      </c>
      <c r="C2036" s="32">
        <v>49173</v>
      </c>
      <c r="D2036" s="32" t="s">
        <v>87</v>
      </c>
      <c r="E2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7" spans="1:6" x14ac:dyDescent="0.35">
      <c r="A2037" s="3">
        <v>34263668827</v>
      </c>
      <c r="B2037" s="3">
        <v>302</v>
      </c>
      <c r="C2037" s="32">
        <v>49173</v>
      </c>
      <c r="D2037" s="32" t="s">
        <v>87</v>
      </c>
      <c r="E2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8" spans="1:6" x14ac:dyDescent="0.35">
      <c r="A2038" s="3">
        <v>30285813485</v>
      </c>
      <c r="B2038" s="3">
        <v>320</v>
      </c>
      <c r="C2038" s="32">
        <v>49173</v>
      </c>
      <c r="D2038" s="32" t="s">
        <v>87</v>
      </c>
      <c r="E2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9" spans="1:6" x14ac:dyDescent="0.35">
      <c r="A2039" s="3">
        <v>36523520055</v>
      </c>
      <c r="B2039" s="3">
        <v>326</v>
      </c>
      <c r="C2039" s="32">
        <v>49173</v>
      </c>
      <c r="D2039" s="32" t="s">
        <v>87</v>
      </c>
      <c r="E2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0" spans="1:6" x14ac:dyDescent="0.35">
      <c r="A2040" s="3">
        <v>98948017834</v>
      </c>
      <c r="B2040" s="3">
        <v>326</v>
      </c>
      <c r="C2040" s="32">
        <v>49173</v>
      </c>
      <c r="D2040" s="32">
        <v>49253</v>
      </c>
      <c r="E2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41" spans="1:6" x14ac:dyDescent="0.35">
      <c r="A2041" s="3">
        <v>74730872469</v>
      </c>
      <c r="B2041" s="3">
        <v>31</v>
      </c>
      <c r="C2041" s="32">
        <v>49174</v>
      </c>
      <c r="D2041" s="32">
        <v>49292</v>
      </c>
      <c r="E2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42" spans="1:6" x14ac:dyDescent="0.35">
      <c r="A2042" s="3">
        <v>29583650585</v>
      </c>
      <c r="B2042" s="3">
        <v>36</v>
      </c>
      <c r="C2042" s="32">
        <v>49174</v>
      </c>
      <c r="D2042" s="32">
        <v>49282</v>
      </c>
      <c r="E2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43" spans="1:6" x14ac:dyDescent="0.35">
      <c r="A2043" s="3">
        <v>65815515862</v>
      </c>
      <c r="B2043" s="3">
        <v>37</v>
      </c>
      <c r="C2043" s="32">
        <v>49174</v>
      </c>
      <c r="D2043" s="32" t="s">
        <v>87</v>
      </c>
      <c r="E2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4" spans="1:6" x14ac:dyDescent="0.35">
      <c r="A2044" s="3">
        <v>37107090388</v>
      </c>
      <c r="B2044" s="3">
        <v>61</v>
      </c>
      <c r="C2044" s="32">
        <v>49174</v>
      </c>
      <c r="D2044" s="32" t="s">
        <v>87</v>
      </c>
      <c r="E2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5" spans="1:6" x14ac:dyDescent="0.35">
      <c r="A2045" s="3">
        <v>53372617574</v>
      </c>
      <c r="B2045" s="3">
        <v>70</v>
      </c>
      <c r="C2045" s="32">
        <v>49174</v>
      </c>
      <c r="D2045" s="32" t="s">
        <v>87</v>
      </c>
      <c r="E2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6" spans="1:6" x14ac:dyDescent="0.35">
      <c r="A2046" s="3">
        <v>96323551787</v>
      </c>
      <c r="B2046" s="3">
        <v>73</v>
      </c>
      <c r="C2046" s="32">
        <v>49174</v>
      </c>
      <c r="D2046" s="32" t="s">
        <v>87</v>
      </c>
      <c r="E2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7" spans="1:6" x14ac:dyDescent="0.35">
      <c r="A2047" s="3">
        <v>95918220378</v>
      </c>
      <c r="B2047" s="3">
        <v>90</v>
      </c>
      <c r="C2047" s="32">
        <v>49174</v>
      </c>
      <c r="D2047" s="32">
        <v>49246</v>
      </c>
      <c r="E2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48" spans="1:6" x14ac:dyDescent="0.35">
      <c r="A2048" s="3">
        <v>51166213884</v>
      </c>
      <c r="B2048" s="3">
        <v>96</v>
      </c>
      <c r="C2048" s="32">
        <v>49174</v>
      </c>
      <c r="D2048" s="32" t="s">
        <v>87</v>
      </c>
      <c r="E2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9" spans="1:6" x14ac:dyDescent="0.35">
      <c r="A2049" s="3">
        <v>71632987496</v>
      </c>
      <c r="B2049" s="3">
        <v>108</v>
      </c>
      <c r="C2049" s="32">
        <v>49174</v>
      </c>
      <c r="D2049" s="32">
        <v>49201</v>
      </c>
      <c r="E2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0" spans="1:6" x14ac:dyDescent="0.35">
      <c r="A2050" s="3">
        <v>70873577141</v>
      </c>
      <c r="B2050" s="3">
        <v>111</v>
      </c>
      <c r="C2050" s="32">
        <v>49174</v>
      </c>
      <c r="D2050" s="32">
        <v>49189</v>
      </c>
      <c r="E2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1" spans="1:6" x14ac:dyDescent="0.35">
      <c r="A2051" s="3">
        <v>98330573270</v>
      </c>
      <c r="B2051" s="3">
        <v>113</v>
      </c>
      <c r="C2051" s="32">
        <v>49174</v>
      </c>
      <c r="D2051" s="32" t="s">
        <v>87</v>
      </c>
      <c r="E2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2" spans="1:6" x14ac:dyDescent="0.35">
      <c r="A2052" s="3">
        <v>36688024134</v>
      </c>
      <c r="B2052" s="3">
        <v>117</v>
      </c>
      <c r="C2052" s="32">
        <v>49174</v>
      </c>
      <c r="D2052" s="32"/>
      <c r="E2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3" spans="1:6" x14ac:dyDescent="0.35">
      <c r="A2053" s="3">
        <v>27980271502</v>
      </c>
      <c r="B2053" s="3">
        <v>150</v>
      </c>
      <c r="C2053" s="32">
        <v>49174</v>
      </c>
      <c r="D2053" s="32">
        <v>49271</v>
      </c>
      <c r="E2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54" spans="1:6" x14ac:dyDescent="0.35">
      <c r="A2054" s="3">
        <v>97186913070</v>
      </c>
      <c r="B2054" s="3">
        <v>158</v>
      </c>
      <c r="C2054" s="32">
        <v>49174</v>
      </c>
      <c r="D2054" s="32" t="s">
        <v>87</v>
      </c>
      <c r="E2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5" spans="1:6" x14ac:dyDescent="0.35">
      <c r="A2055" s="3">
        <v>72299635350</v>
      </c>
      <c r="B2055" s="3">
        <v>161</v>
      </c>
      <c r="C2055" s="32">
        <v>49174</v>
      </c>
      <c r="D2055" s="32" t="s">
        <v>87</v>
      </c>
      <c r="E2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6" spans="1:6" x14ac:dyDescent="0.35">
      <c r="A2056" s="3">
        <v>32801292282</v>
      </c>
      <c r="B2056" s="3">
        <v>210</v>
      </c>
      <c r="C2056" s="32">
        <v>49174</v>
      </c>
      <c r="D2056" s="32">
        <v>49272</v>
      </c>
      <c r="E2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57" spans="1:6" x14ac:dyDescent="0.35">
      <c r="A2057" s="3">
        <v>67959414174</v>
      </c>
      <c r="B2057" s="3">
        <v>229</v>
      </c>
      <c r="C2057" s="32">
        <v>49174</v>
      </c>
      <c r="D2057" s="32">
        <v>49211</v>
      </c>
      <c r="E2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8" spans="1:6" x14ac:dyDescent="0.35">
      <c r="A2058" s="3">
        <v>82664822830</v>
      </c>
      <c r="B2058" s="3">
        <v>254</v>
      </c>
      <c r="C2058" s="32">
        <v>49174</v>
      </c>
      <c r="D2058" s="32"/>
      <c r="E2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9" spans="1:6" x14ac:dyDescent="0.35">
      <c r="A2059" s="3">
        <v>99425591347</v>
      </c>
      <c r="B2059" s="3">
        <v>276</v>
      </c>
      <c r="C2059" s="32">
        <v>49174</v>
      </c>
      <c r="D2059" s="32">
        <v>49246</v>
      </c>
      <c r="E2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60" spans="1:6" x14ac:dyDescent="0.35">
      <c r="A2060" s="3">
        <v>97386097994</v>
      </c>
      <c r="B2060" s="3">
        <v>286</v>
      </c>
      <c r="C2060" s="32">
        <v>49174</v>
      </c>
      <c r="D2060" s="32" t="s">
        <v>87</v>
      </c>
      <c r="E2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1" spans="1:6" x14ac:dyDescent="0.35">
      <c r="A2061" s="3">
        <v>57208653195</v>
      </c>
      <c r="B2061" s="3">
        <v>288</v>
      </c>
      <c r="C2061" s="32">
        <v>49174</v>
      </c>
      <c r="D2061" s="32" t="s">
        <v>87</v>
      </c>
      <c r="E2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2" spans="1:6" x14ac:dyDescent="0.35">
      <c r="A2062" s="3">
        <v>56481695595</v>
      </c>
      <c r="B2062" s="3">
        <v>289</v>
      </c>
      <c r="C2062" s="32">
        <v>49174</v>
      </c>
      <c r="D2062" s="32" t="s">
        <v>87</v>
      </c>
      <c r="E2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3" spans="1:6" x14ac:dyDescent="0.35">
      <c r="A2063" s="3">
        <v>54768019285</v>
      </c>
      <c r="B2063" s="3">
        <v>324</v>
      </c>
      <c r="C2063" s="32">
        <v>49174</v>
      </c>
      <c r="D2063" s="32">
        <v>49229</v>
      </c>
      <c r="E2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64" spans="1:6" x14ac:dyDescent="0.35">
      <c r="A2064" s="3">
        <v>13640455725</v>
      </c>
      <c r="B2064" s="3">
        <v>14</v>
      </c>
      <c r="C2064" s="32">
        <v>49175</v>
      </c>
      <c r="D2064" s="32" t="s">
        <v>87</v>
      </c>
      <c r="E2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5" spans="1:6" x14ac:dyDescent="0.35">
      <c r="A2065" s="3">
        <v>95222989933</v>
      </c>
      <c r="B2065" s="3">
        <v>24</v>
      </c>
      <c r="C2065" s="32">
        <v>49175</v>
      </c>
      <c r="D2065" s="32" t="s">
        <v>87</v>
      </c>
      <c r="E2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6" spans="1:6" x14ac:dyDescent="0.35">
      <c r="A2066" s="3">
        <v>89495622312</v>
      </c>
      <c r="B2066" s="3">
        <v>28</v>
      </c>
      <c r="C2066" s="32">
        <v>49175</v>
      </c>
      <c r="D2066" s="32" t="s">
        <v>87</v>
      </c>
      <c r="E2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7" spans="1:6" x14ac:dyDescent="0.35">
      <c r="A2067" s="3">
        <v>47149499414</v>
      </c>
      <c r="B2067" s="3">
        <v>48</v>
      </c>
      <c r="C2067" s="32">
        <v>49175</v>
      </c>
      <c r="D2067" s="32" t="s">
        <v>87</v>
      </c>
      <c r="E2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8" spans="1:6" x14ac:dyDescent="0.35">
      <c r="A2068" s="3">
        <v>60371158253</v>
      </c>
      <c r="B2068" s="3">
        <v>52</v>
      </c>
      <c r="C2068" s="32">
        <v>49175</v>
      </c>
      <c r="D2068" s="32" t="s">
        <v>87</v>
      </c>
      <c r="E2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9" spans="1:6" x14ac:dyDescent="0.35">
      <c r="A2069" s="3">
        <v>96851450314</v>
      </c>
      <c r="B2069" s="3">
        <v>68</v>
      </c>
      <c r="C2069" s="32">
        <v>49175</v>
      </c>
      <c r="D2069" s="32" t="s">
        <v>87</v>
      </c>
      <c r="E2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0" spans="1:6" x14ac:dyDescent="0.35">
      <c r="A2070" s="3">
        <v>74657281615</v>
      </c>
      <c r="B2070" s="3">
        <v>90</v>
      </c>
      <c r="C2070" s="32">
        <v>49175</v>
      </c>
      <c r="D2070" s="32"/>
      <c r="E2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1" spans="1:6" x14ac:dyDescent="0.35">
      <c r="A2071" s="3">
        <v>30657026834</v>
      </c>
      <c r="B2071" s="3">
        <v>96</v>
      </c>
      <c r="C2071" s="32">
        <v>49175</v>
      </c>
      <c r="D2071" s="32">
        <v>49238</v>
      </c>
      <c r="E2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72" spans="1:6" x14ac:dyDescent="0.35">
      <c r="A2072" s="3">
        <v>48756259129</v>
      </c>
      <c r="B2072" s="3">
        <v>138</v>
      </c>
      <c r="C2072" s="32">
        <v>49175</v>
      </c>
      <c r="D2072" s="32" t="s">
        <v>87</v>
      </c>
      <c r="E2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3" spans="1:6" x14ac:dyDescent="0.35">
      <c r="A2073" s="3">
        <v>75368089957</v>
      </c>
      <c r="B2073" s="3">
        <v>141</v>
      </c>
      <c r="C2073" s="32">
        <v>49175</v>
      </c>
      <c r="D2073" s="32" t="s">
        <v>87</v>
      </c>
      <c r="E2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4" spans="1:6" x14ac:dyDescent="0.35">
      <c r="A2074" s="3">
        <v>94108612694</v>
      </c>
      <c r="B2074" s="3">
        <v>143</v>
      </c>
      <c r="C2074" s="32">
        <v>49175</v>
      </c>
      <c r="D2074" s="32">
        <v>49255</v>
      </c>
      <c r="E2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75" spans="1:6" x14ac:dyDescent="0.35">
      <c r="A2075" s="3">
        <v>76194272752</v>
      </c>
      <c r="B2075" s="3">
        <v>151</v>
      </c>
      <c r="C2075" s="32">
        <v>49175</v>
      </c>
      <c r="D2075" s="32" t="s">
        <v>87</v>
      </c>
      <c r="E2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6" spans="1:6" x14ac:dyDescent="0.35">
      <c r="A2076" s="3">
        <v>98137973587</v>
      </c>
      <c r="B2076" s="3">
        <v>160</v>
      </c>
      <c r="C2076" s="32">
        <v>49175</v>
      </c>
      <c r="D2076" s="32" t="s">
        <v>87</v>
      </c>
      <c r="E2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7" spans="1:6" x14ac:dyDescent="0.35">
      <c r="A2077" s="3">
        <v>68832226801</v>
      </c>
      <c r="B2077" s="3">
        <v>160</v>
      </c>
      <c r="C2077" s="32">
        <v>49175</v>
      </c>
      <c r="D2077" s="32" t="s">
        <v>87</v>
      </c>
      <c r="E2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8" spans="1:6" x14ac:dyDescent="0.35">
      <c r="A2078" s="3">
        <v>46933717410</v>
      </c>
      <c r="B2078" s="3">
        <v>166</v>
      </c>
      <c r="C2078" s="32">
        <v>49175</v>
      </c>
      <c r="D2078" s="32">
        <v>49293</v>
      </c>
      <c r="E2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79" spans="1:6" x14ac:dyDescent="0.35">
      <c r="A2079" s="3">
        <v>79066061623</v>
      </c>
      <c r="B2079" s="3">
        <v>182</v>
      </c>
      <c r="C2079" s="32">
        <v>49175</v>
      </c>
      <c r="D2079" s="32" t="s">
        <v>87</v>
      </c>
      <c r="E2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0" spans="1:6" x14ac:dyDescent="0.35">
      <c r="A2080" s="3">
        <v>58935440493</v>
      </c>
      <c r="B2080" s="3">
        <v>187</v>
      </c>
      <c r="C2080" s="32">
        <v>49175</v>
      </c>
      <c r="D2080" s="32" t="s">
        <v>87</v>
      </c>
      <c r="E2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1" spans="1:6" x14ac:dyDescent="0.35">
      <c r="A2081" s="3">
        <v>98806937668</v>
      </c>
      <c r="B2081" s="3">
        <v>206</v>
      </c>
      <c r="C2081" s="32">
        <v>49175</v>
      </c>
      <c r="D2081" s="32" t="s">
        <v>87</v>
      </c>
      <c r="E2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2" spans="1:6" x14ac:dyDescent="0.35">
      <c r="A2082" s="3">
        <v>57559605684</v>
      </c>
      <c r="B2082" s="3">
        <v>209</v>
      </c>
      <c r="C2082" s="32">
        <v>49175</v>
      </c>
      <c r="D2082" s="32" t="s">
        <v>87</v>
      </c>
      <c r="E2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3" spans="1:6" x14ac:dyDescent="0.35">
      <c r="A2083" s="3">
        <v>73243724003</v>
      </c>
      <c r="B2083" s="3">
        <v>225</v>
      </c>
      <c r="C2083" s="32">
        <v>49175</v>
      </c>
      <c r="D2083" s="32" t="s">
        <v>87</v>
      </c>
      <c r="E2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4" spans="1:6" x14ac:dyDescent="0.35">
      <c r="A2084" s="3">
        <v>98287829588</v>
      </c>
      <c r="B2084" s="3">
        <v>259</v>
      </c>
      <c r="C2084" s="32">
        <v>49175</v>
      </c>
      <c r="D2084" s="32" t="s">
        <v>87</v>
      </c>
      <c r="E2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5" spans="1:6" x14ac:dyDescent="0.35">
      <c r="A2085" s="3">
        <v>83234967341</v>
      </c>
      <c r="B2085" s="3">
        <v>262</v>
      </c>
      <c r="C2085" s="32">
        <v>49175</v>
      </c>
      <c r="D2085" s="32" t="s">
        <v>87</v>
      </c>
      <c r="E2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6" spans="1:6" x14ac:dyDescent="0.35">
      <c r="A2086" s="3">
        <v>12253436966</v>
      </c>
      <c r="B2086" s="3">
        <v>282</v>
      </c>
      <c r="C2086" s="32">
        <v>49175</v>
      </c>
      <c r="D2086" s="32">
        <v>49210</v>
      </c>
      <c r="E2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87" spans="1:6" x14ac:dyDescent="0.35">
      <c r="A2087" s="3">
        <v>46622353825</v>
      </c>
      <c r="B2087" s="3">
        <v>289</v>
      </c>
      <c r="C2087" s="32">
        <v>49175</v>
      </c>
      <c r="D2087" s="32" t="s">
        <v>87</v>
      </c>
      <c r="E2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8" spans="1:6" x14ac:dyDescent="0.35">
      <c r="A2088" s="3">
        <v>76668210512</v>
      </c>
      <c r="B2088" s="3">
        <v>292</v>
      </c>
      <c r="C2088" s="32">
        <v>49175</v>
      </c>
      <c r="D2088" s="32">
        <v>49249</v>
      </c>
      <c r="E2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89" spans="1:6" x14ac:dyDescent="0.35">
      <c r="A2089" s="3">
        <v>38675550074</v>
      </c>
      <c r="B2089" s="3">
        <v>298</v>
      </c>
      <c r="C2089" s="32">
        <v>49175</v>
      </c>
      <c r="D2089" s="32">
        <v>49215</v>
      </c>
      <c r="E2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90" spans="1:6" x14ac:dyDescent="0.35">
      <c r="A2090" s="3">
        <v>24343798699</v>
      </c>
      <c r="B2090" s="3">
        <v>299</v>
      </c>
      <c r="C2090" s="32">
        <v>49175</v>
      </c>
      <c r="D2090" s="32" t="s">
        <v>87</v>
      </c>
      <c r="E2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1" spans="1:6" x14ac:dyDescent="0.35">
      <c r="A2091" s="3">
        <v>39551670088</v>
      </c>
      <c r="B2091" s="3">
        <v>305</v>
      </c>
      <c r="C2091" s="32">
        <v>49175</v>
      </c>
      <c r="D2091" s="32" t="s">
        <v>87</v>
      </c>
      <c r="E2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2" spans="1:6" x14ac:dyDescent="0.35">
      <c r="A2092" s="3">
        <v>11521116332</v>
      </c>
      <c r="B2092" s="3">
        <v>308</v>
      </c>
      <c r="C2092" s="32">
        <v>49175</v>
      </c>
      <c r="D2092" s="32"/>
      <c r="E2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3" spans="1:6" x14ac:dyDescent="0.35">
      <c r="A2093" s="3">
        <v>20628507133</v>
      </c>
      <c r="B2093" s="3">
        <v>327</v>
      </c>
      <c r="C2093" s="32">
        <v>49175</v>
      </c>
      <c r="D2093" s="32">
        <v>49284</v>
      </c>
      <c r="E2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94" spans="1:6" x14ac:dyDescent="0.35">
      <c r="A2094" s="3">
        <v>33356560548</v>
      </c>
      <c r="B2094" s="3">
        <v>327</v>
      </c>
      <c r="C2094" s="32">
        <v>49175</v>
      </c>
      <c r="D2094" s="32">
        <v>49208</v>
      </c>
      <c r="E2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95" spans="1:6" x14ac:dyDescent="0.35">
      <c r="A2095" s="3">
        <v>55852176677</v>
      </c>
      <c r="B2095" s="3">
        <v>8</v>
      </c>
      <c r="C2095" s="32">
        <v>49176</v>
      </c>
      <c r="D2095" s="32"/>
      <c r="E2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6" spans="1:6" x14ac:dyDescent="0.35">
      <c r="A2096" s="3">
        <v>54565176914</v>
      </c>
      <c r="B2096" s="3">
        <v>13</v>
      </c>
      <c r="C2096" s="32">
        <v>49176</v>
      </c>
      <c r="D2096" s="32" t="s">
        <v>87</v>
      </c>
      <c r="E2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7" spans="1:6" x14ac:dyDescent="0.35">
      <c r="A2097" s="3">
        <v>46615194903</v>
      </c>
      <c r="B2097" s="3">
        <v>30</v>
      </c>
      <c r="C2097" s="32">
        <v>49176</v>
      </c>
      <c r="D2097" s="32" t="s">
        <v>87</v>
      </c>
      <c r="E2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8" spans="1:6" x14ac:dyDescent="0.35">
      <c r="A2098" s="3">
        <v>25272231377</v>
      </c>
      <c r="B2098" s="3">
        <v>67</v>
      </c>
      <c r="C2098" s="32">
        <v>49176</v>
      </c>
      <c r="D2098" s="32" t="s">
        <v>87</v>
      </c>
      <c r="E2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9" spans="1:6" x14ac:dyDescent="0.35">
      <c r="A2099" s="3">
        <v>95079254038</v>
      </c>
      <c r="B2099" s="3">
        <v>102</v>
      </c>
      <c r="C2099" s="32">
        <v>49176</v>
      </c>
      <c r="D2099" s="32" t="s">
        <v>87</v>
      </c>
      <c r="E2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0" spans="1:6" x14ac:dyDescent="0.35">
      <c r="A2100" s="3">
        <v>53153251780</v>
      </c>
      <c r="B2100" s="3">
        <v>112</v>
      </c>
      <c r="C2100" s="32">
        <v>49176</v>
      </c>
      <c r="D2100" s="32" t="s">
        <v>87</v>
      </c>
      <c r="E2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1" spans="1:6" x14ac:dyDescent="0.35">
      <c r="A2101" s="3">
        <v>28381639640</v>
      </c>
      <c r="B2101" s="3">
        <v>116</v>
      </c>
      <c r="C2101" s="32">
        <v>49176</v>
      </c>
      <c r="D2101" s="32" t="s">
        <v>87</v>
      </c>
      <c r="E2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2" spans="1:6" x14ac:dyDescent="0.35">
      <c r="A2102" s="3">
        <v>36032283326</v>
      </c>
      <c r="B2102" s="3">
        <v>121</v>
      </c>
      <c r="C2102" s="32">
        <v>49176</v>
      </c>
      <c r="D2102" s="32">
        <v>49180</v>
      </c>
      <c r="E2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103" spans="1:6" x14ac:dyDescent="0.35">
      <c r="A2103" s="3">
        <v>24107470218</v>
      </c>
      <c r="B2103" s="3">
        <v>124</v>
      </c>
      <c r="C2103" s="32">
        <v>49176</v>
      </c>
      <c r="D2103" s="32" t="s">
        <v>87</v>
      </c>
      <c r="E2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4" spans="1:6" x14ac:dyDescent="0.35">
      <c r="A2104" s="3">
        <v>51625412662</v>
      </c>
      <c r="B2104" s="3">
        <v>124</v>
      </c>
      <c r="C2104" s="32">
        <v>49176</v>
      </c>
      <c r="D2104" s="32">
        <v>49226</v>
      </c>
      <c r="E2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05" spans="1:6" x14ac:dyDescent="0.35">
      <c r="A2105" s="3">
        <v>28809433892</v>
      </c>
      <c r="B2105" s="3">
        <v>128</v>
      </c>
      <c r="C2105" s="32">
        <v>49176</v>
      </c>
      <c r="D2105" s="32">
        <v>49284</v>
      </c>
      <c r="E2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06" spans="1:6" x14ac:dyDescent="0.35">
      <c r="A2106" s="3">
        <v>73991346705</v>
      </c>
      <c r="B2106" s="3">
        <v>133</v>
      </c>
      <c r="C2106" s="32">
        <v>49176</v>
      </c>
      <c r="D2106" s="32">
        <v>49229</v>
      </c>
      <c r="E2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07" spans="1:6" x14ac:dyDescent="0.35">
      <c r="A2107" s="3">
        <v>28916070337</v>
      </c>
      <c r="B2107" s="3">
        <v>136</v>
      </c>
      <c r="C2107" s="32">
        <v>49176</v>
      </c>
      <c r="D2107" s="32" t="s">
        <v>87</v>
      </c>
      <c r="E2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8" spans="1:6" x14ac:dyDescent="0.35">
      <c r="A2108" s="3">
        <v>47056129089</v>
      </c>
      <c r="B2108" s="3">
        <v>143</v>
      </c>
      <c r="C2108" s="32">
        <v>49176</v>
      </c>
      <c r="D2108" s="32">
        <v>49202</v>
      </c>
      <c r="E2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09" spans="1:6" x14ac:dyDescent="0.35">
      <c r="A2109" s="3">
        <v>16379209383</v>
      </c>
      <c r="B2109" s="3">
        <v>169</v>
      </c>
      <c r="C2109" s="32">
        <v>49176</v>
      </c>
      <c r="D2109" s="32" t="s">
        <v>87</v>
      </c>
      <c r="E2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0" spans="1:6" x14ac:dyDescent="0.35">
      <c r="A2110" s="3">
        <v>67232530546</v>
      </c>
      <c r="B2110" s="3">
        <v>192</v>
      </c>
      <c r="C2110" s="32">
        <v>49176</v>
      </c>
      <c r="D2110" s="32" t="s">
        <v>87</v>
      </c>
      <c r="E2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1" spans="1:6" x14ac:dyDescent="0.35">
      <c r="A2111" s="3">
        <v>56463247638</v>
      </c>
      <c r="B2111" s="3">
        <v>204</v>
      </c>
      <c r="C2111" s="32">
        <v>49176</v>
      </c>
      <c r="D2111" s="32" t="s">
        <v>87</v>
      </c>
      <c r="E2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2" spans="1:6" x14ac:dyDescent="0.35">
      <c r="A2112" s="3">
        <v>93744129785</v>
      </c>
      <c r="B2112" s="3">
        <v>213</v>
      </c>
      <c r="C2112" s="32">
        <v>49176</v>
      </c>
      <c r="D2112" s="32" t="s">
        <v>87</v>
      </c>
      <c r="E2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3" spans="1:6" x14ac:dyDescent="0.35">
      <c r="A2113" s="3">
        <v>36553812196</v>
      </c>
      <c r="B2113" s="3">
        <v>235</v>
      </c>
      <c r="C2113" s="32">
        <v>49176</v>
      </c>
      <c r="D2113" s="32"/>
      <c r="E2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4" spans="1:6" x14ac:dyDescent="0.35">
      <c r="A2114" s="3">
        <v>78153828007</v>
      </c>
      <c r="B2114" s="3">
        <v>248</v>
      </c>
      <c r="C2114" s="32">
        <v>49176</v>
      </c>
      <c r="D2114" s="32" t="s">
        <v>87</v>
      </c>
      <c r="E2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5" spans="1:6" x14ac:dyDescent="0.35">
      <c r="A2115" s="3">
        <v>74944760775</v>
      </c>
      <c r="B2115" s="3">
        <v>256</v>
      </c>
      <c r="C2115" s="32">
        <v>49176</v>
      </c>
      <c r="D2115" s="32" t="s">
        <v>87</v>
      </c>
      <c r="E2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6" spans="1:6" x14ac:dyDescent="0.35">
      <c r="A2116" s="3">
        <v>23138889411</v>
      </c>
      <c r="B2116" s="3">
        <v>271</v>
      </c>
      <c r="C2116" s="32">
        <v>49176</v>
      </c>
      <c r="D2116" s="32" t="s">
        <v>87</v>
      </c>
      <c r="E2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7" spans="1:6" x14ac:dyDescent="0.35">
      <c r="A2117" s="3">
        <v>76670615335</v>
      </c>
      <c r="B2117" s="3">
        <v>273</v>
      </c>
      <c r="C2117" s="32">
        <v>49176</v>
      </c>
      <c r="D2117" s="32" t="s">
        <v>87</v>
      </c>
      <c r="E2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8" spans="1:6" x14ac:dyDescent="0.35">
      <c r="A2118" s="3">
        <v>11124873907</v>
      </c>
      <c r="B2118" s="3">
        <v>287</v>
      </c>
      <c r="C2118" s="32">
        <v>49176</v>
      </c>
      <c r="D2118" s="32" t="s">
        <v>87</v>
      </c>
      <c r="E2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9" spans="1:6" x14ac:dyDescent="0.35">
      <c r="A2119" s="3">
        <v>29388830387</v>
      </c>
      <c r="B2119" s="3">
        <v>291</v>
      </c>
      <c r="C2119" s="32">
        <v>49176</v>
      </c>
      <c r="D2119" s="32" t="s">
        <v>87</v>
      </c>
      <c r="E2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0" spans="1:6" x14ac:dyDescent="0.35">
      <c r="A2120" s="3">
        <v>52078632720</v>
      </c>
      <c r="B2120" s="3">
        <v>297</v>
      </c>
      <c r="C2120" s="32">
        <v>49176</v>
      </c>
      <c r="D2120" s="32" t="s">
        <v>87</v>
      </c>
      <c r="E2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1" spans="1:6" x14ac:dyDescent="0.35">
      <c r="A2121" s="3">
        <v>16422889578</v>
      </c>
      <c r="B2121" s="3">
        <v>21</v>
      </c>
      <c r="C2121" s="32">
        <v>49177</v>
      </c>
      <c r="D2121" s="32" t="s">
        <v>87</v>
      </c>
      <c r="E2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2" spans="1:6" x14ac:dyDescent="0.35">
      <c r="A2122" s="3">
        <v>46082208801</v>
      </c>
      <c r="B2122" s="3">
        <v>29</v>
      </c>
      <c r="C2122" s="32">
        <v>49177</v>
      </c>
      <c r="D2122" s="32" t="s">
        <v>87</v>
      </c>
      <c r="E2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3" spans="1:6" x14ac:dyDescent="0.35">
      <c r="A2123" s="3">
        <v>65075505934</v>
      </c>
      <c r="B2123" s="3">
        <v>30</v>
      </c>
      <c r="C2123" s="32">
        <v>49177</v>
      </c>
      <c r="D2123" s="32" t="s">
        <v>87</v>
      </c>
      <c r="E2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4" spans="1:6" x14ac:dyDescent="0.35">
      <c r="A2124" s="3">
        <v>96547994657</v>
      </c>
      <c r="B2124" s="3">
        <v>38</v>
      </c>
      <c r="C2124" s="32">
        <v>49177</v>
      </c>
      <c r="D2124" s="32" t="s">
        <v>87</v>
      </c>
      <c r="E2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5" spans="1:6" x14ac:dyDescent="0.35">
      <c r="A2125" s="3">
        <v>54880186182</v>
      </c>
      <c r="B2125" s="3">
        <v>73</v>
      </c>
      <c r="C2125" s="32">
        <v>49177</v>
      </c>
      <c r="D2125" s="32">
        <v>49239</v>
      </c>
      <c r="E2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26" spans="1:6" x14ac:dyDescent="0.35">
      <c r="A2126" s="3">
        <v>22205939337</v>
      </c>
      <c r="B2126" s="3">
        <v>90</v>
      </c>
      <c r="C2126" s="32">
        <v>49177</v>
      </c>
      <c r="D2126" s="32" t="s">
        <v>87</v>
      </c>
      <c r="E2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7" spans="1:6" x14ac:dyDescent="0.35">
      <c r="A2127" s="3">
        <v>73622285068</v>
      </c>
      <c r="B2127" s="3">
        <v>90</v>
      </c>
      <c r="C2127" s="32">
        <v>49177</v>
      </c>
      <c r="D2127" s="32">
        <v>49288</v>
      </c>
      <c r="E2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28" spans="1:6" x14ac:dyDescent="0.35">
      <c r="A2128" s="3">
        <v>20997327207</v>
      </c>
      <c r="B2128" s="3">
        <v>113</v>
      </c>
      <c r="C2128" s="32">
        <v>49177</v>
      </c>
      <c r="D2128" s="32">
        <v>49277</v>
      </c>
      <c r="E2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29" spans="1:6" x14ac:dyDescent="0.35">
      <c r="A2129" s="3">
        <v>97809732078</v>
      </c>
      <c r="B2129" s="3">
        <v>129</v>
      </c>
      <c r="C2129" s="32">
        <v>49177</v>
      </c>
      <c r="D2129" s="32">
        <v>49216</v>
      </c>
      <c r="E2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30" spans="1:6" x14ac:dyDescent="0.35">
      <c r="A2130" s="3">
        <v>33904365619</v>
      </c>
      <c r="B2130" s="3">
        <v>136</v>
      </c>
      <c r="C2130" s="32">
        <v>49177</v>
      </c>
      <c r="D2130" s="32" t="s">
        <v>87</v>
      </c>
      <c r="E2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1" spans="1:6" x14ac:dyDescent="0.35">
      <c r="A2131" s="3">
        <v>43925108238</v>
      </c>
      <c r="B2131" s="3">
        <v>178</v>
      </c>
      <c r="C2131" s="32">
        <v>49177</v>
      </c>
      <c r="D2131" s="32" t="s">
        <v>87</v>
      </c>
      <c r="E2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2" spans="1:6" x14ac:dyDescent="0.35">
      <c r="A2132" s="3">
        <v>14820302412</v>
      </c>
      <c r="B2132" s="3">
        <v>184</v>
      </c>
      <c r="C2132" s="32">
        <v>49177</v>
      </c>
      <c r="D2132" s="32" t="s">
        <v>87</v>
      </c>
      <c r="E2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3" spans="1:6" x14ac:dyDescent="0.35">
      <c r="A2133" s="3">
        <v>95706733452</v>
      </c>
      <c r="B2133" s="3">
        <v>188</v>
      </c>
      <c r="C2133" s="32">
        <v>49177</v>
      </c>
      <c r="D2133" s="32">
        <v>49267</v>
      </c>
      <c r="E2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34" spans="1:6" x14ac:dyDescent="0.35">
      <c r="A2134" s="3">
        <v>82954917836</v>
      </c>
      <c r="B2134" s="3">
        <v>196</v>
      </c>
      <c r="C2134" s="32">
        <v>49177</v>
      </c>
      <c r="D2134" s="32" t="s">
        <v>87</v>
      </c>
      <c r="E2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5" spans="1:6" x14ac:dyDescent="0.35">
      <c r="A2135" s="3">
        <v>12703278401</v>
      </c>
      <c r="B2135" s="3">
        <v>216</v>
      </c>
      <c r="C2135" s="32">
        <v>49177</v>
      </c>
      <c r="D2135" s="32" t="s">
        <v>87</v>
      </c>
      <c r="E2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6" spans="1:6" x14ac:dyDescent="0.35">
      <c r="A2136" s="3">
        <v>93033369991</v>
      </c>
      <c r="B2136" s="3">
        <v>217</v>
      </c>
      <c r="C2136" s="32">
        <v>49177</v>
      </c>
      <c r="D2136" s="32">
        <v>49237</v>
      </c>
      <c r="E2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37" spans="1:6" x14ac:dyDescent="0.35">
      <c r="A2137" s="3">
        <v>23913032188</v>
      </c>
      <c r="B2137" s="3">
        <v>239</v>
      </c>
      <c r="C2137" s="32">
        <v>49177</v>
      </c>
      <c r="D2137" s="32" t="s">
        <v>87</v>
      </c>
      <c r="E2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8" spans="1:6" x14ac:dyDescent="0.35">
      <c r="A2138" s="3">
        <v>94647370349</v>
      </c>
      <c r="B2138" s="3">
        <v>247</v>
      </c>
      <c r="C2138" s="32">
        <v>49177</v>
      </c>
      <c r="D2138" s="32" t="s">
        <v>87</v>
      </c>
      <c r="E2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9" spans="1:6" x14ac:dyDescent="0.35">
      <c r="A2139" s="3">
        <v>27356930771</v>
      </c>
      <c r="B2139" s="3">
        <v>247</v>
      </c>
      <c r="C2139" s="32">
        <v>49177</v>
      </c>
      <c r="D2139" s="32" t="s">
        <v>87</v>
      </c>
      <c r="E2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0" spans="1:6" x14ac:dyDescent="0.35">
      <c r="A2140" s="3">
        <v>73978794721</v>
      </c>
      <c r="B2140" s="3">
        <v>258</v>
      </c>
      <c r="C2140" s="32">
        <v>49177</v>
      </c>
      <c r="D2140" s="32" t="s">
        <v>87</v>
      </c>
      <c r="E2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1" spans="1:6" x14ac:dyDescent="0.35">
      <c r="A2141" s="3">
        <v>85750991960</v>
      </c>
      <c r="B2141" s="3">
        <v>282</v>
      </c>
      <c r="C2141" s="32">
        <v>49177</v>
      </c>
      <c r="D2141" s="32" t="s">
        <v>87</v>
      </c>
      <c r="E2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2" spans="1:6" x14ac:dyDescent="0.35">
      <c r="A2142" s="3">
        <v>47253157745</v>
      </c>
      <c r="B2142" s="3">
        <v>287</v>
      </c>
      <c r="C2142" s="32">
        <v>49177</v>
      </c>
      <c r="D2142" s="32" t="s">
        <v>87</v>
      </c>
      <c r="E2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3" spans="1:6" x14ac:dyDescent="0.35">
      <c r="A2143" s="3">
        <v>45393113332</v>
      </c>
      <c r="B2143" s="3">
        <v>299</v>
      </c>
      <c r="C2143" s="32">
        <v>49177</v>
      </c>
      <c r="D2143" s="32" t="s">
        <v>87</v>
      </c>
      <c r="E2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4" spans="1:6" x14ac:dyDescent="0.35">
      <c r="A2144" s="3">
        <v>98667553292</v>
      </c>
      <c r="B2144" s="3">
        <v>316</v>
      </c>
      <c r="C2144" s="32">
        <v>49177</v>
      </c>
      <c r="D2144" s="32" t="s">
        <v>87</v>
      </c>
      <c r="E2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5" spans="1:6" x14ac:dyDescent="0.35">
      <c r="A2145" s="3">
        <v>87609993552</v>
      </c>
      <c r="B2145" s="3">
        <v>317</v>
      </c>
      <c r="C2145" s="32">
        <v>49177</v>
      </c>
      <c r="D2145" s="32">
        <v>49282</v>
      </c>
      <c r="E2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46" spans="1:6" x14ac:dyDescent="0.35">
      <c r="A2146" s="3">
        <v>26398082603</v>
      </c>
      <c r="B2146" s="3">
        <v>322</v>
      </c>
      <c r="C2146" s="32">
        <v>49177</v>
      </c>
      <c r="D2146" s="32" t="s">
        <v>87</v>
      </c>
      <c r="E2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7" spans="1:6" x14ac:dyDescent="0.35">
      <c r="A2147" s="3">
        <v>60661420512</v>
      </c>
      <c r="B2147" s="3">
        <v>322</v>
      </c>
      <c r="C2147" s="32">
        <v>49177</v>
      </c>
      <c r="D2147" s="32">
        <v>49297</v>
      </c>
      <c r="E2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48" spans="1:6" x14ac:dyDescent="0.35">
      <c r="A2148" s="3">
        <v>43899334692</v>
      </c>
      <c r="B2148" s="3">
        <v>16</v>
      </c>
      <c r="C2148" s="32">
        <v>49178</v>
      </c>
      <c r="D2148" s="32" t="s">
        <v>87</v>
      </c>
      <c r="E2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9" spans="1:6" x14ac:dyDescent="0.35">
      <c r="A2149" s="3">
        <v>55863813957</v>
      </c>
      <c r="B2149" s="3">
        <v>26</v>
      </c>
      <c r="C2149" s="32">
        <v>49178</v>
      </c>
      <c r="D2149" s="32" t="s">
        <v>87</v>
      </c>
      <c r="E2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0" spans="1:6" x14ac:dyDescent="0.35">
      <c r="A2150" s="3">
        <v>90235948435</v>
      </c>
      <c r="B2150" s="3">
        <v>31</v>
      </c>
      <c r="C2150" s="32">
        <v>49178</v>
      </c>
      <c r="D2150" s="32" t="s">
        <v>87</v>
      </c>
      <c r="E2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1" spans="1:6" x14ac:dyDescent="0.35">
      <c r="A2151" s="3">
        <v>63593084914</v>
      </c>
      <c r="B2151" s="3">
        <v>33</v>
      </c>
      <c r="C2151" s="32">
        <v>49178</v>
      </c>
      <c r="D2151" s="32" t="s">
        <v>87</v>
      </c>
      <c r="E2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2" spans="1:6" x14ac:dyDescent="0.35">
      <c r="A2152" s="3">
        <v>23623224082</v>
      </c>
      <c r="B2152" s="3">
        <v>57</v>
      </c>
      <c r="C2152" s="32">
        <v>49178</v>
      </c>
      <c r="D2152" s="32" t="s">
        <v>87</v>
      </c>
      <c r="E2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3" spans="1:6" x14ac:dyDescent="0.35">
      <c r="A2153" s="3">
        <v>36591759011</v>
      </c>
      <c r="B2153" s="3">
        <v>65</v>
      </c>
      <c r="C2153" s="32">
        <v>49178</v>
      </c>
      <c r="D2153" s="32" t="s">
        <v>87</v>
      </c>
      <c r="E2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4" spans="1:6" x14ac:dyDescent="0.35">
      <c r="A2154" s="3">
        <v>76799900064</v>
      </c>
      <c r="B2154" s="3">
        <v>81</v>
      </c>
      <c r="C2154" s="32">
        <v>49178</v>
      </c>
      <c r="D2154" s="32" t="s">
        <v>87</v>
      </c>
      <c r="E2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5" spans="1:6" x14ac:dyDescent="0.35">
      <c r="A2155" s="3">
        <v>12858644842</v>
      </c>
      <c r="B2155" s="3">
        <v>117</v>
      </c>
      <c r="C2155" s="32">
        <v>49178</v>
      </c>
      <c r="D2155" s="32" t="s">
        <v>87</v>
      </c>
      <c r="E2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6" spans="1:6" x14ac:dyDescent="0.35">
      <c r="A2156" s="3">
        <v>72179296893</v>
      </c>
      <c r="B2156" s="3">
        <v>129</v>
      </c>
      <c r="C2156" s="32">
        <v>49178</v>
      </c>
      <c r="D2156" s="32" t="s">
        <v>87</v>
      </c>
      <c r="E2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7" spans="1:6" x14ac:dyDescent="0.35">
      <c r="A2157" s="3">
        <v>87789733412</v>
      </c>
      <c r="B2157" s="3">
        <v>136</v>
      </c>
      <c r="C2157" s="32">
        <v>49178</v>
      </c>
      <c r="D2157" s="32" t="s">
        <v>87</v>
      </c>
      <c r="E2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8" spans="1:6" x14ac:dyDescent="0.35">
      <c r="A2158" s="3">
        <v>16802531143</v>
      </c>
      <c r="B2158" s="3">
        <v>140</v>
      </c>
      <c r="C2158" s="32">
        <v>49178</v>
      </c>
      <c r="D2158" s="32" t="s">
        <v>87</v>
      </c>
      <c r="E2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9" spans="1:6" x14ac:dyDescent="0.35">
      <c r="A2159" s="3">
        <v>49749628417</v>
      </c>
      <c r="B2159" s="3">
        <v>158</v>
      </c>
      <c r="C2159" s="32">
        <v>49178</v>
      </c>
      <c r="D2159" s="32" t="s">
        <v>87</v>
      </c>
      <c r="E2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0" spans="1:6" x14ac:dyDescent="0.35">
      <c r="A2160" s="3">
        <v>26858440756</v>
      </c>
      <c r="B2160" s="3">
        <v>173</v>
      </c>
      <c r="C2160" s="32">
        <v>49178</v>
      </c>
      <c r="D2160" s="32" t="s">
        <v>87</v>
      </c>
      <c r="E2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1" spans="1:6" x14ac:dyDescent="0.35">
      <c r="A2161" s="3">
        <v>52314592599</v>
      </c>
      <c r="B2161" s="3">
        <v>184</v>
      </c>
      <c r="C2161" s="32">
        <v>49178</v>
      </c>
      <c r="D2161" s="32" t="s">
        <v>87</v>
      </c>
      <c r="E2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2" spans="1:6" x14ac:dyDescent="0.35">
      <c r="A2162" s="3">
        <v>95564924724</v>
      </c>
      <c r="B2162" s="3">
        <v>186</v>
      </c>
      <c r="C2162" s="32">
        <v>49178</v>
      </c>
      <c r="D2162" s="32" t="s">
        <v>87</v>
      </c>
      <c r="E2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3" spans="1:6" x14ac:dyDescent="0.35">
      <c r="A2163" s="3">
        <v>12013591314</v>
      </c>
      <c r="B2163" s="3">
        <v>226</v>
      </c>
      <c r="C2163" s="32">
        <v>49178</v>
      </c>
      <c r="D2163" s="32" t="s">
        <v>87</v>
      </c>
      <c r="E2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4" spans="1:6" x14ac:dyDescent="0.35">
      <c r="A2164" s="3">
        <v>65838017795</v>
      </c>
      <c r="B2164" s="3">
        <v>236</v>
      </c>
      <c r="C2164" s="32">
        <v>49178</v>
      </c>
      <c r="D2164" s="32" t="s">
        <v>87</v>
      </c>
      <c r="E2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5" spans="1:6" x14ac:dyDescent="0.35">
      <c r="A2165" s="3">
        <v>99623915295</v>
      </c>
      <c r="B2165" s="3">
        <v>245</v>
      </c>
      <c r="C2165" s="32">
        <v>49178</v>
      </c>
      <c r="D2165" s="32" t="s">
        <v>87</v>
      </c>
      <c r="E2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6" spans="1:6" x14ac:dyDescent="0.35">
      <c r="A2166" s="3">
        <v>32262346715</v>
      </c>
      <c r="B2166" s="3">
        <v>269</v>
      </c>
      <c r="C2166" s="32">
        <v>49178</v>
      </c>
      <c r="D2166" s="32" t="s">
        <v>87</v>
      </c>
      <c r="E2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7" spans="1:6" x14ac:dyDescent="0.35">
      <c r="A2167" s="3">
        <v>35857323733</v>
      </c>
      <c r="B2167" s="3">
        <v>291</v>
      </c>
      <c r="C2167" s="32">
        <v>49178</v>
      </c>
      <c r="D2167" s="32" t="s">
        <v>87</v>
      </c>
      <c r="E2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8" spans="1:6" x14ac:dyDescent="0.35">
      <c r="A2168" s="3">
        <v>54081661536</v>
      </c>
      <c r="B2168" s="3">
        <v>291</v>
      </c>
      <c r="C2168" s="32">
        <v>49178</v>
      </c>
      <c r="D2168" s="32"/>
      <c r="E2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9" spans="1:6" x14ac:dyDescent="0.35">
      <c r="A2169" s="3">
        <v>61998582284</v>
      </c>
      <c r="B2169" s="3">
        <v>293</v>
      </c>
      <c r="C2169" s="32">
        <v>49178</v>
      </c>
      <c r="D2169" s="32" t="s">
        <v>87</v>
      </c>
      <c r="E2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0" spans="1:6" x14ac:dyDescent="0.35">
      <c r="A2170" s="3">
        <v>54558172132</v>
      </c>
      <c r="B2170" s="3">
        <v>297</v>
      </c>
      <c r="C2170" s="32">
        <v>49178</v>
      </c>
      <c r="D2170" s="32"/>
      <c r="E2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1" spans="1:6" x14ac:dyDescent="0.35">
      <c r="A2171" s="3">
        <v>19210587905</v>
      </c>
      <c r="B2171" s="3">
        <v>322</v>
      </c>
      <c r="C2171" s="32">
        <v>49178</v>
      </c>
      <c r="D2171" s="32" t="s">
        <v>87</v>
      </c>
      <c r="E2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2" spans="1:6" x14ac:dyDescent="0.35">
      <c r="A2172" s="3">
        <v>57034742930</v>
      </c>
      <c r="B2172" s="3">
        <v>325</v>
      </c>
      <c r="C2172" s="32">
        <v>49178</v>
      </c>
      <c r="D2172" s="32">
        <v>49214</v>
      </c>
      <c r="E2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73" spans="1:6" x14ac:dyDescent="0.35">
      <c r="A2173" s="3">
        <v>76992951778</v>
      </c>
      <c r="B2173" s="3">
        <v>329</v>
      </c>
      <c r="C2173" s="32">
        <v>49178</v>
      </c>
      <c r="D2173" s="32" t="s">
        <v>87</v>
      </c>
      <c r="E2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4" spans="1:6" x14ac:dyDescent="0.35">
      <c r="A2174" s="3">
        <v>26455410414</v>
      </c>
      <c r="B2174" s="3">
        <v>2</v>
      </c>
      <c r="C2174" s="32">
        <v>49179</v>
      </c>
      <c r="D2174" s="32"/>
      <c r="E2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5" spans="1:6" x14ac:dyDescent="0.35">
      <c r="A2175" s="3">
        <v>90440917123</v>
      </c>
      <c r="B2175" s="3">
        <v>5</v>
      </c>
      <c r="C2175" s="32">
        <v>49179</v>
      </c>
      <c r="D2175" s="32" t="s">
        <v>87</v>
      </c>
      <c r="E2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6" spans="1:6" x14ac:dyDescent="0.35">
      <c r="A2176" s="3">
        <v>22974730929</v>
      </c>
      <c r="B2176" s="3">
        <v>45</v>
      </c>
      <c r="C2176" s="32">
        <v>49179</v>
      </c>
      <c r="D2176" s="32"/>
      <c r="E2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7" spans="1:6" x14ac:dyDescent="0.35">
      <c r="A2177" s="3">
        <v>41010808494</v>
      </c>
      <c r="B2177" s="3">
        <v>69</v>
      </c>
      <c r="C2177" s="32">
        <v>49179</v>
      </c>
      <c r="D2177" s="32" t="s">
        <v>87</v>
      </c>
      <c r="E2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8" spans="1:6" x14ac:dyDescent="0.35">
      <c r="A2178" s="3">
        <v>16360964013</v>
      </c>
      <c r="B2178" s="3">
        <v>71</v>
      </c>
      <c r="C2178" s="32">
        <v>49179</v>
      </c>
      <c r="D2178" s="32">
        <v>49253</v>
      </c>
      <c r="E2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79" spans="1:6" x14ac:dyDescent="0.35">
      <c r="A2179" s="3">
        <v>78361960244</v>
      </c>
      <c r="B2179" s="3">
        <v>84</v>
      </c>
      <c r="C2179" s="32">
        <v>49179</v>
      </c>
      <c r="D2179" s="32" t="s">
        <v>87</v>
      </c>
      <c r="E2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0" spans="1:6" x14ac:dyDescent="0.35">
      <c r="A2180" s="3">
        <v>42789258086</v>
      </c>
      <c r="B2180" s="3">
        <v>108</v>
      </c>
      <c r="C2180" s="32">
        <v>49179</v>
      </c>
      <c r="D2180" s="32" t="s">
        <v>87</v>
      </c>
      <c r="E2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1" spans="1:6" x14ac:dyDescent="0.35">
      <c r="A2181" s="3">
        <v>19234352163</v>
      </c>
      <c r="B2181" s="3">
        <v>128</v>
      </c>
      <c r="C2181" s="32">
        <v>49179</v>
      </c>
      <c r="D2181" s="32"/>
      <c r="E2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2" spans="1:6" x14ac:dyDescent="0.35">
      <c r="A2182" s="3">
        <v>64824468586</v>
      </c>
      <c r="B2182" s="3">
        <v>130</v>
      </c>
      <c r="C2182" s="32">
        <v>49179</v>
      </c>
      <c r="D2182" s="32" t="s">
        <v>87</v>
      </c>
      <c r="E2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3" spans="1:6" x14ac:dyDescent="0.35">
      <c r="A2183" s="3">
        <v>65563690422</v>
      </c>
      <c r="B2183" s="3">
        <v>142</v>
      </c>
      <c r="C2183" s="32">
        <v>49179</v>
      </c>
      <c r="D2183" s="32" t="s">
        <v>87</v>
      </c>
      <c r="E2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4" spans="1:6" x14ac:dyDescent="0.35">
      <c r="A2184" s="3">
        <v>57157794621</v>
      </c>
      <c r="B2184" s="3">
        <v>149</v>
      </c>
      <c r="C2184" s="32">
        <v>49179</v>
      </c>
      <c r="D2184" s="32" t="s">
        <v>87</v>
      </c>
      <c r="E2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5" spans="1:6" x14ac:dyDescent="0.35">
      <c r="A2185" s="3">
        <v>87506553836</v>
      </c>
      <c r="B2185" s="3">
        <v>150</v>
      </c>
      <c r="C2185" s="32">
        <v>49179</v>
      </c>
      <c r="D2185" s="32" t="s">
        <v>87</v>
      </c>
      <c r="E2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6" spans="1:6" x14ac:dyDescent="0.35">
      <c r="A2186" s="3">
        <v>90615992497</v>
      </c>
      <c r="B2186" s="3">
        <v>159</v>
      </c>
      <c r="C2186" s="32">
        <v>49179</v>
      </c>
      <c r="D2186" s="32">
        <v>49218</v>
      </c>
      <c r="E2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87" spans="1:6" x14ac:dyDescent="0.35">
      <c r="A2187" s="3">
        <v>70242299505</v>
      </c>
      <c r="B2187" s="3">
        <v>168</v>
      </c>
      <c r="C2187" s="32">
        <v>49179</v>
      </c>
      <c r="D2187" s="32"/>
      <c r="E2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8" spans="1:6" x14ac:dyDescent="0.35">
      <c r="A2188" s="3">
        <v>57098645733</v>
      </c>
      <c r="B2188" s="3">
        <v>172</v>
      </c>
      <c r="C2188" s="32">
        <v>49179</v>
      </c>
      <c r="D2188" s="32" t="s">
        <v>87</v>
      </c>
      <c r="E2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9" spans="1:6" x14ac:dyDescent="0.35">
      <c r="A2189" s="3">
        <v>59675028926</v>
      </c>
      <c r="B2189" s="3">
        <v>173</v>
      </c>
      <c r="C2189" s="32">
        <v>49179</v>
      </c>
      <c r="D2189" s="32" t="s">
        <v>87</v>
      </c>
      <c r="E2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0" spans="1:6" x14ac:dyDescent="0.35">
      <c r="A2190" s="3">
        <v>33288395616</v>
      </c>
      <c r="B2190" s="3">
        <v>178</v>
      </c>
      <c r="C2190" s="32">
        <v>49179</v>
      </c>
      <c r="D2190" s="32" t="s">
        <v>87</v>
      </c>
      <c r="E2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1" spans="1:6" x14ac:dyDescent="0.35">
      <c r="A2191" s="3">
        <v>71316549009</v>
      </c>
      <c r="B2191" s="3">
        <v>209</v>
      </c>
      <c r="C2191" s="32">
        <v>49179</v>
      </c>
      <c r="D2191" s="32" t="s">
        <v>87</v>
      </c>
      <c r="E2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2" spans="1:6" x14ac:dyDescent="0.35">
      <c r="A2192" s="3">
        <v>25339743367</v>
      </c>
      <c r="B2192" s="3">
        <v>226</v>
      </c>
      <c r="C2192" s="32">
        <v>49179</v>
      </c>
      <c r="D2192" s="32">
        <v>49298</v>
      </c>
      <c r="E2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93" spans="1:6" x14ac:dyDescent="0.35">
      <c r="A2193" s="3">
        <v>98513990668</v>
      </c>
      <c r="B2193" s="3">
        <v>242</v>
      </c>
      <c r="C2193" s="32">
        <v>49179</v>
      </c>
      <c r="D2193" s="32" t="s">
        <v>87</v>
      </c>
      <c r="E2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4" spans="1:6" x14ac:dyDescent="0.35">
      <c r="A2194" s="3">
        <v>93051478565</v>
      </c>
      <c r="B2194" s="3">
        <v>242</v>
      </c>
      <c r="C2194" s="32">
        <v>49179</v>
      </c>
      <c r="D2194" s="32" t="s">
        <v>87</v>
      </c>
      <c r="E2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5" spans="1:6" x14ac:dyDescent="0.35">
      <c r="A2195" s="3">
        <v>49070467726</v>
      </c>
      <c r="B2195" s="3">
        <v>257</v>
      </c>
      <c r="C2195" s="32">
        <v>49179</v>
      </c>
      <c r="D2195" s="32" t="s">
        <v>87</v>
      </c>
      <c r="E2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6" spans="1:6" x14ac:dyDescent="0.35">
      <c r="A2196" s="3">
        <v>49201455776</v>
      </c>
      <c r="B2196" s="3">
        <v>269</v>
      </c>
      <c r="C2196" s="32">
        <v>49179</v>
      </c>
      <c r="D2196" s="32">
        <v>49265</v>
      </c>
      <c r="E2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97" spans="1:6" x14ac:dyDescent="0.35">
      <c r="A2197" s="3">
        <v>59121447122</v>
      </c>
      <c r="B2197" s="3">
        <v>279</v>
      </c>
      <c r="C2197" s="32">
        <v>49179</v>
      </c>
      <c r="D2197" s="32">
        <v>49206</v>
      </c>
      <c r="E2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98" spans="1:6" x14ac:dyDescent="0.35">
      <c r="A2198" s="3">
        <v>79350262783</v>
      </c>
      <c r="B2198" s="3">
        <v>293</v>
      </c>
      <c r="C2198" s="32">
        <v>49179</v>
      </c>
      <c r="D2198" s="32" t="s">
        <v>87</v>
      </c>
      <c r="E2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9" spans="1:6" x14ac:dyDescent="0.35">
      <c r="A2199" s="3">
        <v>63022130558</v>
      </c>
      <c r="B2199" s="3">
        <v>294</v>
      </c>
      <c r="C2199" s="32">
        <v>49179</v>
      </c>
      <c r="D2199" s="32" t="s">
        <v>87</v>
      </c>
      <c r="E2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0" spans="1:6" x14ac:dyDescent="0.35">
      <c r="A2200" s="3">
        <v>63997597784</v>
      </c>
      <c r="B2200" s="3">
        <v>297</v>
      </c>
      <c r="C2200" s="32">
        <v>49179</v>
      </c>
      <c r="D2200" s="32" t="s">
        <v>87</v>
      </c>
      <c r="E2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1" spans="1:6" x14ac:dyDescent="0.35">
      <c r="A2201" s="3">
        <v>37959296971</v>
      </c>
      <c r="B2201" s="3">
        <v>317</v>
      </c>
      <c r="C2201" s="32">
        <v>49179</v>
      </c>
      <c r="D2201" s="32" t="s">
        <v>87</v>
      </c>
      <c r="E2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2" spans="1:6" x14ac:dyDescent="0.35">
      <c r="A2202" s="3">
        <v>11854454378</v>
      </c>
      <c r="B2202" s="3">
        <v>326</v>
      </c>
      <c r="C2202" s="32">
        <v>49179</v>
      </c>
      <c r="D2202" s="32">
        <v>49278</v>
      </c>
      <c r="E2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03" spans="1:6" x14ac:dyDescent="0.35">
      <c r="A2203" s="3">
        <v>42706154808</v>
      </c>
      <c r="B2203" s="3">
        <v>328</v>
      </c>
      <c r="C2203" s="32">
        <v>49179</v>
      </c>
      <c r="D2203" s="32" t="s">
        <v>87</v>
      </c>
      <c r="E2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4" spans="1:6" x14ac:dyDescent="0.35">
      <c r="A2204" s="3">
        <v>81815529577</v>
      </c>
      <c r="B2204" s="3">
        <v>6</v>
      </c>
      <c r="C2204" s="32">
        <v>49180</v>
      </c>
      <c r="D2204" s="32">
        <v>49186</v>
      </c>
      <c r="E2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05" spans="1:6" x14ac:dyDescent="0.35">
      <c r="A2205" s="3">
        <v>15183410718</v>
      </c>
      <c r="B2205" s="3">
        <v>13</v>
      </c>
      <c r="C2205" s="32">
        <v>49180</v>
      </c>
      <c r="D2205" s="32" t="s">
        <v>87</v>
      </c>
      <c r="E2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6" spans="1:6" x14ac:dyDescent="0.35">
      <c r="A2206" s="3">
        <v>18773954955</v>
      </c>
      <c r="B2206" s="3">
        <v>20</v>
      </c>
      <c r="C2206" s="32">
        <v>49180</v>
      </c>
      <c r="D2206" s="32" t="s">
        <v>87</v>
      </c>
      <c r="E2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7" spans="1:6" x14ac:dyDescent="0.35">
      <c r="A2207" s="3">
        <v>60953538195</v>
      </c>
      <c r="B2207" s="3">
        <v>27</v>
      </c>
      <c r="C2207" s="32">
        <v>49180</v>
      </c>
      <c r="D2207" s="32" t="s">
        <v>87</v>
      </c>
      <c r="E2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8" spans="1:6" x14ac:dyDescent="0.35">
      <c r="A2208" s="3">
        <v>26838082025</v>
      </c>
      <c r="B2208" s="3">
        <v>38</v>
      </c>
      <c r="C2208" s="32">
        <v>49180</v>
      </c>
      <c r="D2208" s="32">
        <v>49184</v>
      </c>
      <c r="E2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09" spans="1:6" x14ac:dyDescent="0.35">
      <c r="A2209" s="3">
        <v>66328149594</v>
      </c>
      <c r="B2209" s="3">
        <v>55</v>
      </c>
      <c r="C2209" s="32">
        <v>49180</v>
      </c>
      <c r="D2209" s="32" t="s">
        <v>87</v>
      </c>
      <c r="E2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0" spans="1:6" x14ac:dyDescent="0.35">
      <c r="A2210" s="3">
        <v>69177441314</v>
      </c>
      <c r="B2210" s="3">
        <v>86</v>
      </c>
      <c r="C2210" s="32">
        <v>49180</v>
      </c>
      <c r="D2210" s="32" t="s">
        <v>87</v>
      </c>
      <c r="E2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1" spans="1:6" x14ac:dyDescent="0.35">
      <c r="A2211" s="3">
        <v>57443932108</v>
      </c>
      <c r="B2211" s="3">
        <v>101</v>
      </c>
      <c r="C2211" s="32">
        <v>49180</v>
      </c>
      <c r="D2211" s="32"/>
      <c r="E2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2" spans="1:6" x14ac:dyDescent="0.35">
      <c r="A2212" s="3">
        <v>53643041351</v>
      </c>
      <c r="B2212" s="3">
        <v>121</v>
      </c>
      <c r="C2212" s="32">
        <v>49180</v>
      </c>
      <c r="D2212" s="32">
        <v>49234</v>
      </c>
      <c r="E2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13" spans="1:6" x14ac:dyDescent="0.35">
      <c r="A2213" s="3">
        <v>14186843834</v>
      </c>
      <c r="B2213" s="3">
        <v>124</v>
      </c>
      <c r="C2213" s="32">
        <v>49180</v>
      </c>
      <c r="D2213" s="32">
        <v>49204</v>
      </c>
      <c r="E2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14" spans="1:6" x14ac:dyDescent="0.35">
      <c r="A2214" s="3">
        <v>71129266281</v>
      </c>
      <c r="B2214" s="3">
        <v>126</v>
      </c>
      <c r="C2214" s="32">
        <v>49180</v>
      </c>
      <c r="D2214" s="32" t="s">
        <v>87</v>
      </c>
      <c r="E2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5" spans="1:6" x14ac:dyDescent="0.35">
      <c r="A2215" s="3">
        <v>65724146743</v>
      </c>
      <c r="B2215" s="3">
        <v>156</v>
      </c>
      <c r="C2215" s="32">
        <v>49180</v>
      </c>
      <c r="D2215" s="32" t="s">
        <v>87</v>
      </c>
      <c r="E2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6" spans="1:6" x14ac:dyDescent="0.35">
      <c r="A2216" s="3">
        <v>89536396863</v>
      </c>
      <c r="B2216" s="3">
        <v>194</v>
      </c>
      <c r="C2216" s="32">
        <v>49180</v>
      </c>
      <c r="D2216" s="32" t="s">
        <v>87</v>
      </c>
      <c r="E2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7" spans="1:6" x14ac:dyDescent="0.35">
      <c r="A2217" s="3">
        <v>79631748728</v>
      </c>
      <c r="B2217" s="3">
        <v>195</v>
      </c>
      <c r="C2217" s="32">
        <v>49180</v>
      </c>
      <c r="D2217" s="32" t="s">
        <v>87</v>
      </c>
      <c r="E2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8" spans="1:6" x14ac:dyDescent="0.35">
      <c r="A2218" s="3">
        <v>67907777309</v>
      </c>
      <c r="B2218" s="3">
        <v>202</v>
      </c>
      <c r="C2218" s="32">
        <v>49180</v>
      </c>
      <c r="D2218" s="32" t="s">
        <v>87</v>
      </c>
      <c r="E2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9" spans="1:6" x14ac:dyDescent="0.35">
      <c r="A2219" s="3">
        <v>98143411709</v>
      </c>
      <c r="B2219" s="3">
        <v>230</v>
      </c>
      <c r="C2219" s="32">
        <v>49180</v>
      </c>
      <c r="D2219" s="32" t="s">
        <v>87</v>
      </c>
      <c r="E2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0" spans="1:6" x14ac:dyDescent="0.35">
      <c r="A2220" s="3">
        <v>45328601215</v>
      </c>
      <c r="B2220" s="3">
        <v>235</v>
      </c>
      <c r="C2220" s="32">
        <v>49180</v>
      </c>
      <c r="D2220" s="32" t="s">
        <v>87</v>
      </c>
      <c r="E2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1" spans="1:6" x14ac:dyDescent="0.35">
      <c r="A2221" s="3">
        <v>61735381854</v>
      </c>
      <c r="B2221" s="3">
        <v>299</v>
      </c>
      <c r="C2221" s="32">
        <v>49180</v>
      </c>
      <c r="D2221" s="32" t="s">
        <v>87</v>
      </c>
      <c r="E2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2" spans="1:6" x14ac:dyDescent="0.35">
      <c r="A2222" s="3">
        <v>67474250340</v>
      </c>
      <c r="B2222" s="3">
        <v>311</v>
      </c>
      <c r="C2222" s="32">
        <v>49180</v>
      </c>
      <c r="D2222" s="32" t="s">
        <v>87</v>
      </c>
      <c r="E2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3" spans="1:6" x14ac:dyDescent="0.35">
      <c r="A2223" s="3">
        <v>63337970865</v>
      </c>
      <c r="B2223" s="3">
        <v>17</v>
      </c>
      <c r="C2223" s="32">
        <v>49181</v>
      </c>
      <c r="D2223" s="32" t="s">
        <v>87</v>
      </c>
      <c r="E2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4" spans="1:6" x14ac:dyDescent="0.35">
      <c r="A2224" s="3">
        <v>72317320702</v>
      </c>
      <c r="B2224" s="3">
        <v>25</v>
      </c>
      <c r="C2224" s="32">
        <v>49181</v>
      </c>
      <c r="D2224" s="32" t="s">
        <v>87</v>
      </c>
      <c r="E2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5" spans="1:6" x14ac:dyDescent="0.35">
      <c r="A2225" s="3">
        <v>27112294397</v>
      </c>
      <c r="B2225" s="3">
        <v>43</v>
      </c>
      <c r="C2225" s="32">
        <v>49181</v>
      </c>
      <c r="D2225" s="32">
        <v>49209</v>
      </c>
      <c r="E2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26" spans="1:6" x14ac:dyDescent="0.35">
      <c r="A2226" s="3">
        <v>91018075816</v>
      </c>
      <c r="B2226" s="3">
        <v>55</v>
      </c>
      <c r="C2226" s="32">
        <v>49181</v>
      </c>
      <c r="D2226" s="32">
        <v>49229</v>
      </c>
      <c r="E2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27" spans="1:6" x14ac:dyDescent="0.35">
      <c r="A2227" s="3">
        <v>22604586451</v>
      </c>
      <c r="B2227" s="3">
        <v>75</v>
      </c>
      <c r="C2227" s="32">
        <v>49181</v>
      </c>
      <c r="D2227" s="32" t="s">
        <v>87</v>
      </c>
      <c r="E2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8" spans="1:6" x14ac:dyDescent="0.35">
      <c r="A2228" s="3">
        <v>58500335201</v>
      </c>
      <c r="B2228" s="3">
        <v>77</v>
      </c>
      <c r="C2228" s="32">
        <v>49181</v>
      </c>
      <c r="D2228" s="32">
        <v>49207</v>
      </c>
      <c r="E2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29" spans="1:6" x14ac:dyDescent="0.35">
      <c r="A2229" s="3">
        <v>81478912152</v>
      </c>
      <c r="B2229" s="3">
        <v>89</v>
      </c>
      <c r="C2229" s="32">
        <v>49181</v>
      </c>
      <c r="D2229" s="32"/>
      <c r="E2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0" spans="1:6" x14ac:dyDescent="0.35">
      <c r="A2230" s="3">
        <v>79937334740</v>
      </c>
      <c r="B2230" s="3">
        <v>94</v>
      </c>
      <c r="C2230" s="32">
        <v>49181</v>
      </c>
      <c r="D2230" s="32" t="s">
        <v>87</v>
      </c>
      <c r="E2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1" spans="1:6" x14ac:dyDescent="0.35">
      <c r="A2231" s="3">
        <v>19120314528</v>
      </c>
      <c r="B2231" s="3">
        <v>118</v>
      </c>
      <c r="C2231" s="32">
        <v>49181</v>
      </c>
      <c r="D2231" s="32" t="s">
        <v>87</v>
      </c>
      <c r="E2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2" spans="1:6" x14ac:dyDescent="0.35">
      <c r="A2232" s="3">
        <v>95810519452</v>
      </c>
      <c r="B2232" s="3">
        <v>128</v>
      </c>
      <c r="C2232" s="32">
        <v>49181</v>
      </c>
      <c r="D2232" s="32" t="s">
        <v>87</v>
      </c>
      <c r="E2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3" spans="1:6" x14ac:dyDescent="0.35">
      <c r="A2233" s="3">
        <v>75886687471</v>
      </c>
      <c r="B2233" s="3">
        <v>140</v>
      </c>
      <c r="C2233" s="32">
        <v>49181</v>
      </c>
      <c r="D2233" s="32" t="s">
        <v>87</v>
      </c>
      <c r="E2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4" spans="1:6" x14ac:dyDescent="0.35">
      <c r="A2234" s="3">
        <v>25395981078</v>
      </c>
      <c r="B2234" s="3">
        <v>146</v>
      </c>
      <c r="C2234" s="32">
        <v>49181</v>
      </c>
      <c r="D2234" s="32" t="s">
        <v>87</v>
      </c>
      <c r="E2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5" spans="1:6" x14ac:dyDescent="0.35">
      <c r="A2235" s="3">
        <v>48575901190</v>
      </c>
      <c r="B2235" s="3">
        <v>154</v>
      </c>
      <c r="C2235" s="32">
        <v>49181</v>
      </c>
      <c r="D2235" s="32" t="s">
        <v>87</v>
      </c>
      <c r="E2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6" spans="1:6" x14ac:dyDescent="0.35">
      <c r="A2236" s="3">
        <v>60805239192</v>
      </c>
      <c r="B2236" s="3">
        <v>176</v>
      </c>
      <c r="C2236" s="32">
        <v>49181</v>
      </c>
      <c r="D2236" s="32">
        <v>49231</v>
      </c>
      <c r="E2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37" spans="1:6" x14ac:dyDescent="0.35">
      <c r="A2237" s="3">
        <v>41810499860</v>
      </c>
      <c r="B2237" s="3">
        <v>179</v>
      </c>
      <c r="C2237" s="32">
        <v>49181</v>
      </c>
      <c r="D2237" s="32" t="s">
        <v>87</v>
      </c>
      <c r="E2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8" spans="1:6" x14ac:dyDescent="0.35">
      <c r="A2238" s="3">
        <v>47040885419</v>
      </c>
      <c r="B2238" s="3">
        <v>198</v>
      </c>
      <c r="C2238" s="32">
        <v>49181</v>
      </c>
      <c r="D2238" s="32" t="s">
        <v>87</v>
      </c>
      <c r="E2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9" spans="1:6" x14ac:dyDescent="0.35">
      <c r="A2239" s="3">
        <v>15802611698</v>
      </c>
      <c r="B2239" s="3">
        <v>207</v>
      </c>
      <c r="C2239" s="32">
        <v>49181</v>
      </c>
      <c r="D2239" s="32">
        <v>49273</v>
      </c>
      <c r="E2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40" spans="1:6" x14ac:dyDescent="0.35">
      <c r="A2240" s="3">
        <v>88299237142</v>
      </c>
      <c r="B2240" s="3">
        <v>221</v>
      </c>
      <c r="C2240" s="32">
        <v>49181</v>
      </c>
      <c r="D2240" s="32"/>
      <c r="E2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1" spans="1:6" x14ac:dyDescent="0.35">
      <c r="A2241" s="3">
        <v>76410873800</v>
      </c>
      <c r="B2241" s="3">
        <v>229</v>
      </c>
      <c r="C2241" s="32">
        <v>49181</v>
      </c>
      <c r="D2241" s="32" t="s">
        <v>87</v>
      </c>
      <c r="E2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2" spans="1:6" x14ac:dyDescent="0.35">
      <c r="A2242" s="3">
        <v>44058371467</v>
      </c>
      <c r="B2242" s="3">
        <v>255</v>
      </c>
      <c r="C2242" s="32">
        <v>49181</v>
      </c>
      <c r="D2242" s="32" t="s">
        <v>87</v>
      </c>
      <c r="E2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3" spans="1:6" x14ac:dyDescent="0.35">
      <c r="A2243" s="3">
        <v>74688087675</v>
      </c>
      <c r="B2243" s="3">
        <v>270</v>
      </c>
      <c r="C2243" s="32">
        <v>49181</v>
      </c>
      <c r="D2243" s="32" t="s">
        <v>87</v>
      </c>
      <c r="E2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4" spans="1:6" x14ac:dyDescent="0.35">
      <c r="A2244" s="3">
        <v>41748395533</v>
      </c>
      <c r="B2244" s="3">
        <v>285</v>
      </c>
      <c r="C2244" s="32">
        <v>49181</v>
      </c>
      <c r="D2244" s="32" t="s">
        <v>87</v>
      </c>
      <c r="E2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5" spans="1:6" x14ac:dyDescent="0.35">
      <c r="A2245" s="3">
        <v>20596247646</v>
      </c>
      <c r="B2245" s="3">
        <v>291</v>
      </c>
      <c r="C2245" s="32">
        <v>49181</v>
      </c>
      <c r="D2245" s="32" t="s">
        <v>87</v>
      </c>
      <c r="E2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6" spans="1:6" x14ac:dyDescent="0.35">
      <c r="A2246" s="3">
        <v>12436761371</v>
      </c>
      <c r="B2246" s="3">
        <v>291</v>
      </c>
      <c r="C2246" s="32">
        <v>49181</v>
      </c>
      <c r="D2246" s="32" t="s">
        <v>87</v>
      </c>
      <c r="E2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7" spans="1:6" x14ac:dyDescent="0.35">
      <c r="A2247" s="3">
        <v>95644530891</v>
      </c>
      <c r="B2247" s="3">
        <v>292</v>
      </c>
      <c r="C2247" s="32">
        <v>49181</v>
      </c>
      <c r="D2247" s="32" t="s">
        <v>87</v>
      </c>
      <c r="E2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8" spans="1:6" x14ac:dyDescent="0.35">
      <c r="A2248" s="3">
        <v>91250770751</v>
      </c>
      <c r="B2248" s="3">
        <v>303</v>
      </c>
      <c r="C2248" s="32">
        <v>49181</v>
      </c>
      <c r="D2248" s="32" t="s">
        <v>87</v>
      </c>
      <c r="E2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9" spans="1:6" x14ac:dyDescent="0.35">
      <c r="A2249" s="3">
        <v>93592790498</v>
      </c>
      <c r="B2249" s="3">
        <v>306</v>
      </c>
      <c r="C2249" s="32">
        <v>49181</v>
      </c>
      <c r="D2249" s="32">
        <v>49223</v>
      </c>
      <c r="E2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50" spans="1:6" x14ac:dyDescent="0.35">
      <c r="A2250" s="3">
        <v>93315708484</v>
      </c>
      <c r="B2250" s="3">
        <v>7</v>
      </c>
      <c r="C2250" s="32">
        <v>49182</v>
      </c>
      <c r="D2250" s="32"/>
      <c r="E2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1" spans="1:6" x14ac:dyDescent="0.35">
      <c r="A2251" s="3">
        <v>51094986170</v>
      </c>
      <c r="B2251" s="3">
        <v>39</v>
      </c>
      <c r="C2251" s="32">
        <v>49182</v>
      </c>
      <c r="D2251" s="32">
        <v>49269</v>
      </c>
      <c r="E2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52" spans="1:6" x14ac:dyDescent="0.35">
      <c r="A2252" s="3">
        <v>39931689537</v>
      </c>
      <c r="B2252" s="3">
        <v>41</v>
      </c>
      <c r="C2252" s="32">
        <v>49182</v>
      </c>
      <c r="D2252" s="32" t="s">
        <v>87</v>
      </c>
      <c r="E2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3" spans="1:6" x14ac:dyDescent="0.35">
      <c r="A2253" s="3">
        <v>33263873833</v>
      </c>
      <c r="B2253" s="3">
        <v>50</v>
      </c>
      <c r="C2253" s="32">
        <v>49182</v>
      </c>
      <c r="D2253" s="32" t="s">
        <v>87</v>
      </c>
      <c r="E2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4" spans="1:6" x14ac:dyDescent="0.35">
      <c r="A2254" s="3">
        <v>59689353707</v>
      </c>
      <c r="B2254" s="3">
        <v>72</v>
      </c>
      <c r="C2254" s="32">
        <v>49182</v>
      </c>
      <c r="D2254" s="32" t="s">
        <v>87</v>
      </c>
      <c r="E2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5" spans="1:6" x14ac:dyDescent="0.35">
      <c r="A2255" s="3">
        <v>67529325895</v>
      </c>
      <c r="B2255" s="3">
        <v>75</v>
      </c>
      <c r="C2255" s="32">
        <v>49182</v>
      </c>
      <c r="D2255" s="32">
        <v>49200</v>
      </c>
      <c r="E2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56" spans="1:6" x14ac:dyDescent="0.35">
      <c r="A2256" s="3">
        <v>24535307489</v>
      </c>
      <c r="B2256" s="3">
        <v>128</v>
      </c>
      <c r="C2256" s="32">
        <v>49182</v>
      </c>
      <c r="D2256" s="32" t="s">
        <v>87</v>
      </c>
      <c r="E2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7" spans="1:6" x14ac:dyDescent="0.35">
      <c r="A2257" s="3">
        <v>98860855548</v>
      </c>
      <c r="B2257" s="3">
        <v>134</v>
      </c>
      <c r="C2257" s="32">
        <v>49182</v>
      </c>
      <c r="D2257" s="32" t="s">
        <v>87</v>
      </c>
      <c r="E2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8" spans="1:6" x14ac:dyDescent="0.35">
      <c r="A2258" s="3">
        <v>49896240115</v>
      </c>
      <c r="B2258" s="3">
        <v>138</v>
      </c>
      <c r="C2258" s="32">
        <v>49182</v>
      </c>
      <c r="D2258" s="32" t="s">
        <v>87</v>
      </c>
      <c r="E2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9" spans="1:6" x14ac:dyDescent="0.35">
      <c r="A2259" s="3">
        <v>82513729358</v>
      </c>
      <c r="B2259" s="3">
        <v>142</v>
      </c>
      <c r="C2259" s="32">
        <v>49182</v>
      </c>
      <c r="D2259" s="32" t="s">
        <v>87</v>
      </c>
      <c r="E2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0" spans="1:6" x14ac:dyDescent="0.35">
      <c r="A2260" s="3">
        <v>88039992590</v>
      </c>
      <c r="B2260" s="3">
        <v>144</v>
      </c>
      <c r="C2260" s="32">
        <v>49182</v>
      </c>
      <c r="D2260" s="32"/>
      <c r="E2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1" spans="1:6" x14ac:dyDescent="0.35">
      <c r="A2261" s="3">
        <v>20173197097</v>
      </c>
      <c r="B2261" s="3">
        <v>147</v>
      </c>
      <c r="C2261" s="32">
        <v>49182</v>
      </c>
      <c r="D2261" s="32">
        <v>49184</v>
      </c>
      <c r="E2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62" spans="1:6" x14ac:dyDescent="0.35">
      <c r="A2262" s="3">
        <v>37329427289</v>
      </c>
      <c r="B2262" s="3">
        <v>158</v>
      </c>
      <c r="C2262" s="32">
        <v>49182</v>
      </c>
      <c r="D2262" s="32" t="s">
        <v>87</v>
      </c>
      <c r="E2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3" spans="1:6" x14ac:dyDescent="0.35">
      <c r="A2263" s="3">
        <v>74353646852</v>
      </c>
      <c r="B2263" s="3">
        <v>174</v>
      </c>
      <c r="C2263" s="32">
        <v>49182</v>
      </c>
      <c r="D2263" s="32" t="s">
        <v>87</v>
      </c>
      <c r="E2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4" spans="1:6" x14ac:dyDescent="0.35">
      <c r="A2264" s="3">
        <v>83047969475</v>
      </c>
      <c r="B2264" s="3">
        <v>191</v>
      </c>
      <c r="C2264" s="32">
        <v>49182</v>
      </c>
      <c r="D2264" s="32" t="s">
        <v>87</v>
      </c>
      <c r="E2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5" spans="1:6" x14ac:dyDescent="0.35">
      <c r="A2265" s="3">
        <v>80858079273</v>
      </c>
      <c r="B2265" s="3">
        <v>210</v>
      </c>
      <c r="C2265" s="32">
        <v>49182</v>
      </c>
      <c r="D2265" s="32" t="s">
        <v>87</v>
      </c>
      <c r="E2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6" spans="1:6" x14ac:dyDescent="0.35">
      <c r="A2266" s="3">
        <v>35225054772</v>
      </c>
      <c r="B2266" s="3">
        <v>221</v>
      </c>
      <c r="C2266" s="32">
        <v>49182</v>
      </c>
      <c r="D2266" s="32">
        <v>49299</v>
      </c>
      <c r="E2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267" spans="1:6" x14ac:dyDescent="0.35">
      <c r="A2267" s="3">
        <v>15227636716</v>
      </c>
      <c r="B2267" s="3">
        <v>222</v>
      </c>
      <c r="C2267" s="32">
        <v>49182</v>
      </c>
      <c r="D2267" s="32" t="s">
        <v>87</v>
      </c>
      <c r="E2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8" spans="1:6" x14ac:dyDescent="0.35">
      <c r="A2268" s="3">
        <v>66623927747</v>
      </c>
      <c r="B2268" s="3">
        <v>234</v>
      </c>
      <c r="C2268" s="32">
        <v>49182</v>
      </c>
      <c r="D2268" s="32" t="s">
        <v>87</v>
      </c>
      <c r="E2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9" spans="1:6" x14ac:dyDescent="0.35">
      <c r="A2269" s="3">
        <v>85286548361</v>
      </c>
      <c r="B2269" s="3">
        <v>247</v>
      </c>
      <c r="C2269" s="32">
        <v>49182</v>
      </c>
      <c r="D2269" s="32" t="s">
        <v>87</v>
      </c>
      <c r="E2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0" spans="1:6" x14ac:dyDescent="0.35">
      <c r="A2270" s="3">
        <v>77926541238</v>
      </c>
      <c r="B2270" s="3">
        <v>250</v>
      </c>
      <c r="C2270" s="32">
        <v>49182</v>
      </c>
      <c r="D2270" s="32">
        <v>49241</v>
      </c>
      <c r="E2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71" spans="1:6" x14ac:dyDescent="0.35">
      <c r="A2271" s="3">
        <v>36334303668</v>
      </c>
      <c r="B2271" s="3">
        <v>270</v>
      </c>
      <c r="C2271" s="32">
        <v>49182</v>
      </c>
      <c r="D2271" s="32">
        <v>49190</v>
      </c>
      <c r="E2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72" spans="1:6" x14ac:dyDescent="0.35">
      <c r="A2272" s="3">
        <v>67411223449</v>
      </c>
      <c r="B2272" s="3">
        <v>274</v>
      </c>
      <c r="C2272" s="32">
        <v>49182</v>
      </c>
      <c r="D2272" s="32" t="s">
        <v>87</v>
      </c>
      <c r="E2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3" spans="1:6" x14ac:dyDescent="0.35">
      <c r="A2273" s="3">
        <v>66947619131</v>
      </c>
      <c r="B2273" s="3">
        <v>281</v>
      </c>
      <c r="C2273" s="32">
        <v>49182</v>
      </c>
      <c r="D2273" s="32">
        <v>49189</v>
      </c>
      <c r="E2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74" spans="1:6" x14ac:dyDescent="0.35">
      <c r="A2274" s="3">
        <v>61843435077</v>
      </c>
      <c r="B2274" s="3">
        <v>291</v>
      </c>
      <c r="C2274" s="32">
        <v>49182</v>
      </c>
      <c r="D2274" s="32">
        <v>49272</v>
      </c>
      <c r="E2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75" spans="1:6" x14ac:dyDescent="0.35">
      <c r="A2275" s="3">
        <v>91861851828</v>
      </c>
      <c r="B2275" s="3">
        <v>296</v>
      </c>
      <c r="C2275" s="32">
        <v>49182</v>
      </c>
      <c r="D2275" s="32">
        <v>49234</v>
      </c>
      <c r="E2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76" spans="1:6" x14ac:dyDescent="0.35">
      <c r="A2276" s="3">
        <v>54073137368</v>
      </c>
      <c r="B2276" s="3">
        <v>319</v>
      </c>
      <c r="C2276" s="32">
        <v>49182</v>
      </c>
      <c r="D2276" s="32"/>
      <c r="E2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7" spans="1:6" x14ac:dyDescent="0.35">
      <c r="A2277" s="3">
        <v>76668332915</v>
      </c>
      <c r="B2277" s="3">
        <v>25</v>
      </c>
      <c r="C2277" s="32">
        <v>49183</v>
      </c>
      <c r="D2277" s="32" t="s">
        <v>87</v>
      </c>
      <c r="E2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8" spans="1:6" x14ac:dyDescent="0.35">
      <c r="A2278" s="3">
        <v>41572629842</v>
      </c>
      <c r="B2278" s="3">
        <v>26</v>
      </c>
      <c r="C2278" s="32">
        <v>49183</v>
      </c>
      <c r="D2278" s="32" t="s">
        <v>87</v>
      </c>
      <c r="E2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9" spans="1:6" x14ac:dyDescent="0.35">
      <c r="A2279" s="3">
        <v>43491762440</v>
      </c>
      <c r="B2279" s="3">
        <v>38</v>
      </c>
      <c r="C2279" s="32">
        <v>49183</v>
      </c>
      <c r="D2279" s="32" t="s">
        <v>87</v>
      </c>
      <c r="E2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0" spans="1:6" x14ac:dyDescent="0.35">
      <c r="A2280" s="3">
        <v>62549084161</v>
      </c>
      <c r="B2280" s="3">
        <v>75</v>
      </c>
      <c r="C2280" s="32">
        <v>49183</v>
      </c>
      <c r="D2280" s="32" t="s">
        <v>87</v>
      </c>
      <c r="E2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1" spans="1:6" x14ac:dyDescent="0.35">
      <c r="A2281" s="3">
        <v>29080043429</v>
      </c>
      <c r="B2281" s="3">
        <v>86</v>
      </c>
      <c r="C2281" s="32">
        <v>49183</v>
      </c>
      <c r="D2281" s="32">
        <v>49263</v>
      </c>
      <c r="E2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82" spans="1:6" x14ac:dyDescent="0.35">
      <c r="A2282" s="3">
        <v>24165422714</v>
      </c>
      <c r="B2282" s="3">
        <v>87</v>
      </c>
      <c r="C2282" s="32">
        <v>49183</v>
      </c>
      <c r="D2282" s="32" t="s">
        <v>87</v>
      </c>
      <c r="E2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3" spans="1:6" x14ac:dyDescent="0.35">
      <c r="A2283" s="3">
        <v>52545758847</v>
      </c>
      <c r="B2283" s="3">
        <v>115</v>
      </c>
      <c r="C2283" s="32">
        <v>49183</v>
      </c>
      <c r="D2283" s="32">
        <v>49291</v>
      </c>
      <c r="E2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284" spans="1:6" x14ac:dyDescent="0.35">
      <c r="A2284" s="3">
        <v>16682506899</v>
      </c>
      <c r="B2284" s="3">
        <v>117</v>
      </c>
      <c r="C2284" s="32">
        <v>49183</v>
      </c>
      <c r="D2284" s="32">
        <v>49211</v>
      </c>
      <c r="E2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85" spans="1:6" x14ac:dyDescent="0.35">
      <c r="A2285" s="3">
        <v>68792044007</v>
      </c>
      <c r="B2285" s="3">
        <v>148</v>
      </c>
      <c r="C2285" s="32">
        <v>49183</v>
      </c>
      <c r="D2285" s="32" t="s">
        <v>87</v>
      </c>
      <c r="E2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6" spans="1:6" x14ac:dyDescent="0.35">
      <c r="A2286" s="3">
        <v>58816137012</v>
      </c>
      <c r="B2286" s="3">
        <v>154</v>
      </c>
      <c r="C2286" s="32">
        <v>49183</v>
      </c>
      <c r="D2286" s="32" t="s">
        <v>87</v>
      </c>
      <c r="E2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7" spans="1:6" x14ac:dyDescent="0.35">
      <c r="A2287" s="3">
        <v>59644551292</v>
      </c>
      <c r="B2287" s="3">
        <v>191</v>
      </c>
      <c r="C2287" s="32">
        <v>49183</v>
      </c>
      <c r="D2287" s="32" t="s">
        <v>87</v>
      </c>
      <c r="E2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8" spans="1:6" x14ac:dyDescent="0.35">
      <c r="A2288" s="3">
        <v>57713594493</v>
      </c>
      <c r="B2288" s="3">
        <v>199</v>
      </c>
      <c r="C2288" s="32">
        <v>49183</v>
      </c>
      <c r="D2288" s="32" t="s">
        <v>87</v>
      </c>
      <c r="E2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9" spans="1:6" x14ac:dyDescent="0.35">
      <c r="A2289" s="3">
        <v>40001354737</v>
      </c>
      <c r="B2289" s="3">
        <v>206</v>
      </c>
      <c r="C2289" s="32">
        <v>49183</v>
      </c>
      <c r="D2289" s="32"/>
      <c r="E2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0" spans="1:6" x14ac:dyDescent="0.35">
      <c r="A2290" s="3">
        <v>24526379564</v>
      </c>
      <c r="B2290" s="3">
        <v>218</v>
      </c>
      <c r="C2290" s="32">
        <v>49183</v>
      </c>
      <c r="D2290" s="32" t="s">
        <v>87</v>
      </c>
      <c r="E2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1" spans="1:6" x14ac:dyDescent="0.35">
      <c r="A2291" s="3">
        <v>62921655242</v>
      </c>
      <c r="B2291" s="3">
        <v>218</v>
      </c>
      <c r="C2291" s="32">
        <v>49183</v>
      </c>
      <c r="D2291" s="32" t="s">
        <v>87</v>
      </c>
      <c r="E2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2" spans="1:6" x14ac:dyDescent="0.35">
      <c r="A2292" s="3">
        <v>83801836531</v>
      </c>
      <c r="B2292" s="3">
        <v>234</v>
      </c>
      <c r="C2292" s="32">
        <v>49183</v>
      </c>
      <c r="D2292" s="32" t="s">
        <v>87</v>
      </c>
      <c r="E2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3" spans="1:6" x14ac:dyDescent="0.35">
      <c r="A2293" s="3">
        <v>49156014860</v>
      </c>
      <c r="B2293" s="3">
        <v>252</v>
      </c>
      <c r="C2293" s="32">
        <v>49183</v>
      </c>
      <c r="D2293" s="32">
        <v>49235</v>
      </c>
      <c r="E2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94" spans="1:6" x14ac:dyDescent="0.35">
      <c r="A2294" s="3">
        <v>83053451765</v>
      </c>
      <c r="B2294" s="3">
        <v>269</v>
      </c>
      <c r="C2294" s="32">
        <v>49183</v>
      </c>
      <c r="D2294" s="32"/>
      <c r="E2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5" spans="1:6" x14ac:dyDescent="0.35">
      <c r="A2295" s="3">
        <v>68550510184</v>
      </c>
      <c r="B2295" s="3">
        <v>275</v>
      </c>
      <c r="C2295" s="32">
        <v>49183</v>
      </c>
      <c r="D2295" s="32" t="s">
        <v>87</v>
      </c>
      <c r="E2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6" spans="1:6" x14ac:dyDescent="0.35">
      <c r="A2296" s="3">
        <v>63972819685</v>
      </c>
      <c r="B2296" s="3">
        <v>279</v>
      </c>
      <c r="C2296" s="32">
        <v>49183</v>
      </c>
      <c r="D2296" s="32">
        <v>49273</v>
      </c>
      <c r="E2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97" spans="1:6" x14ac:dyDescent="0.35">
      <c r="A2297" s="3">
        <v>68107613343</v>
      </c>
      <c r="B2297" s="3">
        <v>297</v>
      </c>
      <c r="C2297" s="32">
        <v>49183</v>
      </c>
      <c r="D2297" s="32">
        <v>49198</v>
      </c>
      <c r="E2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98" spans="1:6" x14ac:dyDescent="0.35">
      <c r="A2298" s="3">
        <v>23840250102</v>
      </c>
      <c r="B2298" s="3">
        <v>312</v>
      </c>
      <c r="C2298" s="32">
        <v>49183</v>
      </c>
      <c r="D2298" s="32" t="s">
        <v>87</v>
      </c>
      <c r="E2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9" spans="1:6" x14ac:dyDescent="0.35">
      <c r="A2299" s="3">
        <v>34348566933</v>
      </c>
      <c r="B2299" s="3">
        <v>333</v>
      </c>
      <c r="C2299" s="32">
        <v>49183</v>
      </c>
      <c r="D2299" s="32" t="s">
        <v>87</v>
      </c>
      <c r="E2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0" spans="1:6" x14ac:dyDescent="0.35">
      <c r="A2300" s="3">
        <v>11195642926</v>
      </c>
      <c r="B2300" s="3">
        <v>334</v>
      </c>
      <c r="C2300" s="32">
        <v>49183</v>
      </c>
      <c r="D2300" s="32" t="s">
        <v>87</v>
      </c>
      <c r="E2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1" spans="1:6" x14ac:dyDescent="0.35">
      <c r="A2301" s="3">
        <v>49821170226</v>
      </c>
      <c r="B2301" s="3">
        <v>24</v>
      </c>
      <c r="C2301" s="32">
        <v>49184</v>
      </c>
      <c r="D2301" s="32" t="s">
        <v>87</v>
      </c>
      <c r="E2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2" spans="1:6" x14ac:dyDescent="0.35">
      <c r="A2302" s="3">
        <v>28127647356</v>
      </c>
      <c r="B2302" s="3">
        <v>25</v>
      </c>
      <c r="C2302" s="32">
        <v>49184</v>
      </c>
      <c r="D2302" s="32">
        <v>49223</v>
      </c>
      <c r="E2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03" spans="1:6" x14ac:dyDescent="0.35">
      <c r="A2303" s="3">
        <v>95771455980</v>
      </c>
      <c r="B2303" s="3">
        <v>27</v>
      </c>
      <c r="C2303" s="32">
        <v>49184</v>
      </c>
      <c r="D2303" s="32" t="s">
        <v>87</v>
      </c>
      <c r="E2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4" spans="1:6" x14ac:dyDescent="0.35">
      <c r="A2304" s="3">
        <v>89296641330</v>
      </c>
      <c r="B2304" s="3">
        <v>49</v>
      </c>
      <c r="C2304" s="32">
        <v>49184</v>
      </c>
      <c r="D2304" s="32" t="s">
        <v>87</v>
      </c>
      <c r="E2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5" spans="1:6" x14ac:dyDescent="0.35">
      <c r="A2305" s="3">
        <v>40650943058</v>
      </c>
      <c r="B2305" s="3">
        <v>90</v>
      </c>
      <c r="C2305" s="32">
        <v>49184</v>
      </c>
      <c r="D2305" s="32" t="s">
        <v>87</v>
      </c>
      <c r="E2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6" spans="1:6" x14ac:dyDescent="0.35">
      <c r="A2306" s="3">
        <v>70147363300</v>
      </c>
      <c r="B2306" s="3">
        <v>96</v>
      </c>
      <c r="C2306" s="32">
        <v>49184</v>
      </c>
      <c r="D2306" s="32" t="s">
        <v>87</v>
      </c>
      <c r="E2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7" spans="1:6" x14ac:dyDescent="0.35">
      <c r="A2307" s="3">
        <v>30578040722</v>
      </c>
      <c r="B2307" s="3">
        <v>111</v>
      </c>
      <c r="C2307" s="32">
        <v>49184</v>
      </c>
      <c r="D2307" s="32" t="s">
        <v>87</v>
      </c>
      <c r="E2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8" spans="1:6" x14ac:dyDescent="0.35">
      <c r="A2308" s="3">
        <v>46249366946</v>
      </c>
      <c r="B2308" s="3">
        <v>118</v>
      </c>
      <c r="C2308" s="32">
        <v>49184</v>
      </c>
      <c r="D2308" s="32" t="s">
        <v>87</v>
      </c>
      <c r="E2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9" spans="1:6" x14ac:dyDescent="0.35">
      <c r="A2309" s="3">
        <v>60673475794</v>
      </c>
      <c r="B2309" s="3">
        <v>138</v>
      </c>
      <c r="C2309" s="32">
        <v>49184</v>
      </c>
      <c r="D2309" s="32" t="s">
        <v>87</v>
      </c>
      <c r="E2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0" spans="1:6" x14ac:dyDescent="0.35">
      <c r="A2310" s="3">
        <v>87084605194</v>
      </c>
      <c r="B2310" s="3">
        <v>144</v>
      </c>
      <c r="C2310" s="32">
        <v>49184</v>
      </c>
      <c r="D2310" s="32" t="s">
        <v>87</v>
      </c>
      <c r="E2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1" spans="1:6" x14ac:dyDescent="0.35">
      <c r="A2311" s="3">
        <v>31685024414</v>
      </c>
      <c r="B2311" s="3">
        <v>183</v>
      </c>
      <c r="C2311" s="32">
        <v>49184</v>
      </c>
      <c r="D2311" s="32" t="s">
        <v>87</v>
      </c>
      <c r="E2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2" spans="1:6" x14ac:dyDescent="0.35">
      <c r="A2312" s="3">
        <v>93813827336</v>
      </c>
      <c r="B2312" s="3">
        <v>201</v>
      </c>
      <c r="C2312" s="32">
        <v>49184</v>
      </c>
      <c r="D2312" s="32" t="s">
        <v>87</v>
      </c>
      <c r="E2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3" spans="1:6" x14ac:dyDescent="0.35">
      <c r="A2313" s="3">
        <v>39749974842</v>
      </c>
      <c r="B2313" s="3">
        <v>229</v>
      </c>
      <c r="C2313" s="32">
        <v>49184</v>
      </c>
      <c r="D2313" s="32" t="s">
        <v>87</v>
      </c>
      <c r="E2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4" spans="1:6" x14ac:dyDescent="0.35">
      <c r="A2314" s="3">
        <v>50736822163</v>
      </c>
      <c r="B2314" s="3">
        <v>270</v>
      </c>
      <c r="C2314" s="32">
        <v>49184</v>
      </c>
      <c r="D2314" s="32">
        <v>49297</v>
      </c>
      <c r="E2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15" spans="1:6" x14ac:dyDescent="0.35">
      <c r="A2315" s="3">
        <v>68899600388</v>
      </c>
      <c r="B2315" s="3">
        <v>274</v>
      </c>
      <c r="C2315" s="32">
        <v>49184</v>
      </c>
      <c r="D2315" s="32" t="s">
        <v>87</v>
      </c>
      <c r="E2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6" spans="1:6" x14ac:dyDescent="0.35">
      <c r="A2316" s="3">
        <v>21363203985</v>
      </c>
      <c r="B2316" s="3">
        <v>18</v>
      </c>
      <c r="C2316" s="32">
        <v>49185</v>
      </c>
      <c r="D2316" s="32" t="s">
        <v>87</v>
      </c>
      <c r="E2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7" spans="1:6" x14ac:dyDescent="0.35">
      <c r="A2317" s="3">
        <v>74846085916</v>
      </c>
      <c r="B2317" s="3">
        <v>54</v>
      </c>
      <c r="C2317" s="32">
        <v>49185</v>
      </c>
      <c r="D2317" s="32" t="s">
        <v>87</v>
      </c>
      <c r="E2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8" spans="1:6" x14ac:dyDescent="0.35">
      <c r="A2318" s="3">
        <v>92267970162</v>
      </c>
      <c r="B2318" s="3">
        <v>56</v>
      </c>
      <c r="C2318" s="32">
        <v>49185</v>
      </c>
      <c r="D2318" s="32" t="s">
        <v>87</v>
      </c>
      <c r="E2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9" spans="1:6" x14ac:dyDescent="0.35">
      <c r="A2319" s="3">
        <v>92024765612</v>
      </c>
      <c r="B2319" s="3">
        <v>74</v>
      </c>
      <c r="C2319" s="32">
        <v>49185</v>
      </c>
      <c r="D2319" s="32" t="s">
        <v>87</v>
      </c>
      <c r="E2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0" spans="1:6" x14ac:dyDescent="0.35">
      <c r="A2320" s="3">
        <v>78311191230</v>
      </c>
      <c r="B2320" s="3">
        <v>101</v>
      </c>
      <c r="C2320" s="32">
        <v>49185</v>
      </c>
      <c r="D2320" s="32" t="s">
        <v>87</v>
      </c>
      <c r="E2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1" spans="1:6" x14ac:dyDescent="0.35">
      <c r="A2321" s="3">
        <v>25583125468</v>
      </c>
      <c r="B2321" s="3">
        <v>116</v>
      </c>
      <c r="C2321" s="32">
        <v>49185</v>
      </c>
      <c r="D2321" s="32" t="s">
        <v>87</v>
      </c>
      <c r="E2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2" spans="1:6" x14ac:dyDescent="0.35">
      <c r="A2322" s="3">
        <v>21989145331</v>
      </c>
      <c r="B2322" s="3">
        <v>139</v>
      </c>
      <c r="C2322" s="32">
        <v>49185</v>
      </c>
      <c r="D2322" s="32" t="s">
        <v>87</v>
      </c>
      <c r="E2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3" spans="1:6" x14ac:dyDescent="0.35">
      <c r="A2323" s="3">
        <v>84301317267</v>
      </c>
      <c r="B2323" s="3">
        <v>163</v>
      </c>
      <c r="C2323" s="32">
        <v>49185</v>
      </c>
      <c r="D2323" s="32" t="s">
        <v>87</v>
      </c>
      <c r="E2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4" spans="1:6" x14ac:dyDescent="0.35">
      <c r="A2324" s="3">
        <v>69417242571</v>
      </c>
      <c r="B2324" s="3">
        <v>211</v>
      </c>
      <c r="C2324" s="32">
        <v>49185</v>
      </c>
      <c r="D2324" s="32" t="s">
        <v>87</v>
      </c>
      <c r="E2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5" spans="1:6" x14ac:dyDescent="0.35">
      <c r="A2325" s="3">
        <v>57617870518</v>
      </c>
      <c r="B2325" s="3">
        <v>239</v>
      </c>
      <c r="C2325" s="32">
        <v>49185</v>
      </c>
      <c r="D2325" s="32" t="s">
        <v>87</v>
      </c>
      <c r="E2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6" spans="1:6" x14ac:dyDescent="0.35">
      <c r="A2326" s="3">
        <v>94286394667</v>
      </c>
      <c r="B2326" s="3">
        <v>270</v>
      </c>
      <c r="C2326" s="32">
        <v>49185</v>
      </c>
      <c r="D2326" s="32">
        <v>49237</v>
      </c>
      <c r="E2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27" spans="1:6" x14ac:dyDescent="0.35">
      <c r="A2327" s="3">
        <v>14900781619</v>
      </c>
      <c r="B2327" s="3">
        <v>288</v>
      </c>
      <c r="C2327" s="32">
        <v>49185</v>
      </c>
      <c r="D2327" s="32">
        <v>49215</v>
      </c>
      <c r="E2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28" spans="1:6" x14ac:dyDescent="0.35">
      <c r="A2328" s="3">
        <v>19647874119</v>
      </c>
      <c r="B2328" s="3">
        <v>303</v>
      </c>
      <c r="C2328" s="32">
        <v>49185</v>
      </c>
      <c r="D2328" s="32" t="s">
        <v>87</v>
      </c>
      <c r="E2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9" spans="1:6" x14ac:dyDescent="0.35">
      <c r="A2329" s="3">
        <v>49533757680</v>
      </c>
      <c r="B2329" s="3">
        <v>336</v>
      </c>
      <c r="C2329" s="32">
        <v>49185</v>
      </c>
      <c r="D2329" s="32"/>
      <c r="E2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0" spans="1:6" x14ac:dyDescent="0.35">
      <c r="A2330" s="3">
        <v>74095363544</v>
      </c>
      <c r="B2330" s="3">
        <v>19</v>
      </c>
      <c r="C2330" s="32">
        <v>49186</v>
      </c>
      <c r="D2330" s="32">
        <v>49228</v>
      </c>
      <c r="E2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31" spans="1:6" x14ac:dyDescent="0.35">
      <c r="A2331" s="3">
        <v>51839495593</v>
      </c>
      <c r="B2331" s="3">
        <v>27</v>
      </c>
      <c r="C2331" s="32">
        <v>49186</v>
      </c>
      <c r="D2331" s="32" t="s">
        <v>87</v>
      </c>
      <c r="E2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2" spans="1:6" x14ac:dyDescent="0.35">
      <c r="A2332" s="3">
        <v>81443353648</v>
      </c>
      <c r="B2332" s="3">
        <v>27</v>
      </c>
      <c r="C2332" s="32">
        <v>49186</v>
      </c>
      <c r="D2332" s="32">
        <v>49278</v>
      </c>
      <c r="E2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33" spans="1:6" x14ac:dyDescent="0.35">
      <c r="A2333" s="3">
        <v>49356243208</v>
      </c>
      <c r="B2333" s="3">
        <v>41</v>
      </c>
      <c r="C2333" s="32">
        <v>49186</v>
      </c>
      <c r="D2333" s="32" t="s">
        <v>87</v>
      </c>
      <c r="E2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4" spans="1:6" x14ac:dyDescent="0.35">
      <c r="A2334" s="3">
        <v>89391111594</v>
      </c>
      <c r="B2334" s="3">
        <v>52</v>
      </c>
      <c r="C2334" s="32">
        <v>49186</v>
      </c>
      <c r="D2334" s="32">
        <v>49284</v>
      </c>
      <c r="E2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35" spans="1:6" x14ac:dyDescent="0.35">
      <c r="A2335" s="3">
        <v>47477470914</v>
      </c>
      <c r="B2335" s="3">
        <v>87</v>
      </c>
      <c r="C2335" s="32">
        <v>49186</v>
      </c>
      <c r="D2335" s="32" t="s">
        <v>87</v>
      </c>
      <c r="E2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6" spans="1:6" x14ac:dyDescent="0.35">
      <c r="A2336" s="3">
        <v>17225876220</v>
      </c>
      <c r="B2336" s="3">
        <v>103</v>
      </c>
      <c r="C2336" s="32">
        <v>49186</v>
      </c>
      <c r="D2336" s="32" t="s">
        <v>87</v>
      </c>
      <c r="E2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7" spans="1:6" x14ac:dyDescent="0.35">
      <c r="A2337" s="3">
        <v>20341485932</v>
      </c>
      <c r="B2337" s="3">
        <v>104</v>
      </c>
      <c r="C2337" s="32">
        <v>49186</v>
      </c>
      <c r="D2337" s="32">
        <v>49207</v>
      </c>
      <c r="E2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38" spans="1:6" x14ac:dyDescent="0.35">
      <c r="A2338" s="3">
        <v>95549227467</v>
      </c>
      <c r="B2338" s="3">
        <v>117</v>
      </c>
      <c r="C2338" s="32">
        <v>49186</v>
      </c>
      <c r="D2338" s="32" t="s">
        <v>87</v>
      </c>
      <c r="E2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9" spans="1:6" x14ac:dyDescent="0.35">
      <c r="A2339" s="3">
        <v>80783014409</v>
      </c>
      <c r="B2339" s="3">
        <v>132</v>
      </c>
      <c r="C2339" s="32">
        <v>49186</v>
      </c>
      <c r="D2339" s="32" t="s">
        <v>87</v>
      </c>
      <c r="E2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0" spans="1:6" x14ac:dyDescent="0.35">
      <c r="A2340" s="3">
        <v>41329312694</v>
      </c>
      <c r="B2340" s="3">
        <v>198</v>
      </c>
      <c r="C2340" s="32">
        <v>49186</v>
      </c>
      <c r="D2340" s="32">
        <v>49257</v>
      </c>
      <c r="E2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41" spans="1:6" x14ac:dyDescent="0.35">
      <c r="A2341" s="3">
        <v>59554655319</v>
      </c>
      <c r="B2341" s="3">
        <v>201</v>
      </c>
      <c r="C2341" s="32">
        <v>49186</v>
      </c>
      <c r="D2341" s="32" t="s">
        <v>87</v>
      </c>
      <c r="E2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2" spans="1:6" x14ac:dyDescent="0.35">
      <c r="A2342" s="3">
        <v>81224736578</v>
      </c>
      <c r="B2342" s="3">
        <v>205</v>
      </c>
      <c r="C2342" s="32">
        <v>49186</v>
      </c>
      <c r="D2342" s="32" t="s">
        <v>87</v>
      </c>
      <c r="E2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3" spans="1:6" x14ac:dyDescent="0.35">
      <c r="A2343" s="3">
        <v>70347517200</v>
      </c>
      <c r="B2343" s="3">
        <v>225</v>
      </c>
      <c r="C2343" s="32">
        <v>49186</v>
      </c>
      <c r="D2343" s="32" t="s">
        <v>87</v>
      </c>
      <c r="E2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4" spans="1:6" x14ac:dyDescent="0.35">
      <c r="A2344" s="3">
        <v>76921055932</v>
      </c>
      <c r="B2344" s="3">
        <v>227</v>
      </c>
      <c r="C2344" s="32">
        <v>49186</v>
      </c>
      <c r="D2344" s="32" t="s">
        <v>87</v>
      </c>
      <c r="E2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5" spans="1:6" x14ac:dyDescent="0.35">
      <c r="A2345" s="3">
        <v>65598488675</v>
      </c>
      <c r="B2345" s="3">
        <v>234</v>
      </c>
      <c r="C2345" s="32">
        <v>49186</v>
      </c>
      <c r="D2345" s="32" t="s">
        <v>87</v>
      </c>
      <c r="E2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6" spans="1:6" x14ac:dyDescent="0.35">
      <c r="A2346" s="3">
        <v>86388397710</v>
      </c>
      <c r="B2346" s="3">
        <v>243</v>
      </c>
      <c r="C2346" s="32">
        <v>49186</v>
      </c>
      <c r="D2346" s="32" t="s">
        <v>87</v>
      </c>
      <c r="E2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7" spans="1:6" x14ac:dyDescent="0.35">
      <c r="A2347" s="3">
        <v>57509074363</v>
      </c>
      <c r="B2347" s="3">
        <v>244</v>
      </c>
      <c r="C2347" s="32">
        <v>49186</v>
      </c>
      <c r="D2347" s="32" t="s">
        <v>87</v>
      </c>
      <c r="E2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8" spans="1:6" x14ac:dyDescent="0.35">
      <c r="A2348" s="3">
        <v>56735076961</v>
      </c>
      <c r="B2348" s="3">
        <v>250</v>
      </c>
      <c r="C2348" s="32">
        <v>49186</v>
      </c>
      <c r="D2348" s="32" t="s">
        <v>87</v>
      </c>
      <c r="E2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9" spans="1:6" x14ac:dyDescent="0.35">
      <c r="A2349" s="3">
        <v>35634648391</v>
      </c>
      <c r="B2349" s="3">
        <v>262</v>
      </c>
      <c r="C2349" s="32">
        <v>49186</v>
      </c>
      <c r="D2349" s="32">
        <v>49265</v>
      </c>
      <c r="E2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0" spans="1:6" x14ac:dyDescent="0.35">
      <c r="A2350" s="3">
        <v>47382849610</v>
      </c>
      <c r="B2350" s="3">
        <v>273</v>
      </c>
      <c r="C2350" s="32">
        <v>49186</v>
      </c>
      <c r="D2350" s="32" t="s">
        <v>87</v>
      </c>
      <c r="E2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1" spans="1:6" x14ac:dyDescent="0.35">
      <c r="A2351" s="3">
        <v>85259797101</v>
      </c>
      <c r="B2351" s="3">
        <v>283</v>
      </c>
      <c r="C2351" s="32">
        <v>49186</v>
      </c>
      <c r="D2351" s="32" t="s">
        <v>87</v>
      </c>
      <c r="E2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2" spans="1:6" x14ac:dyDescent="0.35">
      <c r="A2352" s="3">
        <v>98085589300</v>
      </c>
      <c r="B2352" s="3">
        <v>327</v>
      </c>
      <c r="C2352" s="32">
        <v>49186</v>
      </c>
      <c r="D2352" s="32">
        <v>49266</v>
      </c>
      <c r="E2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3" spans="1:6" x14ac:dyDescent="0.35">
      <c r="A2353" s="3">
        <v>16360224234</v>
      </c>
      <c r="B2353" s="3">
        <v>336</v>
      </c>
      <c r="C2353" s="32">
        <v>49186</v>
      </c>
      <c r="D2353" s="32" t="s">
        <v>87</v>
      </c>
      <c r="E2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4" spans="1:6" x14ac:dyDescent="0.35">
      <c r="A2354" s="3">
        <v>75966246711</v>
      </c>
      <c r="B2354" s="3">
        <v>338</v>
      </c>
      <c r="C2354" s="32">
        <v>49186</v>
      </c>
      <c r="D2354" s="32" t="s">
        <v>87</v>
      </c>
      <c r="E2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5" spans="1:6" x14ac:dyDescent="0.35">
      <c r="A2355" s="3">
        <v>72309972138</v>
      </c>
      <c r="B2355" s="3">
        <v>2</v>
      </c>
      <c r="C2355" s="32">
        <v>49187</v>
      </c>
      <c r="D2355" s="32" t="s">
        <v>87</v>
      </c>
      <c r="E2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6" spans="1:6" x14ac:dyDescent="0.35">
      <c r="A2356" s="3">
        <v>75583704460</v>
      </c>
      <c r="B2356" s="3">
        <v>39</v>
      </c>
      <c r="C2356" s="32">
        <v>49187</v>
      </c>
      <c r="D2356" s="32"/>
      <c r="E2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7" spans="1:6" x14ac:dyDescent="0.35">
      <c r="A2357" s="3">
        <v>65714834862</v>
      </c>
      <c r="B2357" s="3">
        <v>54</v>
      </c>
      <c r="C2357" s="32">
        <v>49187</v>
      </c>
      <c r="D2357" s="32" t="s">
        <v>87</v>
      </c>
      <c r="E2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8" spans="1:6" x14ac:dyDescent="0.35">
      <c r="A2358" s="3">
        <v>81323235089</v>
      </c>
      <c r="B2358" s="3">
        <v>56</v>
      </c>
      <c r="C2358" s="32">
        <v>49187</v>
      </c>
      <c r="D2358" s="32">
        <v>49261</v>
      </c>
      <c r="E2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9" spans="1:6" x14ac:dyDescent="0.35">
      <c r="A2359" s="3">
        <v>57578357628</v>
      </c>
      <c r="B2359" s="3">
        <v>63</v>
      </c>
      <c r="C2359" s="32">
        <v>49187</v>
      </c>
      <c r="D2359" s="32" t="s">
        <v>87</v>
      </c>
      <c r="E2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0" spans="1:6" x14ac:dyDescent="0.35">
      <c r="A2360" s="3">
        <v>68750617037</v>
      </c>
      <c r="B2360" s="3">
        <v>92</v>
      </c>
      <c r="C2360" s="32">
        <v>49187</v>
      </c>
      <c r="D2360" s="32" t="s">
        <v>87</v>
      </c>
      <c r="E2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1" spans="1:6" x14ac:dyDescent="0.35">
      <c r="A2361" s="3">
        <v>49305025974</v>
      </c>
      <c r="B2361" s="3">
        <v>94</v>
      </c>
      <c r="C2361" s="32">
        <v>49187</v>
      </c>
      <c r="D2361" s="32" t="s">
        <v>87</v>
      </c>
      <c r="E2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2" spans="1:6" x14ac:dyDescent="0.35">
      <c r="A2362" s="3">
        <v>19332995657</v>
      </c>
      <c r="B2362" s="3">
        <v>146</v>
      </c>
      <c r="C2362" s="32">
        <v>49187</v>
      </c>
      <c r="D2362" s="32" t="s">
        <v>87</v>
      </c>
      <c r="E2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3" spans="1:6" x14ac:dyDescent="0.35">
      <c r="A2363" s="3">
        <v>22665248363</v>
      </c>
      <c r="B2363" s="3">
        <v>156</v>
      </c>
      <c r="C2363" s="32">
        <v>49187</v>
      </c>
      <c r="D2363" s="32" t="s">
        <v>87</v>
      </c>
      <c r="E2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4" spans="1:6" x14ac:dyDescent="0.35">
      <c r="A2364" s="3">
        <v>58520310782</v>
      </c>
      <c r="B2364" s="3">
        <v>186</v>
      </c>
      <c r="C2364" s="32">
        <v>49187</v>
      </c>
      <c r="D2364" s="32"/>
      <c r="E2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5" spans="1:6" x14ac:dyDescent="0.35">
      <c r="A2365" s="3">
        <v>89288626983</v>
      </c>
      <c r="B2365" s="3">
        <v>189</v>
      </c>
      <c r="C2365" s="32">
        <v>49187</v>
      </c>
      <c r="D2365" s="32"/>
      <c r="E2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6" spans="1:6" x14ac:dyDescent="0.35">
      <c r="A2366" s="3">
        <v>40311559919</v>
      </c>
      <c r="B2366" s="3">
        <v>190</v>
      </c>
      <c r="C2366" s="32">
        <v>49187</v>
      </c>
      <c r="D2366" s="32" t="s">
        <v>87</v>
      </c>
      <c r="E2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7" spans="1:6" x14ac:dyDescent="0.35">
      <c r="A2367" s="3">
        <v>72626818882</v>
      </c>
      <c r="B2367" s="3">
        <v>209</v>
      </c>
      <c r="C2367" s="32">
        <v>49187</v>
      </c>
      <c r="D2367" s="32">
        <v>49302</v>
      </c>
      <c r="E2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68" spans="1:6" x14ac:dyDescent="0.35">
      <c r="A2368" s="3">
        <v>32993133202</v>
      </c>
      <c r="B2368" s="3">
        <v>219</v>
      </c>
      <c r="C2368" s="32">
        <v>49187</v>
      </c>
      <c r="D2368" s="32">
        <v>49293</v>
      </c>
      <c r="E2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69" spans="1:6" x14ac:dyDescent="0.35">
      <c r="A2369" s="3">
        <v>89802731260</v>
      </c>
      <c r="B2369" s="3">
        <v>250</v>
      </c>
      <c r="C2369" s="32">
        <v>49187</v>
      </c>
      <c r="D2369" s="32" t="s">
        <v>87</v>
      </c>
      <c r="E2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0" spans="1:6" x14ac:dyDescent="0.35">
      <c r="A2370" s="3">
        <v>92725213610</v>
      </c>
      <c r="B2370" s="3">
        <v>272</v>
      </c>
      <c r="C2370" s="32">
        <v>49187</v>
      </c>
      <c r="D2370" s="32" t="s">
        <v>87</v>
      </c>
      <c r="E2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1" spans="1:6" x14ac:dyDescent="0.35">
      <c r="A2371" s="3">
        <v>85588678383</v>
      </c>
      <c r="B2371" s="3">
        <v>279</v>
      </c>
      <c r="C2371" s="32">
        <v>49187</v>
      </c>
      <c r="D2371" s="32" t="s">
        <v>87</v>
      </c>
      <c r="E2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2" spans="1:6" x14ac:dyDescent="0.35">
      <c r="A2372" s="3">
        <v>18870438842</v>
      </c>
      <c r="B2372" s="3">
        <v>296</v>
      </c>
      <c r="C2372" s="32">
        <v>49187</v>
      </c>
      <c r="D2372" s="32">
        <v>49195</v>
      </c>
      <c r="E2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73" spans="1:6" x14ac:dyDescent="0.35">
      <c r="A2373" s="3">
        <v>61174457580</v>
      </c>
      <c r="B2373" s="3">
        <v>303</v>
      </c>
      <c r="C2373" s="32">
        <v>49187</v>
      </c>
      <c r="D2373" s="32"/>
      <c r="E2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4" spans="1:6" x14ac:dyDescent="0.35">
      <c r="A2374" s="3">
        <v>24799332906</v>
      </c>
      <c r="B2374" s="3">
        <v>312</v>
      </c>
      <c r="C2374" s="32">
        <v>49187</v>
      </c>
      <c r="D2374" s="32" t="s">
        <v>87</v>
      </c>
      <c r="E2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5" spans="1:6" x14ac:dyDescent="0.35">
      <c r="A2375" s="3">
        <v>58765541307</v>
      </c>
      <c r="B2375" s="3">
        <v>312</v>
      </c>
      <c r="C2375" s="32">
        <v>49187</v>
      </c>
      <c r="D2375" s="32" t="s">
        <v>87</v>
      </c>
      <c r="E2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6" spans="1:6" x14ac:dyDescent="0.35">
      <c r="A2376" s="3">
        <v>62416739127</v>
      </c>
      <c r="B2376" s="3">
        <v>330</v>
      </c>
      <c r="C2376" s="32">
        <v>49187</v>
      </c>
      <c r="D2376" s="32" t="s">
        <v>87</v>
      </c>
      <c r="E2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7" spans="1:6" x14ac:dyDescent="0.35">
      <c r="A2377" s="3">
        <v>25420254741</v>
      </c>
      <c r="B2377" s="3">
        <v>331</v>
      </c>
      <c r="C2377" s="32">
        <v>49187</v>
      </c>
      <c r="D2377" s="32" t="s">
        <v>87</v>
      </c>
      <c r="E2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8" spans="1:6" x14ac:dyDescent="0.35">
      <c r="A2378" s="3">
        <v>37108102546</v>
      </c>
      <c r="B2378" s="3">
        <v>27</v>
      </c>
      <c r="C2378" s="32">
        <v>49188</v>
      </c>
      <c r="D2378" s="32" t="s">
        <v>87</v>
      </c>
      <c r="E2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9" spans="1:6" x14ac:dyDescent="0.35">
      <c r="A2379" s="3">
        <v>50175033232</v>
      </c>
      <c r="B2379" s="3">
        <v>63</v>
      </c>
      <c r="C2379" s="32">
        <v>49188</v>
      </c>
      <c r="D2379" s="32">
        <v>49278</v>
      </c>
      <c r="E2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80" spans="1:6" x14ac:dyDescent="0.35">
      <c r="A2380" s="3">
        <v>62545236108</v>
      </c>
      <c r="B2380" s="3">
        <v>76</v>
      </c>
      <c r="C2380" s="32">
        <v>49188</v>
      </c>
      <c r="D2380" s="32" t="s">
        <v>87</v>
      </c>
      <c r="E2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1" spans="1:6" x14ac:dyDescent="0.35">
      <c r="A2381" s="3">
        <v>84524457825</v>
      </c>
      <c r="B2381" s="3">
        <v>92</v>
      </c>
      <c r="C2381" s="32">
        <v>49188</v>
      </c>
      <c r="D2381" s="32" t="s">
        <v>87</v>
      </c>
      <c r="E2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2" spans="1:6" x14ac:dyDescent="0.35">
      <c r="A2382" s="3">
        <v>62914654800</v>
      </c>
      <c r="B2382" s="3">
        <v>119</v>
      </c>
      <c r="C2382" s="32">
        <v>49188</v>
      </c>
      <c r="D2382" s="32" t="s">
        <v>87</v>
      </c>
      <c r="E2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3" spans="1:6" x14ac:dyDescent="0.35">
      <c r="A2383" s="3">
        <v>92713290904</v>
      </c>
      <c r="B2383" s="3">
        <v>120</v>
      </c>
      <c r="C2383" s="32">
        <v>49188</v>
      </c>
      <c r="D2383" s="32">
        <v>49242</v>
      </c>
      <c r="E2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84" spans="1:6" x14ac:dyDescent="0.35">
      <c r="A2384" s="3">
        <v>30240119398</v>
      </c>
      <c r="B2384" s="3">
        <v>136</v>
      </c>
      <c r="C2384" s="32">
        <v>49188</v>
      </c>
      <c r="D2384" s="32" t="s">
        <v>87</v>
      </c>
      <c r="E2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5" spans="1:6" x14ac:dyDescent="0.35">
      <c r="A2385" s="3">
        <v>65057776954</v>
      </c>
      <c r="B2385" s="3">
        <v>143</v>
      </c>
      <c r="C2385" s="32">
        <v>49188</v>
      </c>
      <c r="D2385" s="32" t="s">
        <v>87</v>
      </c>
      <c r="E2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6" spans="1:6" x14ac:dyDescent="0.35">
      <c r="A2386" s="3">
        <v>35859759052</v>
      </c>
      <c r="B2386" s="3">
        <v>150</v>
      </c>
      <c r="C2386" s="32">
        <v>49188</v>
      </c>
      <c r="D2386" s="32"/>
      <c r="E2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7" spans="1:6" x14ac:dyDescent="0.35">
      <c r="A2387" s="3">
        <v>72010463329</v>
      </c>
      <c r="B2387" s="3">
        <v>161</v>
      </c>
      <c r="C2387" s="32">
        <v>49188</v>
      </c>
      <c r="D2387" s="32" t="s">
        <v>87</v>
      </c>
      <c r="E2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8" spans="1:6" x14ac:dyDescent="0.35">
      <c r="A2388" s="3">
        <v>99218148587</v>
      </c>
      <c r="B2388" s="3">
        <v>173</v>
      </c>
      <c r="C2388" s="32">
        <v>49188</v>
      </c>
      <c r="D2388" s="32" t="s">
        <v>87</v>
      </c>
      <c r="E2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9" spans="1:6" x14ac:dyDescent="0.35">
      <c r="A2389" s="3">
        <v>76259729755</v>
      </c>
      <c r="B2389" s="3">
        <v>202</v>
      </c>
      <c r="C2389" s="32">
        <v>49188</v>
      </c>
      <c r="D2389" s="32" t="s">
        <v>87</v>
      </c>
      <c r="E2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0" spans="1:6" x14ac:dyDescent="0.35">
      <c r="A2390" s="3">
        <v>35169231239</v>
      </c>
      <c r="B2390" s="3">
        <v>239</v>
      </c>
      <c r="C2390" s="32">
        <v>49188</v>
      </c>
      <c r="D2390" s="32">
        <v>49232</v>
      </c>
      <c r="E2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91" spans="1:6" x14ac:dyDescent="0.35">
      <c r="A2391" s="3">
        <v>91937525470</v>
      </c>
      <c r="B2391" s="3">
        <v>240</v>
      </c>
      <c r="C2391" s="32">
        <v>49188</v>
      </c>
      <c r="D2391" s="32" t="s">
        <v>87</v>
      </c>
      <c r="E2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2" spans="1:6" x14ac:dyDescent="0.35">
      <c r="A2392" s="3">
        <v>12694011686</v>
      </c>
      <c r="B2392" s="3">
        <v>256</v>
      </c>
      <c r="C2392" s="32">
        <v>49188</v>
      </c>
      <c r="D2392" s="32" t="s">
        <v>87</v>
      </c>
      <c r="E2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3" spans="1:6" x14ac:dyDescent="0.35">
      <c r="A2393" s="3">
        <v>69872802386</v>
      </c>
      <c r="B2393" s="3">
        <v>259</v>
      </c>
      <c r="C2393" s="32">
        <v>49188</v>
      </c>
      <c r="D2393" s="32" t="s">
        <v>87</v>
      </c>
      <c r="E2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4" spans="1:6" x14ac:dyDescent="0.35">
      <c r="A2394" s="3">
        <v>25324967655</v>
      </c>
      <c r="B2394" s="3">
        <v>280</v>
      </c>
      <c r="C2394" s="32">
        <v>49188</v>
      </c>
      <c r="D2394" s="32">
        <v>49198</v>
      </c>
      <c r="E2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95" spans="1:6" x14ac:dyDescent="0.35">
      <c r="A2395" s="3">
        <v>54211383660</v>
      </c>
      <c r="B2395" s="3">
        <v>298</v>
      </c>
      <c r="C2395" s="32">
        <v>49188</v>
      </c>
      <c r="D2395" s="32">
        <v>49295</v>
      </c>
      <c r="E2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96" spans="1:6" x14ac:dyDescent="0.35">
      <c r="A2396" s="3">
        <v>44558050416</v>
      </c>
      <c r="B2396" s="3">
        <v>300</v>
      </c>
      <c r="C2396" s="32">
        <v>49188</v>
      </c>
      <c r="D2396" s="32"/>
      <c r="E2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7" spans="1:6" x14ac:dyDescent="0.35">
      <c r="A2397" s="3">
        <v>35492642414</v>
      </c>
      <c r="B2397" s="3">
        <v>308</v>
      </c>
      <c r="C2397" s="32">
        <v>49188</v>
      </c>
      <c r="D2397" s="32" t="s">
        <v>87</v>
      </c>
      <c r="E2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8" spans="1:6" x14ac:dyDescent="0.35">
      <c r="A2398" s="3">
        <v>89141643045</v>
      </c>
      <c r="B2398" s="3">
        <v>313</v>
      </c>
      <c r="C2398" s="32">
        <v>49188</v>
      </c>
      <c r="D2398" s="32" t="s">
        <v>87</v>
      </c>
      <c r="E2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9" spans="1:6" x14ac:dyDescent="0.35">
      <c r="A2399" s="3">
        <v>86634802210</v>
      </c>
      <c r="B2399" s="3">
        <v>321</v>
      </c>
      <c r="C2399" s="32">
        <v>49188</v>
      </c>
      <c r="D2399" s="32" t="s">
        <v>87</v>
      </c>
      <c r="E2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0" spans="1:6" x14ac:dyDescent="0.35">
      <c r="A2400" s="3">
        <v>85604780138</v>
      </c>
      <c r="B2400" s="3">
        <v>326</v>
      </c>
      <c r="C2400" s="32">
        <v>49188</v>
      </c>
      <c r="D2400" s="32" t="s">
        <v>87</v>
      </c>
      <c r="E2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1" spans="1:6" x14ac:dyDescent="0.35">
      <c r="A2401" s="3">
        <v>72067930019</v>
      </c>
      <c r="B2401" s="3">
        <v>327</v>
      </c>
      <c r="C2401" s="32">
        <v>49188</v>
      </c>
      <c r="D2401" s="32" t="s">
        <v>87</v>
      </c>
      <c r="E2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2" spans="1:6" x14ac:dyDescent="0.35">
      <c r="A2402" s="3">
        <v>14170844626</v>
      </c>
      <c r="B2402" s="3">
        <v>329</v>
      </c>
      <c r="C2402" s="32">
        <v>49188</v>
      </c>
      <c r="D2402" s="32" t="s">
        <v>87</v>
      </c>
      <c r="E2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3" spans="1:6" x14ac:dyDescent="0.35">
      <c r="A2403" s="3">
        <v>77403064604</v>
      </c>
      <c r="B2403" s="3">
        <v>335</v>
      </c>
      <c r="C2403" s="32">
        <v>49188</v>
      </c>
      <c r="D2403" s="32" t="s">
        <v>87</v>
      </c>
      <c r="E2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4" spans="1:6" x14ac:dyDescent="0.35">
      <c r="A2404" s="3">
        <v>43143344315</v>
      </c>
      <c r="B2404" s="3">
        <v>339</v>
      </c>
      <c r="C2404" s="32">
        <v>49188</v>
      </c>
      <c r="D2404" s="32" t="s">
        <v>87</v>
      </c>
      <c r="E2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5" spans="1:6" x14ac:dyDescent="0.35">
      <c r="A2405" s="3">
        <v>93705214428</v>
      </c>
      <c r="B2405" s="3">
        <v>16</v>
      </c>
      <c r="C2405" s="32">
        <v>49189</v>
      </c>
      <c r="D2405" s="32" t="s">
        <v>87</v>
      </c>
      <c r="E2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6" spans="1:6" x14ac:dyDescent="0.35">
      <c r="A2406" s="3">
        <v>71666711269</v>
      </c>
      <c r="B2406" s="3">
        <v>26</v>
      </c>
      <c r="C2406" s="32">
        <v>49189</v>
      </c>
      <c r="D2406" s="32" t="s">
        <v>87</v>
      </c>
      <c r="E2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7" spans="1:6" x14ac:dyDescent="0.35">
      <c r="A2407" s="3">
        <v>64541211064</v>
      </c>
      <c r="B2407" s="3">
        <v>30</v>
      </c>
      <c r="C2407" s="32">
        <v>49189</v>
      </c>
      <c r="D2407" s="32">
        <v>49222</v>
      </c>
      <c r="E2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08" spans="1:6" x14ac:dyDescent="0.35">
      <c r="A2408" s="3">
        <v>35619195951</v>
      </c>
      <c r="B2408" s="3">
        <v>32</v>
      </c>
      <c r="C2408" s="32">
        <v>49189</v>
      </c>
      <c r="D2408" s="32">
        <v>49288</v>
      </c>
      <c r="E2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09" spans="1:6" x14ac:dyDescent="0.35">
      <c r="A2409" s="3">
        <v>56575215626</v>
      </c>
      <c r="B2409" s="3">
        <v>44</v>
      </c>
      <c r="C2409" s="32">
        <v>49189</v>
      </c>
      <c r="D2409" s="32">
        <v>49231</v>
      </c>
      <c r="E2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10" spans="1:6" x14ac:dyDescent="0.35">
      <c r="A2410" s="3">
        <v>91432974533</v>
      </c>
      <c r="B2410" s="3">
        <v>47</v>
      </c>
      <c r="C2410" s="32">
        <v>49189</v>
      </c>
      <c r="D2410" s="32">
        <v>49236</v>
      </c>
      <c r="E2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11" spans="1:6" x14ac:dyDescent="0.35">
      <c r="A2411" s="3">
        <v>66073737309</v>
      </c>
      <c r="B2411" s="3">
        <v>57</v>
      </c>
      <c r="C2411" s="32">
        <v>49189</v>
      </c>
      <c r="D2411" s="32"/>
      <c r="E2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2" spans="1:6" x14ac:dyDescent="0.35">
      <c r="A2412" s="3">
        <v>62603332071</v>
      </c>
      <c r="B2412" s="3">
        <v>67</v>
      </c>
      <c r="C2412" s="32">
        <v>49189</v>
      </c>
      <c r="D2412" s="32" t="s">
        <v>87</v>
      </c>
      <c r="E2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3" spans="1:6" x14ac:dyDescent="0.35">
      <c r="A2413" s="3">
        <v>75915454882</v>
      </c>
      <c r="B2413" s="3">
        <v>107</v>
      </c>
      <c r="C2413" s="32">
        <v>49189</v>
      </c>
      <c r="D2413" s="32" t="s">
        <v>87</v>
      </c>
      <c r="E2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4" spans="1:6" x14ac:dyDescent="0.35">
      <c r="A2414" s="3">
        <v>58160144946</v>
      </c>
      <c r="B2414" s="3">
        <v>110</v>
      </c>
      <c r="C2414" s="32">
        <v>49189</v>
      </c>
      <c r="D2414" s="32" t="s">
        <v>87</v>
      </c>
      <c r="E2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5" spans="1:6" x14ac:dyDescent="0.35">
      <c r="A2415" s="3">
        <v>84653278931</v>
      </c>
      <c r="B2415" s="3">
        <v>121</v>
      </c>
      <c r="C2415" s="32">
        <v>49189</v>
      </c>
      <c r="D2415" s="32" t="s">
        <v>87</v>
      </c>
      <c r="E2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6" spans="1:6" x14ac:dyDescent="0.35">
      <c r="A2416" s="3">
        <v>84541655880</v>
      </c>
      <c r="B2416" s="3">
        <v>132</v>
      </c>
      <c r="C2416" s="32">
        <v>49189</v>
      </c>
      <c r="D2416" s="32" t="s">
        <v>87</v>
      </c>
      <c r="E2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7" spans="1:6" x14ac:dyDescent="0.35">
      <c r="A2417" s="3">
        <v>79236119445</v>
      </c>
      <c r="B2417" s="3">
        <v>134</v>
      </c>
      <c r="C2417" s="32">
        <v>49189</v>
      </c>
      <c r="D2417" s="32" t="s">
        <v>87</v>
      </c>
      <c r="E2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8" spans="1:6" x14ac:dyDescent="0.35">
      <c r="A2418" s="3">
        <v>99490306418</v>
      </c>
      <c r="B2418" s="3">
        <v>134</v>
      </c>
      <c r="C2418" s="32">
        <v>49189</v>
      </c>
      <c r="D2418" s="32"/>
      <c r="E2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9" spans="1:6" x14ac:dyDescent="0.35">
      <c r="A2419" s="3">
        <v>73620905894</v>
      </c>
      <c r="B2419" s="3">
        <v>186</v>
      </c>
      <c r="C2419" s="32">
        <v>49189</v>
      </c>
      <c r="D2419" s="32">
        <v>49199</v>
      </c>
      <c r="E2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20" spans="1:6" x14ac:dyDescent="0.35">
      <c r="A2420" s="3">
        <v>22753257786</v>
      </c>
      <c r="B2420" s="3">
        <v>207</v>
      </c>
      <c r="C2420" s="32">
        <v>49189</v>
      </c>
      <c r="D2420" s="32">
        <v>49232</v>
      </c>
      <c r="E2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1" spans="1:6" x14ac:dyDescent="0.35">
      <c r="A2421" s="3">
        <v>64676582520</v>
      </c>
      <c r="B2421" s="3">
        <v>242</v>
      </c>
      <c r="C2421" s="32">
        <v>49189</v>
      </c>
      <c r="D2421" s="32">
        <v>49218</v>
      </c>
      <c r="E2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2" spans="1:6" x14ac:dyDescent="0.35">
      <c r="A2422" s="3">
        <v>24445775338</v>
      </c>
      <c r="B2422" s="3">
        <v>248</v>
      </c>
      <c r="C2422" s="32">
        <v>49189</v>
      </c>
      <c r="D2422" s="32">
        <v>49248</v>
      </c>
      <c r="E2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3" spans="1:6" x14ac:dyDescent="0.35">
      <c r="A2423" s="3">
        <v>85631969493</v>
      </c>
      <c r="B2423" s="3">
        <v>261</v>
      </c>
      <c r="C2423" s="32">
        <v>49189</v>
      </c>
      <c r="D2423" s="32">
        <v>49201</v>
      </c>
      <c r="E2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24" spans="1:6" x14ac:dyDescent="0.35">
      <c r="A2424" s="3">
        <v>86103002305</v>
      </c>
      <c r="B2424" s="3">
        <v>268</v>
      </c>
      <c r="C2424" s="32">
        <v>49189</v>
      </c>
      <c r="D2424" s="32" t="s">
        <v>87</v>
      </c>
      <c r="E2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5" spans="1:6" x14ac:dyDescent="0.35">
      <c r="A2425" s="3">
        <v>52305182631</v>
      </c>
      <c r="B2425" s="3">
        <v>277</v>
      </c>
      <c r="C2425" s="32">
        <v>49189</v>
      </c>
      <c r="D2425" s="32" t="s">
        <v>87</v>
      </c>
      <c r="E2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6" spans="1:6" x14ac:dyDescent="0.35">
      <c r="A2426" s="3">
        <v>76478463422</v>
      </c>
      <c r="B2426" s="3">
        <v>289</v>
      </c>
      <c r="C2426" s="32">
        <v>49189</v>
      </c>
      <c r="D2426" s="32" t="s">
        <v>87</v>
      </c>
      <c r="E2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7" spans="1:6" x14ac:dyDescent="0.35">
      <c r="A2427" s="3">
        <v>61768718201</v>
      </c>
      <c r="B2427" s="3">
        <v>297</v>
      </c>
      <c r="C2427" s="32">
        <v>49189</v>
      </c>
      <c r="D2427" s="32">
        <v>49275</v>
      </c>
      <c r="E2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428" spans="1:6" x14ac:dyDescent="0.35">
      <c r="A2428" s="3">
        <v>26861585576</v>
      </c>
      <c r="B2428" s="3">
        <v>307</v>
      </c>
      <c r="C2428" s="32">
        <v>49189</v>
      </c>
      <c r="D2428" s="32" t="s">
        <v>87</v>
      </c>
      <c r="E2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9" spans="1:6" x14ac:dyDescent="0.35">
      <c r="A2429" s="3">
        <v>77416740025</v>
      </c>
      <c r="B2429" s="3">
        <v>314</v>
      </c>
      <c r="C2429" s="32">
        <v>49189</v>
      </c>
      <c r="D2429" s="32"/>
      <c r="E2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0" spans="1:6" x14ac:dyDescent="0.35">
      <c r="A2430" s="3">
        <v>69858479526</v>
      </c>
      <c r="B2430" s="3">
        <v>13</v>
      </c>
      <c r="C2430" s="32">
        <v>49190</v>
      </c>
      <c r="D2430" s="32"/>
      <c r="E2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1" spans="1:6" x14ac:dyDescent="0.35">
      <c r="A2431" s="3">
        <v>39615774756</v>
      </c>
      <c r="B2431" s="3">
        <v>39</v>
      </c>
      <c r="C2431" s="32">
        <v>49190</v>
      </c>
      <c r="D2431" s="32" t="s">
        <v>87</v>
      </c>
      <c r="E2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2" spans="1:6" x14ac:dyDescent="0.35">
      <c r="A2432" s="3">
        <v>94319800050</v>
      </c>
      <c r="B2432" s="3">
        <v>53</v>
      </c>
      <c r="C2432" s="32">
        <v>49190</v>
      </c>
      <c r="D2432" s="32">
        <v>49292</v>
      </c>
      <c r="E2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33" spans="1:6" x14ac:dyDescent="0.35">
      <c r="A2433" s="3">
        <v>22464349822</v>
      </c>
      <c r="B2433" s="3">
        <v>66</v>
      </c>
      <c r="C2433" s="32">
        <v>49190</v>
      </c>
      <c r="D2433" s="32" t="s">
        <v>87</v>
      </c>
      <c r="E2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4" spans="1:6" x14ac:dyDescent="0.35">
      <c r="A2434" s="3">
        <v>76698367328</v>
      </c>
      <c r="B2434" s="3">
        <v>73</v>
      </c>
      <c r="C2434" s="32">
        <v>49190</v>
      </c>
      <c r="D2434" s="32" t="s">
        <v>87</v>
      </c>
      <c r="E2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5" spans="1:6" x14ac:dyDescent="0.35">
      <c r="A2435" s="3">
        <v>95829519457</v>
      </c>
      <c r="B2435" s="3">
        <v>84</v>
      </c>
      <c r="C2435" s="32">
        <v>49190</v>
      </c>
      <c r="D2435" s="32" t="s">
        <v>87</v>
      </c>
      <c r="E2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6" spans="1:6" x14ac:dyDescent="0.35">
      <c r="A2436" s="3">
        <v>66168921291</v>
      </c>
      <c r="B2436" s="3">
        <v>105</v>
      </c>
      <c r="C2436" s="32">
        <v>49190</v>
      </c>
      <c r="D2436" s="32" t="s">
        <v>87</v>
      </c>
      <c r="E2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7" spans="1:6" x14ac:dyDescent="0.35">
      <c r="A2437" s="3">
        <v>49237462311</v>
      </c>
      <c r="B2437" s="3">
        <v>126</v>
      </c>
      <c r="C2437" s="32">
        <v>49190</v>
      </c>
      <c r="D2437" s="32" t="s">
        <v>87</v>
      </c>
      <c r="E2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8" spans="1:6" x14ac:dyDescent="0.35">
      <c r="A2438" s="3">
        <v>28025621762</v>
      </c>
      <c r="B2438" s="3">
        <v>156</v>
      </c>
      <c r="C2438" s="32">
        <v>49190</v>
      </c>
      <c r="D2438" s="32" t="s">
        <v>87</v>
      </c>
      <c r="E2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9" spans="1:6" x14ac:dyDescent="0.35">
      <c r="A2439" s="3">
        <v>28734138979</v>
      </c>
      <c r="B2439" s="3">
        <v>169</v>
      </c>
      <c r="C2439" s="32">
        <v>49190</v>
      </c>
      <c r="D2439" s="32" t="s">
        <v>87</v>
      </c>
      <c r="E2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0" spans="1:6" x14ac:dyDescent="0.35">
      <c r="A2440" s="3">
        <v>74055104077</v>
      </c>
      <c r="B2440" s="3">
        <v>169</v>
      </c>
      <c r="C2440" s="32">
        <v>49190</v>
      </c>
      <c r="D2440" s="32" t="s">
        <v>87</v>
      </c>
      <c r="E2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1" spans="1:6" x14ac:dyDescent="0.35">
      <c r="A2441" s="3">
        <v>46216887407</v>
      </c>
      <c r="B2441" s="3">
        <v>173</v>
      </c>
      <c r="C2441" s="32">
        <v>49190</v>
      </c>
      <c r="D2441" s="32"/>
      <c r="E2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2" spans="1:6" x14ac:dyDescent="0.35">
      <c r="A2442" s="3">
        <v>22594183565</v>
      </c>
      <c r="B2442" s="3">
        <v>202</v>
      </c>
      <c r="C2442" s="32">
        <v>49190</v>
      </c>
      <c r="D2442" s="32" t="s">
        <v>87</v>
      </c>
      <c r="E2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3" spans="1:6" x14ac:dyDescent="0.35">
      <c r="A2443" s="3">
        <v>12635840047</v>
      </c>
      <c r="B2443" s="3">
        <v>204</v>
      </c>
      <c r="C2443" s="32">
        <v>49190</v>
      </c>
      <c r="D2443" s="32" t="s">
        <v>87</v>
      </c>
      <c r="E2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4" spans="1:6" x14ac:dyDescent="0.35">
      <c r="A2444" s="3">
        <v>66611057800</v>
      </c>
      <c r="B2444" s="3">
        <v>258</v>
      </c>
      <c r="C2444" s="32">
        <v>49190</v>
      </c>
      <c r="D2444" s="32" t="s">
        <v>87</v>
      </c>
      <c r="E2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5" spans="1:6" x14ac:dyDescent="0.35">
      <c r="A2445" s="3">
        <v>28787535214</v>
      </c>
      <c r="B2445" s="3">
        <v>295</v>
      </c>
      <c r="C2445" s="32">
        <v>49190</v>
      </c>
      <c r="D2445" s="32" t="s">
        <v>87</v>
      </c>
      <c r="E2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6" spans="1:6" x14ac:dyDescent="0.35">
      <c r="A2446" s="3">
        <v>34185149204</v>
      </c>
      <c r="B2446" s="3">
        <v>311</v>
      </c>
      <c r="C2446" s="32">
        <v>49190</v>
      </c>
      <c r="D2446" s="32" t="s">
        <v>87</v>
      </c>
      <c r="E2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7" spans="1:6" x14ac:dyDescent="0.35">
      <c r="A2447" s="3">
        <v>55997506418</v>
      </c>
      <c r="B2447" s="3">
        <v>317</v>
      </c>
      <c r="C2447" s="32">
        <v>49190</v>
      </c>
      <c r="D2447" s="32" t="s">
        <v>87</v>
      </c>
      <c r="E2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8" spans="1:6" x14ac:dyDescent="0.35">
      <c r="A2448" s="3">
        <v>29148003090</v>
      </c>
      <c r="B2448" s="3">
        <v>318</v>
      </c>
      <c r="C2448" s="32">
        <v>49190</v>
      </c>
      <c r="D2448" s="32" t="s">
        <v>87</v>
      </c>
      <c r="E2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9" spans="1:6" x14ac:dyDescent="0.35">
      <c r="A2449" s="3">
        <v>85528765176</v>
      </c>
      <c r="B2449" s="3">
        <v>320</v>
      </c>
      <c r="C2449" s="32">
        <v>49190</v>
      </c>
      <c r="D2449" s="32" t="s">
        <v>87</v>
      </c>
      <c r="E2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0" spans="1:6" x14ac:dyDescent="0.35">
      <c r="A2450" s="3">
        <v>58433727401</v>
      </c>
      <c r="B2450" s="3">
        <v>328</v>
      </c>
      <c r="C2450" s="32">
        <v>49190</v>
      </c>
      <c r="D2450" s="32" t="s">
        <v>87</v>
      </c>
      <c r="E2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1" spans="1:6" x14ac:dyDescent="0.35">
      <c r="A2451" s="3">
        <v>53426379075</v>
      </c>
      <c r="B2451" s="3">
        <v>0</v>
      </c>
      <c r="C2451" s="32">
        <v>49191</v>
      </c>
      <c r="D2451" s="32" t="s">
        <v>87</v>
      </c>
      <c r="E2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2" spans="1:6" x14ac:dyDescent="0.35">
      <c r="A2452" s="3">
        <v>72429457400</v>
      </c>
      <c r="B2452" s="3">
        <v>3</v>
      </c>
      <c r="C2452" s="32">
        <v>49191</v>
      </c>
      <c r="D2452" s="32" t="s">
        <v>87</v>
      </c>
      <c r="E2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3" spans="1:6" x14ac:dyDescent="0.35">
      <c r="A2453" s="3">
        <v>56290356203</v>
      </c>
      <c r="B2453" s="3">
        <v>39</v>
      </c>
      <c r="C2453" s="32">
        <v>49191</v>
      </c>
      <c r="D2453" s="32" t="s">
        <v>87</v>
      </c>
      <c r="E2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4" spans="1:6" x14ac:dyDescent="0.35">
      <c r="A2454" s="3">
        <v>79103230271</v>
      </c>
      <c r="B2454" s="3">
        <v>49</v>
      </c>
      <c r="C2454" s="32">
        <v>49191</v>
      </c>
      <c r="D2454" s="32" t="s">
        <v>87</v>
      </c>
      <c r="E2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5" spans="1:6" x14ac:dyDescent="0.35">
      <c r="A2455" s="3">
        <v>43911150885</v>
      </c>
      <c r="B2455" s="3">
        <v>50</v>
      </c>
      <c r="C2455" s="32">
        <v>49191</v>
      </c>
      <c r="D2455" s="32" t="s">
        <v>87</v>
      </c>
      <c r="E2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6" spans="1:6" x14ac:dyDescent="0.35">
      <c r="A2456" s="3">
        <v>94282040623</v>
      </c>
      <c r="B2456" s="3">
        <v>74</v>
      </c>
      <c r="C2456" s="32">
        <v>49191</v>
      </c>
      <c r="D2456" s="32" t="s">
        <v>87</v>
      </c>
      <c r="E2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7" spans="1:6" x14ac:dyDescent="0.35">
      <c r="A2457" s="3">
        <v>90331816445</v>
      </c>
      <c r="B2457" s="3">
        <v>80</v>
      </c>
      <c r="C2457" s="32">
        <v>49191</v>
      </c>
      <c r="D2457" s="32" t="s">
        <v>87</v>
      </c>
      <c r="E2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8" spans="1:6" x14ac:dyDescent="0.35">
      <c r="A2458" s="3">
        <v>27194033614</v>
      </c>
      <c r="B2458" s="3">
        <v>129</v>
      </c>
      <c r="C2458" s="32">
        <v>49191</v>
      </c>
      <c r="D2458" s="32">
        <v>49238</v>
      </c>
      <c r="E2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59" spans="1:6" x14ac:dyDescent="0.35">
      <c r="A2459" s="3">
        <v>79823297869</v>
      </c>
      <c r="B2459" s="3">
        <v>134</v>
      </c>
      <c r="C2459" s="32">
        <v>49191</v>
      </c>
      <c r="D2459" s="32"/>
      <c r="E2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0" spans="1:6" x14ac:dyDescent="0.35">
      <c r="A2460" s="3">
        <v>45922054573</v>
      </c>
      <c r="B2460" s="3">
        <v>150</v>
      </c>
      <c r="C2460" s="32">
        <v>49191</v>
      </c>
      <c r="D2460" s="32">
        <v>49309</v>
      </c>
      <c r="E2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61" spans="1:6" x14ac:dyDescent="0.35">
      <c r="A2461" s="3">
        <v>13179125472</v>
      </c>
      <c r="B2461" s="3">
        <v>152</v>
      </c>
      <c r="C2461" s="32">
        <v>49191</v>
      </c>
      <c r="D2461" s="32">
        <v>49243</v>
      </c>
      <c r="E2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62" spans="1:6" x14ac:dyDescent="0.35">
      <c r="A2462" s="3">
        <v>47118046888</v>
      </c>
      <c r="B2462" s="3">
        <v>158</v>
      </c>
      <c r="C2462" s="32">
        <v>49191</v>
      </c>
      <c r="D2462" s="32">
        <v>49237</v>
      </c>
      <c r="E2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63" spans="1:6" x14ac:dyDescent="0.35">
      <c r="A2463" s="3">
        <v>33924910995</v>
      </c>
      <c r="B2463" s="3">
        <v>163</v>
      </c>
      <c r="C2463" s="32">
        <v>49191</v>
      </c>
      <c r="D2463" s="32" t="s">
        <v>87</v>
      </c>
      <c r="E2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4" spans="1:6" x14ac:dyDescent="0.35">
      <c r="A2464" s="3">
        <v>89847922257</v>
      </c>
      <c r="B2464" s="3">
        <v>216</v>
      </c>
      <c r="C2464" s="32">
        <v>49191</v>
      </c>
      <c r="D2464" s="32" t="s">
        <v>87</v>
      </c>
      <c r="E2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5" spans="1:6" x14ac:dyDescent="0.35">
      <c r="A2465" s="3">
        <v>97140208257</v>
      </c>
      <c r="B2465" s="3">
        <v>226</v>
      </c>
      <c r="C2465" s="32">
        <v>49191</v>
      </c>
      <c r="D2465" s="32"/>
      <c r="E2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6" spans="1:6" x14ac:dyDescent="0.35">
      <c r="A2466" s="3">
        <v>97664956808</v>
      </c>
      <c r="B2466" s="3">
        <v>231</v>
      </c>
      <c r="C2466" s="32">
        <v>49191</v>
      </c>
      <c r="D2466" s="32" t="s">
        <v>87</v>
      </c>
      <c r="E2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7" spans="1:6" x14ac:dyDescent="0.35">
      <c r="A2467" s="3">
        <v>74348938518</v>
      </c>
      <c r="B2467" s="3">
        <v>239</v>
      </c>
      <c r="C2467" s="32">
        <v>49191</v>
      </c>
      <c r="D2467" s="32" t="s">
        <v>87</v>
      </c>
      <c r="E2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8" spans="1:6" x14ac:dyDescent="0.35">
      <c r="A2468" s="3">
        <v>36371586917</v>
      </c>
      <c r="B2468" s="3">
        <v>246</v>
      </c>
      <c r="C2468" s="32">
        <v>49191</v>
      </c>
      <c r="D2468" s="32" t="s">
        <v>87</v>
      </c>
      <c r="E2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9" spans="1:6" x14ac:dyDescent="0.35">
      <c r="A2469" s="3">
        <v>53254376853</v>
      </c>
      <c r="B2469" s="3">
        <v>254</v>
      </c>
      <c r="C2469" s="32">
        <v>49191</v>
      </c>
      <c r="D2469" s="32" t="s">
        <v>87</v>
      </c>
      <c r="E2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0" spans="1:6" x14ac:dyDescent="0.35">
      <c r="A2470" s="3">
        <v>33474643096</v>
      </c>
      <c r="B2470" s="3">
        <v>289</v>
      </c>
      <c r="C2470" s="32">
        <v>49191</v>
      </c>
      <c r="D2470" s="32" t="s">
        <v>87</v>
      </c>
      <c r="E2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1" spans="1:6" x14ac:dyDescent="0.35">
      <c r="A2471" s="3">
        <v>78272917019</v>
      </c>
      <c r="B2471" s="3">
        <v>324</v>
      </c>
      <c r="C2471" s="32">
        <v>49191</v>
      </c>
      <c r="D2471" s="32">
        <v>49199</v>
      </c>
      <c r="E2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2" spans="1:6" x14ac:dyDescent="0.35">
      <c r="A2472" s="3">
        <v>15713070395</v>
      </c>
      <c r="B2472" s="3">
        <v>324</v>
      </c>
      <c r="C2472" s="32">
        <v>49191</v>
      </c>
      <c r="D2472" s="32" t="s">
        <v>87</v>
      </c>
      <c r="E2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3" spans="1:6" x14ac:dyDescent="0.35">
      <c r="A2473" s="3">
        <v>95456929574</v>
      </c>
      <c r="B2473" s="3">
        <v>325</v>
      </c>
      <c r="C2473" s="32">
        <v>49191</v>
      </c>
      <c r="D2473" s="32"/>
      <c r="E2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4" spans="1:6" x14ac:dyDescent="0.35">
      <c r="A2474" s="3">
        <v>89019866654</v>
      </c>
      <c r="B2474" s="3">
        <v>326</v>
      </c>
      <c r="C2474" s="32">
        <v>49191</v>
      </c>
      <c r="D2474" s="32"/>
      <c r="E2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5" spans="1:6" x14ac:dyDescent="0.35">
      <c r="A2475" s="3">
        <v>25897734937</v>
      </c>
      <c r="B2475" s="3">
        <v>9</v>
      </c>
      <c r="C2475" s="32">
        <v>49192</v>
      </c>
      <c r="D2475" s="32">
        <v>49268</v>
      </c>
      <c r="E2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476" spans="1:6" x14ac:dyDescent="0.35">
      <c r="A2476" s="3">
        <v>16627539777</v>
      </c>
      <c r="B2476" s="3">
        <v>10</v>
      </c>
      <c r="C2476" s="32">
        <v>49192</v>
      </c>
      <c r="D2476" s="32" t="s">
        <v>87</v>
      </c>
      <c r="E2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7" spans="1:6" x14ac:dyDescent="0.35">
      <c r="A2477" s="3">
        <v>95645248614</v>
      </c>
      <c r="B2477" s="3">
        <v>20</v>
      </c>
      <c r="C2477" s="32">
        <v>49192</v>
      </c>
      <c r="D2477" s="32" t="s">
        <v>87</v>
      </c>
      <c r="E2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8" spans="1:6" x14ac:dyDescent="0.35">
      <c r="A2478" s="3">
        <v>89962965788</v>
      </c>
      <c r="B2478" s="3">
        <v>58</v>
      </c>
      <c r="C2478" s="32">
        <v>49192</v>
      </c>
      <c r="D2478" s="32">
        <v>49197</v>
      </c>
      <c r="E2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9" spans="1:6" x14ac:dyDescent="0.35">
      <c r="A2479" s="3">
        <v>85209000246</v>
      </c>
      <c r="B2479" s="3">
        <v>73</v>
      </c>
      <c r="C2479" s="32">
        <v>49192</v>
      </c>
      <c r="D2479" s="32" t="s">
        <v>87</v>
      </c>
      <c r="E2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0" spans="1:6" x14ac:dyDescent="0.35">
      <c r="A2480" s="3">
        <v>99362707718</v>
      </c>
      <c r="B2480" s="3">
        <v>113</v>
      </c>
      <c r="C2480" s="32">
        <v>49192</v>
      </c>
      <c r="D2480" s="32" t="s">
        <v>87</v>
      </c>
      <c r="E2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1" spans="1:6" x14ac:dyDescent="0.35">
      <c r="A2481" s="3">
        <v>50298329403</v>
      </c>
      <c r="B2481" s="3">
        <v>122</v>
      </c>
      <c r="C2481" s="32">
        <v>49192</v>
      </c>
      <c r="D2481" s="32" t="s">
        <v>87</v>
      </c>
      <c r="E2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2" spans="1:6" x14ac:dyDescent="0.35">
      <c r="A2482" s="3">
        <v>38114042321</v>
      </c>
      <c r="B2482" s="3">
        <v>126</v>
      </c>
      <c r="C2482" s="32">
        <v>49192</v>
      </c>
      <c r="D2482" s="32" t="s">
        <v>87</v>
      </c>
      <c r="E2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3" spans="1:6" x14ac:dyDescent="0.35">
      <c r="A2483" s="3">
        <v>47091409761</v>
      </c>
      <c r="B2483" s="3">
        <v>143</v>
      </c>
      <c r="C2483" s="32">
        <v>49192</v>
      </c>
      <c r="D2483" s="32" t="s">
        <v>87</v>
      </c>
      <c r="E2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4" spans="1:6" x14ac:dyDescent="0.35">
      <c r="A2484" s="3">
        <v>74151298652</v>
      </c>
      <c r="B2484" s="3">
        <v>155</v>
      </c>
      <c r="C2484" s="32">
        <v>49192</v>
      </c>
      <c r="D2484" s="32">
        <v>49295</v>
      </c>
      <c r="E2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85" spans="1:6" x14ac:dyDescent="0.35">
      <c r="A2485" s="3">
        <v>76380401508</v>
      </c>
      <c r="B2485" s="3">
        <v>179</v>
      </c>
      <c r="C2485" s="32">
        <v>49192</v>
      </c>
      <c r="D2485" s="32">
        <v>49237</v>
      </c>
      <c r="E2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86" spans="1:6" x14ac:dyDescent="0.35">
      <c r="A2486" s="3">
        <v>86466397730</v>
      </c>
      <c r="B2486" s="3">
        <v>190</v>
      </c>
      <c r="C2486" s="32">
        <v>49192</v>
      </c>
      <c r="D2486" s="32" t="s">
        <v>87</v>
      </c>
      <c r="E2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7" spans="1:6" x14ac:dyDescent="0.35">
      <c r="A2487" s="3">
        <v>35907275328</v>
      </c>
      <c r="B2487" s="3">
        <v>199</v>
      </c>
      <c r="C2487" s="32">
        <v>49192</v>
      </c>
      <c r="D2487" s="32" t="s">
        <v>87</v>
      </c>
      <c r="E2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8" spans="1:6" x14ac:dyDescent="0.35">
      <c r="A2488" s="3">
        <v>60923357369</v>
      </c>
      <c r="B2488" s="3">
        <v>203</v>
      </c>
      <c r="C2488" s="32">
        <v>49192</v>
      </c>
      <c r="D2488" s="32" t="s">
        <v>87</v>
      </c>
      <c r="E2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9" spans="1:6" x14ac:dyDescent="0.35">
      <c r="A2489" s="3">
        <v>71861670296</v>
      </c>
      <c r="B2489" s="3">
        <v>212</v>
      </c>
      <c r="C2489" s="32">
        <v>49192</v>
      </c>
      <c r="D2489" s="32">
        <v>49235</v>
      </c>
      <c r="E2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90" spans="1:6" x14ac:dyDescent="0.35">
      <c r="A2490" s="3">
        <v>73433625192</v>
      </c>
      <c r="B2490" s="3">
        <v>218</v>
      </c>
      <c r="C2490" s="32">
        <v>49192</v>
      </c>
      <c r="D2490" s="32" t="s">
        <v>87</v>
      </c>
      <c r="E2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1" spans="1:6" x14ac:dyDescent="0.35">
      <c r="A2491" s="3">
        <v>51009577834</v>
      </c>
      <c r="B2491" s="3">
        <v>255</v>
      </c>
      <c r="C2491" s="32">
        <v>49192</v>
      </c>
      <c r="D2491" s="32" t="s">
        <v>87</v>
      </c>
      <c r="E2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2" spans="1:6" x14ac:dyDescent="0.35">
      <c r="A2492" s="3">
        <v>97573488894</v>
      </c>
      <c r="B2492" s="3">
        <v>263</v>
      </c>
      <c r="C2492" s="32">
        <v>49192</v>
      </c>
      <c r="D2492" s="32" t="s">
        <v>87</v>
      </c>
      <c r="E2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3" spans="1:6" x14ac:dyDescent="0.35">
      <c r="A2493" s="3">
        <v>48238859594</v>
      </c>
      <c r="B2493" s="3">
        <v>278</v>
      </c>
      <c r="C2493" s="32">
        <v>49192</v>
      </c>
      <c r="D2493" s="32">
        <v>49207</v>
      </c>
      <c r="E2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94" spans="1:6" x14ac:dyDescent="0.35">
      <c r="A2494" s="3">
        <v>25706574922</v>
      </c>
      <c r="B2494" s="3">
        <v>282</v>
      </c>
      <c r="C2494" s="32">
        <v>49192</v>
      </c>
      <c r="D2494" s="32" t="s">
        <v>87</v>
      </c>
      <c r="E2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5" spans="1:6" x14ac:dyDescent="0.35">
      <c r="A2495" s="3">
        <v>80583681369</v>
      </c>
      <c r="B2495" s="3">
        <v>284</v>
      </c>
      <c r="C2495" s="32">
        <v>49192</v>
      </c>
      <c r="D2495" s="32">
        <v>49286</v>
      </c>
      <c r="E2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96" spans="1:6" x14ac:dyDescent="0.35">
      <c r="A2496" s="3">
        <v>55307292899</v>
      </c>
      <c r="B2496" s="3">
        <v>293</v>
      </c>
      <c r="C2496" s="32">
        <v>49192</v>
      </c>
      <c r="D2496" s="32" t="s">
        <v>87</v>
      </c>
      <c r="E2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7" spans="1:6" x14ac:dyDescent="0.35">
      <c r="A2497" s="3">
        <v>44259007388</v>
      </c>
      <c r="B2497" s="3">
        <v>293</v>
      </c>
      <c r="C2497" s="32">
        <v>49192</v>
      </c>
      <c r="D2497" s="32" t="s">
        <v>87</v>
      </c>
      <c r="E2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8" spans="1:6" x14ac:dyDescent="0.35">
      <c r="A2498" s="3">
        <v>90525911265</v>
      </c>
      <c r="B2498" s="3">
        <v>318</v>
      </c>
      <c r="C2498" s="32">
        <v>49192</v>
      </c>
      <c r="D2498" s="32" t="s">
        <v>87</v>
      </c>
      <c r="E2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9" spans="1:6" x14ac:dyDescent="0.35">
      <c r="A2499" s="3">
        <v>66268370054</v>
      </c>
      <c r="B2499" s="3">
        <v>335</v>
      </c>
      <c r="C2499" s="32">
        <v>49192</v>
      </c>
      <c r="D2499" s="32">
        <v>49228</v>
      </c>
      <c r="E2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00" spans="1:6" x14ac:dyDescent="0.35">
      <c r="A2500" s="3">
        <v>90367301815</v>
      </c>
      <c r="B2500" s="3">
        <v>338</v>
      </c>
      <c r="C2500" s="32">
        <v>49192</v>
      </c>
      <c r="D2500" s="32" t="s">
        <v>87</v>
      </c>
      <c r="E2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1" spans="1:6" x14ac:dyDescent="0.35">
      <c r="A2501" s="3">
        <v>93782621436</v>
      </c>
      <c r="B2501" s="3">
        <v>338</v>
      </c>
      <c r="C2501" s="32">
        <v>49192</v>
      </c>
      <c r="D2501" s="32">
        <v>49277</v>
      </c>
      <c r="E2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02" spans="1:6" x14ac:dyDescent="0.35">
      <c r="A2502" s="3">
        <v>69099357430</v>
      </c>
      <c r="B2502" s="3">
        <v>25</v>
      </c>
      <c r="C2502" s="32">
        <v>49193</v>
      </c>
      <c r="D2502" s="32" t="s">
        <v>87</v>
      </c>
      <c r="E2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3" spans="1:6" x14ac:dyDescent="0.35">
      <c r="A2503" s="3">
        <v>14110676582</v>
      </c>
      <c r="B2503" s="3">
        <v>29</v>
      </c>
      <c r="C2503" s="32">
        <v>49193</v>
      </c>
      <c r="D2503" s="32" t="s">
        <v>87</v>
      </c>
      <c r="E2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4" spans="1:6" x14ac:dyDescent="0.35">
      <c r="A2504" s="3">
        <v>41410798638</v>
      </c>
      <c r="B2504" s="3">
        <v>36</v>
      </c>
      <c r="C2504" s="32">
        <v>49193</v>
      </c>
      <c r="D2504" s="32">
        <v>49232</v>
      </c>
      <c r="E2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05" spans="1:6" x14ac:dyDescent="0.35">
      <c r="A2505" s="3">
        <v>41004371039</v>
      </c>
      <c r="B2505" s="3">
        <v>40</v>
      </c>
      <c r="C2505" s="32">
        <v>49193</v>
      </c>
      <c r="D2505" s="32" t="s">
        <v>87</v>
      </c>
      <c r="E2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6" spans="1:6" x14ac:dyDescent="0.35">
      <c r="A2506" s="3">
        <v>34990454811</v>
      </c>
      <c r="B2506" s="3">
        <v>103</v>
      </c>
      <c r="C2506" s="32">
        <v>49193</v>
      </c>
      <c r="D2506" s="32" t="s">
        <v>87</v>
      </c>
      <c r="E2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7" spans="1:6" x14ac:dyDescent="0.35">
      <c r="A2507" s="3">
        <v>70963915030</v>
      </c>
      <c r="B2507" s="3">
        <v>134</v>
      </c>
      <c r="C2507" s="32">
        <v>49193</v>
      </c>
      <c r="D2507" s="32">
        <v>49310</v>
      </c>
      <c r="E2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508" spans="1:6" x14ac:dyDescent="0.35">
      <c r="A2508" s="3">
        <v>69570463510</v>
      </c>
      <c r="B2508" s="3">
        <v>137</v>
      </c>
      <c r="C2508" s="32">
        <v>49193</v>
      </c>
      <c r="D2508" s="32" t="s">
        <v>87</v>
      </c>
      <c r="E2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9" spans="1:6" x14ac:dyDescent="0.35">
      <c r="A2509" s="3">
        <v>18252708952</v>
      </c>
      <c r="B2509" s="3">
        <v>154</v>
      </c>
      <c r="C2509" s="32">
        <v>49193</v>
      </c>
      <c r="D2509" s="32">
        <v>49257</v>
      </c>
      <c r="E2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10" spans="1:6" x14ac:dyDescent="0.35">
      <c r="A2510" s="3">
        <v>22544023159</v>
      </c>
      <c r="B2510" s="3">
        <v>167</v>
      </c>
      <c r="C2510" s="32">
        <v>49193</v>
      </c>
      <c r="D2510" s="32" t="s">
        <v>87</v>
      </c>
      <c r="E2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1" spans="1:6" x14ac:dyDescent="0.35">
      <c r="A2511" s="3">
        <v>79882631286</v>
      </c>
      <c r="B2511" s="3">
        <v>169</v>
      </c>
      <c r="C2511" s="32">
        <v>49193</v>
      </c>
      <c r="D2511" s="32" t="s">
        <v>87</v>
      </c>
      <c r="E2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2" spans="1:6" x14ac:dyDescent="0.35">
      <c r="A2512" s="3">
        <v>96496491849</v>
      </c>
      <c r="B2512" s="3">
        <v>178</v>
      </c>
      <c r="C2512" s="32">
        <v>49193</v>
      </c>
      <c r="D2512" s="32" t="s">
        <v>87</v>
      </c>
      <c r="E2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3" spans="1:6" x14ac:dyDescent="0.35">
      <c r="A2513" s="3">
        <v>97670525121</v>
      </c>
      <c r="B2513" s="3">
        <v>179</v>
      </c>
      <c r="C2513" s="32">
        <v>49193</v>
      </c>
      <c r="D2513" s="32">
        <v>49219</v>
      </c>
      <c r="E2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14" spans="1:6" x14ac:dyDescent="0.35">
      <c r="A2514" s="3">
        <v>39923750863</v>
      </c>
      <c r="B2514" s="3">
        <v>216</v>
      </c>
      <c r="C2514" s="32">
        <v>49193</v>
      </c>
      <c r="D2514" s="32"/>
      <c r="E2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5" spans="1:6" x14ac:dyDescent="0.35">
      <c r="A2515" s="3">
        <v>15716717617</v>
      </c>
      <c r="B2515" s="3">
        <v>222</v>
      </c>
      <c r="C2515" s="32">
        <v>49193</v>
      </c>
      <c r="D2515" s="32" t="s">
        <v>87</v>
      </c>
      <c r="E2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6" spans="1:6" x14ac:dyDescent="0.35">
      <c r="A2516" s="3">
        <v>86605218079</v>
      </c>
      <c r="B2516" s="3">
        <v>241</v>
      </c>
      <c r="C2516" s="32">
        <v>49193</v>
      </c>
      <c r="D2516" s="32" t="s">
        <v>87</v>
      </c>
      <c r="E2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7" spans="1:6" x14ac:dyDescent="0.35">
      <c r="A2517" s="3">
        <v>81570517299</v>
      </c>
      <c r="B2517" s="3">
        <v>251</v>
      </c>
      <c r="C2517" s="32">
        <v>49193</v>
      </c>
      <c r="D2517" s="32">
        <v>49291</v>
      </c>
      <c r="E2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18" spans="1:6" x14ac:dyDescent="0.35">
      <c r="A2518" s="3">
        <v>75882980860</v>
      </c>
      <c r="B2518" s="3">
        <v>264</v>
      </c>
      <c r="C2518" s="32">
        <v>49193</v>
      </c>
      <c r="D2518" s="32" t="s">
        <v>87</v>
      </c>
      <c r="E2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9" spans="1:6" x14ac:dyDescent="0.35">
      <c r="A2519" s="3">
        <v>14477977149</v>
      </c>
      <c r="B2519" s="3">
        <v>265</v>
      </c>
      <c r="C2519" s="32">
        <v>49193</v>
      </c>
      <c r="D2519" s="32">
        <v>49297</v>
      </c>
      <c r="E2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20" spans="1:6" x14ac:dyDescent="0.35">
      <c r="A2520" s="3">
        <v>91160243630</v>
      </c>
      <c r="B2520" s="3">
        <v>275</v>
      </c>
      <c r="C2520" s="32">
        <v>49193</v>
      </c>
      <c r="D2520" s="32" t="s">
        <v>87</v>
      </c>
      <c r="E2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1" spans="1:6" x14ac:dyDescent="0.35">
      <c r="A2521" s="3">
        <v>88809893784</v>
      </c>
      <c r="B2521" s="3">
        <v>300</v>
      </c>
      <c r="C2521" s="32">
        <v>49193</v>
      </c>
      <c r="D2521" s="32" t="s">
        <v>87</v>
      </c>
      <c r="E2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2" spans="1:6" x14ac:dyDescent="0.35">
      <c r="A2522" s="3">
        <v>29041792961</v>
      </c>
      <c r="B2522" s="3">
        <v>318</v>
      </c>
      <c r="C2522" s="32">
        <v>49193</v>
      </c>
      <c r="D2522" s="32" t="s">
        <v>87</v>
      </c>
      <c r="E2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3" spans="1:6" x14ac:dyDescent="0.35">
      <c r="A2523" s="3">
        <v>48967532880</v>
      </c>
      <c r="B2523" s="3">
        <v>329</v>
      </c>
      <c r="C2523" s="32">
        <v>49193</v>
      </c>
      <c r="D2523" s="32"/>
      <c r="E2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4" spans="1:6" x14ac:dyDescent="0.35">
      <c r="A2524" s="3">
        <v>23727283376</v>
      </c>
      <c r="B2524" s="3">
        <v>333</v>
      </c>
      <c r="C2524" s="32">
        <v>49193</v>
      </c>
      <c r="D2524" s="32" t="s">
        <v>87</v>
      </c>
      <c r="E2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5" spans="1:6" x14ac:dyDescent="0.35">
      <c r="A2525" s="3">
        <v>61364020934</v>
      </c>
      <c r="B2525" s="3">
        <v>0</v>
      </c>
      <c r="C2525" s="32">
        <v>49194</v>
      </c>
      <c r="D2525" s="32" t="s">
        <v>87</v>
      </c>
      <c r="E2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6" spans="1:6" x14ac:dyDescent="0.35">
      <c r="A2526" s="3">
        <v>48654585382</v>
      </c>
      <c r="B2526" s="3">
        <v>4</v>
      </c>
      <c r="C2526" s="32">
        <v>49194</v>
      </c>
      <c r="D2526" s="32" t="s">
        <v>87</v>
      </c>
      <c r="E2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7" spans="1:6" x14ac:dyDescent="0.35">
      <c r="A2527" s="3">
        <v>46362947101</v>
      </c>
      <c r="B2527" s="3">
        <v>9</v>
      </c>
      <c r="C2527" s="32">
        <v>49194</v>
      </c>
      <c r="D2527" s="32" t="s">
        <v>87</v>
      </c>
      <c r="E2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8" spans="1:6" x14ac:dyDescent="0.35">
      <c r="A2528" s="3">
        <v>59523870179</v>
      </c>
      <c r="B2528" s="3">
        <v>19</v>
      </c>
      <c r="C2528" s="32">
        <v>49194</v>
      </c>
      <c r="D2528" s="32">
        <v>49285</v>
      </c>
      <c r="E2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29" spans="1:6" x14ac:dyDescent="0.35">
      <c r="A2529" s="3">
        <v>33488842875</v>
      </c>
      <c r="B2529" s="3">
        <v>21</v>
      </c>
      <c r="C2529" s="32">
        <v>49194</v>
      </c>
      <c r="D2529" s="32" t="s">
        <v>87</v>
      </c>
      <c r="E2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0" spans="1:6" x14ac:dyDescent="0.35">
      <c r="A2530" s="3">
        <v>40598789792</v>
      </c>
      <c r="B2530" s="3">
        <v>50</v>
      </c>
      <c r="C2530" s="32">
        <v>49194</v>
      </c>
      <c r="D2530" s="32">
        <v>49277</v>
      </c>
      <c r="E2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31" spans="1:6" x14ac:dyDescent="0.35">
      <c r="A2531" s="3">
        <v>25370817215</v>
      </c>
      <c r="B2531" s="3">
        <v>61</v>
      </c>
      <c r="C2531" s="32">
        <v>49194</v>
      </c>
      <c r="D2531" s="32" t="s">
        <v>87</v>
      </c>
      <c r="E2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2" spans="1:6" x14ac:dyDescent="0.35">
      <c r="A2532" s="3">
        <v>76955808770</v>
      </c>
      <c r="B2532" s="3">
        <v>120</v>
      </c>
      <c r="C2532" s="32">
        <v>49194</v>
      </c>
      <c r="D2532" s="32" t="s">
        <v>87</v>
      </c>
      <c r="E2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3" spans="1:6" x14ac:dyDescent="0.35">
      <c r="A2533" s="3">
        <v>55133310726</v>
      </c>
      <c r="B2533" s="3">
        <v>128</v>
      </c>
      <c r="C2533" s="32">
        <v>49194</v>
      </c>
      <c r="D2533" s="32" t="s">
        <v>87</v>
      </c>
      <c r="E2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4" spans="1:6" x14ac:dyDescent="0.35">
      <c r="A2534" s="3">
        <v>28676086505</v>
      </c>
      <c r="B2534" s="3">
        <v>144</v>
      </c>
      <c r="C2534" s="32">
        <v>49194</v>
      </c>
      <c r="D2534" s="32" t="s">
        <v>87</v>
      </c>
      <c r="E2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5" spans="1:6" x14ac:dyDescent="0.35">
      <c r="A2535" s="3">
        <v>43657269701</v>
      </c>
      <c r="B2535" s="3">
        <v>145</v>
      </c>
      <c r="C2535" s="32">
        <v>49194</v>
      </c>
      <c r="D2535" s="32" t="s">
        <v>87</v>
      </c>
      <c r="E2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6" spans="1:6" x14ac:dyDescent="0.35">
      <c r="A2536" s="3">
        <v>48772566307</v>
      </c>
      <c r="B2536" s="3">
        <v>157</v>
      </c>
      <c r="C2536" s="32">
        <v>49194</v>
      </c>
      <c r="D2536" s="32"/>
      <c r="E2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7" spans="1:6" x14ac:dyDescent="0.35">
      <c r="A2537" s="3">
        <v>39097040319</v>
      </c>
      <c r="B2537" s="3">
        <v>168</v>
      </c>
      <c r="C2537" s="32">
        <v>49194</v>
      </c>
      <c r="D2537" s="32" t="s">
        <v>87</v>
      </c>
      <c r="E2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8" spans="1:6" x14ac:dyDescent="0.35">
      <c r="A2538" s="3">
        <v>11639759261</v>
      </c>
      <c r="B2538" s="3">
        <v>173</v>
      </c>
      <c r="C2538" s="32">
        <v>49194</v>
      </c>
      <c r="D2538" s="32" t="s">
        <v>87</v>
      </c>
      <c r="E2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9" spans="1:6" x14ac:dyDescent="0.35">
      <c r="A2539" s="3">
        <v>33736916940</v>
      </c>
      <c r="B2539" s="3">
        <v>181</v>
      </c>
      <c r="C2539" s="32">
        <v>49194</v>
      </c>
      <c r="D2539" s="32" t="s">
        <v>87</v>
      </c>
      <c r="E2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0" spans="1:6" x14ac:dyDescent="0.35">
      <c r="A2540" s="3">
        <v>46451639042</v>
      </c>
      <c r="B2540" s="3">
        <v>218</v>
      </c>
      <c r="C2540" s="32">
        <v>49194</v>
      </c>
      <c r="D2540" s="32">
        <v>49305</v>
      </c>
      <c r="E2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41" spans="1:6" x14ac:dyDescent="0.35">
      <c r="A2541" s="3">
        <v>94513939137</v>
      </c>
      <c r="B2541" s="3">
        <v>221</v>
      </c>
      <c r="C2541" s="32">
        <v>49194</v>
      </c>
      <c r="D2541" s="32" t="s">
        <v>87</v>
      </c>
      <c r="E2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2" spans="1:6" x14ac:dyDescent="0.35">
      <c r="A2542" s="3">
        <v>42451707747</v>
      </c>
      <c r="B2542" s="3">
        <v>230</v>
      </c>
      <c r="C2542" s="32">
        <v>49194</v>
      </c>
      <c r="D2542" s="32">
        <v>49232</v>
      </c>
      <c r="E2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43" spans="1:6" x14ac:dyDescent="0.35">
      <c r="A2543" s="3">
        <v>66074847246</v>
      </c>
      <c r="B2543" s="3">
        <v>236</v>
      </c>
      <c r="C2543" s="32">
        <v>49194</v>
      </c>
      <c r="D2543" s="32" t="s">
        <v>87</v>
      </c>
      <c r="E2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4" spans="1:6" x14ac:dyDescent="0.35">
      <c r="A2544" s="3">
        <v>11896026111</v>
      </c>
      <c r="B2544" s="3">
        <v>244</v>
      </c>
      <c r="C2544" s="32">
        <v>49194</v>
      </c>
      <c r="D2544" s="32">
        <v>49268</v>
      </c>
      <c r="E2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45" spans="1:6" x14ac:dyDescent="0.35">
      <c r="A2545" s="3">
        <v>76893196087</v>
      </c>
      <c r="B2545" s="3">
        <v>244</v>
      </c>
      <c r="C2545" s="32">
        <v>49194</v>
      </c>
      <c r="D2545" s="32" t="s">
        <v>87</v>
      </c>
      <c r="E2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6" spans="1:6" x14ac:dyDescent="0.35">
      <c r="A2546" s="3">
        <v>16501442430</v>
      </c>
      <c r="B2546" s="3">
        <v>256</v>
      </c>
      <c r="C2546" s="32">
        <v>49194</v>
      </c>
      <c r="D2546" s="32" t="s">
        <v>87</v>
      </c>
      <c r="E2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7" spans="1:6" x14ac:dyDescent="0.35">
      <c r="A2547" s="3">
        <v>60821544596</v>
      </c>
      <c r="B2547" s="3">
        <v>267</v>
      </c>
      <c r="C2547" s="32">
        <v>49194</v>
      </c>
      <c r="D2547" s="32"/>
      <c r="E2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8" spans="1:6" x14ac:dyDescent="0.35">
      <c r="A2548" s="3">
        <v>31830620165</v>
      </c>
      <c r="B2548" s="3">
        <v>309</v>
      </c>
      <c r="C2548" s="32">
        <v>49194</v>
      </c>
      <c r="D2548" s="32" t="s">
        <v>87</v>
      </c>
      <c r="E2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9" spans="1:6" x14ac:dyDescent="0.35">
      <c r="A2549" s="3">
        <v>75036179722</v>
      </c>
      <c r="B2549" s="3">
        <v>310</v>
      </c>
      <c r="C2549" s="32">
        <v>49194</v>
      </c>
      <c r="D2549" s="32">
        <v>49297</v>
      </c>
      <c r="E2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50" spans="1:6" x14ac:dyDescent="0.35">
      <c r="A2550" s="3">
        <v>37000778558</v>
      </c>
      <c r="B2550" s="3">
        <v>314</v>
      </c>
      <c r="C2550" s="32">
        <v>49194</v>
      </c>
      <c r="D2550" s="32" t="s">
        <v>87</v>
      </c>
      <c r="E2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1" spans="1:6" x14ac:dyDescent="0.35">
      <c r="A2551" s="3">
        <v>34427126008</v>
      </c>
      <c r="B2551" s="3">
        <v>318</v>
      </c>
      <c r="C2551" s="32">
        <v>49194</v>
      </c>
      <c r="D2551" s="32" t="s">
        <v>87</v>
      </c>
      <c r="E2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2" spans="1:6" x14ac:dyDescent="0.35">
      <c r="A2552" s="3">
        <v>70168349958</v>
      </c>
      <c r="B2552" s="3">
        <v>22</v>
      </c>
      <c r="C2552" s="32">
        <v>49195</v>
      </c>
      <c r="D2552" s="32">
        <v>49211</v>
      </c>
      <c r="E2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3" spans="1:6" x14ac:dyDescent="0.35">
      <c r="A2553" s="3">
        <v>11151402084</v>
      </c>
      <c r="B2553" s="3">
        <v>28</v>
      </c>
      <c r="C2553" s="32">
        <v>49195</v>
      </c>
      <c r="D2553" s="32">
        <v>49307</v>
      </c>
      <c r="E2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54" spans="1:6" x14ac:dyDescent="0.35">
      <c r="A2554" s="3">
        <v>33901752365</v>
      </c>
      <c r="B2554" s="3">
        <v>50</v>
      </c>
      <c r="C2554" s="32">
        <v>49195</v>
      </c>
      <c r="D2554" s="32" t="s">
        <v>87</v>
      </c>
      <c r="E2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5" spans="1:6" x14ac:dyDescent="0.35">
      <c r="A2555" s="3">
        <v>28778787332</v>
      </c>
      <c r="B2555" s="3">
        <v>78</v>
      </c>
      <c r="C2555" s="32">
        <v>49195</v>
      </c>
      <c r="D2555" s="32"/>
      <c r="E2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6" spans="1:6" x14ac:dyDescent="0.35">
      <c r="A2556" s="3">
        <v>22725896300</v>
      </c>
      <c r="B2556" s="3">
        <v>93</v>
      </c>
      <c r="C2556" s="32">
        <v>49195</v>
      </c>
      <c r="D2556" s="32">
        <v>49203</v>
      </c>
      <c r="E2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7" spans="1:6" x14ac:dyDescent="0.35">
      <c r="A2557" s="3">
        <v>94126125735</v>
      </c>
      <c r="B2557" s="3">
        <v>103</v>
      </c>
      <c r="C2557" s="32">
        <v>49195</v>
      </c>
      <c r="D2557" s="32">
        <v>49199</v>
      </c>
      <c r="E2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8" spans="1:6" x14ac:dyDescent="0.35">
      <c r="A2558" s="3">
        <v>31468795206</v>
      </c>
      <c r="B2558" s="3">
        <v>103</v>
      </c>
      <c r="C2558" s="32">
        <v>49195</v>
      </c>
      <c r="D2558" s="32">
        <v>49232</v>
      </c>
      <c r="E2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59" spans="1:6" x14ac:dyDescent="0.35">
      <c r="A2559" s="3">
        <v>63119109521</v>
      </c>
      <c r="B2559" s="3">
        <v>158</v>
      </c>
      <c r="C2559" s="32">
        <v>49195</v>
      </c>
      <c r="D2559" s="32" t="s">
        <v>87</v>
      </c>
      <c r="E2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0" spans="1:6" x14ac:dyDescent="0.35">
      <c r="A2560" s="3">
        <v>56346253366</v>
      </c>
      <c r="B2560" s="3">
        <v>160</v>
      </c>
      <c r="C2560" s="32">
        <v>49195</v>
      </c>
      <c r="D2560" s="32" t="s">
        <v>87</v>
      </c>
      <c r="E2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1" spans="1:6" x14ac:dyDescent="0.35">
      <c r="A2561" s="3">
        <v>91751877852</v>
      </c>
      <c r="B2561" s="3">
        <v>211</v>
      </c>
      <c r="C2561" s="32">
        <v>49195</v>
      </c>
      <c r="D2561" s="32" t="s">
        <v>87</v>
      </c>
      <c r="E2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2" spans="1:6" x14ac:dyDescent="0.35">
      <c r="A2562" s="3">
        <v>39308147749</v>
      </c>
      <c r="B2562" s="3">
        <v>221</v>
      </c>
      <c r="C2562" s="32">
        <v>49195</v>
      </c>
      <c r="D2562" s="32" t="s">
        <v>87</v>
      </c>
      <c r="E2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3" spans="1:6" x14ac:dyDescent="0.35">
      <c r="A2563" s="3">
        <v>12413591605</v>
      </c>
      <c r="B2563" s="3">
        <v>230</v>
      </c>
      <c r="C2563" s="32">
        <v>49195</v>
      </c>
      <c r="D2563" s="32" t="s">
        <v>87</v>
      </c>
      <c r="E2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4" spans="1:6" x14ac:dyDescent="0.35">
      <c r="A2564" s="3">
        <v>19191657724</v>
      </c>
      <c r="B2564" s="3">
        <v>288</v>
      </c>
      <c r="C2564" s="32">
        <v>49195</v>
      </c>
      <c r="D2564" s="32" t="s">
        <v>87</v>
      </c>
      <c r="E2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5" spans="1:6" x14ac:dyDescent="0.35">
      <c r="A2565" s="3">
        <v>25751507102</v>
      </c>
      <c r="B2565" s="3">
        <v>300</v>
      </c>
      <c r="C2565" s="32">
        <v>49195</v>
      </c>
      <c r="D2565" s="32" t="s">
        <v>87</v>
      </c>
      <c r="E2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6" spans="1:6" x14ac:dyDescent="0.35">
      <c r="A2566" s="3">
        <v>63880945468</v>
      </c>
      <c r="B2566" s="3">
        <v>329</v>
      </c>
      <c r="C2566" s="32">
        <v>49195</v>
      </c>
      <c r="D2566" s="32" t="s">
        <v>87</v>
      </c>
      <c r="E2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7" spans="1:6" x14ac:dyDescent="0.35">
      <c r="A2567" s="3">
        <v>30102121747</v>
      </c>
      <c r="B2567" s="3">
        <v>334</v>
      </c>
      <c r="C2567" s="32">
        <v>49195</v>
      </c>
      <c r="D2567" s="32">
        <v>49281</v>
      </c>
      <c r="E2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68" spans="1:6" x14ac:dyDescent="0.35">
      <c r="A2568" s="3">
        <v>98913473325</v>
      </c>
      <c r="B2568" s="3">
        <v>12</v>
      </c>
      <c r="C2568" s="32">
        <v>49196</v>
      </c>
      <c r="D2568" s="32" t="s">
        <v>87</v>
      </c>
      <c r="E2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9" spans="1:6" x14ac:dyDescent="0.35">
      <c r="A2569" s="3">
        <v>80396303065</v>
      </c>
      <c r="B2569" s="3">
        <v>21</v>
      </c>
      <c r="C2569" s="32">
        <v>49196</v>
      </c>
      <c r="D2569" s="32" t="s">
        <v>87</v>
      </c>
      <c r="E2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0" spans="1:6" x14ac:dyDescent="0.35">
      <c r="A2570" s="3">
        <v>79628141460</v>
      </c>
      <c r="B2570" s="3">
        <v>28</v>
      </c>
      <c r="C2570" s="32">
        <v>49196</v>
      </c>
      <c r="D2570" s="32" t="s">
        <v>87</v>
      </c>
      <c r="E2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1" spans="1:6" x14ac:dyDescent="0.35">
      <c r="A2571" s="3">
        <v>79445337304</v>
      </c>
      <c r="B2571" s="3">
        <v>30</v>
      </c>
      <c r="C2571" s="32">
        <v>49196</v>
      </c>
      <c r="D2571" s="32" t="s">
        <v>87</v>
      </c>
      <c r="E2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2" spans="1:6" x14ac:dyDescent="0.35">
      <c r="A2572" s="3">
        <v>88062783061</v>
      </c>
      <c r="B2572" s="3">
        <v>34</v>
      </c>
      <c r="C2572" s="32">
        <v>49196</v>
      </c>
      <c r="D2572" s="32" t="s">
        <v>87</v>
      </c>
      <c r="E2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3" spans="1:6" x14ac:dyDescent="0.35">
      <c r="A2573" s="3">
        <v>47266367533</v>
      </c>
      <c r="B2573" s="3">
        <v>39</v>
      </c>
      <c r="C2573" s="32">
        <v>49196</v>
      </c>
      <c r="D2573" s="32" t="s">
        <v>87</v>
      </c>
      <c r="E2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4" spans="1:6" x14ac:dyDescent="0.35">
      <c r="A2574" s="3">
        <v>55176629159</v>
      </c>
      <c r="B2574" s="3">
        <v>45</v>
      </c>
      <c r="C2574" s="32">
        <v>49196</v>
      </c>
      <c r="D2574" s="32" t="s">
        <v>87</v>
      </c>
      <c r="E2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5" spans="1:6" x14ac:dyDescent="0.35">
      <c r="A2575" s="3">
        <v>75246527875</v>
      </c>
      <c r="B2575" s="3">
        <v>49</v>
      </c>
      <c r="C2575" s="32">
        <v>49196</v>
      </c>
      <c r="D2575" s="32" t="s">
        <v>87</v>
      </c>
      <c r="E2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6" spans="1:6" x14ac:dyDescent="0.35">
      <c r="A2576" s="3">
        <v>18639245341</v>
      </c>
      <c r="B2576" s="3">
        <v>64</v>
      </c>
      <c r="C2576" s="32">
        <v>49196</v>
      </c>
      <c r="D2576" s="32" t="s">
        <v>87</v>
      </c>
      <c r="E2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7" spans="1:6" x14ac:dyDescent="0.35">
      <c r="A2577" s="3">
        <v>37354000028</v>
      </c>
      <c r="B2577" s="3">
        <v>107</v>
      </c>
      <c r="C2577" s="32">
        <v>49196</v>
      </c>
      <c r="D2577" s="32">
        <v>49211</v>
      </c>
      <c r="E2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78" spans="1:6" x14ac:dyDescent="0.35">
      <c r="A2578" s="3">
        <v>42158484982</v>
      </c>
      <c r="B2578" s="3">
        <v>110</v>
      </c>
      <c r="C2578" s="32">
        <v>49196</v>
      </c>
      <c r="D2578" s="32" t="s">
        <v>87</v>
      </c>
      <c r="E2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9" spans="1:6" x14ac:dyDescent="0.35">
      <c r="A2579" s="3">
        <v>98043735407</v>
      </c>
      <c r="B2579" s="3">
        <v>116</v>
      </c>
      <c r="C2579" s="32">
        <v>49196</v>
      </c>
      <c r="D2579" s="32" t="s">
        <v>87</v>
      </c>
      <c r="E2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0" spans="1:6" x14ac:dyDescent="0.35">
      <c r="A2580" s="3">
        <v>17807123472</v>
      </c>
      <c r="B2580" s="3">
        <v>138</v>
      </c>
      <c r="C2580" s="32">
        <v>49196</v>
      </c>
      <c r="D2580" s="32" t="s">
        <v>87</v>
      </c>
      <c r="E2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1" spans="1:6" x14ac:dyDescent="0.35">
      <c r="A2581" s="3">
        <v>46958969461</v>
      </c>
      <c r="B2581" s="3">
        <v>173</v>
      </c>
      <c r="C2581" s="32">
        <v>49196</v>
      </c>
      <c r="D2581" s="32" t="s">
        <v>87</v>
      </c>
      <c r="E2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2" spans="1:6" x14ac:dyDescent="0.35">
      <c r="A2582" s="3">
        <v>38037882582</v>
      </c>
      <c r="B2582" s="3">
        <v>184</v>
      </c>
      <c r="C2582" s="32">
        <v>49196</v>
      </c>
      <c r="D2582" s="32" t="s">
        <v>87</v>
      </c>
      <c r="E2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3" spans="1:6" x14ac:dyDescent="0.35">
      <c r="A2583" s="3">
        <v>50517753471</v>
      </c>
      <c r="B2583" s="3">
        <v>230</v>
      </c>
      <c r="C2583" s="32">
        <v>49196</v>
      </c>
      <c r="D2583" s="32" t="s">
        <v>87</v>
      </c>
      <c r="E2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4" spans="1:6" x14ac:dyDescent="0.35">
      <c r="A2584" s="3">
        <v>29368028242</v>
      </c>
      <c r="B2584" s="3">
        <v>242</v>
      </c>
      <c r="C2584" s="32">
        <v>49196</v>
      </c>
      <c r="D2584" s="32" t="s">
        <v>87</v>
      </c>
      <c r="E2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5" spans="1:6" x14ac:dyDescent="0.35">
      <c r="A2585" s="3">
        <v>52332944607</v>
      </c>
      <c r="B2585" s="3">
        <v>316</v>
      </c>
      <c r="C2585" s="32">
        <v>49196</v>
      </c>
      <c r="D2585" s="32">
        <v>49298</v>
      </c>
      <c r="E2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86" spans="1:6" x14ac:dyDescent="0.35">
      <c r="A2586" s="3">
        <v>30220699855</v>
      </c>
      <c r="B2586" s="3">
        <v>36</v>
      </c>
      <c r="C2586" s="32">
        <v>49197</v>
      </c>
      <c r="D2586" s="32" t="s">
        <v>87</v>
      </c>
      <c r="E2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7" spans="1:6" x14ac:dyDescent="0.35">
      <c r="A2587" s="3">
        <v>32508306823</v>
      </c>
      <c r="B2587" s="3">
        <v>50</v>
      </c>
      <c r="C2587" s="32">
        <v>49197</v>
      </c>
      <c r="D2587" s="32" t="s">
        <v>87</v>
      </c>
      <c r="E2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8" spans="1:6" x14ac:dyDescent="0.35">
      <c r="A2588" s="3">
        <v>13938760632</v>
      </c>
      <c r="B2588" s="3">
        <v>55</v>
      </c>
      <c r="C2588" s="32">
        <v>49197</v>
      </c>
      <c r="D2588" s="32" t="s">
        <v>87</v>
      </c>
      <c r="E2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9" spans="1:6" x14ac:dyDescent="0.35">
      <c r="A2589" s="3">
        <v>30234542503</v>
      </c>
      <c r="B2589" s="3">
        <v>91</v>
      </c>
      <c r="C2589" s="32">
        <v>49197</v>
      </c>
      <c r="D2589" s="32" t="s">
        <v>87</v>
      </c>
      <c r="E2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0" spans="1:6" x14ac:dyDescent="0.35">
      <c r="A2590" s="3">
        <v>68341002595</v>
      </c>
      <c r="B2590" s="3">
        <v>152</v>
      </c>
      <c r="C2590" s="32">
        <v>49197</v>
      </c>
      <c r="D2590" s="32" t="s">
        <v>87</v>
      </c>
      <c r="E2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1" spans="1:6" x14ac:dyDescent="0.35">
      <c r="A2591" s="3">
        <v>24987770759</v>
      </c>
      <c r="B2591" s="3">
        <v>163</v>
      </c>
      <c r="C2591" s="32">
        <v>49197</v>
      </c>
      <c r="D2591" s="32"/>
      <c r="E2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2" spans="1:6" x14ac:dyDescent="0.35">
      <c r="A2592" s="3">
        <v>70619537441</v>
      </c>
      <c r="B2592" s="3">
        <v>181</v>
      </c>
      <c r="C2592" s="32">
        <v>49197</v>
      </c>
      <c r="D2592" s="32">
        <v>49253</v>
      </c>
      <c r="E2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93" spans="1:6" x14ac:dyDescent="0.35">
      <c r="A2593" s="3">
        <v>77539473477</v>
      </c>
      <c r="B2593" s="3">
        <v>208</v>
      </c>
      <c r="C2593" s="32">
        <v>49197</v>
      </c>
      <c r="D2593" s="32" t="s">
        <v>87</v>
      </c>
      <c r="E2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4" spans="1:6" x14ac:dyDescent="0.35">
      <c r="A2594" s="3">
        <v>33962410335</v>
      </c>
      <c r="B2594" s="3">
        <v>213</v>
      </c>
      <c r="C2594" s="32">
        <v>49197</v>
      </c>
      <c r="D2594" s="32" t="s">
        <v>87</v>
      </c>
      <c r="E2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5" spans="1:6" x14ac:dyDescent="0.35">
      <c r="A2595" s="3">
        <v>76743512461</v>
      </c>
      <c r="B2595" s="3">
        <v>222</v>
      </c>
      <c r="C2595" s="32">
        <v>49197</v>
      </c>
      <c r="D2595" s="32"/>
      <c r="E2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6" spans="1:6" x14ac:dyDescent="0.35">
      <c r="A2596" s="3">
        <v>93629449695</v>
      </c>
      <c r="B2596" s="3">
        <v>232</v>
      </c>
      <c r="C2596" s="32">
        <v>49197</v>
      </c>
      <c r="D2596" s="32" t="s">
        <v>87</v>
      </c>
      <c r="E2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7" spans="1:6" x14ac:dyDescent="0.35">
      <c r="A2597" s="3">
        <v>48826922500</v>
      </c>
      <c r="B2597" s="3">
        <v>244</v>
      </c>
      <c r="C2597" s="32">
        <v>49197</v>
      </c>
      <c r="D2597" s="32">
        <v>49306</v>
      </c>
      <c r="E2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98" spans="1:6" x14ac:dyDescent="0.35">
      <c r="A2598" s="3">
        <v>33526599362</v>
      </c>
      <c r="B2598" s="3">
        <v>255</v>
      </c>
      <c r="C2598" s="32">
        <v>49197</v>
      </c>
      <c r="D2598" s="32" t="s">
        <v>87</v>
      </c>
      <c r="E2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9" spans="1:6" x14ac:dyDescent="0.35">
      <c r="A2599" s="3">
        <v>21155095704</v>
      </c>
      <c r="B2599" s="3">
        <v>260</v>
      </c>
      <c r="C2599" s="32">
        <v>49197</v>
      </c>
      <c r="D2599" s="32" t="s">
        <v>87</v>
      </c>
      <c r="E2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0" spans="1:6" x14ac:dyDescent="0.35">
      <c r="A2600" s="3">
        <v>78903880762</v>
      </c>
      <c r="B2600" s="3">
        <v>278</v>
      </c>
      <c r="C2600" s="32">
        <v>49197</v>
      </c>
      <c r="D2600" s="32" t="s">
        <v>87</v>
      </c>
      <c r="E2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1" spans="1:6" x14ac:dyDescent="0.35">
      <c r="A2601" s="3">
        <v>81581797889</v>
      </c>
      <c r="B2601" s="3">
        <v>280</v>
      </c>
      <c r="C2601" s="32">
        <v>49197</v>
      </c>
      <c r="D2601" s="32" t="s">
        <v>87</v>
      </c>
      <c r="E2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2" spans="1:6" x14ac:dyDescent="0.35">
      <c r="A2602" s="3">
        <v>78164362293</v>
      </c>
      <c r="B2602" s="3">
        <v>282</v>
      </c>
      <c r="C2602" s="32">
        <v>49197</v>
      </c>
      <c r="D2602" s="32" t="s">
        <v>87</v>
      </c>
      <c r="E2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3" spans="1:6" x14ac:dyDescent="0.35">
      <c r="A2603" s="3">
        <v>68231355043</v>
      </c>
      <c r="B2603" s="3">
        <v>296</v>
      </c>
      <c r="C2603" s="32">
        <v>49197</v>
      </c>
      <c r="D2603" s="32" t="s">
        <v>87</v>
      </c>
      <c r="E2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4" spans="1:6" x14ac:dyDescent="0.35">
      <c r="A2604" s="3">
        <v>90426062739</v>
      </c>
      <c r="B2604" s="3">
        <v>303</v>
      </c>
      <c r="C2604" s="32">
        <v>49197</v>
      </c>
      <c r="D2604" s="32"/>
      <c r="E2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5" spans="1:6" x14ac:dyDescent="0.35">
      <c r="A2605" s="3">
        <v>43669631007</v>
      </c>
      <c r="B2605" s="3">
        <v>307</v>
      </c>
      <c r="C2605" s="32">
        <v>49197</v>
      </c>
      <c r="D2605" s="32">
        <v>49285</v>
      </c>
      <c r="E2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06" spans="1:6" x14ac:dyDescent="0.35">
      <c r="A2606" s="3">
        <v>13124971946</v>
      </c>
      <c r="B2606" s="3">
        <v>317</v>
      </c>
      <c r="C2606" s="32">
        <v>49197</v>
      </c>
      <c r="D2606" s="32" t="s">
        <v>87</v>
      </c>
      <c r="E2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7" spans="1:6" x14ac:dyDescent="0.35">
      <c r="A2607" s="3">
        <v>92036052340</v>
      </c>
      <c r="B2607" s="3">
        <v>318</v>
      </c>
      <c r="C2607" s="32">
        <v>49197</v>
      </c>
      <c r="D2607" s="32">
        <v>49243</v>
      </c>
      <c r="E2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08" spans="1:6" x14ac:dyDescent="0.35">
      <c r="A2608" s="3">
        <v>85463563435</v>
      </c>
      <c r="B2608" s="3">
        <v>324</v>
      </c>
      <c r="C2608" s="32">
        <v>49197</v>
      </c>
      <c r="D2608" s="32" t="s">
        <v>87</v>
      </c>
      <c r="E2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9" spans="1:6" x14ac:dyDescent="0.35">
      <c r="A2609" s="3">
        <v>77221612317</v>
      </c>
      <c r="B2609" s="3">
        <v>330</v>
      </c>
      <c r="C2609" s="32">
        <v>49197</v>
      </c>
      <c r="D2609" s="32" t="s">
        <v>87</v>
      </c>
      <c r="E2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0" spans="1:6" x14ac:dyDescent="0.35">
      <c r="A2610" s="3">
        <v>97938807663</v>
      </c>
      <c r="B2610" s="3">
        <v>6</v>
      </c>
      <c r="C2610" s="32">
        <v>49198</v>
      </c>
      <c r="D2610" s="32" t="s">
        <v>87</v>
      </c>
      <c r="E2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1" spans="1:6" x14ac:dyDescent="0.35">
      <c r="A2611" s="3">
        <v>37988148801</v>
      </c>
      <c r="B2611" s="3">
        <v>8</v>
      </c>
      <c r="C2611" s="32">
        <v>49198</v>
      </c>
      <c r="D2611" s="32"/>
      <c r="E2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2" spans="1:6" x14ac:dyDescent="0.35">
      <c r="A2612" s="3">
        <v>84412448491</v>
      </c>
      <c r="B2612" s="3">
        <v>22</v>
      </c>
      <c r="C2612" s="32">
        <v>49198</v>
      </c>
      <c r="D2612" s="32" t="s">
        <v>87</v>
      </c>
      <c r="E2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3" spans="1:6" x14ac:dyDescent="0.35">
      <c r="A2613" s="3">
        <v>60243325060</v>
      </c>
      <c r="B2613" s="3">
        <v>46</v>
      </c>
      <c r="C2613" s="32">
        <v>49198</v>
      </c>
      <c r="D2613" s="32" t="s">
        <v>87</v>
      </c>
      <c r="E2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4" spans="1:6" x14ac:dyDescent="0.35">
      <c r="A2614" s="3">
        <v>64934211257</v>
      </c>
      <c r="B2614" s="3">
        <v>98</v>
      </c>
      <c r="C2614" s="32">
        <v>49198</v>
      </c>
      <c r="D2614" s="32" t="s">
        <v>87</v>
      </c>
      <c r="E2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5" spans="1:6" x14ac:dyDescent="0.35">
      <c r="A2615" s="3">
        <v>34743930840</v>
      </c>
      <c r="B2615" s="3">
        <v>116</v>
      </c>
      <c r="C2615" s="32">
        <v>49198</v>
      </c>
      <c r="D2615" s="32" t="s">
        <v>87</v>
      </c>
      <c r="E2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6" spans="1:6" x14ac:dyDescent="0.35">
      <c r="A2616" s="3">
        <v>63544860714</v>
      </c>
      <c r="B2616" s="3">
        <v>125</v>
      </c>
      <c r="C2616" s="32">
        <v>49198</v>
      </c>
      <c r="D2616" s="32">
        <v>49294</v>
      </c>
      <c r="E2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17" spans="1:6" x14ac:dyDescent="0.35">
      <c r="A2617" s="3">
        <v>75064562380</v>
      </c>
      <c r="B2617" s="3">
        <v>143</v>
      </c>
      <c r="C2617" s="32">
        <v>49198</v>
      </c>
      <c r="D2617" s="32" t="s">
        <v>87</v>
      </c>
      <c r="E2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8" spans="1:6" x14ac:dyDescent="0.35">
      <c r="A2618" s="3">
        <v>77343224888</v>
      </c>
      <c r="B2618" s="3">
        <v>148</v>
      </c>
      <c r="C2618" s="32">
        <v>49198</v>
      </c>
      <c r="D2618" s="32" t="s">
        <v>87</v>
      </c>
      <c r="E2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9" spans="1:6" x14ac:dyDescent="0.35">
      <c r="A2619" s="3">
        <v>29142500462</v>
      </c>
      <c r="B2619" s="3">
        <v>149</v>
      </c>
      <c r="C2619" s="32">
        <v>49198</v>
      </c>
      <c r="D2619" s="32">
        <v>49263</v>
      </c>
      <c r="E2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20" spans="1:6" x14ac:dyDescent="0.35">
      <c r="A2620" s="3">
        <v>98965314431</v>
      </c>
      <c r="B2620" s="3">
        <v>157</v>
      </c>
      <c r="C2620" s="32">
        <v>49198</v>
      </c>
      <c r="D2620" s="32" t="s">
        <v>87</v>
      </c>
      <c r="E2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1" spans="1:6" x14ac:dyDescent="0.35">
      <c r="A2621" s="3">
        <v>28680314296</v>
      </c>
      <c r="B2621" s="3">
        <v>177</v>
      </c>
      <c r="C2621" s="32">
        <v>49198</v>
      </c>
      <c r="D2621" s="32"/>
      <c r="E2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2" spans="1:6" x14ac:dyDescent="0.35">
      <c r="A2622" s="3">
        <v>91727551256</v>
      </c>
      <c r="B2622" s="3">
        <v>187</v>
      </c>
      <c r="C2622" s="32">
        <v>49198</v>
      </c>
      <c r="D2622" s="32" t="s">
        <v>87</v>
      </c>
      <c r="E2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3" spans="1:6" x14ac:dyDescent="0.35">
      <c r="A2623" s="3">
        <v>77484279838</v>
      </c>
      <c r="B2623" s="3">
        <v>197</v>
      </c>
      <c r="C2623" s="32">
        <v>49198</v>
      </c>
      <c r="D2623" s="32" t="s">
        <v>87</v>
      </c>
      <c r="E2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4" spans="1:6" x14ac:dyDescent="0.35">
      <c r="A2624" s="3">
        <v>45123692958</v>
      </c>
      <c r="B2624" s="3">
        <v>250</v>
      </c>
      <c r="C2624" s="32">
        <v>49198</v>
      </c>
      <c r="D2624" s="32">
        <v>49206</v>
      </c>
      <c r="E2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25" spans="1:6" x14ac:dyDescent="0.35">
      <c r="A2625" s="3">
        <v>92379872076</v>
      </c>
      <c r="B2625" s="3">
        <v>274</v>
      </c>
      <c r="C2625" s="32">
        <v>49198</v>
      </c>
      <c r="D2625" s="32" t="s">
        <v>87</v>
      </c>
      <c r="E2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6" spans="1:6" x14ac:dyDescent="0.35">
      <c r="A2626" s="3">
        <v>73426277974</v>
      </c>
      <c r="B2626" s="3">
        <v>277</v>
      </c>
      <c r="C2626" s="32">
        <v>49198</v>
      </c>
      <c r="D2626" s="32" t="s">
        <v>87</v>
      </c>
      <c r="E2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7" spans="1:6" x14ac:dyDescent="0.35">
      <c r="A2627" s="3">
        <v>50093477578</v>
      </c>
      <c r="B2627" s="3">
        <v>305</v>
      </c>
      <c r="C2627" s="32">
        <v>49198</v>
      </c>
      <c r="D2627" s="32"/>
      <c r="E2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8" spans="1:6" x14ac:dyDescent="0.35">
      <c r="A2628" s="3">
        <v>90662196366</v>
      </c>
      <c r="B2628" s="3">
        <v>311</v>
      </c>
      <c r="C2628" s="32">
        <v>49198</v>
      </c>
      <c r="D2628" s="32" t="s">
        <v>87</v>
      </c>
      <c r="E2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9" spans="1:6" x14ac:dyDescent="0.35">
      <c r="A2629" s="3">
        <v>36801513441</v>
      </c>
      <c r="B2629" s="3">
        <v>316</v>
      </c>
      <c r="C2629" s="32">
        <v>49198</v>
      </c>
      <c r="D2629" s="32" t="s">
        <v>87</v>
      </c>
      <c r="E2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0" spans="1:6" x14ac:dyDescent="0.35">
      <c r="A2630" s="3">
        <v>30530133987</v>
      </c>
      <c r="B2630" s="3">
        <v>13</v>
      </c>
      <c r="C2630" s="32">
        <v>49199</v>
      </c>
      <c r="D2630" s="32" t="s">
        <v>87</v>
      </c>
      <c r="E2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1" spans="1:6" x14ac:dyDescent="0.35">
      <c r="A2631" s="3">
        <v>20965242970</v>
      </c>
      <c r="B2631" s="3">
        <v>21</v>
      </c>
      <c r="C2631" s="32">
        <v>49199</v>
      </c>
      <c r="D2631" s="32"/>
      <c r="E2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2" spans="1:6" x14ac:dyDescent="0.35">
      <c r="A2632" s="3">
        <v>80202560192</v>
      </c>
      <c r="B2632" s="3">
        <v>27</v>
      </c>
      <c r="C2632" s="32">
        <v>49199</v>
      </c>
      <c r="D2632" s="32" t="s">
        <v>87</v>
      </c>
      <c r="E2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3" spans="1:6" x14ac:dyDescent="0.35">
      <c r="A2633" s="3">
        <v>93977785868</v>
      </c>
      <c r="B2633" s="3">
        <v>30</v>
      </c>
      <c r="C2633" s="32">
        <v>49199</v>
      </c>
      <c r="D2633" s="32" t="s">
        <v>87</v>
      </c>
      <c r="E2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4" spans="1:6" x14ac:dyDescent="0.35">
      <c r="A2634" s="3">
        <v>50033748203</v>
      </c>
      <c r="B2634" s="3">
        <v>38</v>
      </c>
      <c r="C2634" s="32">
        <v>49199</v>
      </c>
      <c r="D2634" s="32">
        <v>49306</v>
      </c>
      <c r="E2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35" spans="1:6" x14ac:dyDescent="0.35">
      <c r="A2635" s="3">
        <v>35616081116</v>
      </c>
      <c r="B2635" s="3">
        <v>63</v>
      </c>
      <c r="C2635" s="32">
        <v>49199</v>
      </c>
      <c r="D2635" s="32">
        <v>49205</v>
      </c>
      <c r="E2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36" spans="1:6" x14ac:dyDescent="0.35">
      <c r="A2636" s="3">
        <v>85159855241</v>
      </c>
      <c r="B2636" s="3">
        <v>63</v>
      </c>
      <c r="C2636" s="32">
        <v>49199</v>
      </c>
      <c r="D2636" s="32" t="s">
        <v>87</v>
      </c>
      <c r="E2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7" spans="1:6" x14ac:dyDescent="0.35">
      <c r="A2637" s="3">
        <v>22424129348</v>
      </c>
      <c r="B2637" s="3">
        <v>65</v>
      </c>
      <c r="C2637" s="32">
        <v>49199</v>
      </c>
      <c r="D2637" s="32" t="s">
        <v>87</v>
      </c>
      <c r="E2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8" spans="1:6" x14ac:dyDescent="0.35">
      <c r="A2638" s="3">
        <v>32409691233</v>
      </c>
      <c r="B2638" s="3">
        <v>94</v>
      </c>
      <c r="C2638" s="32">
        <v>49199</v>
      </c>
      <c r="D2638" s="32" t="s">
        <v>87</v>
      </c>
      <c r="E2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9" spans="1:6" x14ac:dyDescent="0.35">
      <c r="A2639" s="3">
        <v>79763292733</v>
      </c>
      <c r="B2639" s="3">
        <v>136</v>
      </c>
      <c r="C2639" s="32">
        <v>49199</v>
      </c>
      <c r="D2639" s="32" t="s">
        <v>87</v>
      </c>
      <c r="E2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0" spans="1:6" x14ac:dyDescent="0.35">
      <c r="A2640" s="3">
        <v>99122585428</v>
      </c>
      <c r="B2640" s="3">
        <v>143</v>
      </c>
      <c r="C2640" s="32">
        <v>49199</v>
      </c>
      <c r="D2640" s="32" t="s">
        <v>87</v>
      </c>
      <c r="E2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1" spans="1:6" x14ac:dyDescent="0.35">
      <c r="A2641" s="3">
        <v>91014811643</v>
      </c>
      <c r="B2641" s="3">
        <v>155</v>
      </c>
      <c r="C2641" s="32">
        <v>49199</v>
      </c>
      <c r="D2641" s="32" t="s">
        <v>87</v>
      </c>
      <c r="E2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2" spans="1:6" x14ac:dyDescent="0.35">
      <c r="A2642" s="3">
        <v>34082592641</v>
      </c>
      <c r="B2642" s="3">
        <v>172</v>
      </c>
      <c r="C2642" s="32">
        <v>49199</v>
      </c>
      <c r="D2642" s="32">
        <v>49256</v>
      </c>
      <c r="E2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43" spans="1:6" x14ac:dyDescent="0.35">
      <c r="A2643" s="3">
        <v>82721995333</v>
      </c>
      <c r="B2643" s="3">
        <v>181</v>
      </c>
      <c r="C2643" s="32">
        <v>49199</v>
      </c>
      <c r="D2643" s="32" t="s">
        <v>87</v>
      </c>
      <c r="E2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4" spans="1:6" x14ac:dyDescent="0.35">
      <c r="A2644" s="3">
        <v>21411358286</v>
      </c>
      <c r="B2644" s="3">
        <v>182</v>
      </c>
      <c r="C2644" s="32">
        <v>49199</v>
      </c>
      <c r="D2644" s="32" t="s">
        <v>87</v>
      </c>
      <c r="E2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5" spans="1:6" x14ac:dyDescent="0.35">
      <c r="A2645" s="3">
        <v>41789102856</v>
      </c>
      <c r="B2645" s="3">
        <v>190</v>
      </c>
      <c r="C2645" s="32">
        <v>49199</v>
      </c>
      <c r="D2645" s="32" t="s">
        <v>87</v>
      </c>
      <c r="E2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6" spans="1:6" x14ac:dyDescent="0.35">
      <c r="A2646" s="3">
        <v>62874457589</v>
      </c>
      <c r="B2646" s="3">
        <v>197</v>
      </c>
      <c r="C2646" s="32">
        <v>49199</v>
      </c>
      <c r="D2646" s="32">
        <v>49200</v>
      </c>
      <c r="E2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47" spans="1:6" x14ac:dyDescent="0.35">
      <c r="A2647" s="3">
        <v>83307364661</v>
      </c>
      <c r="B2647" s="3">
        <v>199</v>
      </c>
      <c r="C2647" s="32">
        <v>49199</v>
      </c>
      <c r="D2647" s="32" t="s">
        <v>87</v>
      </c>
      <c r="E2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8" spans="1:6" x14ac:dyDescent="0.35">
      <c r="A2648" s="3">
        <v>30063549249</v>
      </c>
      <c r="B2648" s="3">
        <v>223</v>
      </c>
      <c r="C2648" s="32">
        <v>49199</v>
      </c>
      <c r="D2648" s="32" t="s">
        <v>87</v>
      </c>
      <c r="E2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9" spans="1:6" x14ac:dyDescent="0.35">
      <c r="A2649" s="3">
        <v>99209071936</v>
      </c>
      <c r="B2649" s="3">
        <v>235</v>
      </c>
      <c r="C2649" s="32">
        <v>49199</v>
      </c>
      <c r="D2649" s="32" t="s">
        <v>87</v>
      </c>
      <c r="E2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0" spans="1:6" x14ac:dyDescent="0.35">
      <c r="A2650" s="3">
        <v>57427827508</v>
      </c>
      <c r="B2650" s="3">
        <v>277</v>
      </c>
      <c r="C2650" s="32">
        <v>49199</v>
      </c>
      <c r="D2650" s="32">
        <v>49240</v>
      </c>
      <c r="E2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51" spans="1:6" x14ac:dyDescent="0.35">
      <c r="A2651" s="3">
        <v>93580894599</v>
      </c>
      <c r="B2651" s="3">
        <v>303</v>
      </c>
      <c r="C2651" s="32">
        <v>49199</v>
      </c>
      <c r="D2651" s="32" t="s">
        <v>87</v>
      </c>
      <c r="E2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2" spans="1:6" x14ac:dyDescent="0.35">
      <c r="A2652" s="3">
        <v>28406355682</v>
      </c>
      <c r="B2652" s="3">
        <v>306</v>
      </c>
      <c r="C2652" s="32">
        <v>49199</v>
      </c>
      <c r="D2652" s="32" t="s">
        <v>87</v>
      </c>
      <c r="E2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3" spans="1:6" x14ac:dyDescent="0.35">
      <c r="A2653" s="3">
        <v>45314695347</v>
      </c>
      <c r="B2653" s="3">
        <v>331</v>
      </c>
      <c r="C2653" s="32">
        <v>49199</v>
      </c>
      <c r="D2653" s="32" t="s">
        <v>87</v>
      </c>
      <c r="E2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4" spans="1:6" x14ac:dyDescent="0.35">
      <c r="A2654" s="3">
        <v>12353144655</v>
      </c>
      <c r="B2654" s="3">
        <v>32</v>
      </c>
      <c r="C2654" s="32">
        <v>49200</v>
      </c>
      <c r="D2654" s="32">
        <v>49245</v>
      </c>
      <c r="E2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55" spans="1:6" x14ac:dyDescent="0.35">
      <c r="A2655" s="3">
        <v>58125780905</v>
      </c>
      <c r="B2655" s="3">
        <v>74</v>
      </c>
      <c r="C2655" s="32">
        <v>49200</v>
      </c>
      <c r="D2655" s="32" t="s">
        <v>87</v>
      </c>
      <c r="E2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6" spans="1:6" x14ac:dyDescent="0.35">
      <c r="A2656" s="3">
        <v>99042247735</v>
      </c>
      <c r="B2656" s="3">
        <v>103</v>
      </c>
      <c r="C2656" s="32">
        <v>49200</v>
      </c>
      <c r="D2656" s="32" t="s">
        <v>87</v>
      </c>
      <c r="E2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7" spans="1:6" x14ac:dyDescent="0.35">
      <c r="A2657" s="3">
        <v>58815065905</v>
      </c>
      <c r="B2657" s="3">
        <v>111</v>
      </c>
      <c r="C2657" s="32">
        <v>49200</v>
      </c>
      <c r="D2657" s="32" t="s">
        <v>87</v>
      </c>
      <c r="E2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8" spans="1:6" x14ac:dyDescent="0.35">
      <c r="A2658" s="3">
        <v>29940760197</v>
      </c>
      <c r="B2658" s="3">
        <v>142</v>
      </c>
      <c r="C2658" s="32">
        <v>49200</v>
      </c>
      <c r="D2658" s="32" t="s">
        <v>87</v>
      </c>
      <c r="E2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9" spans="1:6" x14ac:dyDescent="0.35">
      <c r="A2659" s="3">
        <v>69205896458</v>
      </c>
      <c r="B2659" s="3">
        <v>159</v>
      </c>
      <c r="C2659" s="32">
        <v>49200</v>
      </c>
      <c r="D2659" s="32" t="s">
        <v>87</v>
      </c>
      <c r="E2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0" spans="1:6" x14ac:dyDescent="0.35">
      <c r="A2660" s="3">
        <v>67881001573</v>
      </c>
      <c r="B2660" s="3">
        <v>165</v>
      </c>
      <c r="C2660" s="32">
        <v>49200</v>
      </c>
      <c r="D2660" s="32" t="s">
        <v>87</v>
      </c>
      <c r="E2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1" spans="1:6" x14ac:dyDescent="0.35">
      <c r="A2661" s="3">
        <v>80528499000</v>
      </c>
      <c r="B2661" s="3">
        <v>184</v>
      </c>
      <c r="C2661" s="32">
        <v>49200</v>
      </c>
      <c r="D2661" s="32" t="s">
        <v>87</v>
      </c>
      <c r="E2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2" spans="1:6" x14ac:dyDescent="0.35">
      <c r="A2662" s="3">
        <v>23082992959</v>
      </c>
      <c r="B2662" s="3">
        <v>191</v>
      </c>
      <c r="C2662" s="32">
        <v>49200</v>
      </c>
      <c r="D2662" s="32"/>
      <c r="E2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3" spans="1:6" x14ac:dyDescent="0.35">
      <c r="A2663" s="3">
        <v>66631134390</v>
      </c>
      <c r="B2663" s="3">
        <v>199</v>
      </c>
      <c r="C2663" s="32">
        <v>49200</v>
      </c>
      <c r="D2663" s="32" t="s">
        <v>87</v>
      </c>
      <c r="E2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4" spans="1:6" x14ac:dyDescent="0.35">
      <c r="A2664" s="3">
        <v>12991609695</v>
      </c>
      <c r="B2664" s="3">
        <v>201</v>
      </c>
      <c r="C2664" s="32">
        <v>49200</v>
      </c>
      <c r="D2664" s="32" t="s">
        <v>87</v>
      </c>
      <c r="E2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5" spans="1:6" x14ac:dyDescent="0.35">
      <c r="A2665" s="3">
        <v>88825339882</v>
      </c>
      <c r="B2665" s="3">
        <v>211</v>
      </c>
      <c r="C2665" s="32">
        <v>49200</v>
      </c>
      <c r="D2665" s="32" t="s">
        <v>87</v>
      </c>
      <c r="E2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6" spans="1:6" x14ac:dyDescent="0.35">
      <c r="A2666" s="3">
        <v>22602418957</v>
      </c>
      <c r="B2666" s="3">
        <v>240</v>
      </c>
      <c r="C2666" s="32">
        <v>49200</v>
      </c>
      <c r="D2666" s="32" t="s">
        <v>87</v>
      </c>
      <c r="E2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7" spans="1:6" x14ac:dyDescent="0.35">
      <c r="A2667" s="3">
        <v>59896675916</v>
      </c>
      <c r="B2667" s="3">
        <v>265</v>
      </c>
      <c r="C2667" s="32">
        <v>49200</v>
      </c>
      <c r="D2667" s="32" t="s">
        <v>87</v>
      </c>
      <c r="E2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8" spans="1:6" x14ac:dyDescent="0.35">
      <c r="A2668" s="3">
        <v>12463662703</v>
      </c>
      <c r="B2668" s="3">
        <v>274</v>
      </c>
      <c r="C2668" s="32">
        <v>49200</v>
      </c>
      <c r="D2668" s="32" t="s">
        <v>87</v>
      </c>
      <c r="E2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9" spans="1:6" x14ac:dyDescent="0.35">
      <c r="A2669" s="3">
        <v>18332216394</v>
      </c>
      <c r="B2669" s="3">
        <v>3</v>
      </c>
      <c r="C2669" s="32">
        <v>49201</v>
      </c>
      <c r="D2669" s="32" t="s">
        <v>87</v>
      </c>
      <c r="E2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0" spans="1:6" x14ac:dyDescent="0.35">
      <c r="A2670" s="3">
        <v>35842589470</v>
      </c>
      <c r="B2670" s="3">
        <v>8</v>
      </c>
      <c r="C2670" s="32">
        <v>49201</v>
      </c>
      <c r="D2670" s="32" t="s">
        <v>87</v>
      </c>
      <c r="E2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1" spans="1:6" x14ac:dyDescent="0.35">
      <c r="A2671" s="3">
        <v>75465984942</v>
      </c>
      <c r="B2671" s="3">
        <v>12</v>
      </c>
      <c r="C2671" s="32">
        <v>49201</v>
      </c>
      <c r="D2671" s="32" t="s">
        <v>87</v>
      </c>
      <c r="E2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2" spans="1:6" x14ac:dyDescent="0.35">
      <c r="A2672" s="3">
        <v>56601840378</v>
      </c>
      <c r="B2672" s="3">
        <v>24</v>
      </c>
      <c r="C2672" s="32">
        <v>49201</v>
      </c>
      <c r="D2672" s="32">
        <v>49270</v>
      </c>
      <c r="E2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73" spans="1:6" x14ac:dyDescent="0.35">
      <c r="A2673" s="3">
        <v>48461349618</v>
      </c>
      <c r="B2673" s="3">
        <v>25</v>
      </c>
      <c r="C2673" s="32">
        <v>49201</v>
      </c>
      <c r="D2673" s="32" t="s">
        <v>87</v>
      </c>
      <c r="E2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4" spans="1:6" x14ac:dyDescent="0.35">
      <c r="A2674" s="3">
        <v>14735677781</v>
      </c>
      <c r="B2674" s="3">
        <v>25</v>
      </c>
      <c r="C2674" s="32">
        <v>49201</v>
      </c>
      <c r="D2674" s="32" t="s">
        <v>87</v>
      </c>
      <c r="E2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5" spans="1:6" x14ac:dyDescent="0.35">
      <c r="A2675" s="3">
        <v>70655332493</v>
      </c>
      <c r="B2675" s="3">
        <v>33</v>
      </c>
      <c r="C2675" s="32">
        <v>49201</v>
      </c>
      <c r="D2675" s="32" t="s">
        <v>87</v>
      </c>
      <c r="E2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6" spans="1:6" x14ac:dyDescent="0.35">
      <c r="A2676" s="3">
        <v>68483264813</v>
      </c>
      <c r="B2676" s="3">
        <v>37</v>
      </c>
      <c r="C2676" s="32">
        <v>49201</v>
      </c>
      <c r="D2676" s="32" t="s">
        <v>87</v>
      </c>
      <c r="E2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7" spans="1:6" x14ac:dyDescent="0.35">
      <c r="A2677" s="3">
        <v>15464509795</v>
      </c>
      <c r="B2677" s="3">
        <v>52</v>
      </c>
      <c r="C2677" s="32">
        <v>49201</v>
      </c>
      <c r="D2677" s="32" t="s">
        <v>87</v>
      </c>
      <c r="E2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8" spans="1:6" x14ac:dyDescent="0.35">
      <c r="A2678" s="3">
        <v>19134771900</v>
      </c>
      <c r="B2678" s="3">
        <v>53</v>
      </c>
      <c r="C2678" s="32">
        <v>49201</v>
      </c>
      <c r="D2678" s="32">
        <v>49295</v>
      </c>
      <c r="E2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79" spans="1:6" x14ac:dyDescent="0.35">
      <c r="A2679" s="3">
        <v>93815564987</v>
      </c>
      <c r="B2679" s="3">
        <v>58</v>
      </c>
      <c r="C2679" s="32">
        <v>49201</v>
      </c>
      <c r="D2679" s="32" t="s">
        <v>87</v>
      </c>
      <c r="E2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0" spans="1:6" x14ac:dyDescent="0.35">
      <c r="A2680" s="3">
        <v>84281088288</v>
      </c>
      <c r="B2680" s="3">
        <v>73</v>
      </c>
      <c r="C2680" s="32">
        <v>49201</v>
      </c>
      <c r="D2680" s="32" t="s">
        <v>87</v>
      </c>
      <c r="E2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1" spans="1:6" x14ac:dyDescent="0.35">
      <c r="A2681" s="3">
        <v>71562071667</v>
      </c>
      <c r="B2681" s="3">
        <v>75</v>
      </c>
      <c r="C2681" s="32">
        <v>49201</v>
      </c>
      <c r="D2681" s="32" t="s">
        <v>87</v>
      </c>
      <c r="E2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2" spans="1:6" x14ac:dyDescent="0.35">
      <c r="A2682" s="3">
        <v>19353981345</v>
      </c>
      <c r="B2682" s="3">
        <v>80</v>
      </c>
      <c r="C2682" s="32">
        <v>49201</v>
      </c>
      <c r="D2682" s="32">
        <v>49202</v>
      </c>
      <c r="E2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83" spans="1:6" x14ac:dyDescent="0.35">
      <c r="A2683" s="3">
        <v>87361112227</v>
      </c>
      <c r="B2683" s="3">
        <v>107</v>
      </c>
      <c r="C2683" s="32">
        <v>49201</v>
      </c>
      <c r="D2683" s="32">
        <v>49283</v>
      </c>
      <c r="E2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84" spans="1:6" x14ac:dyDescent="0.35">
      <c r="A2684" s="3">
        <v>53326233567</v>
      </c>
      <c r="B2684" s="3">
        <v>114</v>
      </c>
      <c r="C2684" s="32">
        <v>49201</v>
      </c>
      <c r="D2684" s="32"/>
      <c r="E2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5" spans="1:6" x14ac:dyDescent="0.35">
      <c r="A2685" s="3">
        <v>46302306991</v>
      </c>
      <c r="B2685" s="3">
        <v>125</v>
      </c>
      <c r="C2685" s="32">
        <v>49201</v>
      </c>
      <c r="D2685" s="32" t="s">
        <v>87</v>
      </c>
      <c r="E2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6" spans="1:6" x14ac:dyDescent="0.35">
      <c r="A2686" s="3">
        <v>58437585393</v>
      </c>
      <c r="B2686" s="3">
        <v>132</v>
      </c>
      <c r="C2686" s="32">
        <v>49201</v>
      </c>
      <c r="D2686" s="32" t="s">
        <v>87</v>
      </c>
      <c r="E2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7" spans="1:6" x14ac:dyDescent="0.35">
      <c r="A2687" s="3">
        <v>51654157620</v>
      </c>
      <c r="B2687" s="3">
        <v>138</v>
      </c>
      <c r="C2687" s="32">
        <v>49201</v>
      </c>
      <c r="D2687" s="32" t="s">
        <v>87</v>
      </c>
      <c r="E2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8" spans="1:6" x14ac:dyDescent="0.35">
      <c r="A2688" s="3">
        <v>90334329840</v>
      </c>
      <c r="B2688" s="3">
        <v>156</v>
      </c>
      <c r="C2688" s="32">
        <v>49201</v>
      </c>
      <c r="D2688" s="32" t="s">
        <v>87</v>
      </c>
      <c r="E2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9" spans="1:6" x14ac:dyDescent="0.35">
      <c r="A2689" s="3">
        <v>66667303726</v>
      </c>
      <c r="B2689" s="3">
        <v>168</v>
      </c>
      <c r="C2689" s="32">
        <v>49201</v>
      </c>
      <c r="D2689" s="32" t="s">
        <v>87</v>
      </c>
      <c r="E2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0" spans="1:6" x14ac:dyDescent="0.35">
      <c r="A2690" s="3">
        <v>93162029016</v>
      </c>
      <c r="B2690" s="3">
        <v>172</v>
      </c>
      <c r="C2690" s="32">
        <v>49201</v>
      </c>
      <c r="D2690" s="32">
        <v>49219</v>
      </c>
      <c r="E2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91" spans="1:6" x14ac:dyDescent="0.35">
      <c r="A2691" s="3">
        <v>20392133249</v>
      </c>
      <c r="B2691" s="3">
        <v>178</v>
      </c>
      <c r="C2691" s="32">
        <v>49201</v>
      </c>
      <c r="D2691" s="32" t="s">
        <v>87</v>
      </c>
      <c r="E2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2" spans="1:6" x14ac:dyDescent="0.35">
      <c r="A2692" s="3">
        <v>31302796606</v>
      </c>
      <c r="B2692" s="3">
        <v>191</v>
      </c>
      <c r="C2692" s="32">
        <v>49201</v>
      </c>
      <c r="D2692" s="32">
        <v>49256</v>
      </c>
      <c r="E2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93" spans="1:6" x14ac:dyDescent="0.35">
      <c r="A2693" s="3">
        <v>43790776024</v>
      </c>
      <c r="B2693" s="3">
        <v>195</v>
      </c>
      <c r="C2693" s="32">
        <v>49201</v>
      </c>
      <c r="D2693" s="32"/>
      <c r="E2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4" spans="1:6" x14ac:dyDescent="0.35">
      <c r="A2694" s="3">
        <v>70173474694</v>
      </c>
      <c r="B2694" s="3">
        <v>207</v>
      </c>
      <c r="C2694" s="32">
        <v>49201</v>
      </c>
      <c r="D2694" s="32" t="s">
        <v>87</v>
      </c>
      <c r="E2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5" spans="1:6" x14ac:dyDescent="0.35">
      <c r="A2695" s="3">
        <v>50775468666</v>
      </c>
      <c r="B2695" s="3">
        <v>208</v>
      </c>
      <c r="C2695" s="32">
        <v>49201</v>
      </c>
      <c r="D2695" s="32" t="s">
        <v>87</v>
      </c>
      <c r="E2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6" spans="1:6" x14ac:dyDescent="0.35">
      <c r="A2696" s="3">
        <v>21823931269</v>
      </c>
      <c r="B2696" s="3">
        <v>209</v>
      </c>
      <c r="C2696" s="32">
        <v>49201</v>
      </c>
      <c r="D2696" s="32" t="s">
        <v>87</v>
      </c>
      <c r="E2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7" spans="1:6" x14ac:dyDescent="0.35">
      <c r="A2697" s="3">
        <v>25718770465</v>
      </c>
      <c r="B2697" s="3">
        <v>233</v>
      </c>
      <c r="C2697" s="32">
        <v>49201</v>
      </c>
      <c r="D2697" s="32" t="s">
        <v>87</v>
      </c>
      <c r="E2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8" spans="1:6" x14ac:dyDescent="0.35">
      <c r="A2698" s="3">
        <v>31707406734</v>
      </c>
      <c r="B2698" s="3">
        <v>247</v>
      </c>
      <c r="C2698" s="32">
        <v>49201</v>
      </c>
      <c r="D2698" s="32">
        <v>49313</v>
      </c>
      <c r="E2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699" spans="1:6" x14ac:dyDescent="0.35">
      <c r="A2699" s="3">
        <v>18606959229</v>
      </c>
      <c r="B2699" s="3">
        <v>255</v>
      </c>
      <c r="C2699" s="32">
        <v>49201</v>
      </c>
      <c r="D2699" s="32" t="s">
        <v>87</v>
      </c>
      <c r="E2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0" spans="1:6" x14ac:dyDescent="0.35">
      <c r="A2700" s="3">
        <v>66251064569</v>
      </c>
      <c r="B2700" s="3">
        <v>269</v>
      </c>
      <c r="C2700" s="32">
        <v>49201</v>
      </c>
      <c r="D2700" s="32" t="s">
        <v>87</v>
      </c>
      <c r="E2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1" spans="1:6" x14ac:dyDescent="0.35">
      <c r="A2701" s="3">
        <v>24874146469</v>
      </c>
      <c r="B2701" s="3">
        <v>271</v>
      </c>
      <c r="C2701" s="32">
        <v>49201</v>
      </c>
      <c r="D2701" s="32">
        <v>49216</v>
      </c>
      <c r="E2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02" spans="1:6" x14ac:dyDescent="0.35">
      <c r="A2702" s="3">
        <v>64276567179</v>
      </c>
      <c r="B2702" s="3">
        <v>278</v>
      </c>
      <c r="C2702" s="32">
        <v>49201</v>
      </c>
      <c r="D2702" s="32" t="s">
        <v>87</v>
      </c>
      <c r="E2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3" spans="1:6" x14ac:dyDescent="0.35">
      <c r="A2703" s="3">
        <v>66519346631</v>
      </c>
      <c r="B2703" s="3">
        <v>299</v>
      </c>
      <c r="C2703" s="32">
        <v>49201</v>
      </c>
      <c r="D2703" s="32">
        <v>49297</v>
      </c>
      <c r="E2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04" spans="1:6" x14ac:dyDescent="0.35">
      <c r="A2704" s="3">
        <v>80555065189</v>
      </c>
      <c r="B2704" s="3">
        <v>13</v>
      </c>
      <c r="C2704" s="32">
        <v>49202</v>
      </c>
      <c r="D2704" s="32" t="s">
        <v>87</v>
      </c>
      <c r="E2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5" spans="1:6" x14ac:dyDescent="0.35">
      <c r="A2705" s="3">
        <v>51794645262</v>
      </c>
      <c r="B2705" s="3">
        <v>14</v>
      </c>
      <c r="C2705" s="32">
        <v>49202</v>
      </c>
      <c r="D2705" s="32" t="s">
        <v>87</v>
      </c>
      <c r="E2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6" spans="1:6" x14ac:dyDescent="0.35">
      <c r="A2706" s="3">
        <v>40073604841</v>
      </c>
      <c r="B2706" s="3">
        <v>17</v>
      </c>
      <c r="C2706" s="32">
        <v>49202</v>
      </c>
      <c r="D2706" s="32" t="s">
        <v>87</v>
      </c>
      <c r="E2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7" spans="1:6" x14ac:dyDescent="0.35">
      <c r="A2707" s="3">
        <v>80412428606</v>
      </c>
      <c r="B2707" s="3">
        <v>29</v>
      </c>
      <c r="C2707" s="32">
        <v>49202</v>
      </c>
      <c r="D2707" s="32" t="s">
        <v>87</v>
      </c>
      <c r="E2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8" spans="1:6" x14ac:dyDescent="0.35">
      <c r="A2708" s="3">
        <v>63190043232</v>
      </c>
      <c r="B2708" s="3">
        <v>43</v>
      </c>
      <c r="C2708" s="32">
        <v>49202</v>
      </c>
      <c r="D2708" s="32">
        <v>49305</v>
      </c>
      <c r="E2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09" spans="1:6" x14ac:dyDescent="0.35">
      <c r="A2709" s="3">
        <v>34204745274</v>
      </c>
      <c r="B2709" s="3">
        <v>59</v>
      </c>
      <c r="C2709" s="32">
        <v>49202</v>
      </c>
      <c r="D2709" s="32" t="s">
        <v>87</v>
      </c>
      <c r="E2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0" spans="1:6" x14ac:dyDescent="0.35">
      <c r="A2710" s="3">
        <v>27686098159</v>
      </c>
      <c r="B2710" s="3">
        <v>83</v>
      </c>
      <c r="C2710" s="32">
        <v>49202</v>
      </c>
      <c r="D2710" s="32" t="s">
        <v>87</v>
      </c>
      <c r="E2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1" spans="1:6" x14ac:dyDescent="0.35">
      <c r="A2711" s="3">
        <v>19453356092</v>
      </c>
      <c r="B2711" s="3">
        <v>92</v>
      </c>
      <c r="C2711" s="32">
        <v>49202</v>
      </c>
      <c r="D2711" s="32" t="s">
        <v>87</v>
      </c>
      <c r="E2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2" spans="1:6" x14ac:dyDescent="0.35">
      <c r="A2712" s="3">
        <v>97407183199</v>
      </c>
      <c r="B2712" s="3">
        <v>106</v>
      </c>
      <c r="C2712" s="32">
        <v>49202</v>
      </c>
      <c r="D2712" s="32" t="s">
        <v>87</v>
      </c>
      <c r="E2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3" spans="1:6" x14ac:dyDescent="0.35">
      <c r="A2713" s="3">
        <v>12142425875</v>
      </c>
      <c r="B2713" s="3">
        <v>113</v>
      </c>
      <c r="C2713" s="32">
        <v>49202</v>
      </c>
      <c r="D2713" s="32" t="s">
        <v>87</v>
      </c>
      <c r="E2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4" spans="1:6" x14ac:dyDescent="0.35">
      <c r="A2714" s="3">
        <v>97034855014</v>
      </c>
      <c r="B2714" s="3">
        <v>118</v>
      </c>
      <c r="C2714" s="32">
        <v>49202</v>
      </c>
      <c r="D2714" s="32" t="s">
        <v>87</v>
      </c>
      <c r="E2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5" spans="1:6" x14ac:dyDescent="0.35">
      <c r="A2715" s="3">
        <v>19544625993</v>
      </c>
      <c r="B2715" s="3">
        <v>121</v>
      </c>
      <c r="C2715" s="32">
        <v>49202</v>
      </c>
      <c r="D2715" s="32" t="s">
        <v>87</v>
      </c>
      <c r="E2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6" spans="1:6" x14ac:dyDescent="0.35">
      <c r="A2716" s="3">
        <v>73220107813</v>
      </c>
      <c r="B2716" s="3">
        <v>138</v>
      </c>
      <c r="C2716" s="32">
        <v>49202</v>
      </c>
      <c r="D2716" s="32">
        <v>49240</v>
      </c>
      <c r="E2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17" spans="1:6" x14ac:dyDescent="0.35">
      <c r="A2717" s="3">
        <v>33096264039</v>
      </c>
      <c r="B2717" s="3">
        <v>145</v>
      </c>
      <c r="C2717" s="32">
        <v>49202</v>
      </c>
      <c r="D2717" s="32"/>
      <c r="E2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8" spans="1:6" x14ac:dyDescent="0.35">
      <c r="A2718" s="3">
        <v>46826298451</v>
      </c>
      <c r="B2718" s="3">
        <v>147</v>
      </c>
      <c r="C2718" s="32">
        <v>49202</v>
      </c>
      <c r="D2718" s="32">
        <v>49209</v>
      </c>
      <c r="E2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19" spans="1:6" x14ac:dyDescent="0.35">
      <c r="A2719" s="3">
        <v>81456594097</v>
      </c>
      <c r="B2719" s="3">
        <v>148</v>
      </c>
      <c r="C2719" s="32">
        <v>49202</v>
      </c>
      <c r="D2719" s="32">
        <v>49243</v>
      </c>
      <c r="E2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20" spans="1:6" x14ac:dyDescent="0.35">
      <c r="A2720" s="3">
        <v>80537910851</v>
      </c>
      <c r="B2720" s="3">
        <v>157</v>
      </c>
      <c r="C2720" s="32">
        <v>49202</v>
      </c>
      <c r="D2720" s="32" t="s">
        <v>87</v>
      </c>
      <c r="E2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1" spans="1:6" x14ac:dyDescent="0.35">
      <c r="A2721" s="3">
        <v>91325447101</v>
      </c>
      <c r="B2721" s="3">
        <v>157</v>
      </c>
      <c r="C2721" s="32">
        <v>49202</v>
      </c>
      <c r="D2721" s="32" t="s">
        <v>87</v>
      </c>
      <c r="E2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2" spans="1:6" x14ac:dyDescent="0.35">
      <c r="A2722" s="3">
        <v>69832092965</v>
      </c>
      <c r="B2722" s="3">
        <v>158</v>
      </c>
      <c r="C2722" s="32">
        <v>49202</v>
      </c>
      <c r="D2722" s="32" t="s">
        <v>87</v>
      </c>
      <c r="E2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3" spans="1:6" x14ac:dyDescent="0.35">
      <c r="A2723" s="3">
        <v>41311365154</v>
      </c>
      <c r="B2723" s="3">
        <v>187</v>
      </c>
      <c r="C2723" s="32">
        <v>49202</v>
      </c>
      <c r="D2723" s="32" t="s">
        <v>87</v>
      </c>
      <c r="E2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4" spans="1:6" x14ac:dyDescent="0.35">
      <c r="A2724" s="3">
        <v>53753188385</v>
      </c>
      <c r="B2724" s="3">
        <v>195</v>
      </c>
      <c r="C2724" s="32">
        <v>49202</v>
      </c>
      <c r="D2724" s="32" t="s">
        <v>87</v>
      </c>
      <c r="E2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5" spans="1:6" x14ac:dyDescent="0.35">
      <c r="A2725" s="3">
        <v>97582604359</v>
      </c>
      <c r="B2725" s="3">
        <v>203</v>
      </c>
      <c r="C2725" s="32">
        <v>49202</v>
      </c>
      <c r="D2725" s="32">
        <v>49219</v>
      </c>
      <c r="E2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26" spans="1:6" x14ac:dyDescent="0.35">
      <c r="A2726" s="3">
        <v>86723079987</v>
      </c>
      <c r="B2726" s="3">
        <v>230</v>
      </c>
      <c r="C2726" s="32">
        <v>49202</v>
      </c>
      <c r="D2726" s="32">
        <v>49305</v>
      </c>
      <c r="E2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27" spans="1:6" x14ac:dyDescent="0.35">
      <c r="A2727" s="3">
        <v>78488327742</v>
      </c>
      <c r="B2727" s="3">
        <v>269</v>
      </c>
      <c r="C2727" s="32">
        <v>49202</v>
      </c>
      <c r="D2727" s="32" t="s">
        <v>87</v>
      </c>
      <c r="E2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8" spans="1:6" x14ac:dyDescent="0.35">
      <c r="A2728" s="3">
        <v>65977202382</v>
      </c>
      <c r="B2728" s="3">
        <v>283</v>
      </c>
      <c r="C2728" s="32">
        <v>49202</v>
      </c>
      <c r="D2728" s="32">
        <v>49276</v>
      </c>
      <c r="E2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29" spans="1:6" x14ac:dyDescent="0.35">
      <c r="A2729" s="3">
        <v>95691057239</v>
      </c>
      <c r="B2729" s="3">
        <v>285</v>
      </c>
      <c r="C2729" s="32">
        <v>49202</v>
      </c>
      <c r="D2729" s="32">
        <v>49250</v>
      </c>
      <c r="E2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0" spans="1:6" x14ac:dyDescent="0.35">
      <c r="A2730" s="3">
        <v>57143888609</v>
      </c>
      <c r="B2730" s="3">
        <v>290</v>
      </c>
      <c r="C2730" s="32">
        <v>49202</v>
      </c>
      <c r="D2730" s="32" t="s">
        <v>87</v>
      </c>
      <c r="E2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1" spans="1:6" x14ac:dyDescent="0.35">
      <c r="A2731" s="3">
        <v>68332165705</v>
      </c>
      <c r="B2731" s="3">
        <v>300</v>
      </c>
      <c r="C2731" s="32">
        <v>49202</v>
      </c>
      <c r="D2731" s="32">
        <v>49269</v>
      </c>
      <c r="E2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2" spans="1:6" x14ac:dyDescent="0.35">
      <c r="A2732" s="3">
        <v>76208358665</v>
      </c>
      <c r="B2732" s="3">
        <v>306</v>
      </c>
      <c r="C2732" s="32">
        <v>49202</v>
      </c>
      <c r="D2732" s="32" t="s">
        <v>87</v>
      </c>
      <c r="E2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3" spans="1:6" x14ac:dyDescent="0.35">
      <c r="A2733" s="3">
        <v>45522024070</v>
      </c>
      <c r="B2733" s="3">
        <v>325</v>
      </c>
      <c r="C2733" s="32">
        <v>49202</v>
      </c>
      <c r="D2733" s="32">
        <v>49244</v>
      </c>
      <c r="E2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34" spans="1:6" x14ac:dyDescent="0.35">
      <c r="A2734" s="3">
        <v>60017541239</v>
      </c>
      <c r="B2734" s="3">
        <v>334</v>
      </c>
      <c r="C2734" s="32">
        <v>49202</v>
      </c>
      <c r="D2734" s="32">
        <v>49260</v>
      </c>
      <c r="E2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5" spans="1:6" x14ac:dyDescent="0.35">
      <c r="A2735" s="3">
        <v>79550512885</v>
      </c>
      <c r="B2735" s="3">
        <v>335</v>
      </c>
      <c r="C2735" s="32">
        <v>49202</v>
      </c>
      <c r="D2735" s="32">
        <v>49280</v>
      </c>
      <c r="E2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36" spans="1:6" x14ac:dyDescent="0.35">
      <c r="A2736" s="3">
        <v>91447340834</v>
      </c>
      <c r="B2736" s="3">
        <v>6</v>
      </c>
      <c r="C2736" s="32">
        <v>49203</v>
      </c>
      <c r="D2736" s="32" t="s">
        <v>87</v>
      </c>
      <c r="E2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7" spans="1:6" x14ac:dyDescent="0.35">
      <c r="A2737" s="3">
        <v>19084014471</v>
      </c>
      <c r="B2737" s="3">
        <v>37</v>
      </c>
      <c r="C2737" s="32">
        <v>49203</v>
      </c>
      <c r="D2737" s="32" t="s">
        <v>87</v>
      </c>
      <c r="E2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8" spans="1:6" x14ac:dyDescent="0.35">
      <c r="A2738" s="3">
        <v>32003589218</v>
      </c>
      <c r="B2738" s="3">
        <v>41</v>
      </c>
      <c r="C2738" s="32">
        <v>49203</v>
      </c>
      <c r="D2738" s="32" t="s">
        <v>87</v>
      </c>
      <c r="E2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9" spans="1:6" x14ac:dyDescent="0.35">
      <c r="A2739" s="3">
        <v>75769371124</v>
      </c>
      <c r="B2739" s="3">
        <v>66</v>
      </c>
      <c r="C2739" s="32">
        <v>49203</v>
      </c>
      <c r="D2739" s="32" t="s">
        <v>87</v>
      </c>
      <c r="E2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0" spans="1:6" x14ac:dyDescent="0.35">
      <c r="A2740" s="3">
        <v>59914240557</v>
      </c>
      <c r="B2740" s="3">
        <v>84</v>
      </c>
      <c r="C2740" s="32">
        <v>49203</v>
      </c>
      <c r="D2740" s="32" t="s">
        <v>87</v>
      </c>
      <c r="E2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1" spans="1:6" x14ac:dyDescent="0.35">
      <c r="A2741" s="3">
        <v>47958791139</v>
      </c>
      <c r="B2741" s="3">
        <v>152</v>
      </c>
      <c r="C2741" s="32">
        <v>49203</v>
      </c>
      <c r="D2741" s="32" t="s">
        <v>87</v>
      </c>
      <c r="E2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2" spans="1:6" x14ac:dyDescent="0.35">
      <c r="A2742" s="3">
        <v>38562267342</v>
      </c>
      <c r="B2742" s="3">
        <v>154</v>
      </c>
      <c r="C2742" s="32">
        <v>49203</v>
      </c>
      <c r="D2742" s="32" t="s">
        <v>87</v>
      </c>
      <c r="E2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3" spans="1:6" x14ac:dyDescent="0.35">
      <c r="A2743" s="3">
        <v>20588485193</v>
      </c>
      <c r="B2743" s="3">
        <v>169</v>
      </c>
      <c r="C2743" s="32">
        <v>49203</v>
      </c>
      <c r="D2743" s="32" t="s">
        <v>87</v>
      </c>
      <c r="E2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4" spans="1:6" x14ac:dyDescent="0.35">
      <c r="A2744" s="3">
        <v>28919544610</v>
      </c>
      <c r="B2744" s="3">
        <v>218</v>
      </c>
      <c r="C2744" s="32">
        <v>49203</v>
      </c>
      <c r="D2744" s="32" t="s">
        <v>87</v>
      </c>
      <c r="E2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5" spans="1:6" x14ac:dyDescent="0.35">
      <c r="A2745" s="3">
        <v>94742230913</v>
      </c>
      <c r="B2745" s="3">
        <v>224</v>
      </c>
      <c r="C2745" s="32">
        <v>49203</v>
      </c>
      <c r="D2745" s="32" t="s">
        <v>87</v>
      </c>
      <c r="E2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6" spans="1:6" x14ac:dyDescent="0.35">
      <c r="A2746" s="3">
        <v>86281493652</v>
      </c>
      <c r="B2746" s="3">
        <v>226</v>
      </c>
      <c r="C2746" s="32">
        <v>49203</v>
      </c>
      <c r="D2746" s="32">
        <v>49290</v>
      </c>
      <c r="E2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47" spans="1:6" x14ac:dyDescent="0.35">
      <c r="A2747" s="3">
        <v>94394782228</v>
      </c>
      <c r="B2747" s="3">
        <v>230</v>
      </c>
      <c r="C2747" s="32">
        <v>49203</v>
      </c>
      <c r="D2747" s="32" t="s">
        <v>87</v>
      </c>
      <c r="E2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8" spans="1:6" x14ac:dyDescent="0.35">
      <c r="A2748" s="3">
        <v>33967945989</v>
      </c>
      <c r="B2748" s="3">
        <v>231</v>
      </c>
      <c r="C2748" s="32">
        <v>49203</v>
      </c>
      <c r="D2748" s="32" t="s">
        <v>87</v>
      </c>
      <c r="E2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9" spans="1:6" x14ac:dyDescent="0.35">
      <c r="A2749" s="3">
        <v>74309669950</v>
      </c>
      <c r="B2749" s="3">
        <v>245</v>
      </c>
      <c r="C2749" s="32">
        <v>49203</v>
      </c>
      <c r="D2749" s="32">
        <v>49290</v>
      </c>
      <c r="E2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50" spans="1:6" x14ac:dyDescent="0.35">
      <c r="A2750" s="3">
        <v>35423505307</v>
      </c>
      <c r="B2750" s="3">
        <v>247</v>
      </c>
      <c r="C2750" s="32">
        <v>49203</v>
      </c>
      <c r="D2750" s="32" t="s">
        <v>87</v>
      </c>
      <c r="E2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1" spans="1:6" x14ac:dyDescent="0.35">
      <c r="A2751" s="3">
        <v>31316609570</v>
      </c>
      <c r="B2751" s="3">
        <v>251</v>
      </c>
      <c r="C2751" s="32">
        <v>49203</v>
      </c>
      <c r="D2751" s="32">
        <v>49225</v>
      </c>
      <c r="E2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52" spans="1:6" x14ac:dyDescent="0.35">
      <c r="A2752" s="3">
        <v>55906670927</v>
      </c>
      <c r="B2752" s="3">
        <v>261</v>
      </c>
      <c r="C2752" s="32">
        <v>49203</v>
      </c>
      <c r="D2752" s="32" t="s">
        <v>87</v>
      </c>
      <c r="E2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3" spans="1:6" x14ac:dyDescent="0.35">
      <c r="A2753" s="3">
        <v>27622417063</v>
      </c>
      <c r="B2753" s="3">
        <v>282</v>
      </c>
      <c r="C2753" s="32">
        <v>49203</v>
      </c>
      <c r="D2753" s="32" t="s">
        <v>87</v>
      </c>
      <c r="E2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4" spans="1:6" x14ac:dyDescent="0.35">
      <c r="A2754" s="3">
        <v>40884554289</v>
      </c>
      <c r="B2754" s="3">
        <v>285</v>
      </c>
      <c r="C2754" s="32">
        <v>49203</v>
      </c>
      <c r="D2754" s="32" t="s">
        <v>87</v>
      </c>
      <c r="E2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5" spans="1:6" x14ac:dyDescent="0.35">
      <c r="A2755" s="3">
        <v>68061005432</v>
      </c>
      <c r="B2755" s="3">
        <v>6</v>
      </c>
      <c r="C2755" s="32">
        <v>49204</v>
      </c>
      <c r="D2755" s="32" t="s">
        <v>87</v>
      </c>
      <c r="E2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6" spans="1:6" x14ac:dyDescent="0.35">
      <c r="A2756" s="3">
        <v>91541544344</v>
      </c>
      <c r="B2756" s="3">
        <v>20</v>
      </c>
      <c r="C2756" s="32">
        <v>49204</v>
      </c>
      <c r="D2756" s="32" t="s">
        <v>87</v>
      </c>
      <c r="E2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7" spans="1:6" x14ac:dyDescent="0.35">
      <c r="A2757" s="3">
        <v>76259864966</v>
      </c>
      <c r="B2757" s="3">
        <v>21</v>
      </c>
      <c r="C2757" s="32">
        <v>49204</v>
      </c>
      <c r="D2757" s="32" t="s">
        <v>87</v>
      </c>
      <c r="E2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8" spans="1:6" x14ac:dyDescent="0.35">
      <c r="A2758" s="3">
        <v>15744634888</v>
      </c>
      <c r="B2758" s="3">
        <v>48</v>
      </c>
      <c r="C2758" s="32">
        <v>49204</v>
      </c>
      <c r="D2758" s="32">
        <v>49313</v>
      </c>
      <c r="E2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759" spans="1:6" x14ac:dyDescent="0.35">
      <c r="A2759" s="3">
        <v>84497049637</v>
      </c>
      <c r="B2759" s="3">
        <v>61</v>
      </c>
      <c r="C2759" s="32">
        <v>49204</v>
      </c>
      <c r="D2759" s="32">
        <v>49258</v>
      </c>
      <c r="E2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60" spans="1:6" x14ac:dyDescent="0.35">
      <c r="A2760" s="3">
        <v>81629317348</v>
      </c>
      <c r="B2760" s="3">
        <v>63</v>
      </c>
      <c r="C2760" s="32">
        <v>49204</v>
      </c>
      <c r="D2760" s="32" t="s">
        <v>87</v>
      </c>
      <c r="E2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1" spans="1:6" x14ac:dyDescent="0.35">
      <c r="A2761" s="3">
        <v>85746919179</v>
      </c>
      <c r="B2761" s="3">
        <v>64</v>
      </c>
      <c r="C2761" s="32">
        <v>49204</v>
      </c>
      <c r="D2761" s="32" t="s">
        <v>87</v>
      </c>
      <c r="E2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2" spans="1:6" x14ac:dyDescent="0.35">
      <c r="A2762" s="3">
        <v>13408241443</v>
      </c>
      <c r="B2762" s="3">
        <v>67</v>
      </c>
      <c r="C2762" s="32">
        <v>49204</v>
      </c>
      <c r="D2762" s="32">
        <v>49257</v>
      </c>
      <c r="E2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63" spans="1:6" x14ac:dyDescent="0.35">
      <c r="A2763" s="3">
        <v>61664956750</v>
      </c>
      <c r="B2763" s="3">
        <v>69</v>
      </c>
      <c r="C2763" s="32">
        <v>49204</v>
      </c>
      <c r="D2763" s="32" t="s">
        <v>87</v>
      </c>
      <c r="E2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4" spans="1:6" x14ac:dyDescent="0.35">
      <c r="A2764" s="3">
        <v>42139133377</v>
      </c>
      <c r="B2764" s="3">
        <v>75</v>
      </c>
      <c r="C2764" s="32">
        <v>49204</v>
      </c>
      <c r="D2764" s="32" t="s">
        <v>87</v>
      </c>
      <c r="E2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5" spans="1:6" x14ac:dyDescent="0.35">
      <c r="A2765" s="3">
        <v>30941135445</v>
      </c>
      <c r="B2765" s="3">
        <v>77</v>
      </c>
      <c r="C2765" s="32">
        <v>49204</v>
      </c>
      <c r="D2765" s="32" t="s">
        <v>87</v>
      </c>
      <c r="E2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6" spans="1:6" x14ac:dyDescent="0.35">
      <c r="A2766" s="3">
        <v>39631171964</v>
      </c>
      <c r="B2766" s="3">
        <v>110</v>
      </c>
      <c r="C2766" s="32">
        <v>49204</v>
      </c>
      <c r="D2766" s="32" t="s">
        <v>87</v>
      </c>
      <c r="E2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7" spans="1:6" x14ac:dyDescent="0.35">
      <c r="A2767" s="3">
        <v>57633449586</v>
      </c>
      <c r="B2767" s="3">
        <v>121</v>
      </c>
      <c r="C2767" s="32">
        <v>49204</v>
      </c>
      <c r="D2767" s="32" t="s">
        <v>87</v>
      </c>
      <c r="E2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8" spans="1:6" x14ac:dyDescent="0.35">
      <c r="A2768" s="3">
        <v>95020519210</v>
      </c>
      <c r="B2768" s="3">
        <v>123</v>
      </c>
      <c r="C2768" s="32">
        <v>49204</v>
      </c>
      <c r="D2768" s="32">
        <v>49311</v>
      </c>
      <c r="E2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769" spans="1:6" x14ac:dyDescent="0.35">
      <c r="A2769" s="3">
        <v>23910512364</v>
      </c>
      <c r="B2769" s="3">
        <v>125</v>
      </c>
      <c r="C2769" s="32">
        <v>49204</v>
      </c>
      <c r="D2769" s="32">
        <v>49212</v>
      </c>
      <c r="E2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70" spans="1:6" x14ac:dyDescent="0.35">
      <c r="A2770" s="3">
        <v>65893452023</v>
      </c>
      <c r="B2770" s="3">
        <v>164</v>
      </c>
      <c r="C2770" s="32">
        <v>49204</v>
      </c>
      <c r="D2770" s="32">
        <v>49274</v>
      </c>
      <c r="E2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71" spans="1:6" x14ac:dyDescent="0.35">
      <c r="A2771" s="3">
        <v>38037924195</v>
      </c>
      <c r="B2771" s="3">
        <v>182</v>
      </c>
      <c r="C2771" s="32">
        <v>49204</v>
      </c>
      <c r="D2771" s="32" t="s">
        <v>87</v>
      </c>
      <c r="E2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2" spans="1:6" x14ac:dyDescent="0.35">
      <c r="A2772" s="3">
        <v>82861813995</v>
      </c>
      <c r="B2772" s="3">
        <v>184</v>
      </c>
      <c r="C2772" s="32">
        <v>49204</v>
      </c>
      <c r="D2772" s="32" t="s">
        <v>87</v>
      </c>
      <c r="E2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3" spans="1:6" x14ac:dyDescent="0.35">
      <c r="A2773" s="3">
        <v>80851986196</v>
      </c>
      <c r="B2773" s="3">
        <v>249</v>
      </c>
      <c r="C2773" s="32">
        <v>49204</v>
      </c>
      <c r="D2773" s="32" t="s">
        <v>87</v>
      </c>
      <c r="E2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4" spans="1:6" x14ac:dyDescent="0.35">
      <c r="A2774" s="3">
        <v>93167150728</v>
      </c>
      <c r="B2774" s="3">
        <v>254</v>
      </c>
      <c r="C2774" s="32">
        <v>49204</v>
      </c>
      <c r="D2774" s="32"/>
      <c r="E2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5" spans="1:6" x14ac:dyDescent="0.35">
      <c r="A2775" s="3">
        <v>77414885492</v>
      </c>
      <c r="B2775" s="3">
        <v>273</v>
      </c>
      <c r="C2775" s="32">
        <v>49204</v>
      </c>
      <c r="D2775" s="32" t="s">
        <v>87</v>
      </c>
      <c r="E2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6" spans="1:6" x14ac:dyDescent="0.35">
      <c r="A2776" s="3">
        <v>98756626566</v>
      </c>
      <c r="B2776" s="3">
        <v>273</v>
      </c>
      <c r="C2776" s="32">
        <v>49204</v>
      </c>
      <c r="D2776" s="32">
        <v>49239</v>
      </c>
      <c r="E2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77" spans="1:6" x14ac:dyDescent="0.35">
      <c r="A2777" s="3">
        <v>49789321665</v>
      </c>
      <c r="B2777" s="3">
        <v>301</v>
      </c>
      <c r="C2777" s="32">
        <v>49204</v>
      </c>
      <c r="D2777" s="32" t="s">
        <v>87</v>
      </c>
      <c r="E2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8" spans="1:6" x14ac:dyDescent="0.35">
      <c r="A2778" s="3">
        <v>94545388150</v>
      </c>
      <c r="B2778" s="3">
        <v>303</v>
      </c>
      <c r="C2778" s="32">
        <v>49204</v>
      </c>
      <c r="D2778" s="32" t="s">
        <v>87</v>
      </c>
      <c r="E2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9" spans="1:6" x14ac:dyDescent="0.35">
      <c r="A2779" s="3">
        <v>93375620489</v>
      </c>
      <c r="B2779" s="3">
        <v>317</v>
      </c>
      <c r="C2779" s="32">
        <v>49204</v>
      </c>
      <c r="D2779" s="32" t="s">
        <v>87</v>
      </c>
      <c r="E2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0" spans="1:6" x14ac:dyDescent="0.35">
      <c r="A2780" s="3">
        <v>30404767377</v>
      </c>
      <c r="B2780" s="3">
        <v>326</v>
      </c>
      <c r="C2780" s="32">
        <v>49204</v>
      </c>
      <c r="D2780" s="32" t="s">
        <v>87</v>
      </c>
      <c r="E2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1" spans="1:6" x14ac:dyDescent="0.35">
      <c r="A2781" s="3">
        <v>23555163107</v>
      </c>
      <c r="B2781" s="3">
        <v>1</v>
      </c>
      <c r="C2781" s="32">
        <v>49205</v>
      </c>
      <c r="D2781" s="32" t="s">
        <v>87</v>
      </c>
      <c r="E2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2" spans="1:6" x14ac:dyDescent="0.35">
      <c r="A2782" s="3">
        <v>51723409984</v>
      </c>
      <c r="B2782" s="3">
        <v>3</v>
      </c>
      <c r="C2782" s="32">
        <v>49205</v>
      </c>
      <c r="D2782" s="32" t="s">
        <v>87</v>
      </c>
      <c r="E2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3" spans="1:6" x14ac:dyDescent="0.35">
      <c r="A2783" s="3">
        <v>97232164541</v>
      </c>
      <c r="B2783" s="3">
        <v>4</v>
      </c>
      <c r="C2783" s="32">
        <v>49205</v>
      </c>
      <c r="D2783" s="32" t="s">
        <v>87</v>
      </c>
      <c r="E2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4" spans="1:6" x14ac:dyDescent="0.35">
      <c r="A2784" s="3">
        <v>87980681657</v>
      </c>
      <c r="B2784" s="3">
        <v>14</v>
      </c>
      <c r="C2784" s="32">
        <v>49205</v>
      </c>
      <c r="D2784" s="32" t="s">
        <v>87</v>
      </c>
      <c r="E2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5" spans="1:6" x14ac:dyDescent="0.35">
      <c r="A2785" s="3">
        <v>43533911251</v>
      </c>
      <c r="B2785" s="3">
        <v>23</v>
      </c>
      <c r="C2785" s="32">
        <v>49205</v>
      </c>
      <c r="D2785" s="32">
        <v>49263</v>
      </c>
      <c r="E2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86" spans="1:6" x14ac:dyDescent="0.35">
      <c r="A2786" s="3">
        <v>90841136863</v>
      </c>
      <c r="B2786" s="3">
        <v>43</v>
      </c>
      <c r="C2786" s="32">
        <v>49205</v>
      </c>
      <c r="D2786" s="32">
        <v>49233</v>
      </c>
      <c r="E2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87" spans="1:6" x14ac:dyDescent="0.35">
      <c r="A2787" s="3">
        <v>74758082975</v>
      </c>
      <c r="B2787" s="3">
        <v>47</v>
      </c>
      <c r="C2787" s="32">
        <v>49205</v>
      </c>
      <c r="D2787" s="32" t="s">
        <v>87</v>
      </c>
      <c r="E2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8" spans="1:6" x14ac:dyDescent="0.35">
      <c r="A2788" s="3">
        <v>48147930181</v>
      </c>
      <c r="B2788" s="3">
        <v>70</v>
      </c>
      <c r="C2788" s="32">
        <v>49205</v>
      </c>
      <c r="D2788" s="32" t="s">
        <v>87</v>
      </c>
      <c r="E2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9" spans="1:6" x14ac:dyDescent="0.35">
      <c r="A2789" s="3">
        <v>65669883326</v>
      </c>
      <c r="B2789" s="3">
        <v>87</v>
      </c>
      <c r="C2789" s="32">
        <v>49205</v>
      </c>
      <c r="D2789" s="32" t="s">
        <v>87</v>
      </c>
      <c r="E2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0" spans="1:6" x14ac:dyDescent="0.35">
      <c r="A2790" s="3">
        <v>64461365664</v>
      </c>
      <c r="B2790" s="3">
        <v>92</v>
      </c>
      <c r="C2790" s="32">
        <v>49205</v>
      </c>
      <c r="D2790" s="32" t="s">
        <v>87</v>
      </c>
      <c r="E2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1" spans="1:6" x14ac:dyDescent="0.35">
      <c r="A2791" s="3">
        <v>86469054624</v>
      </c>
      <c r="B2791" s="3">
        <v>119</v>
      </c>
      <c r="C2791" s="32">
        <v>49205</v>
      </c>
      <c r="D2791" s="32" t="s">
        <v>87</v>
      </c>
      <c r="E2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2" spans="1:6" x14ac:dyDescent="0.35">
      <c r="A2792" s="3">
        <v>12426802632</v>
      </c>
      <c r="B2792" s="3">
        <v>121</v>
      </c>
      <c r="C2792" s="32">
        <v>49205</v>
      </c>
      <c r="D2792" s="32"/>
      <c r="E2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3" spans="1:6" x14ac:dyDescent="0.35">
      <c r="A2793" s="3">
        <v>17292492463</v>
      </c>
      <c r="B2793" s="3">
        <v>135</v>
      </c>
      <c r="C2793" s="32">
        <v>49205</v>
      </c>
      <c r="D2793" s="32" t="s">
        <v>87</v>
      </c>
      <c r="E2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4" spans="1:6" x14ac:dyDescent="0.35">
      <c r="A2794" s="3">
        <v>16564623802</v>
      </c>
      <c r="B2794" s="3">
        <v>173</v>
      </c>
      <c r="C2794" s="32">
        <v>49205</v>
      </c>
      <c r="D2794" s="32" t="s">
        <v>87</v>
      </c>
      <c r="E2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5" spans="1:6" x14ac:dyDescent="0.35">
      <c r="A2795" s="3">
        <v>16250473013</v>
      </c>
      <c r="B2795" s="3">
        <v>185</v>
      </c>
      <c r="C2795" s="32">
        <v>49205</v>
      </c>
      <c r="D2795" s="32" t="s">
        <v>87</v>
      </c>
      <c r="E2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6" spans="1:6" x14ac:dyDescent="0.35">
      <c r="A2796" s="3">
        <v>39989299147</v>
      </c>
      <c r="B2796" s="3">
        <v>192</v>
      </c>
      <c r="C2796" s="32">
        <v>49205</v>
      </c>
      <c r="D2796" s="32" t="s">
        <v>87</v>
      </c>
      <c r="E2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7" spans="1:6" x14ac:dyDescent="0.35">
      <c r="A2797" s="3">
        <v>58413275788</v>
      </c>
      <c r="B2797" s="3">
        <v>195</v>
      </c>
      <c r="C2797" s="32">
        <v>49205</v>
      </c>
      <c r="D2797" s="32" t="s">
        <v>87</v>
      </c>
      <c r="E2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8" spans="1:6" x14ac:dyDescent="0.35">
      <c r="A2798" s="3">
        <v>25900644665</v>
      </c>
      <c r="B2798" s="3">
        <v>197</v>
      </c>
      <c r="C2798" s="32">
        <v>49205</v>
      </c>
      <c r="D2798" s="32" t="s">
        <v>87</v>
      </c>
      <c r="E2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9" spans="1:6" x14ac:dyDescent="0.35">
      <c r="A2799" s="3">
        <v>88220286665</v>
      </c>
      <c r="B2799" s="3">
        <v>203</v>
      </c>
      <c r="C2799" s="32">
        <v>49205</v>
      </c>
      <c r="D2799" s="32">
        <v>49207</v>
      </c>
      <c r="E2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00" spans="1:6" x14ac:dyDescent="0.35">
      <c r="A2800" s="3">
        <v>96151605926</v>
      </c>
      <c r="B2800" s="3">
        <v>208</v>
      </c>
      <c r="C2800" s="32">
        <v>49205</v>
      </c>
      <c r="D2800" s="32" t="s">
        <v>87</v>
      </c>
      <c r="E2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1" spans="1:6" x14ac:dyDescent="0.35">
      <c r="A2801" s="3">
        <v>30201337372</v>
      </c>
      <c r="B2801" s="3">
        <v>241</v>
      </c>
      <c r="C2801" s="32">
        <v>49205</v>
      </c>
      <c r="D2801" s="32" t="s">
        <v>87</v>
      </c>
      <c r="E2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2" spans="1:6" x14ac:dyDescent="0.35">
      <c r="A2802" s="3">
        <v>25700099888</v>
      </c>
      <c r="B2802" s="3">
        <v>247</v>
      </c>
      <c r="C2802" s="32">
        <v>49205</v>
      </c>
      <c r="D2802" s="32" t="s">
        <v>87</v>
      </c>
      <c r="E2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3" spans="1:6" x14ac:dyDescent="0.35">
      <c r="A2803" s="3">
        <v>64182881281</v>
      </c>
      <c r="B2803" s="3">
        <v>248</v>
      </c>
      <c r="C2803" s="32">
        <v>49205</v>
      </c>
      <c r="D2803" s="32" t="s">
        <v>87</v>
      </c>
      <c r="E2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4" spans="1:6" x14ac:dyDescent="0.35">
      <c r="A2804" s="3">
        <v>60542397715</v>
      </c>
      <c r="B2804" s="3">
        <v>264</v>
      </c>
      <c r="C2804" s="32">
        <v>49205</v>
      </c>
      <c r="D2804" s="32" t="s">
        <v>87</v>
      </c>
      <c r="E2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5" spans="1:6" x14ac:dyDescent="0.35">
      <c r="A2805" s="3">
        <v>27715299470</v>
      </c>
      <c r="B2805" s="3">
        <v>280</v>
      </c>
      <c r="C2805" s="32">
        <v>49205</v>
      </c>
      <c r="D2805" s="32" t="s">
        <v>87</v>
      </c>
      <c r="E2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6" spans="1:6" x14ac:dyDescent="0.35">
      <c r="A2806" s="3">
        <v>70366085290</v>
      </c>
      <c r="B2806" s="3">
        <v>285</v>
      </c>
      <c r="C2806" s="32">
        <v>49205</v>
      </c>
      <c r="D2806" s="32" t="s">
        <v>87</v>
      </c>
      <c r="E2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7" spans="1:6" x14ac:dyDescent="0.35">
      <c r="A2807" s="3">
        <v>51029498243</v>
      </c>
      <c r="B2807" s="3">
        <v>286</v>
      </c>
      <c r="C2807" s="32">
        <v>49205</v>
      </c>
      <c r="D2807" s="32">
        <v>49292</v>
      </c>
      <c r="E2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08" spans="1:6" x14ac:dyDescent="0.35">
      <c r="A2808" s="3">
        <v>84700722164</v>
      </c>
      <c r="B2808" s="3">
        <v>309</v>
      </c>
      <c r="C2808" s="32">
        <v>49205</v>
      </c>
      <c r="D2808" s="32" t="s">
        <v>87</v>
      </c>
      <c r="E2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9" spans="1:6" x14ac:dyDescent="0.35">
      <c r="A2809" s="3">
        <v>63251970956</v>
      </c>
      <c r="B2809" s="3">
        <v>313</v>
      </c>
      <c r="C2809" s="32">
        <v>49205</v>
      </c>
      <c r="D2809" s="32" t="s">
        <v>87</v>
      </c>
      <c r="E2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0" spans="1:6" x14ac:dyDescent="0.35">
      <c r="A2810" s="3">
        <v>15937751591</v>
      </c>
      <c r="B2810" s="3">
        <v>320</v>
      </c>
      <c r="C2810" s="32">
        <v>49205</v>
      </c>
      <c r="D2810" s="32">
        <v>49251</v>
      </c>
      <c r="E2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811" spans="1:6" x14ac:dyDescent="0.35">
      <c r="A2811" s="3">
        <v>38852265577</v>
      </c>
      <c r="B2811" s="3">
        <v>335</v>
      </c>
      <c r="C2811" s="32">
        <v>49205</v>
      </c>
      <c r="D2811" s="32" t="s">
        <v>87</v>
      </c>
      <c r="E2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2" spans="1:6" x14ac:dyDescent="0.35">
      <c r="A2812" s="3">
        <v>44945552208</v>
      </c>
      <c r="B2812" s="3">
        <v>7</v>
      </c>
      <c r="C2812" s="32">
        <v>49206</v>
      </c>
      <c r="D2812" s="32">
        <v>49235</v>
      </c>
      <c r="E2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13" spans="1:6" x14ac:dyDescent="0.35">
      <c r="A2813" s="3">
        <v>82530531357</v>
      </c>
      <c r="B2813" s="3">
        <v>21</v>
      </c>
      <c r="C2813" s="32">
        <v>49206</v>
      </c>
      <c r="D2813" s="32" t="s">
        <v>87</v>
      </c>
      <c r="E2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4" spans="1:6" x14ac:dyDescent="0.35">
      <c r="A2814" s="3">
        <v>14288429567</v>
      </c>
      <c r="B2814" s="3">
        <v>35</v>
      </c>
      <c r="C2814" s="32">
        <v>49206</v>
      </c>
      <c r="D2814" s="32">
        <v>49301</v>
      </c>
      <c r="E2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15" spans="1:6" x14ac:dyDescent="0.35">
      <c r="A2815" s="3">
        <v>24210764116</v>
      </c>
      <c r="B2815" s="3">
        <v>54</v>
      </c>
      <c r="C2815" s="32">
        <v>49206</v>
      </c>
      <c r="D2815" s="32" t="s">
        <v>87</v>
      </c>
      <c r="E2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6" spans="1:6" x14ac:dyDescent="0.35">
      <c r="A2816" s="3">
        <v>24006418608</v>
      </c>
      <c r="B2816" s="3">
        <v>59</v>
      </c>
      <c r="C2816" s="32">
        <v>49206</v>
      </c>
      <c r="D2816" s="32" t="s">
        <v>87</v>
      </c>
      <c r="E2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7" spans="1:6" x14ac:dyDescent="0.35">
      <c r="A2817" s="3">
        <v>28817093909</v>
      </c>
      <c r="B2817" s="3">
        <v>67</v>
      </c>
      <c r="C2817" s="32">
        <v>49206</v>
      </c>
      <c r="D2817" s="32" t="s">
        <v>87</v>
      </c>
      <c r="E2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8" spans="1:6" x14ac:dyDescent="0.35">
      <c r="A2818" s="3">
        <v>97042837415</v>
      </c>
      <c r="B2818" s="3">
        <v>80</v>
      </c>
      <c r="C2818" s="32">
        <v>49206</v>
      </c>
      <c r="D2818" s="32" t="s">
        <v>87</v>
      </c>
      <c r="E2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9" spans="1:6" x14ac:dyDescent="0.35">
      <c r="A2819" s="3">
        <v>32437004077</v>
      </c>
      <c r="B2819" s="3">
        <v>81</v>
      </c>
      <c r="C2819" s="32">
        <v>49206</v>
      </c>
      <c r="D2819" s="32" t="s">
        <v>87</v>
      </c>
      <c r="E2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0" spans="1:6" x14ac:dyDescent="0.35">
      <c r="A2820" s="3">
        <v>58790932706</v>
      </c>
      <c r="B2820" s="3">
        <v>92</v>
      </c>
      <c r="C2820" s="32">
        <v>49206</v>
      </c>
      <c r="D2820" s="32" t="s">
        <v>87</v>
      </c>
      <c r="E2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1" spans="1:6" x14ac:dyDescent="0.35">
      <c r="A2821" s="3">
        <v>41211486546</v>
      </c>
      <c r="B2821" s="3">
        <v>98</v>
      </c>
      <c r="C2821" s="32">
        <v>49206</v>
      </c>
      <c r="D2821" s="32" t="s">
        <v>87</v>
      </c>
      <c r="E2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2" spans="1:6" x14ac:dyDescent="0.35">
      <c r="A2822" s="3">
        <v>12356928200</v>
      </c>
      <c r="B2822" s="3">
        <v>164</v>
      </c>
      <c r="C2822" s="32">
        <v>49206</v>
      </c>
      <c r="D2822" s="32">
        <v>49218</v>
      </c>
      <c r="E2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23" spans="1:6" x14ac:dyDescent="0.35">
      <c r="A2823" s="3">
        <v>49171671939</v>
      </c>
      <c r="B2823" s="3">
        <v>172</v>
      </c>
      <c r="C2823" s="32">
        <v>49206</v>
      </c>
      <c r="D2823" s="32" t="s">
        <v>87</v>
      </c>
      <c r="E2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4" spans="1:6" x14ac:dyDescent="0.35">
      <c r="A2824" s="3">
        <v>28904937031</v>
      </c>
      <c r="B2824" s="3">
        <v>174</v>
      </c>
      <c r="C2824" s="32">
        <v>49206</v>
      </c>
      <c r="D2824" s="32" t="s">
        <v>87</v>
      </c>
      <c r="E2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5" spans="1:6" x14ac:dyDescent="0.35">
      <c r="A2825" s="3">
        <v>21532430886</v>
      </c>
      <c r="B2825" s="3">
        <v>185</v>
      </c>
      <c r="C2825" s="32">
        <v>49206</v>
      </c>
      <c r="D2825" s="32" t="s">
        <v>87</v>
      </c>
      <c r="E2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6" spans="1:6" x14ac:dyDescent="0.35">
      <c r="A2826" s="3">
        <v>47263788650</v>
      </c>
      <c r="B2826" s="3">
        <v>190</v>
      </c>
      <c r="C2826" s="32">
        <v>49206</v>
      </c>
      <c r="D2826" s="32" t="s">
        <v>87</v>
      </c>
      <c r="E2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7" spans="1:6" x14ac:dyDescent="0.35">
      <c r="A2827" s="3">
        <v>17245192108</v>
      </c>
      <c r="B2827" s="3">
        <v>229</v>
      </c>
      <c r="C2827" s="32">
        <v>49206</v>
      </c>
      <c r="D2827" s="32">
        <v>49307</v>
      </c>
      <c r="E2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28" spans="1:6" x14ac:dyDescent="0.35">
      <c r="A2828" s="3">
        <v>68933489787</v>
      </c>
      <c r="B2828" s="3">
        <v>242</v>
      </c>
      <c r="C2828" s="32">
        <v>49206</v>
      </c>
      <c r="D2828" s="32" t="s">
        <v>87</v>
      </c>
      <c r="E2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9" spans="1:6" x14ac:dyDescent="0.35">
      <c r="A2829" s="3">
        <v>93257149993</v>
      </c>
      <c r="B2829" s="3">
        <v>243</v>
      </c>
      <c r="C2829" s="32">
        <v>49206</v>
      </c>
      <c r="D2829" s="32" t="s">
        <v>87</v>
      </c>
      <c r="E2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0" spans="1:6" x14ac:dyDescent="0.35">
      <c r="A2830" s="3">
        <v>99890275800</v>
      </c>
      <c r="B2830" s="3">
        <v>244</v>
      </c>
      <c r="C2830" s="32">
        <v>49206</v>
      </c>
      <c r="D2830" s="32" t="s">
        <v>87</v>
      </c>
      <c r="E2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1" spans="1:6" x14ac:dyDescent="0.35">
      <c r="A2831" s="3">
        <v>31755039776</v>
      </c>
      <c r="B2831" s="3">
        <v>244</v>
      </c>
      <c r="C2831" s="32">
        <v>49206</v>
      </c>
      <c r="D2831" s="32"/>
      <c r="E2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2" spans="1:6" x14ac:dyDescent="0.35">
      <c r="A2832" s="3">
        <v>55115214579</v>
      </c>
      <c r="B2832" s="3">
        <v>255</v>
      </c>
      <c r="C2832" s="32">
        <v>49206</v>
      </c>
      <c r="D2832" s="32" t="s">
        <v>87</v>
      </c>
      <c r="E2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3" spans="1:6" x14ac:dyDescent="0.35">
      <c r="A2833" s="3">
        <v>40545326946</v>
      </c>
      <c r="B2833" s="3">
        <v>269</v>
      </c>
      <c r="C2833" s="32">
        <v>49206</v>
      </c>
      <c r="D2833" s="32" t="s">
        <v>87</v>
      </c>
      <c r="E2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4" spans="1:6" x14ac:dyDescent="0.35">
      <c r="A2834" s="3">
        <v>87121270860</v>
      </c>
      <c r="B2834" s="3">
        <v>271</v>
      </c>
      <c r="C2834" s="32">
        <v>49206</v>
      </c>
      <c r="D2834" s="32" t="s">
        <v>87</v>
      </c>
      <c r="E2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5" spans="1:6" x14ac:dyDescent="0.35">
      <c r="A2835" s="3">
        <v>59256887885</v>
      </c>
      <c r="B2835" s="3">
        <v>275</v>
      </c>
      <c r="C2835" s="32">
        <v>49206</v>
      </c>
      <c r="D2835" s="32" t="s">
        <v>87</v>
      </c>
      <c r="E2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6" spans="1:6" x14ac:dyDescent="0.35">
      <c r="A2836" s="3">
        <v>35163671113</v>
      </c>
      <c r="B2836" s="3">
        <v>307</v>
      </c>
      <c r="C2836" s="32">
        <v>49206</v>
      </c>
      <c r="D2836" s="32" t="s">
        <v>87</v>
      </c>
      <c r="E2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7" spans="1:6" x14ac:dyDescent="0.35">
      <c r="A2837" s="3">
        <v>76420962885</v>
      </c>
      <c r="B2837" s="3">
        <v>62</v>
      </c>
      <c r="C2837" s="32">
        <v>49207</v>
      </c>
      <c r="D2837" s="32" t="s">
        <v>87</v>
      </c>
      <c r="E2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8" spans="1:6" x14ac:dyDescent="0.35">
      <c r="A2838" s="3">
        <v>99979112639</v>
      </c>
      <c r="B2838" s="3">
        <v>78</v>
      </c>
      <c r="C2838" s="32">
        <v>49207</v>
      </c>
      <c r="D2838" s="32" t="s">
        <v>87</v>
      </c>
      <c r="E2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9" spans="1:6" x14ac:dyDescent="0.35">
      <c r="A2839" s="3">
        <v>54228949570</v>
      </c>
      <c r="B2839" s="3">
        <v>86</v>
      </c>
      <c r="C2839" s="32">
        <v>49207</v>
      </c>
      <c r="D2839" s="32">
        <v>49294</v>
      </c>
      <c r="E2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40" spans="1:6" x14ac:dyDescent="0.35">
      <c r="A2840" s="3">
        <v>85160761535</v>
      </c>
      <c r="B2840" s="3">
        <v>109</v>
      </c>
      <c r="C2840" s="32">
        <v>49207</v>
      </c>
      <c r="D2840" s="32">
        <v>49214</v>
      </c>
      <c r="E2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41" spans="1:6" x14ac:dyDescent="0.35">
      <c r="A2841" s="3">
        <v>56907084086</v>
      </c>
      <c r="B2841" s="3">
        <v>116</v>
      </c>
      <c r="C2841" s="32">
        <v>49207</v>
      </c>
      <c r="D2841" s="32" t="s">
        <v>87</v>
      </c>
      <c r="E2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2" spans="1:6" x14ac:dyDescent="0.35">
      <c r="A2842" s="3">
        <v>51167971393</v>
      </c>
      <c r="B2842" s="3">
        <v>148</v>
      </c>
      <c r="C2842" s="32">
        <v>49207</v>
      </c>
      <c r="D2842" s="32" t="s">
        <v>87</v>
      </c>
      <c r="E2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3" spans="1:6" x14ac:dyDescent="0.35">
      <c r="A2843" s="3">
        <v>54864938285</v>
      </c>
      <c r="B2843" s="3">
        <v>171</v>
      </c>
      <c r="C2843" s="32">
        <v>49207</v>
      </c>
      <c r="D2843" s="32"/>
      <c r="E2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4" spans="1:6" x14ac:dyDescent="0.35">
      <c r="A2844" s="3">
        <v>60669708330</v>
      </c>
      <c r="B2844" s="3">
        <v>172</v>
      </c>
      <c r="C2844" s="32">
        <v>49207</v>
      </c>
      <c r="D2844" s="32" t="s">
        <v>87</v>
      </c>
      <c r="E2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5" spans="1:6" x14ac:dyDescent="0.35">
      <c r="A2845" s="3">
        <v>49282557595</v>
      </c>
      <c r="B2845" s="3">
        <v>191</v>
      </c>
      <c r="C2845" s="32">
        <v>49207</v>
      </c>
      <c r="D2845" s="32" t="s">
        <v>87</v>
      </c>
      <c r="E2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6" spans="1:6" x14ac:dyDescent="0.35">
      <c r="A2846" s="3">
        <v>29439849195</v>
      </c>
      <c r="B2846" s="3">
        <v>224</v>
      </c>
      <c r="C2846" s="32">
        <v>49207</v>
      </c>
      <c r="D2846" s="32" t="s">
        <v>87</v>
      </c>
      <c r="E2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7" spans="1:6" x14ac:dyDescent="0.35">
      <c r="A2847" s="3">
        <v>93061969585</v>
      </c>
      <c r="B2847" s="3">
        <v>225</v>
      </c>
      <c r="C2847" s="32">
        <v>49207</v>
      </c>
      <c r="D2847" s="32">
        <v>49248</v>
      </c>
      <c r="E2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48" spans="1:6" x14ac:dyDescent="0.35">
      <c r="A2848" s="3">
        <v>20257499289</v>
      </c>
      <c r="B2848" s="3">
        <v>232</v>
      </c>
      <c r="C2848" s="32">
        <v>49207</v>
      </c>
      <c r="D2848" s="32" t="s">
        <v>87</v>
      </c>
      <c r="E2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9" spans="1:6" x14ac:dyDescent="0.35">
      <c r="A2849" s="3">
        <v>60612227419</v>
      </c>
      <c r="B2849" s="3">
        <v>243</v>
      </c>
      <c r="C2849" s="32">
        <v>49207</v>
      </c>
      <c r="D2849" s="32" t="s">
        <v>87</v>
      </c>
      <c r="E2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0" spans="1:6" x14ac:dyDescent="0.35">
      <c r="A2850" s="3">
        <v>72135182029</v>
      </c>
      <c r="B2850" s="3">
        <v>252</v>
      </c>
      <c r="C2850" s="32">
        <v>49207</v>
      </c>
      <c r="D2850" s="32" t="s">
        <v>87</v>
      </c>
      <c r="E2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1" spans="1:6" x14ac:dyDescent="0.35">
      <c r="A2851" s="3">
        <v>30430204993</v>
      </c>
      <c r="B2851" s="3">
        <v>254</v>
      </c>
      <c r="C2851" s="32">
        <v>49207</v>
      </c>
      <c r="D2851" s="32" t="s">
        <v>87</v>
      </c>
      <c r="E2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2" spans="1:6" x14ac:dyDescent="0.35">
      <c r="A2852" s="3">
        <v>54573362989</v>
      </c>
      <c r="B2852" s="3">
        <v>265</v>
      </c>
      <c r="C2852" s="32">
        <v>49207</v>
      </c>
      <c r="D2852" s="32" t="s">
        <v>87</v>
      </c>
      <c r="E2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3" spans="1:6" x14ac:dyDescent="0.35">
      <c r="A2853" s="3">
        <v>43919392530</v>
      </c>
      <c r="B2853" s="3">
        <v>268</v>
      </c>
      <c r="C2853" s="32">
        <v>49207</v>
      </c>
      <c r="D2853" s="32" t="s">
        <v>87</v>
      </c>
      <c r="E2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4" spans="1:6" x14ac:dyDescent="0.35">
      <c r="A2854" s="3">
        <v>29143798593</v>
      </c>
      <c r="B2854" s="3">
        <v>276</v>
      </c>
      <c r="C2854" s="32">
        <v>49207</v>
      </c>
      <c r="D2854" s="32" t="s">
        <v>87</v>
      </c>
      <c r="E2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5" spans="1:6" x14ac:dyDescent="0.35">
      <c r="A2855" s="3">
        <v>53121244224</v>
      </c>
      <c r="B2855" s="3">
        <v>278</v>
      </c>
      <c r="C2855" s="32">
        <v>49207</v>
      </c>
      <c r="D2855" s="32">
        <v>49210</v>
      </c>
      <c r="E2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56" spans="1:6" x14ac:dyDescent="0.35">
      <c r="A2856" s="3">
        <v>76866960495</v>
      </c>
      <c r="B2856" s="3">
        <v>300</v>
      </c>
      <c r="C2856" s="32">
        <v>49207</v>
      </c>
      <c r="D2856" s="32" t="s">
        <v>87</v>
      </c>
      <c r="E2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7" spans="1:6" x14ac:dyDescent="0.35">
      <c r="A2857" s="3">
        <v>44511960295</v>
      </c>
      <c r="B2857" s="3">
        <v>326</v>
      </c>
      <c r="C2857" s="32">
        <v>49207</v>
      </c>
      <c r="D2857" s="32" t="s">
        <v>87</v>
      </c>
      <c r="E2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8" spans="1:6" x14ac:dyDescent="0.35">
      <c r="A2858" s="3">
        <v>17873959272</v>
      </c>
      <c r="B2858" s="3">
        <v>340</v>
      </c>
      <c r="C2858" s="32">
        <v>49207</v>
      </c>
      <c r="D2858" s="32" t="s">
        <v>87</v>
      </c>
      <c r="E2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9" spans="1:6" x14ac:dyDescent="0.35">
      <c r="A2859" s="3">
        <v>50569829277</v>
      </c>
      <c r="B2859" s="3">
        <v>23</v>
      </c>
      <c r="C2859" s="32">
        <v>49208</v>
      </c>
      <c r="D2859" s="32">
        <v>49212</v>
      </c>
      <c r="E2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60" spans="1:6" x14ac:dyDescent="0.35">
      <c r="A2860" s="3">
        <v>78006314519</v>
      </c>
      <c r="B2860" s="3">
        <v>71</v>
      </c>
      <c r="C2860" s="32">
        <v>49208</v>
      </c>
      <c r="D2860" s="32" t="s">
        <v>87</v>
      </c>
      <c r="E2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1" spans="1:6" x14ac:dyDescent="0.35">
      <c r="A2861" s="3">
        <v>92592685669</v>
      </c>
      <c r="B2861" s="3">
        <v>82</v>
      </c>
      <c r="C2861" s="32">
        <v>49208</v>
      </c>
      <c r="D2861" s="32" t="s">
        <v>87</v>
      </c>
      <c r="E2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2" spans="1:6" x14ac:dyDescent="0.35">
      <c r="A2862" s="3">
        <v>50652919886</v>
      </c>
      <c r="B2862" s="3">
        <v>87</v>
      </c>
      <c r="C2862" s="32">
        <v>49208</v>
      </c>
      <c r="D2862" s="32" t="s">
        <v>87</v>
      </c>
      <c r="E2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3" spans="1:6" x14ac:dyDescent="0.35">
      <c r="A2863" s="3">
        <v>56507799231</v>
      </c>
      <c r="B2863" s="3">
        <v>117</v>
      </c>
      <c r="C2863" s="32">
        <v>49208</v>
      </c>
      <c r="D2863" s="32">
        <v>49236</v>
      </c>
      <c r="E2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64" spans="1:6" x14ac:dyDescent="0.35">
      <c r="A2864" s="3">
        <v>29926898065</v>
      </c>
      <c r="B2864" s="3">
        <v>148</v>
      </c>
      <c r="C2864" s="32">
        <v>49208</v>
      </c>
      <c r="D2864" s="32">
        <v>49211</v>
      </c>
      <c r="E2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65" spans="1:6" x14ac:dyDescent="0.35">
      <c r="A2865" s="3">
        <v>49413451509</v>
      </c>
      <c r="B2865" s="3">
        <v>178</v>
      </c>
      <c r="C2865" s="32">
        <v>49208</v>
      </c>
      <c r="D2865" s="32">
        <v>49239</v>
      </c>
      <c r="E2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66" spans="1:6" x14ac:dyDescent="0.35">
      <c r="A2866" s="3">
        <v>77416880949</v>
      </c>
      <c r="B2866" s="3">
        <v>187</v>
      </c>
      <c r="C2866" s="32">
        <v>49208</v>
      </c>
      <c r="D2866" s="32" t="s">
        <v>87</v>
      </c>
      <c r="E2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7" spans="1:6" x14ac:dyDescent="0.35">
      <c r="A2867" s="3">
        <v>29146680339</v>
      </c>
      <c r="B2867" s="3">
        <v>208</v>
      </c>
      <c r="C2867" s="32">
        <v>49208</v>
      </c>
      <c r="D2867" s="32" t="s">
        <v>87</v>
      </c>
      <c r="E2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8" spans="1:6" x14ac:dyDescent="0.35">
      <c r="A2868" s="3">
        <v>87191988372</v>
      </c>
      <c r="B2868" s="3">
        <v>217</v>
      </c>
      <c r="C2868" s="32">
        <v>49208</v>
      </c>
      <c r="D2868" s="32" t="s">
        <v>87</v>
      </c>
      <c r="E2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9" spans="1:6" x14ac:dyDescent="0.35">
      <c r="A2869" s="3">
        <v>29565368139</v>
      </c>
      <c r="B2869" s="3">
        <v>227</v>
      </c>
      <c r="C2869" s="32">
        <v>49208</v>
      </c>
      <c r="D2869" s="32" t="s">
        <v>87</v>
      </c>
      <c r="E2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0" spans="1:6" x14ac:dyDescent="0.35">
      <c r="A2870" s="3">
        <v>89144613779</v>
      </c>
      <c r="B2870" s="3">
        <v>229</v>
      </c>
      <c r="C2870" s="32">
        <v>49208</v>
      </c>
      <c r="D2870" s="32" t="s">
        <v>87</v>
      </c>
      <c r="E2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1" spans="1:6" x14ac:dyDescent="0.35">
      <c r="A2871" s="3">
        <v>15410416717</v>
      </c>
      <c r="B2871" s="3">
        <v>269</v>
      </c>
      <c r="C2871" s="32">
        <v>49208</v>
      </c>
      <c r="D2871" s="32">
        <v>49324</v>
      </c>
      <c r="E2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872" spans="1:6" x14ac:dyDescent="0.35">
      <c r="A2872" s="3">
        <v>36305011983</v>
      </c>
      <c r="B2872" s="3">
        <v>270</v>
      </c>
      <c r="C2872" s="32">
        <v>49208</v>
      </c>
      <c r="D2872" s="32"/>
      <c r="E2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3" spans="1:6" x14ac:dyDescent="0.35">
      <c r="A2873" s="3">
        <v>75848679918</v>
      </c>
      <c r="B2873" s="3">
        <v>273</v>
      </c>
      <c r="C2873" s="32">
        <v>49208</v>
      </c>
      <c r="D2873" s="32">
        <v>49227</v>
      </c>
      <c r="E2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74" spans="1:6" x14ac:dyDescent="0.35">
      <c r="A2874" s="3">
        <v>60712207566</v>
      </c>
      <c r="B2874" s="3">
        <v>287</v>
      </c>
      <c r="C2874" s="32">
        <v>49208</v>
      </c>
      <c r="D2874" s="32" t="s">
        <v>87</v>
      </c>
      <c r="E2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5" spans="1:6" x14ac:dyDescent="0.35">
      <c r="A2875" s="3">
        <v>72482503654</v>
      </c>
      <c r="B2875" s="3">
        <v>289</v>
      </c>
      <c r="C2875" s="32">
        <v>49208</v>
      </c>
      <c r="D2875" s="32" t="s">
        <v>87</v>
      </c>
      <c r="E2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6" spans="1:6" x14ac:dyDescent="0.35">
      <c r="A2876" s="3">
        <v>22809644187</v>
      </c>
      <c r="B2876" s="3">
        <v>303</v>
      </c>
      <c r="C2876" s="32">
        <v>49208</v>
      </c>
      <c r="D2876" s="32" t="s">
        <v>87</v>
      </c>
      <c r="E2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7" spans="1:6" x14ac:dyDescent="0.35">
      <c r="A2877" s="3">
        <v>24438633868</v>
      </c>
      <c r="B2877" s="3">
        <v>306</v>
      </c>
      <c r="C2877" s="32">
        <v>49208</v>
      </c>
      <c r="D2877" s="32" t="s">
        <v>87</v>
      </c>
      <c r="E2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8" spans="1:6" x14ac:dyDescent="0.35">
      <c r="A2878" s="3">
        <v>93682113711</v>
      </c>
      <c r="B2878" s="3">
        <v>306</v>
      </c>
      <c r="C2878" s="32">
        <v>49208</v>
      </c>
      <c r="D2878" s="32">
        <v>49292</v>
      </c>
      <c r="E2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79" spans="1:6" x14ac:dyDescent="0.35">
      <c r="A2879" s="3">
        <v>78556570896</v>
      </c>
      <c r="B2879" s="3">
        <v>320</v>
      </c>
      <c r="C2879" s="32">
        <v>49208</v>
      </c>
      <c r="D2879" s="32"/>
      <c r="E2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0" spans="1:6" x14ac:dyDescent="0.35">
      <c r="A2880" s="3">
        <v>75075792319</v>
      </c>
      <c r="B2880" s="3">
        <v>336</v>
      </c>
      <c r="C2880" s="32">
        <v>49208</v>
      </c>
      <c r="D2880" s="32"/>
      <c r="E2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1" spans="1:6" x14ac:dyDescent="0.35">
      <c r="A2881" s="3">
        <v>95652020915</v>
      </c>
      <c r="B2881" s="3">
        <v>0</v>
      </c>
      <c r="C2881" s="32">
        <v>49209</v>
      </c>
      <c r="D2881" s="32">
        <v>49309</v>
      </c>
      <c r="E2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82" spans="1:6" x14ac:dyDescent="0.35">
      <c r="A2882" s="3">
        <v>56001615502</v>
      </c>
      <c r="B2882" s="3">
        <v>18</v>
      </c>
      <c r="C2882" s="32">
        <v>49209</v>
      </c>
      <c r="D2882" s="32">
        <v>49310</v>
      </c>
      <c r="E2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883" spans="1:6" x14ac:dyDescent="0.35">
      <c r="A2883" s="3">
        <v>40131634086</v>
      </c>
      <c r="B2883" s="3">
        <v>29</v>
      </c>
      <c r="C2883" s="32">
        <v>49209</v>
      </c>
      <c r="D2883" s="32" t="s">
        <v>87</v>
      </c>
      <c r="E2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4" spans="1:6" x14ac:dyDescent="0.35">
      <c r="A2884" s="3">
        <v>51718627818</v>
      </c>
      <c r="B2884" s="3">
        <v>31</v>
      </c>
      <c r="C2884" s="32">
        <v>49209</v>
      </c>
      <c r="D2884" s="32" t="s">
        <v>87</v>
      </c>
      <c r="E2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5" spans="1:6" x14ac:dyDescent="0.35">
      <c r="A2885" s="3">
        <v>49043840719</v>
      </c>
      <c r="B2885" s="3">
        <v>57</v>
      </c>
      <c r="C2885" s="32">
        <v>49209</v>
      </c>
      <c r="D2885" s="32" t="s">
        <v>87</v>
      </c>
      <c r="E2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6" spans="1:6" x14ac:dyDescent="0.35">
      <c r="A2886" s="3">
        <v>23028080944</v>
      </c>
      <c r="B2886" s="3">
        <v>71</v>
      </c>
      <c r="C2886" s="32">
        <v>49209</v>
      </c>
      <c r="D2886" s="32" t="s">
        <v>87</v>
      </c>
      <c r="E2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7" spans="1:6" x14ac:dyDescent="0.35">
      <c r="A2887" s="3">
        <v>35091198884</v>
      </c>
      <c r="B2887" s="3">
        <v>84</v>
      </c>
      <c r="C2887" s="32">
        <v>49209</v>
      </c>
      <c r="D2887" s="32" t="s">
        <v>87</v>
      </c>
      <c r="E2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8" spans="1:6" x14ac:dyDescent="0.35">
      <c r="A2888" s="3">
        <v>52651187834</v>
      </c>
      <c r="B2888" s="3">
        <v>85</v>
      </c>
      <c r="C2888" s="32">
        <v>49209</v>
      </c>
      <c r="D2888" s="32" t="s">
        <v>87</v>
      </c>
      <c r="E2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9" spans="1:6" x14ac:dyDescent="0.35">
      <c r="A2889" s="3">
        <v>13793121804</v>
      </c>
      <c r="B2889" s="3">
        <v>105</v>
      </c>
      <c r="C2889" s="32">
        <v>49209</v>
      </c>
      <c r="D2889" s="32" t="s">
        <v>87</v>
      </c>
      <c r="E2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0" spans="1:6" x14ac:dyDescent="0.35">
      <c r="A2890" s="3">
        <v>27800819303</v>
      </c>
      <c r="B2890" s="3">
        <v>132</v>
      </c>
      <c r="C2890" s="32">
        <v>49209</v>
      </c>
      <c r="D2890" s="32" t="s">
        <v>87</v>
      </c>
      <c r="E2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1" spans="1:6" x14ac:dyDescent="0.35">
      <c r="A2891" s="3">
        <v>81399241726</v>
      </c>
      <c r="B2891" s="3">
        <v>172</v>
      </c>
      <c r="C2891" s="32">
        <v>49209</v>
      </c>
      <c r="D2891" s="32" t="s">
        <v>87</v>
      </c>
      <c r="E2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2" spans="1:6" x14ac:dyDescent="0.35">
      <c r="A2892" s="3">
        <v>38250035509</v>
      </c>
      <c r="B2892" s="3">
        <v>174</v>
      </c>
      <c r="C2892" s="32">
        <v>49209</v>
      </c>
      <c r="D2892" s="32" t="s">
        <v>87</v>
      </c>
      <c r="E2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3" spans="1:6" x14ac:dyDescent="0.35">
      <c r="A2893" s="3">
        <v>25835472248</v>
      </c>
      <c r="B2893" s="3">
        <v>187</v>
      </c>
      <c r="C2893" s="32">
        <v>49209</v>
      </c>
      <c r="D2893" s="32" t="s">
        <v>87</v>
      </c>
      <c r="E2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4" spans="1:6" x14ac:dyDescent="0.35">
      <c r="A2894" s="3">
        <v>97164253437</v>
      </c>
      <c r="B2894" s="3">
        <v>188</v>
      </c>
      <c r="C2894" s="32">
        <v>49209</v>
      </c>
      <c r="D2894" s="32" t="s">
        <v>87</v>
      </c>
      <c r="E2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5" spans="1:6" x14ac:dyDescent="0.35">
      <c r="A2895" s="3">
        <v>88175439020</v>
      </c>
      <c r="B2895" s="3">
        <v>191</v>
      </c>
      <c r="C2895" s="32">
        <v>49209</v>
      </c>
      <c r="D2895" s="32" t="s">
        <v>87</v>
      </c>
      <c r="E2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6" spans="1:6" x14ac:dyDescent="0.35">
      <c r="A2896" s="3">
        <v>44988024764</v>
      </c>
      <c r="B2896" s="3">
        <v>197</v>
      </c>
      <c r="C2896" s="32">
        <v>49209</v>
      </c>
      <c r="D2896" s="32"/>
      <c r="E2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7" spans="1:6" x14ac:dyDescent="0.35">
      <c r="A2897" s="3">
        <v>29271982382</v>
      </c>
      <c r="B2897" s="3">
        <v>216</v>
      </c>
      <c r="C2897" s="32">
        <v>49209</v>
      </c>
      <c r="D2897" s="32">
        <v>49279</v>
      </c>
      <c r="E2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98" spans="1:6" x14ac:dyDescent="0.35">
      <c r="A2898" s="3">
        <v>72685225186</v>
      </c>
      <c r="B2898" s="3">
        <v>216</v>
      </c>
      <c r="C2898" s="32">
        <v>49209</v>
      </c>
      <c r="D2898" s="32" t="s">
        <v>87</v>
      </c>
      <c r="E2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9" spans="1:6" x14ac:dyDescent="0.35">
      <c r="A2899" s="3">
        <v>79844090248</v>
      </c>
      <c r="B2899" s="3">
        <v>217</v>
      </c>
      <c r="C2899" s="32">
        <v>49209</v>
      </c>
      <c r="D2899" s="32" t="s">
        <v>87</v>
      </c>
      <c r="E2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0" spans="1:6" x14ac:dyDescent="0.35">
      <c r="A2900" s="3">
        <v>17827544665</v>
      </c>
      <c r="B2900" s="3">
        <v>239</v>
      </c>
      <c r="C2900" s="32">
        <v>49209</v>
      </c>
      <c r="D2900" s="32" t="s">
        <v>87</v>
      </c>
      <c r="E2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1" spans="1:6" x14ac:dyDescent="0.35">
      <c r="A2901" s="3">
        <v>13435506342</v>
      </c>
      <c r="B2901" s="3">
        <v>250</v>
      </c>
      <c r="C2901" s="32">
        <v>49209</v>
      </c>
      <c r="D2901" s="32" t="s">
        <v>87</v>
      </c>
      <c r="E2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2" spans="1:6" x14ac:dyDescent="0.35">
      <c r="A2902" s="3">
        <v>82542844736</v>
      </c>
      <c r="B2902" s="3">
        <v>250</v>
      </c>
      <c r="C2902" s="32">
        <v>49209</v>
      </c>
      <c r="D2902" s="32" t="s">
        <v>87</v>
      </c>
      <c r="E2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3" spans="1:6" x14ac:dyDescent="0.35">
      <c r="A2903" s="3">
        <v>62119167337</v>
      </c>
      <c r="B2903" s="3">
        <v>276</v>
      </c>
      <c r="C2903" s="32">
        <v>49209</v>
      </c>
      <c r="D2903" s="32" t="s">
        <v>87</v>
      </c>
      <c r="E2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4" spans="1:6" x14ac:dyDescent="0.35">
      <c r="A2904" s="3">
        <v>56107798372</v>
      </c>
      <c r="B2904" s="3">
        <v>287</v>
      </c>
      <c r="C2904" s="32">
        <v>49209</v>
      </c>
      <c r="D2904" s="32" t="s">
        <v>87</v>
      </c>
      <c r="E2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5" spans="1:6" x14ac:dyDescent="0.35">
      <c r="A2905" s="3">
        <v>50900477821</v>
      </c>
      <c r="B2905" s="3">
        <v>292</v>
      </c>
      <c r="C2905" s="32">
        <v>49209</v>
      </c>
      <c r="D2905" s="32" t="s">
        <v>87</v>
      </c>
      <c r="E2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6" spans="1:6" x14ac:dyDescent="0.35">
      <c r="A2906" s="3">
        <v>31105896183</v>
      </c>
      <c r="B2906" s="3">
        <v>4</v>
      </c>
      <c r="C2906" s="32">
        <v>49210</v>
      </c>
      <c r="D2906" s="32" t="s">
        <v>87</v>
      </c>
      <c r="E2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7" spans="1:6" x14ac:dyDescent="0.35">
      <c r="A2907" s="3">
        <v>73488082934</v>
      </c>
      <c r="B2907" s="3">
        <v>29</v>
      </c>
      <c r="C2907" s="32">
        <v>49210</v>
      </c>
      <c r="D2907" s="32" t="s">
        <v>87</v>
      </c>
      <c r="E2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8" spans="1:6" x14ac:dyDescent="0.35">
      <c r="A2908" s="3">
        <v>30047285700</v>
      </c>
      <c r="B2908" s="3">
        <v>55</v>
      </c>
      <c r="C2908" s="32">
        <v>49210</v>
      </c>
      <c r="D2908" s="32" t="s">
        <v>87</v>
      </c>
      <c r="E2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9" spans="1:6" x14ac:dyDescent="0.35">
      <c r="A2909" s="3">
        <v>59709561393</v>
      </c>
      <c r="B2909" s="3">
        <v>59</v>
      </c>
      <c r="C2909" s="32">
        <v>49210</v>
      </c>
      <c r="D2909" s="32" t="s">
        <v>87</v>
      </c>
      <c r="E2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0" spans="1:6" x14ac:dyDescent="0.35">
      <c r="A2910" s="3">
        <v>71297580862</v>
      </c>
      <c r="B2910" s="3">
        <v>89</v>
      </c>
      <c r="C2910" s="32">
        <v>49210</v>
      </c>
      <c r="D2910" s="32" t="s">
        <v>87</v>
      </c>
      <c r="E2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1" spans="1:6" x14ac:dyDescent="0.35">
      <c r="A2911" s="3">
        <v>23678282244</v>
      </c>
      <c r="B2911" s="3">
        <v>101</v>
      </c>
      <c r="C2911" s="32">
        <v>49210</v>
      </c>
      <c r="D2911" s="32" t="s">
        <v>87</v>
      </c>
      <c r="E2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2" spans="1:6" x14ac:dyDescent="0.35">
      <c r="A2912" s="3">
        <v>53754036764</v>
      </c>
      <c r="B2912" s="3">
        <v>118</v>
      </c>
      <c r="C2912" s="32">
        <v>49210</v>
      </c>
      <c r="D2912" s="32" t="s">
        <v>87</v>
      </c>
      <c r="E2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3" spans="1:6" x14ac:dyDescent="0.35">
      <c r="A2913" s="3">
        <v>63088818351</v>
      </c>
      <c r="B2913" s="3">
        <v>142</v>
      </c>
      <c r="C2913" s="32">
        <v>49210</v>
      </c>
      <c r="D2913" s="32" t="s">
        <v>87</v>
      </c>
      <c r="E2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4" spans="1:6" x14ac:dyDescent="0.35">
      <c r="A2914" s="3">
        <v>23760224761</v>
      </c>
      <c r="B2914" s="3">
        <v>147</v>
      </c>
      <c r="C2914" s="32">
        <v>49210</v>
      </c>
      <c r="D2914" s="32">
        <v>49303</v>
      </c>
      <c r="E2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15" spans="1:6" x14ac:dyDescent="0.35">
      <c r="A2915" s="3">
        <v>52663454196</v>
      </c>
      <c r="B2915" s="3">
        <v>175</v>
      </c>
      <c r="C2915" s="32">
        <v>49210</v>
      </c>
      <c r="D2915" s="32" t="s">
        <v>87</v>
      </c>
      <c r="E2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6" spans="1:6" x14ac:dyDescent="0.35">
      <c r="A2916" s="3">
        <v>58886844614</v>
      </c>
      <c r="B2916" s="3">
        <v>179</v>
      </c>
      <c r="C2916" s="32">
        <v>49210</v>
      </c>
      <c r="D2916" s="32" t="s">
        <v>87</v>
      </c>
      <c r="E2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7" spans="1:6" x14ac:dyDescent="0.35">
      <c r="A2917" s="3">
        <v>25219857825</v>
      </c>
      <c r="B2917" s="3">
        <v>216</v>
      </c>
      <c r="C2917" s="32">
        <v>49210</v>
      </c>
      <c r="D2917" s="32" t="s">
        <v>87</v>
      </c>
      <c r="E2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8" spans="1:6" x14ac:dyDescent="0.35">
      <c r="A2918" s="3">
        <v>44609694512</v>
      </c>
      <c r="B2918" s="3">
        <v>233</v>
      </c>
      <c r="C2918" s="32">
        <v>49210</v>
      </c>
      <c r="D2918" s="32" t="s">
        <v>87</v>
      </c>
      <c r="E2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9" spans="1:6" x14ac:dyDescent="0.35">
      <c r="A2919" s="3">
        <v>48877045471</v>
      </c>
      <c r="B2919" s="3">
        <v>256</v>
      </c>
      <c r="C2919" s="32">
        <v>49210</v>
      </c>
      <c r="D2919" s="32">
        <v>49221</v>
      </c>
      <c r="E2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20" spans="1:6" x14ac:dyDescent="0.35">
      <c r="A2920" s="3">
        <v>95053738513</v>
      </c>
      <c r="B2920" s="3">
        <v>267</v>
      </c>
      <c r="C2920" s="32">
        <v>49210</v>
      </c>
      <c r="D2920" s="32" t="s">
        <v>87</v>
      </c>
      <c r="E2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1" spans="1:6" x14ac:dyDescent="0.35">
      <c r="A2921" s="3">
        <v>87982569543</v>
      </c>
      <c r="B2921" s="3">
        <v>273</v>
      </c>
      <c r="C2921" s="32">
        <v>49210</v>
      </c>
      <c r="D2921" s="32" t="s">
        <v>87</v>
      </c>
      <c r="E2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2" spans="1:6" x14ac:dyDescent="0.35">
      <c r="A2922" s="3">
        <v>99307843985</v>
      </c>
      <c r="B2922" s="3">
        <v>276</v>
      </c>
      <c r="C2922" s="32">
        <v>49210</v>
      </c>
      <c r="D2922" s="32" t="s">
        <v>87</v>
      </c>
      <c r="E2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3" spans="1:6" x14ac:dyDescent="0.35">
      <c r="A2923" s="3">
        <v>65465561707</v>
      </c>
      <c r="B2923" s="3">
        <v>276</v>
      </c>
      <c r="C2923" s="32">
        <v>49210</v>
      </c>
      <c r="D2923" s="32" t="s">
        <v>87</v>
      </c>
      <c r="E2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4" spans="1:6" x14ac:dyDescent="0.35">
      <c r="A2924" s="3">
        <v>84795330890</v>
      </c>
      <c r="B2924" s="3">
        <v>297</v>
      </c>
      <c r="C2924" s="32">
        <v>49210</v>
      </c>
      <c r="D2924" s="32" t="s">
        <v>87</v>
      </c>
      <c r="E2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5" spans="1:6" x14ac:dyDescent="0.35">
      <c r="A2925" s="3">
        <v>88107144600</v>
      </c>
      <c r="B2925" s="3">
        <v>328</v>
      </c>
      <c r="C2925" s="32">
        <v>49210</v>
      </c>
      <c r="D2925" s="32" t="s">
        <v>87</v>
      </c>
      <c r="E2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6" spans="1:6" x14ac:dyDescent="0.35">
      <c r="A2926" s="3">
        <v>55986579079</v>
      </c>
      <c r="B2926" s="3">
        <v>338</v>
      </c>
      <c r="C2926" s="32">
        <v>49210</v>
      </c>
      <c r="D2926" s="32" t="s">
        <v>87</v>
      </c>
      <c r="E2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7" spans="1:6" x14ac:dyDescent="0.35">
      <c r="A2927" s="3">
        <v>37029933294</v>
      </c>
      <c r="B2927" s="3">
        <v>16</v>
      </c>
      <c r="C2927" s="32">
        <v>49211</v>
      </c>
      <c r="D2927" s="32" t="s">
        <v>87</v>
      </c>
      <c r="E2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8" spans="1:6" x14ac:dyDescent="0.35">
      <c r="A2928" s="3">
        <v>31053307624</v>
      </c>
      <c r="B2928" s="3">
        <v>41</v>
      </c>
      <c r="C2928" s="32">
        <v>49211</v>
      </c>
      <c r="D2928" s="32" t="s">
        <v>87</v>
      </c>
      <c r="E2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9" spans="1:6" x14ac:dyDescent="0.35">
      <c r="A2929" s="3">
        <v>85303482423</v>
      </c>
      <c r="B2929" s="3">
        <v>50</v>
      </c>
      <c r="C2929" s="32">
        <v>49211</v>
      </c>
      <c r="D2929" s="32" t="s">
        <v>87</v>
      </c>
      <c r="E2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0" spans="1:6" x14ac:dyDescent="0.35">
      <c r="A2930" s="3">
        <v>21457725341</v>
      </c>
      <c r="B2930" s="3">
        <v>56</v>
      </c>
      <c r="C2930" s="32">
        <v>49211</v>
      </c>
      <c r="D2930" s="32">
        <v>49323</v>
      </c>
      <c r="E2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31" spans="1:6" x14ac:dyDescent="0.35">
      <c r="A2931" s="3">
        <v>11634499493</v>
      </c>
      <c r="B2931" s="3">
        <v>62</v>
      </c>
      <c r="C2931" s="32">
        <v>49211</v>
      </c>
      <c r="D2931" s="32">
        <v>49306</v>
      </c>
      <c r="E2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32" spans="1:6" x14ac:dyDescent="0.35">
      <c r="A2932" s="3">
        <v>29162271193</v>
      </c>
      <c r="B2932" s="3">
        <v>99</v>
      </c>
      <c r="C2932" s="32">
        <v>49211</v>
      </c>
      <c r="D2932" s="32">
        <v>49226</v>
      </c>
      <c r="E2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33" spans="1:6" x14ac:dyDescent="0.35">
      <c r="A2933" s="3">
        <v>93573325451</v>
      </c>
      <c r="B2933" s="3">
        <v>101</v>
      </c>
      <c r="C2933" s="32">
        <v>49211</v>
      </c>
      <c r="D2933" s="32" t="s">
        <v>87</v>
      </c>
      <c r="E2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4" spans="1:6" x14ac:dyDescent="0.35">
      <c r="A2934" s="3">
        <v>47367884675</v>
      </c>
      <c r="B2934" s="3">
        <v>111</v>
      </c>
      <c r="C2934" s="32">
        <v>49211</v>
      </c>
      <c r="D2934" s="32" t="s">
        <v>87</v>
      </c>
      <c r="E2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5" spans="1:6" x14ac:dyDescent="0.35">
      <c r="A2935" s="3">
        <v>66842848392</v>
      </c>
      <c r="B2935" s="3">
        <v>113</v>
      </c>
      <c r="C2935" s="32">
        <v>49211</v>
      </c>
      <c r="D2935" s="32" t="s">
        <v>87</v>
      </c>
      <c r="E2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6" spans="1:6" x14ac:dyDescent="0.35">
      <c r="A2936" s="3">
        <v>62534012814</v>
      </c>
      <c r="B2936" s="3">
        <v>141</v>
      </c>
      <c r="C2936" s="32">
        <v>49211</v>
      </c>
      <c r="D2936" s="32" t="s">
        <v>87</v>
      </c>
      <c r="E2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7" spans="1:6" x14ac:dyDescent="0.35">
      <c r="A2937" s="3">
        <v>54569224466</v>
      </c>
      <c r="B2937" s="3">
        <v>149</v>
      </c>
      <c r="C2937" s="32">
        <v>49211</v>
      </c>
      <c r="D2937" s="32" t="s">
        <v>87</v>
      </c>
      <c r="E2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8" spans="1:6" x14ac:dyDescent="0.35">
      <c r="A2938" s="3">
        <v>77005107057</v>
      </c>
      <c r="B2938" s="3">
        <v>188</v>
      </c>
      <c r="C2938" s="32">
        <v>49211</v>
      </c>
      <c r="D2938" s="32">
        <v>49325</v>
      </c>
      <c r="E2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39" spans="1:6" x14ac:dyDescent="0.35">
      <c r="A2939" s="3">
        <v>90842877904</v>
      </c>
      <c r="B2939" s="3">
        <v>197</v>
      </c>
      <c r="C2939" s="32">
        <v>49211</v>
      </c>
      <c r="D2939" s="32" t="s">
        <v>87</v>
      </c>
      <c r="E2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0" spans="1:6" x14ac:dyDescent="0.35">
      <c r="A2940" s="3">
        <v>97236554633</v>
      </c>
      <c r="B2940" s="3">
        <v>211</v>
      </c>
      <c r="C2940" s="32">
        <v>49211</v>
      </c>
      <c r="D2940" s="32" t="s">
        <v>87</v>
      </c>
      <c r="E2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1" spans="1:6" x14ac:dyDescent="0.35">
      <c r="A2941" s="3">
        <v>46982823333</v>
      </c>
      <c r="B2941" s="3">
        <v>241</v>
      </c>
      <c r="C2941" s="32">
        <v>49211</v>
      </c>
      <c r="D2941" s="32" t="s">
        <v>87</v>
      </c>
      <c r="E2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2" spans="1:6" x14ac:dyDescent="0.35">
      <c r="A2942" s="3">
        <v>91210845470</v>
      </c>
      <c r="B2942" s="3">
        <v>244</v>
      </c>
      <c r="C2942" s="32">
        <v>49211</v>
      </c>
      <c r="D2942" s="32" t="s">
        <v>87</v>
      </c>
      <c r="E2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3" spans="1:6" x14ac:dyDescent="0.35">
      <c r="A2943" s="3">
        <v>64854501971</v>
      </c>
      <c r="B2943" s="3">
        <v>253</v>
      </c>
      <c r="C2943" s="32">
        <v>49211</v>
      </c>
      <c r="D2943" s="32" t="s">
        <v>87</v>
      </c>
      <c r="E2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4" spans="1:6" x14ac:dyDescent="0.35">
      <c r="A2944" s="3">
        <v>74405248912</v>
      </c>
      <c r="B2944" s="3">
        <v>265</v>
      </c>
      <c r="C2944" s="32">
        <v>49211</v>
      </c>
      <c r="D2944" s="32">
        <v>49304</v>
      </c>
      <c r="E2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45" spans="1:6" x14ac:dyDescent="0.35">
      <c r="A2945" s="3">
        <v>61863841453</v>
      </c>
      <c r="B2945" s="3">
        <v>301</v>
      </c>
      <c r="C2945" s="32">
        <v>49211</v>
      </c>
      <c r="D2945" s="32">
        <v>49264</v>
      </c>
      <c r="E2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46" spans="1:6" x14ac:dyDescent="0.35">
      <c r="A2946" s="3">
        <v>81216444357</v>
      </c>
      <c r="B2946" s="3">
        <v>10</v>
      </c>
      <c r="C2946" s="32">
        <v>49212</v>
      </c>
      <c r="D2946" s="32">
        <v>49257</v>
      </c>
      <c r="E2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47" spans="1:6" x14ac:dyDescent="0.35">
      <c r="A2947" s="3">
        <v>13190508045</v>
      </c>
      <c r="B2947" s="3">
        <v>20</v>
      </c>
      <c r="C2947" s="32">
        <v>49212</v>
      </c>
      <c r="D2947" s="32" t="s">
        <v>87</v>
      </c>
      <c r="E2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8" spans="1:6" x14ac:dyDescent="0.35">
      <c r="A2948" s="3">
        <v>82640386469</v>
      </c>
      <c r="B2948" s="3">
        <v>41</v>
      </c>
      <c r="C2948" s="32">
        <v>49212</v>
      </c>
      <c r="D2948" s="32">
        <v>49230</v>
      </c>
      <c r="E2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49" spans="1:6" x14ac:dyDescent="0.35">
      <c r="A2949" s="3">
        <v>62194776823</v>
      </c>
      <c r="B2949" s="3">
        <v>42</v>
      </c>
      <c r="C2949" s="32">
        <v>49212</v>
      </c>
      <c r="D2949" s="32" t="s">
        <v>87</v>
      </c>
      <c r="E2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0" spans="1:6" x14ac:dyDescent="0.35">
      <c r="A2950" s="3">
        <v>89193063744</v>
      </c>
      <c r="B2950" s="3">
        <v>45</v>
      </c>
      <c r="C2950" s="32">
        <v>49212</v>
      </c>
      <c r="D2950" s="32" t="s">
        <v>87</v>
      </c>
      <c r="E2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1" spans="1:6" x14ac:dyDescent="0.35">
      <c r="A2951" s="3">
        <v>85543604011</v>
      </c>
      <c r="B2951" s="3">
        <v>55</v>
      </c>
      <c r="C2951" s="32">
        <v>49212</v>
      </c>
      <c r="D2951" s="32">
        <v>49251</v>
      </c>
      <c r="E2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52" spans="1:6" x14ac:dyDescent="0.35">
      <c r="A2952" s="3">
        <v>14267580221</v>
      </c>
      <c r="B2952" s="3">
        <v>71</v>
      </c>
      <c r="C2952" s="32">
        <v>49212</v>
      </c>
      <c r="D2952" s="32" t="s">
        <v>87</v>
      </c>
      <c r="E2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3" spans="1:6" x14ac:dyDescent="0.35">
      <c r="A2953" s="3">
        <v>74266874624</v>
      </c>
      <c r="B2953" s="3">
        <v>99</v>
      </c>
      <c r="C2953" s="32">
        <v>49212</v>
      </c>
      <c r="D2953" s="32" t="s">
        <v>87</v>
      </c>
      <c r="E2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4" spans="1:6" x14ac:dyDescent="0.35">
      <c r="A2954" s="3">
        <v>96881557287</v>
      </c>
      <c r="B2954" s="3">
        <v>101</v>
      </c>
      <c r="C2954" s="32">
        <v>49212</v>
      </c>
      <c r="D2954" s="32" t="s">
        <v>87</v>
      </c>
      <c r="E2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5" spans="1:6" x14ac:dyDescent="0.35">
      <c r="A2955" s="3">
        <v>31319829828</v>
      </c>
      <c r="B2955" s="3">
        <v>135</v>
      </c>
      <c r="C2955" s="32">
        <v>49212</v>
      </c>
      <c r="D2955" s="32" t="s">
        <v>87</v>
      </c>
      <c r="E2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6" spans="1:6" x14ac:dyDescent="0.35">
      <c r="A2956" s="3">
        <v>70662412129</v>
      </c>
      <c r="B2956" s="3">
        <v>136</v>
      </c>
      <c r="C2956" s="32">
        <v>49212</v>
      </c>
      <c r="D2956" s="32" t="s">
        <v>87</v>
      </c>
      <c r="E2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7" spans="1:6" x14ac:dyDescent="0.35">
      <c r="A2957" s="3">
        <v>63783114170</v>
      </c>
      <c r="B2957" s="3">
        <v>156</v>
      </c>
      <c r="C2957" s="32">
        <v>49212</v>
      </c>
      <c r="D2957" s="32" t="s">
        <v>87</v>
      </c>
      <c r="E2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8" spans="1:6" x14ac:dyDescent="0.35">
      <c r="A2958" s="3">
        <v>37850379596</v>
      </c>
      <c r="B2958" s="3">
        <v>157</v>
      </c>
      <c r="C2958" s="32">
        <v>49212</v>
      </c>
      <c r="D2958" s="32">
        <v>49220</v>
      </c>
      <c r="E2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59" spans="1:6" x14ac:dyDescent="0.35">
      <c r="A2959" s="3">
        <v>30732007976</v>
      </c>
      <c r="B2959" s="3">
        <v>201</v>
      </c>
      <c r="C2959" s="32">
        <v>49212</v>
      </c>
      <c r="D2959" s="32">
        <v>49215</v>
      </c>
      <c r="E2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960" spans="1:6" x14ac:dyDescent="0.35">
      <c r="A2960" s="3">
        <v>26602482808</v>
      </c>
      <c r="B2960" s="3">
        <v>205</v>
      </c>
      <c r="C2960" s="32">
        <v>49212</v>
      </c>
      <c r="D2960" s="32">
        <v>49312</v>
      </c>
      <c r="E2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61" spans="1:6" x14ac:dyDescent="0.35">
      <c r="A2961" s="3">
        <v>93927798029</v>
      </c>
      <c r="B2961" s="3">
        <v>218</v>
      </c>
      <c r="C2961" s="32">
        <v>49212</v>
      </c>
      <c r="D2961" s="32">
        <v>49260</v>
      </c>
      <c r="E2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2" spans="1:6" x14ac:dyDescent="0.35">
      <c r="A2962" s="3">
        <v>92687983670</v>
      </c>
      <c r="B2962" s="3">
        <v>234</v>
      </c>
      <c r="C2962" s="32">
        <v>49212</v>
      </c>
      <c r="D2962" s="32" t="s">
        <v>87</v>
      </c>
      <c r="E2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3" spans="1:6" x14ac:dyDescent="0.35">
      <c r="A2963" s="3">
        <v>65488519823</v>
      </c>
      <c r="B2963" s="3">
        <v>257</v>
      </c>
      <c r="C2963" s="32">
        <v>49212</v>
      </c>
      <c r="D2963" s="32">
        <v>49271</v>
      </c>
      <c r="E2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4" spans="1:6" x14ac:dyDescent="0.35">
      <c r="A2964" s="3">
        <v>54795531680</v>
      </c>
      <c r="B2964" s="3">
        <v>270</v>
      </c>
      <c r="C2964" s="32">
        <v>49212</v>
      </c>
      <c r="D2964" s="32" t="s">
        <v>87</v>
      </c>
      <c r="E2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5" spans="1:6" x14ac:dyDescent="0.35">
      <c r="A2965" s="3">
        <v>16698193936</v>
      </c>
      <c r="B2965" s="3">
        <v>303</v>
      </c>
      <c r="C2965" s="32">
        <v>49212</v>
      </c>
      <c r="D2965" s="32" t="s">
        <v>87</v>
      </c>
      <c r="E2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6" spans="1:6" x14ac:dyDescent="0.35">
      <c r="A2966" s="3">
        <v>52354738727</v>
      </c>
      <c r="B2966" s="3">
        <v>323</v>
      </c>
      <c r="C2966" s="32">
        <v>49212</v>
      </c>
      <c r="D2966" s="32" t="s">
        <v>87</v>
      </c>
      <c r="E2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7" spans="1:6" x14ac:dyDescent="0.35">
      <c r="A2967" s="3">
        <v>88574107202</v>
      </c>
      <c r="B2967" s="3">
        <v>337</v>
      </c>
      <c r="C2967" s="32">
        <v>49212</v>
      </c>
      <c r="D2967" s="32">
        <v>49265</v>
      </c>
      <c r="E2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8" spans="1:6" x14ac:dyDescent="0.35">
      <c r="A2968" s="3">
        <v>59680626668</v>
      </c>
      <c r="B2968" s="3">
        <v>340</v>
      </c>
      <c r="C2968" s="32">
        <v>49212</v>
      </c>
      <c r="D2968" s="32" t="s">
        <v>87</v>
      </c>
      <c r="E2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9" spans="1:6" x14ac:dyDescent="0.35">
      <c r="A2969" s="3">
        <v>31037329170</v>
      </c>
      <c r="B2969" s="3">
        <v>15</v>
      </c>
      <c r="C2969" s="32">
        <v>49213</v>
      </c>
      <c r="D2969" s="32" t="s">
        <v>87</v>
      </c>
      <c r="E2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0" spans="1:6" x14ac:dyDescent="0.35">
      <c r="A2970" s="3">
        <v>16045407722</v>
      </c>
      <c r="B2970" s="3">
        <v>19</v>
      </c>
      <c r="C2970" s="32">
        <v>49213</v>
      </c>
      <c r="D2970" s="32"/>
      <c r="E2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1" spans="1:6" x14ac:dyDescent="0.35">
      <c r="A2971" s="3">
        <v>37359281167</v>
      </c>
      <c r="B2971" s="3">
        <v>21</v>
      </c>
      <c r="C2971" s="32">
        <v>49213</v>
      </c>
      <c r="D2971" s="32" t="s">
        <v>87</v>
      </c>
      <c r="E2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2" spans="1:6" x14ac:dyDescent="0.35">
      <c r="A2972" s="3">
        <v>34989698378</v>
      </c>
      <c r="B2972" s="3">
        <v>23</v>
      </c>
      <c r="C2972" s="32">
        <v>49213</v>
      </c>
      <c r="D2972" s="32" t="s">
        <v>87</v>
      </c>
      <c r="E2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3" spans="1:6" x14ac:dyDescent="0.35">
      <c r="A2973" s="3">
        <v>91366966663</v>
      </c>
      <c r="B2973" s="3">
        <v>26</v>
      </c>
      <c r="C2973" s="32">
        <v>49213</v>
      </c>
      <c r="D2973" s="32" t="s">
        <v>87</v>
      </c>
      <c r="E2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4" spans="1:6" x14ac:dyDescent="0.35">
      <c r="A2974" s="3">
        <v>89594360363</v>
      </c>
      <c r="B2974" s="3">
        <v>26</v>
      </c>
      <c r="C2974" s="32">
        <v>49213</v>
      </c>
      <c r="D2974" s="32" t="s">
        <v>87</v>
      </c>
      <c r="E2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5" spans="1:6" x14ac:dyDescent="0.35">
      <c r="A2975" s="3">
        <v>36132448002</v>
      </c>
      <c r="B2975" s="3">
        <v>27</v>
      </c>
      <c r="C2975" s="32">
        <v>49213</v>
      </c>
      <c r="D2975" s="32" t="s">
        <v>87</v>
      </c>
      <c r="E2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6" spans="1:6" x14ac:dyDescent="0.35">
      <c r="A2976" s="3">
        <v>27552242265</v>
      </c>
      <c r="B2976" s="3">
        <v>79</v>
      </c>
      <c r="C2976" s="32">
        <v>49213</v>
      </c>
      <c r="D2976" s="32" t="s">
        <v>87</v>
      </c>
      <c r="E2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7" spans="1:6" x14ac:dyDescent="0.35">
      <c r="A2977" s="3">
        <v>75328114468</v>
      </c>
      <c r="B2977" s="3">
        <v>89</v>
      </c>
      <c r="C2977" s="32">
        <v>49213</v>
      </c>
      <c r="D2977" s="32" t="s">
        <v>87</v>
      </c>
      <c r="E2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8" spans="1:6" x14ac:dyDescent="0.35">
      <c r="A2978" s="3">
        <v>94163702049</v>
      </c>
      <c r="B2978" s="3">
        <v>98</v>
      </c>
      <c r="C2978" s="32">
        <v>49213</v>
      </c>
      <c r="D2978" s="32" t="s">
        <v>87</v>
      </c>
      <c r="E2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9" spans="1:6" x14ac:dyDescent="0.35">
      <c r="A2979" s="3">
        <v>42185994758</v>
      </c>
      <c r="B2979" s="3">
        <v>115</v>
      </c>
      <c r="C2979" s="32">
        <v>49213</v>
      </c>
      <c r="D2979" s="32" t="s">
        <v>87</v>
      </c>
      <c r="E2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0" spans="1:6" x14ac:dyDescent="0.35">
      <c r="A2980" s="3">
        <v>91427294128</v>
      </c>
      <c r="B2980" s="3">
        <v>121</v>
      </c>
      <c r="C2980" s="32">
        <v>49213</v>
      </c>
      <c r="D2980" s="32" t="s">
        <v>87</v>
      </c>
      <c r="E2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1" spans="1:6" x14ac:dyDescent="0.35">
      <c r="A2981" s="3">
        <v>37150890980</v>
      </c>
      <c r="B2981" s="3">
        <v>143</v>
      </c>
      <c r="C2981" s="32">
        <v>49213</v>
      </c>
      <c r="D2981" s="32">
        <v>49232</v>
      </c>
      <c r="E2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82" spans="1:6" x14ac:dyDescent="0.35">
      <c r="A2982" s="3">
        <v>31939934139</v>
      </c>
      <c r="B2982" s="3">
        <v>155</v>
      </c>
      <c r="C2982" s="32">
        <v>49213</v>
      </c>
      <c r="D2982" s="32" t="s">
        <v>87</v>
      </c>
      <c r="E2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3" spans="1:6" x14ac:dyDescent="0.35">
      <c r="A2983" s="3">
        <v>66115728067</v>
      </c>
      <c r="B2983" s="3">
        <v>174</v>
      </c>
      <c r="C2983" s="32">
        <v>49213</v>
      </c>
      <c r="D2983" s="32" t="s">
        <v>87</v>
      </c>
      <c r="E2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4" spans="1:6" x14ac:dyDescent="0.35">
      <c r="A2984" s="3">
        <v>60351674853</v>
      </c>
      <c r="B2984" s="3">
        <v>177</v>
      </c>
      <c r="C2984" s="32">
        <v>49213</v>
      </c>
      <c r="D2984" s="32" t="s">
        <v>87</v>
      </c>
      <c r="E2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5" spans="1:6" x14ac:dyDescent="0.35">
      <c r="A2985" s="3">
        <v>65448514086</v>
      </c>
      <c r="B2985" s="3">
        <v>194</v>
      </c>
      <c r="C2985" s="32">
        <v>49213</v>
      </c>
      <c r="D2985" s="32" t="s">
        <v>87</v>
      </c>
      <c r="E2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6" spans="1:6" x14ac:dyDescent="0.35">
      <c r="A2986" s="3">
        <v>53877385465</v>
      </c>
      <c r="B2986" s="3">
        <v>195</v>
      </c>
      <c r="C2986" s="32">
        <v>49213</v>
      </c>
      <c r="D2986" s="32" t="s">
        <v>87</v>
      </c>
      <c r="E2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7" spans="1:6" x14ac:dyDescent="0.35">
      <c r="A2987" s="3">
        <v>75184308874</v>
      </c>
      <c r="B2987" s="3">
        <v>217</v>
      </c>
      <c r="C2987" s="32">
        <v>49213</v>
      </c>
      <c r="D2987" s="32" t="s">
        <v>87</v>
      </c>
      <c r="E2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8" spans="1:6" x14ac:dyDescent="0.35">
      <c r="A2988" s="3">
        <v>45654699695</v>
      </c>
      <c r="B2988" s="3">
        <v>220</v>
      </c>
      <c r="C2988" s="32">
        <v>49213</v>
      </c>
      <c r="D2988" s="32" t="s">
        <v>87</v>
      </c>
      <c r="E2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9" spans="1:6" x14ac:dyDescent="0.35">
      <c r="A2989" s="3">
        <v>45179862753</v>
      </c>
      <c r="B2989" s="3">
        <v>224</v>
      </c>
      <c r="C2989" s="32">
        <v>49213</v>
      </c>
      <c r="D2989" s="32" t="s">
        <v>87</v>
      </c>
      <c r="E2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0" spans="1:6" x14ac:dyDescent="0.35">
      <c r="A2990" s="3">
        <v>64741501300</v>
      </c>
      <c r="B2990" s="3">
        <v>225</v>
      </c>
      <c r="C2990" s="32">
        <v>49213</v>
      </c>
      <c r="D2990" s="32" t="s">
        <v>87</v>
      </c>
      <c r="E2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1" spans="1:6" x14ac:dyDescent="0.35">
      <c r="A2991" s="3">
        <v>66206688988</v>
      </c>
      <c r="B2991" s="3">
        <v>261</v>
      </c>
      <c r="C2991" s="32">
        <v>49213</v>
      </c>
      <c r="D2991" s="32" t="s">
        <v>87</v>
      </c>
      <c r="E2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2" spans="1:6" x14ac:dyDescent="0.35">
      <c r="A2992" s="3">
        <v>50580101785</v>
      </c>
      <c r="B2992" s="3">
        <v>326</v>
      </c>
      <c r="C2992" s="32">
        <v>49213</v>
      </c>
      <c r="D2992" s="32" t="s">
        <v>87</v>
      </c>
      <c r="E2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3" spans="1:6" x14ac:dyDescent="0.35">
      <c r="A2993" s="3">
        <v>51453379354</v>
      </c>
      <c r="B2993" s="3">
        <v>14</v>
      </c>
      <c r="C2993" s="32">
        <v>49214</v>
      </c>
      <c r="D2993" s="32" t="s">
        <v>87</v>
      </c>
      <c r="E2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4" spans="1:6" x14ac:dyDescent="0.35">
      <c r="A2994" s="3">
        <v>27961712542</v>
      </c>
      <c r="B2994" s="3">
        <v>44</v>
      </c>
      <c r="C2994" s="32">
        <v>49214</v>
      </c>
      <c r="D2994" s="32" t="s">
        <v>87</v>
      </c>
      <c r="E2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5" spans="1:6" x14ac:dyDescent="0.35">
      <c r="A2995" s="3">
        <v>91774978561</v>
      </c>
      <c r="B2995" s="3">
        <v>81</v>
      </c>
      <c r="C2995" s="32">
        <v>49214</v>
      </c>
      <c r="D2995" s="32" t="s">
        <v>87</v>
      </c>
      <c r="E2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6" spans="1:6" x14ac:dyDescent="0.35">
      <c r="A2996" s="3">
        <v>48670181442</v>
      </c>
      <c r="B2996" s="3">
        <v>144</v>
      </c>
      <c r="C2996" s="32">
        <v>49214</v>
      </c>
      <c r="D2996" s="32" t="s">
        <v>87</v>
      </c>
      <c r="E2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7" spans="1:6" x14ac:dyDescent="0.35">
      <c r="A2997" s="3">
        <v>84819988969</v>
      </c>
      <c r="B2997" s="3">
        <v>149</v>
      </c>
      <c r="C2997" s="32">
        <v>49214</v>
      </c>
      <c r="D2997" s="32" t="s">
        <v>87</v>
      </c>
      <c r="E2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8" spans="1:6" x14ac:dyDescent="0.35">
      <c r="A2998" s="3">
        <v>82126237810</v>
      </c>
      <c r="B2998" s="3">
        <v>150</v>
      </c>
      <c r="C2998" s="32">
        <v>49214</v>
      </c>
      <c r="D2998" s="32" t="s">
        <v>87</v>
      </c>
      <c r="E2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9" spans="1:6" x14ac:dyDescent="0.35">
      <c r="A2999" s="3">
        <v>33011702970</v>
      </c>
      <c r="B2999" s="3">
        <v>165</v>
      </c>
      <c r="C2999" s="32">
        <v>49214</v>
      </c>
      <c r="D2999" s="32" t="s">
        <v>87</v>
      </c>
      <c r="E2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0" spans="1:6" x14ac:dyDescent="0.35">
      <c r="A3000" s="3">
        <v>88575806029</v>
      </c>
      <c r="B3000" s="3">
        <v>177</v>
      </c>
      <c r="C3000" s="32">
        <v>49214</v>
      </c>
      <c r="D3000" s="32">
        <v>49242</v>
      </c>
      <c r="E3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01" spans="1:6" x14ac:dyDescent="0.35">
      <c r="A3001" s="3">
        <v>42274927191</v>
      </c>
      <c r="B3001" s="3">
        <v>178</v>
      </c>
      <c r="C3001" s="32">
        <v>49214</v>
      </c>
      <c r="D3001" s="32">
        <v>49321</v>
      </c>
      <c r="E3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02" spans="1:6" x14ac:dyDescent="0.35">
      <c r="A3002" s="3">
        <v>69843349057</v>
      </c>
      <c r="B3002" s="3">
        <v>188</v>
      </c>
      <c r="C3002" s="32">
        <v>49214</v>
      </c>
      <c r="D3002" s="32" t="s">
        <v>87</v>
      </c>
      <c r="E3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3" spans="1:6" x14ac:dyDescent="0.35">
      <c r="A3003" s="3">
        <v>44979726175</v>
      </c>
      <c r="B3003" s="3">
        <v>190</v>
      </c>
      <c r="C3003" s="32">
        <v>49214</v>
      </c>
      <c r="D3003" s="32" t="s">
        <v>87</v>
      </c>
      <c r="E3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4" spans="1:6" x14ac:dyDescent="0.35">
      <c r="A3004" s="3">
        <v>98799290180</v>
      </c>
      <c r="B3004" s="3">
        <v>250</v>
      </c>
      <c r="C3004" s="32">
        <v>49214</v>
      </c>
      <c r="D3004" s="32">
        <v>49329</v>
      </c>
      <c r="E3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05" spans="1:6" x14ac:dyDescent="0.35">
      <c r="A3005" s="3">
        <v>66127955426</v>
      </c>
      <c r="B3005" s="3">
        <v>277</v>
      </c>
      <c r="C3005" s="32">
        <v>49214</v>
      </c>
      <c r="D3005" s="32" t="s">
        <v>87</v>
      </c>
      <c r="E3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6" spans="1:6" x14ac:dyDescent="0.35">
      <c r="A3006" s="3">
        <v>23371146990</v>
      </c>
      <c r="B3006" s="3">
        <v>279</v>
      </c>
      <c r="C3006" s="32">
        <v>49214</v>
      </c>
      <c r="D3006" s="32">
        <v>49240</v>
      </c>
      <c r="E3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07" spans="1:6" x14ac:dyDescent="0.35">
      <c r="A3007" s="3">
        <v>55454832640</v>
      </c>
      <c r="B3007" s="3">
        <v>279</v>
      </c>
      <c r="C3007" s="32">
        <v>49214</v>
      </c>
      <c r="D3007" s="32" t="s">
        <v>87</v>
      </c>
      <c r="E3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8" spans="1:6" x14ac:dyDescent="0.35">
      <c r="A3008" s="3">
        <v>33373886699</v>
      </c>
      <c r="B3008" s="3">
        <v>296</v>
      </c>
      <c r="C3008" s="32">
        <v>49214</v>
      </c>
      <c r="D3008" s="32" t="s">
        <v>87</v>
      </c>
      <c r="E3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9" spans="1:6" x14ac:dyDescent="0.35">
      <c r="A3009" s="3">
        <v>82858595487</v>
      </c>
      <c r="B3009" s="3">
        <v>299</v>
      </c>
      <c r="C3009" s="32">
        <v>49214</v>
      </c>
      <c r="D3009" s="32" t="s">
        <v>87</v>
      </c>
      <c r="E3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0" spans="1:6" x14ac:dyDescent="0.35">
      <c r="A3010" s="3">
        <v>65489541317</v>
      </c>
      <c r="B3010" s="3">
        <v>333</v>
      </c>
      <c r="C3010" s="32">
        <v>49214</v>
      </c>
      <c r="D3010" s="32" t="s">
        <v>87</v>
      </c>
      <c r="E3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1" spans="1:6" x14ac:dyDescent="0.35">
      <c r="A3011" s="3">
        <v>84486350696</v>
      </c>
      <c r="B3011" s="3">
        <v>7</v>
      </c>
      <c r="C3011" s="32">
        <v>49215</v>
      </c>
      <c r="D3011" s="32">
        <v>49287</v>
      </c>
      <c r="E3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12" spans="1:6" x14ac:dyDescent="0.35">
      <c r="A3012" s="3">
        <v>76082241743</v>
      </c>
      <c r="B3012" s="3">
        <v>9</v>
      </c>
      <c r="C3012" s="32">
        <v>49215</v>
      </c>
      <c r="D3012" s="32" t="s">
        <v>87</v>
      </c>
      <c r="E3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3" spans="1:6" x14ac:dyDescent="0.35">
      <c r="A3013" s="3">
        <v>68447334639</v>
      </c>
      <c r="B3013" s="3">
        <v>18</v>
      </c>
      <c r="C3013" s="32">
        <v>49215</v>
      </c>
      <c r="D3013" s="32" t="s">
        <v>87</v>
      </c>
      <c r="E3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4" spans="1:6" x14ac:dyDescent="0.35">
      <c r="A3014" s="3">
        <v>65716753048</v>
      </c>
      <c r="B3014" s="3">
        <v>21</v>
      </c>
      <c r="C3014" s="32">
        <v>49215</v>
      </c>
      <c r="D3014" s="32" t="s">
        <v>87</v>
      </c>
      <c r="E3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5" spans="1:6" x14ac:dyDescent="0.35">
      <c r="A3015" s="3">
        <v>20088441224</v>
      </c>
      <c r="B3015" s="3">
        <v>23</v>
      </c>
      <c r="C3015" s="32">
        <v>49215</v>
      </c>
      <c r="D3015" s="32" t="s">
        <v>87</v>
      </c>
      <c r="E3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6" spans="1:6" x14ac:dyDescent="0.35">
      <c r="A3016" s="3">
        <v>60351982988</v>
      </c>
      <c r="B3016" s="3">
        <v>29</v>
      </c>
      <c r="C3016" s="32">
        <v>49215</v>
      </c>
      <c r="D3016" s="32">
        <v>49232</v>
      </c>
      <c r="E3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17" spans="1:6" x14ac:dyDescent="0.35">
      <c r="A3017" s="3">
        <v>24362204197</v>
      </c>
      <c r="B3017" s="3">
        <v>57</v>
      </c>
      <c r="C3017" s="32">
        <v>49215</v>
      </c>
      <c r="D3017" s="32">
        <v>49255</v>
      </c>
      <c r="E3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18" spans="1:6" x14ac:dyDescent="0.35">
      <c r="A3018" s="3">
        <v>31874220377</v>
      </c>
      <c r="B3018" s="3">
        <v>81</v>
      </c>
      <c r="C3018" s="32">
        <v>49215</v>
      </c>
      <c r="D3018" s="32" t="s">
        <v>87</v>
      </c>
      <c r="E3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9" spans="1:6" x14ac:dyDescent="0.35">
      <c r="A3019" s="3">
        <v>45049285307</v>
      </c>
      <c r="B3019" s="3">
        <v>86</v>
      </c>
      <c r="C3019" s="32">
        <v>49215</v>
      </c>
      <c r="D3019" s="32" t="s">
        <v>87</v>
      </c>
      <c r="E3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0" spans="1:6" x14ac:dyDescent="0.35">
      <c r="A3020" s="3">
        <v>18327079432</v>
      </c>
      <c r="B3020" s="3">
        <v>88</v>
      </c>
      <c r="C3020" s="32">
        <v>49215</v>
      </c>
      <c r="D3020" s="32" t="s">
        <v>87</v>
      </c>
      <c r="E3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1" spans="1:6" x14ac:dyDescent="0.35">
      <c r="A3021" s="3">
        <v>32912210785</v>
      </c>
      <c r="B3021" s="3">
        <v>96</v>
      </c>
      <c r="C3021" s="32">
        <v>49215</v>
      </c>
      <c r="D3021" s="32" t="s">
        <v>87</v>
      </c>
      <c r="E3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2" spans="1:6" x14ac:dyDescent="0.35">
      <c r="A3022" s="3">
        <v>59995538251</v>
      </c>
      <c r="B3022" s="3">
        <v>97</v>
      </c>
      <c r="C3022" s="32">
        <v>49215</v>
      </c>
      <c r="D3022" s="32">
        <v>49279</v>
      </c>
      <c r="E3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3" spans="1:6" x14ac:dyDescent="0.35">
      <c r="A3023" s="3">
        <v>58187668003</v>
      </c>
      <c r="B3023" s="3">
        <v>109</v>
      </c>
      <c r="C3023" s="32">
        <v>49215</v>
      </c>
      <c r="D3023" s="32">
        <v>49295</v>
      </c>
      <c r="E3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4" spans="1:6" x14ac:dyDescent="0.35">
      <c r="A3024" s="3">
        <v>54153504772</v>
      </c>
      <c r="B3024" s="3">
        <v>112</v>
      </c>
      <c r="C3024" s="32">
        <v>49215</v>
      </c>
      <c r="D3024" s="32" t="s">
        <v>87</v>
      </c>
      <c r="E3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5" spans="1:6" x14ac:dyDescent="0.35">
      <c r="A3025" s="3">
        <v>92610926962</v>
      </c>
      <c r="B3025" s="3">
        <v>123</v>
      </c>
      <c r="C3025" s="32">
        <v>49215</v>
      </c>
      <c r="D3025" s="32">
        <v>49279</v>
      </c>
      <c r="E3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6" spans="1:6" x14ac:dyDescent="0.35">
      <c r="A3026" s="3">
        <v>81091356532</v>
      </c>
      <c r="B3026" s="3">
        <v>142</v>
      </c>
      <c r="C3026" s="32">
        <v>49215</v>
      </c>
      <c r="D3026" s="32">
        <v>49296</v>
      </c>
      <c r="E3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7" spans="1:6" x14ac:dyDescent="0.35">
      <c r="A3027" s="3">
        <v>84337409319</v>
      </c>
      <c r="B3027" s="3">
        <v>147</v>
      </c>
      <c r="C3027" s="32">
        <v>49215</v>
      </c>
      <c r="D3027" s="32">
        <v>49290</v>
      </c>
      <c r="E3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8" spans="1:6" x14ac:dyDescent="0.35">
      <c r="A3028" s="3">
        <v>74216066700</v>
      </c>
      <c r="B3028" s="3">
        <v>168</v>
      </c>
      <c r="C3028" s="32">
        <v>49215</v>
      </c>
      <c r="D3028" s="32">
        <v>49279</v>
      </c>
      <c r="E3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9" spans="1:6" x14ac:dyDescent="0.35">
      <c r="A3029" s="3">
        <v>43758527633</v>
      </c>
      <c r="B3029" s="3">
        <v>183</v>
      </c>
      <c r="C3029" s="32">
        <v>49215</v>
      </c>
      <c r="D3029" s="32" t="s">
        <v>87</v>
      </c>
      <c r="E3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0" spans="1:6" x14ac:dyDescent="0.35">
      <c r="A3030" s="3">
        <v>49451360558</v>
      </c>
      <c r="B3030" s="3">
        <v>252</v>
      </c>
      <c r="C3030" s="32">
        <v>49215</v>
      </c>
      <c r="D3030" s="32" t="s">
        <v>87</v>
      </c>
      <c r="E3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1" spans="1:6" x14ac:dyDescent="0.35">
      <c r="A3031" s="3">
        <v>90817937463</v>
      </c>
      <c r="B3031" s="3">
        <v>261</v>
      </c>
      <c r="C3031" s="32">
        <v>49215</v>
      </c>
      <c r="D3031" s="32" t="s">
        <v>87</v>
      </c>
      <c r="E3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2" spans="1:6" x14ac:dyDescent="0.35">
      <c r="A3032" s="3">
        <v>19622900639</v>
      </c>
      <c r="B3032" s="3">
        <v>299</v>
      </c>
      <c r="C3032" s="32">
        <v>49215</v>
      </c>
      <c r="D3032" s="32" t="s">
        <v>87</v>
      </c>
      <c r="E3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3" spans="1:6" x14ac:dyDescent="0.35">
      <c r="A3033" s="3">
        <v>54482356403</v>
      </c>
      <c r="B3033" s="3">
        <v>319</v>
      </c>
      <c r="C3033" s="32">
        <v>49215</v>
      </c>
      <c r="D3033" s="32" t="s">
        <v>87</v>
      </c>
      <c r="E3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4" spans="1:6" x14ac:dyDescent="0.35">
      <c r="A3034" s="3">
        <v>61640327601</v>
      </c>
      <c r="B3034" s="3">
        <v>323</v>
      </c>
      <c r="C3034" s="32">
        <v>49215</v>
      </c>
      <c r="D3034" s="32" t="s">
        <v>87</v>
      </c>
      <c r="E3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5" spans="1:6" x14ac:dyDescent="0.35">
      <c r="A3035" s="3">
        <v>69212806135</v>
      </c>
      <c r="B3035" s="3">
        <v>338</v>
      </c>
      <c r="C3035" s="32">
        <v>49215</v>
      </c>
      <c r="D3035" s="32" t="s">
        <v>87</v>
      </c>
      <c r="E3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6" spans="1:6" x14ac:dyDescent="0.35">
      <c r="A3036" s="3">
        <v>28067257069</v>
      </c>
      <c r="B3036" s="3">
        <v>60</v>
      </c>
      <c r="C3036" s="32">
        <v>49216</v>
      </c>
      <c r="D3036" s="32" t="s">
        <v>87</v>
      </c>
      <c r="E3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7" spans="1:6" x14ac:dyDescent="0.35">
      <c r="A3037" s="3">
        <v>34284658184</v>
      </c>
      <c r="B3037" s="3">
        <v>67</v>
      </c>
      <c r="C3037" s="32">
        <v>49216</v>
      </c>
      <c r="D3037" s="32" t="s">
        <v>87</v>
      </c>
      <c r="E3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8" spans="1:6" x14ac:dyDescent="0.35">
      <c r="A3038" s="3">
        <v>47565690542</v>
      </c>
      <c r="B3038" s="3">
        <v>77</v>
      </c>
      <c r="C3038" s="32">
        <v>49216</v>
      </c>
      <c r="D3038" s="32">
        <v>49285</v>
      </c>
      <c r="E3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39" spans="1:6" x14ac:dyDescent="0.35">
      <c r="A3039" s="3">
        <v>75421384146</v>
      </c>
      <c r="B3039" s="3">
        <v>89</v>
      </c>
      <c r="C3039" s="32">
        <v>49216</v>
      </c>
      <c r="D3039" s="32">
        <v>49272</v>
      </c>
      <c r="E3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40" spans="1:6" x14ac:dyDescent="0.35">
      <c r="A3040" s="3">
        <v>36346301253</v>
      </c>
      <c r="B3040" s="3">
        <v>137</v>
      </c>
      <c r="C3040" s="32">
        <v>49216</v>
      </c>
      <c r="D3040" s="32"/>
      <c r="E3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1" spans="1:6" x14ac:dyDescent="0.35">
      <c r="A3041" s="3">
        <v>58577217764</v>
      </c>
      <c r="B3041" s="3">
        <v>168</v>
      </c>
      <c r="C3041" s="32">
        <v>49216</v>
      </c>
      <c r="D3041" s="32" t="s">
        <v>87</v>
      </c>
      <c r="E3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2" spans="1:6" x14ac:dyDescent="0.35">
      <c r="A3042" s="3">
        <v>65975997602</v>
      </c>
      <c r="B3042" s="3">
        <v>190</v>
      </c>
      <c r="C3042" s="32">
        <v>49216</v>
      </c>
      <c r="D3042" s="32" t="s">
        <v>87</v>
      </c>
      <c r="E3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3" spans="1:6" x14ac:dyDescent="0.35">
      <c r="A3043" s="3">
        <v>77711612648</v>
      </c>
      <c r="B3043" s="3">
        <v>192</v>
      </c>
      <c r="C3043" s="32">
        <v>49216</v>
      </c>
      <c r="D3043" s="32" t="s">
        <v>87</v>
      </c>
      <c r="E3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4" spans="1:6" x14ac:dyDescent="0.35">
      <c r="A3044" s="3">
        <v>45966911405</v>
      </c>
      <c r="B3044" s="3">
        <v>225</v>
      </c>
      <c r="C3044" s="32">
        <v>49216</v>
      </c>
      <c r="D3044" s="32" t="s">
        <v>87</v>
      </c>
      <c r="E3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5" spans="1:6" x14ac:dyDescent="0.35">
      <c r="A3045" s="3">
        <v>87785933971</v>
      </c>
      <c r="B3045" s="3">
        <v>231</v>
      </c>
      <c r="C3045" s="32">
        <v>49216</v>
      </c>
      <c r="D3045" s="32" t="s">
        <v>87</v>
      </c>
      <c r="E3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6" spans="1:6" x14ac:dyDescent="0.35">
      <c r="A3046" s="3">
        <v>57694420308</v>
      </c>
      <c r="B3046" s="3">
        <v>238</v>
      </c>
      <c r="C3046" s="32">
        <v>49216</v>
      </c>
      <c r="D3046" s="32" t="s">
        <v>87</v>
      </c>
      <c r="E3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7" spans="1:6" x14ac:dyDescent="0.35">
      <c r="A3047" s="3">
        <v>18285494853</v>
      </c>
      <c r="B3047" s="3">
        <v>247</v>
      </c>
      <c r="C3047" s="32">
        <v>49216</v>
      </c>
      <c r="D3047" s="32" t="s">
        <v>87</v>
      </c>
      <c r="E3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8" spans="1:6" x14ac:dyDescent="0.35">
      <c r="A3048" s="3">
        <v>22885403006</v>
      </c>
      <c r="B3048" s="3">
        <v>254</v>
      </c>
      <c r="C3048" s="32">
        <v>49216</v>
      </c>
      <c r="D3048" s="32">
        <v>49307</v>
      </c>
      <c r="E3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49" spans="1:6" x14ac:dyDescent="0.35">
      <c r="A3049" s="3">
        <v>31136056849</v>
      </c>
      <c r="B3049" s="3">
        <v>295</v>
      </c>
      <c r="C3049" s="32">
        <v>49216</v>
      </c>
      <c r="D3049" s="32" t="s">
        <v>87</v>
      </c>
      <c r="E3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0" spans="1:6" x14ac:dyDescent="0.35">
      <c r="A3050" s="3">
        <v>28605600659</v>
      </c>
      <c r="B3050" s="3">
        <v>309</v>
      </c>
      <c r="C3050" s="32">
        <v>49216</v>
      </c>
      <c r="D3050" s="32" t="s">
        <v>87</v>
      </c>
      <c r="E3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1" spans="1:6" x14ac:dyDescent="0.35">
      <c r="A3051" s="3">
        <v>78067929214</v>
      </c>
      <c r="B3051" s="3">
        <v>318</v>
      </c>
      <c r="C3051" s="32">
        <v>49216</v>
      </c>
      <c r="D3051" s="32" t="s">
        <v>87</v>
      </c>
      <c r="E3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2" spans="1:6" x14ac:dyDescent="0.35">
      <c r="A3052" s="3">
        <v>52355039646</v>
      </c>
      <c r="B3052" s="3">
        <v>335</v>
      </c>
      <c r="C3052" s="32">
        <v>49216</v>
      </c>
      <c r="D3052" s="32"/>
      <c r="E3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3" spans="1:6" x14ac:dyDescent="0.35">
      <c r="A3053" s="3">
        <v>33791606558</v>
      </c>
      <c r="B3053" s="3">
        <v>16</v>
      </c>
      <c r="C3053" s="32">
        <v>49217</v>
      </c>
      <c r="D3053" s="32" t="s">
        <v>87</v>
      </c>
      <c r="E3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4" spans="1:6" x14ac:dyDescent="0.35">
      <c r="A3054" s="3">
        <v>46973442612</v>
      </c>
      <c r="B3054" s="3">
        <v>23</v>
      </c>
      <c r="C3054" s="32">
        <v>49217</v>
      </c>
      <c r="D3054" s="32" t="s">
        <v>87</v>
      </c>
      <c r="E3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5" spans="1:6" x14ac:dyDescent="0.35">
      <c r="A3055" s="3">
        <v>18128439461</v>
      </c>
      <c r="B3055" s="3">
        <v>24</v>
      </c>
      <c r="C3055" s="32">
        <v>49217</v>
      </c>
      <c r="D3055" s="32"/>
      <c r="E3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6" spans="1:6" x14ac:dyDescent="0.35">
      <c r="A3056" s="3">
        <v>59821786991</v>
      </c>
      <c r="B3056" s="3">
        <v>26</v>
      </c>
      <c r="C3056" s="32">
        <v>49217</v>
      </c>
      <c r="D3056" s="32" t="s">
        <v>87</v>
      </c>
      <c r="E3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7" spans="1:6" x14ac:dyDescent="0.35">
      <c r="A3057" s="3">
        <v>46448535308</v>
      </c>
      <c r="B3057" s="3">
        <v>26</v>
      </c>
      <c r="C3057" s="32">
        <v>49217</v>
      </c>
      <c r="D3057" s="32" t="s">
        <v>87</v>
      </c>
      <c r="E3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8" spans="1:6" x14ac:dyDescent="0.35">
      <c r="A3058" s="3">
        <v>56968658767</v>
      </c>
      <c r="B3058" s="3">
        <v>70</v>
      </c>
      <c r="C3058" s="32">
        <v>49217</v>
      </c>
      <c r="D3058" s="32" t="s">
        <v>87</v>
      </c>
      <c r="E3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9" spans="1:6" x14ac:dyDescent="0.35">
      <c r="A3059" s="3">
        <v>78664396183</v>
      </c>
      <c r="B3059" s="3">
        <v>85</v>
      </c>
      <c r="C3059" s="32">
        <v>49217</v>
      </c>
      <c r="D3059" s="32">
        <v>49326</v>
      </c>
      <c r="E3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0" spans="1:6" x14ac:dyDescent="0.35">
      <c r="A3060" s="3">
        <v>95753349189</v>
      </c>
      <c r="B3060" s="3">
        <v>96</v>
      </c>
      <c r="C3060" s="32">
        <v>49217</v>
      </c>
      <c r="D3060" s="32" t="s">
        <v>87</v>
      </c>
      <c r="E3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1" spans="1:6" x14ac:dyDescent="0.35">
      <c r="A3061" s="3">
        <v>61422132390</v>
      </c>
      <c r="B3061" s="3">
        <v>121</v>
      </c>
      <c r="C3061" s="32">
        <v>49217</v>
      </c>
      <c r="D3061" s="32" t="s">
        <v>87</v>
      </c>
      <c r="E3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2" spans="1:6" x14ac:dyDescent="0.35">
      <c r="A3062" s="3">
        <v>65329630584</v>
      </c>
      <c r="B3062" s="3">
        <v>124</v>
      </c>
      <c r="C3062" s="32">
        <v>49217</v>
      </c>
      <c r="D3062" s="32">
        <v>49330</v>
      </c>
      <c r="E3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3" spans="1:6" x14ac:dyDescent="0.35">
      <c r="A3063" s="3">
        <v>95360883733</v>
      </c>
      <c r="B3063" s="3">
        <v>148</v>
      </c>
      <c r="C3063" s="32">
        <v>49217</v>
      </c>
      <c r="D3063" s="32" t="s">
        <v>87</v>
      </c>
      <c r="E3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4" spans="1:6" x14ac:dyDescent="0.35">
      <c r="A3064" s="3">
        <v>17136211460</v>
      </c>
      <c r="B3064" s="3">
        <v>151</v>
      </c>
      <c r="C3064" s="32">
        <v>49217</v>
      </c>
      <c r="D3064" s="32">
        <v>49333</v>
      </c>
      <c r="E3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5" spans="1:6" x14ac:dyDescent="0.35">
      <c r="A3065" s="3">
        <v>52759659306</v>
      </c>
      <c r="B3065" s="3">
        <v>183</v>
      </c>
      <c r="C3065" s="32">
        <v>49217</v>
      </c>
      <c r="D3065" s="32" t="s">
        <v>87</v>
      </c>
      <c r="E3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6" spans="1:6" x14ac:dyDescent="0.35">
      <c r="A3066" s="3">
        <v>59719210584</v>
      </c>
      <c r="B3066" s="3">
        <v>207</v>
      </c>
      <c r="C3066" s="32">
        <v>49217</v>
      </c>
      <c r="D3066" s="32" t="s">
        <v>87</v>
      </c>
      <c r="E3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7" spans="1:6" x14ac:dyDescent="0.35">
      <c r="A3067" s="3">
        <v>51081359511</v>
      </c>
      <c r="B3067" s="3">
        <v>238</v>
      </c>
      <c r="C3067" s="32">
        <v>49217</v>
      </c>
      <c r="D3067" s="32" t="s">
        <v>87</v>
      </c>
      <c r="E3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8" spans="1:6" x14ac:dyDescent="0.35">
      <c r="A3068" s="3">
        <v>40475278000</v>
      </c>
      <c r="B3068" s="3">
        <v>274</v>
      </c>
      <c r="C3068" s="32">
        <v>49217</v>
      </c>
      <c r="D3068" s="32">
        <v>49309</v>
      </c>
      <c r="E3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69" spans="1:6" x14ac:dyDescent="0.35">
      <c r="A3069" s="3">
        <v>16611832456</v>
      </c>
      <c r="B3069" s="3">
        <v>290</v>
      </c>
      <c r="C3069" s="32">
        <v>49217</v>
      </c>
      <c r="D3069" s="32" t="s">
        <v>87</v>
      </c>
      <c r="E3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0" spans="1:6" x14ac:dyDescent="0.35">
      <c r="A3070" s="3">
        <v>57004518261</v>
      </c>
      <c r="B3070" s="3">
        <v>302</v>
      </c>
      <c r="C3070" s="32">
        <v>49217</v>
      </c>
      <c r="D3070" s="32" t="s">
        <v>87</v>
      </c>
      <c r="E3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1" spans="1:6" x14ac:dyDescent="0.35">
      <c r="A3071" s="3">
        <v>92857212951</v>
      </c>
      <c r="B3071" s="3">
        <v>312</v>
      </c>
      <c r="C3071" s="32">
        <v>49217</v>
      </c>
      <c r="D3071" s="32">
        <v>49239</v>
      </c>
      <c r="E3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72" spans="1:6" x14ac:dyDescent="0.35">
      <c r="A3072" s="3">
        <v>85188640163</v>
      </c>
      <c r="B3072" s="3">
        <v>317</v>
      </c>
      <c r="C3072" s="32">
        <v>49217</v>
      </c>
      <c r="D3072" s="32" t="s">
        <v>87</v>
      </c>
      <c r="E3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3" spans="1:6" x14ac:dyDescent="0.35">
      <c r="A3073" s="3">
        <v>37913350962</v>
      </c>
      <c r="B3073" s="3">
        <v>320</v>
      </c>
      <c r="C3073" s="32">
        <v>49217</v>
      </c>
      <c r="D3073" s="32" t="s">
        <v>87</v>
      </c>
      <c r="E3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4" spans="1:6" x14ac:dyDescent="0.35">
      <c r="A3074" s="3">
        <v>74745671375</v>
      </c>
      <c r="B3074" s="3">
        <v>340</v>
      </c>
      <c r="C3074" s="32">
        <v>49217</v>
      </c>
      <c r="D3074" s="32">
        <v>49322</v>
      </c>
      <c r="E3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75" spans="1:6" x14ac:dyDescent="0.35">
      <c r="A3075" s="3">
        <v>31685208410</v>
      </c>
      <c r="B3075" s="3">
        <v>41</v>
      </c>
      <c r="C3075" s="32">
        <v>49218</v>
      </c>
      <c r="D3075" s="32">
        <v>49237</v>
      </c>
      <c r="E3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76" spans="1:6" x14ac:dyDescent="0.35">
      <c r="A3076" s="3">
        <v>62080586561</v>
      </c>
      <c r="B3076" s="3">
        <v>48</v>
      </c>
      <c r="C3076" s="32">
        <v>49218</v>
      </c>
      <c r="D3076" s="32">
        <v>49313</v>
      </c>
      <c r="E3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77" spans="1:6" x14ac:dyDescent="0.35">
      <c r="A3077" s="3">
        <v>60333257748</v>
      </c>
      <c r="B3077" s="3">
        <v>65</v>
      </c>
      <c r="C3077" s="32">
        <v>49218</v>
      </c>
      <c r="D3077" s="32" t="s">
        <v>87</v>
      </c>
      <c r="E3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8" spans="1:6" x14ac:dyDescent="0.35">
      <c r="A3078" s="3">
        <v>34135677104</v>
      </c>
      <c r="B3078" s="3">
        <v>69</v>
      </c>
      <c r="C3078" s="32">
        <v>49218</v>
      </c>
      <c r="D3078" s="32" t="s">
        <v>87</v>
      </c>
      <c r="E3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9" spans="1:6" x14ac:dyDescent="0.35">
      <c r="A3079" s="3">
        <v>70266681790</v>
      </c>
      <c r="B3079" s="3">
        <v>81</v>
      </c>
      <c r="C3079" s="32">
        <v>49218</v>
      </c>
      <c r="D3079" s="32">
        <v>49259</v>
      </c>
      <c r="E3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80" spans="1:6" x14ac:dyDescent="0.35">
      <c r="A3080" s="3">
        <v>73161937694</v>
      </c>
      <c r="B3080" s="3">
        <v>97</v>
      </c>
      <c r="C3080" s="32">
        <v>49218</v>
      </c>
      <c r="D3080" s="32" t="s">
        <v>87</v>
      </c>
      <c r="E3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1" spans="1:6" x14ac:dyDescent="0.35">
      <c r="A3081" s="3">
        <v>15049825238</v>
      </c>
      <c r="B3081" s="3">
        <v>111</v>
      </c>
      <c r="C3081" s="32">
        <v>49218</v>
      </c>
      <c r="D3081" s="32" t="s">
        <v>87</v>
      </c>
      <c r="E3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2" spans="1:6" x14ac:dyDescent="0.35">
      <c r="A3082" s="3">
        <v>65343017170</v>
      </c>
      <c r="B3082" s="3">
        <v>117</v>
      </c>
      <c r="C3082" s="32">
        <v>49218</v>
      </c>
      <c r="D3082" s="32" t="s">
        <v>87</v>
      </c>
      <c r="E3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3" spans="1:6" x14ac:dyDescent="0.35">
      <c r="A3083" s="3">
        <v>92222289798</v>
      </c>
      <c r="B3083" s="3">
        <v>120</v>
      </c>
      <c r="C3083" s="32">
        <v>49218</v>
      </c>
      <c r="D3083" s="32" t="s">
        <v>87</v>
      </c>
      <c r="E3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4" spans="1:6" x14ac:dyDescent="0.35">
      <c r="A3084" s="3">
        <v>36190466650</v>
      </c>
      <c r="B3084" s="3">
        <v>138</v>
      </c>
      <c r="C3084" s="32">
        <v>49218</v>
      </c>
      <c r="D3084" s="32" t="s">
        <v>87</v>
      </c>
      <c r="E3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5" spans="1:6" x14ac:dyDescent="0.35">
      <c r="A3085" s="3">
        <v>79984531554</v>
      </c>
      <c r="B3085" s="3">
        <v>149</v>
      </c>
      <c r="C3085" s="32">
        <v>49218</v>
      </c>
      <c r="D3085" s="32" t="s">
        <v>87</v>
      </c>
      <c r="E3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6" spans="1:6" x14ac:dyDescent="0.35">
      <c r="A3086" s="3">
        <v>79034727071</v>
      </c>
      <c r="B3086" s="3">
        <v>161</v>
      </c>
      <c r="C3086" s="32">
        <v>49218</v>
      </c>
      <c r="D3086" s="32" t="s">
        <v>87</v>
      </c>
      <c r="E3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7" spans="1:6" x14ac:dyDescent="0.35">
      <c r="A3087" s="3">
        <v>88904755265</v>
      </c>
      <c r="B3087" s="3">
        <v>164</v>
      </c>
      <c r="C3087" s="32">
        <v>49218</v>
      </c>
      <c r="D3087" s="32" t="s">
        <v>87</v>
      </c>
      <c r="E3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8" spans="1:6" x14ac:dyDescent="0.35">
      <c r="A3088" s="3">
        <v>68963250817</v>
      </c>
      <c r="B3088" s="3">
        <v>164</v>
      </c>
      <c r="C3088" s="32">
        <v>49218</v>
      </c>
      <c r="D3088" s="32" t="s">
        <v>87</v>
      </c>
      <c r="E3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9" spans="1:6" x14ac:dyDescent="0.35">
      <c r="A3089" s="3">
        <v>54620541972</v>
      </c>
      <c r="B3089" s="3">
        <v>180</v>
      </c>
      <c r="C3089" s="32">
        <v>49218</v>
      </c>
      <c r="D3089" s="32" t="s">
        <v>87</v>
      </c>
      <c r="E3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0" spans="1:6" x14ac:dyDescent="0.35">
      <c r="A3090" s="3">
        <v>34975527403</v>
      </c>
      <c r="B3090" s="3">
        <v>288</v>
      </c>
      <c r="C3090" s="32">
        <v>49218</v>
      </c>
      <c r="D3090" s="32">
        <v>49309</v>
      </c>
      <c r="E3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91" spans="1:6" x14ac:dyDescent="0.35">
      <c r="A3091" s="3">
        <v>88985442349</v>
      </c>
      <c r="B3091" s="3">
        <v>297</v>
      </c>
      <c r="C3091" s="32">
        <v>49218</v>
      </c>
      <c r="D3091" s="32" t="s">
        <v>87</v>
      </c>
      <c r="E3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2" spans="1:6" x14ac:dyDescent="0.35">
      <c r="A3092" s="3">
        <v>70586292878</v>
      </c>
      <c r="B3092" s="3">
        <v>301</v>
      </c>
      <c r="C3092" s="32">
        <v>49218</v>
      </c>
      <c r="D3092" s="32" t="s">
        <v>87</v>
      </c>
      <c r="E3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3" spans="1:6" x14ac:dyDescent="0.35">
      <c r="A3093" s="3">
        <v>29607532301</v>
      </c>
      <c r="B3093" s="3">
        <v>303</v>
      </c>
      <c r="C3093" s="32">
        <v>49218</v>
      </c>
      <c r="D3093" s="32" t="s">
        <v>87</v>
      </c>
      <c r="E3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4" spans="1:6" x14ac:dyDescent="0.35">
      <c r="A3094" s="3">
        <v>81588566520</v>
      </c>
      <c r="B3094" s="3">
        <v>315</v>
      </c>
      <c r="C3094" s="32">
        <v>49218</v>
      </c>
      <c r="D3094" s="32" t="s">
        <v>87</v>
      </c>
      <c r="E3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5" spans="1:6" x14ac:dyDescent="0.35">
      <c r="A3095" s="3">
        <v>74745934023</v>
      </c>
      <c r="B3095" s="3">
        <v>317</v>
      </c>
      <c r="C3095" s="32">
        <v>49218</v>
      </c>
      <c r="D3095" s="32" t="s">
        <v>87</v>
      </c>
      <c r="E3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6" spans="1:6" x14ac:dyDescent="0.35">
      <c r="A3096" s="3">
        <v>78640464087</v>
      </c>
      <c r="B3096" s="3">
        <v>317</v>
      </c>
      <c r="C3096" s="32">
        <v>49218</v>
      </c>
      <c r="D3096" s="32">
        <v>49325</v>
      </c>
      <c r="E3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97" spans="1:6" x14ac:dyDescent="0.35">
      <c r="A3097" s="3">
        <v>60650446474</v>
      </c>
      <c r="B3097" s="3">
        <v>320</v>
      </c>
      <c r="C3097" s="32">
        <v>49218</v>
      </c>
      <c r="D3097" s="32">
        <v>49289</v>
      </c>
      <c r="E3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98" spans="1:6" x14ac:dyDescent="0.35">
      <c r="A3098" s="3">
        <v>36937495184</v>
      </c>
      <c r="B3098" s="3">
        <v>326</v>
      </c>
      <c r="C3098" s="32">
        <v>49218</v>
      </c>
      <c r="D3098" s="32" t="s">
        <v>87</v>
      </c>
      <c r="E3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9" spans="1:6" x14ac:dyDescent="0.35">
      <c r="A3099" s="3">
        <v>64613616072</v>
      </c>
      <c r="B3099" s="3">
        <v>0</v>
      </c>
      <c r="C3099" s="32">
        <v>49219</v>
      </c>
      <c r="D3099" s="32">
        <v>49268</v>
      </c>
      <c r="E3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0" spans="1:6" x14ac:dyDescent="0.35">
      <c r="A3100" s="3">
        <v>34476946544</v>
      </c>
      <c r="B3100" s="3">
        <v>8</v>
      </c>
      <c r="C3100" s="32">
        <v>49219</v>
      </c>
      <c r="D3100" s="32" t="s">
        <v>87</v>
      </c>
      <c r="E3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1" spans="1:6" x14ac:dyDescent="0.35">
      <c r="A3101" s="3">
        <v>34357081515</v>
      </c>
      <c r="B3101" s="3">
        <v>18</v>
      </c>
      <c r="C3101" s="32">
        <v>49219</v>
      </c>
      <c r="D3101" s="32">
        <v>49326</v>
      </c>
      <c r="E3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02" spans="1:6" x14ac:dyDescent="0.35">
      <c r="A3102" s="3">
        <v>59614889926</v>
      </c>
      <c r="B3102" s="3">
        <v>19</v>
      </c>
      <c r="C3102" s="32">
        <v>49219</v>
      </c>
      <c r="D3102" s="32" t="s">
        <v>87</v>
      </c>
      <c r="E3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3" spans="1:6" x14ac:dyDescent="0.35">
      <c r="A3103" s="3">
        <v>90556119079</v>
      </c>
      <c r="B3103" s="3">
        <v>33</v>
      </c>
      <c r="C3103" s="32">
        <v>49219</v>
      </c>
      <c r="D3103" s="32">
        <v>49271</v>
      </c>
      <c r="E3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4" spans="1:6" x14ac:dyDescent="0.35">
      <c r="A3104" s="3">
        <v>87537082431</v>
      </c>
      <c r="B3104" s="3">
        <v>43</v>
      </c>
      <c r="C3104" s="32">
        <v>49219</v>
      </c>
      <c r="D3104" s="32">
        <v>49269</v>
      </c>
      <c r="E3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5" spans="1:6" x14ac:dyDescent="0.35">
      <c r="A3105" s="3">
        <v>74787910243</v>
      </c>
      <c r="B3105" s="3">
        <v>49</v>
      </c>
      <c r="C3105" s="32">
        <v>49219</v>
      </c>
      <c r="D3105" s="32" t="s">
        <v>87</v>
      </c>
      <c r="E3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6" spans="1:6" x14ac:dyDescent="0.35">
      <c r="A3106" s="3">
        <v>64105522125</v>
      </c>
      <c r="B3106" s="3">
        <v>95</v>
      </c>
      <c r="C3106" s="32">
        <v>49219</v>
      </c>
      <c r="D3106" s="32">
        <v>49314</v>
      </c>
      <c r="E3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07" spans="1:6" x14ac:dyDescent="0.35">
      <c r="A3107" s="3">
        <v>65087052025</v>
      </c>
      <c r="B3107" s="3">
        <v>118</v>
      </c>
      <c r="C3107" s="32">
        <v>49219</v>
      </c>
      <c r="D3107" s="32" t="s">
        <v>87</v>
      </c>
      <c r="E3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8" spans="1:6" x14ac:dyDescent="0.35">
      <c r="A3108" s="3">
        <v>57343594933</v>
      </c>
      <c r="B3108" s="3">
        <v>119</v>
      </c>
      <c r="C3108" s="32">
        <v>49219</v>
      </c>
      <c r="D3108" s="32" t="s">
        <v>87</v>
      </c>
      <c r="E3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9" spans="1:6" x14ac:dyDescent="0.35">
      <c r="A3109" s="3">
        <v>63035551017</v>
      </c>
      <c r="B3109" s="3">
        <v>149</v>
      </c>
      <c r="C3109" s="32">
        <v>49219</v>
      </c>
      <c r="D3109" s="32">
        <v>49284</v>
      </c>
      <c r="E3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10" spans="1:6" x14ac:dyDescent="0.35">
      <c r="A3110" s="3">
        <v>81375624905</v>
      </c>
      <c r="B3110" s="3">
        <v>170</v>
      </c>
      <c r="C3110" s="32">
        <v>49219</v>
      </c>
      <c r="D3110" s="32" t="s">
        <v>87</v>
      </c>
      <c r="E3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1" spans="1:6" x14ac:dyDescent="0.35">
      <c r="A3111" s="3">
        <v>70002133541</v>
      </c>
      <c r="B3111" s="3">
        <v>170</v>
      </c>
      <c r="C3111" s="32">
        <v>49219</v>
      </c>
      <c r="D3111" s="32">
        <v>49300</v>
      </c>
      <c r="E3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12" spans="1:6" x14ac:dyDescent="0.35">
      <c r="A3112" s="3">
        <v>15110517907</v>
      </c>
      <c r="B3112" s="3">
        <v>189</v>
      </c>
      <c r="C3112" s="32">
        <v>49219</v>
      </c>
      <c r="D3112" s="32" t="s">
        <v>87</v>
      </c>
      <c r="E3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3" spans="1:6" x14ac:dyDescent="0.35">
      <c r="A3113" s="3">
        <v>82614362556</v>
      </c>
      <c r="B3113" s="3">
        <v>192</v>
      </c>
      <c r="C3113" s="32">
        <v>49219</v>
      </c>
      <c r="D3113" s="32" t="s">
        <v>87</v>
      </c>
      <c r="E3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4" spans="1:6" x14ac:dyDescent="0.35">
      <c r="A3114" s="3">
        <v>90280762469</v>
      </c>
      <c r="B3114" s="3">
        <v>211</v>
      </c>
      <c r="C3114" s="32">
        <v>49219</v>
      </c>
      <c r="D3114" s="32" t="s">
        <v>87</v>
      </c>
      <c r="E3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5" spans="1:6" x14ac:dyDescent="0.35">
      <c r="A3115" s="3">
        <v>89931160570</v>
      </c>
      <c r="B3115" s="3">
        <v>230</v>
      </c>
      <c r="C3115" s="32">
        <v>49219</v>
      </c>
      <c r="D3115" s="32" t="s">
        <v>87</v>
      </c>
      <c r="E3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6" spans="1:6" x14ac:dyDescent="0.35">
      <c r="A3116" s="3">
        <v>82760802054</v>
      </c>
      <c r="B3116" s="3">
        <v>239</v>
      </c>
      <c r="C3116" s="32">
        <v>49219</v>
      </c>
      <c r="D3116" s="32" t="s">
        <v>87</v>
      </c>
      <c r="E3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7" spans="1:6" x14ac:dyDescent="0.35">
      <c r="A3117" s="3">
        <v>19065228033</v>
      </c>
      <c r="B3117" s="3">
        <v>267</v>
      </c>
      <c r="C3117" s="32">
        <v>49219</v>
      </c>
      <c r="D3117" s="32" t="s">
        <v>87</v>
      </c>
      <c r="E3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8" spans="1:6" x14ac:dyDescent="0.35">
      <c r="A3118" s="3">
        <v>56935189482</v>
      </c>
      <c r="B3118" s="3">
        <v>308</v>
      </c>
      <c r="C3118" s="32">
        <v>49219</v>
      </c>
      <c r="D3118" s="32"/>
      <c r="E3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9" spans="1:6" x14ac:dyDescent="0.35">
      <c r="A3119" s="3">
        <v>58796466481</v>
      </c>
      <c r="B3119" s="3">
        <v>324</v>
      </c>
      <c r="C3119" s="32">
        <v>49219</v>
      </c>
      <c r="D3119" s="32">
        <v>49297</v>
      </c>
      <c r="E3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20" spans="1:6" x14ac:dyDescent="0.35">
      <c r="A3120" s="3">
        <v>56352367597</v>
      </c>
      <c r="B3120" s="3">
        <v>325</v>
      </c>
      <c r="C3120" s="32">
        <v>49219</v>
      </c>
      <c r="D3120" s="32" t="s">
        <v>87</v>
      </c>
      <c r="E3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1" spans="1:6" x14ac:dyDescent="0.35">
      <c r="A3121" s="3">
        <v>96359961287</v>
      </c>
      <c r="B3121" s="3">
        <v>326</v>
      </c>
      <c r="C3121" s="32">
        <v>49219</v>
      </c>
      <c r="D3121" s="32" t="s">
        <v>87</v>
      </c>
      <c r="E3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2" spans="1:6" x14ac:dyDescent="0.35">
      <c r="A3122" s="3">
        <v>72828981104</v>
      </c>
      <c r="B3122" s="3">
        <v>334</v>
      </c>
      <c r="C3122" s="32">
        <v>49219</v>
      </c>
      <c r="D3122" s="32" t="s">
        <v>87</v>
      </c>
      <c r="E3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3" spans="1:6" x14ac:dyDescent="0.35">
      <c r="A3123" s="3">
        <v>80238258917</v>
      </c>
      <c r="B3123" s="3">
        <v>4</v>
      </c>
      <c r="C3123" s="32">
        <v>49220</v>
      </c>
      <c r="D3123" s="32">
        <v>49310</v>
      </c>
      <c r="E3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24" spans="1:6" x14ac:dyDescent="0.35">
      <c r="A3124" s="3">
        <v>56662805953</v>
      </c>
      <c r="B3124" s="3">
        <v>28</v>
      </c>
      <c r="C3124" s="32">
        <v>49220</v>
      </c>
      <c r="D3124" s="32" t="s">
        <v>87</v>
      </c>
      <c r="E3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5" spans="1:6" x14ac:dyDescent="0.35">
      <c r="A3125" s="3">
        <v>67570902592</v>
      </c>
      <c r="B3125" s="3">
        <v>64</v>
      </c>
      <c r="C3125" s="32">
        <v>49220</v>
      </c>
      <c r="D3125" s="32" t="s">
        <v>87</v>
      </c>
      <c r="E3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6" spans="1:6" x14ac:dyDescent="0.35">
      <c r="A3126" s="3">
        <v>23680690339</v>
      </c>
      <c r="B3126" s="3">
        <v>98</v>
      </c>
      <c r="C3126" s="32">
        <v>49220</v>
      </c>
      <c r="D3126" s="32" t="s">
        <v>87</v>
      </c>
      <c r="E3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7" spans="1:6" x14ac:dyDescent="0.35">
      <c r="A3127" s="3">
        <v>89643518465</v>
      </c>
      <c r="B3127" s="3">
        <v>99</v>
      </c>
      <c r="C3127" s="32">
        <v>49220</v>
      </c>
      <c r="D3127" s="32" t="s">
        <v>87</v>
      </c>
      <c r="E3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8" spans="1:6" x14ac:dyDescent="0.35">
      <c r="A3128" s="3">
        <v>29482372589</v>
      </c>
      <c r="B3128" s="3">
        <v>122</v>
      </c>
      <c r="C3128" s="32">
        <v>49220</v>
      </c>
      <c r="D3128" s="32" t="s">
        <v>87</v>
      </c>
      <c r="E3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9" spans="1:6" x14ac:dyDescent="0.35">
      <c r="A3129" s="3">
        <v>54176670207</v>
      </c>
      <c r="B3129" s="3">
        <v>127</v>
      </c>
      <c r="C3129" s="32">
        <v>49220</v>
      </c>
      <c r="D3129" s="32" t="s">
        <v>87</v>
      </c>
      <c r="E3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0" spans="1:6" x14ac:dyDescent="0.35">
      <c r="A3130" s="3">
        <v>70209876982</v>
      </c>
      <c r="B3130" s="3">
        <v>129</v>
      </c>
      <c r="C3130" s="32">
        <v>49220</v>
      </c>
      <c r="D3130" s="32">
        <v>49279</v>
      </c>
      <c r="E3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31" spans="1:6" x14ac:dyDescent="0.35">
      <c r="A3131" s="3">
        <v>56922942366</v>
      </c>
      <c r="B3131" s="3">
        <v>131</v>
      </c>
      <c r="C3131" s="32">
        <v>49220</v>
      </c>
      <c r="D3131" s="32" t="s">
        <v>87</v>
      </c>
      <c r="E3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2" spans="1:6" x14ac:dyDescent="0.35">
      <c r="A3132" s="3">
        <v>49090380769</v>
      </c>
      <c r="B3132" s="3">
        <v>162</v>
      </c>
      <c r="C3132" s="32">
        <v>49220</v>
      </c>
      <c r="D3132" s="32" t="s">
        <v>87</v>
      </c>
      <c r="E3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3" spans="1:6" x14ac:dyDescent="0.35">
      <c r="A3133" s="3">
        <v>65885575518</v>
      </c>
      <c r="B3133" s="3">
        <v>191</v>
      </c>
      <c r="C3133" s="32">
        <v>49220</v>
      </c>
      <c r="D3133" s="32" t="s">
        <v>87</v>
      </c>
      <c r="E3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4" spans="1:6" x14ac:dyDescent="0.35">
      <c r="A3134" s="3">
        <v>90864196169</v>
      </c>
      <c r="B3134" s="3">
        <v>193</v>
      </c>
      <c r="C3134" s="32">
        <v>49220</v>
      </c>
      <c r="D3134" s="32">
        <v>49277</v>
      </c>
      <c r="E3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35" spans="1:6" x14ac:dyDescent="0.35">
      <c r="A3135" s="3">
        <v>74062163234</v>
      </c>
      <c r="B3135" s="3">
        <v>205</v>
      </c>
      <c r="C3135" s="32">
        <v>49220</v>
      </c>
      <c r="D3135" s="32" t="s">
        <v>87</v>
      </c>
      <c r="E3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6" spans="1:6" x14ac:dyDescent="0.35">
      <c r="A3136" s="3">
        <v>94201536105</v>
      </c>
      <c r="B3136" s="3">
        <v>228</v>
      </c>
      <c r="C3136" s="32">
        <v>49220</v>
      </c>
      <c r="D3136" s="32" t="s">
        <v>87</v>
      </c>
      <c r="E3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7" spans="1:6" x14ac:dyDescent="0.35">
      <c r="A3137" s="3">
        <v>41433086614</v>
      </c>
      <c r="B3137" s="3">
        <v>228</v>
      </c>
      <c r="C3137" s="32">
        <v>49220</v>
      </c>
      <c r="D3137" s="32">
        <v>49322</v>
      </c>
      <c r="E3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38" spans="1:6" x14ac:dyDescent="0.35">
      <c r="A3138" s="3">
        <v>71194139658</v>
      </c>
      <c r="B3138" s="3">
        <v>235</v>
      </c>
      <c r="C3138" s="32">
        <v>49220</v>
      </c>
      <c r="D3138" s="32" t="s">
        <v>87</v>
      </c>
      <c r="E3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9" spans="1:6" x14ac:dyDescent="0.35">
      <c r="A3139" s="3">
        <v>99946012111</v>
      </c>
      <c r="B3139" s="3">
        <v>293</v>
      </c>
      <c r="C3139" s="32">
        <v>49220</v>
      </c>
      <c r="D3139" s="32">
        <v>49324</v>
      </c>
      <c r="E3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40" spans="1:6" x14ac:dyDescent="0.35">
      <c r="A3140" s="3">
        <v>64497290028</v>
      </c>
      <c r="B3140" s="3">
        <v>325</v>
      </c>
      <c r="C3140" s="32">
        <v>49220</v>
      </c>
      <c r="D3140" s="32" t="s">
        <v>87</v>
      </c>
      <c r="E3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1" spans="1:6" x14ac:dyDescent="0.35">
      <c r="A3141" s="3">
        <v>45958977953</v>
      </c>
      <c r="B3141" s="3">
        <v>336</v>
      </c>
      <c r="C3141" s="32">
        <v>49220</v>
      </c>
      <c r="D3141" s="32" t="s">
        <v>87</v>
      </c>
      <c r="E3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2" spans="1:6" x14ac:dyDescent="0.35">
      <c r="A3142" s="3">
        <v>96602816744</v>
      </c>
      <c r="B3142" s="3">
        <v>340</v>
      </c>
      <c r="C3142" s="32">
        <v>49220</v>
      </c>
      <c r="D3142" s="32" t="s">
        <v>87</v>
      </c>
      <c r="E3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3" spans="1:6" x14ac:dyDescent="0.35">
      <c r="A3143" s="3">
        <v>96397077767</v>
      </c>
      <c r="B3143" s="3">
        <v>4</v>
      </c>
      <c r="C3143" s="32">
        <v>49221</v>
      </c>
      <c r="D3143" s="32" t="s">
        <v>87</v>
      </c>
      <c r="E3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4" spans="1:6" x14ac:dyDescent="0.35">
      <c r="A3144" s="3">
        <v>31904705093</v>
      </c>
      <c r="B3144" s="3">
        <v>6</v>
      </c>
      <c r="C3144" s="32">
        <v>49221</v>
      </c>
      <c r="D3144" s="32" t="s">
        <v>87</v>
      </c>
      <c r="E3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5" spans="1:6" x14ac:dyDescent="0.35">
      <c r="A3145" s="3">
        <v>62839303478</v>
      </c>
      <c r="B3145" s="3">
        <v>14</v>
      </c>
      <c r="C3145" s="32">
        <v>49221</v>
      </c>
      <c r="D3145" s="32" t="s">
        <v>87</v>
      </c>
      <c r="E3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6" spans="1:6" x14ac:dyDescent="0.35">
      <c r="A3146" s="3">
        <v>43644263831</v>
      </c>
      <c r="B3146" s="3">
        <v>20</v>
      </c>
      <c r="C3146" s="32">
        <v>49221</v>
      </c>
      <c r="D3146" s="32" t="s">
        <v>87</v>
      </c>
      <c r="E3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7" spans="1:6" x14ac:dyDescent="0.35">
      <c r="A3147" s="3">
        <v>34766189472</v>
      </c>
      <c r="B3147" s="3">
        <v>41</v>
      </c>
      <c r="C3147" s="32">
        <v>49221</v>
      </c>
      <c r="D3147" s="32" t="s">
        <v>87</v>
      </c>
      <c r="E3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8" spans="1:6" x14ac:dyDescent="0.35">
      <c r="A3148" s="3">
        <v>51972542139</v>
      </c>
      <c r="B3148" s="3">
        <v>92</v>
      </c>
      <c r="C3148" s="32">
        <v>49221</v>
      </c>
      <c r="D3148" s="32" t="s">
        <v>87</v>
      </c>
      <c r="E3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9" spans="1:6" x14ac:dyDescent="0.35">
      <c r="A3149" s="3">
        <v>59968263580</v>
      </c>
      <c r="B3149" s="3">
        <v>99</v>
      </c>
      <c r="C3149" s="32">
        <v>49221</v>
      </c>
      <c r="D3149" s="32" t="s">
        <v>87</v>
      </c>
      <c r="E3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0" spans="1:6" x14ac:dyDescent="0.35">
      <c r="A3150" s="3">
        <v>86960727353</v>
      </c>
      <c r="B3150" s="3">
        <v>115</v>
      </c>
      <c r="C3150" s="32">
        <v>49221</v>
      </c>
      <c r="D3150" s="32">
        <v>49335</v>
      </c>
      <c r="E3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51" spans="1:6" x14ac:dyDescent="0.35">
      <c r="A3151" s="3">
        <v>87051335657</v>
      </c>
      <c r="B3151" s="3">
        <v>118</v>
      </c>
      <c r="C3151" s="32">
        <v>49221</v>
      </c>
      <c r="D3151" s="32">
        <v>49335</v>
      </c>
      <c r="E3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52" spans="1:6" x14ac:dyDescent="0.35">
      <c r="A3152" s="3">
        <v>35797581735</v>
      </c>
      <c r="B3152" s="3">
        <v>145</v>
      </c>
      <c r="C3152" s="32">
        <v>49221</v>
      </c>
      <c r="D3152" s="32" t="s">
        <v>87</v>
      </c>
      <c r="E3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3" spans="1:6" x14ac:dyDescent="0.35">
      <c r="A3153" s="3">
        <v>78857189707</v>
      </c>
      <c r="B3153" s="3">
        <v>163</v>
      </c>
      <c r="C3153" s="32">
        <v>49221</v>
      </c>
      <c r="D3153" s="32" t="s">
        <v>87</v>
      </c>
      <c r="E3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4" spans="1:6" x14ac:dyDescent="0.35">
      <c r="A3154" s="3">
        <v>35244990534</v>
      </c>
      <c r="B3154" s="3">
        <v>167</v>
      </c>
      <c r="C3154" s="32">
        <v>49221</v>
      </c>
      <c r="D3154" s="32" t="s">
        <v>87</v>
      </c>
      <c r="E3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5" spans="1:6" x14ac:dyDescent="0.35">
      <c r="A3155" s="3">
        <v>25391374490</v>
      </c>
      <c r="B3155" s="3">
        <v>177</v>
      </c>
      <c r="C3155" s="32">
        <v>49221</v>
      </c>
      <c r="D3155" s="32" t="s">
        <v>87</v>
      </c>
      <c r="E3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6" spans="1:6" x14ac:dyDescent="0.35">
      <c r="A3156" s="3">
        <v>97872336105</v>
      </c>
      <c r="B3156" s="3">
        <v>195</v>
      </c>
      <c r="C3156" s="32">
        <v>49221</v>
      </c>
      <c r="D3156" s="32" t="s">
        <v>87</v>
      </c>
      <c r="E3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7" spans="1:6" x14ac:dyDescent="0.35">
      <c r="A3157" s="3">
        <v>58164605794</v>
      </c>
      <c r="B3157" s="3">
        <v>215</v>
      </c>
      <c r="C3157" s="32">
        <v>49221</v>
      </c>
      <c r="D3157" s="32" t="s">
        <v>87</v>
      </c>
      <c r="E3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8" spans="1:6" x14ac:dyDescent="0.35">
      <c r="A3158" s="3">
        <v>57862725009</v>
      </c>
      <c r="B3158" s="3">
        <v>222</v>
      </c>
      <c r="C3158" s="32">
        <v>49221</v>
      </c>
      <c r="D3158" s="32" t="s">
        <v>87</v>
      </c>
      <c r="E3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9" spans="1:6" x14ac:dyDescent="0.35">
      <c r="A3159" s="3">
        <v>22940870009</v>
      </c>
      <c r="B3159" s="3">
        <v>223</v>
      </c>
      <c r="C3159" s="32">
        <v>49221</v>
      </c>
      <c r="D3159" s="32" t="s">
        <v>87</v>
      </c>
      <c r="E3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0" spans="1:6" x14ac:dyDescent="0.35">
      <c r="A3160" s="3">
        <v>84746570079</v>
      </c>
      <c r="B3160" s="3">
        <v>233</v>
      </c>
      <c r="C3160" s="32">
        <v>49221</v>
      </c>
      <c r="D3160" s="32">
        <v>49276</v>
      </c>
      <c r="E3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61" spans="1:6" x14ac:dyDescent="0.35">
      <c r="A3161" s="3">
        <v>33426858919</v>
      </c>
      <c r="B3161" s="3">
        <v>233</v>
      </c>
      <c r="C3161" s="32">
        <v>49221</v>
      </c>
      <c r="D3161" s="32" t="s">
        <v>87</v>
      </c>
      <c r="E3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2" spans="1:6" x14ac:dyDescent="0.35">
      <c r="A3162" s="3">
        <v>51109963282</v>
      </c>
      <c r="B3162" s="3">
        <v>267</v>
      </c>
      <c r="C3162" s="32">
        <v>49221</v>
      </c>
      <c r="D3162" s="32" t="s">
        <v>87</v>
      </c>
      <c r="E3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3" spans="1:6" x14ac:dyDescent="0.35">
      <c r="A3163" s="3">
        <v>58212405077</v>
      </c>
      <c r="B3163" s="3">
        <v>0</v>
      </c>
      <c r="C3163" s="32">
        <v>49222</v>
      </c>
      <c r="D3163" s="32" t="s">
        <v>87</v>
      </c>
      <c r="E3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4" spans="1:6" x14ac:dyDescent="0.35">
      <c r="A3164" s="3">
        <v>66448161871</v>
      </c>
      <c r="B3164" s="3">
        <v>2</v>
      </c>
      <c r="C3164" s="32">
        <v>49222</v>
      </c>
      <c r="D3164" s="32" t="s">
        <v>87</v>
      </c>
      <c r="E3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5" spans="1:6" x14ac:dyDescent="0.35">
      <c r="A3165" s="3">
        <v>19727163711</v>
      </c>
      <c r="B3165" s="3">
        <v>76</v>
      </c>
      <c r="C3165" s="32">
        <v>49222</v>
      </c>
      <c r="D3165" s="32">
        <v>49242</v>
      </c>
      <c r="E3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166" spans="1:6" x14ac:dyDescent="0.35">
      <c r="A3166" s="3">
        <v>32417274520</v>
      </c>
      <c r="B3166" s="3">
        <v>116</v>
      </c>
      <c r="C3166" s="32">
        <v>49222</v>
      </c>
      <c r="D3166" s="32">
        <v>49321</v>
      </c>
      <c r="E3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67" spans="1:6" x14ac:dyDescent="0.35">
      <c r="A3167" s="3">
        <v>75506101587</v>
      </c>
      <c r="B3167" s="3">
        <v>153</v>
      </c>
      <c r="C3167" s="32">
        <v>49222</v>
      </c>
      <c r="D3167" s="32" t="s">
        <v>87</v>
      </c>
      <c r="E3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8" spans="1:6" x14ac:dyDescent="0.35">
      <c r="A3168" s="3">
        <v>25371630028</v>
      </c>
      <c r="B3168" s="3">
        <v>164</v>
      </c>
      <c r="C3168" s="32">
        <v>49222</v>
      </c>
      <c r="D3168" s="32" t="s">
        <v>87</v>
      </c>
      <c r="E3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9" spans="1:6" x14ac:dyDescent="0.35">
      <c r="A3169" s="3">
        <v>28605671830</v>
      </c>
      <c r="B3169" s="3">
        <v>189</v>
      </c>
      <c r="C3169" s="32">
        <v>49222</v>
      </c>
      <c r="D3169" s="32" t="s">
        <v>87</v>
      </c>
      <c r="E3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0" spans="1:6" x14ac:dyDescent="0.35">
      <c r="A3170" s="3">
        <v>93564386691</v>
      </c>
      <c r="B3170" s="3">
        <v>193</v>
      </c>
      <c r="C3170" s="32">
        <v>49222</v>
      </c>
      <c r="D3170" s="32" t="s">
        <v>87</v>
      </c>
      <c r="E3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1" spans="1:6" x14ac:dyDescent="0.35">
      <c r="A3171" s="3">
        <v>25616960129</v>
      </c>
      <c r="B3171" s="3">
        <v>204</v>
      </c>
      <c r="C3171" s="32">
        <v>49222</v>
      </c>
      <c r="D3171" s="32" t="s">
        <v>87</v>
      </c>
      <c r="E3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2" spans="1:6" x14ac:dyDescent="0.35">
      <c r="A3172" s="3">
        <v>11144554065</v>
      </c>
      <c r="B3172" s="3">
        <v>204</v>
      </c>
      <c r="C3172" s="32">
        <v>49222</v>
      </c>
      <c r="D3172" s="32">
        <v>49297</v>
      </c>
      <c r="E3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3" spans="1:6" x14ac:dyDescent="0.35">
      <c r="A3173" s="3">
        <v>43603144545</v>
      </c>
      <c r="B3173" s="3">
        <v>209</v>
      </c>
      <c r="C3173" s="32">
        <v>49222</v>
      </c>
      <c r="D3173" s="32" t="s">
        <v>87</v>
      </c>
      <c r="E3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4" spans="1:6" x14ac:dyDescent="0.35">
      <c r="A3174" s="3">
        <v>91193358546</v>
      </c>
      <c r="B3174" s="3">
        <v>212</v>
      </c>
      <c r="C3174" s="32">
        <v>49222</v>
      </c>
      <c r="D3174" s="32">
        <v>49282</v>
      </c>
      <c r="E3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5" spans="1:6" x14ac:dyDescent="0.35">
      <c r="A3175" s="3">
        <v>36139501955</v>
      </c>
      <c r="B3175" s="3">
        <v>254</v>
      </c>
      <c r="C3175" s="32">
        <v>49222</v>
      </c>
      <c r="D3175" s="32" t="s">
        <v>87</v>
      </c>
      <c r="E3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6" spans="1:6" x14ac:dyDescent="0.35">
      <c r="A3176" s="3">
        <v>14555969825</v>
      </c>
      <c r="B3176" s="3">
        <v>277</v>
      </c>
      <c r="C3176" s="32">
        <v>49222</v>
      </c>
      <c r="D3176" s="32">
        <v>49288</v>
      </c>
      <c r="E3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7" spans="1:6" x14ac:dyDescent="0.35">
      <c r="A3177" s="3">
        <v>59353316326</v>
      </c>
      <c r="B3177" s="3">
        <v>280</v>
      </c>
      <c r="C3177" s="32">
        <v>49222</v>
      </c>
      <c r="D3177" s="32">
        <v>49260</v>
      </c>
      <c r="E3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78" spans="1:6" x14ac:dyDescent="0.35">
      <c r="A3178" s="3">
        <v>41971205795</v>
      </c>
      <c r="B3178" s="3">
        <v>319</v>
      </c>
      <c r="C3178" s="32">
        <v>49222</v>
      </c>
      <c r="D3178" s="32">
        <v>49250</v>
      </c>
      <c r="E3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79" spans="1:6" x14ac:dyDescent="0.35">
      <c r="A3179" s="3">
        <v>46102833460</v>
      </c>
      <c r="B3179" s="3">
        <v>7</v>
      </c>
      <c r="C3179" s="32">
        <v>49223</v>
      </c>
      <c r="D3179" s="32" t="s">
        <v>87</v>
      </c>
      <c r="E3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0" spans="1:6" x14ac:dyDescent="0.35">
      <c r="A3180" s="3">
        <v>41586471581</v>
      </c>
      <c r="B3180" s="3">
        <v>22</v>
      </c>
      <c r="C3180" s="32">
        <v>49223</v>
      </c>
      <c r="D3180" s="32">
        <v>49336</v>
      </c>
      <c r="E3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81" spans="1:6" x14ac:dyDescent="0.35">
      <c r="A3181" s="3">
        <v>74658431822</v>
      </c>
      <c r="B3181" s="3">
        <v>36</v>
      </c>
      <c r="C3181" s="32">
        <v>49223</v>
      </c>
      <c r="D3181" s="32" t="s">
        <v>87</v>
      </c>
      <c r="E3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2" spans="1:6" x14ac:dyDescent="0.35">
      <c r="A3182" s="3">
        <v>22966967367</v>
      </c>
      <c r="B3182" s="3">
        <v>37</v>
      </c>
      <c r="C3182" s="32">
        <v>49223</v>
      </c>
      <c r="D3182" s="32">
        <v>49227</v>
      </c>
      <c r="E3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183" spans="1:6" x14ac:dyDescent="0.35">
      <c r="A3183" s="3">
        <v>20827397657</v>
      </c>
      <c r="B3183" s="3">
        <v>38</v>
      </c>
      <c r="C3183" s="32">
        <v>49223</v>
      </c>
      <c r="D3183" s="32">
        <v>49282</v>
      </c>
      <c r="E3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84" spans="1:6" x14ac:dyDescent="0.35">
      <c r="A3184" s="3">
        <v>98516292889</v>
      </c>
      <c r="B3184" s="3">
        <v>55</v>
      </c>
      <c r="C3184" s="32">
        <v>49223</v>
      </c>
      <c r="D3184" s="32" t="s">
        <v>87</v>
      </c>
      <c r="E3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5" spans="1:6" x14ac:dyDescent="0.35">
      <c r="A3185" s="3">
        <v>79521546734</v>
      </c>
      <c r="B3185" s="3">
        <v>68</v>
      </c>
      <c r="C3185" s="32">
        <v>49223</v>
      </c>
      <c r="D3185" s="32" t="s">
        <v>87</v>
      </c>
      <c r="E3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6" spans="1:6" x14ac:dyDescent="0.35">
      <c r="A3186" s="3">
        <v>93078833188</v>
      </c>
      <c r="B3186" s="3">
        <v>80</v>
      </c>
      <c r="C3186" s="32">
        <v>49223</v>
      </c>
      <c r="D3186" s="32" t="s">
        <v>87</v>
      </c>
      <c r="E3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7" spans="1:6" x14ac:dyDescent="0.35">
      <c r="A3187" s="3">
        <v>49129927497</v>
      </c>
      <c r="B3187" s="3">
        <v>81</v>
      </c>
      <c r="C3187" s="32">
        <v>49223</v>
      </c>
      <c r="D3187" s="32" t="s">
        <v>87</v>
      </c>
      <c r="E3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8" spans="1:6" x14ac:dyDescent="0.35">
      <c r="A3188" s="3">
        <v>60800299232</v>
      </c>
      <c r="B3188" s="3">
        <v>93</v>
      </c>
      <c r="C3188" s="32">
        <v>49223</v>
      </c>
      <c r="D3188" s="32" t="s">
        <v>87</v>
      </c>
      <c r="E3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9" spans="1:6" x14ac:dyDescent="0.35">
      <c r="A3189" s="3">
        <v>74427240040</v>
      </c>
      <c r="B3189" s="3">
        <v>95</v>
      </c>
      <c r="C3189" s="32">
        <v>49223</v>
      </c>
      <c r="D3189" s="32" t="s">
        <v>87</v>
      </c>
      <c r="E3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0" spans="1:6" x14ac:dyDescent="0.35">
      <c r="A3190" s="3">
        <v>79786017157</v>
      </c>
      <c r="B3190" s="3">
        <v>117</v>
      </c>
      <c r="C3190" s="32">
        <v>49223</v>
      </c>
      <c r="D3190" s="32"/>
      <c r="E3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1" spans="1:6" x14ac:dyDescent="0.35">
      <c r="A3191" s="3">
        <v>49832141580</v>
      </c>
      <c r="B3191" s="3">
        <v>117</v>
      </c>
      <c r="C3191" s="32">
        <v>49223</v>
      </c>
      <c r="D3191" s="32" t="s">
        <v>87</v>
      </c>
      <c r="E3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2" spans="1:6" x14ac:dyDescent="0.35">
      <c r="A3192" s="3">
        <v>28942893593</v>
      </c>
      <c r="B3192" s="3">
        <v>149</v>
      </c>
      <c r="C3192" s="32">
        <v>49223</v>
      </c>
      <c r="D3192" s="32" t="s">
        <v>87</v>
      </c>
      <c r="E3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3" spans="1:6" x14ac:dyDescent="0.35">
      <c r="A3193" s="3">
        <v>84679727108</v>
      </c>
      <c r="B3193" s="3">
        <v>154</v>
      </c>
      <c r="C3193" s="32">
        <v>49223</v>
      </c>
      <c r="D3193" s="32" t="s">
        <v>87</v>
      </c>
      <c r="E3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4" spans="1:6" x14ac:dyDescent="0.35">
      <c r="A3194" s="3">
        <v>33631181674</v>
      </c>
      <c r="B3194" s="3">
        <v>214</v>
      </c>
      <c r="C3194" s="32">
        <v>49223</v>
      </c>
      <c r="D3194" s="32" t="s">
        <v>87</v>
      </c>
      <c r="E3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5" spans="1:6" x14ac:dyDescent="0.35">
      <c r="A3195" s="3">
        <v>61661110358</v>
      </c>
      <c r="B3195" s="3">
        <v>217</v>
      </c>
      <c r="C3195" s="32">
        <v>49223</v>
      </c>
      <c r="D3195" s="32" t="s">
        <v>87</v>
      </c>
      <c r="E3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6" spans="1:6" x14ac:dyDescent="0.35">
      <c r="A3196" s="3">
        <v>59582244093</v>
      </c>
      <c r="B3196" s="3">
        <v>218</v>
      </c>
      <c r="C3196" s="32">
        <v>49223</v>
      </c>
      <c r="D3196" s="32"/>
      <c r="E3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7" spans="1:6" x14ac:dyDescent="0.35">
      <c r="A3197" s="3">
        <v>58890378597</v>
      </c>
      <c r="B3197" s="3">
        <v>231</v>
      </c>
      <c r="C3197" s="32">
        <v>49223</v>
      </c>
      <c r="D3197" s="32" t="s">
        <v>87</v>
      </c>
      <c r="E3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8" spans="1:6" x14ac:dyDescent="0.35">
      <c r="A3198" s="3">
        <v>86451688347</v>
      </c>
      <c r="B3198" s="3">
        <v>269</v>
      </c>
      <c r="C3198" s="32">
        <v>49223</v>
      </c>
      <c r="D3198" s="32" t="s">
        <v>87</v>
      </c>
      <c r="E3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9" spans="1:6" x14ac:dyDescent="0.35">
      <c r="A3199" s="3">
        <v>29216232331</v>
      </c>
      <c r="B3199" s="3">
        <v>279</v>
      </c>
      <c r="C3199" s="32">
        <v>49223</v>
      </c>
      <c r="D3199" s="32">
        <v>49280</v>
      </c>
      <c r="E3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00" spans="1:6" x14ac:dyDescent="0.35">
      <c r="A3200" s="3">
        <v>87343011752</v>
      </c>
      <c r="B3200" s="3">
        <v>299</v>
      </c>
      <c r="C3200" s="32">
        <v>49223</v>
      </c>
      <c r="D3200" s="32" t="s">
        <v>87</v>
      </c>
      <c r="E3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1" spans="1:6" x14ac:dyDescent="0.35">
      <c r="A3201" s="3">
        <v>25040747423</v>
      </c>
      <c r="B3201" s="3">
        <v>311</v>
      </c>
      <c r="C3201" s="32">
        <v>49223</v>
      </c>
      <c r="D3201" s="32" t="s">
        <v>87</v>
      </c>
      <c r="E3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2" spans="1:6" x14ac:dyDescent="0.35">
      <c r="A3202" s="3">
        <v>66637482579</v>
      </c>
      <c r="B3202" s="3">
        <v>312</v>
      </c>
      <c r="C3202" s="32">
        <v>49223</v>
      </c>
      <c r="D3202" s="32">
        <v>49243</v>
      </c>
      <c r="E3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03" spans="1:6" x14ac:dyDescent="0.35">
      <c r="A3203" s="3">
        <v>94593918989</v>
      </c>
      <c r="B3203" s="3">
        <v>8</v>
      </c>
      <c r="C3203" s="32">
        <v>49224</v>
      </c>
      <c r="D3203" s="32" t="s">
        <v>87</v>
      </c>
      <c r="E3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4" spans="1:6" x14ac:dyDescent="0.35">
      <c r="A3204" s="3">
        <v>11897495697</v>
      </c>
      <c r="B3204" s="3">
        <v>33</v>
      </c>
      <c r="C3204" s="32">
        <v>49224</v>
      </c>
      <c r="D3204" s="32" t="s">
        <v>87</v>
      </c>
      <c r="E3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5" spans="1:6" x14ac:dyDescent="0.35">
      <c r="A3205" s="3">
        <v>80320348378</v>
      </c>
      <c r="B3205" s="3">
        <v>41</v>
      </c>
      <c r="C3205" s="32">
        <v>49224</v>
      </c>
      <c r="D3205" s="32" t="s">
        <v>87</v>
      </c>
      <c r="E3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6" spans="1:6" x14ac:dyDescent="0.35">
      <c r="A3206" s="3">
        <v>74831319817</v>
      </c>
      <c r="B3206" s="3">
        <v>52</v>
      </c>
      <c r="C3206" s="32">
        <v>49224</v>
      </c>
      <c r="D3206" s="32" t="s">
        <v>87</v>
      </c>
      <c r="E3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7" spans="1:6" x14ac:dyDescent="0.35">
      <c r="A3207" s="3">
        <v>31176471490</v>
      </c>
      <c r="B3207" s="3">
        <v>61</v>
      </c>
      <c r="C3207" s="32">
        <v>49224</v>
      </c>
      <c r="D3207" s="32">
        <v>49264</v>
      </c>
      <c r="E3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08" spans="1:6" x14ac:dyDescent="0.35">
      <c r="A3208" s="3">
        <v>86447891542</v>
      </c>
      <c r="B3208" s="3">
        <v>72</v>
      </c>
      <c r="C3208" s="32">
        <v>49224</v>
      </c>
      <c r="D3208" s="32">
        <v>49228</v>
      </c>
      <c r="E3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09" spans="1:6" x14ac:dyDescent="0.35">
      <c r="A3209" s="3">
        <v>51391777055</v>
      </c>
      <c r="B3209" s="3">
        <v>85</v>
      </c>
      <c r="C3209" s="32">
        <v>49224</v>
      </c>
      <c r="D3209" s="32" t="s">
        <v>87</v>
      </c>
      <c r="E3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0" spans="1:6" x14ac:dyDescent="0.35">
      <c r="A3210" s="3">
        <v>13223825461</v>
      </c>
      <c r="B3210" s="3">
        <v>88</v>
      </c>
      <c r="C3210" s="32">
        <v>49224</v>
      </c>
      <c r="D3210" s="32" t="s">
        <v>87</v>
      </c>
      <c r="E3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1" spans="1:6" x14ac:dyDescent="0.35">
      <c r="A3211" s="3">
        <v>40580513983</v>
      </c>
      <c r="B3211" s="3">
        <v>98</v>
      </c>
      <c r="C3211" s="32">
        <v>49224</v>
      </c>
      <c r="D3211" s="32" t="s">
        <v>87</v>
      </c>
      <c r="E3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2" spans="1:6" x14ac:dyDescent="0.35">
      <c r="A3212" s="3">
        <v>48810627404</v>
      </c>
      <c r="B3212" s="3">
        <v>138</v>
      </c>
      <c r="C3212" s="32">
        <v>49224</v>
      </c>
      <c r="D3212" s="32" t="s">
        <v>87</v>
      </c>
      <c r="E3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3" spans="1:6" x14ac:dyDescent="0.35">
      <c r="A3213" s="3">
        <v>90777250296</v>
      </c>
      <c r="B3213" s="3">
        <v>140</v>
      </c>
      <c r="C3213" s="32">
        <v>49224</v>
      </c>
      <c r="D3213" s="32" t="s">
        <v>87</v>
      </c>
      <c r="E3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4" spans="1:6" x14ac:dyDescent="0.35">
      <c r="A3214" s="3">
        <v>75056841591</v>
      </c>
      <c r="B3214" s="3">
        <v>147</v>
      </c>
      <c r="C3214" s="32">
        <v>49224</v>
      </c>
      <c r="D3214" s="32" t="s">
        <v>87</v>
      </c>
      <c r="E3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5" spans="1:6" x14ac:dyDescent="0.35">
      <c r="A3215" s="3">
        <v>21415062027</v>
      </c>
      <c r="B3215" s="3">
        <v>174</v>
      </c>
      <c r="C3215" s="32">
        <v>49224</v>
      </c>
      <c r="D3215" s="32" t="s">
        <v>87</v>
      </c>
      <c r="E3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6" spans="1:6" x14ac:dyDescent="0.35">
      <c r="A3216" s="3">
        <v>72672441699</v>
      </c>
      <c r="B3216" s="3">
        <v>203</v>
      </c>
      <c r="C3216" s="32">
        <v>49224</v>
      </c>
      <c r="D3216" s="32" t="s">
        <v>87</v>
      </c>
      <c r="E3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7" spans="1:6" x14ac:dyDescent="0.35">
      <c r="A3217" s="3">
        <v>90565800713</v>
      </c>
      <c r="B3217" s="3">
        <v>233</v>
      </c>
      <c r="C3217" s="32">
        <v>49224</v>
      </c>
      <c r="D3217" s="32">
        <v>49292</v>
      </c>
      <c r="E3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18" spans="1:6" x14ac:dyDescent="0.35">
      <c r="A3218" s="3">
        <v>50749122838</v>
      </c>
      <c r="B3218" s="3">
        <v>248</v>
      </c>
      <c r="C3218" s="32">
        <v>49224</v>
      </c>
      <c r="D3218" s="32" t="s">
        <v>87</v>
      </c>
      <c r="E3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9" spans="1:6" x14ac:dyDescent="0.35">
      <c r="A3219" s="3">
        <v>31425042917</v>
      </c>
      <c r="B3219" s="3">
        <v>289</v>
      </c>
      <c r="C3219" s="32">
        <v>49224</v>
      </c>
      <c r="D3219" s="32" t="s">
        <v>87</v>
      </c>
      <c r="E3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0" spans="1:6" x14ac:dyDescent="0.35">
      <c r="A3220" s="3">
        <v>86136469918</v>
      </c>
      <c r="B3220" s="3">
        <v>7</v>
      </c>
      <c r="C3220" s="32">
        <v>49225</v>
      </c>
      <c r="D3220" s="32" t="s">
        <v>87</v>
      </c>
      <c r="E3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1" spans="1:6" x14ac:dyDescent="0.35">
      <c r="A3221" s="3">
        <v>58795463870</v>
      </c>
      <c r="B3221" s="3">
        <v>19</v>
      </c>
      <c r="C3221" s="32">
        <v>49225</v>
      </c>
      <c r="D3221" s="32" t="s">
        <v>87</v>
      </c>
      <c r="E3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2" spans="1:6" x14ac:dyDescent="0.35">
      <c r="A3222" s="3">
        <v>71595942425</v>
      </c>
      <c r="B3222" s="3">
        <v>30</v>
      </c>
      <c r="C3222" s="32">
        <v>49225</v>
      </c>
      <c r="D3222" s="32" t="s">
        <v>87</v>
      </c>
      <c r="E3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3" spans="1:6" x14ac:dyDescent="0.35">
      <c r="A3223" s="3">
        <v>47677680747</v>
      </c>
      <c r="B3223" s="3">
        <v>68</v>
      </c>
      <c r="C3223" s="32">
        <v>49225</v>
      </c>
      <c r="D3223" s="32" t="s">
        <v>87</v>
      </c>
      <c r="E3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4" spans="1:6" x14ac:dyDescent="0.35">
      <c r="A3224" s="3">
        <v>76458092751</v>
      </c>
      <c r="B3224" s="3">
        <v>105</v>
      </c>
      <c r="C3224" s="32">
        <v>49225</v>
      </c>
      <c r="D3224" s="32" t="s">
        <v>87</v>
      </c>
      <c r="E3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5" spans="1:6" x14ac:dyDescent="0.35">
      <c r="A3225" s="3">
        <v>87880617033</v>
      </c>
      <c r="B3225" s="3">
        <v>106</v>
      </c>
      <c r="C3225" s="32">
        <v>49225</v>
      </c>
      <c r="D3225" s="32" t="s">
        <v>87</v>
      </c>
      <c r="E3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6" spans="1:6" x14ac:dyDescent="0.35">
      <c r="A3226" s="3">
        <v>74049587347</v>
      </c>
      <c r="B3226" s="3">
        <v>115</v>
      </c>
      <c r="C3226" s="32">
        <v>49225</v>
      </c>
      <c r="D3226" s="32" t="s">
        <v>87</v>
      </c>
      <c r="E3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7" spans="1:6" x14ac:dyDescent="0.35">
      <c r="A3227" s="3">
        <v>14331031847</v>
      </c>
      <c r="B3227" s="3">
        <v>116</v>
      </c>
      <c r="C3227" s="32">
        <v>49225</v>
      </c>
      <c r="D3227" s="32" t="s">
        <v>87</v>
      </c>
      <c r="E3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8" spans="1:6" x14ac:dyDescent="0.35">
      <c r="A3228" s="3">
        <v>65106722886</v>
      </c>
      <c r="B3228" s="3">
        <v>160</v>
      </c>
      <c r="C3228" s="32">
        <v>49225</v>
      </c>
      <c r="D3228" s="32" t="s">
        <v>87</v>
      </c>
      <c r="E3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9" spans="1:6" x14ac:dyDescent="0.35">
      <c r="A3229" s="3">
        <v>79895244567</v>
      </c>
      <c r="B3229" s="3">
        <v>163</v>
      </c>
      <c r="C3229" s="32">
        <v>49225</v>
      </c>
      <c r="D3229" s="32" t="s">
        <v>87</v>
      </c>
      <c r="E3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0" spans="1:6" x14ac:dyDescent="0.35">
      <c r="A3230" s="3">
        <v>54198738770</v>
      </c>
      <c r="B3230" s="3">
        <v>181</v>
      </c>
      <c r="C3230" s="32">
        <v>49225</v>
      </c>
      <c r="D3230" s="32" t="s">
        <v>87</v>
      </c>
      <c r="E3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1" spans="1:6" x14ac:dyDescent="0.35">
      <c r="A3231" s="3">
        <v>23141217648</v>
      </c>
      <c r="B3231" s="3">
        <v>215</v>
      </c>
      <c r="C3231" s="32">
        <v>49225</v>
      </c>
      <c r="D3231" s="32">
        <v>49304</v>
      </c>
      <c r="E3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32" spans="1:6" x14ac:dyDescent="0.35">
      <c r="A3232" s="3">
        <v>20144024440</v>
      </c>
      <c r="B3232" s="3">
        <v>217</v>
      </c>
      <c r="C3232" s="32">
        <v>49225</v>
      </c>
      <c r="D3232" s="32" t="s">
        <v>87</v>
      </c>
      <c r="E3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3" spans="1:6" x14ac:dyDescent="0.35">
      <c r="A3233" s="3">
        <v>36728286918</v>
      </c>
      <c r="B3233" s="3">
        <v>240</v>
      </c>
      <c r="C3233" s="32">
        <v>49225</v>
      </c>
      <c r="D3233" s="32" t="s">
        <v>87</v>
      </c>
      <c r="E3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4" spans="1:6" x14ac:dyDescent="0.35">
      <c r="A3234" s="3">
        <v>50007124650</v>
      </c>
      <c r="B3234" s="3">
        <v>303</v>
      </c>
      <c r="C3234" s="32">
        <v>49225</v>
      </c>
      <c r="D3234" s="32">
        <v>49255</v>
      </c>
      <c r="E3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35" spans="1:6" x14ac:dyDescent="0.35">
      <c r="A3235" s="3">
        <v>16066737671</v>
      </c>
      <c r="B3235" s="3">
        <v>339</v>
      </c>
      <c r="C3235" s="32">
        <v>49225</v>
      </c>
      <c r="D3235" s="32">
        <v>49289</v>
      </c>
      <c r="E3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36" spans="1:6" x14ac:dyDescent="0.35">
      <c r="A3236" s="3">
        <v>44106910953</v>
      </c>
      <c r="B3236" s="3">
        <v>12</v>
      </c>
      <c r="C3236" s="32">
        <v>49226</v>
      </c>
      <c r="D3236" s="32" t="s">
        <v>87</v>
      </c>
      <c r="E3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7" spans="1:6" x14ac:dyDescent="0.35">
      <c r="A3237" s="3">
        <v>25665894533</v>
      </c>
      <c r="B3237" s="3">
        <v>31</v>
      </c>
      <c r="C3237" s="32">
        <v>49226</v>
      </c>
      <c r="D3237" s="32" t="s">
        <v>87</v>
      </c>
      <c r="E3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8" spans="1:6" x14ac:dyDescent="0.35">
      <c r="A3238" s="3">
        <v>97108857956</v>
      </c>
      <c r="B3238" s="3">
        <v>39</v>
      </c>
      <c r="C3238" s="32">
        <v>49226</v>
      </c>
      <c r="D3238" s="32" t="s">
        <v>87</v>
      </c>
      <c r="E3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9" spans="1:6" x14ac:dyDescent="0.35">
      <c r="A3239" s="3">
        <v>24356434709</v>
      </c>
      <c r="B3239" s="3">
        <v>41</v>
      </c>
      <c r="C3239" s="32">
        <v>49226</v>
      </c>
      <c r="D3239" s="32" t="s">
        <v>87</v>
      </c>
      <c r="E3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0" spans="1:6" x14ac:dyDescent="0.35">
      <c r="A3240" s="3">
        <v>43254775717</v>
      </c>
      <c r="B3240" s="3">
        <v>48</v>
      </c>
      <c r="C3240" s="32">
        <v>49226</v>
      </c>
      <c r="D3240" s="32">
        <v>49265</v>
      </c>
      <c r="E3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41" spans="1:6" x14ac:dyDescent="0.35">
      <c r="A3241" s="3">
        <v>47544028394</v>
      </c>
      <c r="B3241" s="3">
        <v>50</v>
      </c>
      <c r="C3241" s="32">
        <v>49226</v>
      </c>
      <c r="D3241" s="32" t="s">
        <v>87</v>
      </c>
      <c r="E3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2" spans="1:6" x14ac:dyDescent="0.35">
      <c r="A3242" s="3">
        <v>39864884085</v>
      </c>
      <c r="B3242" s="3">
        <v>51</v>
      </c>
      <c r="C3242" s="32">
        <v>49226</v>
      </c>
      <c r="D3242" s="32" t="s">
        <v>87</v>
      </c>
      <c r="E3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3" spans="1:6" x14ac:dyDescent="0.35">
      <c r="A3243" s="3">
        <v>83750227612</v>
      </c>
      <c r="B3243" s="3">
        <v>65</v>
      </c>
      <c r="C3243" s="32">
        <v>49226</v>
      </c>
      <c r="D3243" s="32" t="s">
        <v>87</v>
      </c>
      <c r="E3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4" spans="1:6" x14ac:dyDescent="0.35">
      <c r="A3244" s="3">
        <v>27036753322</v>
      </c>
      <c r="B3244" s="3">
        <v>67</v>
      </c>
      <c r="C3244" s="32">
        <v>49226</v>
      </c>
      <c r="D3244" s="32" t="s">
        <v>87</v>
      </c>
      <c r="E3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5" spans="1:6" x14ac:dyDescent="0.35">
      <c r="A3245" s="3">
        <v>40871778046</v>
      </c>
      <c r="B3245" s="3">
        <v>93</v>
      </c>
      <c r="C3245" s="32">
        <v>49226</v>
      </c>
      <c r="D3245" s="32">
        <v>49279</v>
      </c>
      <c r="E3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46" spans="1:6" x14ac:dyDescent="0.35">
      <c r="A3246" s="3">
        <v>30745938497</v>
      </c>
      <c r="B3246" s="3">
        <v>112</v>
      </c>
      <c r="C3246" s="32">
        <v>49226</v>
      </c>
      <c r="D3246" s="32" t="s">
        <v>87</v>
      </c>
      <c r="E3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7" spans="1:6" x14ac:dyDescent="0.35">
      <c r="A3247" s="3">
        <v>27409862069</v>
      </c>
      <c r="B3247" s="3">
        <v>114</v>
      </c>
      <c r="C3247" s="32">
        <v>49226</v>
      </c>
      <c r="D3247" s="32">
        <v>49232</v>
      </c>
      <c r="E3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48" spans="1:6" x14ac:dyDescent="0.35">
      <c r="A3248" s="3">
        <v>70308603299</v>
      </c>
      <c r="B3248" s="3">
        <v>122</v>
      </c>
      <c r="C3248" s="32">
        <v>49226</v>
      </c>
      <c r="D3248" s="32" t="s">
        <v>87</v>
      </c>
      <c r="E3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9" spans="1:6" x14ac:dyDescent="0.35">
      <c r="A3249" s="3">
        <v>44411226092</v>
      </c>
      <c r="B3249" s="3">
        <v>144</v>
      </c>
      <c r="C3249" s="32">
        <v>49226</v>
      </c>
      <c r="D3249" s="32" t="s">
        <v>87</v>
      </c>
      <c r="E3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0" spans="1:6" x14ac:dyDescent="0.35">
      <c r="A3250" s="3">
        <v>37386085875</v>
      </c>
      <c r="B3250" s="3">
        <v>145</v>
      </c>
      <c r="C3250" s="32">
        <v>49226</v>
      </c>
      <c r="D3250" s="32" t="s">
        <v>87</v>
      </c>
      <c r="E3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1" spans="1:6" x14ac:dyDescent="0.35">
      <c r="A3251" s="3">
        <v>55211319840</v>
      </c>
      <c r="B3251" s="3">
        <v>166</v>
      </c>
      <c r="C3251" s="32">
        <v>49226</v>
      </c>
      <c r="D3251" s="32" t="s">
        <v>87</v>
      </c>
      <c r="E3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2" spans="1:6" x14ac:dyDescent="0.35">
      <c r="A3252" s="3">
        <v>93563433498</v>
      </c>
      <c r="B3252" s="3">
        <v>176</v>
      </c>
      <c r="C3252" s="32">
        <v>49226</v>
      </c>
      <c r="D3252" s="32" t="s">
        <v>87</v>
      </c>
      <c r="E3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3" spans="1:6" x14ac:dyDescent="0.35">
      <c r="A3253" s="3">
        <v>21860552912</v>
      </c>
      <c r="B3253" s="3">
        <v>178</v>
      </c>
      <c r="C3253" s="32">
        <v>49226</v>
      </c>
      <c r="D3253" s="32">
        <v>49287</v>
      </c>
      <c r="E3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54" spans="1:6" x14ac:dyDescent="0.35">
      <c r="A3254" s="3">
        <v>87391553579</v>
      </c>
      <c r="B3254" s="3">
        <v>180</v>
      </c>
      <c r="C3254" s="32">
        <v>49226</v>
      </c>
      <c r="D3254" s="32">
        <v>49263</v>
      </c>
      <c r="E3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55" spans="1:6" x14ac:dyDescent="0.35">
      <c r="A3255" s="3">
        <v>69639747325</v>
      </c>
      <c r="B3255" s="3">
        <v>221</v>
      </c>
      <c r="C3255" s="32">
        <v>49226</v>
      </c>
      <c r="D3255" s="32" t="s">
        <v>87</v>
      </c>
      <c r="E3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6" spans="1:6" x14ac:dyDescent="0.35">
      <c r="A3256" s="3">
        <v>77189430694</v>
      </c>
      <c r="B3256" s="3">
        <v>228</v>
      </c>
      <c r="C3256" s="32">
        <v>49226</v>
      </c>
      <c r="D3256" s="32" t="s">
        <v>87</v>
      </c>
      <c r="E3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7" spans="1:6" x14ac:dyDescent="0.35">
      <c r="A3257" s="3">
        <v>20021576922</v>
      </c>
      <c r="B3257" s="3">
        <v>252</v>
      </c>
      <c r="C3257" s="32">
        <v>49226</v>
      </c>
      <c r="D3257" s="32" t="s">
        <v>87</v>
      </c>
      <c r="E3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8" spans="1:6" x14ac:dyDescent="0.35">
      <c r="A3258" s="3">
        <v>51512481662</v>
      </c>
      <c r="B3258" s="3">
        <v>255</v>
      </c>
      <c r="C3258" s="32">
        <v>49226</v>
      </c>
      <c r="D3258" s="32">
        <v>49283</v>
      </c>
      <c r="E3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59" spans="1:6" x14ac:dyDescent="0.35">
      <c r="A3259" s="3">
        <v>71536634303</v>
      </c>
      <c r="B3259" s="3">
        <v>260</v>
      </c>
      <c r="C3259" s="32">
        <v>49226</v>
      </c>
      <c r="D3259" s="32" t="s">
        <v>87</v>
      </c>
      <c r="E3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0" spans="1:6" x14ac:dyDescent="0.35">
      <c r="A3260" s="3">
        <v>48078126332</v>
      </c>
      <c r="B3260" s="3">
        <v>262</v>
      </c>
      <c r="C3260" s="32">
        <v>49226</v>
      </c>
      <c r="D3260" s="32">
        <v>49235</v>
      </c>
      <c r="E3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61" spans="1:6" x14ac:dyDescent="0.35">
      <c r="A3261" s="3">
        <v>26926238852</v>
      </c>
      <c r="B3261" s="3">
        <v>297</v>
      </c>
      <c r="C3261" s="32">
        <v>49226</v>
      </c>
      <c r="D3261" s="32" t="s">
        <v>87</v>
      </c>
      <c r="E3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2" spans="1:6" x14ac:dyDescent="0.35">
      <c r="A3262" s="3">
        <v>90446906440</v>
      </c>
      <c r="B3262" s="3">
        <v>302</v>
      </c>
      <c r="C3262" s="32">
        <v>49226</v>
      </c>
      <c r="D3262" s="32" t="s">
        <v>87</v>
      </c>
      <c r="E3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3" spans="1:6" x14ac:dyDescent="0.35">
      <c r="A3263" s="3">
        <v>21035935046</v>
      </c>
      <c r="B3263" s="3">
        <v>320</v>
      </c>
      <c r="C3263" s="32">
        <v>49226</v>
      </c>
      <c r="D3263" s="32">
        <v>49330</v>
      </c>
      <c r="E3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64" spans="1:6" x14ac:dyDescent="0.35">
      <c r="A3264" s="3">
        <v>34615488171</v>
      </c>
      <c r="B3264" s="3">
        <v>320</v>
      </c>
      <c r="C3264" s="32">
        <v>49226</v>
      </c>
      <c r="D3264" s="32" t="s">
        <v>87</v>
      </c>
      <c r="E3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5" spans="1:6" x14ac:dyDescent="0.35">
      <c r="A3265" s="3">
        <v>23691049433</v>
      </c>
      <c r="B3265" s="3">
        <v>329</v>
      </c>
      <c r="C3265" s="32">
        <v>49226</v>
      </c>
      <c r="D3265" s="32">
        <v>49305</v>
      </c>
      <c r="E3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66" spans="1:6" x14ac:dyDescent="0.35">
      <c r="A3266" s="3">
        <v>31410562647</v>
      </c>
      <c r="B3266" s="3">
        <v>18</v>
      </c>
      <c r="C3266" s="32">
        <v>49227</v>
      </c>
      <c r="D3266" s="32" t="s">
        <v>87</v>
      </c>
      <c r="E3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7" spans="1:6" x14ac:dyDescent="0.35">
      <c r="A3267" s="3">
        <v>28969603526</v>
      </c>
      <c r="B3267" s="3">
        <v>29</v>
      </c>
      <c r="C3267" s="32">
        <v>49227</v>
      </c>
      <c r="D3267" s="32"/>
      <c r="E3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8" spans="1:6" x14ac:dyDescent="0.35">
      <c r="A3268" s="3">
        <v>14925807003</v>
      </c>
      <c r="B3268" s="3">
        <v>40</v>
      </c>
      <c r="C3268" s="32">
        <v>49227</v>
      </c>
      <c r="D3268" s="32" t="s">
        <v>87</v>
      </c>
      <c r="E3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9" spans="1:6" x14ac:dyDescent="0.35">
      <c r="A3269" s="3">
        <v>33605788037</v>
      </c>
      <c r="B3269" s="3">
        <v>46</v>
      </c>
      <c r="C3269" s="32">
        <v>49227</v>
      </c>
      <c r="D3269" s="32">
        <v>49227</v>
      </c>
      <c r="E3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70" spans="1:6" x14ac:dyDescent="0.35">
      <c r="A3270" s="3">
        <v>71688057337</v>
      </c>
      <c r="B3270" s="3">
        <v>46</v>
      </c>
      <c r="C3270" s="32">
        <v>49227</v>
      </c>
      <c r="D3270" s="32" t="s">
        <v>87</v>
      </c>
      <c r="E3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1" spans="1:6" x14ac:dyDescent="0.35">
      <c r="A3271" s="3">
        <v>74632620118</v>
      </c>
      <c r="B3271" s="3">
        <v>89</v>
      </c>
      <c r="C3271" s="32">
        <v>49227</v>
      </c>
      <c r="D3271" s="32" t="s">
        <v>87</v>
      </c>
      <c r="E3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2" spans="1:6" x14ac:dyDescent="0.35">
      <c r="A3272" s="3">
        <v>51621813477</v>
      </c>
      <c r="B3272" s="3">
        <v>102</v>
      </c>
      <c r="C3272" s="32">
        <v>49227</v>
      </c>
      <c r="D3272" s="32" t="s">
        <v>87</v>
      </c>
      <c r="E3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3" spans="1:6" x14ac:dyDescent="0.35">
      <c r="A3273" s="3">
        <v>96634616676</v>
      </c>
      <c r="B3273" s="3">
        <v>117</v>
      </c>
      <c r="C3273" s="32">
        <v>49227</v>
      </c>
      <c r="D3273" s="32" t="s">
        <v>87</v>
      </c>
      <c r="E3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4" spans="1:6" x14ac:dyDescent="0.35">
      <c r="A3274" s="3">
        <v>68368542215</v>
      </c>
      <c r="B3274" s="3">
        <v>144</v>
      </c>
      <c r="C3274" s="32">
        <v>49227</v>
      </c>
      <c r="D3274" s="32" t="s">
        <v>87</v>
      </c>
      <c r="E3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5" spans="1:6" x14ac:dyDescent="0.35">
      <c r="A3275" s="3">
        <v>79055052921</v>
      </c>
      <c r="B3275" s="3">
        <v>154</v>
      </c>
      <c r="C3275" s="32">
        <v>49227</v>
      </c>
      <c r="D3275" s="32" t="s">
        <v>87</v>
      </c>
      <c r="E3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6" spans="1:6" x14ac:dyDescent="0.35">
      <c r="A3276" s="3">
        <v>36179524148</v>
      </c>
      <c r="B3276" s="3">
        <v>160</v>
      </c>
      <c r="C3276" s="32">
        <v>49227</v>
      </c>
      <c r="D3276" s="32" t="s">
        <v>87</v>
      </c>
      <c r="E3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7" spans="1:6" x14ac:dyDescent="0.35">
      <c r="A3277" s="3">
        <v>92526915938</v>
      </c>
      <c r="B3277" s="3">
        <v>164</v>
      </c>
      <c r="C3277" s="32">
        <v>49227</v>
      </c>
      <c r="D3277" s="32" t="s">
        <v>87</v>
      </c>
      <c r="E3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8" spans="1:6" x14ac:dyDescent="0.35">
      <c r="A3278" s="3">
        <v>16625538314</v>
      </c>
      <c r="B3278" s="3">
        <v>171</v>
      </c>
      <c r="C3278" s="32">
        <v>49227</v>
      </c>
      <c r="D3278" s="32">
        <v>49313</v>
      </c>
      <c r="E3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79" spans="1:6" x14ac:dyDescent="0.35">
      <c r="A3279" s="3">
        <v>99359198495</v>
      </c>
      <c r="B3279" s="3">
        <v>185</v>
      </c>
      <c r="C3279" s="32">
        <v>49227</v>
      </c>
      <c r="D3279" s="32" t="s">
        <v>87</v>
      </c>
      <c r="E3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0" spans="1:6" x14ac:dyDescent="0.35">
      <c r="A3280" s="3">
        <v>93006068550</v>
      </c>
      <c r="B3280" s="3">
        <v>200</v>
      </c>
      <c r="C3280" s="32">
        <v>49227</v>
      </c>
      <c r="D3280" s="32" t="s">
        <v>87</v>
      </c>
      <c r="E3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1" spans="1:6" x14ac:dyDescent="0.35">
      <c r="A3281" s="3">
        <v>13445478334</v>
      </c>
      <c r="B3281" s="3">
        <v>205</v>
      </c>
      <c r="C3281" s="32">
        <v>49227</v>
      </c>
      <c r="D3281" s="32" t="s">
        <v>87</v>
      </c>
      <c r="E3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2" spans="1:6" x14ac:dyDescent="0.35">
      <c r="A3282" s="3">
        <v>70679123454</v>
      </c>
      <c r="B3282" s="3">
        <v>209</v>
      </c>
      <c r="C3282" s="32">
        <v>49227</v>
      </c>
      <c r="D3282" s="32">
        <v>49311</v>
      </c>
      <c r="E3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83" spans="1:6" x14ac:dyDescent="0.35">
      <c r="A3283" s="3">
        <v>62583239561</v>
      </c>
      <c r="B3283" s="3">
        <v>265</v>
      </c>
      <c r="C3283" s="32">
        <v>49227</v>
      </c>
      <c r="D3283" s="32" t="s">
        <v>87</v>
      </c>
      <c r="E3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4" spans="1:6" x14ac:dyDescent="0.35">
      <c r="A3284" s="3">
        <v>41536302426</v>
      </c>
      <c r="B3284" s="3">
        <v>274</v>
      </c>
      <c r="C3284" s="32">
        <v>49227</v>
      </c>
      <c r="D3284" s="32" t="s">
        <v>87</v>
      </c>
      <c r="E3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5" spans="1:6" x14ac:dyDescent="0.35">
      <c r="A3285" s="3">
        <v>52635177378</v>
      </c>
      <c r="B3285" s="3">
        <v>282</v>
      </c>
      <c r="C3285" s="32">
        <v>49227</v>
      </c>
      <c r="D3285" s="32" t="s">
        <v>87</v>
      </c>
      <c r="E3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6" spans="1:6" x14ac:dyDescent="0.35">
      <c r="A3286" s="3">
        <v>86860482500</v>
      </c>
      <c r="B3286" s="3">
        <v>284</v>
      </c>
      <c r="C3286" s="32">
        <v>49227</v>
      </c>
      <c r="D3286" s="32" t="s">
        <v>87</v>
      </c>
      <c r="E3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7" spans="1:6" x14ac:dyDescent="0.35">
      <c r="A3287" s="3">
        <v>44352773184</v>
      </c>
      <c r="B3287" s="3">
        <v>311</v>
      </c>
      <c r="C3287" s="32">
        <v>49227</v>
      </c>
      <c r="D3287" s="32" t="s">
        <v>87</v>
      </c>
      <c r="E3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8" spans="1:6" x14ac:dyDescent="0.35">
      <c r="A3288" s="3">
        <v>43532879102</v>
      </c>
      <c r="B3288" s="3">
        <v>329</v>
      </c>
      <c r="C3288" s="32">
        <v>49227</v>
      </c>
      <c r="D3288" s="32">
        <v>49241</v>
      </c>
      <c r="E3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89" spans="1:6" x14ac:dyDescent="0.35">
      <c r="A3289" s="3">
        <v>62779929114</v>
      </c>
      <c r="B3289" s="3">
        <v>21</v>
      </c>
      <c r="C3289" s="32">
        <v>49228</v>
      </c>
      <c r="D3289" s="32" t="s">
        <v>87</v>
      </c>
      <c r="E3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0" spans="1:6" x14ac:dyDescent="0.35">
      <c r="A3290" s="3">
        <v>37797323079</v>
      </c>
      <c r="B3290" s="3">
        <v>29</v>
      </c>
      <c r="C3290" s="32">
        <v>49228</v>
      </c>
      <c r="D3290" s="32">
        <v>49259</v>
      </c>
      <c r="E3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91" spans="1:6" x14ac:dyDescent="0.35">
      <c r="A3291" s="3">
        <v>40099259381</v>
      </c>
      <c r="B3291" s="3">
        <v>31</v>
      </c>
      <c r="C3291" s="32">
        <v>49228</v>
      </c>
      <c r="D3291" s="32" t="s">
        <v>87</v>
      </c>
      <c r="E3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2" spans="1:6" x14ac:dyDescent="0.35">
      <c r="A3292" s="3">
        <v>15058577605</v>
      </c>
      <c r="B3292" s="3">
        <v>32</v>
      </c>
      <c r="C3292" s="32">
        <v>49228</v>
      </c>
      <c r="D3292" s="32">
        <v>49292</v>
      </c>
      <c r="E3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93" spans="1:6" x14ac:dyDescent="0.35">
      <c r="A3293" s="3">
        <v>25119732224</v>
      </c>
      <c r="B3293" s="3">
        <v>43</v>
      </c>
      <c r="C3293" s="32">
        <v>49228</v>
      </c>
      <c r="D3293" s="32" t="s">
        <v>87</v>
      </c>
      <c r="E3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4" spans="1:6" x14ac:dyDescent="0.35">
      <c r="A3294" s="3">
        <v>75653297379</v>
      </c>
      <c r="B3294" s="3">
        <v>49</v>
      </c>
      <c r="C3294" s="32">
        <v>49228</v>
      </c>
      <c r="D3294" s="32" t="s">
        <v>87</v>
      </c>
      <c r="E3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5" spans="1:6" x14ac:dyDescent="0.35">
      <c r="A3295" s="3">
        <v>92566776811</v>
      </c>
      <c r="B3295" s="3">
        <v>81</v>
      </c>
      <c r="C3295" s="32">
        <v>49228</v>
      </c>
      <c r="D3295" s="32" t="s">
        <v>87</v>
      </c>
      <c r="E3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6" spans="1:6" x14ac:dyDescent="0.35">
      <c r="A3296" s="3">
        <v>16576654291</v>
      </c>
      <c r="B3296" s="3">
        <v>81</v>
      </c>
      <c r="C3296" s="32">
        <v>49228</v>
      </c>
      <c r="D3296" s="32" t="s">
        <v>87</v>
      </c>
      <c r="E3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7" spans="1:6" x14ac:dyDescent="0.35">
      <c r="A3297" s="3">
        <v>40688857320</v>
      </c>
      <c r="B3297" s="3">
        <v>90</v>
      </c>
      <c r="C3297" s="32">
        <v>49228</v>
      </c>
      <c r="D3297" s="32" t="s">
        <v>87</v>
      </c>
      <c r="E3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8" spans="1:6" x14ac:dyDescent="0.35">
      <c r="A3298" s="3">
        <v>24862214464</v>
      </c>
      <c r="B3298" s="3">
        <v>91</v>
      </c>
      <c r="C3298" s="32">
        <v>49228</v>
      </c>
      <c r="D3298" s="32">
        <v>49249</v>
      </c>
      <c r="E3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99" spans="1:6" x14ac:dyDescent="0.35">
      <c r="A3299" s="3">
        <v>52538018985</v>
      </c>
      <c r="B3299" s="3">
        <v>106</v>
      </c>
      <c r="C3299" s="32">
        <v>49228</v>
      </c>
      <c r="D3299" s="32">
        <v>49305</v>
      </c>
      <c r="E3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00" spans="1:6" x14ac:dyDescent="0.35">
      <c r="A3300" s="3">
        <v>94766264668</v>
      </c>
      <c r="B3300" s="3">
        <v>109</v>
      </c>
      <c r="C3300" s="32">
        <v>49228</v>
      </c>
      <c r="D3300" s="32" t="s">
        <v>87</v>
      </c>
      <c r="E3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1" spans="1:6" x14ac:dyDescent="0.35">
      <c r="A3301" s="3">
        <v>66833483124</v>
      </c>
      <c r="B3301" s="3">
        <v>124</v>
      </c>
      <c r="C3301" s="32">
        <v>49228</v>
      </c>
      <c r="D3301" s="32" t="s">
        <v>87</v>
      </c>
      <c r="E3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2" spans="1:6" x14ac:dyDescent="0.35">
      <c r="A3302" s="3">
        <v>41516605694</v>
      </c>
      <c r="B3302" s="3">
        <v>150</v>
      </c>
      <c r="C3302" s="32">
        <v>49228</v>
      </c>
      <c r="D3302" s="32" t="s">
        <v>87</v>
      </c>
      <c r="E3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3" spans="1:6" x14ac:dyDescent="0.35">
      <c r="A3303" s="3">
        <v>33520458604</v>
      </c>
      <c r="B3303" s="3">
        <v>156</v>
      </c>
      <c r="C3303" s="32">
        <v>49228</v>
      </c>
      <c r="D3303" s="32" t="s">
        <v>87</v>
      </c>
      <c r="E3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4" spans="1:6" x14ac:dyDescent="0.35">
      <c r="A3304" s="3">
        <v>65433031435</v>
      </c>
      <c r="B3304" s="3">
        <v>168</v>
      </c>
      <c r="C3304" s="32">
        <v>49228</v>
      </c>
      <c r="D3304" s="32" t="s">
        <v>87</v>
      </c>
      <c r="E3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5" spans="1:6" x14ac:dyDescent="0.35">
      <c r="A3305" s="3">
        <v>64058772297</v>
      </c>
      <c r="B3305" s="3">
        <v>199</v>
      </c>
      <c r="C3305" s="32">
        <v>49228</v>
      </c>
      <c r="D3305" s="32" t="s">
        <v>87</v>
      </c>
      <c r="E3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6" spans="1:6" x14ac:dyDescent="0.35">
      <c r="A3306" s="3">
        <v>40005211493</v>
      </c>
      <c r="B3306" s="3">
        <v>245</v>
      </c>
      <c r="C3306" s="32">
        <v>49228</v>
      </c>
      <c r="D3306" s="32" t="s">
        <v>87</v>
      </c>
      <c r="E3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7" spans="1:6" x14ac:dyDescent="0.35">
      <c r="A3307" s="3">
        <v>28046858563</v>
      </c>
      <c r="B3307" s="3">
        <v>248</v>
      </c>
      <c r="C3307" s="32">
        <v>49228</v>
      </c>
      <c r="D3307" s="32" t="s">
        <v>87</v>
      </c>
      <c r="E3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8" spans="1:6" x14ac:dyDescent="0.35">
      <c r="A3308" s="3">
        <v>48416069678</v>
      </c>
      <c r="B3308" s="3">
        <v>252</v>
      </c>
      <c r="C3308" s="32">
        <v>49228</v>
      </c>
      <c r="D3308" s="32" t="s">
        <v>87</v>
      </c>
      <c r="E3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9" spans="1:6" x14ac:dyDescent="0.35">
      <c r="A3309" s="3">
        <v>95101372104</v>
      </c>
      <c r="B3309" s="3">
        <v>279</v>
      </c>
      <c r="C3309" s="32">
        <v>49228</v>
      </c>
      <c r="D3309" s="32" t="s">
        <v>87</v>
      </c>
      <c r="E3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0" spans="1:6" x14ac:dyDescent="0.35">
      <c r="A3310" s="3">
        <v>27100417672</v>
      </c>
      <c r="B3310" s="3">
        <v>291</v>
      </c>
      <c r="C3310" s="32">
        <v>49228</v>
      </c>
      <c r="D3310" s="32" t="s">
        <v>87</v>
      </c>
      <c r="E3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1" spans="1:6" x14ac:dyDescent="0.35">
      <c r="A3311" s="3">
        <v>20466245223</v>
      </c>
      <c r="B3311" s="3">
        <v>313</v>
      </c>
      <c r="C3311" s="32">
        <v>49228</v>
      </c>
      <c r="D3311" s="32" t="s">
        <v>87</v>
      </c>
      <c r="E3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2" spans="1:6" x14ac:dyDescent="0.35">
      <c r="A3312" s="3">
        <v>15307008156</v>
      </c>
      <c r="B3312" s="3">
        <v>325</v>
      </c>
      <c r="C3312" s="32">
        <v>49228</v>
      </c>
      <c r="D3312" s="32" t="s">
        <v>87</v>
      </c>
      <c r="E3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3" spans="1:6" x14ac:dyDescent="0.35">
      <c r="A3313" s="3">
        <v>58405356246</v>
      </c>
      <c r="B3313" s="3">
        <v>332</v>
      </c>
      <c r="C3313" s="32">
        <v>49228</v>
      </c>
      <c r="D3313" s="32" t="s">
        <v>87</v>
      </c>
      <c r="E3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4" spans="1:6" x14ac:dyDescent="0.35">
      <c r="A3314" s="3">
        <v>88588566135</v>
      </c>
      <c r="B3314" s="3">
        <v>332</v>
      </c>
      <c r="C3314" s="32">
        <v>49228</v>
      </c>
      <c r="D3314" s="32" t="s">
        <v>87</v>
      </c>
      <c r="E3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5" spans="1:6" x14ac:dyDescent="0.35">
      <c r="A3315" s="3">
        <v>29411392579</v>
      </c>
      <c r="B3315" s="3">
        <v>25</v>
      </c>
      <c r="C3315" s="32">
        <v>49229</v>
      </c>
      <c r="D3315" s="32">
        <v>49311</v>
      </c>
      <c r="E3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16" spans="1:6" x14ac:dyDescent="0.35">
      <c r="A3316" s="3">
        <v>42667366004</v>
      </c>
      <c r="B3316" s="3">
        <v>28</v>
      </c>
      <c r="C3316" s="32">
        <v>49229</v>
      </c>
      <c r="D3316" s="32" t="s">
        <v>87</v>
      </c>
      <c r="E3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7" spans="1:6" x14ac:dyDescent="0.35">
      <c r="A3317" s="3">
        <v>93204023853</v>
      </c>
      <c r="B3317" s="3">
        <v>44</v>
      </c>
      <c r="C3317" s="32">
        <v>49229</v>
      </c>
      <c r="D3317" s="32" t="s">
        <v>87</v>
      </c>
      <c r="E3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8" spans="1:6" x14ac:dyDescent="0.35">
      <c r="A3318" s="3">
        <v>86756498592</v>
      </c>
      <c r="B3318" s="3">
        <v>82</v>
      </c>
      <c r="C3318" s="32">
        <v>49229</v>
      </c>
      <c r="D3318" s="32" t="s">
        <v>87</v>
      </c>
      <c r="E3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9" spans="1:6" x14ac:dyDescent="0.35">
      <c r="A3319" s="3">
        <v>19856614618</v>
      </c>
      <c r="B3319" s="3">
        <v>131</v>
      </c>
      <c r="C3319" s="32">
        <v>49229</v>
      </c>
      <c r="D3319" s="32" t="s">
        <v>87</v>
      </c>
      <c r="E3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0" spans="1:6" x14ac:dyDescent="0.35">
      <c r="A3320" s="3">
        <v>36161112010</v>
      </c>
      <c r="B3320" s="3">
        <v>160</v>
      </c>
      <c r="C3320" s="32">
        <v>49229</v>
      </c>
      <c r="D3320" s="32" t="s">
        <v>87</v>
      </c>
      <c r="E3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1" spans="1:6" x14ac:dyDescent="0.35">
      <c r="A3321" s="3">
        <v>69495201538</v>
      </c>
      <c r="B3321" s="3">
        <v>167</v>
      </c>
      <c r="C3321" s="32">
        <v>49229</v>
      </c>
      <c r="D3321" s="32">
        <v>49302</v>
      </c>
      <c r="E3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22" spans="1:6" x14ac:dyDescent="0.35">
      <c r="A3322" s="3">
        <v>50794265374</v>
      </c>
      <c r="B3322" s="3">
        <v>177</v>
      </c>
      <c r="C3322" s="32">
        <v>49229</v>
      </c>
      <c r="D3322" s="32">
        <v>49261</v>
      </c>
      <c r="E3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23" spans="1:6" x14ac:dyDescent="0.35">
      <c r="A3323" s="3">
        <v>66098573839</v>
      </c>
      <c r="B3323" s="3">
        <v>231</v>
      </c>
      <c r="C3323" s="32">
        <v>49229</v>
      </c>
      <c r="D3323" s="32" t="s">
        <v>87</v>
      </c>
      <c r="E3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4" spans="1:6" x14ac:dyDescent="0.35">
      <c r="A3324" s="3">
        <v>96637054906</v>
      </c>
      <c r="B3324" s="3">
        <v>278</v>
      </c>
      <c r="C3324" s="32">
        <v>49229</v>
      </c>
      <c r="D3324" s="32" t="s">
        <v>87</v>
      </c>
      <c r="E3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5" spans="1:6" x14ac:dyDescent="0.35">
      <c r="A3325" s="3">
        <v>76840970907</v>
      </c>
      <c r="B3325" s="3">
        <v>290</v>
      </c>
      <c r="C3325" s="32">
        <v>49229</v>
      </c>
      <c r="D3325" s="32" t="s">
        <v>87</v>
      </c>
      <c r="E3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6" spans="1:6" x14ac:dyDescent="0.35">
      <c r="A3326" s="3">
        <v>85411068791</v>
      </c>
      <c r="B3326" s="3">
        <v>296</v>
      </c>
      <c r="C3326" s="32">
        <v>49229</v>
      </c>
      <c r="D3326" s="32">
        <v>49257</v>
      </c>
      <c r="E3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27" spans="1:6" x14ac:dyDescent="0.35">
      <c r="A3327" s="3">
        <v>68806307965</v>
      </c>
      <c r="B3327" s="3">
        <v>334</v>
      </c>
      <c r="C3327" s="32">
        <v>49229</v>
      </c>
      <c r="D3327" s="32" t="s">
        <v>87</v>
      </c>
      <c r="E3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8" spans="1:6" x14ac:dyDescent="0.35">
      <c r="A3328" s="3">
        <v>60069029869</v>
      </c>
      <c r="B3328" s="3">
        <v>1</v>
      </c>
      <c r="C3328" s="32">
        <v>49230</v>
      </c>
      <c r="D3328" s="32" t="s">
        <v>87</v>
      </c>
      <c r="E3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9" spans="1:6" x14ac:dyDescent="0.35">
      <c r="A3329" s="3">
        <v>52232693743</v>
      </c>
      <c r="B3329" s="3">
        <v>31</v>
      </c>
      <c r="C3329" s="32">
        <v>49230</v>
      </c>
      <c r="D3329" s="32" t="s">
        <v>87</v>
      </c>
      <c r="E3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0" spans="1:6" x14ac:dyDescent="0.35">
      <c r="A3330" s="3">
        <v>63003601450</v>
      </c>
      <c r="B3330" s="3">
        <v>61</v>
      </c>
      <c r="C3330" s="32">
        <v>49230</v>
      </c>
      <c r="D3330" s="32" t="s">
        <v>87</v>
      </c>
      <c r="E3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1" spans="1:6" x14ac:dyDescent="0.35">
      <c r="A3331" s="3">
        <v>83382220861</v>
      </c>
      <c r="B3331" s="3">
        <v>82</v>
      </c>
      <c r="C3331" s="32">
        <v>49230</v>
      </c>
      <c r="D3331" s="32" t="s">
        <v>87</v>
      </c>
      <c r="E3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2" spans="1:6" x14ac:dyDescent="0.35">
      <c r="A3332" s="3">
        <v>61142601709</v>
      </c>
      <c r="B3332" s="3">
        <v>148</v>
      </c>
      <c r="C3332" s="32">
        <v>49230</v>
      </c>
      <c r="D3332" s="32" t="s">
        <v>87</v>
      </c>
      <c r="E3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3" spans="1:6" x14ac:dyDescent="0.35">
      <c r="A3333" s="3">
        <v>17664552451</v>
      </c>
      <c r="B3333" s="3">
        <v>149</v>
      </c>
      <c r="C3333" s="32">
        <v>49230</v>
      </c>
      <c r="D3333" s="32">
        <v>49286</v>
      </c>
      <c r="E3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34" spans="1:6" x14ac:dyDescent="0.35">
      <c r="A3334" s="3">
        <v>16982415176</v>
      </c>
      <c r="B3334" s="3">
        <v>189</v>
      </c>
      <c r="C3334" s="32">
        <v>49230</v>
      </c>
      <c r="D3334" s="32" t="s">
        <v>87</v>
      </c>
      <c r="E3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5" spans="1:6" x14ac:dyDescent="0.35">
      <c r="A3335" s="3">
        <v>76312336091</v>
      </c>
      <c r="B3335" s="3">
        <v>204</v>
      </c>
      <c r="C3335" s="32">
        <v>49230</v>
      </c>
      <c r="D3335" s="32" t="s">
        <v>87</v>
      </c>
      <c r="E3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6" spans="1:6" x14ac:dyDescent="0.35">
      <c r="A3336" s="3">
        <v>98914448315</v>
      </c>
      <c r="B3336" s="3">
        <v>231</v>
      </c>
      <c r="C3336" s="32">
        <v>49230</v>
      </c>
      <c r="D3336" s="32" t="s">
        <v>87</v>
      </c>
      <c r="E3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7" spans="1:6" x14ac:dyDescent="0.35">
      <c r="A3337" s="3">
        <v>17121639406</v>
      </c>
      <c r="B3337" s="3">
        <v>238</v>
      </c>
      <c r="C3337" s="32">
        <v>49230</v>
      </c>
      <c r="D3337" s="32" t="s">
        <v>87</v>
      </c>
      <c r="E3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8" spans="1:6" x14ac:dyDescent="0.35">
      <c r="A3338" s="3">
        <v>63635585564</v>
      </c>
      <c r="B3338" s="3">
        <v>245</v>
      </c>
      <c r="C3338" s="32">
        <v>49230</v>
      </c>
      <c r="D3338" s="32" t="s">
        <v>87</v>
      </c>
      <c r="E3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9" spans="1:6" x14ac:dyDescent="0.35">
      <c r="A3339" s="3">
        <v>42340908132</v>
      </c>
      <c r="B3339" s="3">
        <v>262</v>
      </c>
      <c r="C3339" s="32">
        <v>49230</v>
      </c>
      <c r="D3339" s="32">
        <v>49330</v>
      </c>
      <c r="E3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40" spans="1:6" x14ac:dyDescent="0.35">
      <c r="A3340" s="3">
        <v>42513896670</v>
      </c>
      <c r="B3340" s="3">
        <v>272</v>
      </c>
      <c r="C3340" s="32">
        <v>49230</v>
      </c>
      <c r="D3340" s="32" t="s">
        <v>87</v>
      </c>
      <c r="E3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1" spans="1:6" x14ac:dyDescent="0.35">
      <c r="A3341" s="3">
        <v>68567693018</v>
      </c>
      <c r="B3341" s="3">
        <v>288</v>
      </c>
      <c r="C3341" s="32">
        <v>49230</v>
      </c>
      <c r="D3341" s="32">
        <v>49240</v>
      </c>
      <c r="E3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42" spans="1:6" x14ac:dyDescent="0.35">
      <c r="A3342" s="3">
        <v>62111650885</v>
      </c>
      <c r="B3342" s="3">
        <v>301</v>
      </c>
      <c r="C3342" s="32">
        <v>49230</v>
      </c>
      <c r="D3342" s="32" t="s">
        <v>87</v>
      </c>
      <c r="E3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3" spans="1:6" x14ac:dyDescent="0.35">
      <c r="A3343" s="3">
        <v>43115645788</v>
      </c>
      <c r="B3343" s="3">
        <v>313</v>
      </c>
      <c r="C3343" s="32">
        <v>49230</v>
      </c>
      <c r="D3343" s="32" t="s">
        <v>87</v>
      </c>
      <c r="E3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4" spans="1:6" x14ac:dyDescent="0.35">
      <c r="A3344" s="3">
        <v>96833230884</v>
      </c>
      <c r="B3344" s="3">
        <v>318</v>
      </c>
      <c r="C3344" s="32">
        <v>49230</v>
      </c>
      <c r="D3344" s="32" t="s">
        <v>87</v>
      </c>
      <c r="E3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5" spans="1:6" x14ac:dyDescent="0.35">
      <c r="A3345" s="3">
        <v>94591728946</v>
      </c>
      <c r="B3345" s="3">
        <v>335</v>
      </c>
      <c r="C3345" s="32">
        <v>49230</v>
      </c>
      <c r="D3345" s="32" t="s">
        <v>87</v>
      </c>
      <c r="E3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6" spans="1:6" x14ac:dyDescent="0.35">
      <c r="A3346" s="3">
        <v>11415186808</v>
      </c>
      <c r="B3346" s="3">
        <v>12</v>
      </c>
      <c r="C3346" s="32">
        <v>49231</v>
      </c>
      <c r="D3346" s="32" t="s">
        <v>87</v>
      </c>
      <c r="E3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7" spans="1:6" x14ac:dyDescent="0.35">
      <c r="A3347" s="3">
        <v>55474553061</v>
      </c>
      <c r="B3347" s="3">
        <v>22</v>
      </c>
      <c r="C3347" s="32">
        <v>49231</v>
      </c>
      <c r="D3347" s="32" t="s">
        <v>87</v>
      </c>
      <c r="E3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8" spans="1:6" x14ac:dyDescent="0.35">
      <c r="A3348" s="3">
        <v>19459187675</v>
      </c>
      <c r="B3348" s="3">
        <v>39</v>
      </c>
      <c r="C3348" s="32">
        <v>49231</v>
      </c>
      <c r="D3348" s="32" t="s">
        <v>87</v>
      </c>
      <c r="E3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9" spans="1:6" x14ac:dyDescent="0.35">
      <c r="A3349" s="3">
        <v>45498256651</v>
      </c>
      <c r="B3349" s="3">
        <v>62</v>
      </c>
      <c r="C3349" s="32">
        <v>49231</v>
      </c>
      <c r="D3349" s="32" t="s">
        <v>87</v>
      </c>
      <c r="E3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0" spans="1:6" x14ac:dyDescent="0.35">
      <c r="A3350" s="3">
        <v>36993499368</v>
      </c>
      <c r="B3350" s="3">
        <v>75</v>
      </c>
      <c r="C3350" s="32">
        <v>49231</v>
      </c>
      <c r="D3350" s="32" t="s">
        <v>87</v>
      </c>
      <c r="E3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1" spans="1:6" x14ac:dyDescent="0.35">
      <c r="A3351" s="3">
        <v>92968245126</v>
      </c>
      <c r="B3351" s="3">
        <v>108</v>
      </c>
      <c r="C3351" s="32">
        <v>49231</v>
      </c>
      <c r="D3351" s="32" t="s">
        <v>87</v>
      </c>
      <c r="E3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2" spans="1:6" x14ac:dyDescent="0.35">
      <c r="A3352" s="3">
        <v>29895280582</v>
      </c>
      <c r="B3352" s="3">
        <v>129</v>
      </c>
      <c r="C3352" s="32">
        <v>49231</v>
      </c>
      <c r="D3352" s="32" t="s">
        <v>87</v>
      </c>
      <c r="E3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3" spans="1:6" x14ac:dyDescent="0.35">
      <c r="A3353" s="3">
        <v>97946472607</v>
      </c>
      <c r="B3353" s="3">
        <v>142</v>
      </c>
      <c r="C3353" s="32">
        <v>49231</v>
      </c>
      <c r="D3353" s="32" t="s">
        <v>87</v>
      </c>
      <c r="E3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4" spans="1:6" x14ac:dyDescent="0.35">
      <c r="A3354" s="3">
        <v>75181799567</v>
      </c>
      <c r="B3354" s="3">
        <v>150</v>
      </c>
      <c r="C3354" s="32">
        <v>49231</v>
      </c>
      <c r="D3354" s="32" t="s">
        <v>87</v>
      </c>
      <c r="E3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5" spans="1:6" x14ac:dyDescent="0.35">
      <c r="A3355" s="3">
        <v>17123052084</v>
      </c>
      <c r="B3355" s="3">
        <v>194</v>
      </c>
      <c r="C3355" s="32">
        <v>49231</v>
      </c>
      <c r="D3355" s="32" t="s">
        <v>87</v>
      </c>
      <c r="E3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6" spans="1:6" x14ac:dyDescent="0.35">
      <c r="A3356" s="3">
        <v>86347489945</v>
      </c>
      <c r="B3356" s="3">
        <v>215</v>
      </c>
      <c r="C3356" s="32">
        <v>49231</v>
      </c>
      <c r="D3356" s="32" t="s">
        <v>87</v>
      </c>
      <c r="E3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7" spans="1:6" x14ac:dyDescent="0.35">
      <c r="A3357" s="3">
        <v>24186569609</v>
      </c>
      <c r="B3357" s="3">
        <v>258</v>
      </c>
      <c r="C3357" s="32">
        <v>49231</v>
      </c>
      <c r="D3357" s="32" t="s">
        <v>87</v>
      </c>
      <c r="E3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8" spans="1:6" x14ac:dyDescent="0.35">
      <c r="A3358" s="3">
        <v>13092584883</v>
      </c>
      <c r="B3358" s="3">
        <v>290</v>
      </c>
      <c r="C3358" s="32">
        <v>49231</v>
      </c>
      <c r="D3358" s="32" t="s">
        <v>87</v>
      </c>
      <c r="E3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9" spans="1:6" x14ac:dyDescent="0.35">
      <c r="A3359" s="3">
        <v>52788969933</v>
      </c>
      <c r="B3359" s="3">
        <v>294</v>
      </c>
      <c r="C3359" s="32">
        <v>49231</v>
      </c>
      <c r="D3359" s="32" t="s">
        <v>87</v>
      </c>
      <c r="E3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0" spans="1:6" x14ac:dyDescent="0.35">
      <c r="A3360" s="3">
        <v>61995961058</v>
      </c>
      <c r="B3360" s="3">
        <v>311</v>
      </c>
      <c r="C3360" s="32">
        <v>49231</v>
      </c>
      <c r="D3360" s="32" t="s">
        <v>87</v>
      </c>
      <c r="E3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1" spans="1:6" x14ac:dyDescent="0.35">
      <c r="A3361" s="3">
        <v>71768216741</v>
      </c>
      <c r="B3361" s="3">
        <v>327</v>
      </c>
      <c r="C3361" s="32">
        <v>49231</v>
      </c>
      <c r="D3361" s="32">
        <v>49244</v>
      </c>
      <c r="E3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62" spans="1:6" x14ac:dyDescent="0.35">
      <c r="A3362" s="3">
        <v>91720121024</v>
      </c>
      <c r="B3362" s="3">
        <v>329</v>
      </c>
      <c r="C3362" s="32">
        <v>49231</v>
      </c>
      <c r="D3362" s="32" t="s">
        <v>87</v>
      </c>
      <c r="E3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3" spans="1:6" x14ac:dyDescent="0.35">
      <c r="A3363" s="3">
        <v>77566372468</v>
      </c>
      <c r="B3363" s="3">
        <v>329</v>
      </c>
      <c r="C3363" s="32">
        <v>49231</v>
      </c>
      <c r="D3363" s="32">
        <v>49254</v>
      </c>
      <c r="E3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64" spans="1:6" x14ac:dyDescent="0.35">
      <c r="A3364" s="3">
        <v>13453079334</v>
      </c>
      <c r="B3364" s="3">
        <v>306</v>
      </c>
      <c r="C3364" s="32">
        <v>49232</v>
      </c>
      <c r="D3364" s="32" t="s">
        <v>87</v>
      </c>
      <c r="E3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5" spans="1:6" x14ac:dyDescent="0.35">
      <c r="A3365" s="3">
        <v>42855520870</v>
      </c>
      <c r="B3365" s="3">
        <v>27</v>
      </c>
      <c r="C3365" s="32">
        <v>49232</v>
      </c>
      <c r="D3365" s="32" t="s">
        <v>87</v>
      </c>
      <c r="E3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6" spans="1:6" x14ac:dyDescent="0.35">
      <c r="A3366" s="3">
        <v>55457283399</v>
      </c>
      <c r="B3366" s="3">
        <v>179</v>
      </c>
      <c r="C3366" s="32">
        <v>49232</v>
      </c>
      <c r="D3366" s="32" t="s">
        <v>87</v>
      </c>
      <c r="E3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7" spans="1:6" x14ac:dyDescent="0.35">
      <c r="A3367" s="3">
        <v>20536817726</v>
      </c>
      <c r="B3367" s="3">
        <v>159</v>
      </c>
      <c r="C3367" s="32">
        <v>49232</v>
      </c>
      <c r="D3367" s="32" t="s">
        <v>87</v>
      </c>
      <c r="E3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8" spans="1:6" x14ac:dyDescent="0.35">
      <c r="A3368" s="3">
        <v>37840313820</v>
      </c>
      <c r="B3368" s="3">
        <v>339</v>
      </c>
      <c r="C3368" s="32">
        <v>49232</v>
      </c>
      <c r="D3368" s="32" t="s">
        <v>87</v>
      </c>
      <c r="E3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9" spans="1:6" x14ac:dyDescent="0.35">
      <c r="A3369" s="3">
        <v>13628478945</v>
      </c>
      <c r="B3369" s="3">
        <v>157</v>
      </c>
      <c r="C3369" s="32">
        <v>49232</v>
      </c>
      <c r="D3369" s="32">
        <v>49275</v>
      </c>
      <c r="E3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70" spans="1:6" x14ac:dyDescent="0.35">
      <c r="A3370" s="3">
        <v>74169981035</v>
      </c>
      <c r="B3370" s="3">
        <v>65</v>
      </c>
      <c r="C3370" s="32">
        <v>49232</v>
      </c>
      <c r="D3370" s="32" t="s">
        <v>87</v>
      </c>
      <c r="E3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1" spans="1:6" x14ac:dyDescent="0.35">
      <c r="A3371" s="3">
        <v>18052041752</v>
      </c>
      <c r="B3371" s="3">
        <v>265</v>
      </c>
      <c r="C3371" s="32">
        <v>49232</v>
      </c>
      <c r="D3371" s="32" t="s">
        <v>87</v>
      </c>
      <c r="E3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2" spans="1:6" x14ac:dyDescent="0.35">
      <c r="A3372" s="3">
        <v>65805999143</v>
      </c>
      <c r="B3372" s="3">
        <v>178</v>
      </c>
      <c r="C3372" s="32">
        <v>49232</v>
      </c>
      <c r="D3372" s="32" t="s">
        <v>87</v>
      </c>
      <c r="E3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3" spans="1:6" x14ac:dyDescent="0.35">
      <c r="A3373" s="3">
        <v>63241376235</v>
      </c>
      <c r="B3373" s="3">
        <v>209</v>
      </c>
      <c r="C3373" s="32">
        <v>49232</v>
      </c>
      <c r="D3373" s="32" t="s">
        <v>87</v>
      </c>
      <c r="E3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4" spans="1:6" x14ac:dyDescent="0.35">
      <c r="A3374" s="3">
        <v>50936995604</v>
      </c>
      <c r="B3374" s="3">
        <v>246</v>
      </c>
      <c r="C3374" s="32">
        <v>49232</v>
      </c>
      <c r="D3374" s="32" t="s">
        <v>87</v>
      </c>
      <c r="E3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5" spans="1:6" x14ac:dyDescent="0.35">
      <c r="A3375" s="3">
        <v>62036852165</v>
      </c>
      <c r="B3375" s="3">
        <v>89</v>
      </c>
      <c r="C3375" s="32">
        <v>49232</v>
      </c>
      <c r="D3375" s="32" t="s">
        <v>87</v>
      </c>
      <c r="E3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6" spans="1:6" x14ac:dyDescent="0.35">
      <c r="A3376" s="3">
        <v>72348957585</v>
      </c>
      <c r="B3376" s="3">
        <v>46</v>
      </c>
      <c r="C3376" s="32">
        <v>49232</v>
      </c>
      <c r="D3376" s="32" t="s">
        <v>87</v>
      </c>
      <c r="E3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7" spans="1:6" x14ac:dyDescent="0.35">
      <c r="A3377" s="3">
        <v>17837476240</v>
      </c>
      <c r="B3377" s="3">
        <v>310</v>
      </c>
      <c r="C3377" s="32">
        <v>49232</v>
      </c>
      <c r="D3377" s="32" t="s">
        <v>87</v>
      </c>
      <c r="E3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8" spans="1:6" x14ac:dyDescent="0.35">
      <c r="A3378" s="3">
        <v>46439770924</v>
      </c>
      <c r="B3378" s="3">
        <v>114</v>
      </c>
      <c r="C3378" s="32">
        <v>49232</v>
      </c>
      <c r="D3378" s="32" t="s">
        <v>87</v>
      </c>
      <c r="E3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9" spans="1:6" x14ac:dyDescent="0.35">
      <c r="A3379" s="3">
        <v>34610749149</v>
      </c>
      <c r="B3379" s="3">
        <v>76</v>
      </c>
      <c r="C3379" s="32">
        <v>49232</v>
      </c>
      <c r="D3379" s="32" t="s">
        <v>87</v>
      </c>
      <c r="E3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0" spans="1:6" x14ac:dyDescent="0.35">
      <c r="A3380" s="3">
        <v>99429620556</v>
      </c>
      <c r="B3380" s="3">
        <v>250</v>
      </c>
      <c r="C3380" s="32">
        <v>49232</v>
      </c>
      <c r="D3380" s="32" t="s">
        <v>87</v>
      </c>
      <c r="E3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1" spans="1:6" x14ac:dyDescent="0.35">
      <c r="A3381" s="3">
        <v>88538480487</v>
      </c>
      <c r="B3381" s="3">
        <v>183</v>
      </c>
      <c r="C3381" s="32">
        <v>49232</v>
      </c>
      <c r="D3381" s="32" t="s">
        <v>87</v>
      </c>
      <c r="E3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2" spans="1:6" x14ac:dyDescent="0.35">
      <c r="A3382" s="3">
        <v>87197257661</v>
      </c>
      <c r="B3382" s="3">
        <v>144</v>
      </c>
      <c r="C3382" s="32">
        <v>49232</v>
      </c>
      <c r="D3382" s="32" t="s">
        <v>87</v>
      </c>
      <c r="E3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3" spans="1:6" x14ac:dyDescent="0.35">
      <c r="A3383" s="3">
        <v>11160555213</v>
      </c>
      <c r="B3383" s="3">
        <v>117</v>
      </c>
      <c r="C3383" s="32">
        <v>49232</v>
      </c>
      <c r="D3383" s="32" t="s">
        <v>87</v>
      </c>
      <c r="E3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4" spans="1:6" x14ac:dyDescent="0.35">
      <c r="A3384" s="3">
        <v>33376946469</v>
      </c>
      <c r="B3384" s="3">
        <v>153</v>
      </c>
      <c r="C3384" s="32">
        <v>49232</v>
      </c>
      <c r="D3384" s="32">
        <v>49334</v>
      </c>
      <c r="E3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85" spans="1:6" x14ac:dyDescent="0.35">
      <c r="A3385" s="3">
        <v>29179365554</v>
      </c>
      <c r="B3385" s="3">
        <v>128</v>
      </c>
      <c r="C3385" s="32">
        <v>49232</v>
      </c>
      <c r="D3385" s="32" t="s">
        <v>87</v>
      </c>
      <c r="E3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6" spans="1:6" x14ac:dyDescent="0.35">
      <c r="A3386" s="3">
        <v>22532950744</v>
      </c>
      <c r="B3386" s="3">
        <v>250</v>
      </c>
      <c r="C3386" s="32">
        <v>49232</v>
      </c>
      <c r="D3386" s="32">
        <v>49317</v>
      </c>
      <c r="E3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87" spans="1:6" x14ac:dyDescent="0.35">
      <c r="A3387" s="3">
        <v>83304023388</v>
      </c>
      <c r="B3387" s="3">
        <v>121</v>
      </c>
      <c r="C3387" s="32">
        <v>49233</v>
      </c>
      <c r="D3387" s="32">
        <v>49285</v>
      </c>
      <c r="E3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88" spans="1:6" x14ac:dyDescent="0.35">
      <c r="A3388" s="3">
        <v>28983658054</v>
      </c>
      <c r="B3388" s="3">
        <v>135</v>
      </c>
      <c r="C3388" s="32">
        <v>49233</v>
      </c>
      <c r="D3388" s="32" t="s">
        <v>87</v>
      </c>
      <c r="E3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9" spans="1:6" x14ac:dyDescent="0.35">
      <c r="A3389" s="3">
        <v>14819774718</v>
      </c>
      <c r="B3389" s="3">
        <v>94</v>
      </c>
      <c r="C3389" s="32">
        <v>49233</v>
      </c>
      <c r="D3389" s="32" t="s">
        <v>87</v>
      </c>
      <c r="E3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0" spans="1:6" x14ac:dyDescent="0.35">
      <c r="A3390" s="3">
        <v>32691793896</v>
      </c>
      <c r="B3390" s="3">
        <v>160</v>
      </c>
      <c r="C3390" s="32">
        <v>49233</v>
      </c>
      <c r="D3390" s="32">
        <v>49303</v>
      </c>
      <c r="E3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91" spans="1:6" x14ac:dyDescent="0.35">
      <c r="A3391" s="3">
        <v>42938286718</v>
      </c>
      <c r="B3391" s="3">
        <v>292</v>
      </c>
      <c r="C3391" s="32">
        <v>49233</v>
      </c>
      <c r="D3391" s="32" t="s">
        <v>87</v>
      </c>
      <c r="E3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2" spans="1:6" x14ac:dyDescent="0.35">
      <c r="A3392" s="3">
        <v>94351823456</v>
      </c>
      <c r="B3392" s="3">
        <v>251</v>
      </c>
      <c r="C3392" s="32">
        <v>49233</v>
      </c>
      <c r="D3392" s="32" t="s">
        <v>87</v>
      </c>
      <c r="E3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3" spans="1:6" x14ac:dyDescent="0.35">
      <c r="A3393" s="3">
        <v>92164001879</v>
      </c>
      <c r="B3393" s="3">
        <v>190</v>
      </c>
      <c r="C3393" s="32">
        <v>49233</v>
      </c>
      <c r="D3393" s="32" t="s">
        <v>87</v>
      </c>
      <c r="E3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4" spans="1:6" x14ac:dyDescent="0.35">
      <c r="A3394" s="3">
        <v>74470028044</v>
      </c>
      <c r="B3394" s="3">
        <v>335</v>
      </c>
      <c r="C3394" s="32">
        <v>49233</v>
      </c>
      <c r="D3394" s="32" t="s">
        <v>87</v>
      </c>
      <c r="E3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5" spans="1:6" x14ac:dyDescent="0.35">
      <c r="A3395" s="3">
        <v>19477121714</v>
      </c>
      <c r="B3395" s="3">
        <v>199</v>
      </c>
      <c r="C3395" s="32">
        <v>49233</v>
      </c>
      <c r="D3395" s="32">
        <v>49337</v>
      </c>
      <c r="E3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96" spans="1:6" x14ac:dyDescent="0.35">
      <c r="A3396" s="3">
        <v>19990498868</v>
      </c>
      <c r="B3396" s="3">
        <v>107</v>
      </c>
      <c r="C3396" s="32">
        <v>49233</v>
      </c>
      <c r="D3396" s="32" t="s">
        <v>87</v>
      </c>
      <c r="E3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7" spans="1:6" x14ac:dyDescent="0.35">
      <c r="A3397" s="3">
        <v>97173082361</v>
      </c>
      <c r="B3397" s="3">
        <v>136</v>
      </c>
      <c r="C3397" s="32">
        <v>49233</v>
      </c>
      <c r="D3397" s="32" t="s">
        <v>87</v>
      </c>
      <c r="E3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8" spans="1:6" x14ac:dyDescent="0.35">
      <c r="A3398" s="3">
        <v>57666317754</v>
      </c>
      <c r="B3398" s="3">
        <v>92</v>
      </c>
      <c r="C3398" s="32">
        <v>49233</v>
      </c>
      <c r="D3398" s="32" t="s">
        <v>87</v>
      </c>
      <c r="E3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9" spans="1:6" x14ac:dyDescent="0.35">
      <c r="A3399" s="3">
        <v>32691448426</v>
      </c>
      <c r="B3399" s="3">
        <v>242</v>
      </c>
      <c r="C3399" s="32">
        <v>49233</v>
      </c>
      <c r="D3399" s="32" t="s">
        <v>87</v>
      </c>
      <c r="E3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0" spans="1:6" x14ac:dyDescent="0.35">
      <c r="A3400" s="3">
        <v>47962389995</v>
      </c>
      <c r="B3400" s="3">
        <v>232</v>
      </c>
      <c r="C3400" s="32">
        <v>49233</v>
      </c>
      <c r="D3400" s="32" t="s">
        <v>87</v>
      </c>
      <c r="E3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1" spans="1:6" x14ac:dyDescent="0.35">
      <c r="A3401" s="3">
        <v>40105071944</v>
      </c>
      <c r="B3401" s="3">
        <v>260</v>
      </c>
      <c r="C3401" s="32">
        <v>49233</v>
      </c>
      <c r="D3401" s="32">
        <v>49283</v>
      </c>
      <c r="E3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02" spans="1:6" x14ac:dyDescent="0.35">
      <c r="A3402" s="3">
        <v>11887613606</v>
      </c>
      <c r="B3402" s="3">
        <v>137</v>
      </c>
      <c r="C3402" s="32">
        <v>49233</v>
      </c>
      <c r="D3402" s="32" t="s">
        <v>87</v>
      </c>
      <c r="E3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3" spans="1:6" x14ac:dyDescent="0.35">
      <c r="A3403" s="3">
        <v>20244041829</v>
      </c>
      <c r="B3403" s="3">
        <v>104</v>
      </c>
      <c r="C3403" s="32">
        <v>49233</v>
      </c>
      <c r="D3403" s="32" t="s">
        <v>87</v>
      </c>
      <c r="E3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4" spans="1:6" x14ac:dyDescent="0.35">
      <c r="A3404" s="3">
        <v>24733287026</v>
      </c>
      <c r="B3404" s="3">
        <v>165</v>
      </c>
      <c r="C3404" s="32">
        <v>49233</v>
      </c>
      <c r="D3404" s="32" t="s">
        <v>87</v>
      </c>
      <c r="E3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5" spans="1:6" x14ac:dyDescent="0.35">
      <c r="A3405" s="3">
        <v>56914449332</v>
      </c>
      <c r="B3405" s="3">
        <v>147</v>
      </c>
      <c r="C3405" s="32">
        <v>49233</v>
      </c>
      <c r="D3405" s="32" t="s">
        <v>87</v>
      </c>
      <c r="E3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6" spans="1:6" x14ac:dyDescent="0.35">
      <c r="A3406" s="3">
        <v>68552710853</v>
      </c>
      <c r="B3406" s="3">
        <v>337</v>
      </c>
      <c r="C3406" s="32">
        <v>49233</v>
      </c>
      <c r="D3406" s="32">
        <v>49248</v>
      </c>
      <c r="E3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407" spans="1:6" x14ac:dyDescent="0.35">
      <c r="A3407" s="3">
        <v>59483737879</v>
      </c>
      <c r="B3407" s="3">
        <v>278</v>
      </c>
      <c r="C3407" s="32">
        <v>49233</v>
      </c>
      <c r="D3407" s="32" t="s">
        <v>87</v>
      </c>
      <c r="E3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8" spans="1:6" x14ac:dyDescent="0.35">
      <c r="A3408" s="3">
        <v>73977769502</v>
      </c>
      <c r="B3408" s="3">
        <v>3</v>
      </c>
      <c r="C3408" s="32">
        <v>49233</v>
      </c>
      <c r="D3408" s="32" t="s">
        <v>87</v>
      </c>
      <c r="E3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9" spans="1:6" x14ac:dyDescent="0.35">
      <c r="A3409" s="3">
        <v>22012311760</v>
      </c>
      <c r="B3409" s="3">
        <v>19</v>
      </c>
      <c r="C3409" s="32">
        <v>49233</v>
      </c>
      <c r="D3409" s="32" t="s">
        <v>87</v>
      </c>
      <c r="E3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0" spans="1:6" x14ac:dyDescent="0.35">
      <c r="A3410" s="3">
        <v>96730647720</v>
      </c>
      <c r="B3410" s="3">
        <v>136</v>
      </c>
      <c r="C3410" s="32">
        <v>49233</v>
      </c>
      <c r="D3410" s="32" t="s">
        <v>87</v>
      </c>
      <c r="E3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1" spans="1:6" x14ac:dyDescent="0.35">
      <c r="A3411" s="3">
        <v>68994626326</v>
      </c>
      <c r="B3411" s="3">
        <v>239</v>
      </c>
      <c r="C3411" s="32">
        <v>49233</v>
      </c>
      <c r="D3411" s="32">
        <v>49261</v>
      </c>
      <c r="E3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12" spans="1:6" x14ac:dyDescent="0.35">
      <c r="A3412" s="3">
        <v>11777449302</v>
      </c>
      <c r="B3412" s="3">
        <v>297</v>
      </c>
      <c r="C3412" s="32">
        <v>49233</v>
      </c>
      <c r="D3412" s="32" t="s">
        <v>87</v>
      </c>
      <c r="E3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3" spans="1:6" x14ac:dyDescent="0.35">
      <c r="A3413" s="3">
        <v>72774379337</v>
      </c>
      <c r="B3413" s="3">
        <v>134</v>
      </c>
      <c r="C3413" s="32">
        <v>49233</v>
      </c>
      <c r="D3413" s="32" t="s">
        <v>87</v>
      </c>
      <c r="E3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4" spans="1:6" x14ac:dyDescent="0.35">
      <c r="A3414" s="3">
        <v>51648883053</v>
      </c>
      <c r="B3414" s="3">
        <v>113</v>
      </c>
      <c r="C3414" s="32">
        <v>49234</v>
      </c>
      <c r="D3414" s="32" t="s">
        <v>87</v>
      </c>
      <c r="E3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5" spans="1:6" x14ac:dyDescent="0.35">
      <c r="A3415" s="3">
        <v>15156796452</v>
      </c>
      <c r="B3415" s="3">
        <v>224</v>
      </c>
      <c r="C3415" s="32">
        <v>49234</v>
      </c>
      <c r="D3415" s="32" t="s">
        <v>87</v>
      </c>
      <c r="E3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6" spans="1:6" x14ac:dyDescent="0.35">
      <c r="A3416" s="3">
        <v>64444237841</v>
      </c>
      <c r="B3416" s="3">
        <v>317</v>
      </c>
      <c r="C3416" s="32">
        <v>49234</v>
      </c>
      <c r="D3416" s="32" t="s">
        <v>87</v>
      </c>
      <c r="E3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7" spans="1:6" x14ac:dyDescent="0.35">
      <c r="A3417" s="3">
        <v>92756488592</v>
      </c>
      <c r="B3417" s="3">
        <v>77</v>
      </c>
      <c r="C3417" s="32">
        <v>49234</v>
      </c>
      <c r="D3417" s="32">
        <v>49321</v>
      </c>
      <c r="E3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18" spans="1:6" x14ac:dyDescent="0.35">
      <c r="A3418" s="3">
        <v>69484135219</v>
      </c>
      <c r="B3418" s="3">
        <v>335</v>
      </c>
      <c r="C3418" s="32">
        <v>49234</v>
      </c>
      <c r="D3418" s="32" t="s">
        <v>87</v>
      </c>
      <c r="E3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9" spans="1:6" x14ac:dyDescent="0.35">
      <c r="A3419" s="3">
        <v>73058716315</v>
      </c>
      <c r="B3419" s="3">
        <v>13</v>
      </c>
      <c r="C3419" s="32">
        <v>49234</v>
      </c>
      <c r="D3419" s="32" t="s">
        <v>87</v>
      </c>
      <c r="E3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0" spans="1:6" x14ac:dyDescent="0.35">
      <c r="A3420" s="3">
        <v>24679266365</v>
      </c>
      <c r="B3420" s="3">
        <v>243</v>
      </c>
      <c r="C3420" s="32">
        <v>49234</v>
      </c>
      <c r="D3420" s="32" t="s">
        <v>87</v>
      </c>
      <c r="E3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1" spans="1:6" x14ac:dyDescent="0.35">
      <c r="A3421" s="3">
        <v>90194040157</v>
      </c>
      <c r="B3421" s="3">
        <v>30</v>
      </c>
      <c r="C3421" s="32">
        <v>49234</v>
      </c>
      <c r="D3421" s="32" t="s">
        <v>87</v>
      </c>
      <c r="E3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2" spans="1:6" x14ac:dyDescent="0.35">
      <c r="A3422" s="3">
        <v>11716189361</v>
      </c>
      <c r="B3422" s="3">
        <v>127</v>
      </c>
      <c r="C3422" s="32">
        <v>49234</v>
      </c>
      <c r="D3422" s="32" t="s">
        <v>87</v>
      </c>
      <c r="E3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3" spans="1:6" x14ac:dyDescent="0.35">
      <c r="A3423" s="3">
        <v>65165123604</v>
      </c>
      <c r="B3423" s="3">
        <v>192</v>
      </c>
      <c r="C3423" s="32">
        <v>49234</v>
      </c>
      <c r="D3423" s="32" t="s">
        <v>87</v>
      </c>
      <c r="E3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4" spans="1:6" x14ac:dyDescent="0.35">
      <c r="A3424" s="3">
        <v>70179608330</v>
      </c>
      <c r="B3424" s="3">
        <v>30</v>
      </c>
      <c r="C3424" s="32">
        <v>49234</v>
      </c>
      <c r="D3424" s="32" t="s">
        <v>87</v>
      </c>
      <c r="E3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5" spans="1:6" x14ac:dyDescent="0.35">
      <c r="A3425" s="3">
        <v>94251904334</v>
      </c>
      <c r="B3425" s="3">
        <v>225</v>
      </c>
      <c r="C3425" s="32">
        <v>49234</v>
      </c>
      <c r="D3425" s="32" t="s">
        <v>87</v>
      </c>
      <c r="E3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6" spans="1:6" x14ac:dyDescent="0.35">
      <c r="A3426" s="3">
        <v>57984517383</v>
      </c>
      <c r="B3426" s="3">
        <v>122</v>
      </c>
      <c r="C3426" s="32">
        <v>49234</v>
      </c>
      <c r="D3426" s="32" t="s">
        <v>87</v>
      </c>
      <c r="E3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7" spans="1:6" x14ac:dyDescent="0.35">
      <c r="A3427" s="3">
        <v>44779636300</v>
      </c>
      <c r="B3427" s="3">
        <v>14</v>
      </c>
      <c r="C3427" s="32">
        <v>49234</v>
      </c>
      <c r="D3427" s="32" t="s">
        <v>87</v>
      </c>
      <c r="E3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8" spans="1:6" x14ac:dyDescent="0.35">
      <c r="A3428" s="3">
        <v>48379034212</v>
      </c>
      <c r="B3428" s="3">
        <v>179</v>
      </c>
      <c r="C3428" s="32">
        <v>49234</v>
      </c>
      <c r="D3428" s="32" t="s">
        <v>87</v>
      </c>
      <c r="E3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9" spans="1:6" x14ac:dyDescent="0.35">
      <c r="A3429" s="3">
        <v>76869652577</v>
      </c>
      <c r="B3429" s="3">
        <v>176</v>
      </c>
      <c r="C3429" s="32">
        <v>49234</v>
      </c>
      <c r="D3429" s="32" t="s">
        <v>87</v>
      </c>
      <c r="E3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0" spans="1:6" x14ac:dyDescent="0.35">
      <c r="A3430" s="3">
        <v>17836437233</v>
      </c>
      <c r="B3430" s="3">
        <v>327</v>
      </c>
      <c r="C3430" s="32">
        <v>49234</v>
      </c>
      <c r="D3430" s="32" t="s">
        <v>87</v>
      </c>
      <c r="E3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1" spans="1:6" x14ac:dyDescent="0.35">
      <c r="A3431" s="3">
        <v>36703119378</v>
      </c>
      <c r="B3431" s="3">
        <v>54</v>
      </c>
      <c r="C3431" s="32">
        <v>49234</v>
      </c>
      <c r="D3431" s="32" t="s">
        <v>87</v>
      </c>
      <c r="E3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2" spans="1:6" x14ac:dyDescent="0.35">
      <c r="A3432" s="3">
        <v>78194932286</v>
      </c>
      <c r="B3432" s="3">
        <v>168</v>
      </c>
      <c r="C3432" s="32">
        <v>49234</v>
      </c>
      <c r="D3432" s="32" t="s">
        <v>87</v>
      </c>
      <c r="E3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3" spans="1:6" x14ac:dyDescent="0.35">
      <c r="A3433" s="3">
        <v>87598576787</v>
      </c>
      <c r="B3433" s="3">
        <v>313</v>
      </c>
      <c r="C3433" s="32">
        <v>49234</v>
      </c>
      <c r="D3433" s="32" t="s">
        <v>87</v>
      </c>
      <c r="E3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4" spans="1:6" x14ac:dyDescent="0.35">
      <c r="A3434" s="3">
        <v>36826122264</v>
      </c>
      <c r="B3434" s="3">
        <v>11</v>
      </c>
      <c r="C3434" s="32">
        <v>49235</v>
      </c>
      <c r="D3434" s="32" t="s">
        <v>87</v>
      </c>
      <c r="E3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5" spans="1:6" x14ac:dyDescent="0.35">
      <c r="A3435" s="3">
        <v>77405013471</v>
      </c>
      <c r="B3435" s="3">
        <v>35</v>
      </c>
      <c r="C3435" s="32">
        <v>49235</v>
      </c>
      <c r="D3435" s="32" t="s">
        <v>87</v>
      </c>
      <c r="E3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6" spans="1:6" x14ac:dyDescent="0.35">
      <c r="A3436" s="3">
        <v>17939984285</v>
      </c>
      <c r="B3436" s="3">
        <v>338</v>
      </c>
      <c r="C3436" s="32">
        <v>49235</v>
      </c>
      <c r="D3436" s="32"/>
      <c r="E3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7" spans="1:6" x14ac:dyDescent="0.35">
      <c r="A3437" s="3">
        <v>15847964301</v>
      </c>
      <c r="B3437" s="3">
        <v>330</v>
      </c>
      <c r="C3437" s="32">
        <v>49235</v>
      </c>
      <c r="D3437" s="32" t="s">
        <v>87</v>
      </c>
      <c r="E3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8" spans="1:6" x14ac:dyDescent="0.35">
      <c r="A3438" s="3">
        <v>90076572057</v>
      </c>
      <c r="B3438" s="3">
        <v>49</v>
      </c>
      <c r="C3438" s="32">
        <v>49235</v>
      </c>
      <c r="D3438" s="32" t="s">
        <v>87</v>
      </c>
      <c r="E3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9" spans="1:6" x14ac:dyDescent="0.35">
      <c r="A3439" s="3">
        <v>70384672221</v>
      </c>
      <c r="B3439" s="3">
        <v>209</v>
      </c>
      <c r="C3439" s="32">
        <v>49235</v>
      </c>
      <c r="D3439" s="32" t="s">
        <v>87</v>
      </c>
      <c r="E3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0" spans="1:6" x14ac:dyDescent="0.35">
      <c r="A3440" s="3">
        <v>40836389211</v>
      </c>
      <c r="B3440" s="3">
        <v>131</v>
      </c>
      <c r="C3440" s="32">
        <v>49235</v>
      </c>
      <c r="D3440" s="32" t="s">
        <v>87</v>
      </c>
      <c r="E3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1" spans="1:6" x14ac:dyDescent="0.35">
      <c r="A3441" s="3">
        <v>34078062756</v>
      </c>
      <c r="B3441" s="3">
        <v>169</v>
      </c>
      <c r="C3441" s="32">
        <v>49235</v>
      </c>
      <c r="D3441" s="32" t="s">
        <v>87</v>
      </c>
      <c r="E3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2" spans="1:6" x14ac:dyDescent="0.35">
      <c r="A3442" s="3">
        <v>61158673636</v>
      </c>
      <c r="B3442" s="3">
        <v>290</v>
      </c>
      <c r="C3442" s="32">
        <v>49235</v>
      </c>
      <c r="D3442" s="32">
        <v>49337</v>
      </c>
      <c r="E3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43" spans="1:6" x14ac:dyDescent="0.35">
      <c r="A3443" s="3">
        <v>66519834897</v>
      </c>
      <c r="B3443" s="3">
        <v>93</v>
      </c>
      <c r="C3443" s="32">
        <v>49235</v>
      </c>
      <c r="D3443" s="32" t="s">
        <v>87</v>
      </c>
      <c r="E3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4" spans="1:6" x14ac:dyDescent="0.35">
      <c r="A3444" s="3">
        <v>16515993058</v>
      </c>
      <c r="B3444" s="3">
        <v>95</v>
      </c>
      <c r="C3444" s="32">
        <v>49235</v>
      </c>
      <c r="D3444" s="32" t="s">
        <v>87</v>
      </c>
      <c r="E3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5" spans="1:6" x14ac:dyDescent="0.35">
      <c r="A3445" s="3">
        <v>70849896450</v>
      </c>
      <c r="B3445" s="3">
        <v>66</v>
      </c>
      <c r="C3445" s="32">
        <v>49235</v>
      </c>
      <c r="D3445" s="32" t="s">
        <v>87</v>
      </c>
      <c r="E3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6" spans="1:6" x14ac:dyDescent="0.35">
      <c r="A3446" s="3">
        <v>28353245517</v>
      </c>
      <c r="B3446" s="3">
        <v>24</v>
      </c>
      <c r="C3446" s="32">
        <v>49235</v>
      </c>
      <c r="D3446" s="32" t="s">
        <v>87</v>
      </c>
      <c r="E3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7" spans="1:6" x14ac:dyDescent="0.35">
      <c r="A3447" s="3">
        <v>24914127733</v>
      </c>
      <c r="B3447" s="3">
        <v>211</v>
      </c>
      <c r="C3447" s="32">
        <v>49235</v>
      </c>
      <c r="D3447" s="32" t="s">
        <v>87</v>
      </c>
      <c r="E3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8" spans="1:6" x14ac:dyDescent="0.35">
      <c r="A3448" s="3">
        <v>49944878084</v>
      </c>
      <c r="B3448" s="3">
        <v>169</v>
      </c>
      <c r="C3448" s="32">
        <v>49235</v>
      </c>
      <c r="D3448" s="32" t="s">
        <v>87</v>
      </c>
      <c r="E3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9" spans="1:6" x14ac:dyDescent="0.35">
      <c r="A3449" s="3">
        <v>84692341738</v>
      </c>
      <c r="B3449" s="3">
        <v>23</v>
      </c>
      <c r="C3449" s="32">
        <v>49235</v>
      </c>
      <c r="D3449" s="32" t="s">
        <v>87</v>
      </c>
      <c r="E3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0" spans="1:6" x14ac:dyDescent="0.35">
      <c r="A3450" s="3">
        <v>63903976497</v>
      </c>
      <c r="B3450" s="3">
        <v>41</v>
      </c>
      <c r="C3450" s="32">
        <v>49235</v>
      </c>
      <c r="D3450" s="32">
        <v>49302</v>
      </c>
      <c r="E3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51" spans="1:6" x14ac:dyDescent="0.35">
      <c r="A3451" s="3">
        <v>76247641026</v>
      </c>
      <c r="B3451" s="3">
        <v>339</v>
      </c>
      <c r="C3451" s="32">
        <v>49235</v>
      </c>
      <c r="D3451" s="32" t="s">
        <v>87</v>
      </c>
      <c r="E3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2" spans="1:6" x14ac:dyDescent="0.35">
      <c r="A3452" s="3">
        <v>72178629286</v>
      </c>
      <c r="B3452" s="3">
        <v>197</v>
      </c>
      <c r="C3452" s="32">
        <v>49235</v>
      </c>
      <c r="D3452" s="32"/>
      <c r="E3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3" spans="1:6" x14ac:dyDescent="0.35">
      <c r="A3453" s="3">
        <v>66571865527</v>
      </c>
      <c r="B3453" s="3">
        <v>16</v>
      </c>
      <c r="C3453" s="32">
        <v>49235</v>
      </c>
      <c r="D3453" s="32"/>
      <c r="E3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4" spans="1:6" x14ac:dyDescent="0.35">
      <c r="A3454" s="3">
        <v>16625333769</v>
      </c>
      <c r="B3454" s="3">
        <v>210</v>
      </c>
      <c r="C3454" s="32">
        <v>49235</v>
      </c>
      <c r="D3454" s="32" t="s">
        <v>87</v>
      </c>
      <c r="E3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5" spans="1:6" x14ac:dyDescent="0.35">
      <c r="A3455" s="3">
        <v>77899695327</v>
      </c>
      <c r="B3455" s="3">
        <v>165</v>
      </c>
      <c r="C3455" s="32">
        <v>49235</v>
      </c>
      <c r="D3455" s="32" t="s">
        <v>87</v>
      </c>
      <c r="E3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6" spans="1:6" x14ac:dyDescent="0.35">
      <c r="A3456" s="3">
        <v>50055127713</v>
      </c>
      <c r="B3456" s="3">
        <v>41</v>
      </c>
      <c r="C3456" s="32">
        <v>49235</v>
      </c>
      <c r="D3456" s="32" t="s">
        <v>87</v>
      </c>
      <c r="E3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7" spans="1:6" x14ac:dyDescent="0.35">
      <c r="A3457" s="3">
        <v>75825064851</v>
      </c>
      <c r="B3457" s="3">
        <v>176</v>
      </c>
      <c r="C3457" s="32">
        <v>49235</v>
      </c>
      <c r="D3457" s="32" t="s">
        <v>87</v>
      </c>
      <c r="E3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8" spans="1:6" x14ac:dyDescent="0.35">
      <c r="A3458" s="3">
        <v>78302811598</v>
      </c>
      <c r="B3458" s="3">
        <v>260</v>
      </c>
      <c r="C3458" s="32">
        <v>49235</v>
      </c>
      <c r="D3458" s="32" t="s">
        <v>87</v>
      </c>
      <c r="E3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9" spans="1:6" x14ac:dyDescent="0.35">
      <c r="A3459" s="3">
        <v>23726386533</v>
      </c>
      <c r="B3459" s="3">
        <v>76</v>
      </c>
      <c r="C3459" s="32">
        <v>49235</v>
      </c>
      <c r="D3459" s="32" t="s">
        <v>87</v>
      </c>
      <c r="E3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0" spans="1:6" x14ac:dyDescent="0.35">
      <c r="A3460" s="3">
        <v>80847838999</v>
      </c>
      <c r="B3460" s="3">
        <v>177</v>
      </c>
      <c r="C3460" s="32">
        <v>49235</v>
      </c>
      <c r="D3460" s="32">
        <v>49285</v>
      </c>
      <c r="E3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61" spans="1:6" x14ac:dyDescent="0.35">
      <c r="A3461" s="3">
        <v>69116417624</v>
      </c>
      <c r="B3461" s="3">
        <v>208</v>
      </c>
      <c r="C3461" s="32">
        <v>49235</v>
      </c>
      <c r="D3461" s="32" t="s">
        <v>87</v>
      </c>
      <c r="E3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2" spans="1:6" x14ac:dyDescent="0.35">
      <c r="A3462" s="3">
        <v>87981698370</v>
      </c>
      <c r="B3462" s="3">
        <v>235</v>
      </c>
      <c r="C3462" s="32">
        <v>49235</v>
      </c>
      <c r="D3462" s="32"/>
      <c r="E3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3" spans="1:6" x14ac:dyDescent="0.35">
      <c r="A3463" s="3">
        <v>23310334203</v>
      </c>
      <c r="B3463" s="3">
        <v>259</v>
      </c>
      <c r="C3463" s="32">
        <v>49236</v>
      </c>
      <c r="D3463" s="32">
        <v>49273</v>
      </c>
      <c r="E3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64" spans="1:6" x14ac:dyDescent="0.35">
      <c r="A3464" s="3">
        <v>98924585566</v>
      </c>
      <c r="B3464" s="3">
        <v>307</v>
      </c>
      <c r="C3464" s="32">
        <v>49236</v>
      </c>
      <c r="D3464" s="32" t="s">
        <v>87</v>
      </c>
      <c r="E3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5" spans="1:6" x14ac:dyDescent="0.35">
      <c r="A3465" s="3">
        <v>36229009685</v>
      </c>
      <c r="B3465" s="3">
        <v>271</v>
      </c>
      <c r="C3465" s="32">
        <v>49236</v>
      </c>
      <c r="D3465" s="32" t="s">
        <v>87</v>
      </c>
      <c r="E3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6" spans="1:6" x14ac:dyDescent="0.35">
      <c r="A3466" s="3">
        <v>49857751339</v>
      </c>
      <c r="B3466" s="3">
        <v>272</v>
      </c>
      <c r="C3466" s="32">
        <v>49236</v>
      </c>
      <c r="D3466" s="32" t="s">
        <v>87</v>
      </c>
      <c r="E3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7" spans="1:6" x14ac:dyDescent="0.35">
      <c r="A3467" s="3">
        <v>57320102001</v>
      </c>
      <c r="B3467" s="3">
        <v>188</v>
      </c>
      <c r="C3467" s="32">
        <v>49236</v>
      </c>
      <c r="D3467" s="32" t="s">
        <v>87</v>
      </c>
      <c r="E3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8" spans="1:6" x14ac:dyDescent="0.35">
      <c r="A3468" s="3">
        <v>11780658450</v>
      </c>
      <c r="B3468" s="3">
        <v>135</v>
      </c>
      <c r="C3468" s="32">
        <v>49236</v>
      </c>
      <c r="D3468" s="32" t="s">
        <v>87</v>
      </c>
      <c r="E3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9" spans="1:6" x14ac:dyDescent="0.35">
      <c r="A3469" s="3">
        <v>34438320199</v>
      </c>
      <c r="B3469" s="3">
        <v>102</v>
      </c>
      <c r="C3469" s="32">
        <v>49236</v>
      </c>
      <c r="D3469" s="32" t="s">
        <v>87</v>
      </c>
      <c r="E3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0" spans="1:6" x14ac:dyDescent="0.35">
      <c r="A3470" s="3">
        <v>18363524931</v>
      </c>
      <c r="B3470" s="3">
        <v>241</v>
      </c>
      <c r="C3470" s="32">
        <v>49236</v>
      </c>
      <c r="D3470" s="32">
        <v>49257</v>
      </c>
      <c r="E3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71" spans="1:6" x14ac:dyDescent="0.35">
      <c r="A3471" s="3">
        <v>22247528206</v>
      </c>
      <c r="B3471" s="3">
        <v>328</v>
      </c>
      <c r="C3471" s="32">
        <v>49236</v>
      </c>
      <c r="D3471" s="32" t="s">
        <v>87</v>
      </c>
      <c r="E3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2" spans="1:6" x14ac:dyDescent="0.35">
      <c r="A3472" s="3">
        <v>20869198995</v>
      </c>
      <c r="B3472" s="3">
        <v>254</v>
      </c>
      <c r="C3472" s="32">
        <v>49236</v>
      </c>
      <c r="D3472" s="32" t="s">
        <v>87</v>
      </c>
      <c r="E3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3" spans="1:6" x14ac:dyDescent="0.35">
      <c r="A3473" s="3">
        <v>97365833050</v>
      </c>
      <c r="B3473" s="3">
        <v>214</v>
      </c>
      <c r="C3473" s="32">
        <v>49236</v>
      </c>
      <c r="D3473" s="32">
        <v>49336</v>
      </c>
      <c r="E3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74" spans="1:6" x14ac:dyDescent="0.35">
      <c r="A3474" s="3">
        <v>14226003605</v>
      </c>
      <c r="B3474" s="3">
        <v>272</v>
      </c>
      <c r="C3474" s="32">
        <v>49236</v>
      </c>
      <c r="D3474" s="32" t="s">
        <v>87</v>
      </c>
      <c r="E3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5" spans="1:6" x14ac:dyDescent="0.35">
      <c r="A3475" s="3">
        <v>47300071034</v>
      </c>
      <c r="B3475" s="3">
        <v>210</v>
      </c>
      <c r="C3475" s="32">
        <v>49236</v>
      </c>
      <c r="D3475" s="32" t="s">
        <v>87</v>
      </c>
      <c r="E3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6" spans="1:6" x14ac:dyDescent="0.35">
      <c r="A3476" s="3">
        <v>30585836173</v>
      </c>
      <c r="B3476" s="3">
        <v>282</v>
      </c>
      <c r="C3476" s="32">
        <v>49236</v>
      </c>
      <c r="D3476" s="32" t="s">
        <v>87</v>
      </c>
      <c r="E3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7" spans="1:6" x14ac:dyDescent="0.35">
      <c r="A3477" s="3">
        <v>84967558961</v>
      </c>
      <c r="B3477" s="3">
        <v>296</v>
      </c>
      <c r="C3477" s="32">
        <v>49236</v>
      </c>
      <c r="D3477" s="32" t="s">
        <v>87</v>
      </c>
      <c r="E3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8" spans="1:6" x14ac:dyDescent="0.35">
      <c r="A3478" s="3">
        <v>24098796691</v>
      </c>
      <c r="B3478" s="3">
        <v>180</v>
      </c>
      <c r="C3478" s="32">
        <v>49236</v>
      </c>
      <c r="D3478" s="32">
        <v>49319</v>
      </c>
      <c r="E3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79" spans="1:6" x14ac:dyDescent="0.35">
      <c r="A3479" s="3">
        <v>45417382922</v>
      </c>
      <c r="B3479" s="3">
        <v>299</v>
      </c>
      <c r="C3479" s="32">
        <v>49236</v>
      </c>
      <c r="D3479" s="32">
        <v>49294</v>
      </c>
      <c r="E3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80" spans="1:6" x14ac:dyDescent="0.35">
      <c r="A3480" s="3">
        <v>74977464280</v>
      </c>
      <c r="B3480" s="3">
        <v>59</v>
      </c>
      <c r="C3480" s="32">
        <v>49236</v>
      </c>
      <c r="D3480" s="32">
        <v>49319</v>
      </c>
      <c r="E3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81" spans="1:6" x14ac:dyDescent="0.35">
      <c r="A3481" s="3">
        <v>56725347771</v>
      </c>
      <c r="B3481" s="3">
        <v>140</v>
      </c>
      <c r="C3481" s="32">
        <v>49236</v>
      </c>
      <c r="D3481" s="32" t="s">
        <v>87</v>
      </c>
      <c r="E3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2" spans="1:6" x14ac:dyDescent="0.35">
      <c r="A3482" s="3">
        <v>56032621508</v>
      </c>
      <c r="B3482" s="3">
        <v>30</v>
      </c>
      <c r="C3482" s="32">
        <v>49236</v>
      </c>
      <c r="D3482" s="32" t="s">
        <v>87</v>
      </c>
      <c r="E3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3" spans="1:6" x14ac:dyDescent="0.35">
      <c r="A3483" s="3">
        <v>67787941226</v>
      </c>
      <c r="B3483" s="3">
        <v>300</v>
      </c>
      <c r="C3483" s="32">
        <v>49236</v>
      </c>
      <c r="D3483" s="32" t="s">
        <v>87</v>
      </c>
      <c r="E3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4" spans="1:6" x14ac:dyDescent="0.35">
      <c r="A3484" s="3">
        <v>52076224264</v>
      </c>
      <c r="B3484" s="3">
        <v>223</v>
      </c>
      <c r="C3484" s="32">
        <v>49236</v>
      </c>
      <c r="D3484" s="32" t="s">
        <v>87</v>
      </c>
      <c r="E3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5" spans="1:6" x14ac:dyDescent="0.35">
      <c r="A3485" s="3">
        <v>60078366144</v>
      </c>
      <c r="B3485" s="3">
        <v>110</v>
      </c>
      <c r="C3485" s="32">
        <v>49236</v>
      </c>
      <c r="D3485" s="32" t="s">
        <v>87</v>
      </c>
      <c r="E3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6" spans="1:6" x14ac:dyDescent="0.35">
      <c r="A3486" s="3">
        <v>42347493003</v>
      </c>
      <c r="B3486" s="3">
        <v>291</v>
      </c>
      <c r="C3486" s="32">
        <v>49236</v>
      </c>
      <c r="D3486" s="32" t="s">
        <v>87</v>
      </c>
      <c r="E3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7" spans="1:6" x14ac:dyDescent="0.35">
      <c r="A3487" s="3">
        <v>65216111818</v>
      </c>
      <c r="B3487" s="3">
        <v>212</v>
      </c>
      <c r="C3487" s="32">
        <v>49236</v>
      </c>
      <c r="D3487" s="32" t="s">
        <v>87</v>
      </c>
      <c r="E3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8" spans="1:6" x14ac:dyDescent="0.35">
      <c r="A3488" s="3">
        <v>23457970109</v>
      </c>
      <c r="B3488" s="3">
        <v>219</v>
      </c>
      <c r="C3488" s="32">
        <v>49236</v>
      </c>
      <c r="D3488" s="32" t="s">
        <v>87</v>
      </c>
      <c r="E3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9" spans="1:6" x14ac:dyDescent="0.35">
      <c r="A3489" s="3">
        <v>27103830594</v>
      </c>
      <c r="B3489" s="3">
        <v>245</v>
      </c>
      <c r="C3489" s="32">
        <v>49236</v>
      </c>
      <c r="D3489" s="32" t="s">
        <v>87</v>
      </c>
      <c r="E3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0" spans="1:6" x14ac:dyDescent="0.35">
      <c r="A3490" s="3">
        <v>12272348853</v>
      </c>
      <c r="B3490" s="3">
        <v>23</v>
      </c>
      <c r="C3490" s="32">
        <v>49236</v>
      </c>
      <c r="D3490" s="32" t="s">
        <v>87</v>
      </c>
      <c r="E3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1" spans="1:6" x14ac:dyDescent="0.35">
      <c r="A3491" s="3">
        <v>46138761903</v>
      </c>
      <c r="B3491" s="3">
        <v>118</v>
      </c>
      <c r="C3491" s="32">
        <v>49236</v>
      </c>
      <c r="D3491" s="32" t="s">
        <v>87</v>
      </c>
      <c r="E3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2" spans="1:6" x14ac:dyDescent="0.35">
      <c r="A3492" s="3">
        <v>68814660396</v>
      </c>
      <c r="B3492" s="3">
        <v>255</v>
      </c>
      <c r="C3492" s="32">
        <v>49236</v>
      </c>
      <c r="D3492" s="32">
        <v>49241</v>
      </c>
      <c r="E3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493" spans="1:6" x14ac:dyDescent="0.35">
      <c r="A3493" s="3">
        <v>25185712977</v>
      </c>
      <c r="B3493" s="3">
        <v>156</v>
      </c>
      <c r="C3493" s="32">
        <v>49237</v>
      </c>
      <c r="D3493" s="32" t="s">
        <v>87</v>
      </c>
      <c r="E3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4" spans="1:6" x14ac:dyDescent="0.35">
      <c r="A3494" s="3">
        <v>58094687768</v>
      </c>
      <c r="B3494" s="3">
        <v>120</v>
      </c>
      <c r="C3494" s="32">
        <v>49237</v>
      </c>
      <c r="D3494" s="32" t="s">
        <v>87</v>
      </c>
      <c r="E3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5" spans="1:6" x14ac:dyDescent="0.35">
      <c r="A3495" s="3">
        <v>40126826506</v>
      </c>
      <c r="B3495" s="3">
        <v>155</v>
      </c>
      <c r="C3495" s="32">
        <v>49237</v>
      </c>
      <c r="D3495" s="32" t="s">
        <v>87</v>
      </c>
      <c r="E3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6" spans="1:6" x14ac:dyDescent="0.35">
      <c r="A3496" s="3">
        <v>84850594467</v>
      </c>
      <c r="B3496" s="3">
        <v>318</v>
      </c>
      <c r="C3496" s="32">
        <v>49237</v>
      </c>
      <c r="D3496" s="32" t="s">
        <v>87</v>
      </c>
      <c r="E3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7" spans="1:6" x14ac:dyDescent="0.35">
      <c r="A3497" s="3">
        <v>68663326069</v>
      </c>
      <c r="B3497" s="3">
        <v>274</v>
      </c>
      <c r="C3497" s="32">
        <v>49237</v>
      </c>
      <c r="D3497" s="32" t="s">
        <v>87</v>
      </c>
      <c r="E3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8" spans="1:6" x14ac:dyDescent="0.35">
      <c r="A3498" s="3">
        <v>89265681799</v>
      </c>
      <c r="B3498" s="3">
        <v>106</v>
      </c>
      <c r="C3498" s="32">
        <v>49237</v>
      </c>
      <c r="D3498" s="32" t="s">
        <v>87</v>
      </c>
      <c r="E3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9" spans="1:6" x14ac:dyDescent="0.35">
      <c r="A3499" s="3">
        <v>80855238439</v>
      </c>
      <c r="B3499" s="3">
        <v>67</v>
      </c>
      <c r="C3499" s="32">
        <v>49237</v>
      </c>
      <c r="D3499" s="32">
        <v>49287</v>
      </c>
      <c r="E3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00" spans="1:6" x14ac:dyDescent="0.35">
      <c r="A3500" s="3">
        <v>85675848308</v>
      </c>
      <c r="B3500" s="3">
        <v>25</v>
      </c>
      <c r="C3500" s="32">
        <v>49237</v>
      </c>
      <c r="D3500" s="32" t="s">
        <v>87</v>
      </c>
      <c r="E3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1" spans="1:6" x14ac:dyDescent="0.35">
      <c r="A3501" s="3">
        <v>53765711488</v>
      </c>
      <c r="B3501" s="3">
        <v>198</v>
      </c>
      <c r="C3501" s="32">
        <v>49237</v>
      </c>
      <c r="D3501" s="32" t="s">
        <v>87</v>
      </c>
      <c r="E3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2" spans="1:6" x14ac:dyDescent="0.35">
      <c r="A3502" s="3">
        <v>69795134662</v>
      </c>
      <c r="B3502" s="3">
        <v>78</v>
      </c>
      <c r="C3502" s="32">
        <v>49237</v>
      </c>
      <c r="D3502" s="32" t="s">
        <v>87</v>
      </c>
      <c r="E3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3" spans="1:6" x14ac:dyDescent="0.35">
      <c r="A3503" s="3">
        <v>97808281082</v>
      </c>
      <c r="B3503" s="3">
        <v>311</v>
      </c>
      <c r="C3503" s="32">
        <v>49237</v>
      </c>
      <c r="D3503" s="32" t="s">
        <v>87</v>
      </c>
      <c r="E3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4" spans="1:6" x14ac:dyDescent="0.35">
      <c r="A3504" s="3">
        <v>41999184589</v>
      </c>
      <c r="B3504" s="3">
        <v>213</v>
      </c>
      <c r="C3504" s="32">
        <v>49237</v>
      </c>
      <c r="D3504" s="32" t="s">
        <v>87</v>
      </c>
      <c r="E3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5" spans="1:6" x14ac:dyDescent="0.35">
      <c r="A3505" s="3">
        <v>88141440790</v>
      </c>
      <c r="B3505" s="3">
        <v>189</v>
      </c>
      <c r="C3505" s="32">
        <v>49237</v>
      </c>
      <c r="D3505" s="32" t="s">
        <v>87</v>
      </c>
      <c r="E3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6" spans="1:6" x14ac:dyDescent="0.35">
      <c r="A3506" s="3">
        <v>27191150458</v>
      </c>
      <c r="B3506" s="3">
        <v>82</v>
      </c>
      <c r="C3506" s="32">
        <v>49237</v>
      </c>
      <c r="D3506" s="32" t="s">
        <v>87</v>
      </c>
      <c r="E3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7" spans="1:6" x14ac:dyDescent="0.35">
      <c r="A3507" s="3">
        <v>53349419533</v>
      </c>
      <c r="B3507" s="3">
        <v>244</v>
      </c>
      <c r="C3507" s="32">
        <v>49237</v>
      </c>
      <c r="D3507" s="32" t="s">
        <v>87</v>
      </c>
      <c r="E3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8" spans="1:6" x14ac:dyDescent="0.35">
      <c r="A3508" s="3">
        <v>76510367811</v>
      </c>
      <c r="B3508" s="3">
        <v>23</v>
      </c>
      <c r="C3508" s="32">
        <v>49237</v>
      </c>
      <c r="D3508" s="32">
        <v>49254</v>
      </c>
      <c r="E3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09" spans="1:6" x14ac:dyDescent="0.35">
      <c r="A3509" s="3">
        <v>98348243186</v>
      </c>
      <c r="B3509" s="3">
        <v>30</v>
      </c>
      <c r="C3509" s="32">
        <v>49237</v>
      </c>
      <c r="D3509" s="32" t="s">
        <v>87</v>
      </c>
      <c r="E3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0" spans="1:6" x14ac:dyDescent="0.35">
      <c r="A3510" s="3">
        <v>96191931719</v>
      </c>
      <c r="B3510" s="3">
        <v>213</v>
      </c>
      <c r="C3510" s="32">
        <v>49237</v>
      </c>
      <c r="D3510" s="32" t="s">
        <v>87</v>
      </c>
      <c r="E3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1" spans="1:6" x14ac:dyDescent="0.35">
      <c r="A3511" s="3">
        <v>45839270522</v>
      </c>
      <c r="B3511" s="3">
        <v>272</v>
      </c>
      <c r="C3511" s="32">
        <v>49237</v>
      </c>
      <c r="D3511" s="32" t="s">
        <v>87</v>
      </c>
      <c r="E3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2" spans="1:6" x14ac:dyDescent="0.35">
      <c r="A3512" s="3">
        <v>44409031762</v>
      </c>
      <c r="B3512" s="3">
        <v>60</v>
      </c>
      <c r="C3512" s="32">
        <v>49237</v>
      </c>
      <c r="D3512" s="32">
        <v>49248</v>
      </c>
      <c r="E3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13" spans="1:6" x14ac:dyDescent="0.35">
      <c r="A3513" s="3">
        <v>51797354039</v>
      </c>
      <c r="B3513" s="3">
        <v>97</v>
      </c>
      <c r="C3513" s="32">
        <v>49238</v>
      </c>
      <c r="D3513" s="32" t="s">
        <v>87</v>
      </c>
      <c r="E3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4" spans="1:6" x14ac:dyDescent="0.35">
      <c r="A3514" s="3">
        <v>77819990222</v>
      </c>
      <c r="B3514" s="3">
        <v>12</v>
      </c>
      <c r="C3514" s="32">
        <v>49238</v>
      </c>
      <c r="D3514" s="32"/>
      <c r="E3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5" spans="1:6" x14ac:dyDescent="0.35">
      <c r="A3515" s="3">
        <v>51771504666</v>
      </c>
      <c r="B3515" s="3">
        <v>165</v>
      </c>
      <c r="C3515" s="32">
        <v>49238</v>
      </c>
      <c r="D3515" s="32" t="s">
        <v>87</v>
      </c>
      <c r="E3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6" spans="1:6" x14ac:dyDescent="0.35">
      <c r="A3516" s="3">
        <v>26210468256</v>
      </c>
      <c r="B3516" s="3">
        <v>35</v>
      </c>
      <c r="C3516" s="32">
        <v>49238</v>
      </c>
      <c r="D3516" s="32" t="s">
        <v>87</v>
      </c>
      <c r="E3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7" spans="1:6" x14ac:dyDescent="0.35">
      <c r="A3517" s="3">
        <v>49913752055</v>
      </c>
      <c r="B3517" s="3">
        <v>187</v>
      </c>
      <c r="C3517" s="32">
        <v>49238</v>
      </c>
      <c r="D3517" s="32" t="s">
        <v>87</v>
      </c>
      <c r="E3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8" spans="1:6" x14ac:dyDescent="0.35">
      <c r="A3518" s="3">
        <v>15449950610</v>
      </c>
      <c r="B3518" s="3">
        <v>261</v>
      </c>
      <c r="C3518" s="32">
        <v>49238</v>
      </c>
      <c r="D3518" s="32" t="s">
        <v>87</v>
      </c>
      <c r="E3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9" spans="1:6" x14ac:dyDescent="0.35">
      <c r="A3519" s="3">
        <v>66354838939</v>
      </c>
      <c r="B3519" s="3">
        <v>98</v>
      </c>
      <c r="C3519" s="32">
        <v>49238</v>
      </c>
      <c r="D3519" s="32" t="s">
        <v>87</v>
      </c>
      <c r="E3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0" spans="1:6" x14ac:dyDescent="0.35">
      <c r="A3520" s="3">
        <v>59236302034</v>
      </c>
      <c r="B3520" s="3">
        <v>104</v>
      </c>
      <c r="C3520" s="32">
        <v>49238</v>
      </c>
      <c r="D3520" s="32" t="s">
        <v>87</v>
      </c>
      <c r="E3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1" spans="1:6" x14ac:dyDescent="0.35">
      <c r="A3521" s="3">
        <v>28071017920</v>
      </c>
      <c r="B3521" s="3">
        <v>189</v>
      </c>
      <c r="C3521" s="32">
        <v>49238</v>
      </c>
      <c r="D3521" s="32" t="s">
        <v>87</v>
      </c>
      <c r="E3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2" spans="1:6" x14ac:dyDescent="0.35">
      <c r="A3522" s="3">
        <v>88780846765</v>
      </c>
      <c r="B3522" s="3">
        <v>240</v>
      </c>
      <c r="C3522" s="32">
        <v>49238</v>
      </c>
      <c r="D3522" s="32" t="s">
        <v>87</v>
      </c>
      <c r="E3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3" spans="1:6" x14ac:dyDescent="0.35">
      <c r="A3523" s="3">
        <v>45815168729</v>
      </c>
      <c r="B3523" s="3">
        <v>323</v>
      </c>
      <c r="C3523" s="32">
        <v>49238</v>
      </c>
      <c r="D3523" s="32" t="s">
        <v>87</v>
      </c>
      <c r="E3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4" spans="1:6" x14ac:dyDescent="0.35">
      <c r="A3524" s="3">
        <v>77405596672</v>
      </c>
      <c r="B3524" s="3">
        <v>123</v>
      </c>
      <c r="C3524" s="32">
        <v>49238</v>
      </c>
      <c r="D3524" s="32" t="s">
        <v>87</v>
      </c>
      <c r="E3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5" spans="1:6" x14ac:dyDescent="0.35">
      <c r="A3525" s="3">
        <v>95234774891</v>
      </c>
      <c r="B3525" s="3">
        <v>162</v>
      </c>
      <c r="C3525" s="32">
        <v>49238</v>
      </c>
      <c r="D3525" s="32" t="s">
        <v>87</v>
      </c>
      <c r="E3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6" spans="1:6" x14ac:dyDescent="0.35">
      <c r="A3526" s="3">
        <v>27335828967</v>
      </c>
      <c r="B3526" s="3">
        <v>164</v>
      </c>
      <c r="C3526" s="32">
        <v>49238</v>
      </c>
      <c r="D3526" s="32" t="s">
        <v>87</v>
      </c>
      <c r="E3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7" spans="1:6" x14ac:dyDescent="0.35">
      <c r="A3527" s="3">
        <v>54971435444</v>
      </c>
      <c r="B3527" s="3">
        <v>252</v>
      </c>
      <c r="C3527" s="32">
        <v>49238</v>
      </c>
      <c r="D3527" s="32">
        <v>49284</v>
      </c>
      <c r="E3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28" spans="1:6" x14ac:dyDescent="0.35">
      <c r="A3528" s="3">
        <v>31792697704</v>
      </c>
      <c r="B3528" s="3">
        <v>2</v>
      </c>
      <c r="C3528" s="32">
        <v>49238</v>
      </c>
      <c r="D3528" s="32">
        <v>49246</v>
      </c>
      <c r="E3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29" spans="1:6" x14ac:dyDescent="0.35">
      <c r="A3529" s="3">
        <v>44554122224</v>
      </c>
      <c r="B3529" s="3">
        <v>17</v>
      </c>
      <c r="C3529" s="32">
        <v>49238</v>
      </c>
      <c r="D3529" s="32">
        <v>49245</v>
      </c>
      <c r="E3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30" spans="1:6" x14ac:dyDescent="0.35">
      <c r="A3530" s="3">
        <v>84934479903</v>
      </c>
      <c r="B3530" s="3">
        <v>174</v>
      </c>
      <c r="C3530" s="32">
        <v>49238</v>
      </c>
      <c r="D3530" s="32" t="s">
        <v>87</v>
      </c>
      <c r="E3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1" spans="1:6" x14ac:dyDescent="0.35">
      <c r="A3531" s="3">
        <v>40430264216</v>
      </c>
      <c r="B3531" s="3">
        <v>154</v>
      </c>
      <c r="C3531" s="32">
        <v>49238</v>
      </c>
      <c r="D3531" s="32" t="s">
        <v>87</v>
      </c>
      <c r="E3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2" spans="1:6" x14ac:dyDescent="0.35">
      <c r="A3532" s="3">
        <v>33042398992</v>
      </c>
      <c r="B3532" s="3">
        <v>195</v>
      </c>
      <c r="C3532" s="32">
        <v>49238</v>
      </c>
      <c r="D3532" s="32" t="s">
        <v>87</v>
      </c>
      <c r="E3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3" spans="1:6" x14ac:dyDescent="0.35">
      <c r="A3533" s="3">
        <v>49695080631</v>
      </c>
      <c r="B3533" s="3">
        <v>157</v>
      </c>
      <c r="C3533" s="32">
        <v>49238</v>
      </c>
      <c r="D3533" s="32" t="s">
        <v>87</v>
      </c>
      <c r="E3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4" spans="1:6" x14ac:dyDescent="0.35">
      <c r="A3534" s="3">
        <v>46415595836</v>
      </c>
      <c r="B3534" s="3">
        <v>144</v>
      </c>
      <c r="C3534" s="32">
        <v>49238</v>
      </c>
      <c r="D3534" s="32" t="s">
        <v>87</v>
      </c>
      <c r="E3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5" spans="1:6" x14ac:dyDescent="0.35">
      <c r="A3535" s="3">
        <v>38348697260</v>
      </c>
      <c r="B3535" s="3">
        <v>28</v>
      </c>
      <c r="C3535" s="32">
        <v>49239</v>
      </c>
      <c r="D3535" s="32" t="s">
        <v>87</v>
      </c>
      <c r="E3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6" spans="1:6" x14ac:dyDescent="0.35">
      <c r="A3536" s="3">
        <v>89752489766</v>
      </c>
      <c r="B3536" s="3">
        <v>317</v>
      </c>
      <c r="C3536" s="32">
        <v>49239</v>
      </c>
      <c r="D3536" s="32" t="s">
        <v>87</v>
      </c>
      <c r="E3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7" spans="1:6" x14ac:dyDescent="0.35">
      <c r="A3537" s="3">
        <v>70694938945</v>
      </c>
      <c r="B3537" s="3">
        <v>301</v>
      </c>
      <c r="C3537" s="32">
        <v>49239</v>
      </c>
      <c r="D3537" s="32" t="s">
        <v>87</v>
      </c>
      <c r="E3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8" spans="1:6" x14ac:dyDescent="0.35">
      <c r="A3538" s="3">
        <v>55019345429</v>
      </c>
      <c r="B3538" s="3">
        <v>267</v>
      </c>
      <c r="C3538" s="32">
        <v>49239</v>
      </c>
      <c r="D3538" s="32" t="s">
        <v>87</v>
      </c>
      <c r="E3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9" spans="1:6" x14ac:dyDescent="0.35">
      <c r="A3539" s="3">
        <v>78306231543</v>
      </c>
      <c r="B3539" s="3">
        <v>63</v>
      </c>
      <c r="C3539" s="32">
        <v>49239</v>
      </c>
      <c r="D3539" s="32">
        <v>49244</v>
      </c>
      <c r="E3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40" spans="1:6" x14ac:dyDescent="0.35">
      <c r="A3540" s="3">
        <v>70203348508</v>
      </c>
      <c r="B3540" s="3">
        <v>297</v>
      </c>
      <c r="C3540" s="32">
        <v>49239</v>
      </c>
      <c r="D3540" s="32" t="s">
        <v>87</v>
      </c>
      <c r="E3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1" spans="1:6" x14ac:dyDescent="0.35">
      <c r="A3541" s="3">
        <v>40391533852</v>
      </c>
      <c r="B3541" s="3">
        <v>158</v>
      </c>
      <c r="C3541" s="32">
        <v>49239</v>
      </c>
      <c r="D3541" s="32" t="s">
        <v>87</v>
      </c>
      <c r="E3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2" spans="1:6" x14ac:dyDescent="0.35">
      <c r="A3542" s="3">
        <v>19752471990</v>
      </c>
      <c r="B3542" s="3">
        <v>4</v>
      </c>
      <c r="C3542" s="32">
        <v>49239</v>
      </c>
      <c r="D3542" s="32" t="s">
        <v>87</v>
      </c>
      <c r="E3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3" spans="1:6" x14ac:dyDescent="0.35">
      <c r="A3543" s="3">
        <v>14839303979</v>
      </c>
      <c r="B3543" s="3">
        <v>51</v>
      </c>
      <c r="C3543" s="32">
        <v>49239</v>
      </c>
      <c r="D3543" s="32" t="s">
        <v>87</v>
      </c>
      <c r="E3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4" spans="1:6" x14ac:dyDescent="0.35">
      <c r="A3544" s="3">
        <v>78434632190</v>
      </c>
      <c r="B3544" s="3">
        <v>78</v>
      </c>
      <c r="C3544" s="32">
        <v>49239</v>
      </c>
      <c r="D3544" s="32">
        <v>49340</v>
      </c>
      <c r="E3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45" spans="1:6" x14ac:dyDescent="0.35">
      <c r="A3545" s="3">
        <v>95506309348</v>
      </c>
      <c r="B3545" s="3">
        <v>69</v>
      </c>
      <c r="C3545" s="32">
        <v>49239</v>
      </c>
      <c r="D3545" s="32"/>
      <c r="E3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6" spans="1:6" x14ac:dyDescent="0.35">
      <c r="A3546" s="3">
        <v>87541011132</v>
      </c>
      <c r="B3546" s="3">
        <v>124</v>
      </c>
      <c r="C3546" s="32">
        <v>49239</v>
      </c>
      <c r="D3546" s="32" t="s">
        <v>87</v>
      </c>
      <c r="E3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7" spans="1:6" x14ac:dyDescent="0.35">
      <c r="A3547" s="3">
        <v>87916510512</v>
      </c>
      <c r="B3547" s="3">
        <v>1</v>
      </c>
      <c r="C3547" s="32">
        <v>49239</v>
      </c>
      <c r="D3547" s="32" t="s">
        <v>87</v>
      </c>
      <c r="E3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8" spans="1:6" x14ac:dyDescent="0.35">
      <c r="A3548" s="3">
        <v>19692110561</v>
      </c>
      <c r="B3548" s="3">
        <v>39</v>
      </c>
      <c r="C3548" s="32">
        <v>49239</v>
      </c>
      <c r="D3548" s="32">
        <v>49300</v>
      </c>
      <c r="E3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49" spans="1:6" x14ac:dyDescent="0.35">
      <c r="A3549" s="3">
        <v>90506259723</v>
      </c>
      <c r="B3549" s="3">
        <v>167</v>
      </c>
      <c r="C3549" s="32">
        <v>49239</v>
      </c>
      <c r="D3549" s="32" t="s">
        <v>87</v>
      </c>
      <c r="E3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0" spans="1:6" x14ac:dyDescent="0.35">
      <c r="A3550" s="3">
        <v>52987320166</v>
      </c>
      <c r="B3550" s="3">
        <v>100</v>
      </c>
      <c r="C3550" s="32">
        <v>49239</v>
      </c>
      <c r="D3550" s="32" t="s">
        <v>87</v>
      </c>
      <c r="E3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1" spans="1:6" x14ac:dyDescent="0.35">
      <c r="A3551" s="3">
        <v>97082765101</v>
      </c>
      <c r="B3551" s="3">
        <v>88</v>
      </c>
      <c r="C3551" s="32">
        <v>49239</v>
      </c>
      <c r="D3551" s="32" t="s">
        <v>87</v>
      </c>
      <c r="E3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2" spans="1:6" x14ac:dyDescent="0.35">
      <c r="A3552" s="3">
        <v>59823246974</v>
      </c>
      <c r="B3552" s="3">
        <v>295</v>
      </c>
      <c r="C3552" s="32">
        <v>49239</v>
      </c>
      <c r="D3552" s="32" t="s">
        <v>87</v>
      </c>
      <c r="E3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3" spans="1:6" x14ac:dyDescent="0.35">
      <c r="A3553" s="3">
        <v>37469199940</v>
      </c>
      <c r="B3553" s="3">
        <v>308</v>
      </c>
      <c r="C3553" s="32">
        <v>49239</v>
      </c>
      <c r="D3553" s="32">
        <v>49274</v>
      </c>
      <c r="E3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54" spans="1:6" x14ac:dyDescent="0.35">
      <c r="A3554" s="3">
        <v>60641712997</v>
      </c>
      <c r="B3554" s="3">
        <v>46</v>
      </c>
      <c r="C3554" s="32">
        <v>49239</v>
      </c>
      <c r="D3554" s="32" t="s">
        <v>87</v>
      </c>
      <c r="E3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5" spans="1:6" x14ac:dyDescent="0.35">
      <c r="A3555" s="3">
        <v>58368477458</v>
      </c>
      <c r="B3555" s="3">
        <v>183</v>
      </c>
      <c r="C3555" s="32">
        <v>49239</v>
      </c>
      <c r="D3555" s="32">
        <v>49315</v>
      </c>
      <c r="E3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56" spans="1:6" x14ac:dyDescent="0.35">
      <c r="A3556" s="3">
        <v>11858027865</v>
      </c>
      <c r="B3556" s="3">
        <v>319</v>
      </c>
      <c r="C3556" s="32">
        <v>49239</v>
      </c>
      <c r="D3556" s="32"/>
      <c r="E3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7" spans="1:6" x14ac:dyDescent="0.35">
      <c r="A3557" s="3">
        <v>24780479173</v>
      </c>
      <c r="B3557" s="3">
        <v>86</v>
      </c>
      <c r="C3557" s="32">
        <v>49239</v>
      </c>
      <c r="D3557" s="32" t="s">
        <v>87</v>
      </c>
      <c r="E3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8" spans="1:6" x14ac:dyDescent="0.35">
      <c r="A3558" s="3">
        <v>88004458501</v>
      </c>
      <c r="B3558" s="3">
        <v>44</v>
      </c>
      <c r="C3558" s="32">
        <v>49239</v>
      </c>
      <c r="D3558" s="32" t="s">
        <v>87</v>
      </c>
      <c r="E3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9" spans="1:6" x14ac:dyDescent="0.35">
      <c r="A3559" s="3">
        <v>46766046794</v>
      </c>
      <c r="B3559" s="3">
        <v>9</v>
      </c>
      <c r="C3559" s="32">
        <v>49239</v>
      </c>
      <c r="D3559" s="32">
        <v>49312</v>
      </c>
      <c r="E3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60" spans="1:6" x14ac:dyDescent="0.35">
      <c r="A3560" s="3">
        <v>38815809949</v>
      </c>
      <c r="B3560" s="3">
        <v>48</v>
      </c>
      <c r="C3560" s="32">
        <v>49239</v>
      </c>
      <c r="D3560" s="32" t="s">
        <v>87</v>
      </c>
      <c r="E3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1" spans="1:6" x14ac:dyDescent="0.35">
      <c r="A3561" s="3">
        <v>26417008389</v>
      </c>
      <c r="B3561" s="3">
        <v>233</v>
      </c>
      <c r="C3561" s="32">
        <v>49239</v>
      </c>
      <c r="D3561" s="32">
        <v>49328</v>
      </c>
      <c r="E3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62" spans="1:6" x14ac:dyDescent="0.35">
      <c r="A3562" s="3">
        <v>90695326162</v>
      </c>
      <c r="B3562" s="3">
        <v>224</v>
      </c>
      <c r="C3562" s="32">
        <v>49239</v>
      </c>
      <c r="D3562" s="32" t="s">
        <v>87</v>
      </c>
      <c r="E3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3" spans="1:6" x14ac:dyDescent="0.35">
      <c r="A3563" s="3">
        <v>54024569509</v>
      </c>
      <c r="B3563" s="3">
        <v>66</v>
      </c>
      <c r="C3563" s="32">
        <v>49239</v>
      </c>
      <c r="D3563" s="32" t="s">
        <v>87</v>
      </c>
      <c r="E3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4" spans="1:6" x14ac:dyDescent="0.35">
      <c r="A3564" s="3">
        <v>64304796705</v>
      </c>
      <c r="B3564" s="3">
        <v>52</v>
      </c>
      <c r="C3564" s="32">
        <v>49239</v>
      </c>
      <c r="D3564" s="32" t="s">
        <v>87</v>
      </c>
      <c r="E3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5" spans="1:6" x14ac:dyDescent="0.35">
      <c r="A3565" s="3">
        <v>97977243294</v>
      </c>
      <c r="B3565" s="3">
        <v>92</v>
      </c>
      <c r="C3565" s="32">
        <v>49240</v>
      </c>
      <c r="D3565" s="32">
        <v>49259</v>
      </c>
      <c r="E3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66" spans="1:6" x14ac:dyDescent="0.35">
      <c r="A3566" s="3">
        <v>38935193323</v>
      </c>
      <c r="B3566" s="3">
        <v>121</v>
      </c>
      <c r="C3566" s="32">
        <v>49240</v>
      </c>
      <c r="D3566" s="32" t="s">
        <v>87</v>
      </c>
      <c r="E3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7" spans="1:6" x14ac:dyDescent="0.35">
      <c r="A3567" s="3">
        <v>93678403460</v>
      </c>
      <c r="B3567" s="3">
        <v>237</v>
      </c>
      <c r="C3567" s="32">
        <v>49240</v>
      </c>
      <c r="D3567" s="32">
        <v>49272</v>
      </c>
      <c r="E3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68" spans="1:6" x14ac:dyDescent="0.35">
      <c r="A3568" s="3">
        <v>24988669257</v>
      </c>
      <c r="B3568" s="3">
        <v>109</v>
      </c>
      <c r="C3568" s="32">
        <v>49240</v>
      </c>
      <c r="D3568" s="32" t="s">
        <v>87</v>
      </c>
      <c r="E3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9" spans="1:6" x14ac:dyDescent="0.35">
      <c r="A3569" s="3">
        <v>48983974010</v>
      </c>
      <c r="B3569" s="3">
        <v>185</v>
      </c>
      <c r="C3569" s="32">
        <v>49240</v>
      </c>
      <c r="D3569" s="32" t="s">
        <v>87</v>
      </c>
      <c r="E3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0" spans="1:6" x14ac:dyDescent="0.35">
      <c r="A3570" s="3">
        <v>66977288628</v>
      </c>
      <c r="B3570" s="3">
        <v>72</v>
      </c>
      <c r="C3570" s="32">
        <v>49240</v>
      </c>
      <c r="D3570" s="32" t="s">
        <v>87</v>
      </c>
      <c r="E3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1" spans="1:6" x14ac:dyDescent="0.35">
      <c r="A3571" s="3">
        <v>27844916310</v>
      </c>
      <c r="B3571" s="3">
        <v>74</v>
      </c>
      <c r="C3571" s="32">
        <v>49240</v>
      </c>
      <c r="D3571" s="32" t="s">
        <v>87</v>
      </c>
      <c r="E3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2" spans="1:6" x14ac:dyDescent="0.35">
      <c r="A3572" s="3">
        <v>58692293984</v>
      </c>
      <c r="B3572" s="3">
        <v>36</v>
      </c>
      <c r="C3572" s="32">
        <v>49240</v>
      </c>
      <c r="D3572" s="32" t="s">
        <v>87</v>
      </c>
      <c r="E3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3" spans="1:6" x14ac:dyDescent="0.35">
      <c r="A3573" s="3">
        <v>19517647503</v>
      </c>
      <c r="B3573" s="3">
        <v>66</v>
      </c>
      <c r="C3573" s="32">
        <v>49240</v>
      </c>
      <c r="D3573" s="32" t="s">
        <v>87</v>
      </c>
      <c r="E3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4" spans="1:6" x14ac:dyDescent="0.35">
      <c r="A3574" s="3">
        <v>75312465683</v>
      </c>
      <c r="B3574" s="3">
        <v>63</v>
      </c>
      <c r="C3574" s="32">
        <v>49240</v>
      </c>
      <c r="D3574" s="32" t="s">
        <v>87</v>
      </c>
      <c r="E3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5" spans="1:6" x14ac:dyDescent="0.35">
      <c r="A3575" s="3">
        <v>59487012575</v>
      </c>
      <c r="B3575" s="3">
        <v>99</v>
      </c>
      <c r="C3575" s="32">
        <v>49240</v>
      </c>
      <c r="D3575" s="32" t="s">
        <v>87</v>
      </c>
      <c r="E3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6" spans="1:6" x14ac:dyDescent="0.35">
      <c r="A3576" s="3">
        <v>23177030587</v>
      </c>
      <c r="B3576" s="3">
        <v>73</v>
      </c>
      <c r="C3576" s="32">
        <v>49240</v>
      </c>
      <c r="D3576" s="32" t="s">
        <v>87</v>
      </c>
      <c r="E3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7" spans="1:6" x14ac:dyDescent="0.35">
      <c r="A3577" s="3">
        <v>55885154036</v>
      </c>
      <c r="B3577" s="3">
        <v>307</v>
      </c>
      <c r="C3577" s="32">
        <v>49240</v>
      </c>
      <c r="D3577" s="32" t="s">
        <v>87</v>
      </c>
      <c r="E3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8" spans="1:6" x14ac:dyDescent="0.35">
      <c r="A3578" s="3">
        <v>52051333223</v>
      </c>
      <c r="B3578" s="3">
        <v>216</v>
      </c>
      <c r="C3578" s="32">
        <v>49240</v>
      </c>
      <c r="D3578" s="32"/>
      <c r="E3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9" spans="1:6" x14ac:dyDescent="0.35">
      <c r="A3579" s="3">
        <v>96370723616</v>
      </c>
      <c r="B3579" s="3">
        <v>174</v>
      </c>
      <c r="C3579" s="32">
        <v>49240</v>
      </c>
      <c r="D3579" s="32" t="s">
        <v>87</v>
      </c>
      <c r="E3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0" spans="1:6" x14ac:dyDescent="0.35">
      <c r="A3580" s="3">
        <v>24562882923</v>
      </c>
      <c r="B3580" s="3">
        <v>13</v>
      </c>
      <c r="C3580" s="32">
        <v>49240</v>
      </c>
      <c r="D3580" s="32" t="s">
        <v>87</v>
      </c>
      <c r="E3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1" spans="1:6" x14ac:dyDescent="0.35">
      <c r="A3581" s="3">
        <v>29339151119</v>
      </c>
      <c r="B3581" s="3">
        <v>330</v>
      </c>
      <c r="C3581" s="32">
        <v>49240</v>
      </c>
      <c r="D3581" s="32" t="s">
        <v>87</v>
      </c>
      <c r="E3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2" spans="1:6" x14ac:dyDescent="0.35">
      <c r="A3582" s="3">
        <v>83691607567</v>
      </c>
      <c r="B3582" s="3">
        <v>213</v>
      </c>
      <c r="C3582" s="32">
        <v>49240</v>
      </c>
      <c r="D3582" s="32" t="s">
        <v>87</v>
      </c>
      <c r="E3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3" spans="1:6" x14ac:dyDescent="0.35">
      <c r="A3583" s="3">
        <v>11817937029</v>
      </c>
      <c r="B3583" s="3">
        <v>156</v>
      </c>
      <c r="C3583" s="32">
        <v>49240</v>
      </c>
      <c r="D3583" s="32" t="s">
        <v>87</v>
      </c>
      <c r="E3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4" spans="1:6" x14ac:dyDescent="0.35">
      <c r="A3584" s="3">
        <v>36893459266</v>
      </c>
      <c r="B3584" s="3">
        <v>13</v>
      </c>
      <c r="C3584" s="32">
        <v>49240</v>
      </c>
      <c r="D3584" s="32" t="s">
        <v>87</v>
      </c>
      <c r="E3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5" spans="1:6" x14ac:dyDescent="0.35">
      <c r="A3585" s="3">
        <v>89946180014</v>
      </c>
      <c r="B3585" s="3">
        <v>108</v>
      </c>
      <c r="C3585" s="32">
        <v>49240</v>
      </c>
      <c r="D3585" s="32" t="s">
        <v>87</v>
      </c>
      <c r="E3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6" spans="1:6" x14ac:dyDescent="0.35">
      <c r="A3586" s="3">
        <v>94262642711</v>
      </c>
      <c r="B3586" s="3">
        <v>235</v>
      </c>
      <c r="C3586" s="32">
        <v>49240</v>
      </c>
      <c r="D3586" s="32" t="s">
        <v>87</v>
      </c>
      <c r="E3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7" spans="1:6" x14ac:dyDescent="0.35">
      <c r="A3587" s="3">
        <v>35497927859</v>
      </c>
      <c r="B3587" s="3">
        <v>73</v>
      </c>
      <c r="C3587" s="32">
        <v>49240</v>
      </c>
      <c r="D3587" s="32" t="s">
        <v>87</v>
      </c>
      <c r="E3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8" spans="1:6" x14ac:dyDescent="0.35">
      <c r="A3588" s="3">
        <v>47171530358</v>
      </c>
      <c r="B3588" s="3">
        <v>68</v>
      </c>
      <c r="C3588" s="32">
        <v>49240</v>
      </c>
      <c r="D3588" s="32" t="s">
        <v>87</v>
      </c>
      <c r="E3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9" spans="1:6" x14ac:dyDescent="0.35">
      <c r="A3589" s="3">
        <v>14694279552</v>
      </c>
      <c r="B3589" s="3">
        <v>316</v>
      </c>
      <c r="C3589" s="32">
        <v>49240</v>
      </c>
      <c r="D3589" s="32" t="s">
        <v>87</v>
      </c>
      <c r="E3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0" spans="1:6" x14ac:dyDescent="0.35">
      <c r="A3590" s="3">
        <v>94245440753</v>
      </c>
      <c r="B3590" s="3">
        <v>282</v>
      </c>
      <c r="C3590" s="32">
        <v>49240</v>
      </c>
      <c r="D3590" s="32">
        <v>49254</v>
      </c>
      <c r="E3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1" spans="1:6" x14ac:dyDescent="0.35">
      <c r="A3591" s="3">
        <v>98186456086</v>
      </c>
      <c r="B3591" s="3">
        <v>71</v>
      </c>
      <c r="C3591" s="32">
        <v>49240</v>
      </c>
      <c r="D3591" s="32">
        <v>49257</v>
      </c>
      <c r="E3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2" spans="1:6" x14ac:dyDescent="0.35">
      <c r="A3592" s="3">
        <v>15806419732</v>
      </c>
      <c r="B3592" s="3">
        <v>232</v>
      </c>
      <c r="C3592" s="32">
        <v>49240</v>
      </c>
      <c r="D3592" s="32">
        <v>49263</v>
      </c>
      <c r="E3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3" spans="1:6" x14ac:dyDescent="0.35">
      <c r="A3593" s="3">
        <v>57182901878</v>
      </c>
      <c r="B3593" s="3">
        <v>20</v>
      </c>
      <c r="C3593" s="32">
        <v>49240</v>
      </c>
      <c r="D3593" s="32">
        <v>49295</v>
      </c>
      <c r="E3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94" spans="1:6" x14ac:dyDescent="0.35">
      <c r="A3594" s="3">
        <v>52414775459</v>
      </c>
      <c r="B3594" s="3">
        <v>160</v>
      </c>
      <c r="C3594" s="32">
        <v>49240</v>
      </c>
      <c r="D3594" s="32">
        <v>49308</v>
      </c>
      <c r="E3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95" spans="1:6" x14ac:dyDescent="0.35">
      <c r="A3595" s="3">
        <v>99200051523</v>
      </c>
      <c r="B3595" s="3">
        <v>45</v>
      </c>
      <c r="C3595" s="32">
        <v>49240</v>
      </c>
      <c r="D3595" s="32" t="s">
        <v>87</v>
      </c>
      <c r="E3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6" spans="1:6" x14ac:dyDescent="0.35">
      <c r="A3596" s="3">
        <v>93520293955</v>
      </c>
      <c r="B3596" s="3">
        <v>82</v>
      </c>
      <c r="C3596" s="32">
        <v>49240</v>
      </c>
      <c r="D3596" s="32" t="s">
        <v>87</v>
      </c>
      <c r="E3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7" spans="1:6" x14ac:dyDescent="0.35">
      <c r="A3597" s="3">
        <v>43520908139</v>
      </c>
      <c r="B3597" s="3">
        <v>297</v>
      </c>
      <c r="C3597" s="32">
        <v>49240</v>
      </c>
      <c r="D3597" s="32" t="s">
        <v>87</v>
      </c>
      <c r="E3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8" spans="1:6" x14ac:dyDescent="0.35">
      <c r="A3598" s="3">
        <v>47728834338</v>
      </c>
      <c r="B3598" s="3">
        <v>246</v>
      </c>
      <c r="C3598" s="32">
        <v>49241</v>
      </c>
      <c r="D3598" s="32">
        <v>49250</v>
      </c>
      <c r="E3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9" spans="1:6" x14ac:dyDescent="0.35">
      <c r="A3599" s="3">
        <v>88214107974</v>
      </c>
      <c r="B3599" s="3">
        <v>331</v>
      </c>
      <c r="C3599" s="32">
        <v>49241</v>
      </c>
      <c r="D3599" s="32" t="s">
        <v>87</v>
      </c>
      <c r="E3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0" spans="1:6" x14ac:dyDescent="0.35">
      <c r="A3600" s="3">
        <v>32257679600</v>
      </c>
      <c r="B3600" s="3">
        <v>268</v>
      </c>
      <c r="C3600" s="32">
        <v>49241</v>
      </c>
      <c r="D3600" s="32" t="s">
        <v>87</v>
      </c>
      <c r="E3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1" spans="1:6" x14ac:dyDescent="0.35">
      <c r="A3601" s="3">
        <v>33247136100</v>
      </c>
      <c r="B3601" s="3">
        <v>158</v>
      </c>
      <c r="C3601" s="32">
        <v>49241</v>
      </c>
      <c r="D3601" s="32" t="s">
        <v>87</v>
      </c>
      <c r="E3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2" spans="1:6" x14ac:dyDescent="0.35">
      <c r="A3602" s="3">
        <v>25931228143</v>
      </c>
      <c r="B3602" s="3">
        <v>237</v>
      </c>
      <c r="C3602" s="32">
        <v>49241</v>
      </c>
      <c r="D3602" s="32" t="s">
        <v>87</v>
      </c>
      <c r="E3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3" spans="1:6" x14ac:dyDescent="0.35">
      <c r="A3603" s="3">
        <v>40846819640</v>
      </c>
      <c r="B3603" s="3">
        <v>239</v>
      </c>
      <c r="C3603" s="32">
        <v>49241</v>
      </c>
      <c r="D3603" s="32" t="s">
        <v>87</v>
      </c>
      <c r="E3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4" spans="1:6" x14ac:dyDescent="0.35">
      <c r="A3604" s="3">
        <v>16922815017</v>
      </c>
      <c r="B3604" s="3">
        <v>226</v>
      </c>
      <c r="C3604" s="32">
        <v>49241</v>
      </c>
      <c r="D3604" s="32" t="s">
        <v>87</v>
      </c>
      <c r="E3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5" spans="1:6" x14ac:dyDescent="0.35">
      <c r="A3605" s="3">
        <v>53410439863</v>
      </c>
      <c r="B3605" s="3">
        <v>208</v>
      </c>
      <c r="C3605" s="32">
        <v>49241</v>
      </c>
      <c r="D3605" s="32" t="s">
        <v>87</v>
      </c>
      <c r="E3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6" spans="1:6" x14ac:dyDescent="0.35">
      <c r="A3606" s="3">
        <v>31301649492</v>
      </c>
      <c r="B3606" s="3">
        <v>289</v>
      </c>
      <c r="C3606" s="32">
        <v>49241</v>
      </c>
      <c r="D3606" s="32" t="s">
        <v>87</v>
      </c>
      <c r="E3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7" spans="1:6" x14ac:dyDescent="0.35">
      <c r="A3607" s="3">
        <v>17449044774</v>
      </c>
      <c r="B3607" s="3">
        <v>221</v>
      </c>
      <c r="C3607" s="32">
        <v>49241</v>
      </c>
      <c r="D3607" s="32" t="s">
        <v>87</v>
      </c>
      <c r="E3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8" spans="1:6" x14ac:dyDescent="0.35">
      <c r="A3608" s="3">
        <v>32118602421</v>
      </c>
      <c r="B3608" s="3">
        <v>140</v>
      </c>
      <c r="C3608" s="32">
        <v>49241</v>
      </c>
      <c r="D3608" s="32" t="s">
        <v>87</v>
      </c>
      <c r="E3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9" spans="1:6" x14ac:dyDescent="0.35">
      <c r="A3609" s="3">
        <v>77080009936</v>
      </c>
      <c r="B3609" s="3">
        <v>320</v>
      </c>
      <c r="C3609" s="32">
        <v>49241</v>
      </c>
      <c r="D3609" s="32" t="s">
        <v>87</v>
      </c>
      <c r="E3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0" spans="1:6" x14ac:dyDescent="0.35">
      <c r="A3610" s="3">
        <v>29186141162</v>
      </c>
      <c r="B3610" s="3">
        <v>314</v>
      </c>
      <c r="C3610" s="32">
        <v>49241</v>
      </c>
      <c r="D3610" s="32" t="s">
        <v>87</v>
      </c>
      <c r="E3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1" spans="1:6" x14ac:dyDescent="0.35">
      <c r="A3611" s="3">
        <v>89966823235</v>
      </c>
      <c r="B3611" s="3">
        <v>46</v>
      </c>
      <c r="C3611" s="32">
        <v>49241</v>
      </c>
      <c r="D3611" s="32" t="s">
        <v>87</v>
      </c>
      <c r="E3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2" spans="1:6" x14ac:dyDescent="0.35">
      <c r="A3612" s="3">
        <v>16471334764</v>
      </c>
      <c r="B3612" s="3">
        <v>275</v>
      </c>
      <c r="C3612" s="32">
        <v>49241</v>
      </c>
      <c r="D3612" s="32" t="s">
        <v>87</v>
      </c>
      <c r="E3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3" spans="1:6" x14ac:dyDescent="0.35">
      <c r="A3613" s="3">
        <v>28272808241</v>
      </c>
      <c r="B3613" s="3">
        <v>158</v>
      </c>
      <c r="C3613" s="32">
        <v>49241</v>
      </c>
      <c r="D3613" s="32" t="s">
        <v>87</v>
      </c>
      <c r="E3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4" spans="1:6" x14ac:dyDescent="0.35">
      <c r="A3614" s="3">
        <v>39166046395</v>
      </c>
      <c r="B3614" s="3">
        <v>11</v>
      </c>
      <c r="C3614" s="32">
        <v>49241</v>
      </c>
      <c r="D3614" s="32">
        <v>49291</v>
      </c>
      <c r="E3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15" spans="1:6" x14ac:dyDescent="0.35">
      <c r="A3615" s="3">
        <v>91578879582</v>
      </c>
      <c r="B3615" s="3">
        <v>215</v>
      </c>
      <c r="C3615" s="32">
        <v>49241</v>
      </c>
      <c r="D3615" s="32" t="s">
        <v>87</v>
      </c>
      <c r="E3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6" spans="1:6" x14ac:dyDescent="0.35">
      <c r="A3616" s="3">
        <v>48677805989</v>
      </c>
      <c r="B3616" s="3">
        <v>329</v>
      </c>
      <c r="C3616" s="32">
        <v>49241</v>
      </c>
      <c r="D3616" s="32" t="s">
        <v>87</v>
      </c>
      <c r="E3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7" spans="1:6" x14ac:dyDescent="0.35">
      <c r="A3617" s="3">
        <v>99891530274</v>
      </c>
      <c r="B3617" s="3">
        <v>279</v>
      </c>
      <c r="C3617" s="32">
        <v>49241</v>
      </c>
      <c r="D3617" s="32" t="s">
        <v>87</v>
      </c>
      <c r="E3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8" spans="1:6" x14ac:dyDescent="0.35">
      <c r="A3618" s="3">
        <v>28050756994</v>
      </c>
      <c r="B3618" s="3">
        <v>302</v>
      </c>
      <c r="C3618" s="32">
        <v>49241</v>
      </c>
      <c r="D3618" s="32">
        <v>49289</v>
      </c>
      <c r="E3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19" spans="1:6" x14ac:dyDescent="0.35">
      <c r="A3619" s="3">
        <v>22198084992</v>
      </c>
      <c r="B3619" s="3">
        <v>101</v>
      </c>
      <c r="C3619" s="32">
        <v>49241</v>
      </c>
      <c r="D3619" s="32">
        <v>49301</v>
      </c>
      <c r="E3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20" spans="1:6" x14ac:dyDescent="0.35">
      <c r="A3620" s="3">
        <v>87667370895</v>
      </c>
      <c r="B3620" s="3">
        <v>312</v>
      </c>
      <c r="C3620" s="32">
        <v>49241</v>
      </c>
      <c r="D3620" s="32" t="s">
        <v>87</v>
      </c>
      <c r="E3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1" spans="1:6" x14ac:dyDescent="0.35">
      <c r="A3621" s="3">
        <v>73311134834</v>
      </c>
      <c r="B3621" s="3">
        <v>63</v>
      </c>
      <c r="C3621" s="32">
        <v>49241</v>
      </c>
      <c r="D3621" s="32">
        <v>49273</v>
      </c>
      <c r="E3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622" spans="1:6" x14ac:dyDescent="0.35">
      <c r="A3622" s="3">
        <v>21560745534</v>
      </c>
      <c r="B3622" s="3">
        <v>335</v>
      </c>
      <c r="C3622" s="32">
        <v>49241</v>
      </c>
      <c r="D3622" s="32">
        <v>49332</v>
      </c>
      <c r="E3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23" spans="1:6" x14ac:dyDescent="0.35">
      <c r="A3623" s="3">
        <v>59375488001</v>
      </c>
      <c r="B3623" s="3">
        <v>327</v>
      </c>
      <c r="C3623" s="32">
        <v>49241</v>
      </c>
      <c r="D3623" s="32" t="s">
        <v>87</v>
      </c>
      <c r="E3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4" spans="1:6" x14ac:dyDescent="0.35">
      <c r="A3624" s="3">
        <v>72669892122</v>
      </c>
      <c r="B3624" s="3">
        <v>200</v>
      </c>
      <c r="C3624" s="32">
        <v>49241</v>
      </c>
      <c r="D3624" s="32" t="s">
        <v>87</v>
      </c>
      <c r="E3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5" spans="1:6" x14ac:dyDescent="0.35">
      <c r="A3625" s="3">
        <v>30779174937</v>
      </c>
      <c r="B3625" s="3">
        <v>95</v>
      </c>
      <c r="C3625" s="32">
        <v>49241</v>
      </c>
      <c r="D3625" s="32" t="s">
        <v>87</v>
      </c>
      <c r="E3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6" spans="1:6" x14ac:dyDescent="0.35">
      <c r="A3626" s="3">
        <v>53549935988</v>
      </c>
      <c r="B3626" s="3">
        <v>38</v>
      </c>
      <c r="C3626" s="32">
        <v>49241</v>
      </c>
      <c r="D3626" s="32" t="s">
        <v>87</v>
      </c>
      <c r="E3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7" spans="1:6" x14ac:dyDescent="0.35">
      <c r="A3627" s="3">
        <v>81218074257</v>
      </c>
      <c r="B3627" s="3">
        <v>235</v>
      </c>
      <c r="C3627" s="32">
        <v>49241</v>
      </c>
      <c r="D3627" s="32" t="s">
        <v>87</v>
      </c>
      <c r="E3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8" spans="1:6" x14ac:dyDescent="0.35">
      <c r="A3628" s="3">
        <v>12103724593</v>
      </c>
      <c r="B3628" s="3">
        <v>221</v>
      </c>
      <c r="C3628" s="32">
        <v>49241</v>
      </c>
      <c r="D3628" s="32" t="s">
        <v>87</v>
      </c>
      <c r="E3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9" spans="1:6" x14ac:dyDescent="0.35">
      <c r="A3629" s="3">
        <v>24974731415</v>
      </c>
      <c r="B3629" s="3">
        <v>55</v>
      </c>
      <c r="C3629" s="32">
        <v>49241</v>
      </c>
      <c r="D3629" s="32" t="s">
        <v>87</v>
      </c>
      <c r="E3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0" spans="1:6" x14ac:dyDescent="0.35">
      <c r="A3630" s="3">
        <v>43831928824</v>
      </c>
      <c r="B3630" s="3">
        <v>269</v>
      </c>
      <c r="C3630" s="32">
        <v>49241</v>
      </c>
      <c r="D3630" s="32">
        <v>49299</v>
      </c>
      <c r="E3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31" spans="1:6" x14ac:dyDescent="0.35">
      <c r="A3631" s="3">
        <v>20574968257</v>
      </c>
      <c r="B3631" s="3">
        <v>15</v>
      </c>
      <c r="C3631" s="32">
        <v>49241</v>
      </c>
      <c r="D3631" s="32"/>
      <c r="E3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2" spans="1:6" x14ac:dyDescent="0.35">
      <c r="A3632" s="3">
        <v>28584426837</v>
      </c>
      <c r="B3632" s="3">
        <v>267</v>
      </c>
      <c r="C3632" s="32">
        <v>49241</v>
      </c>
      <c r="D3632" s="32" t="s">
        <v>87</v>
      </c>
      <c r="E3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3" spans="1:6" x14ac:dyDescent="0.35">
      <c r="A3633" s="3">
        <v>47656069819</v>
      </c>
      <c r="B3633" s="3">
        <v>94</v>
      </c>
      <c r="C3633" s="32">
        <v>49241</v>
      </c>
      <c r="D3633" s="32" t="s">
        <v>87</v>
      </c>
      <c r="E3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4" spans="1:6" x14ac:dyDescent="0.35">
      <c r="A3634" s="3">
        <v>24441960711</v>
      </c>
      <c r="B3634" s="3">
        <v>186</v>
      </c>
      <c r="C3634" s="32">
        <v>49241</v>
      </c>
      <c r="D3634" s="32" t="s">
        <v>87</v>
      </c>
      <c r="E3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5" spans="1:6" x14ac:dyDescent="0.35">
      <c r="A3635" s="3">
        <v>84643492312</v>
      </c>
      <c r="B3635" s="3">
        <v>17</v>
      </c>
      <c r="C3635" s="32">
        <v>49241</v>
      </c>
      <c r="D3635" s="32" t="s">
        <v>87</v>
      </c>
      <c r="E3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6" spans="1:6" x14ac:dyDescent="0.35">
      <c r="A3636" s="3">
        <v>95539626156</v>
      </c>
      <c r="B3636" s="3">
        <v>94</v>
      </c>
      <c r="C3636" s="32">
        <v>49241</v>
      </c>
      <c r="D3636" s="32" t="s">
        <v>87</v>
      </c>
      <c r="E3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7" spans="1:6" x14ac:dyDescent="0.35">
      <c r="A3637" s="3">
        <v>13481126978</v>
      </c>
      <c r="B3637" s="3">
        <v>28</v>
      </c>
      <c r="C3637" s="32">
        <v>49242</v>
      </c>
      <c r="D3637" s="32" t="s">
        <v>87</v>
      </c>
      <c r="E3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8" spans="1:6" x14ac:dyDescent="0.35">
      <c r="A3638" s="3">
        <v>27575369113</v>
      </c>
      <c r="B3638" s="3">
        <v>244</v>
      </c>
      <c r="C3638" s="32">
        <v>49242</v>
      </c>
      <c r="D3638" s="32" t="s">
        <v>87</v>
      </c>
      <c r="E3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9" spans="1:6" x14ac:dyDescent="0.35">
      <c r="A3639" s="3">
        <v>61546737815</v>
      </c>
      <c r="B3639" s="3">
        <v>288</v>
      </c>
      <c r="C3639" s="32">
        <v>49242</v>
      </c>
      <c r="D3639" s="32" t="s">
        <v>87</v>
      </c>
      <c r="E3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0" spans="1:6" x14ac:dyDescent="0.35">
      <c r="A3640" s="3">
        <v>32622914833</v>
      </c>
      <c r="B3640" s="3">
        <v>268</v>
      </c>
      <c r="C3640" s="32">
        <v>49242</v>
      </c>
      <c r="D3640" s="32" t="s">
        <v>87</v>
      </c>
      <c r="E3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1" spans="1:6" x14ac:dyDescent="0.35">
      <c r="A3641" s="3">
        <v>95068962829</v>
      </c>
      <c r="B3641" s="3">
        <v>161</v>
      </c>
      <c r="C3641" s="32">
        <v>49242</v>
      </c>
      <c r="D3641" s="32">
        <v>49337</v>
      </c>
      <c r="E3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42" spans="1:6" x14ac:dyDescent="0.35">
      <c r="A3642" s="3">
        <v>69110604543</v>
      </c>
      <c r="B3642" s="3">
        <v>8</v>
      </c>
      <c r="C3642" s="32">
        <v>49242</v>
      </c>
      <c r="D3642" s="32" t="s">
        <v>87</v>
      </c>
      <c r="E3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3" spans="1:6" x14ac:dyDescent="0.35">
      <c r="A3643" s="3">
        <v>64973492339</v>
      </c>
      <c r="B3643" s="3">
        <v>269</v>
      </c>
      <c r="C3643" s="32">
        <v>49242</v>
      </c>
      <c r="D3643" s="32" t="s">
        <v>87</v>
      </c>
      <c r="E3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4" spans="1:6" x14ac:dyDescent="0.35">
      <c r="A3644" s="3">
        <v>47795841471</v>
      </c>
      <c r="B3644" s="3">
        <v>74</v>
      </c>
      <c r="C3644" s="32">
        <v>49242</v>
      </c>
      <c r="D3644" s="32" t="s">
        <v>87</v>
      </c>
      <c r="E3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5" spans="1:6" x14ac:dyDescent="0.35">
      <c r="A3645" s="3">
        <v>82380197100</v>
      </c>
      <c r="B3645" s="3">
        <v>282</v>
      </c>
      <c r="C3645" s="32">
        <v>49242</v>
      </c>
      <c r="D3645" s="32" t="s">
        <v>87</v>
      </c>
      <c r="E3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6" spans="1:6" x14ac:dyDescent="0.35">
      <c r="A3646" s="3">
        <v>73920263084</v>
      </c>
      <c r="B3646" s="3">
        <v>111</v>
      </c>
      <c r="C3646" s="32">
        <v>49242</v>
      </c>
      <c r="D3646" s="32" t="s">
        <v>87</v>
      </c>
      <c r="E3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7" spans="1:6" x14ac:dyDescent="0.35">
      <c r="A3647" s="3">
        <v>81036311978</v>
      </c>
      <c r="B3647" s="3">
        <v>215</v>
      </c>
      <c r="C3647" s="32">
        <v>49242</v>
      </c>
      <c r="D3647" s="32" t="s">
        <v>87</v>
      </c>
      <c r="E3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8" spans="1:6" x14ac:dyDescent="0.35">
      <c r="A3648" s="3">
        <v>70144893168</v>
      </c>
      <c r="B3648" s="3">
        <v>177</v>
      </c>
      <c r="C3648" s="32">
        <v>49242</v>
      </c>
      <c r="D3648" s="32" t="s">
        <v>87</v>
      </c>
      <c r="E3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9" spans="1:6" x14ac:dyDescent="0.35">
      <c r="A3649" s="3">
        <v>28731741583</v>
      </c>
      <c r="B3649" s="3">
        <v>227</v>
      </c>
      <c r="C3649" s="32">
        <v>49242</v>
      </c>
      <c r="D3649" s="32" t="s">
        <v>87</v>
      </c>
      <c r="E3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0" spans="1:6" x14ac:dyDescent="0.35">
      <c r="A3650" s="3">
        <v>46520389556</v>
      </c>
      <c r="B3650" s="3">
        <v>45</v>
      </c>
      <c r="C3650" s="32">
        <v>49242</v>
      </c>
      <c r="D3650" s="32" t="s">
        <v>87</v>
      </c>
      <c r="E3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1" spans="1:6" x14ac:dyDescent="0.35">
      <c r="A3651" s="3">
        <v>94824642869</v>
      </c>
      <c r="B3651" s="3">
        <v>35</v>
      </c>
      <c r="C3651" s="32">
        <v>49242</v>
      </c>
      <c r="D3651" s="32" t="s">
        <v>87</v>
      </c>
      <c r="E3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2" spans="1:6" x14ac:dyDescent="0.35">
      <c r="A3652" s="3">
        <v>56983506407</v>
      </c>
      <c r="B3652" s="3">
        <v>294</v>
      </c>
      <c r="C3652" s="32">
        <v>49242</v>
      </c>
      <c r="D3652" s="32" t="s">
        <v>87</v>
      </c>
      <c r="E3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3" spans="1:6" x14ac:dyDescent="0.35">
      <c r="A3653" s="3">
        <v>39948016310</v>
      </c>
      <c r="B3653" s="3">
        <v>312</v>
      </c>
      <c r="C3653" s="32">
        <v>49242</v>
      </c>
      <c r="D3653" s="32" t="s">
        <v>87</v>
      </c>
      <c r="E3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4" spans="1:6" x14ac:dyDescent="0.35">
      <c r="A3654" s="3">
        <v>44091900331</v>
      </c>
      <c r="B3654" s="3">
        <v>265</v>
      </c>
      <c r="C3654" s="32">
        <v>49242</v>
      </c>
      <c r="D3654" s="32" t="s">
        <v>87</v>
      </c>
      <c r="E3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5" spans="1:6" x14ac:dyDescent="0.35">
      <c r="A3655" s="3">
        <v>17717176322</v>
      </c>
      <c r="B3655" s="3">
        <v>299</v>
      </c>
      <c r="C3655" s="32">
        <v>49242</v>
      </c>
      <c r="D3655" s="32" t="s">
        <v>87</v>
      </c>
      <c r="E3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6" spans="1:6" x14ac:dyDescent="0.35">
      <c r="A3656" s="3">
        <v>13504020977</v>
      </c>
      <c r="B3656" s="3">
        <v>120</v>
      </c>
      <c r="C3656" s="32">
        <v>49243</v>
      </c>
      <c r="D3656" s="32" t="s">
        <v>87</v>
      </c>
      <c r="E3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7" spans="1:6" x14ac:dyDescent="0.35">
      <c r="A3657" s="3">
        <v>21391257394</v>
      </c>
      <c r="B3657" s="3">
        <v>257</v>
      </c>
      <c r="C3657" s="32">
        <v>49243</v>
      </c>
      <c r="D3657" s="32" t="s">
        <v>87</v>
      </c>
      <c r="E3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8" spans="1:6" x14ac:dyDescent="0.35">
      <c r="A3658" s="3">
        <v>25615736415</v>
      </c>
      <c r="B3658" s="3">
        <v>82</v>
      </c>
      <c r="C3658" s="32">
        <v>49243</v>
      </c>
      <c r="D3658" s="32" t="s">
        <v>87</v>
      </c>
      <c r="E3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9" spans="1:6" x14ac:dyDescent="0.35">
      <c r="A3659" s="3">
        <v>16294063162</v>
      </c>
      <c r="B3659" s="3">
        <v>5</v>
      </c>
      <c r="C3659" s="32">
        <v>49243</v>
      </c>
      <c r="D3659" s="32" t="s">
        <v>87</v>
      </c>
      <c r="E3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0" spans="1:6" x14ac:dyDescent="0.35">
      <c r="A3660" s="3">
        <v>95352382708</v>
      </c>
      <c r="B3660" s="3">
        <v>197</v>
      </c>
      <c r="C3660" s="32">
        <v>49243</v>
      </c>
      <c r="D3660" s="32" t="s">
        <v>87</v>
      </c>
      <c r="E3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1" spans="1:6" x14ac:dyDescent="0.35">
      <c r="A3661" s="3">
        <v>72829489420</v>
      </c>
      <c r="B3661" s="3">
        <v>166</v>
      </c>
      <c r="C3661" s="32">
        <v>49243</v>
      </c>
      <c r="D3661" s="32" t="s">
        <v>87</v>
      </c>
      <c r="E3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2" spans="1:6" x14ac:dyDescent="0.35">
      <c r="A3662" s="3">
        <v>13659550717</v>
      </c>
      <c r="B3662" s="3">
        <v>28</v>
      </c>
      <c r="C3662" s="32">
        <v>49243</v>
      </c>
      <c r="D3662" s="32">
        <v>49301</v>
      </c>
      <c r="E3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63" spans="1:6" x14ac:dyDescent="0.35">
      <c r="A3663" s="3">
        <v>38443759685</v>
      </c>
      <c r="B3663" s="3">
        <v>55</v>
      </c>
      <c r="C3663" s="32">
        <v>49243</v>
      </c>
      <c r="D3663" s="32" t="s">
        <v>87</v>
      </c>
      <c r="E3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4" spans="1:6" x14ac:dyDescent="0.35">
      <c r="A3664" s="3">
        <v>28195987692</v>
      </c>
      <c r="B3664" s="3">
        <v>272</v>
      </c>
      <c r="C3664" s="32">
        <v>49243</v>
      </c>
      <c r="D3664" s="32" t="s">
        <v>87</v>
      </c>
      <c r="E3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5" spans="1:6" x14ac:dyDescent="0.35">
      <c r="A3665" s="3">
        <v>63913003676</v>
      </c>
      <c r="B3665" s="3">
        <v>265</v>
      </c>
      <c r="C3665" s="32">
        <v>49243</v>
      </c>
      <c r="D3665" s="32" t="s">
        <v>87</v>
      </c>
      <c r="E3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6" spans="1:6" x14ac:dyDescent="0.35">
      <c r="A3666" s="3">
        <v>19262980266</v>
      </c>
      <c r="B3666" s="3">
        <v>5</v>
      </c>
      <c r="C3666" s="32">
        <v>49243</v>
      </c>
      <c r="D3666" s="32" t="s">
        <v>87</v>
      </c>
      <c r="E3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7" spans="1:6" x14ac:dyDescent="0.35">
      <c r="A3667" s="3">
        <v>61235108219</v>
      </c>
      <c r="B3667" s="3">
        <v>6</v>
      </c>
      <c r="C3667" s="32">
        <v>49243</v>
      </c>
      <c r="D3667" s="32"/>
      <c r="E3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8" spans="1:6" x14ac:dyDescent="0.35">
      <c r="A3668" s="3">
        <v>96570958493</v>
      </c>
      <c r="B3668" s="3">
        <v>54</v>
      </c>
      <c r="C3668" s="32">
        <v>49243</v>
      </c>
      <c r="D3668" s="32" t="s">
        <v>87</v>
      </c>
      <c r="E3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9" spans="1:6" x14ac:dyDescent="0.35">
      <c r="A3669" s="3">
        <v>23413878354</v>
      </c>
      <c r="B3669" s="3">
        <v>10</v>
      </c>
      <c r="C3669" s="32">
        <v>49243</v>
      </c>
      <c r="D3669" s="32" t="s">
        <v>87</v>
      </c>
      <c r="E3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0" spans="1:6" x14ac:dyDescent="0.35">
      <c r="A3670" s="3">
        <v>34958685706</v>
      </c>
      <c r="B3670" s="3">
        <v>212</v>
      </c>
      <c r="C3670" s="32">
        <v>49243</v>
      </c>
      <c r="D3670" s="32" t="s">
        <v>87</v>
      </c>
      <c r="E3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1" spans="1:6" x14ac:dyDescent="0.35">
      <c r="A3671" s="3">
        <v>21568411826</v>
      </c>
      <c r="B3671" s="3">
        <v>304</v>
      </c>
      <c r="C3671" s="32">
        <v>49243</v>
      </c>
      <c r="D3671" s="32" t="s">
        <v>87</v>
      </c>
      <c r="E3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2" spans="1:6" x14ac:dyDescent="0.35">
      <c r="A3672" s="3">
        <v>41501890514</v>
      </c>
      <c r="B3672" s="3">
        <v>36</v>
      </c>
      <c r="C3672" s="32">
        <v>49243</v>
      </c>
      <c r="D3672" s="32">
        <v>49262</v>
      </c>
      <c r="E3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673" spans="1:6" x14ac:dyDescent="0.35">
      <c r="A3673" s="3">
        <v>48722495676</v>
      </c>
      <c r="B3673" s="3">
        <v>253</v>
      </c>
      <c r="C3673" s="32">
        <v>49243</v>
      </c>
      <c r="D3673" s="32">
        <v>49290</v>
      </c>
      <c r="E3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74" spans="1:6" x14ac:dyDescent="0.35">
      <c r="A3674" s="3">
        <v>44690277953</v>
      </c>
      <c r="B3674" s="3">
        <v>164</v>
      </c>
      <c r="C3674" s="32">
        <v>49244</v>
      </c>
      <c r="D3674" s="32" t="s">
        <v>87</v>
      </c>
      <c r="E3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5" spans="1:6" x14ac:dyDescent="0.35">
      <c r="A3675" s="3">
        <v>77994215754</v>
      </c>
      <c r="B3675" s="3">
        <v>201</v>
      </c>
      <c r="C3675" s="32">
        <v>49244</v>
      </c>
      <c r="D3675" s="32" t="s">
        <v>87</v>
      </c>
      <c r="E3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6" spans="1:6" x14ac:dyDescent="0.35">
      <c r="A3676" s="3">
        <v>77166948628</v>
      </c>
      <c r="B3676" s="3">
        <v>76</v>
      </c>
      <c r="C3676" s="32">
        <v>49244</v>
      </c>
      <c r="D3676" s="32"/>
      <c r="E3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7" spans="1:6" x14ac:dyDescent="0.35">
      <c r="A3677" s="3">
        <v>85174338474</v>
      </c>
      <c r="B3677" s="3">
        <v>130</v>
      </c>
      <c r="C3677" s="32">
        <v>49244</v>
      </c>
      <c r="D3677" s="32" t="s">
        <v>87</v>
      </c>
      <c r="E3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8" spans="1:6" x14ac:dyDescent="0.35">
      <c r="A3678" s="3">
        <v>73132601997</v>
      </c>
      <c r="B3678" s="3">
        <v>93</v>
      </c>
      <c r="C3678" s="32">
        <v>49244</v>
      </c>
      <c r="D3678" s="32" t="s">
        <v>87</v>
      </c>
      <c r="E3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9" spans="1:6" x14ac:dyDescent="0.35">
      <c r="A3679" s="3">
        <v>79505838254</v>
      </c>
      <c r="B3679" s="3">
        <v>50</v>
      </c>
      <c r="C3679" s="32">
        <v>49244</v>
      </c>
      <c r="D3679" s="32" t="s">
        <v>87</v>
      </c>
      <c r="E3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0" spans="1:6" x14ac:dyDescent="0.35">
      <c r="A3680" s="3">
        <v>94933505872</v>
      </c>
      <c r="B3680" s="3">
        <v>3</v>
      </c>
      <c r="C3680" s="32">
        <v>49244</v>
      </c>
      <c r="D3680" s="32" t="s">
        <v>87</v>
      </c>
      <c r="E3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1" spans="1:6" x14ac:dyDescent="0.35">
      <c r="A3681" s="3">
        <v>82590897413</v>
      </c>
      <c r="B3681" s="3">
        <v>65</v>
      </c>
      <c r="C3681" s="32">
        <v>49244</v>
      </c>
      <c r="D3681" s="32" t="s">
        <v>87</v>
      </c>
      <c r="E3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2" spans="1:6" x14ac:dyDescent="0.35">
      <c r="A3682" s="3">
        <v>68965559779</v>
      </c>
      <c r="B3682" s="3">
        <v>136</v>
      </c>
      <c r="C3682" s="32">
        <v>49244</v>
      </c>
      <c r="D3682" s="32" t="s">
        <v>87</v>
      </c>
      <c r="E3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3" spans="1:6" x14ac:dyDescent="0.35">
      <c r="A3683" s="3">
        <v>42752120884</v>
      </c>
      <c r="B3683" s="3">
        <v>112</v>
      </c>
      <c r="C3683" s="32">
        <v>49244</v>
      </c>
      <c r="D3683" s="32" t="s">
        <v>87</v>
      </c>
      <c r="E3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4" spans="1:6" x14ac:dyDescent="0.35">
      <c r="A3684" s="3">
        <v>45510861541</v>
      </c>
      <c r="B3684" s="3">
        <v>205</v>
      </c>
      <c r="C3684" s="32">
        <v>49244</v>
      </c>
      <c r="D3684" s="32"/>
      <c r="E3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5" spans="1:6" x14ac:dyDescent="0.35">
      <c r="A3685" s="3">
        <v>78973079936</v>
      </c>
      <c r="B3685" s="3">
        <v>309</v>
      </c>
      <c r="C3685" s="32">
        <v>49244</v>
      </c>
      <c r="D3685" s="32" t="s">
        <v>87</v>
      </c>
      <c r="E3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6" spans="1:6" x14ac:dyDescent="0.35">
      <c r="A3686" s="3">
        <v>82694766968</v>
      </c>
      <c r="B3686" s="3">
        <v>24</v>
      </c>
      <c r="C3686" s="32">
        <v>49244</v>
      </c>
      <c r="D3686" s="32">
        <v>49328</v>
      </c>
      <c r="E3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87" spans="1:6" x14ac:dyDescent="0.35">
      <c r="A3687" s="3">
        <v>84687218331</v>
      </c>
      <c r="B3687" s="3">
        <v>74</v>
      </c>
      <c r="C3687" s="32">
        <v>49244</v>
      </c>
      <c r="D3687" s="32" t="s">
        <v>87</v>
      </c>
      <c r="E3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8" spans="1:6" x14ac:dyDescent="0.35">
      <c r="A3688" s="3">
        <v>96081244017</v>
      </c>
      <c r="B3688" s="3">
        <v>318</v>
      </c>
      <c r="C3688" s="32">
        <v>49244</v>
      </c>
      <c r="D3688" s="32" t="s">
        <v>87</v>
      </c>
      <c r="E3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9" spans="1:6" x14ac:dyDescent="0.35">
      <c r="A3689" s="3">
        <v>48075727179</v>
      </c>
      <c r="B3689" s="3">
        <v>234</v>
      </c>
      <c r="C3689" s="32">
        <v>49244</v>
      </c>
      <c r="D3689" s="32" t="s">
        <v>87</v>
      </c>
      <c r="E3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0" spans="1:6" x14ac:dyDescent="0.35">
      <c r="A3690" s="3">
        <v>96019505021</v>
      </c>
      <c r="B3690" s="3">
        <v>92</v>
      </c>
      <c r="C3690" s="32">
        <v>49244</v>
      </c>
      <c r="D3690" s="32" t="s">
        <v>87</v>
      </c>
      <c r="E3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1" spans="1:6" x14ac:dyDescent="0.35">
      <c r="A3691" s="3">
        <v>85835834735</v>
      </c>
      <c r="B3691" s="3">
        <v>12</v>
      </c>
      <c r="C3691" s="32">
        <v>49244</v>
      </c>
      <c r="D3691" s="32" t="s">
        <v>87</v>
      </c>
      <c r="E3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2" spans="1:6" x14ac:dyDescent="0.35">
      <c r="A3692" s="3">
        <v>70718340872</v>
      </c>
      <c r="B3692" s="3">
        <v>21</v>
      </c>
      <c r="C3692" s="32">
        <v>49244</v>
      </c>
      <c r="D3692" s="32" t="s">
        <v>87</v>
      </c>
      <c r="E3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3" spans="1:6" x14ac:dyDescent="0.35">
      <c r="A3693" s="3">
        <v>15797537214</v>
      </c>
      <c r="B3693" s="3">
        <v>121</v>
      </c>
      <c r="C3693" s="32">
        <v>49245</v>
      </c>
      <c r="D3693" s="32" t="s">
        <v>87</v>
      </c>
      <c r="E3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4" spans="1:6" x14ac:dyDescent="0.35">
      <c r="A3694" s="3">
        <v>98552113064</v>
      </c>
      <c r="B3694" s="3">
        <v>124</v>
      </c>
      <c r="C3694" s="32">
        <v>49245</v>
      </c>
      <c r="D3694" s="32" t="s">
        <v>87</v>
      </c>
      <c r="E3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5" spans="1:6" x14ac:dyDescent="0.35">
      <c r="A3695" s="3">
        <v>28567039775</v>
      </c>
      <c r="B3695" s="3">
        <v>317</v>
      </c>
      <c r="C3695" s="32">
        <v>49245</v>
      </c>
      <c r="D3695" s="32" t="s">
        <v>87</v>
      </c>
      <c r="E3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6" spans="1:6" x14ac:dyDescent="0.35">
      <c r="A3696" s="3">
        <v>52465151380</v>
      </c>
      <c r="B3696" s="3">
        <v>309</v>
      </c>
      <c r="C3696" s="32">
        <v>49245</v>
      </c>
      <c r="D3696" s="32"/>
      <c r="E3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7" spans="1:6" x14ac:dyDescent="0.35">
      <c r="A3697" s="3">
        <v>24641187086</v>
      </c>
      <c r="B3697" s="3">
        <v>275</v>
      </c>
      <c r="C3697" s="32">
        <v>49245</v>
      </c>
      <c r="D3697" s="32" t="s">
        <v>87</v>
      </c>
      <c r="E3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8" spans="1:6" x14ac:dyDescent="0.35">
      <c r="A3698" s="3">
        <v>65080587458</v>
      </c>
      <c r="B3698" s="3">
        <v>223</v>
      </c>
      <c r="C3698" s="32">
        <v>49245</v>
      </c>
      <c r="D3698" s="32" t="s">
        <v>87</v>
      </c>
      <c r="E3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9" spans="1:6" x14ac:dyDescent="0.35">
      <c r="A3699" s="3">
        <v>92218300236</v>
      </c>
      <c r="B3699" s="3">
        <v>261</v>
      </c>
      <c r="C3699" s="32">
        <v>49245</v>
      </c>
      <c r="D3699" s="32" t="s">
        <v>87</v>
      </c>
      <c r="E3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0" spans="1:6" x14ac:dyDescent="0.35">
      <c r="A3700" s="3">
        <v>48760093715</v>
      </c>
      <c r="B3700" s="3">
        <v>138</v>
      </c>
      <c r="C3700" s="32">
        <v>49245</v>
      </c>
      <c r="D3700" s="32" t="s">
        <v>87</v>
      </c>
      <c r="E3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1" spans="1:6" x14ac:dyDescent="0.35">
      <c r="A3701" s="3">
        <v>17882358731</v>
      </c>
      <c r="B3701" s="3">
        <v>221</v>
      </c>
      <c r="C3701" s="32">
        <v>49245</v>
      </c>
      <c r="D3701" s="32" t="s">
        <v>87</v>
      </c>
      <c r="E3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2" spans="1:6" x14ac:dyDescent="0.35">
      <c r="A3702" s="3">
        <v>62458864371</v>
      </c>
      <c r="B3702" s="3">
        <v>119</v>
      </c>
      <c r="C3702" s="32">
        <v>49245</v>
      </c>
      <c r="D3702" s="32" t="s">
        <v>87</v>
      </c>
      <c r="E3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3" spans="1:6" x14ac:dyDescent="0.35">
      <c r="A3703" s="3">
        <v>56669844136</v>
      </c>
      <c r="B3703" s="3">
        <v>5</v>
      </c>
      <c r="C3703" s="32">
        <v>49245</v>
      </c>
      <c r="D3703" s="32" t="s">
        <v>87</v>
      </c>
      <c r="E3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4" spans="1:6" x14ac:dyDescent="0.35">
      <c r="A3704" s="3">
        <v>15409915967</v>
      </c>
      <c r="B3704" s="3">
        <v>337</v>
      </c>
      <c r="C3704" s="32">
        <v>49245</v>
      </c>
      <c r="D3704" s="32" t="s">
        <v>87</v>
      </c>
      <c r="E3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5" spans="1:6" x14ac:dyDescent="0.35">
      <c r="A3705" s="3">
        <v>84388423607</v>
      </c>
      <c r="B3705" s="3">
        <v>184</v>
      </c>
      <c r="C3705" s="32">
        <v>49245</v>
      </c>
      <c r="D3705" s="32" t="s">
        <v>87</v>
      </c>
      <c r="E3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6" spans="1:6" x14ac:dyDescent="0.35">
      <c r="A3706" s="3">
        <v>91278571702</v>
      </c>
      <c r="B3706" s="3">
        <v>193</v>
      </c>
      <c r="C3706" s="32">
        <v>49245</v>
      </c>
      <c r="D3706" s="32" t="s">
        <v>87</v>
      </c>
      <c r="E3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7" spans="1:6" x14ac:dyDescent="0.35">
      <c r="A3707" s="3">
        <v>39488533673</v>
      </c>
      <c r="B3707" s="3">
        <v>117</v>
      </c>
      <c r="C3707" s="32">
        <v>49245</v>
      </c>
      <c r="D3707" s="32" t="s">
        <v>87</v>
      </c>
      <c r="E3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8" spans="1:6" x14ac:dyDescent="0.35">
      <c r="A3708" s="3">
        <v>74811365115</v>
      </c>
      <c r="B3708" s="3">
        <v>263</v>
      </c>
      <c r="C3708" s="32">
        <v>49245</v>
      </c>
      <c r="D3708" s="32" t="s">
        <v>87</v>
      </c>
      <c r="E3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9" spans="1:6" x14ac:dyDescent="0.35">
      <c r="A3709" s="3">
        <v>65146946758</v>
      </c>
      <c r="B3709" s="3">
        <v>167</v>
      </c>
      <c r="C3709" s="32">
        <v>49245</v>
      </c>
      <c r="D3709" s="32" t="s">
        <v>87</v>
      </c>
      <c r="E3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0" spans="1:6" x14ac:dyDescent="0.35">
      <c r="A3710" s="3">
        <v>41250760274</v>
      </c>
      <c r="B3710" s="3">
        <v>282</v>
      </c>
      <c r="C3710" s="32">
        <v>49245</v>
      </c>
      <c r="D3710" s="32" t="s">
        <v>87</v>
      </c>
      <c r="E3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1" spans="1:6" x14ac:dyDescent="0.35">
      <c r="A3711" s="3">
        <v>92832750255</v>
      </c>
      <c r="B3711" s="3">
        <v>321</v>
      </c>
      <c r="C3711" s="32">
        <v>49245</v>
      </c>
      <c r="D3711" s="32" t="s">
        <v>87</v>
      </c>
      <c r="E3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2" spans="1:6" x14ac:dyDescent="0.35">
      <c r="A3712" s="3">
        <v>37326134401</v>
      </c>
      <c r="B3712" s="3">
        <v>327</v>
      </c>
      <c r="C3712" s="32">
        <v>49245</v>
      </c>
      <c r="D3712" s="32" t="s">
        <v>87</v>
      </c>
      <c r="E3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3" spans="1:6" x14ac:dyDescent="0.35">
      <c r="A3713" s="3">
        <v>63899943130</v>
      </c>
      <c r="B3713" s="3">
        <v>174</v>
      </c>
      <c r="C3713" s="32">
        <v>49246</v>
      </c>
      <c r="D3713" s="32" t="s">
        <v>87</v>
      </c>
      <c r="E3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4" spans="1:6" x14ac:dyDescent="0.35">
      <c r="A3714" s="3">
        <v>58761105641</v>
      </c>
      <c r="B3714" s="3">
        <v>70</v>
      </c>
      <c r="C3714" s="32">
        <v>49246</v>
      </c>
      <c r="D3714" s="32" t="s">
        <v>87</v>
      </c>
      <c r="E3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5" spans="1:6" x14ac:dyDescent="0.35">
      <c r="A3715" s="3">
        <v>31109435945</v>
      </c>
      <c r="B3715" s="3">
        <v>95</v>
      </c>
      <c r="C3715" s="32">
        <v>49246</v>
      </c>
      <c r="D3715" s="32" t="s">
        <v>87</v>
      </c>
      <c r="E3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6" spans="1:6" x14ac:dyDescent="0.35">
      <c r="A3716" s="3">
        <v>98767390554</v>
      </c>
      <c r="B3716" s="3">
        <v>285</v>
      </c>
      <c r="C3716" s="32">
        <v>49246</v>
      </c>
      <c r="D3716" s="32">
        <v>49328</v>
      </c>
      <c r="E3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17" spans="1:6" x14ac:dyDescent="0.35">
      <c r="A3717" s="3">
        <v>53171435998</v>
      </c>
      <c r="B3717" s="3">
        <v>71</v>
      </c>
      <c r="C3717" s="32">
        <v>49246</v>
      </c>
      <c r="D3717" s="32"/>
      <c r="E3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8" spans="1:6" x14ac:dyDescent="0.35">
      <c r="A3718" s="3">
        <v>99047161423</v>
      </c>
      <c r="B3718" s="3">
        <v>257</v>
      </c>
      <c r="C3718" s="32">
        <v>49246</v>
      </c>
      <c r="D3718" s="32" t="s">
        <v>87</v>
      </c>
      <c r="E3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9" spans="1:6" x14ac:dyDescent="0.35">
      <c r="A3719" s="3">
        <v>29233153637</v>
      </c>
      <c r="B3719" s="3">
        <v>93</v>
      </c>
      <c r="C3719" s="32">
        <v>49246</v>
      </c>
      <c r="D3719" s="32" t="s">
        <v>87</v>
      </c>
      <c r="E3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0" spans="1:6" x14ac:dyDescent="0.35">
      <c r="A3720" s="3">
        <v>57525972656</v>
      </c>
      <c r="B3720" s="3">
        <v>312</v>
      </c>
      <c r="C3720" s="32">
        <v>49246</v>
      </c>
      <c r="D3720" s="32" t="s">
        <v>87</v>
      </c>
      <c r="E3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1" spans="1:6" x14ac:dyDescent="0.35">
      <c r="A3721" s="3">
        <v>75416822041</v>
      </c>
      <c r="B3721" s="3">
        <v>209</v>
      </c>
      <c r="C3721" s="32">
        <v>49246</v>
      </c>
      <c r="D3721" s="32" t="s">
        <v>87</v>
      </c>
      <c r="E3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2" spans="1:6" x14ac:dyDescent="0.35">
      <c r="A3722" s="3">
        <v>48627774760</v>
      </c>
      <c r="B3722" s="3">
        <v>108</v>
      </c>
      <c r="C3722" s="32">
        <v>49246</v>
      </c>
      <c r="D3722" s="32" t="s">
        <v>87</v>
      </c>
      <c r="E3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3" spans="1:6" x14ac:dyDescent="0.35">
      <c r="A3723" s="3">
        <v>83888362732</v>
      </c>
      <c r="B3723" s="3">
        <v>214</v>
      </c>
      <c r="C3723" s="32">
        <v>49246</v>
      </c>
      <c r="D3723" s="32" t="s">
        <v>87</v>
      </c>
      <c r="E3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4" spans="1:6" x14ac:dyDescent="0.35">
      <c r="A3724" s="3">
        <v>47227306042</v>
      </c>
      <c r="B3724" s="3">
        <v>313</v>
      </c>
      <c r="C3724" s="32">
        <v>49246</v>
      </c>
      <c r="D3724" s="32">
        <v>49308</v>
      </c>
      <c r="E3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25" spans="1:6" x14ac:dyDescent="0.35">
      <c r="A3725" s="3">
        <v>52883134074</v>
      </c>
      <c r="B3725" s="3">
        <v>76</v>
      </c>
      <c r="C3725" s="32">
        <v>49246</v>
      </c>
      <c r="D3725" s="32"/>
      <c r="E3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6" spans="1:6" x14ac:dyDescent="0.35">
      <c r="A3726" s="3">
        <v>66024324290</v>
      </c>
      <c r="B3726" s="3">
        <v>208</v>
      </c>
      <c r="C3726" s="32">
        <v>49246</v>
      </c>
      <c r="D3726" s="32" t="s">
        <v>87</v>
      </c>
      <c r="E3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7" spans="1:6" x14ac:dyDescent="0.35">
      <c r="A3727" s="3">
        <v>48060890501</v>
      </c>
      <c r="B3727" s="3">
        <v>100</v>
      </c>
      <c r="C3727" s="32">
        <v>49246</v>
      </c>
      <c r="D3727" s="32" t="s">
        <v>87</v>
      </c>
      <c r="E3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8" spans="1:6" x14ac:dyDescent="0.35">
      <c r="A3728" s="3">
        <v>27381931247</v>
      </c>
      <c r="B3728" s="3">
        <v>64</v>
      </c>
      <c r="C3728" s="32">
        <v>49246</v>
      </c>
      <c r="D3728" s="32" t="s">
        <v>87</v>
      </c>
      <c r="E3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9" spans="1:6" x14ac:dyDescent="0.35">
      <c r="A3729" s="3">
        <v>47571382522</v>
      </c>
      <c r="B3729" s="3">
        <v>15</v>
      </c>
      <c r="C3729" s="32">
        <v>49246</v>
      </c>
      <c r="D3729" s="32"/>
      <c r="E3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0" spans="1:6" x14ac:dyDescent="0.35">
      <c r="A3730" s="3">
        <v>62610006479</v>
      </c>
      <c r="B3730" s="3">
        <v>175</v>
      </c>
      <c r="C3730" s="32">
        <v>49246</v>
      </c>
      <c r="D3730" s="32" t="s">
        <v>87</v>
      </c>
      <c r="E3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1" spans="1:6" x14ac:dyDescent="0.35">
      <c r="A3731" s="3">
        <v>81113943301</v>
      </c>
      <c r="B3731" s="3">
        <v>80</v>
      </c>
      <c r="C3731" s="32">
        <v>49246</v>
      </c>
      <c r="D3731" s="32">
        <v>49258</v>
      </c>
      <c r="E3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32" spans="1:6" x14ac:dyDescent="0.35">
      <c r="A3732" s="3">
        <v>90741746361</v>
      </c>
      <c r="B3732" s="3">
        <v>99</v>
      </c>
      <c r="C3732" s="32">
        <v>49246</v>
      </c>
      <c r="D3732" s="32" t="s">
        <v>87</v>
      </c>
      <c r="E3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3" spans="1:6" x14ac:dyDescent="0.35">
      <c r="A3733" s="3">
        <v>13163244011</v>
      </c>
      <c r="B3733" s="3">
        <v>80</v>
      </c>
      <c r="C3733" s="32">
        <v>49246</v>
      </c>
      <c r="D3733" s="32" t="s">
        <v>87</v>
      </c>
      <c r="E3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4" spans="1:6" x14ac:dyDescent="0.35">
      <c r="A3734" s="3">
        <v>53625114164</v>
      </c>
      <c r="B3734" s="3">
        <v>222</v>
      </c>
      <c r="C3734" s="32">
        <v>49246</v>
      </c>
      <c r="D3734" s="32">
        <v>49264</v>
      </c>
      <c r="E3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35" spans="1:6" x14ac:dyDescent="0.35">
      <c r="A3735" s="3">
        <v>13582453044</v>
      </c>
      <c r="B3735" s="3">
        <v>140</v>
      </c>
      <c r="C3735" s="32">
        <v>49246</v>
      </c>
      <c r="D3735" s="32" t="s">
        <v>87</v>
      </c>
      <c r="E3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6" spans="1:6" x14ac:dyDescent="0.35">
      <c r="A3736" s="3">
        <v>49480076370</v>
      </c>
      <c r="B3736" s="3">
        <v>182</v>
      </c>
      <c r="C3736" s="32">
        <v>49246</v>
      </c>
      <c r="D3736" s="32" t="s">
        <v>87</v>
      </c>
      <c r="E3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7" spans="1:6" x14ac:dyDescent="0.35">
      <c r="A3737" s="3">
        <v>66123122948</v>
      </c>
      <c r="B3737" s="3">
        <v>115</v>
      </c>
      <c r="C3737" s="32">
        <v>49246</v>
      </c>
      <c r="D3737" s="32" t="s">
        <v>87</v>
      </c>
      <c r="E3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8" spans="1:6" x14ac:dyDescent="0.35">
      <c r="A3738" s="3">
        <v>37591464524</v>
      </c>
      <c r="B3738" s="3">
        <v>315</v>
      </c>
      <c r="C3738" s="32">
        <v>49246</v>
      </c>
      <c r="D3738" s="32" t="s">
        <v>87</v>
      </c>
      <c r="E3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9" spans="1:6" x14ac:dyDescent="0.35">
      <c r="A3739" s="3">
        <v>77983000733</v>
      </c>
      <c r="B3739" s="3">
        <v>218</v>
      </c>
      <c r="C3739" s="32">
        <v>49246</v>
      </c>
      <c r="D3739" s="32" t="s">
        <v>87</v>
      </c>
      <c r="E3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0" spans="1:6" x14ac:dyDescent="0.35">
      <c r="A3740" s="3">
        <v>49330074889</v>
      </c>
      <c r="B3740" s="3">
        <v>112</v>
      </c>
      <c r="C3740" s="32">
        <v>49247</v>
      </c>
      <c r="D3740" s="32" t="s">
        <v>87</v>
      </c>
      <c r="E3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1" spans="1:6" x14ac:dyDescent="0.35">
      <c r="A3741" s="3">
        <v>72474534270</v>
      </c>
      <c r="B3741" s="3">
        <v>131</v>
      </c>
      <c r="C3741" s="32">
        <v>49247</v>
      </c>
      <c r="D3741" s="32" t="s">
        <v>87</v>
      </c>
      <c r="E3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2" spans="1:6" x14ac:dyDescent="0.35">
      <c r="A3742" s="3">
        <v>56387017759</v>
      </c>
      <c r="B3742" s="3">
        <v>280</v>
      </c>
      <c r="C3742" s="32">
        <v>49247</v>
      </c>
      <c r="D3742" s="32" t="s">
        <v>87</v>
      </c>
      <c r="E3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3" spans="1:6" x14ac:dyDescent="0.35">
      <c r="A3743" s="3">
        <v>70063267795</v>
      </c>
      <c r="B3743" s="3">
        <v>317</v>
      </c>
      <c r="C3743" s="32">
        <v>49247</v>
      </c>
      <c r="D3743" s="32" t="s">
        <v>87</v>
      </c>
      <c r="E3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4" spans="1:6" x14ac:dyDescent="0.35">
      <c r="A3744" s="3">
        <v>63092013112</v>
      </c>
      <c r="B3744" s="3">
        <v>323</v>
      </c>
      <c r="C3744" s="32">
        <v>49247</v>
      </c>
      <c r="D3744" s="32" t="s">
        <v>87</v>
      </c>
      <c r="E3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5" spans="1:6" x14ac:dyDescent="0.35">
      <c r="A3745" s="3">
        <v>38250262834</v>
      </c>
      <c r="B3745" s="3">
        <v>156</v>
      </c>
      <c r="C3745" s="32">
        <v>49247</v>
      </c>
      <c r="D3745" s="32" t="s">
        <v>87</v>
      </c>
      <c r="E3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6" spans="1:6" x14ac:dyDescent="0.35">
      <c r="A3746" s="3">
        <v>27975221786</v>
      </c>
      <c r="B3746" s="3">
        <v>187</v>
      </c>
      <c r="C3746" s="32">
        <v>49247</v>
      </c>
      <c r="D3746" s="32" t="s">
        <v>87</v>
      </c>
      <c r="E3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7" spans="1:6" x14ac:dyDescent="0.35">
      <c r="A3747" s="3">
        <v>94329760107</v>
      </c>
      <c r="B3747" s="3">
        <v>144</v>
      </c>
      <c r="C3747" s="32">
        <v>49247</v>
      </c>
      <c r="D3747" s="32">
        <v>49315</v>
      </c>
      <c r="E3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48" spans="1:6" x14ac:dyDescent="0.35">
      <c r="A3748" s="3">
        <v>25430398631</v>
      </c>
      <c r="B3748" s="3">
        <v>186</v>
      </c>
      <c r="C3748" s="32">
        <v>49247</v>
      </c>
      <c r="D3748" s="32" t="s">
        <v>87</v>
      </c>
      <c r="E3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9" spans="1:6" x14ac:dyDescent="0.35">
      <c r="A3749" s="3">
        <v>40534634164</v>
      </c>
      <c r="B3749" s="3">
        <v>328</v>
      </c>
      <c r="C3749" s="32">
        <v>49247</v>
      </c>
      <c r="D3749" s="32" t="s">
        <v>87</v>
      </c>
      <c r="E3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0" spans="1:6" x14ac:dyDescent="0.35">
      <c r="A3750" s="3">
        <v>89003655901</v>
      </c>
      <c r="B3750" s="3">
        <v>260</v>
      </c>
      <c r="C3750" s="32">
        <v>49247</v>
      </c>
      <c r="D3750" s="32">
        <v>49274</v>
      </c>
      <c r="E3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51" spans="1:6" x14ac:dyDescent="0.35">
      <c r="A3751" s="3">
        <v>16213277847</v>
      </c>
      <c r="B3751" s="3">
        <v>296</v>
      </c>
      <c r="C3751" s="32">
        <v>49247</v>
      </c>
      <c r="D3751" s="32" t="s">
        <v>87</v>
      </c>
      <c r="E3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2" spans="1:6" x14ac:dyDescent="0.35">
      <c r="A3752" s="3">
        <v>28865531509</v>
      </c>
      <c r="B3752" s="3">
        <v>216</v>
      </c>
      <c r="C3752" s="32">
        <v>49247</v>
      </c>
      <c r="D3752" s="32" t="s">
        <v>87</v>
      </c>
      <c r="E3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3" spans="1:6" x14ac:dyDescent="0.35">
      <c r="A3753" s="3">
        <v>69875557058</v>
      </c>
      <c r="B3753" s="3">
        <v>47</v>
      </c>
      <c r="C3753" s="32">
        <v>49247</v>
      </c>
      <c r="D3753" s="32"/>
      <c r="E3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4" spans="1:6" x14ac:dyDescent="0.35">
      <c r="A3754" s="3">
        <v>19981354699</v>
      </c>
      <c r="B3754" s="3">
        <v>295</v>
      </c>
      <c r="C3754" s="32">
        <v>49247</v>
      </c>
      <c r="D3754" s="32">
        <v>49289</v>
      </c>
      <c r="E3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55" spans="1:6" x14ac:dyDescent="0.35">
      <c r="A3755" s="3">
        <v>17424109167</v>
      </c>
      <c r="B3755" s="3">
        <v>285</v>
      </c>
      <c r="C3755" s="32">
        <v>49247</v>
      </c>
      <c r="D3755" s="32">
        <v>49268</v>
      </c>
      <c r="E3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56" spans="1:6" x14ac:dyDescent="0.35">
      <c r="A3756" s="3">
        <v>95647162845</v>
      </c>
      <c r="B3756" s="3">
        <v>321</v>
      </c>
      <c r="C3756" s="32">
        <v>49247</v>
      </c>
      <c r="D3756" s="32">
        <v>49310</v>
      </c>
      <c r="E3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57" spans="1:6" x14ac:dyDescent="0.35">
      <c r="A3757" s="3">
        <v>86513220463</v>
      </c>
      <c r="B3757" s="3">
        <v>41</v>
      </c>
      <c r="C3757" s="32">
        <v>49247</v>
      </c>
      <c r="D3757" s="32" t="s">
        <v>87</v>
      </c>
      <c r="E3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8" spans="1:6" x14ac:dyDescent="0.35">
      <c r="A3758" s="3">
        <v>13081194961</v>
      </c>
      <c r="B3758" s="3">
        <v>36</v>
      </c>
      <c r="C3758" s="32">
        <v>49247</v>
      </c>
      <c r="D3758" s="32" t="s">
        <v>87</v>
      </c>
      <c r="E3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9" spans="1:6" x14ac:dyDescent="0.35">
      <c r="A3759" s="3">
        <v>30696853547</v>
      </c>
      <c r="B3759" s="3">
        <v>174</v>
      </c>
      <c r="C3759" s="32">
        <v>49247</v>
      </c>
      <c r="D3759" s="32" t="s">
        <v>87</v>
      </c>
      <c r="E3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0" spans="1:6" x14ac:dyDescent="0.35">
      <c r="A3760" s="3">
        <v>31422754187</v>
      </c>
      <c r="B3760" s="3">
        <v>303</v>
      </c>
      <c r="C3760" s="32">
        <v>49247</v>
      </c>
      <c r="D3760" s="32">
        <v>49340</v>
      </c>
      <c r="E3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61" spans="1:6" x14ac:dyDescent="0.35">
      <c r="A3761" s="3">
        <v>43073101476</v>
      </c>
      <c r="B3761" s="3">
        <v>179</v>
      </c>
      <c r="C3761" s="32">
        <v>49247</v>
      </c>
      <c r="D3761" s="32" t="s">
        <v>87</v>
      </c>
      <c r="E3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2" spans="1:6" x14ac:dyDescent="0.35">
      <c r="A3762" s="3">
        <v>36189146643</v>
      </c>
      <c r="B3762" s="3">
        <v>46</v>
      </c>
      <c r="C3762" s="32">
        <v>49247</v>
      </c>
      <c r="D3762" s="32" t="s">
        <v>87</v>
      </c>
      <c r="E3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3" spans="1:6" x14ac:dyDescent="0.35">
      <c r="A3763" s="3">
        <v>21545893969</v>
      </c>
      <c r="B3763" s="3">
        <v>134</v>
      </c>
      <c r="C3763" s="32">
        <v>49247</v>
      </c>
      <c r="D3763" s="32" t="s">
        <v>87</v>
      </c>
      <c r="E3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4" spans="1:6" x14ac:dyDescent="0.35">
      <c r="A3764" s="3">
        <v>56064539760</v>
      </c>
      <c r="B3764" s="3">
        <v>282</v>
      </c>
      <c r="C3764" s="32">
        <v>49247</v>
      </c>
      <c r="D3764" s="32"/>
      <c r="E3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5" spans="1:6" x14ac:dyDescent="0.35">
      <c r="A3765" s="3">
        <v>59019268563</v>
      </c>
      <c r="B3765" s="3">
        <v>21</v>
      </c>
      <c r="C3765" s="32">
        <v>49247</v>
      </c>
      <c r="D3765" s="32" t="s">
        <v>87</v>
      </c>
      <c r="E3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6" spans="1:6" x14ac:dyDescent="0.35">
      <c r="A3766" s="3">
        <v>49790592745</v>
      </c>
      <c r="B3766" s="3">
        <v>324</v>
      </c>
      <c r="C3766" s="32">
        <v>49247</v>
      </c>
      <c r="D3766" s="32" t="s">
        <v>87</v>
      </c>
      <c r="E3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7" spans="1:6" x14ac:dyDescent="0.35">
      <c r="A3767" s="3">
        <v>94482058249</v>
      </c>
      <c r="B3767" s="3">
        <v>208</v>
      </c>
      <c r="C3767" s="32">
        <v>49248</v>
      </c>
      <c r="D3767" s="32" t="s">
        <v>87</v>
      </c>
      <c r="E3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8" spans="1:6" x14ac:dyDescent="0.35">
      <c r="A3768" s="3">
        <v>95039064613</v>
      </c>
      <c r="B3768" s="3">
        <v>140</v>
      </c>
      <c r="C3768" s="32">
        <v>49248</v>
      </c>
      <c r="D3768" s="32" t="s">
        <v>87</v>
      </c>
      <c r="E3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9" spans="1:6" x14ac:dyDescent="0.35">
      <c r="A3769" s="3">
        <v>69950839372</v>
      </c>
      <c r="B3769" s="3">
        <v>107</v>
      </c>
      <c r="C3769" s="32">
        <v>49248</v>
      </c>
      <c r="D3769" s="32" t="s">
        <v>87</v>
      </c>
      <c r="E3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0" spans="1:6" x14ac:dyDescent="0.35">
      <c r="A3770" s="3">
        <v>13854028152</v>
      </c>
      <c r="B3770" s="3">
        <v>43</v>
      </c>
      <c r="C3770" s="32">
        <v>49248</v>
      </c>
      <c r="D3770" s="32" t="s">
        <v>87</v>
      </c>
      <c r="E3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1" spans="1:6" x14ac:dyDescent="0.35">
      <c r="A3771" s="3">
        <v>22252100527</v>
      </c>
      <c r="B3771" s="3">
        <v>209</v>
      </c>
      <c r="C3771" s="32">
        <v>49248</v>
      </c>
      <c r="D3771" s="32">
        <v>49261</v>
      </c>
      <c r="E3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72" spans="1:6" x14ac:dyDescent="0.35">
      <c r="A3772" s="3">
        <v>32826524285</v>
      </c>
      <c r="B3772" s="3">
        <v>53</v>
      </c>
      <c r="C3772" s="32">
        <v>49248</v>
      </c>
      <c r="D3772" s="32" t="s">
        <v>87</v>
      </c>
      <c r="E3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3" spans="1:6" x14ac:dyDescent="0.35">
      <c r="A3773" s="3">
        <v>16678967018</v>
      </c>
      <c r="B3773" s="3">
        <v>178</v>
      </c>
      <c r="C3773" s="32">
        <v>49248</v>
      </c>
      <c r="D3773" s="32" t="s">
        <v>87</v>
      </c>
      <c r="E3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4" spans="1:6" x14ac:dyDescent="0.35">
      <c r="A3774" s="3">
        <v>66513461209</v>
      </c>
      <c r="B3774" s="3">
        <v>4</v>
      </c>
      <c r="C3774" s="32">
        <v>49248</v>
      </c>
      <c r="D3774" s="32" t="s">
        <v>87</v>
      </c>
      <c r="E3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5" spans="1:6" x14ac:dyDescent="0.35">
      <c r="A3775" s="3">
        <v>79940394520</v>
      </c>
      <c r="B3775" s="3">
        <v>128</v>
      </c>
      <c r="C3775" s="32">
        <v>49248</v>
      </c>
      <c r="D3775" s="32" t="s">
        <v>87</v>
      </c>
      <c r="E3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6" spans="1:6" x14ac:dyDescent="0.35">
      <c r="A3776" s="3">
        <v>62823160189</v>
      </c>
      <c r="B3776" s="3">
        <v>142</v>
      </c>
      <c r="C3776" s="32">
        <v>49248</v>
      </c>
      <c r="D3776" s="32" t="s">
        <v>87</v>
      </c>
      <c r="E3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7" spans="1:6" x14ac:dyDescent="0.35">
      <c r="A3777" s="3">
        <v>61626726302</v>
      </c>
      <c r="B3777" s="3">
        <v>221</v>
      </c>
      <c r="C3777" s="32">
        <v>49248</v>
      </c>
      <c r="D3777" s="32" t="s">
        <v>87</v>
      </c>
      <c r="E3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8" spans="1:6" x14ac:dyDescent="0.35">
      <c r="A3778" s="3">
        <v>20397501117</v>
      </c>
      <c r="B3778" s="3">
        <v>161</v>
      </c>
      <c r="C3778" s="32">
        <v>49248</v>
      </c>
      <c r="D3778" s="32" t="s">
        <v>87</v>
      </c>
      <c r="E3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9" spans="1:6" x14ac:dyDescent="0.35">
      <c r="A3779" s="3">
        <v>12853342076</v>
      </c>
      <c r="B3779" s="3">
        <v>310</v>
      </c>
      <c r="C3779" s="32">
        <v>49248</v>
      </c>
      <c r="D3779" s="32">
        <v>49275</v>
      </c>
      <c r="E3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80" spans="1:6" x14ac:dyDescent="0.35">
      <c r="A3780" s="3">
        <v>91628101789</v>
      </c>
      <c r="B3780" s="3">
        <v>186</v>
      </c>
      <c r="C3780" s="32">
        <v>49248</v>
      </c>
      <c r="D3780" s="32" t="s">
        <v>87</v>
      </c>
      <c r="E3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1" spans="1:6" x14ac:dyDescent="0.35">
      <c r="A3781" s="3">
        <v>99358920285</v>
      </c>
      <c r="B3781" s="3">
        <v>241</v>
      </c>
      <c r="C3781" s="32">
        <v>49248</v>
      </c>
      <c r="D3781" s="32" t="s">
        <v>87</v>
      </c>
      <c r="E3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2" spans="1:6" x14ac:dyDescent="0.35">
      <c r="A3782" s="3">
        <v>73355453787</v>
      </c>
      <c r="B3782" s="3">
        <v>80</v>
      </c>
      <c r="C3782" s="32">
        <v>49248</v>
      </c>
      <c r="D3782" s="32">
        <v>49261</v>
      </c>
      <c r="E3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83" spans="1:6" x14ac:dyDescent="0.35">
      <c r="A3783" s="3">
        <v>47874081684</v>
      </c>
      <c r="B3783" s="3">
        <v>87</v>
      </c>
      <c r="C3783" s="32">
        <v>49248</v>
      </c>
      <c r="D3783" s="32" t="s">
        <v>87</v>
      </c>
      <c r="E3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4" spans="1:6" x14ac:dyDescent="0.35">
      <c r="A3784" s="3">
        <v>93451251762</v>
      </c>
      <c r="B3784" s="3">
        <v>85</v>
      </c>
      <c r="C3784" s="32">
        <v>49248</v>
      </c>
      <c r="D3784" s="32">
        <v>49330</v>
      </c>
      <c r="E3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85" spans="1:6" x14ac:dyDescent="0.35">
      <c r="A3785" s="3">
        <v>92824855029</v>
      </c>
      <c r="B3785" s="3">
        <v>289</v>
      </c>
      <c r="C3785" s="32">
        <v>49248</v>
      </c>
      <c r="D3785" s="32" t="s">
        <v>87</v>
      </c>
      <c r="E3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6" spans="1:6" x14ac:dyDescent="0.35">
      <c r="A3786" s="3">
        <v>89539417845</v>
      </c>
      <c r="B3786" s="3">
        <v>48</v>
      </c>
      <c r="C3786" s="32">
        <v>49248</v>
      </c>
      <c r="D3786" s="32" t="s">
        <v>87</v>
      </c>
      <c r="E3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7" spans="1:6" x14ac:dyDescent="0.35">
      <c r="A3787" s="3">
        <v>85487640216</v>
      </c>
      <c r="B3787" s="3">
        <v>130</v>
      </c>
      <c r="C3787" s="32">
        <v>49248</v>
      </c>
      <c r="D3787" s="32" t="s">
        <v>87</v>
      </c>
      <c r="E3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8" spans="1:6" x14ac:dyDescent="0.35">
      <c r="A3788" s="3">
        <v>69900805982</v>
      </c>
      <c r="B3788" s="3">
        <v>1</v>
      </c>
      <c r="C3788" s="32">
        <v>49248</v>
      </c>
      <c r="D3788" s="32" t="s">
        <v>87</v>
      </c>
      <c r="E3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9" spans="1:6" x14ac:dyDescent="0.35">
      <c r="A3789" s="3">
        <v>79712514708</v>
      </c>
      <c r="B3789" s="3">
        <v>172</v>
      </c>
      <c r="C3789" s="32">
        <v>49248</v>
      </c>
      <c r="D3789" s="32" t="s">
        <v>87</v>
      </c>
      <c r="E3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0" spans="1:6" x14ac:dyDescent="0.35">
      <c r="A3790" s="3">
        <v>88595544254</v>
      </c>
      <c r="B3790" s="3">
        <v>321</v>
      </c>
      <c r="C3790" s="32">
        <v>49248</v>
      </c>
      <c r="D3790" s="32">
        <v>49285</v>
      </c>
      <c r="E3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91" spans="1:6" x14ac:dyDescent="0.35">
      <c r="A3791" s="3">
        <v>84841398495</v>
      </c>
      <c r="B3791" s="3">
        <v>282</v>
      </c>
      <c r="C3791" s="32">
        <v>49248</v>
      </c>
      <c r="D3791" s="32" t="s">
        <v>87</v>
      </c>
      <c r="E3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2" spans="1:6" x14ac:dyDescent="0.35">
      <c r="A3792" s="3">
        <v>86702901266</v>
      </c>
      <c r="B3792" s="3">
        <v>205</v>
      </c>
      <c r="C3792" s="32">
        <v>49248</v>
      </c>
      <c r="D3792" s="32"/>
      <c r="E3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3" spans="1:6" x14ac:dyDescent="0.35">
      <c r="A3793" s="3">
        <v>73431008344</v>
      </c>
      <c r="B3793" s="3">
        <v>293</v>
      </c>
      <c r="C3793" s="32">
        <v>49249</v>
      </c>
      <c r="D3793" s="32" t="s">
        <v>87</v>
      </c>
      <c r="E3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4" spans="1:6" x14ac:dyDescent="0.35">
      <c r="A3794" s="3">
        <v>60414751167</v>
      </c>
      <c r="B3794" s="3">
        <v>224</v>
      </c>
      <c r="C3794" s="32">
        <v>49249</v>
      </c>
      <c r="D3794" s="32" t="s">
        <v>87</v>
      </c>
      <c r="E3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5" spans="1:6" x14ac:dyDescent="0.35">
      <c r="A3795" s="3">
        <v>14390864292</v>
      </c>
      <c r="B3795" s="3">
        <v>138</v>
      </c>
      <c r="C3795" s="32">
        <v>49249</v>
      </c>
      <c r="D3795" s="32" t="s">
        <v>87</v>
      </c>
      <c r="E3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6" spans="1:6" x14ac:dyDescent="0.35">
      <c r="A3796" s="3">
        <v>53343721370</v>
      </c>
      <c r="B3796" s="3">
        <v>215</v>
      </c>
      <c r="C3796" s="32">
        <v>49249</v>
      </c>
      <c r="D3796" s="32" t="s">
        <v>87</v>
      </c>
      <c r="E3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7" spans="1:6" x14ac:dyDescent="0.35">
      <c r="A3797" s="3">
        <v>15226306478</v>
      </c>
      <c r="B3797" s="3">
        <v>270</v>
      </c>
      <c r="C3797" s="32">
        <v>49249</v>
      </c>
      <c r="D3797" s="32" t="s">
        <v>87</v>
      </c>
      <c r="E3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8" spans="1:6" x14ac:dyDescent="0.35">
      <c r="A3798" s="3">
        <v>63464425582</v>
      </c>
      <c r="B3798" s="3">
        <v>321</v>
      </c>
      <c r="C3798" s="32">
        <v>49249</v>
      </c>
      <c r="D3798" s="32">
        <v>49277</v>
      </c>
      <c r="E3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99" spans="1:6" x14ac:dyDescent="0.35">
      <c r="A3799" s="3">
        <v>83482213004</v>
      </c>
      <c r="B3799" s="3">
        <v>146</v>
      </c>
      <c r="C3799" s="32">
        <v>49249</v>
      </c>
      <c r="D3799" s="32" t="s">
        <v>87</v>
      </c>
      <c r="E3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0" spans="1:6" x14ac:dyDescent="0.35">
      <c r="A3800" s="3">
        <v>98284519106</v>
      </c>
      <c r="B3800" s="3">
        <v>312</v>
      </c>
      <c r="C3800" s="32">
        <v>49249</v>
      </c>
      <c r="D3800" s="32" t="s">
        <v>87</v>
      </c>
      <c r="E3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1" spans="1:6" x14ac:dyDescent="0.35">
      <c r="A3801" s="3">
        <v>11365796009</v>
      </c>
      <c r="B3801" s="3">
        <v>212</v>
      </c>
      <c r="C3801" s="32">
        <v>49249</v>
      </c>
      <c r="D3801" s="32" t="s">
        <v>87</v>
      </c>
      <c r="E3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2" spans="1:6" x14ac:dyDescent="0.35">
      <c r="A3802" s="3">
        <v>68317089597</v>
      </c>
      <c r="B3802" s="3">
        <v>161</v>
      </c>
      <c r="C3802" s="32">
        <v>49249</v>
      </c>
      <c r="D3802" s="32" t="s">
        <v>87</v>
      </c>
      <c r="E3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3" spans="1:6" x14ac:dyDescent="0.35">
      <c r="A3803" s="3">
        <v>44358071099</v>
      </c>
      <c r="B3803" s="3">
        <v>326</v>
      </c>
      <c r="C3803" s="32">
        <v>49249</v>
      </c>
      <c r="D3803" s="32" t="s">
        <v>87</v>
      </c>
      <c r="E3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4" spans="1:6" x14ac:dyDescent="0.35">
      <c r="A3804" s="3">
        <v>53092952981</v>
      </c>
      <c r="B3804" s="3">
        <v>187</v>
      </c>
      <c r="C3804" s="32">
        <v>49249</v>
      </c>
      <c r="D3804" s="32" t="s">
        <v>87</v>
      </c>
      <c r="E3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5" spans="1:6" x14ac:dyDescent="0.35">
      <c r="A3805" s="3">
        <v>69732942066</v>
      </c>
      <c r="B3805" s="3">
        <v>115</v>
      </c>
      <c r="C3805" s="32">
        <v>49249</v>
      </c>
      <c r="D3805" s="32" t="s">
        <v>87</v>
      </c>
      <c r="E3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6" spans="1:6" x14ac:dyDescent="0.35">
      <c r="A3806" s="3">
        <v>37964955590</v>
      </c>
      <c r="B3806" s="3">
        <v>73</v>
      </c>
      <c r="C3806" s="32">
        <v>49249</v>
      </c>
      <c r="D3806" s="32">
        <v>49280</v>
      </c>
      <c r="E3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07" spans="1:6" x14ac:dyDescent="0.35">
      <c r="A3807" s="3">
        <v>11774765105</v>
      </c>
      <c r="B3807" s="3">
        <v>274</v>
      </c>
      <c r="C3807" s="32">
        <v>49249</v>
      </c>
      <c r="D3807" s="32" t="s">
        <v>87</v>
      </c>
      <c r="E3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8" spans="1:6" x14ac:dyDescent="0.35">
      <c r="A3808" s="3">
        <v>71301480012</v>
      </c>
      <c r="B3808" s="3">
        <v>100</v>
      </c>
      <c r="C3808" s="32">
        <v>49249</v>
      </c>
      <c r="D3808" s="32" t="s">
        <v>87</v>
      </c>
      <c r="E3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9" spans="1:6" x14ac:dyDescent="0.35">
      <c r="A3809" s="3">
        <v>87278934462</v>
      </c>
      <c r="B3809" s="3">
        <v>261</v>
      </c>
      <c r="C3809" s="32">
        <v>49249</v>
      </c>
      <c r="D3809" s="32" t="s">
        <v>87</v>
      </c>
      <c r="E3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0" spans="1:6" x14ac:dyDescent="0.35">
      <c r="A3810" s="3">
        <v>66057563059</v>
      </c>
      <c r="B3810" s="3">
        <v>254</v>
      </c>
      <c r="C3810" s="32">
        <v>49249</v>
      </c>
      <c r="D3810" s="32" t="s">
        <v>87</v>
      </c>
      <c r="E3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1" spans="1:6" x14ac:dyDescent="0.35">
      <c r="A3811" s="3">
        <v>49933838132</v>
      </c>
      <c r="B3811" s="3">
        <v>151</v>
      </c>
      <c r="C3811" s="32">
        <v>49249</v>
      </c>
      <c r="D3811" s="32">
        <v>49265</v>
      </c>
      <c r="E3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12" spans="1:6" x14ac:dyDescent="0.35">
      <c r="A3812" s="3">
        <v>63226141491</v>
      </c>
      <c r="B3812" s="3">
        <v>106</v>
      </c>
      <c r="C3812" s="32">
        <v>49249</v>
      </c>
      <c r="D3812" s="32">
        <v>49282</v>
      </c>
      <c r="E3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13" spans="1:6" x14ac:dyDescent="0.35">
      <c r="A3813" s="3">
        <v>49457120315</v>
      </c>
      <c r="B3813" s="3">
        <v>231</v>
      </c>
      <c r="C3813" s="32">
        <v>49249</v>
      </c>
      <c r="D3813" s="32" t="s">
        <v>87</v>
      </c>
      <c r="E3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4" spans="1:6" x14ac:dyDescent="0.35">
      <c r="A3814" s="3">
        <v>88328568340</v>
      </c>
      <c r="B3814" s="3">
        <v>18</v>
      </c>
      <c r="C3814" s="32">
        <v>49249</v>
      </c>
      <c r="D3814" s="32" t="s">
        <v>87</v>
      </c>
      <c r="E3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5" spans="1:6" x14ac:dyDescent="0.35">
      <c r="A3815" s="3">
        <v>45296921784</v>
      </c>
      <c r="B3815" s="3">
        <v>250</v>
      </c>
      <c r="C3815" s="32">
        <v>49250</v>
      </c>
      <c r="D3815" s="32" t="s">
        <v>87</v>
      </c>
      <c r="E3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6" spans="1:6" x14ac:dyDescent="0.35">
      <c r="A3816" s="3">
        <v>54238032131</v>
      </c>
      <c r="B3816" s="3">
        <v>336</v>
      </c>
      <c r="C3816" s="32">
        <v>49250</v>
      </c>
      <c r="D3816" s="32" t="s">
        <v>87</v>
      </c>
      <c r="E3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7" spans="1:6" x14ac:dyDescent="0.35">
      <c r="A3817" s="3">
        <v>29469630471</v>
      </c>
      <c r="B3817" s="3">
        <v>138</v>
      </c>
      <c r="C3817" s="32">
        <v>49250</v>
      </c>
      <c r="D3817" s="32" t="s">
        <v>87</v>
      </c>
      <c r="E3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8" spans="1:6" x14ac:dyDescent="0.35">
      <c r="A3818" s="3">
        <v>16618480282</v>
      </c>
      <c r="B3818" s="3">
        <v>256</v>
      </c>
      <c r="C3818" s="32">
        <v>49250</v>
      </c>
      <c r="D3818" s="32" t="s">
        <v>87</v>
      </c>
      <c r="E3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9" spans="1:6" x14ac:dyDescent="0.35">
      <c r="A3819" s="3">
        <v>89115580282</v>
      </c>
      <c r="B3819" s="3">
        <v>120</v>
      </c>
      <c r="C3819" s="32">
        <v>49250</v>
      </c>
      <c r="D3819" s="32" t="s">
        <v>87</v>
      </c>
      <c r="E3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0" spans="1:6" x14ac:dyDescent="0.35">
      <c r="A3820" s="3">
        <v>65587820291</v>
      </c>
      <c r="B3820" s="3">
        <v>327</v>
      </c>
      <c r="C3820" s="32">
        <v>49250</v>
      </c>
      <c r="D3820" s="32" t="s">
        <v>87</v>
      </c>
      <c r="E3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1" spans="1:6" x14ac:dyDescent="0.35">
      <c r="A3821" s="3">
        <v>41326493935</v>
      </c>
      <c r="B3821" s="3">
        <v>226</v>
      </c>
      <c r="C3821" s="32">
        <v>49250</v>
      </c>
      <c r="D3821" s="32" t="s">
        <v>87</v>
      </c>
      <c r="E3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2" spans="1:6" x14ac:dyDescent="0.35">
      <c r="A3822" s="3">
        <v>46850560780</v>
      </c>
      <c r="B3822" s="3">
        <v>3</v>
      </c>
      <c r="C3822" s="32">
        <v>49250</v>
      </c>
      <c r="D3822" s="32" t="s">
        <v>87</v>
      </c>
      <c r="E3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3" spans="1:6" x14ac:dyDescent="0.35">
      <c r="A3823" s="3">
        <v>55763920986</v>
      </c>
      <c r="B3823" s="3">
        <v>80</v>
      </c>
      <c r="C3823" s="32">
        <v>49250</v>
      </c>
      <c r="D3823" s="32" t="s">
        <v>87</v>
      </c>
      <c r="E3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4" spans="1:6" x14ac:dyDescent="0.35">
      <c r="A3824" s="3">
        <v>90906306561</v>
      </c>
      <c r="B3824" s="3">
        <v>75</v>
      </c>
      <c r="C3824" s="32">
        <v>49250</v>
      </c>
      <c r="D3824" s="32" t="s">
        <v>87</v>
      </c>
      <c r="E3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5" spans="1:6" x14ac:dyDescent="0.35">
      <c r="A3825" s="3">
        <v>56337324289</v>
      </c>
      <c r="B3825" s="3">
        <v>283</v>
      </c>
      <c r="C3825" s="32">
        <v>49250</v>
      </c>
      <c r="D3825" s="32" t="s">
        <v>87</v>
      </c>
      <c r="E3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6" spans="1:6" x14ac:dyDescent="0.35">
      <c r="A3826" s="3">
        <v>72652142897</v>
      </c>
      <c r="B3826" s="3">
        <v>323</v>
      </c>
      <c r="C3826" s="32">
        <v>49250</v>
      </c>
      <c r="D3826" s="32" t="s">
        <v>87</v>
      </c>
      <c r="E3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7" spans="1:6" x14ac:dyDescent="0.35">
      <c r="A3827" s="3">
        <v>59275795898</v>
      </c>
      <c r="B3827" s="3">
        <v>223</v>
      </c>
      <c r="C3827" s="32">
        <v>49250</v>
      </c>
      <c r="D3827" s="32" t="s">
        <v>87</v>
      </c>
      <c r="E3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8" spans="1:6" x14ac:dyDescent="0.35">
      <c r="A3828" s="3">
        <v>97823791708</v>
      </c>
      <c r="B3828" s="3">
        <v>139</v>
      </c>
      <c r="C3828" s="32">
        <v>49250</v>
      </c>
      <c r="D3828" s="32" t="s">
        <v>87</v>
      </c>
      <c r="E3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9" spans="1:6" x14ac:dyDescent="0.35">
      <c r="A3829" s="3">
        <v>58082885359</v>
      </c>
      <c r="B3829" s="3">
        <v>163</v>
      </c>
      <c r="C3829" s="32">
        <v>49250</v>
      </c>
      <c r="D3829" s="32" t="s">
        <v>87</v>
      </c>
      <c r="E3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0" spans="1:6" x14ac:dyDescent="0.35">
      <c r="A3830" s="3">
        <v>93793078923</v>
      </c>
      <c r="B3830" s="3">
        <v>241</v>
      </c>
      <c r="C3830" s="32">
        <v>49250</v>
      </c>
      <c r="D3830" s="32" t="s">
        <v>87</v>
      </c>
      <c r="E3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1" spans="1:6" x14ac:dyDescent="0.35">
      <c r="A3831" s="3">
        <v>27737157121</v>
      </c>
      <c r="B3831" s="3">
        <v>179</v>
      </c>
      <c r="C3831" s="32">
        <v>49250</v>
      </c>
      <c r="D3831" s="32" t="s">
        <v>87</v>
      </c>
      <c r="E3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2" spans="1:6" x14ac:dyDescent="0.35">
      <c r="A3832" s="3">
        <v>90836795715</v>
      </c>
      <c r="B3832" s="3">
        <v>206</v>
      </c>
      <c r="C3832" s="32">
        <v>49250</v>
      </c>
      <c r="D3832" s="32" t="s">
        <v>87</v>
      </c>
      <c r="E3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3" spans="1:6" x14ac:dyDescent="0.35">
      <c r="A3833" s="3">
        <v>57475872268</v>
      </c>
      <c r="B3833" s="3">
        <v>320</v>
      </c>
      <c r="C3833" s="32">
        <v>49250</v>
      </c>
      <c r="D3833" s="32" t="s">
        <v>87</v>
      </c>
      <c r="E3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4" spans="1:6" x14ac:dyDescent="0.35">
      <c r="A3834" s="3">
        <v>57888879434</v>
      </c>
      <c r="B3834" s="3">
        <v>317</v>
      </c>
      <c r="C3834" s="32">
        <v>49250</v>
      </c>
      <c r="D3834" s="32">
        <v>49305</v>
      </c>
      <c r="E3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35" spans="1:6" x14ac:dyDescent="0.35">
      <c r="A3835" s="3">
        <v>23432824570</v>
      </c>
      <c r="B3835" s="3">
        <v>241</v>
      </c>
      <c r="C3835" s="32">
        <v>49250</v>
      </c>
      <c r="D3835" s="32">
        <v>49338</v>
      </c>
      <c r="E3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36" spans="1:6" x14ac:dyDescent="0.35">
      <c r="A3836" s="3">
        <v>84854577029</v>
      </c>
      <c r="B3836" s="3">
        <v>97</v>
      </c>
      <c r="C3836" s="32">
        <v>49250</v>
      </c>
      <c r="D3836" s="32">
        <v>49285</v>
      </c>
      <c r="E3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37" spans="1:6" x14ac:dyDescent="0.35">
      <c r="A3837" s="3">
        <v>64218864187</v>
      </c>
      <c r="B3837" s="3">
        <v>216</v>
      </c>
      <c r="C3837" s="32">
        <v>49250</v>
      </c>
      <c r="D3837" s="32" t="s">
        <v>87</v>
      </c>
      <c r="E3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8" spans="1:6" x14ac:dyDescent="0.35">
      <c r="A3838" s="3">
        <v>37699238475</v>
      </c>
      <c r="B3838" s="3">
        <v>339</v>
      </c>
      <c r="C3838" s="32">
        <v>49250</v>
      </c>
      <c r="D3838" s="32" t="s">
        <v>87</v>
      </c>
      <c r="E3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9" spans="1:6" x14ac:dyDescent="0.35">
      <c r="A3839" s="3">
        <v>58353041666</v>
      </c>
      <c r="B3839" s="3">
        <v>275</v>
      </c>
      <c r="C3839" s="32">
        <v>49250</v>
      </c>
      <c r="D3839" s="32" t="s">
        <v>87</v>
      </c>
      <c r="E3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0" spans="1:6" x14ac:dyDescent="0.35">
      <c r="A3840" s="3">
        <v>94989118185</v>
      </c>
      <c r="B3840" s="3">
        <v>261</v>
      </c>
      <c r="C3840" s="32">
        <v>49251</v>
      </c>
      <c r="D3840" s="32" t="s">
        <v>87</v>
      </c>
      <c r="E3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1" spans="1:6" x14ac:dyDescent="0.35">
      <c r="A3841" s="3">
        <v>40985433177</v>
      </c>
      <c r="B3841" s="3">
        <v>150</v>
      </c>
      <c r="C3841" s="32">
        <v>49251</v>
      </c>
      <c r="D3841" s="32">
        <v>49259</v>
      </c>
      <c r="E3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42" spans="1:6" x14ac:dyDescent="0.35">
      <c r="A3842" s="3">
        <v>53273126518</v>
      </c>
      <c r="B3842" s="3">
        <v>55</v>
      </c>
      <c r="C3842" s="32">
        <v>49251</v>
      </c>
      <c r="D3842" s="32" t="s">
        <v>87</v>
      </c>
      <c r="E3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3" spans="1:6" x14ac:dyDescent="0.35">
      <c r="A3843" s="3">
        <v>67290850567</v>
      </c>
      <c r="B3843" s="3">
        <v>285</v>
      </c>
      <c r="C3843" s="32">
        <v>49251</v>
      </c>
      <c r="D3843" s="32">
        <v>49299</v>
      </c>
      <c r="E3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44" spans="1:6" x14ac:dyDescent="0.35">
      <c r="A3844" s="3">
        <v>35326229539</v>
      </c>
      <c r="B3844" s="3">
        <v>338</v>
      </c>
      <c r="C3844" s="32">
        <v>49251</v>
      </c>
      <c r="D3844" s="32">
        <v>49309</v>
      </c>
      <c r="E3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45" spans="1:6" x14ac:dyDescent="0.35">
      <c r="A3845" s="3">
        <v>17835923163</v>
      </c>
      <c r="B3845" s="3">
        <v>162</v>
      </c>
      <c r="C3845" s="32">
        <v>49251</v>
      </c>
      <c r="D3845" s="32" t="s">
        <v>87</v>
      </c>
      <c r="E3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6" spans="1:6" x14ac:dyDescent="0.35">
      <c r="A3846" s="3">
        <v>59523464757</v>
      </c>
      <c r="B3846" s="3">
        <v>38</v>
      </c>
      <c r="C3846" s="32">
        <v>49251</v>
      </c>
      <c r="D3846" s="32" t="s">
        <v>87</v>
      </c>
      <c r="E3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7" spans="1:6" x14ac:dyDescent="0.35">
      <c r="A3847" s="3">
        <v>87669310757</v>
      </c>
      <c r="B3847" s="3">
        <v>301</v>
      </c>
      <c r="C3847" s="32">
        <v>49251</v>
      </c>
      <c r="D3847" s="32" t="s">
        <v>87</v>
      </c>
      <c r="E3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8" spans="1:6" x14ac:dyDescent="0.35">
      <c r="A3848" s="3">
        <v>46452054964</v>
      </c>
      <c r="B3848" s="3">
        <v>202</v>
      </c>
      <c r="C3848" s="32">
        <v>49251</v>
      </c>
      <c r="D3848" s="32" t="s">
        <v>87</v>
      </c>
      <c r="E3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9" spans="1:6" x14ac:dyDescent="0.35">
      <c r="A3849" s="3">
        <v>91875768128</v>
      </c>
      <c r="B3849" s="3">
        <v>43</v>
      </c>
      <c r="C3849" s="32">
        <v>49251</v>
      </c>
      <c r="D3849" s="32" t="s">
        <v>87</v>
      </c>
      <c r="E3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0" spans="1:6" x14ac:dyDescent="0.35">
      <c r="A3850" s="3">
        <v>79743866174</v>
      </c>
      <c r="B3850" s="3">
        <v>103</v>
      </c>
      <c r="C3850" s="32">
        <v>49251</v>
      </c>
      <c r="D3850" s="32"/>
      <c r="E3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1" spans="1:6" x14ac:dyDescent="0.35">
      <c r="A3851" s="3">
        <v>65326090765</v>
      </c>
      <c r="B3851" s="3">
        <v>112</v>
      </c>
      <c r="C3851" s="32">
        <v>49251</v>
      </c>
      <c r="D3851" s="32" t="s">
        <v>87</v>
      </c>
      <c r="E3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2" spans="1:6" x14ac:dyDescent="0.35">
      <c r="A3852" s="3">
        <v>66478173548</v>
      </c>
      <c r="B3852" s="3">
        <v>69</v>
      </c>
      <c r="C3852" s="32">
        <v>49251</v>
      </c>
      <c r="D3852" s="32"/>
      <c r="E3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3" spans="1:6" x14ac:dyDescent="0.35">
      <c r="A3853" s="3">
        <v>84864648200</v>
      </c>
      <c r="B3853" s="3">
        <v>291</v>
      </c>
      <c r="C3853" s="32">
        <v>49251</v>
      </c>
      <c r="D3853" s="32">
        <v>49281</v>
      </c>
      <c r="E3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54" spans="1:6" x14ac:dyDescent="0.35">
      <c r="A3854" s="3">
        <v>23473957090</v>
      </c>
      <c r="B3854" s="3">
        <v>247</v>
      </c>
      <c r="C3854" s="32">
        <v>49251</v>
      </c>
      <c r="D3854" s="32"/>
      <c r="E3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5" spans="1:6" x14ac:dyDescent="0.35">
      <c r="A3855" s="3">
        <v>48735311039</v>
      </c>
      <c r="B3855" s="3">
        <v>334</v>
      </c>
      <c r="C3855" s="32">
        <v>49251</v>
      </c>
      <c r="D3855" s="32">
        <v>49261</v>
      </c>
      <c r="E3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56" spans="1:6" x14ac:dyDescent="0.35">
      <c r="A3856" s="3">
        <v>16279871640</v>
      </c>
      <c r="B3856" s="3">
        <v>244</v>
      </c>
      <c r="C3856" s="32">
        <v>49251</v>
      </c>
      <c r="D3856" s="32" t="s">
        <v>87</v>
      </c>
      <c r="E3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7" spans="1:6" x14ac:dyDescent="0.35">
      <c r="A3857" s="3">
        <v>19337276947</v>
      </c>
      <c r="B3857" s="3">
        <v>185</v>
      </c>
      <c r="C3857" s="32">
        <v>49251</v>
      </c>
      <c r="D3857" s="32" t="s">
        <v>87</v>
      </c>
      <c r="E3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8" spans="1:6" x14ac:dyDescent="0.35">
      <c r="A3858" s="3">
        <v>15286857942</v>
      </c>
      <c r="B3858" s="3">
        <v>237</v>
      </c>
      <c r="C3858" s="32">
        <v>49251</v>
      </c>
      <c r="D3858" s="32">
        <v>49325</v>
      </c>
      <c r="E3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59" spans="1:6" x14ac:dyDescent="0.35">
      <c r="A3859" s="3">
        <v>21948448915</v>
      </c>
      <c r="B3859" s="3">
        <v>155</v>
      </c>
      <c r="C3859" s="32">
        <v>49251</v>
      </c>
      <c r="D3859" s="32" t="s">
        <v>87</v>
      </c>
      <c r="E3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0" spans="1:6" x14ac:dyDescent="0.35">
      <c r="A3860" s="3">
        <v>99677506067</v>
      </c>
      <c r="B3860" s="3">
        <v>143</v>
      </c>
      <c r="C3860" s="32">
        <v>49251</v>
      </c>
      <c r="D3860" s="32" t="s">
        <v>87</v>
      </c>
      <c r="E3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1" spans="1:6" x14ac:dyDescent="0.35">
      <c r="A3861" s="3">
        <v>80198731336</v>
      </c>
      <c r="B3861" s="3">
        <v>317</v>
      </c>
      <c r="C3861" s="32">
        <v>49251</v>
      </c>
      <c r="D3861" s="32" t="s">
        <v>87</v>
      </c>
      <c r="E3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2" spans="1:6" x14ac:dyDescent="0.35">
      <c r="A3862" s="3">
        <v>67641971460</v>
      </c>
      <c r="B3862" s="3">
        <v>134</v>
      </c>
      <c r="C3862" s="32">
        <v>49251</v>
      </c>
      <c r="D3862" s="32" t="s">
        <v>87</v>
      </c>
      <c r="E3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3" spans="1:6" x14ac:dyDescent="0.35">
      <c r="A3863" s="3">
        <v>59303411550</v>
      </c>
      <c r="B3863" s="3">
        <v>85</v>
      </c>
      <c r="C3863" s="32">
        <v>49251</v>
      </c>
      <c r="D3863" s="32" t="s">
        <v>87</v>
      </c>
      <c r="E3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4" spans="1:6" x14ac:dyDescent="0.35">
      <c r="A3864" s="3">
        <v>94977661471</v>
      </c>
      <c r="B3864" s="3">
        <v>252</v>
      </c>
      <c r="C3864" s="32">
        <v>49251</v>
      </c>
      <c r="D3864" s="32" t="s">
        <v>87</v>
      </c>
      <c r="E3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5" spans="1:6" x14ac:dyDescent="0.35">
      <c r="A3865" s="3">
        <v>79686173933</v>
      </c>
      <c r="B3865" s="3">
        <v>192</v>
      </c>
      <c r="C3865" s="32">
        <v>49251</v>
      </c>
      <c r="D3865" s="32" t="s">
        <v>87</v>
      </c>
      <c r="E3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6" spans="1:6" x14ac:dyDescent="0.35">
      <c r="A3866" s="3">
        <v>21485551291</v>
      </c>
      <c r="B3866" s="3">
        <v>4</v>
      </c>
      <c r="C3866" s="32">
        <v>49251</v>
      </c>
      <c r="D3866" s="32" t="s">
        <v>87</v>
      </c>
      <c r="E3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7" spans="1:6" x14ac:dyDescent="0.35">
      <c r="A3867" s="3">
        <v>47241587450</v>
      </c>
      <c r="B3867" s="3">
        <v>97</v>
      </c>
      <c r="C3867" s="32">
        <v>49252</v>
      </c>
      <c r="D3867" s="32" t="s">
        <v>87</v>
      </c>
      <c r="E3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8" spans="1:6" x14ac:dyDescent="0.35">
      <c r="A3868" s="3">
        <v>97813823141</v>
      </c>
      <c r="B3868" s="3">
        <v>100</v>
      </c>
      <c r="C3868" s="32">
        <v>49252</v>
      </c>
      <c r="D3868" s="32" t="s">
        <v>87</v>
      </c>
      <c r="E3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9" spans="1:6" x14ac:dyDescent="0.35">
      <c r="A3869" s="3">
        <v>90925052820</v>
      </c>
      <c r="B3869" s="3">
        <v>281</v>
      </c>
      <c r="C3869" s="32">
        <v>49252</v>
      </c>
      <c r="D3869" s="32" t="s">
        <v>87</v>
      </c>
      <c r="E3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0" spans="1:6" x14ac:dyDescent="0.35">
      <c r="A3870" s="3">
        <v>34610529657</v>
      </c>
      <c r="B3870" s="3">
        <v>141</v>
      </c>
      <c r="C3870" s="32">
        <v>49252</v>
      </c>
      <c r="D3870" s="32">
        <v>49264</v>
      </c>
      <c r="E3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71" spans="1:6" x14ac:dyDescent="0.35">
      <c r="A3871" s="3">
        <v>89473865213</v>
      </c>
      <c r="B3871" s="3">
        <v>179</v>
      </c>
      <c r="C3871" s="32">
        <v>49252</v>
      </c>
      <c r="D3871" s="32" t="s">
        <v>87</v>
      </c>
      <c r="E3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2" spans="1:6" x14ac:dyDescent="0.35">
      <c r="A3872" s="3">
        <v>93644223613</v>
      </c>
      <c r="B3872" s="3">
        <v>120</v>
      </c>
      <c r="C3872" s="32">
        <v>49252</v>
      </c>
      <c r="D3872" s="32" t="s">
        <v>87</v>
      </c>
      <c r="E3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3" spans="1:6" x14ac:dyDescent="0.35">
      <c r="A3873" s="3">
        <v>57133383762</v>
      </c>
      <c r="B3873" s="3">
        <v>245</v>
      </c>
      <c r="C3873" s="32">
        <v>49252</v>
      </c>
      <c r="D3873" s="32">
        <v>49287</v>
      </c>
      <c r="E3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74" spans="1:6" x14ac:dyDescent="0.35">
      <c r="A3874" s="3">
        <v>34043559282</v>
      </c>
      <c r="B3874" s="3">
        <v>213</v>
      </c>
      <c r="C3874" s="32">
        <v>49252</v>
      </c>
      <c r="D3874" s="32" t="s">
        <v>87</v>
      </c>
      <c r="E3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5" spans="1:6" x14ac:dyDescent="0.35">
      <c r="A3875" s="3">
        <v>97055583042</v>
      </c>
      <c r="B3875" s="3">
        <v>182</v>
      </c>
      <c r="C3875" s="32">
        <v>49252</v>
      </c>
      <c r="D3875" s="32" t="s">
        <v>87</v>
      </c>
      <c r="E3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6" spans="1:6" x14ac:dyDescent="0.35">
      <c r="A3876" s="3">
        <v>91124283544</v>
      </c>
      <c r="B3876" s="3">
        <v>157</v>
      </c>
      <c r="C3876" s="32">
        <v>49252</v>
      </c>
      <c r="D3876" s="32" t="s">
        <v>87</v>
      </c>
      <c r="E3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7" spans="1:6" x14ac:dyDescent="0.35">
      <c r="A3877" s="3">
        <v>48931632276</v>
      </c>
      <c r="B3877" s="3">
        <v>277</v>
      </c>
      <c r="C3877" s="32">
        <v>49252</v>
      </c>
      <c r="D3877" s="32" t="s">
        <v>87</v>
      </c>
      <c r="E3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8" spans="1:6" x14ac:dyDescent="0.35">
      <c r="A3878" s="3">
        <v>17552952025</v>
      </c>
      <c r="B3878" s="3">
        <v>41</v>
      </c>
      <c r="C3878" s="32">
        <v>49252</v>
      </c>
      <c r="D3878" s="32" t="s">
        <v>87</v>
      </c>
      <c r="E3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9" spans="1:6" x14ac:dyDescent="0.35">
      <c r="A3879" s="3">
        <v>85570064252</v>
      </c>
      <c r="B3879" s="3">
        <v>177</v>
      </c>
      <c r="C3879" s="32">
        <v>49252</v>
      </c>
      <c r="D3879" s="32">
        <v>49298</v>
      </c>
      <c r="E3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80" spans="1:6" x14ac:dyDescent="0.35">
      <c r="A3880" s="3">
        <v>43309274394</v>
      </c>
      <c r="B3880" s="3">
        <v>102</v>
      </c>
      <c r="C3880" s="32">
        <v>49252</v>
      </c>
      <c r="D3880" s="32" t="s">
        <v>87</v>
      </c>
      <c r="E3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1" spans="1:6" x14ac:dyDescent="0.35">
      <c r="A3881" s="3">
        <v>68708286498</v>
      </c>
      <c r="B3881" s="3">
        <v>82</v>
      </c>
      <c r="C3881" s="32">
        <v>49252</v>
      </c>
      <c r="D3881" s="32" t="s">
        <v>87</v>
      </c>
      <c r="E3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2" spans="1:6" x14ac:dyDescent="0.35">
      <c r="A3882" s="3">
        <v>74646317151</v>
      </c>
      <c r="B3882" s="3">
        <v>272</v>
      </c>
      <c r="C3882" s="32">
        <v>49252</v>
      </c>
      <c r="D3882" s="32" t="s">
        <v>87</v>
      </c>
      <c r="E3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3" spans="1:6" x14ac:dyDescent="0.35">
      <c r="A3883" s="3">
        <v>18454144281</v>
      </c>
      <c r="B3883" s="3">
        <v>338</v>
      </c>
      <c r="C3883" s="32">
        <v>49252</v>
      </c>
      <c r="D3883" s="32" t="s">
        <v>87</v>
      </c>
      <c r="E3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4" spans="1:6" x14ac:dyDescent="0.35">
      <c r="A3884" s="3">
        <v>79094715618</v>
      </c>
      <c r="B3884" s="3">
        <v>60</v>
      </c>
      <c r="C3884" s="32">
        <v>49252</v>
      </c>
      <c r="D3884" s="32"/>
      <c r="E3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5" spans="1:6" x14ac:dyDescent="0.35">
      <c r="A3885" s="3">
        <v>76664386369</v>
      </c>
      <c r="B3885" s="3">
        <v>149</v>
      </c>
      <c r="C3885" s="32">
        <v>49252</v>
      </c>
      <c r="D3885" s="32" t="s">
        <v>87</v>
      </c>
      <c r="E3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6" spans="1:6" x14ac:dyDescent="0.35">
      <c r="A3886" s="3">
        <v>62886413295</v>
      </c>
      <c r="B3886" s="3">
        <v>32</v>
      </c>
      <c r="C3886" s="32">
        <v>49253</v>
      </c>
      <c r="D3886" s="32">
        <v>49330</v>
      </c>
      <c r="E3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87" spans="1:6" x14ac:dyDescent="0.35">
      <c r="A3887" s="3">
        <v>42565731439</v>
      </c>
      <c r="B3887" s="3">
        <v>304</v>
      </c>
      <c r="C3887" s="32">
        <v>49253</v>
      </c>
      <c r="D3887" s="32" t="s">
        <v>87</v>
      </c>
      <c r="E3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8" spans="1:6" x14ac:dyDescent="0.35">
      <c r="A3888" s="3">
        <v>87129111962</v>
      </c>
      <c r="B3888" s="3">
        <v>10</v>
      </c>
      <c r="C3888" s="32">
        <v>49253</v>
      </c>
      <c r="D3888" s="32">
        <v>49335</v>
      </c>
      <c r="E3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89" spans="1:6" x14ac:dyDescent="0.35">
      <c r="A3889" s="3">
        <v>95804269227</v>
      </c>
      <c r="B3889" s="3">
        <v>45</v>
      </c>
      <c r="C3889" s="32">
        <v>49253</v>
      </c>
      <c r="D3889" s="32" t="s">
        <v>87</v>
      </c>
      <c r="E3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0" spans="1:6" x14ac:dyDescent="0.35">
      <c r="A3890" s="3">
        <v>88996112362</v>
      </c>
      <c r="B3890" s="3">
        <v>298</v>
      </c>
      <c r="C3890" s="32">
        <v>49253</v>
      </c>
      <c r="D3890" s="32" t="s">
        <v>87</v>
      </c>
      <c r="E3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1" spans="1:6" x14ac:dyDescent="0.35">
      <c r="A3891" s="3">
        <v>44298744272</v>
      </c>
      <c r="B3891" s="3">
        <v>73</v>
      </c>
      <c r="C3891" s="32">
        <v>49253</v>
      </c>
      <c r="D3891" s="32" t="s">
        <v>87</v>
      </c>
      <c r="E3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2" spans="1:6" x14ac:dyDescent="0.35">
      <c r="A3892" s="3">
        <v>45536133650</v>
      </c>
      <c r="B3892" s="3">
        <v>122</v>
      </c>
      <c r="C3892" s="32">
        <v>49253</v>
      </c>
      <c r="D3892" s="32" t="s">
        <v>87</v>
      </c>
      <c r="E3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3" spans="1:6" x14ac:dyDescent="0.35">
      <c r="A3893" s="3">
        <v>24880520183</v>
      </c>
      <c r="B3893" s="3">
        <v>233</v>
      </c>
      <c r="C3893" s="32">
        <v>49253</v>
      </c>
      <c r="D3893" s="32" t="s">
        <v>87</v>
      </c>
      <c r="E3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4" spans="1:6" x14ac:dyDescent="0.35">
      <c r="A3894" s="3">
        <v>98471293418</v>
      </c>
      <c r="B3894" s="3">
        <v>153</v>
      </c>
      <c r="C3894" s="32">
        <v>49253</v>
      </c>
      <c r="D3894" s="32"/>
      <c r="E3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5" spans="1:6" x14ac:dyDescent="0.35">
      <c r="A3895" s="3">
        <v>82242771380</v>
      </c>
      <c r="B3895" s="3">
        <v>135</v>
      </c>
      <c r="C3895" s="32">
        <v>49253</v>
      </c>
      <c r="D3895" s="32" t="s">
        <v>87</v>
      </c>
      <c r="E3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6" spans="1:6" x14ac:dyDescent="0.35">
      <c r="A3896" s="3">
        <v>71627802683</v>
      </c>
      <c r="B3896" s="3">
        <v>259</v>
      </c>
      <c r="C3896" s="32">
        <v>49253</v>
      </c>
      <c r="D3896" s="32">
        <v>49259</v>
      </c>
      <c r="E3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97" spans="1:6" x14ac:dyDescent="0.35">
      <c r="A3897" s="3">
        <v>59491568994</v>
      </c>
      <c r="B3897" s="3">
        <v>36</v>
      </c>
      <c r="C3897" s="32">
        <v>49253</v>
      </c>
      <c r="D3897" s="32">
        <v>49256</v>
      </c>
      <c r="E3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98" spans="1:6" x14ac:dyDescent="0.35">
      <c r="A3898" s="3">
        <v>19682791251</v>
      </c>
      <c r="B3898" s="3">
        <v>133</v>
      </c>
      <c r="C3898" s="32">
        <v>49253</v>
      </c>
      <c r="D3898" s="32" t="s">
        <v>87</v>
      </c>
      <c r="E3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9" spans="1:6" x14ac:dyDescent="0.35">
      <c r="A3899" s="3">
        <v>68121327394</v>
      </c>
      <c r="B3899" s="3">
        <v>42</v>
      </c>
      <c r="C3899" s="32">
        <v>49253</v>
      </c>
      <c r="D3899" s="32" t="s">
        <v>87</v>
      </c>
      <c r="E3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0" spans="1:6" x14ac:dyDescent="0.35">
      <c r="A3900" s="3">
        <v>51946366183</v>
      </c>
      <c r="B3900" s="3">
        <v>151</v>
      </c>
      <c r="C3900" s="32">
        <v>49253</v>
      </c>
      <c r="D3900" s="32" t="s">
        <v>87</v>
      </c>
      <c r="E3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1" spans="1:6" x14ac:dyDescent="0.35">
      <c r="A3901" s="3">
        <v>12715145371</v>
      </c>
      <c r="B3901" s="3">
        <v>43</v>
      </c>
      <c r="C3901" s="32">
        <v>49253</v>
      </c>
      <c r="D3901" s="32" t="s">
        <v>87</v>
      </c>
      <c r="E3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2" spans="1:6" x14ac:dyDescent="0.35">
      <c r="A3902" s="3">
        <v>69442374568</v>
      </c>
      <c r="B3902" s="3">
        <v>173</v>
      </c>
      <c r="C3902" s="32">
        <v>49253</v>
      </c>
      <c r="D3902" s="32">
        <v>49317</v>
      </c>
      <c r="E3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03" spans="1:6" x14ac:dyDescent="0.35">
      <c r="A3903" s="3">
        <v>81307326156</v>
      </c>
      <c r="B3903" s="3">
        <v>58</v>
      </c>
      <c r="C3903" s="32">
        <v>49253</v>
      </c>
      <c r="D3903" s="32" t="s">
        <v>87</v>
      </c>
      <c r="E3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4" spans="1:6" x14ac:dyDescent="0.35">
      <c r="A3904" s="3">
        <v>86272797966</v>
      </c>
      <c r="B3904" s="3">
        <v>88</v>
      </c>
      <c r="C3904" s="32">
        <v>49253</v>
      </c>
      <c r="D3904" s="32" t="s">
        <v>87</v>
      </c>
      <c r="E3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5" spans="1:6" x14ac:dyDescent="0.35">
      <c r="A3905" s="3">
        <v>44386982453</v>
      </c>
      <c r="B3905" s="3">
        <v>337</v>
      </c>
      <c r="C3905" s="32">
        <v>49253</v>
      </c>
      <c r="D3905" s="32" t="s">
        <v>87</v>
      </c>
      <c r="E3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6" spans="1:6" x14ac:dyDescent="0.35">
      <c r="A3906" s="3">
        <v>28015252492</v>
      </c>
      <c r="B3906" s="3">
        <v>163</v>
      </c>
      <c r="C3906" s="32">
        <v>49253</v>
      </c>
      <c r="D3906" s="32" t="s">
        <v>87</v>
      </c>
      <c r="E3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7" spans="1:6" x14ac:dyDescent="0.35">
      <c r="A3907" s="3">
        <v>53019104778</v>
      </c>
      <c r="B3907" s="3">
        <v>213</v>
      </c>
      <c r="C3907" s="32">
        <v>49253</v>
      </c>
      <c r="D3907" s="32" t="s">
        <v>87</v>
      </c>
      <c r="E3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8" spans="1:6" x14ac:dyDescent="0.35">
      <c r="A3908" s="3">
        <v>20978596617</v>
      </c>
      <c r="B3908" s="3">
        <v>282</v>
      </c>
      <c r="C3908" s="32">
        <v>49253</v>
      </c>
      <c r="D3908" s="32">
        <v>49322</v>
      </c>
      <c r="E3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09" spans="1:6" x14ac:dyDescent="0.35">
      <c r="A3909" s="3">
        <v>66047257288</v>
      </c>
      <c r="B3909" s="3">
        <v>286</v>
      </c>
      <c r="C3909" s="32">
        <v>49253</v>
      </c>
      <c r="D3909" s="32" t="s">
        <v>87</v>
      </c>
      <c r="E3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0" spans="1:6" x14ac:dyDescent="0.35">
      <c r="A3910" s="3">
        <v>34549940014</v>
      </c>
      <c r="B3910" s="3">
        <v>135</v>
      </c>
      <c r="C3910" s="32">
        <v>49254</v>
      </c>
      <c r="D3910" s="32" t="s">
        <v>87</v>
      </c>
      <c r="E3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1" spans="1:6" x14ac:dyDescent="0.35">
      <c r="A3911" s="3">
        <v>20763138714</v>
      </c>
      <c r="B3911" s="3">
        <v>60</v>
      </c>
      <c r="C3911" s="32">
        <v>49254</v>
      </c>
      <c r="D3911" s="32" t="s">
        <v>87</v>
      </c>
      <c r="E3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2" spans="1:6" x14ac:dyDescent="0.35">
      <c r="A3912" s="3">
        <v>73677344695</v>
      </c>
      <c r="B3912" s="3">
        <v>201</v>
      </c>
      <c r="C3912" s="32">
        <v>49254</v>
      </c>
      <c r="D3912" s="32" t="s">
        <v>87</v>
      </c>
      <c r="E3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3" spans="1:6" x14ac:dyDescent="0.35">
      <c r="A3913" s="3">
        <v>99378616762</v>
      </c>
      <c r="B3913" s="3">
        <v>216</v>
      </c>
      <c r="C3913" s="32">
        <v>49254</v>
      </c>
      <c r="D3913" s="32" t="s">
        <v>87</v>
      </c>
      <c r="E3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4" spans="1:6" x14ac:dyDescent="0.35">
      <c r="A3914" s="3">
        <v>90777050133</v>
      </c>
      <c r="B3914" s="3">
        <v>213</v>
      </c>
      <c r="C3914" s="32">
        <v>49254</v>
      </c>
      <c r="D3914" s="32" t="s">
        <v>87</v>
      </c>
      <c r="E3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5" spans="1:6" x14ac:dyDescent="0.35">
      <c r="A3915" s="3">
        <v>41325742931</v>
      </c>
      <c r="B3915" s="3">
        <v>89</v>
      </c>
      <c r="C3915" s="32">
        <v>49254</v>
      </c>
      <c r="D3915" s="32" t="s">
        <v>87</v>
      </c>
      <c r="E3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6" spans="1:6" x14ac:dyDescent="0.35">
      <c r="A3916" s="3">
        <v>21615659434</v>
      </c>
      <c r="B3916" s="3">
        <v>159</v>
      </c>
      <c r="C3916" s="32">
        <v>49254</v>
      </c>
      <c r="D3916" s="32" t="s">
        <v>87</v>
      </c>
      <c r="E3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7" spans="1:6" x14ac:dyDescent="0.35">
      <c r="A3917" s="3">
        <v>39918304005</v>
      </c>
      <c r="B3917" s="3">
        <v>173</v>
      </c>
      <c r="C3917" s="32">
        <v>49254</v>
      </c>
      <c r="D3917" s="32">
        <v>49326</v>
      </c>
      <c r="E3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18" spans="1:6" x14ac:dyDescent="0.35">
      <c r="A3918" s="3">
        <v>77356193644</v>
      </c>
      <c r="B3918" s="3">
        <v>153</v>
      </c>
      <c r="C3918" s="32">
        <v>49254</v>
      </c>
      <c r="D3918" s="32" t="s">
        <v>87</v>
      </c>
      <c r="E3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9" spans="1:6" x14ac:dyDescent="0.35">
      <c r="A3919" s="3">
        <v>95876768548</v>
      </c>
      <c r="B3919" s="3">
        <v>22</v>
      </c>
      <c r="C3919" s="32">
        <v>49254</v>
      </c>
      <c r="D3919" s="32" t="s">
        <v>87</v>
      </c>
      <c r="E3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0" spans="1:6" x14ac:dyDescent="0.35">
      <c r="A3920" s="3">
        <v>62531427656</v>
      </c>
      <c r="B3920" s="3">
        <v>155</v>
      </c>
      <c r="C3920" s="32">
        <v>49254</v>
      </c>
      <c r="D3920" s="32" t="s">
        <v>87</v>
      </c>
      <c r="E3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1" spans="1:6" x14ac:dyDescent="0.35">
      <c r="A3921" s="3">
        <v>42957247148</v>
      </c>
      <c r="B3921" s="3">
        <v>180</v>
      </c>
      <c r="C3921" s="32">
        <v>49254</v>
      </c>
      <c r="D3921" s="32" t="s">
        <v>87</v>
      </c>
      <c r="E3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2" spans="1:6" x14ac:dyDescent="0.35">
      <c r="A3922" s="3">
        <v>53934629853</v>
      </c>
      <c r="B3922" s="3">
        <v>233</v>
      </c>
      <c r="C3922" s="32">
        <v>49254</v>
      </c>
      <c r="D3922" s="32" t="s">
        <v>87</v>
      </c>
      <c r="E3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3" spans="1:6" x14ac:dyDescent="0.35">
      <c r="A3923" s="3">
        <v>23769439023</v>
      </c>
      <c r="B3923" s="3">
        <v>91</v>
      </c>
      <c r="C3923" s="32">
        <v>49254</v>
      </c>
      <c r="D3923" s="32" t="s">
        <v>87</v>
      </c>
      <c r="E3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4" spans="1:6" x14ac:dyDescent="0.35">
      <c r="A3924" s="3">
        <v>29830549842</v>
      </c>
      <c r="B3924" s="3">
        <v>273</v>
      </c>
      <c r="C3924" s="32">
        <v>49254</v>
      </c>
      <c r="D3924" s="32" t="s">
        <v>87</v>
      </c>
      <c r="E3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5" spans="1:6" x14ac:dyDescent="0.35">
      <c r="A3925" s="3">
        <v>38848130458</v>
      </c>
      <c r="B3925" s="3">
        <v>296</v>
      </c>
      <c r="C3925" s="32">
        <v>49254</v>
      </c>
      <c r="D3925" s="32">
        <v>49264</v>
      </c>
      <c r="E3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26" spans="1:6" x14ac:dyDescent="0.35">
      <c r="A3926" s="3">
        <v>91925941326</v>
      </c>
      <c r="B3926" s="3">
        <v>153</v>
      </c>
      <c r="C3926" s="32">
        <v>49254</v>
      </c>
      <c r="D3926" s="32" t="s">
        <v>87</v>
      </c>
      <c r="E3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7" spans="1:6" x14ac:dyDescent="0.35">
      <c r="A3927" s="3">
        <v>15997489135</v>
      </c>
      <c r="B3927" s="3">
        <v>220</v>
      </c>
      <c r="C3927" s="32">
        <v>49254</v>
      </c>
      <c r="D3927" s="32" t="s">
        <v>87</v>
      </c>
      <c r="E3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8" spans="1:6" x14ac:dyDescent="0.35">
      <c r="A3928" s="3">
        <v>66389979411</v>
      </c>
      <c r="B3928" s="3">
        <v>200</v>
      </c>
      <c r="C3928" s="32">
        <v>49254</v>
      </c>
      <c r="D3928" s="32" t="s">
        <v>87</v>
      </c>
      <c r="E3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9" spans="1:6" x14ac:dyDescent="0.35">
      <c r="A3929" s="3">
        <v>45345419789</v>
      </c>
      <c r="B3929" s="3">
        <v>58</v>
      </c>
      <c r="C3929" s="32">
        <v>49254</v>
      </c>
      <c r="D3929" s="32" t="s">
        <v>87</v>
      </c>
      <c r="E3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0" spans="1:6" x14ac:dyDescent="0.35">
      <c r="A3930" s="3">
        <v>54621370905</v>
      </c>
      <c r="B3930" s="3">
        <v>225</v>
      </c>
      <c r="C3930" s="32">
        <v>49254</v>
      </c>
      <c r="D3930" s="32" t="s">
        <v>87</v>
      </c>
      <c r="E3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1" spans="1:6" x14ac:dyDescent="0.35">
      <c r="A3931" s="3">
        <v>92711010190</v>
      </c>
      <c r="B3931" s="3">
        <v>224</v>
      </c>
      <c r="C3931" s="32">
        <v>49255</v>
      </c>
      <c r="D3931" s="32" t="s">
        <v>87</v>
      </c>
      <c r="E3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2" spans="1:6" x14ac:dyDescent="0.35">
      <c r="A3932" s="3">
        <v>35658223131</v>
      </c>
      <c r="B3932" s="3">
        <v>50</v>
      </c>
      <c r="C3932" s="32">
        <v>49255</v>
      </c>
      <c r="D3932" s="32" t="s">
        <v>87</v>
      </c>
      <c r="E3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3" spans="1:6" x14ac:dyDescent="0.35">
      <c r="A3933" s="3">
        <v>30994756535</v>
      </c>
      <c r="B3933" s="3">
        <v>59</v>
      </c>
      <c r="C3933" s="32">
        <v>49255</v>
      </c>
      <c r="D3933" s="32" t="s">
        <v>87</v>
      </c>
      <c r="E3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4" spans="1:6" x14ac:dyDescent="0.35">
      <c r="A3934" s="3">
        <v>98568779959</v>
      </c>
      <c r="B3934" s="3">
        <v>303</v>
      </c>
      <c r="C3934" s="32">
        <v>49255</v>
      </c>
      <c r="D3934" s="32" t="s">
        <v>87</v>
      </c>
      <c r="E3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5" spans="1:6" x14ac:dyDescent="0.35">
      <c r="A3935" s="3">
        <v>89399866761</v>
      </c>
      <c r="B3935" s="3">
        <v>220</v>
      </c>
      <c r="C3935" s="32">
        <v>49255</v>
      </c>
      <c r="D3935" s="32" t="s">
        <v>87</v>
      </c>
      <c r="E3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6" spans="1:6" x14ac:dyDescent="0.35">
      <c r="A3936" s="3">
        <v>83081215816</v>
      </c>
      <c r="B3936" s="3">
        <v>135</v>
      </c>
      <c r="C3936" s="32">
        <v>49255</v>
      </c>
      <c r="D3936" s="32" t="s">
        <v>87</v>
      </c>
      <c r="E3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7" spans="1:6" x14ac:dyDescent="0.35">
      <c r="A3937" s="3">
        <v>13784945725</v>
      </c>
      <c r="B3937" s="3">
        <v>168</v>
      </c>
      <c r="C3937" s="32">
        <v>49255</v>
      </c>
      <c r="D3937" s="32" t="s">
        <v>87</v>
      </c>
      <c r="E3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8" spans="1:6" x14ac:dyDescent="0.35">
      <c r="A3938" s="3">
        <v>99865330200</v>
      </c>
      <c r="B3938" s="3">
        <v>124</v>
      </c>
      <c r="C3938" s="32">
        <v>49255</v>
      </c>
      <c r="D3938" s="32">
        <v>49268</v>
      </c>
      <c r="E3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39" spans="1:6" x14ac:dyDescent="0.35">
      <c r="A3939" s="3">
        <v>42021486300</v>
      </c>
      <c r="B3939" s="3">
        <v>320</v>
      </c>
      <c r="C3939" s="32">
        <v>49255</v>
      </c>
      <c r="D3939" s="32">
        <v>49279</v>
      </c>
      <c r="E3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40" spans="1:6" x14ac:dyDescent="0.35">
      <c r="A3940" s="3">
        <v>96855774955</v>
      </c>
      <c r="B3940" s="3">
        <v>110</v>
      </c>
      <c r="C3940" s="32">
        <v>49255</v>
      </c>
      <c r="D3940" s="32">
        <v>49266</v>
      </c>
      <c r="E3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41" spans="1:6" x14ac:dyDescent="0.35">
      <c r="A3941" s="3">
        <v>54457161116</v>
      </c>
      <c r="B3941" s="3">
        <v>299</v>
      </c>
      <c r="C3941" s="32">
        <v>49255</v>
      </c>
      <c r="D3941" s="32"/>
      <c r="E3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2" spans="1:6" x14ac:dyDescent="0.35">
      <c r="A3942" s="3">
        <v>81948373860</v>
      </c>
      <c r="B3942" s="3">
        <v>141</v>
      </c>
      <c r="C3942" s="32">
        <v>49255</v>
      </c>
      <c r="D3942" s="32" t="s">
        <v>87</v>
      </c>
      <c r="E3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3" spans="1:6" x14ac:dyDescent="0.35">
      <c r="A3943" s="3">
        <v>85556855136</v>
      </c>
      <c r="B3943" s="3">
        <v>6</v>
      </c>
      <c r="C3943" s="32">
        <v>49255</v>
      </c>
      <c r="D3943" s="32" t="s">
        <v>87</v>
      </c>
      <c r="E3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4" spans="1:6" x14ac:dyDescent="0.35">
      <c r="A3944" s="3">
        <v>57071622182</v>
      </c>
      <c r="B3944" s="3">
        <v>97</v>
      </c>
      <c r="C3944" s="32">
        <v>49255</v>
      </c>
      <c r="D3944" s="32" t="s">
        <v>87</v>
      </c>
      <c r="E3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5" spans="1:6" x14ac:dyDescent="0.35">
      <c r="A3945" s="3">
        <v>58626026337</v>
      </c>
      <c r="B3945" s="3">
        <v>229</v>
      </c>
      <c r="C3945" s="32">
        <v>49255</v>
      </c>
      <c r="D3945" s="32" t="s">
        <v>87</v>
      </c>
      <c r="E3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6" spans="1:6" x14ac:dyDescent="0.35">
      <c r="A3946" s="3">
        <v>23895472816</v>
      </c>
      <c r="B3946" s="3">
        <v>29</v>
      </c>
      <c r="C3946" s="32">
        <v>49255</v>
      </c>
      <c r="D3946" s="32" t="s">
        <v>87</v>
      </c>
      <c r="E3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7" spans="1:6" x14ac:dyDescent="0.35">
      <c r="A3947" s="3">
        <v>88916340752</v>
      </c>
      <c r="B3947" s="3">
        <v>16</v>
      </c>
      <c r="C3947" s="32">
        <v>49255</v>
      </c>
      <c r="D3947" s="32" t="s">
        <v>87</v>
      </c>
      <c r="E3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8" spans="1:6" x14ac:dyDescent="0.35">
      <c r="A3948" s="3">
        <v>33962193213</v>
      </c>
      <c r="B3948" s="3">
        <v>163</v>
      </c>
      <c r="C3948" s="32">
        <v>49255</v>
      </c>
      <c r="D3948" s="32" t="s">
        <v>87</v>
      </c>
      <c r="E3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9" spans="1:6" x14ac:dyDescent="0.35">
      <c r="A3949" s="3">
        <v>51278801845</v>
      </c>
      <c r="B3949" s="3">
        <v>196</v>
      </c>
      <c r="C3949" s="32">
        <v>49255</v>
      </c>
      <c r="D3949" s="32" t="s">
        <v>87</v>
      </c>
      <c r="E3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0" spans="1:6" x14ac:dyDescent="0.35">
      <c r="A3950" s="3">
        <v>23963775829</v>
      </c>
      <c r="B3950" s="3">
        <v>307</v>
      </c>
      <c r="C3950" s="32">
        <v>49255</v>
      </c>
      <c r="D3950" s="32"/>
      <c r="E3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1" spans="1:6" x14ac:dyDescent="0.35">
      <c r="A3951" s="3">
        <v>70529744093</v>
      </c>
      <c r="B3951" s="3">
        <v>257</v>
      </c>
      <c r="C3951" s="32">
        <v>49255</v>
      </c>
      <c r="D3951" s="32"/>
      <c r="E3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2" spans="1:6" x14ac:dyDescent="0.35">
      <c r="A3952" s="3">
        <v>18986497979</v>
      </c>
      <c r="B3952" s="3">
        <v>202</v>
      </c>
      <c r="C3952" s="32">
        <v>49255</v>
      </c>
      <c r="D3952" s="32" t="s">
        <v>87</v>
      </c>
      <c r="E3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3" spans="1:6" x14ac:dyDescent="0.35">
      <c r="A3953" s="3">
        <v>83307987628</v>
      </c>
      <c r="B3953" s="3">
        <v>197</v>
      </c>
      <c r="C3953" s="32">
        <v>49256</v>
      </c>
      <c r="D3953" s="32" t="s">
        <v>87</v>
      </c>
      <c r="E3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4" spans="1:6" x14ac:dyDescent="0.35">
      <c r="A3954" s="3">
        <v>74955025223</v>
      </c>
      <c r="B3954" s="3">
        <v>132</v>
      </c>
      <c r="C3954" s="32">
        <v>49256</v>
      </c>
      <c r="D3954" s="32">
        <v>49302</v>
      </c>
      <c r="E3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55" spans="1:6" x14ac:dyDescent="0.35">
      <c r="A3955" s="3">
        <v>57200473598</v>
      </c>
      <c r="B3955" s="3">
        <v>173</v>
      </c>
      <c r="C3955" s="32">
        <v>49256</v>
      </c>
      <c r="D3955" s="32">
        <v>49293</v>
      </c>
      <c r="E3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56" spans="1:6" x14ac:dyDescent="0.35">
      <c r="A3956" s="3">
        <v>15069494571</v>
      </c>
      <c r="B3956" s="3">
        <v>136</v>
      </c>
      <c r="C3956" s="32">
        <v>49256</v>
      </c>
      <c r="D3956" s="32">
        <v>49339</v>
      </c>
      <c r="E3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57" spans="1:6" x14ac:dyDescent="0.35">
      <c r="A3957" s="3">
        <v>57919193352</v>
      </c>
      <c r="B3957" s="3">
        <v>25</v>
      </c>
      <c r="C3957" s="32">
        <v>49256</v>
      </c>
      <c r="D3957" s="32"/>
      <c r="E3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8" spans="1:6" x14ac:dyDescent="0.35">
      <c r="A3958" s="3">
        <v>21474586374</v>
      </c>
      <c r="B3958" s="3">
        <v>11</v>
      </c>
      <c r="C3958" s="32">
        <v>49256</v>
      </c>
      <c r="D3958" s="32" t="s">
        <v>87</v>
      </c>
      <c r="E3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9" spans="1:6" x14ac:dyDescent="0.35">
      <c r="A3959" s="3">
        <v>42142804779</v>
      </c>
      <c r="B3959" s="3">
        <v>87</v>
      </c>
      <c r="C3959" s="32">
        <v>49256</v>
      </c>
      <c r="D3959" s="32">
        <v>49268</v>
      </c>
      <c r="E3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60" spans="1:6" x14ac:dyDescent="0.35">
      <c r="A3960" s="3">
        <v>31711479332</v>
      </c>
      <c r="B3960" s="3">
        <v>66</v>
      </c>
      <c r="C3960" s="32">
        <v>49256</v>
      </c>
      <c r="D3960" s="32" t="s">
        <v>87</v>
      </c>
      <c r="E3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1" spans="1:6" x14ac:dyDescent="0.35">
      <c r="A3961" s="3">
        <v>54987182870</v>
      </c>
      <c r="B3961" s="3">
        <v>129</v>
      </c>
      <c r="C3961" s="32">
        <v>49256</v>
      </c>
      <c r="D3961" s="32" t="s">
        <v>87</v>
      </c>
      <c r="E3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2" spans="1:6" x14ac:dyDescent="0.35">
      <c r="A3962" s="3">
        <v>45178526704</v>
      </c>
      <c r="B3962" s="3">
        <v>60</v>
      </c>
      <c r="C3962" s="32">
        <v>49256</v>
      </c>
      <c r="D3962" s="32" t="s">
        <v>87</v>
      </c>
      <c r="E3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3" spans="1:6" x14ac:dyDescent="0.35">
      <c r="A3963" s="3">
        <v>29980664418</v>
      </c>
      <c r="B3963" s="3">
        <v>201</v>
      </c>
      <c r="C3963" s="32">
        <v>49256</v>
      </c>
      <c r="D3963" s="32" t="s">
        <v>87</v>
      </c>
      <c r="E3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4" spans="1:6" x14ac:dyDescent="0.35">
      <c r="A3964" s="3">
        <v>80974750061</v>
      </c>
      <c r="B3964" s="3">
        <v>302</v>
      </c>
      <c r="C3964" s="32">
        <v>49256</v>
      </c>
      <c r="D3964" s="32" t="s">
        <v>87</v>
      </c>
      <c r="E3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5" spans="1:6" x14ac:dyDescent="0.35">
      <c r="A3965" s="3">
        <v>37802804867</v>
      </c>
      <c r="B3965" s="3">
        <v>305</v>
      </c>
      <c r="C3965" s="32">
        <v>49256</v>
      </c>
      <c r="D3965" s="32" t="s">
        <v>87</v>
      </c>
      <c r="E3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6" spans="1:6" x14ac:dyDescent="0.35">
      <c r="A3966" s="3">
        <v>82255561143</v>
      </c>
      <c r="B3966" s="3">
        <v>215</v>
      </c>
      <c r="C3966" s="32">
        <v>49256</v>
      </c>
      <c r="D3966" s="32" t="s">
        <v>87</v>
      </c>
      <c r="E3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7" spans="1:6" x14ac:dyDescent="0.35">
      <c r="A3967" s="3">
        <v>76122268021</v>
      </c>
      <c r="B3967" s="3">
        <v>229</v>
      </c>
      <c r="C3967" s="32">
        <v>49256</v>
      </c>
      <c r="D3967" s="32" t="s">
        <v>87</v>
      </c>
      <c r="E3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8" spans="1:6" x14ac:dyDescent="0.35">
      <c r="A3968" s="3">
        <v>81260954979</v>
      </c>
      <c r="B3968" s="3">
        <v>202</v>
      </c>
      <c r="C3968" s="32">
        <v>49256</v>
      </c>
      <c r="D3968" s="32">
        <v>49308</v>
      </c>
      <c r="E3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69" spans="1:6" x14ac:dyDescent="0.35">
      <c r="A3969" s="3">
        <v>12148870867</v>
      </c>
      <c r="B3969" s="3">
        <v>33</v>
      </c>
      <c r="C3969" s="32">
        <v>49256</v>
      </c>
      <c r="D3969" s="32" t="s">
        <v>87</v>
      </c>
      <c r="E3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0" spans="1:6" x14ac:dyDescent="0.35">
      <c r="A3970" s="3">
        <v>26174536206</v>
      </c>
      <c r="B3970" s="3">
        <v>336</v>
      </c>
      <c r="C3970" s="32">
        <v>49256</v>
      </c>
      <c r="D3970" s="32">
        <v>49290</v>
      </c>
      <c r="E3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71" spans="1:6" x14ac:dyDescent="0.35">
      <c r="A3971" s="3">
        <v>37182409851</v>
      </c>
      <c r="B3971" s="3">
        <v>232</v>
      </c>
      <c r="C3971" s="32">
        <v>49256</v>
      </c>
      <c r="D3971" s="32">
        <v>49305</v>
      </c>
      <c r="E3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72" spans="1:6" x14ac:dyDescent="0.35">
      <c r="A3972" s="3">
        <v>15626844095</v>
      </c>
      <c r="B3972" s="3">
        <v>69</v>
      </c>
      <c r="C3972" s="32">
        <v>49256</v>
      </c>
      <c r="D3972" s="32"/>
      <c r="E3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3" spans="1:6" x14ac:dyDescent="0.35">
      <c r="A3973" s="3">
        <v>89152148352</v>
      </c>
      <c r="B3973" s="3">
        <v>327</v>
      </c>
      <c r="C3973" s="32">
        <v>49256</v>
      </c>
      <c r="D3973" s="32">
        <v>49325</v>
      </c>
      <c r="E3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74" spans="1:6" x14ac:dyDescent="0.35">
      <c r="A3974" s="3">
        <v>18147186615</v>
      </c>
      <c r="B3974" s="3">
        <v>124</v>
      </c>
      <c r="C3974" s="32">
        <v>49256</v>
      </c>
      <c r="D3974" s="32" t="s">
        <v>87</v>
      </c>
      <c r="E3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5" spans="1:6" x14ac:dyDescent="0.35">
      <c r="A3975" s="3">
        <v>11229144291</v>
      </c>
      <c r="B3975" s="3">
        <v>192</v>
      </c>
      <c r="C3975" s="32">
        <v>49256</v>
      </c>
      <c r="D3975" s="32" t="s">
        <v>87</v>
      </c>
      <c r="E3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6" spans="1:6" x14ac:dyDescent="0.35">
      <c r="A3976" s="3">
        <v>62390546236</v>
      </c>
      <c r="B3976" s="3">
        <v>170</v>
      </c>
      <c r="C3976" s="32">
        <v>49256</v>
      </c>
      <c r="D3976" s="32" t="s">
        <v>87</v>
      </c>
      <c r="E3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7" spans="1:6" x14ac:dyDescent="0.35">
      <c r="A3977" s="3">
        <v>76713057313</v>
      </c>
      <c r="B3977" s="3">
        <v>326</v>
      </c>
      <c r="C3977" s="32">
        <v>49256</v>
      </c>
      <c r="D3977" s="32" t="s">
        <v>87</v>
      </c>
      <c r="E3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8" spans="1:6" x14ac:dyDescent="0.35">
      <c r="A3978" s="3">
        <v>14573751143</v>
      </c>
      <c r="B3978" s="3">
        <v>153</v>
      </c>
      <c r="C3978" s="32">
        <v>49256</v>
      </c>
      <c r="D3978" s="32">
        <v>49314</v>
      </c>
      <c r="E3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79" spans="1:6" x14ac:dyDescent="0.35">
      <c r="A3979" s="3">
        <v>63622225922</v>
      </c>
      <c r="B3979" s="3">
        <v>281</v>
      </c>
      <c r="C3979" s="32">
        <v>49256</v>
      </c>
      <c r="D3979" s="32" t="s">
        <v>87</v>
      </c>
      <c r="E3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0" spans="1:6" x14ac:dyDescent="0.35">
      <c r="A3980" s="3">
        <v>57221242212</v>
      </c>
      <c r="B3980" s="3">
        <v>61</v>
      </c>
      <c r="C3980" s="32">
        <v>49256</v>
      </c>
      <c r="D3980" s="32" t="s">
        <v>87</v>
      </c>
      <c r="E3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1" spans="1:6" x14ac:dyDescent="0.35">
      <c r="A3981" s="3">
        <v>88359318823</v>
      </c>
      <c r="B3981" s="3">
        <v>70</v>
      </c>
      <c r="C3981" s="32">
        <v>49256</v>
      </c>
      <c r="D3981" s="32" t="s">
        <v>87</v>
      </c>
      <c r="E3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2" spans="1:6" x14ac:dyDescent="0.35">
      <c r="A3982" s="3">
        <v>61779693557</v>
      </c>
      <c r="B3982" s="3">
        <v>227</v>
      </c>
      <c r="C3982" s="32">
        <v>49256</v>
      </c>
      <c r="D3982" s="32" t="s">
        <v>87</v>
      </c>
      <c r="E3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3" spans="1:6" x14ac:dyDescent="0.35">
      <c r="A3983" s="3">
        <v>92641164721</v>
      </c>
      <c r="B3983" s="3">
        <v>177</v>
      </c>
      <c r="C3983" s="32">
        <v>49256</v>
      </c>
      <c r="D3983" s="32" t="s">
        <v>87</v>
      </c>
      <c r="E3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4" spans="1:6" x14ac:dyDescent="0.35">
      <c r="A3984" s="3">
        <v>86870957496</v>
      </c>
      <c r="B3984" s="3">
        <v>287</v>
      </c>
      <c r="C3984" s="32">
        <v>49256</v>
      </c>
      <c r="D3984" s="32"/>
      <c r="E3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5" spans="1:6" x14ac:dyDescent="0.35">
      <c r="A3985" s="3">
        <v>61101310262</v>
      </c>
      <c r="B3985" s="3">
        <v>130</v>
      </c>
      <c r="C3985" s="32">
        <v>49256</v>
      </c>
      <c r="D3985" s="32" t="s">
        <v>87</v>
      </c>
      <c r="E3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6" spans="1:6" x14ac:dyDescent="0.35">
      <c r="A3986" s="3">
        <v>39695531837</v>
      </c>
      <c r="B3986" s="3">
        <v>150</v>
      </c>
      <c r="C3986" s="32">
        <v>49256</v>
      </c>
      <c r="D3986" s="32" t="s">
        <v>87</v>
      </c>
      <c r="E3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7" spans="1:6" x14ac:dyDescent="0.35">
      <c r="A3987" s="3">
        <v>61010450180</v>
      </c>
      <c r="B3987" s="3">
        <v>292</v>
      </c>
      <c r="C3987" s="32">
        <v>49257</v>
      </c>
      <c r="D3987" s="32" t="s">
        <v>87</v>
      </c>
      <c r="E3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8" spans="1:6" x14ac:dyDescent="0.35">
      <c r="A3988" s="3">
        <v>61905971105</v>
      </c>
      <c r="B3988" s="3">
        <v>278</v>
      </c>
      <c r="C3988" s="32">
        <v>49257</v>
      </c>
      <c r="D3988" s="32"/>
      <c r="E3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9" spans="1:6" x14ac:dyDescent="0.35">
      <c r="A3989" s="3">
        <v>75898149397</v>
      </c>
      <c r="B3989" s="3">
        <v>193</v>
      </c>
      <c r="C3989" s="32">
        <v>49257</v>
      </c>
      <c r="D3989" s="32" t="s">
        <v>87</v>
      </c>
      <c r="E3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0" spans="1:6" x14ac:dyDescent="0.35">
      <c r="A3990" s="3">
        <v>42190018356</v>
      </c>
      <c r="B3990" s="3">
        <v>168</v>
      </c>
      <c r="C3990" s="32">
        <v>49257</v>
      </c>
      <c r="D3990" s="32" t="s">
        <v>87</v>
      </c>
      <c r="E3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1" spans="1:6" x14ac:dyDescent="0.35">
      <c r="A3991" s="3">
        <v>94225887736</v>
      </c>
      <c r="B3991" s="3">
        <v>337</v>
      </c>
      <c r="C3991" s="32">
        <v>49257</v>
      </c>
      <c r="D3991" s="32">
        <v>49315</v>
      </c>
      <c r="E3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92" spans="1:6" x14ac:dyDescent="0.35">
      <c r="A3992" s="3">
        <v>31677466991</v>
      </c>
      <c r="B3992" s="3">
        <v>132</v>
      </c>
      <c r="C3992" s="32">
        <v>49257</v>
      </c>
      <c r="D3992" s="32" t="s">
        <v>87</v>
      </c>
      <c r="E3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3" spans="1:6" x14ac:dyDescent="0.35">
      <c r="A3993" s="3">
        <v>39308488120</v>
      </c>
      <c r="B3993" s="3">
        <v>239</v>
      </c>
      <c r="C3993" s="32">
        <v>49257</v>
      </c>
      <c r="D3993" s="32" t="s">
        <v>87</v>
      </c>
      <c r="E3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4" spans="1:6" x14ac:dyDescent="0.35">
      <c r="A3994" s="3">
        <v>96372203090</v>
      </c>
      <c r="B3994" s="3">
        <v>23</v>
      </c>
      <c r="C3994" s="32">
        <v>49257</v>
      </c>
      <c r="D3994" s="32" t="s">
        <v>87</v>
      </c>
      <c r="E3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5" spans="1:6" x14ac:dyDescent="0.35">
      <c r="A3995" s="3">
        <v>71478085824</v>
      </c>
      <c r="B3995" s="3">
        <v>251</v>
      </c>
      <c r="C3995" s="32">
        <v>49257</v>
      </c>
      <c r="D3995" s="32" t="s">
        <v>87</v>
      </c>
      <c r="E3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6" spans="1:6" x14ac:dyDescent="0.35">
      <c r="A3996" s="3">
        <v>93711123446</v>
      </c>
      <c r="B3996" s="3">
        <v>63</v>
      </c>
      <c r="C3996" s="32">
        <v>49257</v>
      </c>
      <c r="D3996" s="32" t="s">
        <v>87</v>
      </c>
      <c r="E3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7" spans="1:6" x14ac:dyDescent="0.35">
      <c r="A3997" s="3">
        <v>62924783085</v>
      </c>
      <c r="B3997" s="3">
        <v>293</v>
      </c>
      <c r="C3997" s="32">
        <v>49257</v>
      </c>
      <c r="D3997" s="32" t="s">
        <v>87</v>
      </c>
      <c r="E3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8" spans="1:6" x14ac:dyDescent="0.35">
      <c r="A3998" s="3">
        <v>40799041043</v>
      </c>
      <c r="B3998" s="3">
        <v>165</v>
      </c>
      <c r="C3998" s="32">
        <v>49257</v>
      </c>
      <c r="D3998" s="32" t="s">
        <v>87</v>
      </c>
      <c r="E3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9" spans="1:6" x14ac:dyDescent="0.35">
      <c r="A3999" s="3">
        <v>70445595826</v>
      </c>
      <c r="B3999" s="3">
        <v>143</v>
      </c>
      <c r="C3999" s="32">
        <v>49257</v>
      </c>
      <c r="D3999" s="32" t="s">
        <v>87</v>
      </c>
      <c r="E3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0" spans="1:6" x14ac:dyDescent="0.35">
      <c r="A4000" s="3">
        <v>56938162943</v>
      </c>
      <c r="B4000" s="3">
        <v>200</v>
      </c>
      <c r="C4000" s="32">
        <v>49257</v>
      </c>
      <c r="D4000" s="32" t="s">
        <v>87</v>
      </c>
      <c r="E4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1" spans="1:6" x14ac:dyDescent="0.35">
      <c r="A4001" s="3">
        <v>25188148464</v>
      </c>
      <c r="B4001" s="3">
        <v>167</v>
      </c>
      <c r="C4001" s="32">
        <v>49257</v>
      </c>
      <c r="D4001" s="32" t="s">
        <v>87</v>
      </c>
      <c r="E4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2" spans="1:6" x14ac:dyDescent="0.35">
      <c r="A4002" s="3">
        <v>48834921734</v>
      </c>
      <c r="B4002" s="3">
        <v>129</v>
      </c>
      <c r="C4002" s="32">
        <v>49257</v>
      </c>
      <c r="D4002" s="32">
        <v>49314</v>
      </c>
      <c r="E4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03" spans="1:6" x14ac:dyDescent="0.35">
      <c r="A4003" s="3">
        <v>81805794905</v>
      </c>
      <c r="B4003" s="3">
        <v>7</v>
      </c>
      <c r="C4003" s="32">
        <v>49257</v>
      </c>
      <c r="D4003" s="32"/>
      <c r="E4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4" spans="1:6" x14ac:dyDescent="0.35">
      <c r="A4004" s="3">
        <v>84702259066</v>
      </c>
      <c r="B4004" s="3">
        <v>78</v>
      </c>
      <c r="C4004" s="32">
        <v>49257</v>
      </c>
      <c r="D4004" s="32" t="s">
        <v>87</v>
      </c>
      <c r="E4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5" spans="1:6" x14ac:dyDescent="0.35">
      <c r="A4005" s="3">
        <v>68088856820</v>
      </c>
      <c r="B4005" s="3">
        <v>195</v>
      </c>
      <c r="C4005" s="32">
        <v>49257</v>
      </c>
      <c r="D4005" s="32" t="s">
        <v>87</v>
      </c>
      <c r="E4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6" spans="1:6" x14ac:dyDescent="0.35">
      <c r="A4006" s="3">
        <v>61354385873</v>
      </c>
      <c r="B4006" s="3">
        <v>119</v>
      </c>
      <c r="C4006" s="32">
        <v>49258</v>
      </c>
      <c r="D4006" s="32">
        <v>49296</v>
      </c>
      <c r="E4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07" spans="1:6" x14ac:dyDescent="0.35">
      <c r="A4007" s="3">
        <v>85355237694</v>
      </c>
      <c r="B4007" s="3">
        <v>168</v>
      </c>
      <c r="C4007" s="32">
        <v>49258</v>
      </c>
      <c r="D4007" s="32" t="s">
        <v>87</v>
      </c>
      <c r="E4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8" spans="1:6" x14ac:dyDescent="0.35">
      <c r="A4008" s="3">
        <v>59458673745</v>
      </c>
      <c r="B4008" s="3">
        <v>69</v>
      </c>
      <c r="C4008" s="32">
        <v>49258</v>
      </c>
      <c r="D4008" s="32"/>
      <c r="E4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9" spans="1:6" x14ac:dyDescent="0.35">
      <c r="A4009" s="3">
        <v>33129629453</v>
      </c>
      <c r="B4009" s="3">
        <v>262</v>
      </c>
      <c r="C4009" s="32">
        <v>49258</v>
      </c>
      <c r="D4009" s="32" t="s">
        <v>87</v>
      </c>
      <c r="E4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0" spans="1:6" x14ac:dyDescent="0.35">
      <c r="A4010" s="3">
        <v>77112101683</v>
      </c>
      <c r="B4010" s="3">
        <v>64</v>
      </c>
      <c r="C4010" s="32">
        <v>49258</v>
      </c>
      <c r="D4010" s="32" t="s">
        <v>87</v>
      </c>
      <c r="E4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1" spans="1:6" x14ac:dyDescent="0.35">
      <c r="A4011" s="3">
        <v>64640752944</v>
      </c>
      <c r="B4011" s="3">
        <v>234</v>
      </c>
      <c r="C4011" s="32">
        <v>49258</v>
      </c>
      <c r="D4011" s="32" t="s">
        <v>87</v>
      </c>
      <c r="E4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2" spans="1:6" x14ac:dyDescent="0.35">
      <c r="A4012" s="3">
        <v>65628961403</v>
      </c>
      <c r="B4012" s="3">
        <v>31</v>
      </c>
      <c r="C4012" s="32">
        <v>49258</v>
      </c>
      <c r="D4012" s="32" t="s">
        <v>87</v>
      </c>
      <c r="E4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3" spans="1:6" x14ac:dyDescent="0.35">
      <c r="A4013" s="3">
        <v>86556968227</v>
      </c>
      <c r="B4013" s="3">
        <v>248</v>
      </c>
      <c r="C4013" s="32">
        <v>49258</v>
      </c>
      <c r="D4013" s="32" t="s">
        <v>87</v>
      </c>
      <c r="E4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4" spans="1:6" x14ac:dyDescent="0.35">
      <c r="A4014" s="3">
        <v>72389496501</v>
      </c>
      <c r="B4014" s="3">
        <v>22</v>
      </c>
      <c r="C4014" s="32">
        <v>49258</v>
      </c>
      <c r="D4014" s="32" t="s">
        <v>87</v>
      </c>
      <c r="E4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5" spans="1:6" x14ac:dyDescent="0.35">
      <c r="A4015" s="3">
        <v>40531265159</v>
      </c>
      <c r="B4015" s="3">
        <v>4</v>
      </c>
      <c r="C4015" s="32">
        <v>49258</v>
      </c>
      <c r="D4015" s="32" t="s">
        <v>87</v>
      </c>
      <c r="E4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6" spans="1:6" x14ac:dyDescent="0.35">
      <c r="A4016" s="3">
        <v>93183639826</v>
      </c>
      <c r="B4016" s="3">
        <v>177</v>
      </c>
      <c r="C4016" s="32">
        <v>49258</v>
      </c>
      <c r="D4016" s="32" t="s">
        <v>87</v>
      </c>
      <c r="E4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7" spans="1:6" x14ac:dyDescent="0.35">
      <c r="A4017" s="3">
        <v>11955524165</v>
      </c>
      <c r="B4017" s="3">
        <v>243</v>
      </c>
      <c r="C4017" s="32">
        <v>49258</v>
      </c>
      <c r="D4017" s="32">
        <v>49330</v>
      </c>
      <c r="E4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18" spans="1:6" x14ac:dyDescent="0.35">
      <c r="A4018" s="3">
        <v>29036022811</v>
      </c>
      <c r="B4018" s="3">
        <v>248</v>
      </c>
      <c r="C4018" s="32">
        <v>49258</v>
      </c>
      <c r="D4018" s="32"/>
      <c r="E4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9" spans="1:6" x14ac:dyDescent="0.35">
      <c r="A4019" s="3">
        <v>51993170769</v>
      </c>
      <c r="B4019" s="3">
        <v>154</v>
      </c>
      <c r="C4019" s="32">
        <v>49258</v>
      </c>
      <c r="D4019" s="32"/>
      <c r="E4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0" spans="1:6" x14ac:dyDescent="0.35">
      <c r="A4020" s="3">
        <v>80983762116</v>
      </c>
      <c r="B4020" s="3">
        <v>92</v>
      </c>
      <c r="C4020" s="32">
        <v>49258</v>
      </c>
      <c r="D4020" s="32" t="s">
        <v>87</v>
      </c>
      <c r="E4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1" spans="1:6" x14ac:dyDescent="0.35">
      <c r="A4021" s="3">
        <v>34898943953</v>
      </c>
      <c r="B4021" s="3">
        <v>204</v>
      </c>
      <c r="C4021" s="32">
        <v>49258</v>
      </c>
      <c r="D4021" s="32" t="s">
        <v>87</v>
      </c>
      <c r="E4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2" spans="1:6" x14ac:dyDescent="0.35">
      <c r="A4022" s="3">
        <v>60516447993</v>
      </c>
      <c r="B4022" s="3">
        <v>250</v>
      </c>
      <c r="C4022" s="32">
        <v>49258</v>
      </c>
      <c r="D4022" s="32" t="s">
        <v>87</v>
      </c>
      <c r="E4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3" spans="1:6" x14ac:dyDescent="0.35">
      <c r="A4023" s="3">
        <v>65644830028</v>
      </c>
      <c r="B4023" s="3">
        <v>139</v>
      </c>
      <c r="C4023" s="32">
        <v>49258</v>
      </c>
      <c r="D4023" s="32" t="s">
        <v>87</v>
      </c>
      <c r="E4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4" spans="1:6" x14ac:dyDescent="0.35">
      <c r="A4024" s="3">
        <v>40729688048</v>
      </c>
      <c r="B4024" s="3">
        <v>238</v>
      </c>
      <c r="C4024" s="32">
        <v>49258</v>
      </c>
      <c r="D4024" s="32" t="s">
        <v>87</v>
      </c>
      <c r="E4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5" spans="1:6" x14ac:dyDescent="0.35">
      <c r="A4025" s="3">
        <v>72591538768</v>
      </c>
      <c r="B4025" s="3">
        <v>28</v>
      </c>
      <c r="C4025" s="32">
        <v>49258</v>
      </c>
      <c r="D4025" s="32"/>
      <c r="E4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6" spans="1:6" x14ac:dyDescent="0.35">
      <c r="A4026" s="3">
        <v>60430817681</v>
      </c>
      <c r="B4026" s="3">
        <v>81</v>
      </c>
      <c r="C4026" s="32">
        <v>49258</v>
      </c>
      <c r="D4026" s="32" t="s">
        <v>87</v>
      </c>
      <c r="E4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7" spans="1:6" x14ac:dyDescent="0.35">
      <c r="A4027" s="3">
        <v>65172109327</v>
      </c>
      <c r="B4027" s="3">
        <v>167</v>
      </c>
      <c r="C4027" s="32">
        <v>49258</v>
      </c>
      <c r="D4027" s="32" t="s">
        <v>87</v>
      </c>
      <c r="E4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8" spans="1:6" x14ac:dyDescent="0.35">
      <c r="A4028" s="3">
        <v>91612516747</v>
      </c>
      <c r="B4028" s="3">
        <v>267</v>
      </c>
      <c r="C4028" s="32">
        <v>49259</v>
      </c>
      <c r="D4028" s="32" t="s">
        <v>87</v>
      </c>
      <c r="E4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9" spans="1:6" x14ac:dyDescent="0.35">
      <c r="A4029" s="3">
        <v>42819570826</v>
      </c>
      <c r="B4029" s="3">
        <v>290</v>
      </c>
      <c r="C4029" s="32">
        <v>49259</v>
      </c>
      <c r="D4029" s="32" t="s">
        <v>87</v>
      </c>
      <c r="E4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0" spans="1:6" x14ac:dyDescent="0.35">
      <c r="A4030" s="3">
        <v>75330527528</v>
      </c>
      <c r="B4030" s="3">
        <v>206</v>
      </c>
      <c r="C4030" s="32">
        <v>49259</v>
      </c>
      <c r="D4030" s="32" t="s">
        <v>87</v>
      </c>
      <c r="E4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1" spans="1:6" x14ac:dyDescent="0.35">
      <c r="A4031" s="3">
        <v>69128786409</v>
      </c>
      <c r="B4031" s="3">
        <v>98</v>
      </c>
      <c r="C4031" s="32">
        <v>49259</v>
      </c>
      <c r="D4031" s="32" t="s">
        <v>87</v>
      </c>
      <c r="E4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2" spans="1:6" x14ac:dyDescent="0.35">
      <c r="A4032" s="3">
        <v>70846766702</v>
      </c>
      <c r="B4032" s="3">
        <v>19</v>
      </c>
      <c r="C4032" s="32">
        <v>49259</v>
      </c>
      <c r="D4032" s="32">
        <v>49300</v>
      </c>
      <c r="E4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33" spans="1:6" x14ac:dyDescent="0.35">
      <c r="A4033" s="3">
        <v>63920668560</v>
      </c>
      <c r="B4033" s="3">
        <v>168</v>
      </c>
      <c r="C4033" s="32">
        <v>49259</v>
      </c>
      <c r="D4033" s="32" t="s">
        <v>87</v>
      </c>
      <c r="E4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4" spans="1:6" x14ac:dyDescent="0.35">
      <c r="A4034" s="3">
        <v>74961473460</v>
      </c>
      <c r="B4034" s="3">
        <v>255</v>
      </c>
      <c r="C4034" s="32">
        <v>49259</v>
      </c>
      <c r="D4034" s="32" t="s">
        <v>87</v>
      </c>
      <c r="E4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5" spans="1:6" x14ac:dyDescent="0.35">
      <c r="A4035" s="3">
        <v>46926771084</v>
      </c>
      <c r="B4035" s="3">
        <v>155</v>
      </c>
      <c r="C4035" s="32">
        <v>49259</v>
      </c>
      <c r="D4035" s="32"/>
      <c r="E4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6" spans="1:6" x14ac:dyDescent="0.35">
      <c r="A4036" s="3">
        <v>56199565681</v>
      </c>
      <c r="B4036" s="3">
        <v>96</v>
      </c>
      <c r="C4036" s="32">
        <v>49259</v>
      </c>
      <c r="D4036" s="32" t="s">
        <v>87</v>
      </c>
      <c r="E4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7" spans="1:6" x14ac:dyDescent="0.35">
      <c r="A4037" s="3">
        <v>12848592963</v>
      </c>
      <c r="B4037" s="3">
        <v>340</v>
      </c>
      <c r="C4037" s="32">
        <v>49259</v>
      </c>
      <c r="D4037" s="32">
        <v>49293</v>
      </c>
      <c r="E4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38" spans="1:6" x14ac:dyDescent="0.35">
      <c r="A4038" s="3">
        <v>44706402754</v>
      </c>
      <c r="B4038" s="3">
        <v>15</v>
      </c>
      <c r="C4038" s="32">
        <v>49259</v>
      </c>
      <c r="D4038" s="32">
        <v>49274</v>
      </c>
      <c r="E4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39" spans="1:6" x14ac:dyDescent="0.35">
      <c r="A4039" s="3">
        <v>90190384459</v>
      </c>
      <c r="B4039" s="3">
        <v>336</v>
      </c>
      <c r="C4039" s="32">
        <v>49259</v>
      </c>
      <c r="D4039" s="32" t="s">
        <v>87</v>
      </c>
      <c r="E4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0" spans="1:6" x14ac:dyDescent="0.35">
      <c r="A4040" s="3">
        <v>94799333602</v>
      </c>
      <c r="B4040" s="3">
        <v>291</v>
      </c>
      <c r="C4040" s="32">
        <v>49259</v>
      </c>
      <c r="D4040" s="32" t="s">
        <v>87</v>
      </c>
      <c r="E4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1" spans="1:6" x14ac:dyDescent="0.35">
      <c r="A4041" s="3">
        <v>58065742182</v>
      </c>
      <c r="B4041" s="3">
        <v>55</v>
      </c>
      <c r="C4041" s="32">
        <v>49259</v>
      </c>
      <c r="D4041" s="32" t="s">
        <v>87</v>
      </c>
      <c r="E4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2" spans="1:6" x14ac:dyDescent="0.35">
      <c r="A4042" s="3">
        <v>78536763792</v>
      </c>
      <c r="B4042" s="3">
        <v>188</v>
      </c>
      <c r="C4042" s="32">
        <v>49259</v>
      </c>
      <c r="D4042" s="32" t="s">
        <v>87</v>
      </c>
      <c r="E4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3" spans="1:6" x14ac:dyDescent="0.35">
      <c r="A4043" s="3">
        <v>96733658890</v>
      </c>
      <c r="B4043" s="3">
        <v>233</v>
      </c>
      <c r="C4043" s="32">
        <v>49259</v>
      </c>
      <c r="D4043" s="32" t="s">
        <v>87</v>
      </c>
      <c r="E4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4" spans="1:6" x14ac:dyDescent="0.35">
      <c r="A4044" s="3">
        <v>75502072394</v>
      </c>
      <c r="B4044" s="3">
        <v>310</v>
      </c>
      <c r="C4044" s="32">
        <v>49259</v>
      </c>
      <c r="D4044" s="32" t="s">
        <v>87</v>
      </c>
      <c r="E4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5" spans="1:6" x14ac:dyDescent="0.35">
      <c r="A4045" s="3">
        <v>39404893230</v>
      </c>
      <c r="B4045" s="3">
        <v>36</v>
      </c>
      <c r="C4045" s="32">
        <v>49259</v>
      </c>
      <c r="D4045" s="32" t="s">
        <v>87</v>
      </c>
      <c r="E4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6" spans="1:6" x14ac:dyDescent="0.35">
      <c r="A4046" s="3">
        <v>84638184762</v>
      </c>
      <c r="B4046" s="3">
        <v>80</v>
      </c>
      <c r="C4046" s="32">
        <v>49259</v>
      </c>
      <c r="D4046" s="32" t="s">
        <v>87</v>
      </c>
      <c r="E4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7" spans="1:6" x14ac:dyDescent="0.35">
      <c r="A4047" s="3">
        <v>41436311721</v>
      </c>
      <c r="B4047" s="3">
        <v>115</v>
      </c>
      <c r="C4047" s="32">
        <v>49259</v>
      </c>
      <c r="D4047" s="32">
        <v>49313</v>
      </c>
      <c r="E4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48" spans="1:6" x14ac:dyDescent="0.35">
      <c r="A4048" s="3">
        <v>65645562296</v>
      </c>
      <c r="B4048" s="3">
        <v>55</v>
      </c>
      <c r="C4048" s="32">
        <v>49259</v>
      </c>
      <c r="D4048" s="32" t="s">
        <v>87</v>
      </c>
      <c r="E4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9" spans="1:6" x14ac:dyDescent="0.35">
      <c r="A4049" s="3">
        <v>35033453653</v>
      </c>
      <c r="B4049" s="3">
        <v>275</v>
      </c>
      <c r="C4049" s="32">
        <v>49259</v>
      </c>
      <c r="D4049" s="32" t="s">
        <v>87</v>
      </c>
      <c r="E4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0" spans="1:6" x14ac:dyDescent="0.35">
      <c r="A4050" s="3">
        <v>41417133988</v>
      </c>
      <c r="B4050" s="3">
        <v>187</v>
      </c>
      <c r="C4050" s="32">
        <v>49259</v>
      </c>
      <c r="D4050" s="32"/>
      <c r="E4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1" spans="1:6" x14ac:dyDescent="0.35">
      <c r="A4051" s="3">
        <v>76096733258</v>
      </c>
      <c r="B4051" s="3">
        <v>185</v>
      </c>
      <c r="C4051" s="32">
        <v>49259</v>
      </c>
      <c r="D4051" s="32">
        <v>49319</v>
      </c>
      <c r="E4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52" spans="1:6" x14ac:dyDescent="0.35">
      <c r="A4052" s="3">
        <v>97825270334</v>
      </c>
      <c r="B4052" s="3">
        <v>47</v>
      </c>
      <c r="C4052" s="32">
        <v>49259</v>
      </c>
      <c r="D4052" s="32" t="s">
        <v>87</v>
      </c>
      <c r="E4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3" spans="1:6" x14ac:dyDescent="0.35">
      <c r="A4053" s="3">
        <v>65810738510</v>
      </c>
      <c r="B4053" s="3">
        <v>295</v>
      </c>
      <c r="C4053" s="32">
        <v>49259</v>
      </c>
      <c r="D4053" s="32">
        <v>49259</v>
      </c>
      <c r="E4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54" spans="1:6" x14ac:dyDescent="0.35">
      <c r="A4054" s="3">
        <v>52661356069</v>
      </c>
      <c r="B4054" s="3">
        <v>45</v>
      </c>
      <c r="C4054" s="32">
        <v>49259</v>
      </c>
      <c r="D4054" s="32"/>
      <c r="E4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5" spans="1:6" x14ac:dyDescent="0.35">
      <c r="A4055" s="3">
        <v>66681802966</v>
      </c>
      <c r="B4055" s="3">
        <v>173</v>
      </c>
      <c r="C4055" s="32">
        <v>49259</v>
      </c>
      <c r="D4055" s="32" t="s">
        <v>87</v>
      </c>
      <c r="E4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6" spans="1:6" x14ac:dyDescent="0.35">
      <c r="A4056" s="3">
        <v>95022698798</v>
      </c>
      <c r="B4056" s="3">
        <v>174</v>
      </c>
      <c r="C4056" s="32">
        <v>49259</v>
      </c>
      <c r="D4056" s="32" t="s">
        <v>87</v>
      </c>
      <c r="E4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7" spans="1:6" x14ac:dyDescent="0.35">
      <c r="A4057" s="3">
        <v>66564405396</v>
      </c>
      <c r="B4057" s="3">
        <v>87</v>
      </c>
      <c r="C4057" s="32">
        <v>49259</v>
      </c>
      <c r="D4057" s="32" t="s">
        <v>87</v>
      </c>
      <c r="E4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8" spans="1:6" x14ac:dyDescent="0.35">
      <c r="A4058" s="3">
        <v>88746101606</v>
      </c>
      <c r="B4058" s="3">
        <v>166</v>
      </c>
      <c r="C4058" s="32">
        <v>49260</v>
      </c>
      <c r="D4058" s="32">
        <v>49326</v>
      </c>
      <c r="E4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59" spans="1:6" x14ac:dyDescent="0.35">
      <c r="A4059" s="3">
        <v>40959634387</v>
      </c>
      <c r="B4059" s="3">
        <v>163</v>
      </c>
      <c r="C4059" s="32">
        <v>49260</v>
      </c>
      <c r="D4059" s="32" t="s">
        <v>87</v>
      </c>
      <c r="E4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0" spans="1:6" x14ac:dyDescent="0.35">
      <c r="A4060" s="3">
        <v>98075238859</v>
      </c>
      <c r="B4060" s="3">
        <v>256</v>
      </c>
      <c r="C4060" s="32">
        <v>49260</v>
      </c>
      <c r="D4060" s="32" t="s">
        <v>87</v>
      </c>
      <c r="E4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1" spans="1:6" x14ac:dyDescent="0.35">
      <c r="A4061" s="3">
        <v>68878855614</v>
      </c>
      <c r="B4061" s="3">
        <v>331</v>
      </c>
      <c r="C4061" s="32">
        <v>49260</v>
      </c>
      <c r="D4061" s="32">
        <v>49262</v>
      </c>
      <c r="E4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62" spans="1:6" x14ac:dyDescent="0.35">
      <c r="A4062" s="3">
        <v>44772920324</v>
      </c>
      <c r="B4062" s="3">
        <v>48</v>
      </c>
      <c r="C4062" s="32">
        <v>49260</v>
      </c>
      <c r="D4062" s="32" t="s">
        <v>87</v>
      </c>
      <c r="E4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3" spans="1:6" x14ac:dyDescent="0.35">
      <c r="A4063" s="3">
        <v>58545598079</v>
      </c>
      <c r="B4063" s="3">
        <v>326</v>
      </c>
      <c r="C4063" s="32">
        <v>49260</v>
      </c>
      <c r="D4063" s="32" t="s">
        <v>87</v>
      </c>
      <c r="E4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4" spans="1:6" x14ac:dyDescent="0.35">
      <c r="A4064" s="3">
        <v>47975120868</v>
      </c>
      <c r="B4064" s="3">
        <v>237</v>
      </c>
      <c r="C4064" s="32">
        <v>49260</v>
      </c>
      <c r="D4064" s="32" t="s">
        <v>87</v>
      </c>
      <c r="E4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5" spans="1:6" x14ac:dyDescent="0.35">
      <c r="A4065" s="3">
        <v>73570767619</v>
      </c>
      <c r="B4065" s="3">
        <v>24</v>
      </c>
      <c r="C4065" s="32">
        <v>49260</v>
      </c>
      <c r="D4065" s="32" t="s">
        <v>87</v>
      </c>
      <c r="E4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6" spans="1:6" x14ac:dyDescent="0.35">
      <c r="A4066" s="3">
        <v>78700098641</v>
      </c>
      <c r="B4066" s="3">
        <v>137</v>
      </c>
      <c r="C4066" s="32">
        <v>49260</v>
      </c>
      <c r="D4066" s="32" t="s">
        <v>87</v>
      </c>
      <c r="E4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7" spans="1:6" x14ac:dyDescent="0.35">
      <c r="A4067" s="3">
        <v>65889550514</v>
      </c>
      <c r="B4067" s="3">
        <v>311</v>
      </c>
      <c r="C4067" s="32">
        <v>49260</v>
      </c>
      <c r="D4067" s="32">
        <v>49283</v>
      </c>
      <c r="E4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68" spans="1:6" x14ac:dyDescent="0.35">
      <c r="A4068" s="3">
        <v>82350793950</v>
      </c>
      <c r="B4068" s="3">
        <v>86</v>
      </c>
      <c r="C4068" s="32">
        <v>49260</v>
      </c>
      <c r="D4068" s="32" t="s">
        <v>87</v>
      </c>
      <c r="E4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9" spans="1:6" x14ac:dyDescent="0.35">
      <c r="A4069" s="3">
        <v>59590460267</v>
      </c>
      <c r="B4069" s="3">
        <v>57</v>
      </c>
      <c r="C4069" s="32">
        <v>49260</v>
      </c>
      <c r="D4069" s="32" t="s">
        <v>87</v>
      </c>
      <c r="E4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0" spans="1:6" x14ac:dyDescent="0.35">
      <c r="A4070" s="3">
        <v>28297310528</v>
      </c>
      <c r="B4070" s="3">
        <v>311</v>
      </c>
      <c r="C4070" s="32">
        <v>49260</v>
      </c>
      <c r="D4070" s="32" t="s">
        <v>87</v>
      </c>
      <c r="E4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1" spans="1:6" x14ac:dyDescent="0.35">
      <c r="A4071" s="3">
        <v>28769576993</v>
      </c>
      <c r="B4071" s="3">
        <v>290</v>
      </c>
      <c r="C4071" s="32">
        <v>49260</v>
      </c>
      <c r="D4071" s="32" t="s">
        <v>87</v>
      </c>
      <c r="E4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2" spans="1:6" x14ac:dyDescent="0.35">
      <c r="A4072" s="3">
        <v>42546232682</v>
      </c>
      <c r="B4072" s="3">
        <v>74</v>
      </c>
      <c r="C4072" s="32">
        <v>49260</v>
      </c>
      <c r="D4072" s="32" t="s">
        <v>87</v>
      </c>
      <c r="E4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3" spans="1:6" x14ac:dyDescent="0.35">
      <c r="A4073" s="3">
        <v>31485202652</v>
      </c>
      <c r="B4073" s="3">
        <v>22</v>
      </c>
      <c r="C4073" s="32">
        <v>49260</v>
      </c>
      <c r="D4073" s="32">
        <v>49340</v>
      </c>
      <c r="E4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74" spans="1:6" x14ac:dyDescent="0.35">
      <c r="A4074" s="3">
        <v>18408025866</v>
      </c>
      <c r="B4074" s="3">
        <v>210</v>
      </c>
      <c r="C4074" s="32">
        <v>49260</v>
      </c>
      <c r="D4074" s="32" t="s">
        <v>87</v>
      </c>
      <c r="E4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5" spans="1:6" x14ac:dyDescent="0.35">
      <c r="A4075" s="3">
        <v>68377674220</v>
      </c>
      <c r="B4075" s="3">
        <v>17</v>
      </c>
      <c r="C4075" s="32">
        <v>49260</v>
      </c>
      <c r="D4075" s="32" t="s">
        <v>87</v>
      </c>
      <c r="E4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6" spans="1:6" x14ac:dyDescent="0.35">
      <c r="A4076" s="3">
        <v>55829663153</v>
      </c>
      <c r="B4076" s="3">
        <v>249</v>
      </c>
      <c r="C4076" s="32">
        <v>49260</v>
      </c>
      <c r="D4076" s="32" t="s">
        <v>87</v>
      </c>
      <c r="E4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7" spans="1:6" x14ac:dyDescent="0.35">
      <c r="A4077" s="3">
        <v>26907230947</v>
      </c>
      <c r="B4077" s="3">
        <v>128</v>
      </c>
      <c r="C4077" s="32">
        <v>49260</v>
      </c>
      <c r="D4077" s="32" t="s">
        <v>87</v>
      </c>
      <c r="E4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8" spans="1:6" x14ac:dyDescent="0.35">
      <c r="A4078" s="3">
        <v>62064798614</v>
      </c>
      <c r="B4078" s="3">
        <v>93</v>
      </c>
      <c r="C4078" s="32">
        <v>49260</v>
      </c>
      <c r="D4078" s="32" t="s">
        <v>87</v>
      </c>
      <c r="E4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9" spans="1:6" x14ac:dyDescent="0.35">
      <c r="A4079" s="3">
        <v>27907004314</v>
      </c>
      <c r="B4079" s="3">
        <v>194</v>
      </c>
      <c r="C4079" s="32">
        <v>49260</v>
      </c>
      <c r="D4079" s="32" t="s">
        <v>87</v>
      </c>
      <c r="E4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0" spans="1:6" x14ac:dyDescent="0.35">
      <c r="A4080" s="3">
        <v>66896617864</v>
      </c>
      <c r="B4080" s="3">
        <v>51</v>
      </c>
      <c r="C4080" s="32">
        <v>49260</v>
      </c>
      <c r="D4080" s="32">
        <v>49333</v>
      </c>
      <c r="E4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81" spans="1:6" x14ac:dyDescent="0.35">
      <c r="A4081" s="3">
        <v>54538900078</v>
      </c>
      <c r="B4081" s="3">
        <v>237</v>
      </c>
      <c r="C4081" s="32">
        <v>49260</v>
      </c>
      <c r="D4081" s="32">
        <v>49311</v>
      </c>
      <c r="E4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82" spans="1:6" x14ac:dyDescent="0.35">
      <c r="A4082" s="3">
        <v>63923339188</v>
      </c>
      <c r="B4082" s="3">
        <v>130</v>
      </c>
      <c r="C4082" s="32">
        <v>49261</v>
      </c>
      <c r="D4082" s="32" t="s">
        <v>87</v>
      </c>
      <c r="E4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3" spans="1:6" x14ac:dyDescent="0.35">
      <c r="A4083" s="3">
        <v>43438911018</v>
      </c>
      <c r="B4083" s="3">
        <v>249</v>
      </c>
      <c r="C4083" s="32">
        <v>49261</v>
      </c>
      <c r="D4083" s="32" t="s">
        <v>87</v>
      </c>
      <c r="E4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4" spans="1:6" x14ac:dyDescent="0.35">
      <c r="A4084" s="3">
        <v>34220821004</v>
      </c>
      <c r="B4084" s="3">
        <v>143</v>
      </c>
      <c r="C4084" s="32">
        <v>49261</v>
      </c>
      <c r="D4084" s="32"/>
      <c r="E4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5" spans="1:6" x14ac:dyDescent="0.35">
      <c r="A4085" s="3">
        <v>80205912136</v>
      </c>
      <c r="B4085" s="3">
        <v>222</v>
      </c>
      <c r="C4085" s="32">
        <v>49261</v>
      </c>
      <c r="D4085" s="32">
        <v>49307</v>
      </c>
      <c r="E4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86" spans="1:6" x14ac:dyDescent="0.35">
      <c r="A4086" s="3">
        <v>37135556228</v>
      </c>
      <c r="B4086" s="3">
        <v>132</v>
      </c>
      <c r="C4086" s="32">
        <v>49261</v>
      </c>
      <c r="D4086" s="32" t="s">
        <v>87</v>
      </c>
      <c r="E4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7" spans="1:6" x14ac:dyDescent="0.35">
      <c r="A4087" s="3">
        <v>37263612740</v>
      </c>
      <c r="B4087" s="3">
        <v>290</v>
      </c>
      <c r="C4087" s="32">
        <v>49261</v>
      </c>
      <c r="D4087" s="32" t="s">
        <v>87</v>
      </c>
      <c r="E4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8" spans="1:6" x14ac:dyDescent="0.35">
      <c r="A4088" s="3">
        <v>45139609039</v>
      </c>
      <c r="B4088" s="3">
        <v>154</v>
      </c>
      <c r="C4088" s="32">
        <v>49261</v>
      </c>
      <c r="D4088" s="32" t="s">
        <v>87</v>
      </c>
      <c r="E4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9" spans="1:6" x14ac:dyDescent="0.35">
      <c r="A4089" s="3">
        <v>95061625362</v>
      </c>
      <c r="B4089" s="3">
        <v>189</v>
      </c>
      <c r="C4089" s="32">
        <v>49261</v>
      </c>
      <c r="D4089" s="32">
        <v>49302</v>
      </c>
      <c r="E4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90" spans="1:6" x14ac:dyDescent="0.35">
      <c r="A4090" s="3">
        <v>51738367624</v>
      </c>
      <c r="B4090" s="3">
        <v>260</v>
      </c>
      <c r="C4090" s="32">
        <v>49261</v>
      </c>
      <c r="D4090" s="32" t="s">
        <v>87</v>
      </c>
      <c r="E4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1" spans="1:6" x14ac:dyDescent="0.35">
      <c r="A4091" s="3">
        <v>41811177750</v>
      </c>
      <c r="B4091" s="3">
        <v>306</v>
      </c>
      <c r="C4091" s="32">
        <v>49261</v>
      </c>
      <c r="D4091" s="32" t="s">
        <v>87</v>
      </c>
      <c r="E4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2" spans="1:6" x14ac:dyDescent="0.35">
      <c r="A4092" s="3">
        <v>65974539007</v>
      </c>
      <c r="B4092" s="3">
        <v>45</v>
      </c>
      <c r="C4092" s="32">
        <v>49261</v>
      </c>
      <c r="D4092" s="32" t="s">
        <v>87</v>
      </c>
      <c r="E4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3" spans="1:6" x14ac:dyDescent="0.35">
      <c r="A4093" s="3">
        <v>43179394098</v>
      </c>
      <c r="B4093" s="3">
        <v>201</v>
      </c>
      <c r="C4093" s="32">
        <v>49261</v>
      </c>
      <c r="D4093" s="32" t="s">
        <v>87</v>
      </c>
      <c r="E4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4" spans="1:6" x14ac:dyDescent="0.35">
      <c r="A4094" s="3">
        <v>86380520041</v>
      </c>
      <c r="B4094" s="3">
        <v>80</v>
      </c>
      <c r="C4094" s="32">
        <v>49261</v>
      </c>
      <c r="D4094" s="32"/>
      <c r="E4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5" spans="1:6" x14ac:dyDescent="0.35">
      <c r="A4095" s="3">
        <v>30048480385</v>
      </c>
      <c r="B4095" s="3">
        <v>126</v>
      </c>
      <c r="C4095" s="32">
        <v>49261</v>
      </c>
      <c r="D4095" s="32" t="s">
        <v>87</v>
      </c>
      <c r="E4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6" spans="1:6" x14ac:dyDescent="0.35">
      <c r="A4096" s="3">
        <v>61015052989</v>
      </c>
      <c r="B4096" s="3">
        <v>307</v>
      </c>
      <c r="C4096" s="32">
        <v>49261</v>
      </c>
      <c r="D4096" s="32" t="s">
        <v>87</v>
      </c>
      <c r="E4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7" spans="1:6" x14ac:dyDescent="0.35">
      <c r="A4097" s="3">
        <v>64964763330</v>
      </c>
      <c r="B4097" s="3">
        <v>297</v>
      </c>
      <c r="C4097" s="32">
        <v>49261</v>
      </c>
      <c r="D4097" s="32" t="s">
        <v>87</v>
      </c>
      <c r="E4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8" spans="1:6" x14ac:dyDescent="0.35">
      <c r="A4098" s="3">
        <v>64299417822</v>
      </c>
      <c r="B4098" s="3">
        <v>290</v>
      </c>
      <c r="C4098" s="32">
        <v>49261</v>
      </c>
      <c r="D4098" s="32">
        <v>49295</v>
      </c>
      <c r="E4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99" spans="1:6" x14ac:dyDescent="0.35">
      <c r="A4099" s="3">
        <v>29239325230</v>
      </c>
      <c r="B4099" s="3">
        <v>261</v>
      </c>
      <c r="C4099" s="32">
        <v>49261</v>
      </c>
      <c r="D4099" s="32">
        <v>49265</v>
      </c>
      <c r="E4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00" spans="1:6" x14ac:dyDescent="0.35">
      <c r="A4100" s="3">
        <v>59178087812</v>
      </c>
      <c r="B4100" s="3">
        <v>54</v>
      </c>
      <c r="C4100" s="32">
        <v>49261</v>
      </c>
      <c r="D4100" s="32" t="s">
        <v>87</v>
      </c>
      <c r="E4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1" spans="1:6" x14ac:dyDescent="0.35">
      <c r="A4101" s="3">
        <v>93462696199</v>
      </c>
      <c r="B4101" s="3">
        <v>115</v>
      </c>
      <c r="C4101" s="32">
        <v>49261</v>
      </c>
      <c r="D4101" s="32" t="s">
        <v>87</v>
      </c>
      <c r="E4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2" spans="1:6" x14ac:dyDescent="0.35">
      <c r="A4102" s="3">
        <v>18029848811</v>
      </c>
      <c r="B4102" s="3">
        <v>224</v>
      </c>
      <c r="C4102" s="32">
        <v>49261</v>
      </c>
      <c r="D4102" s="32">
        <v>49302</v>
      </c>
      <c r="E4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03" spans="1:6" x14ac:dyDescent="0.35">
      <c r="A4103" s="3">
        <v>37013043210</v>
      </c>
      <c r="B4103" s="3">
        <v>95</v>
      </c>
      <c r="C4103" s="32">
        <v>49261</v>
      </c>
      <c r="D4103" s="32" t="s">
        <v>87</v>
      </c>
      <c r="E4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4" spans="1:6" x14ac:dyDescent="0.35">
      <c r="A4104" s="3">
        <v>50118258820</v>
      </c>
      <c r="B4104" s="3">
        <v>197</v>
      </c>
      <c r="C4104" s="32">
        <v>49261</v>
      </c>
      <c r="D4104" s="32" t="s">
        <v>87</v>
      </c>
      <c r="E4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5" spans="1:6" x14ac:dyDescent="0.35">
      <c r="A4105" s="3">
        <v>99879200776</v>
      </c>
      <c r="B4105" s="3">
        <v>252</v>
      </c>
      <c r="C4105" s="32">
        <v>49262</v>
      </c>
      <c r="D4105" s="32" t="s">
        <v>87</v>
      </c>
      <c r="E4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6" spans="1:6" x14ac:dyDescent="0.35">
      <c r="A4106" s="3">
        <v>45438153073</v>
      </c>
      <c r="B4106" s="3">
        <v>217</v>
      </c>
      <c r="C4106" s="32">
        <v>49262</v>
      </c>
      <c r="D4106" s="32" t="s">
        <v>87</v>
      </c>
      <c r="E4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7" spans="1:6" x14ac:dyDescent="0.35">
      <c r="A4107" s="3">
        <v>66145487012</v>
      </c>
      <c r="B4107" s="3">
        <v>88</v>
      </c>
      <c r="C4107" s="32">
        <v>49262</v>
      </c>
      <c r="D4107" s="32" t="s">
        <v>87</v>
      </c>
      <c r="E4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8" spans="1:6" x14ac:dyDescent="0.35">
      <c r="A4108" s="3">
        <v>52580072648</v>
      </c>
      <c r="B4108" s="3">
        <v>185</v>
      </c>
      <c r="C4108" s="32">
        <v>49262</v>
      </c>
      <c r="D4108" s="32" t="s">
        <v>87</v>
      </c>
      <c r="E4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9" spans="1:6" x14ac:dyDescent="0.35">
      <c r="A4109" s="3">
        <v>48692156505</v>
      </c>
      <c r="B4109" s="3">
        <v>117</v>
      </c>
      <c r="C4109" s="32">
        <v>49262</v>
      </c>
      <c r="D4109" s="32" t="s">
        <v>87</v>
      </c>
      <c r="E4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0" spans="1:6" x14ac:dyDescent="0.35">
      <c r="A4110" s="3">
        <v>16285261538</v>
      </c>
      <c r="B4110" s="3">
        <v>106</v>
      </c>
      <c r="C4110" s="32">
        <v>49262</v>
      </c>
      <c r="D4110" s="32" t="s">
        <v>87</v>
      </c>
      <c r="E4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1" spans="1:6" x14ac:dyDescent="0.35">
      <c r="A4111" s="3">
        <v>59359274500</v>
      </c>
      <c r="B4111" s="3">
        <v>62</v>
      </c>
      <c r="C4111" s="32">
        <v>49262</v>
      </c>
      <c r="D4111" s="32">
        <v>49311</v>
      </c>
      <c r="E4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12" spans="1:6" x14ac:dyDescent="0.35">
      <c r="A4112" s="3">
        <v>96949291058</v>
      </c>
      <c r="B4112" s="3">
        <v>251</v>
      </c>
      <c r="C4112" s="32">
        <v>49262</v>
      </c>
      <c r="D4112" s="32" t="s">
        <v>87</v>
      </c>
      <c r="E4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3" spans="1:6" x14ac:dyDescent="0.35">
      <c r="A4113" s="3">
        <v>49969025844</v>
      </c>
      <c r="B4113" s="3">
        <v>221</v>
      </c>
      <c r="C4113" s="32">
        <v>49262</v>
      </c>
      <c r="D4113" s="32" t="s">
        <v>87</v>
      </c>
      <c r="E4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4" spans="1:6" x14ac:dyDescent="0.35">
      <c r="A4114" s="3">
        <v>55367962937</v>
      </c>
      <c r="B4114" s="3">
        <v>207</v>
      </c>
      <c r="C4114" s="32">
        <v>49262</v>
      </c>
      <c r="D4114" s="32" t="s">
        <v>87</v>
      </c>
      <c r="E4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5" spans="1:6" x14ac:dyDescent="0.35">
      <c r="A4115" s="3">
        <v>76325506123</v>
      </c>
      <c r="B4115" s="3">
        <v>75</v>
      </c>
      <c r="C4115" s="32">
        <v>49262</v>
      </c>
      <c r="D4115" s="32" t="s">
        <v>87</v>
      </c>
      <c r="E4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6" spans="1:6" x14ac:dyDescent="0.35">
      <c r="A4116" s="3">
        <v>56394009935</v>
      </c>
      <c r="B4116" s="3">
        <v>92</v>
      </c>
      <c r="C4116" s="32">
        <v>49262</v>
      </c>
      <c r="D4116" s="32" t="s">
        <v>87</v>
      </c>
      <c r="E4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7" spans="1:6" x14ac:dyDescent="0.35">
      <c r="A4117" s="3">
        <v>66229257537</v>
      </c>
      <c r="B4117" s="3">
        <v>38</v>
      </c>
      <c r="C4117" s="32">
        <v>49262</v>
      </c>
      <c r="D4117" s="32" t="s">
        <v>87</v>
      </c>
      <c r="E4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8" spans="1:6" x14ac:dyDescent="0.35">
      <c r="A4118" s="3">
        <v>51816084744</v>
      </c>
      <c r="B4118" s="3">
        <v>91</v>
      </c>
      <c r="C4118" s="32">
        <v>49262</v>
      </c>
      <c r="D4118" s="32" t="s">
        <v>87</v>
      </c>
      <c r="E4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9" spans="1:6" x14ac:dyDescent="0.35">
      <c r="A4119" s="3">
        <v>21231716443</v>
      </c>
      <c r="B4119" s="3">
        <v>282</v>
      </c>
      <c r="C4119" s="32">
        <v>49262</v>
      </c>
      <c r="D4119" s="32" t="s">
        <v>87</v>
      </c>
      <c r="E4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0" spans="1:6" x14ac:dyDescent="0.35">
      <c r="A4120" s="3">
        <v>89640904142</v>
      </c>
      <c r="B4120" s="3">
        <v>164</v>
      </c>
      <c r="C4120" s="32">
        <v>49262</v>
      </c>
      <c r="D4120" s="32" t="s">
        <v>87</v>
      </c>
      <c r="E4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1" spans="1:6" x14ac:dyDescent="0.35">
      <c r="A4121" s="3">
        <v>19590564724</v>
      </c>
      <c r="B4121" s="3">
        <v>272</v>
      </c>
      <c r="C4121" s="32">
        <v>49262</v>
      </c>
      <c r="D4121" s="32" t="s">
        <v>87</v>
      </c>
      <c r="E4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2" spans="1:6" x14ac:dyDescent="0.35">
      <c r="A4122" s="3">
        <v>47087225535</v>
      </c>
      <c r="B4122" s="3">
        <v>229</v>
      </c>
      <c r="C4122" s="32">
        <v>49262</v>
      </c>
      <c r="D4122" s="32"/>
      <c r="E4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3" spans="1:6" x14ac:dyDescent="0.35">
      <c r="A4123" s="3">
        <v>53854245199</v>
      </c>
      <c r="B4123" s="3">
        <v>332</v>
      </c>
      <c r="C4123" s="32">
        <v>49262</v>
      </c>
      <c r="D4123" s="32" t="s">
        <v>87</v>
      </c>
      <c r="E4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4" spans="1:6" x14ac:dyDescent="0.35">
      <c r="A4124" s="3">
        <v>85735180399</v>
      </c>
      <c r="B4124" s="3">
        <v>53</v>
      </c>
      <c r="C4124" s="32">
        <v>49262</v>
      </c>
      <c r="D4124" s="32">
        <v>49273</v>
      </c>
      <c r="E4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25" spans="1:6" x14ac:dyDescent="0.35">
      <c r="A4125" s="3">
        <v>33516514091</v>
      </c>
      <c r="B4125" s="3">
        <v>121</v>
      </c>
      <c r="C4125" s="32">
        <v>49262</v>
      </c>
      <c r="D4125" s="32" t="s">
        <v>87</v>
      </c>
      <c r="E4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6" spans="1:6" x14ac:dyDescent="0.35">
      <c r="A4126" s="3">
        <v>60907336772</v>
      </c>
      <c r="B4126" s="3">
        <v>60</v>
      </c>
      <c r="C4126" s="32">
        <v>49262</v>
      </c>
      <c r="D4126" s="32" t="s">
        <v>87</v>
      </c>
      <c r="E4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7" spans="1:6" x14ac:dyDescent="0.35">
      <c r="A4127" s="3">
        <v>59484211826</v>
      </c>
      <c r="B4127" s="3">
        <v>40</v>
      </c>
      <c r="C4127" s="32">
        <v>49262</v>
      </c>
      <c r="D4127" s="32">
        <v>49269</v>
      </c>
      <c r="E4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28" spans="1:6" x14ac:dyDescent="0.35">
      <c r="A4128" s="3">
        <v>85542465946</v>
      </c>
      <c r="B4128" s="3">
        <v>36</v>
      </c>
      <c r="C4128" s="32">
        <v>49263</v>
      </c>
      <c r="D4128" s="32" t="s">
        <v>87</v>
      </c>
      <c r="E4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9" spans="1:6" x14ac:dyDescent="0.35">
      <c r="A4129" s="3">
        <v>53521990842</v>
      </c>
      <c r="B4129" s="3">
        <v>249</v>
      </c>
      <c r="C4129" s="32">
        <v>49263</v>
      </c>
      <c r="D4129" s="32" t="s">
        <v>87</v>
      </c>
      <c r="E4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0" spans="1:6" x14ac:dyDescent="0.35">
      <c r="A4130" s="3">
        <v>50085622124</v>
      </c>
      <c r="B4130" s="3">
        <v>69</v>
      </c>
      <c r="C4130" s="32">
        <v>49263</v>
      </c>
      <c r="D4130" s="32" t="s">
        <v>87</v>
      </c>
      <c r="E4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1" spans="1:6" x14ac:dyDescent="0.35">
      <c r="A4131" s="3">
        <v>25086505319</v>
      </c>
      <c r="B4131" s="3">
        <v>98</v>
      </c>
      <c r="C4131" s="32">
        <v>49263</v>
      </c>
      <c r="D4131" s="32">
        <v>49338</v>
      </c>
      <c r="E4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32" spans="1:6" x14ac:dyDescent="0.35">
      <c r="A4132" s="3">
        <v>76051629252</v>
      </c>
      <c r="B4132" s="3">
        <v>272</v>
      </c>
      <c r="C4132" s="32">
        <v>49263</v>
      </c>
      <c r="D4132" s="32" t="s">
        <v>87</v>
      </c>
      <c r="E4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3" spans="1:6" x14ac:dyDescent="0.35">
      <c r="A4133" s="3">
        <v>30157400978</v>
      </c>
      <c r="B4133" s="3">
        <v>11</v>
      </c>
      <c r="C4133" s="32">
        <v>49263</v>
      </c>
      <c r="D4133" s="32" t="s">
        <v>87</v>
      </c>
      <c r="E4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4" spans="1:6" x14ac:dyDescent="0.35">
      <c r="A4134" s="3">
        <v>66444188266</v>
      </c>
      <c r="B4134" s="3">
        <v>271</v>
      </c>
      <c r="C4134" s="32">
        <v>49263</v>
      </c>
      <c r="D4134" s="32" t="s">
        <v>87</v>
      </c>
      <c r="E4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5" spans="1:6" x14ac:dyDescent="0.35">
      <c r="A4135" s="3">
        <v>83844870799</v>
      </c>
      <c r="B4135" s="3">
        <v>326</v>
      </c>
      <c r="C4135" s="32">
        <v>49263</v>
      </c>
      <c r="D4135" s="32" t="s">
        <v>87</v>
      </c>
      <c r="E4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6" spans="1:6" x14ac:dyDescent="0.35">
      <c r="A4136" s="3">
        <v>15529469480</v>
      </c>
      <c r="B4136" s="3">
        <v>178</v>
      </c>
      <c r="C4136" s="32">
        <v>49263</v>
      </c>
      <c r="D4136" s="32" t="s">
        <v>87</v>
      </c>
      <c r="E4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7" spans="1:6" x14ac:dyDescent="0.35">
      <c r="A4137" s="3">
        <v>79211981670</v>
      </c>
      <c r="B4137" s="3">
        <v>133</v>
      </c>
      <c r="C4137" s="32">
        <v>49263</v>
      </c>
      <c r="D4137" s="32" t="s">
        <v>87</v>
      </c>
      <c r="E4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8" spans="1:6" x14ac:dyDescent="0.35">
      <c r="A4138" s="3">
        <v>44576376878</v>
      </c>
      <c r="B4138" s="3">
        <v>339</v>
      </c>
      <c r="C4138" s="32">
        <v>49263</v>
      </c>
      <c r="D4138" s="32" t="s">
        <v>87</v>
      </c>
      <c r="E4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9" spans="1:6" x14ac:dyDescent="0.35">
      <c r="A4139" s="3">
        <v>81903451059</v>
      </c>
      <c r="B4139" s="3">
        <v>65</v>
      </c>
      <c r="C4139" s="32">
        <v>49263</v>
      </c>
      <c r="D4139" s="32" t="s">
        <v>87</v>
      </c>
      <c r="E4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0" spans="1:6" x14ac:dyDescent="0.35">
      <c r="A4140" s="3">
        <v>81958649612</v>
      </c>
      <c r="B4140" s="3">
        <v>264</v>
      </c>
      <c r="C4140" s="32">
        <v>49263</v>
      </c>
      <c r="D4140" s="32" t="s">
        <v>87</v>
      </c>
      <c r="E4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1" spans="1:6" x14ac:dyDescent="0.35">
      <c r="A4141" s="3">
        <v>16629543796</v>
      </c>
      <c r="B4141" s="3">
        <v>20</v>
      </c>
      <c r="C4141" s="32">
        <v>49263</v>
      </c>
      <c r="D4141" s="32" t="s">
        <v>87</v>
      </c>
      <c r="E4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2" spans="1:6" x14ac:dyDescent="0.35">
      <c r="A4142" s="3">
        <v>16556028455</v>
      </c>
      <c r="B4142" s="3">
        <v>317</v>
      </c>
      <c r="C4142" s="32">
        <v>49263</v>
      </c>
      <c r="D4142" s="32" t="s">
        <v>87</v>
      </c>
      <c r="E4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3" spans="1:6" x14ac:dyDescent="0.35">
      <c r="A4143" s="3">
        <v>50323423037</v>
      </c>
      <c r="B4143" s="3">
        <v>316</v>
      </c>
      <c r="C4143" s="32">
        <v>49263</v>
      </c>
      <c r="D4143" s="32" t="s">
        <v>87</v>
      </c>
      <c r="E4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4" spans="1:6" x14ac:dyDescent="0.35">
      <c r="A4144" s="3">
        <v>66500974410</v>
      </c>
      <c r="B4144" s="3">
        <v>302</v>
      </c>
      <c r="C4144" s="32">
        <v>49263</v>
      </c>
      <c r="D4144" s="32" t="s">
        <v>87</v>
      </c>
      <c r="E4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5" spans="1:6" x14ac:dyDescent="0.35">
      <c r="A4145" s="3">
        <v>79521465072</v>
      </c>
      <c r="B4145" s="3">
        <v>172</v>
      </c>
      <c r="C4145" s="32">
        <v>49263</v>
      </c>
      <c r="D4145" s="32" t="s">
        <v>87</v>
      </c>
      <c r="E4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6" spans="1:6" x14ac:dyDescent="0.35">
      <c r="A4146" s="3">
        <v>30119214757</v>
      </c>
      <c r="B4146" s="3">
        <v>64</v>
      </c>
      <c r="C4146" s="32">
        <v>49263</v>
      </c>
      <c r="D4146" s="32" t="s">
        <v>87</v>
      </c>
      <c r="E4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7" spans="1:6" x14ac:dyDescent="0.35">
      <c r="A4147" s="3">
        <v>72506483622</v>
      </c>
      <c r="B4147" s="3">
        <v>132</v>
      </c>
      <c r="C4147" s="32">
        <v>49263</v>
      </c>
      <c r="D4147" s="32" t="s">
        <v>87</v>
      </c>
      <c r="E4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8" spans="1:6" x14ac:dyDescent="0.35">
      <c r="A4148" s="3">
        <v>59711767200</v>
      </c>
      <c r="B4148" s="3">
        <v>22</v>
      </c>
      <c r="C4148" s="32">
        <v>49263</v>
      </c>
      <c r="D4148" s="32">
        <v>49271</v>
      </c>
      <c r="E4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49" spans="1:6" x14ac:dyDescent="0.35">
      <c r="A4149" s="3">
        <v>35483995531</v>
      </c>
      <c r="B4149" s="3">
        <v>34</v>
      </c>
      <c r="C4149" s="32">
        <v>49263</v>
      </c>
      <c r="D4149" s="32" t="s">
        <v>87</v>
      </c>
      <c r="E4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0" spans="1:6" x14ac:dyDescent="0.35">
      <c r="A4150" s="3">
        <v>48146518026</v>
      </c>
      <c r="B4150" s="3">
        <v>274</v>
      </c>
      <c r="C4150" s="32">
        <v>49263</v>
      </c>
      <c r="D4150" s="32" t="s">
        <v>87</v>
      </c>
      <c r="E4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1" spans="1:6" x14ac:dyDescent="0.35">
      <c r="A4151" s="3">
        <v>26451113607</v>
      </c>
      <c r="B4151" s="3">
        <v>119</v>
      </c>
      <c r="C4151" s="32">
        <v>49263</v>
      </c>
      <c r="D4151" s="32" t="s">
        <v>87</v>
      </c>
      <c r="E4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2" spans="1:6" x14ac:dyDescent="0.35">
      <c r="A4152" s="3">
        <v>87432238297</v>
      </c>
      <c r="B4152" s="3">
        <v>179</v>
      </c>
      <c r="C4152" s="32">
        <v>49263</v>
      </c>
      <c r="D4152" s="32">
        <v>49299</v>
      </c>
      <c r="E4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53" spans="1:6" x14ac:dyDescent="0.35">
      <c r="A4153" s="3">
        <v>79899361397</v>
      </c>
      <c r="B4153" s="3">
        <v>129</v>
      </c>
      <c r="C4153" s="32">
        <v>49263</v>
      </c>
      <c r="D4153" s="32" t="s">
        <v>87</v>
      </c>
      <c r="E4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4" spans="1:6" x14ac:dyDescent="0.35">
      <c r="A4154" s="3">
        <v>23215096548</v>
      </c>
      <c r="B4154" s="3">
        <v>217</v>
      </c>
      <c r="C4154" s="32">
        <v>49263</v>
      </c>
      <c r="D4154" s="32">
        <v>49279</v>
      </c>
      <c r="E4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55" spans="1:6" x14ac:dyDescent="0.35">
      <c r="A4155" s="3">
        <v>83449347768</v>
      </c>
      <c r="B4155" s="3">
        <v>237</v>
      </c>
      <c r="C4155" s="32">
        <v>49263</v>
      </c>
      <c r="D4155" s="32" t="s">
        <v>87</v>
      </c>
      <c r="E4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6" spans="1:6" x14ac:dyDescent="0.35">
      <c r="A4156" s="3">
        <v>18631278225</v>
      </c>
      <c r="B4156" s="3">
        <v>243</v>
      </c>
      <c r="C4156" s="32">
        <v>49264</v>
      </c>
      <c r="D4156" s="32" t="s">
        <v>87</v>
      </c>
      <c r="E4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7" spans="1:6" x14ac:dyDescent="0.35">
      <c r="A4157" s="3">
        <v>55969670289</v>
      </c>
      <c r="B4157" s="3">
        <v>246</v>
      </c>
      <c r="C4157" s="32">
        <v>49264</v>
      </c>
      <c r="D4157" s="32" t="s">
        <v>87</v>
      </c>
      <c r="E4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8" spans="1:6" x14ac:dyDescent="0.35">
      <c r="A4158" s="3">
        <v>50561805823</v>
      </c>
      <c r="B4158" s="3">
        <v>235</v>
      </c>
      <c r="C4158" s="32">
        <v>49264</v>
      </c>
      <c r="D4158" s="32" t="s">
        <v>87</v>
      </c>
      <c r="E4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9" spans="1:6" x14ac:dyDescent="0.35">
      <c r="A4159" s="3">
        <v>18973409461</v>
      </c>
      <c r="B4159" s="3">
        <v>123</v>
      </c>
      <c r="C4159" s="32">
        <v>49264</v>
      </c>
      <c r="D4159" s="32" t="s">
        <v>87</v>
      </c>
      <c r="E4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0" spans="1:6" x14ac:dyDescent="0.35">
      <c r="A4160" s="3">
        <v>66349866510</v>
      </c>
      <c r="B4160" s="3">
        <v>43</v>
      </c>
      <c r="C4160" s="32">
        <v>49264</v>
      </c>
      <c r="D4160" s="32" t="s">
        <v>87</v>
      </c>
      <c r="E4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1" spans="1:6" x14ac:dyDescent="0.35">
      <c r="A4161" s="3">
        <v>35439626627</v>
      </c>
      <c r="B4161" s="3">
        <v>185</v>
      </c>
      <c r="C4161" s="32">
        <v>49264</v>
      </c>
      <c r="D4161" s="32" t="s">
        <v>87</v>
      </c>
      <c r="E4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2" spans="1:6" x14ac:dyDescent="0.35">
      <c r="A4162" s="3">
        <v>70894253933</v>
      </c>
      <c r="B4162" s="3">
        <v>53</v>
      </c>
      <c r="C4162" s="32">
        <v>49264</v>
      </c>
      <c r="D4162" s="32">
        <v>49316</v>
      </c>
      <c r="E4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3" spans="1:6" x14ac:dyDescent="0.35">
      <c r="A4163" s="3">
        <v>95545527842</v>
      </c>
      <c r="B4163" s="3">
        <v>302</v>
      </c>
      <c r="C4163" s="32">
        <v>49264</v>
      </c>
      <c r="D4163" s="32" t="s">
        <v>87</v>
      </c>
      <c r="E4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4" spans="1:6" x14ac:dyDescent="0.35">
      <c r="A4164" s="3">
        <v>12993758673</v>
      </c>
      <c r="B4164" s="3">
        <v>309</v>
      </c>
      <c r="C4164" s="32">
        <v>49264</v>
      </c>
      <c r="D4164" s="32">
        <v>49340</v>
      </c>
      <c r="E4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5" spans="1:6" x14ac:dyDescent="0.35">
      <c r="A4165" s="3">
        <v>44498281006</v>
      </c>
      <c r="B4165" s="3">
        <v>331</v>
      </c>
      <c r="C4165" s="32">
        <v>49264</v>
      </c>
      <c r="D4165" s="32"/>
      <c r="E4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6" spans="1:6" x14ac:dyDescent="0.35">
      <c r="A4166" s="3">
        <v>81560955101</v>
      </c>
      <c r="B4166" s="3">
        <v>79</v>
      </c>
      <c r="C4166" s="32">
        <v>49264</v>
      </c>
      <c r="D4166" s="32">
        <v>49312</v>
      </c>
      <c r="E4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7" spans="1:6" x14ac:dyDescent="0.35">
      <c r="A4167" s="3">
        <v>59039656043</v>
      </c>
      <c r="B4167" s="3">
        <v>224</v>
      </c>
      <c r="C4167" s="32">
        <v>49264</v>
      </c>
      <c r="D4167" s="32" t="s">
        <v>87</v>
      </c>
      <c r="E4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8" spans="1:6" x14ac:dyDescent="0.35">
      <c r="A4168" s="3">
        <v>67754122326</v>
      </c>
      <c r="B4168" s="3">
        <v>286</v>
      </c>
      <c r="C4168" s="32">
        <v>49264</v>
      </c>
      <c r="D4168" s="32" t="s">
        <v>87</v>
      </c>
      <c r="E4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9" spans="1:6" x14ac:dyDescent="0.35">
      <c r="A4169" s="3">
        <v>59984470570</v>
      </c>
      <c r="B4169" s="3">
        <v>61</v>
      </c>
      <c r="C4169" s="32">
        <v>49264</v>
      </c>
      <c r="D4169" s="32" t="s">
        <v>87</v>
      </c>
      <c r="E4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0" spans="1:6" x14ac:dyDescent="0.35">
      <c r="A4170" s="3">
        <v>22904292323</v>
      </c>
      <c r="B4170" s="3">
        <v>268</v>
      </c>
      <c r="C4170" s="32">
        <v>49264</v>
      </c>
      <c r="D4170" s="32">
        <v>49299</v>
      </c>
      <c r="E4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1" spans="1:6" x14ac:dyDescent="0.35">
      <c r="A4171" s="3">
        <v>31426692294</v>
      </c>
      <c r="B4171" s="3">
        <v>188</v>
      </c>
      <c r="C4171" s="32">
        <v>49264</v>
      </c>
      <c r="D4171" s="32">
        <v>49292</v>
      </c>
      <c r="E4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2" spans="1:6" x14ac:dyDescent="0.35">
      <c r="A4172" s="3">
        <v>90024020822</v>
      </c>
      <c r="B4172" s="3">
        <v>209</v>
      </c>
      <c r="C4172" s="32">
        <v>49264</v>
      </c>
      <c r="D4172" s="32" t="s">
        <v>87</v>
      </c>
      <c r="E4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3" spans="1:6" x14ac:dyDescent="0.35">
      <c r="A4173" s="3">
        <v>42168464685</v>
      </c>
      <c r="B4173" s="3">
        <v>127</v>
      </c>
      <c r="C4173" s="32">
        <v>49264</v>
      </c>
      <c r="D4173" s="32">
        <v>49304</v>
      </c>
      <c r="E4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4" spans="1:6" x14ac:dyDescent="0.35">
      <c r="A4174" s="3">
        <v>29498818887</v>
      </c>
      <c r="B4174" s="3">
        <v>248</v>
      </c>
      <c r="C4174" s="32">
        <v>49264</v>
      </c>
      <c r="D4174" s="32" t="s">
        <v>87</v>
      </c>
      <c r="E4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5" spans="1:6" x14ac:dyDescent="0.35">
      <c r="A4175" s="3">
        <v>94803224344</v>
      </c>
      <c r="B4175" s="3">
        <v>183</v>
      </c>
      <c r="C4175" s="32">
        <v>49264</v>
      </c>
      <c r="D4175" s="32">
        <v>49287</v>
      </c>
      <c r="E4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6" spans="1:6" x14ac:dyDescent="0.35">
      <c r="A4176" s="3">
        <v>64134527904</v>
      </c>
      <c r="B4176" s="3">
        <v>325</v>
      </c>
      <c r="C4176" s="32">
        <v>49264</v>
      </c>
      <c r="D4176" s="32" t="s">
        <v>87</v>
      </c>
      <c r="E4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7" spans="1:6" x14ac:dyDescent="0.35">
      <c r="A4177" s="3">
        <v>20137768203</v>
      </c>
      <c r="B4177" s="3">
        <v>194</v>
      </c>
      <c r="C4177" s="32">
        <v>49264</v>
      </c>
      <c r="D4177" s="32" t="s">
        <v>87</v>
      </c>
      <c r="E4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8" spans="1:6" x14ac:dyDescent="0.35">
      <c r="A4178" s="3">
        <v>12300872134</v>
      </c>
      <c r="B4178" s="3">
        <v>312</v>
      </c>
      <c r="C4178" s="32">
        <v>49264</v>
      </c>
      <c r="D4178" s="32">
        <v>49272</v>
      </c>
      <c r="E4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79" spans="1:6" x14ac:dyDescent="0.35">
      <c r="A4179" s="3">
        <v>42563412383</v>
      </c>
      <c r="B4179" s="3">
        <v>16</v>
      </c>
      <c r="C4179" s="32">
        <v>49264</v>
      </c>
      <c r="D4179" s="32" t="s">
        <v>87</v>
      </c>
      <c r="E4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0" spans="1:6" x14ac:dyDescent="0.35">
      <c r="A4180" s="3">
        <v>63411221171</v>
      </c>
      <c r="B4180" s="3">
        <v>248</v>
      </c>
      <c r="C4180" s="32">
        <v>49264</v>
      </c>
      <c r="D4180" s="32" t="s">
        <v>87</v>
      </c>
      <c r="E4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1" spans="1:6" x14ac:dyDescent="0.35">
      <c r="A4181" s="3">
        <v>81949384213</v>
      </c>
      <c r="B4181" s="3">
        <v>4</v>
      </c>
      <c r="C4181" s="32">
        <v>49264</v>
      </c>
      <c r="D4181" s="32" t="s">
        <v>87</v>
      </c>
      <c r="E4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2" spans="1:6" x14ac:dyDescent="0.35">
      <c r="A4182" s="3">
        <v>33873509357</v>
      </c>
      <c r="B4182" s="3">
        <v>181</v>
      </c>
      <c r="C4182" s="32">
        <v>49264</v>
      </c>
      <c r="D4182" s="32" t="s">
        <v>87</v>
      </c>
      <c r="E4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3" spans="1:6" x14ac:dyDescent="0.35">
      <c r="A4183" s="3">
        <v>18084650631</v>
      </c>
      <c r="B4183" s="3">
        <v>189</v>
      </c>
      <c r="C4183" s="32">
        <v>49264</v>
      </c>
      <c r="D4183" s="32" t="s">
        <v>87</v>
      </c>
      <c r="E4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4" spans="1:6" x14ac:dyDescent="0.35">
      <c r="A4184" s="3">
        <v>36134028023</v>
      </c>
      <c r="B4184" s="3">
        <v>167</v>
      </c>
      <c r="C4184" s="32">
        <v>49264</v>
      </c>
      <c r="D4184" s="32" t="s">
        <v>87</v>
      </c>
      <c r="E4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5" spans="1:6" x14ac:dyDescent="0.35">
      <c r="A4185" s="3">
        <v>65320466044</v>
      </c>
      <c r="B4185" s="3">
        <v>126</v>
      </c>
      <c r="C4185" s="32">
        <v>49264</v>
      </c>
      <c r="D4185" s="32" t="s">
        <v>87</v>
      </c>
      <c r="E4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6" spans="1:6" x14ac:dyDescent="0.35">
      <c r="A4186" s="3">
        <v>12698637272</v>
      </c>
      <c r="B4186" s="3">
        <v>263</v>
      </c>
      <c r="C4186" s="32">
        <v>49265</v>
      </c>
      <c r="D4186" s="32" t="s">
        <v>87</v>
      </c>
      <c r="E4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7" spans="1:6" x14ac:dyDescent="0.35">
      <c r="A4187" s="3">
        <v>86486644846</v>
      </c>
      <c r="B4187" s="3">
        <v>234</v>
      </c>
      <c r="C4187" s="32">
        <v>49265</v>
      </c>
      <c r="D4187" s="32">
        <v>49293</v>
      </c>
      <c r="E4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88" spans="1:6" x14ac:dyDescent="0.35">
      <c r="A4188" s="3">
        <v>89857433923</v>
      </c>
      <c r="B4188" s="3">
        <v>295</v>
      </c>
      <c r="C4188" s="32">
        <v>49265</v>
      </c>
      <c r="D4188" s="32">
        <v>49317</v>
      </c>
      <c r="E4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89" spans="1:6" x14ac:dyDescent="0.35">
      <c r="A4189" s="3">
        <v>65620783084</v>
      </c>
      <c r="B4189" s="3">
        <v>260</v>
      </c>
      <c r="C4189" s="32">
        <v>49265</v>
      </c>
      <c r="D4189" s="32" t="s">
        <v>87</v>
      </c>
      <c r="E4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0" spans="1:6" x14ac:dyDescent="0.35">
      <c r="A4190" s="3">
        <v>18467655177</v>
      </c>
      <c r="B4190" s="3">
        <v>333</v>
      </c>
      <c r="C4190" s="32">
        <v>49265</v>
      </c>
      <c r="D4190" s="32" t="s">
        <v>87</v>
      </c>
      <c r="E4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1" spans="1:6" x14ac:dyDescent="0.35">
      <c r="A4191" s="3">
        <v>70832689601</v>
      </c>
      <c r="B4191" s="3">
        <v>245</v>
      </c>
      <c r="C4191" s="32">
        <v>49265</v>
      </c>
      <c r="D4191" s="32"/>
      <c r="E4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2" spans="1:6" x14ac:dyDescent="0.35">
      <c r="A4192" s="3">
        <v>82799935343</v>
      </c>
      <c r="B4192" s="3">
        <v>113</v>
      </c>
      <c r="C4192" s="32">
        <v>49265</v>
      </c>
      <c r="D4192" s="32" t="s">
        <v>87</v>
      </c>
      <c r="E4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3" spans="1:6" x14ac:dyDescent="0.35">
      <c r="A4193" s="3">
        <v>17232627930</v>
      </c>
      <c r="B4193" s="3">
        <v>73</v>
      </c>
      <c r="C4193" s="32">
        <v>49265</v>
      </c>
      <c r="D4193" s="32" t="s">
        <v>87</v>
      </c>
      <c r="E4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4" spans="1:6" x14ac:dyDescent="0.35">
      <c r="A4194" s="3">
        <v>72944097748</v>
      </c>
      <c r="B4194" s="3">
        <v>85</v>
      </c>
      <c r="C4194" s="32">
        <v>49265</v>
      </c>
      <c r="D4194" s="32" t="s">
        <v>87</v>
      </c>
      <c r="E4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5" spans="1:6" x14ac:dyDescent="0.35">
      <c r="A4195" s="3">
        <v>26074682008</v>
      </c>
      <c r="B4195" s="3">
        <v>47</v>
      </c>
      <c r="C4195" s="32">
        <v>49265</v>
      </c>
      <c r="D4195" s="32">
        <v>49328</v>
      </c>
      <c r="E4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96" spans="1:6" x14ac:dyDescent="0.35">
      <c r="A4196" s="3">
        <v>95318950053</v>
      </c>
      <c r="B4196" s="3">
        <v>123</v>
      </c>
      <c r="C4196" s="32">
        <v>49265</v>
      </c>
      <c r="D4196" s="32"/>
      <c r="E4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7" spans="1:6" x14ac:dyDescent="0.35">
      <c r="A4197" s="3">
        <v>83481885936</v>
      </c>
      <c r="B4197" s="3">
        <v>151</v>
      </c>
      <c r="C4197" s="32">
        <v>49265</v>
      </c>
      <c r="D4197" s="32" t="s">
        <v>87</v>
      </c>
      <c r="E4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8" spans="1:6" x14ac:dyDescent="0.35">
      <c r="A4198" s="3">
        <v>27654721895</v>
      </c>
      <c r="B4198" s="3">
        <v>185</v>
      </c>
      <c r="C4198" s="32">
        <v>49265</v>
      </c>
      <c r="D4198" s="32" t="s">
        <v>87</v>
      </c>
      <c r="E4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9" spans="1:6" x14ac:dyDescent="0.35">
      <c r="A4199" s="3">
        <v>88770137465</v>
      </c>
      <c r="B4199" s="3">
        <v>24</v>
      </c>
      <c r="C4199" s="32">
        <v>49265</v>
      </c>
      <c r="D4199" s="32" t="s">
        <v>87</v>
      </c>
      <c r="E4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0" spans="1:6" x14ac:dyDescent="0.35">
      <c r="A4200" s="3">
        <v>31096658165</v>
      </c>
      <c r="B4200" s="3">
        <v>4</v>
      </c>
      <c r="C4200" s="32">
        <v>49265</v>
      </c>
      <c r="D4200" s="32" t="s">
        <v>87</v>
      </c>
      <c r="E4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1" spans="1:6" x14ac:dyDescent="0.35">
      <c r="A4201" s="3">
        <v>18085620121</v>
      </c>
      <c r="B4201" s="3">
        <v>284</v>
      </c>
      <c r="C4201" s="32">
        <v>49265</v>
      </c>
      <c r="D4201" s="32" t="s">
        <v>87</v>
      </c>
      <c r="E4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2" spans="1:6" x14ac:dyDescent="0.35">
      <c r="A4202" s="3">
        <v>45342932450</v>
      </c>
      <c r="B4202" s="3">
        <v>122</v>
      </c>
      <c r="C4202" s="32">
        <v>49265</v>
      </c>
      <c r="D4202" s="32"/>
      <c r="E4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3" spans="1:6" x14ac:dyDescent="0.35">
      <c r="A4203" s="3">
        <v>89398323256</v>
      </c>
      <c r="B4203" s="3">
        <v>307</v>
      </c>
      <c r="C4203" s="32">
        <v>49265</v>
      </c>
      <c r="D4203" s="32" t="s">
        <v>87</v>
      </c>
      <c r="E4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4" spans="1:6" x14ac:dyDescent="0.35">
      <c r="A4204" s="3">
        <v>82690247477</v>
      </c>
      <c r="B4204" s="3">
        <v>94</v>
      </c>
      <c r="C4204" s="32">
        <v>49265</v>
      </c>
      <c r="D4204" s="32" t="s">
        <v>87</v>
      </c>
      <c r="E4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5" spans="1:6" x14ac:dyDescent="0.35">
      <c r="A4205" s="3">
        <v>41481840506</v>
      </c>
      <c r="B4205" s="3">
        <v>5</v>
      </c>
      <c r="C4205" s="32">
        <v>49265</v>
      </c>
      <c r="D4205" s="32"/>
      <c r="E4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6" spans="1:6" x14ac:dyDescent="0.35">
      <c r="A4206" s="3">
        <v>90343432275</v>
      </c>
      <c r="B4206" s="3">
        <v>248</v>
      </c>
      <c r="C4206" s="32">
        <v>49265</v>
      </c>
      <c r="D4206" s="32"/>
      <c r="E4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7" spans="1:6" x14ac:dyDescent="0.35">
      <c r="A4207" s="3">
        <v>46808828159</v>
      </c>
      <c r="B4207" s="3">
        <v>88</v>
      </c>
      <c r="C4207" s="32">
        <v>49265</v>
      </c>
      <c r="D4207" s="32">
        <v>49291</v>
      </c>
      <c r="E4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08" spans="1:6" x14ac:dyDescent="0.35">
      <c r="A4208" s="3">
        <v>76898559704</v>
      </c>
      <c r="B4208" s="3">
        <v>67</v>
      </c>
      <c r="C4208" s="32">
        <v>49265</v>
      </c>
      <c r="D4208" s="32" t="s">
        <v>87</v>
      </c>
      <c r="E4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9" spans="1:6" x14ac:dyDescent="0.35">
      <c r="A4209" s="3">
        <v>52054633037</v>
      </c>
      <c r="B4209" s="3">
        <v>199</v>
      </c>
      <c r="C4209" s="32">
        <v>49265</v>
      </c>
      <c r="D4209" s="32" t="s">
        <v>87</v>
      </c>
      <c r="E4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0" spans="1:6" x14ac:dyDescent="0.35">
      <c r="A4210" s="3">
        <v>52098768824</v>
      </c>
      <c r="B4210" s="3">
        <v>283</v>
      </c>
      <c r="C4210" s="32">
        <v>49265</v>
      </c>
      <c r="D4210" s="32"/>
      <c r="E4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1" spans="1:6" x14ac:dyDescent="0.35">
      <c r="A4211" s="3">
        <v>44599506307</v>
      </c>
      <c r="B4211" s="3">
        <v>291</v>
      </c>
      <c r="C4211" s="32">
        <v>49265</v>
      </c>
      <c r="D4211" s="32" t="s">
        <v>87</v>
      </c>
      <c r="E4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2" spans="1:6" x14ac:dyDescent="0.35">
      <c r="A4212" s="3">
        <v>83037212775</v>
      </c>
      <c r="B4212" s="3">
        <v>135</v>
      </c>
      <c r="C4212" s="32">
        <v>49265</v>
      </c>
      <c r="D4212" s="32">
        <v>49296</v>
      </c>
      <c r="E4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13" spans="1:6" x14ac:dyDescent="0.35">
      <c r="A4213" s="3">
        <v>72583810257</v>
      </c>
      <c r="B4213" s="3">
        <v>293</v>
      </c>
      <c r="C4213" s="32">
        <v>49265</v>
      </c>
      <c r="D4213" s="32" t="s">
        <v>87</v>
      </c>
      <c r="E4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4" spans="1:6" x14ac:dyDescent="0.35">
      <c r="A4214" s="3">
        <v>72695558763</v>
      </c>
      <c r="B4214" s="3">
        <v>206</v>
      </c>
      <c r="C4214" s="32">
        <v>49265</v>
      </c>
      <c r="D4214" s="32"/>
      <c r="E4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5" spans="1:6" x14ac:dyDescent="0.35">
      <c r="A4215" s="3">
        <v>46981527014</v>
      </c>
      <c r="B4215" s="3">
        <v>132</v>
      </c>
      <c r="C4215" s="32">
        <v>49265</v>
      </c>
      <c r="D4215" s="32" t="s">
        <v>87</v>
      </c>
      <c r="E4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6" spans="1:6" x14ac:dyDescent="0.35">
      <c r="A4216" s="3">
        <v>87953159256</v>
      </c>
      <c r="B4216" s="3">
        <v>251</v>
      </c>
      <c r="C4216" s="32">
        <v>49265</v>
      </c>
      <c r="D4216" s="32" t="s">
        <v>87</v>
      </c>
      <c r="E4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7" spans="1:6" x14ac:dyDescent="0.35">
      <c r="A4217" s="3">
        <v>37631946141</v>
      </c>
      <c r="B4217" s="3">
        <v>79</v>
      </c>
      <c r="C4217" s="32">
        <v>49266</v>
      </c>
      <c r="D4217" s="32" t="s">
        <v>87</v>
      </c>
      <c r="E4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8" spans="1:6" x14ac:dyDescent="0.35">
      <c r="A4218" s="3">
        <v>87072811160</v>
      </c>
      <c r="B4218" s="3">
        <v>106</v>
      </c>
      <c r="C4218" s="32">
        <v>49266</v>
      </c>
      <c r="D4218" s="32" t="s">
        <v>87</v>
      </c>
      <c r="E4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9" spans="1:6" x14ac:dyDescent="0.35">
      <c r="A4219" s="3">
        <v>34035517710</v>
      </c>
      <c r="B4219" s="3">
        <v>260</v>
      </c>
      <c r="C4219" s="32">
        <v>49266</v>
      </c>
      <c r="D4219" s="32">
        <v>49312</v>
      </c>
      <c r="E4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20" spans="1:6" x14ac:dyDescent="0.35">
      <c r="A4220" s="3">
        <v>24102427880</v>
      </c>
      <c r="B4220" s="3">
        <v>71</v>
      </c>
      <c r="C4220" s="32">
        <v>49266</v>
      </c>
      <c r="D4220" s="32" t="s">
        <v>87</v>
      </c>
      <c r="E4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1" spans="1:6" x14ac:dyDescent="0.35">
      <c r="A4221" s="3">
        <v>56822634299</v>
      </c>
      <c r="B4221" s="3">
        <v>213</v>
      </c>
      <c r="C4221" s="32">
        <v>49266</v>
      </c>
      <c r="D4221" s="32"/>
      <c r="E4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2" spans="1:6" x14ac:dyDescent="0.35">
      <c r="A4222" s="3">
        <v>50312105178</v>
      </c>
      <c r="B4222" s="3">
        <v>260</v>
      </c>
      <c r="C4222" s="32">
        <v>49266</v>
      </c>
      <c r="D4222" s="32" t="s">
        <v>87</v>
      </c>
      <c r="E4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3" spans="1:6" x14ac:dyDescent="0.35">
      <c r="A4223" s="3">
        <v>78087745788</v>
      </c>
      <c r="B4223" s="3">
        <v>207</v>
      </c>
      <c r="C4223" s="32">
        <v>49266</v>
      </c>
      <c r="D4223" s="32" t="s">
        <v>87</v>
      </c>
      <c r="E4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4" spans="1:6" x14ac:dyDescent="0.35">
      <c r="A4224" s="3">
        <v>92409235715</v>
      </c>
      <c r="B4224" s="3">
        <v>243</v>
      </c>
      <c r="C4224" s="32">
        <v>49266</v>
      </c>
      <c r="D4224" s="32" t="s">
        <v>87</v>
      </c>
      <c r="E4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5" spans="1:6" x14ac:dyDescent="0.35">
      <c r="A4225" s="3">
        <v>50991613736</v>
      </c>
      <c r="B4225" s="3">
        <v>256</v>
      </c>
      <c r="C4225" s="32">
        <v>49266</v>
      </c>
      <c r="D4225" s="32" t="s">
        <v>87</v>
      </c>
      <c r="E4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6" spans="1:6" x14ac:dyDescent="0.35">
      <c r="A4226" s="3">
        <v>35929964437</v>
      </c>
      <c r="B4226" s="3">
        <v>102</v>
      </c>
      <c r="C4226" s="32">
        <v>49266</v>
      </c>
      <c r="D4226" s="32" t="s">
        <v>87</v>
      </c>
      <c r="E4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7" spans="1:6" x14ac:dyDescent="0.35">
      <c r="A4227" s="3">
        <v>63029781584</v>
      </c>
      <c r="B4227" s="3">
        <v>99</v>
      </c>
      <c r="C4227" s="32">
        <v>49266</v>
      </c>
      <c r="D4227" s="32">
        <v>49327</v>
      </c>
      <c r="E4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28" spans="1:6" x14ac:dyDescent="0.35">
      <c r="A4228" s="3">
        <v>31750261502</v>
      </c>
      <c r="B4228" s="3">
        <v>39</v>
      </c>
      <c r="C4228" s="32">
        <v>49266</v>
      </c>
      <c r="D4228" s="32" t="s">
        <v>87</v>
      </c>
      <c r="E4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9" spans="1:6" x14ac:dyDescent="0.35">
      <c r="A4229" s="3">
        <v>31079500242</v>
      </c>
      <c r="B4229" s="3">
        <v>202</v>
      </c>
      <c r="C4229" s="32">
        <v>49266</v>
      </c>
      <c r="D4229" s="32" t="s">
        <v>87</v>
      </c>
      <c r="E4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0" spans="1:6" x14ac:dyDescent="0.35">
      <c r="A4230" s="3">
        <v>78001038729</v>
      </c>
      <c r="B4230" s="3">
        <v>146</v>
      </c>
      <c r="C4230" s="32">
        <v>49266</v>
      </c>
      <c r="D4230" s="32" t="s">
        <v>87</v>
      </c>
      <c r="E4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1" spans="1:6" x14ac:dyDescent="0.35">
      <c r="A4231" s="3">
        <v>73952029089</v>
      </c>
      <c r="B4231" s="3">
        <v>273</v>
      </c>
      <c r="C4231" s="32">
        <v>49266</v>
      </c>
      <c r="D4231" s="32">
        <v>49282</v>
      </c>
      <c r="E4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32" spans="1:6" x14ac:dyDescent="0.35">
      <c r="A4232" s="3">
        <v>54014086838</v>
      </c>
      <c r="B4232" s="3">
        <v>80</v>
      </c>
      <c r="C4232" s="32">
        <v>49266</v>
      </c>
      <c r="D4232" s="32" t="s">
        <v>87</v>
      </c>
      <c r="E4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3" spans="1:6" x14ac:dyDescent="0.35">
      <c r="A4233" s="3">
        <v>88191603744</v>
      </c>
      <c r="B4233" s="3">
        <v>145</v>
      </c>
      <c r="C4233" s="32">
        <v>49266</v>
      </c>
      <c r="D4233" s="32">
        <v>49320</v>
      </c>
      <c r="E4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34" spans="1:6" x14ac:dyDescent="0.35">
      <c r="A4234" s="3">
        <v>18701327395</v>
      </c>
      <c r="B4234" s="3">
        <v>225</v>
      </c>
      <c r="C4234" s="32">
        <v>49266</v>
      </c>
      <c r="D4234" s="32" t="s">
        <v>87</v>
      </c>
      <c r="E4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5" spans="1:6" x14ac:dyDescent="0.35">
      <c r="A4235" s="3">
        <v>71715021243</v>
      </c>
      <c r="B4235" s="3">
        <v>182</v>
      </c>
      <c r="C4235" s="32">
        <v>49266</v>
      </c>
      <c r="D4235" s="32">
        <v>49326</v>
      </c>
      <c r="E4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36" spans="1:6" x14ac:dyDescent="0.35">
      <c r="A4236" s="3">
        <v>39871956989</v>
      </c>
      <c r="B4236" s="3">
        <v>111</v>
      </c>
      <c r="C4236" s="32">
        <v>49266</v>
      </c>
      <c r="D4236" s="32" t="s">
        <v>87</v>
      </c>
      <c r="E4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7" spans="1:6" x14ac:dyDescent="0.35">
      <c r="A4237" s="3">
        <v>17598896285</v>
      </c>
      <c r="B4237" s="3">
        <v>243</v>
      </c>
      <c r="C4237" s="32">
        <v>49266</v>
      </c>
      <c r="D4237" s="32" t="s">
        <v>87</v>
      </c>
      <c r="E4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8" spans="1:6" x14ac:dyDescent="0.35">
      <c r="A4238" s="3">
        <v>98543713499</v>
      </c>
      <c r="B4238" s="3">
        <v>275</v>
      </c>
      <c r="C4238" s="32">
        <v>49266</v>
      </c>
      <c r="D4238" s="32" t="s">
        <v>87</v>
      </c>
      <c r="E4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9" spans="1:6" x14ac:dyDescent="0.35">
      <c r="A4239" s="3">
        <v>53030689131</v>
      </c>
      <c r="B4239" s="3">
        <v>24</v>
      </c>
      <c r="C4239" s="32">
        <v>49266</v>
      </c>
      <c r="D4239" s="32" t="s">
        <v>87</v>
      </c>
      <c r="E4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0" spans="1:6" x14ac:dyDescent="0.35">
      <c r="A4240" s="3">
        <v>12846016709</v>
      </c>
      <c r="B4240" s="3">
        <v>86</v>
      </c>
      <c r="C4240" s="32">
        <v>49266</v>
      </c>
      <c r="D4240" s="32">
        <v>49300</v>
      </c>
      <c r="E4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41" spans="1:6" x14ac:dyDescent="0.35">
      <c r="A4241" s="3">
        <v>66610021519</v>
      </c>
      <c r="B4241" s="3">
        <v>314</v>
      </c>
      <c r="C4241" s="32">
        <v>49266</v>
      </c>
      <c r="D4241" s="32" t="s">
        <v>87</v>
      </c>
      <c r="E4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2" spans="1:6" x14ac:dyDescent="0.35">
      <c r="A4242" s="3">
        <v>59376825520</v>
      </c>
      <c r="B4242" s="3">
        <v>189</v>
      </c>
      <c r="C4242" s="32">
        <v>49266</v>
      </c>
      <c r="D4242" s="32">
        <v>49290</v>
      </c>
      <c r="E4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43" spans="1:6" x14ac:dyDescent="0.35">
      <c r="A4243" s="3">
        <v>50370570397</v>
      </c>
      <c r="B4243" s="3">
        <v>55</v>
      </c>
      <c r="C4243" s="32">
        <v>49267</v>
      </c>
      <c r="D4243" s="32" t="s">
        <v>87</v>
      </c>
      <c r="E4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4" spans="1:6" x14ac:dyDescent="0.35">
      <c r="A4244" s="3">
        <v>13162645740</v>
      </c>
      <c r="B4244" s="3">
        <v>109</v>
      </c>
      <c r="C4244" s="32">
        <v>49267</v>
      </c>
      <c r="D4244" s="32" t="s">
        <v>87</v>
      </c>
      <c r="E4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5" spans="1:6" x14ac:dyDescent="0.35">
      <c r="A4245" s="3">
        <v>87234895046</v>
      </c>
      <c r="B4245" s="3">
        <v>116</v>
      </c>
      <c r="C4245" s="32">
        <v>49267</v>
      </c>
      <c r="D4245" s="32">
        <v>49327</v>
      </c>
      <c r="E4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46" spans="1:6" x14ac:dyDescent="0.35">
      <c r="A4246" s="3">
        <v>51230811262</v>
      </c>
      <c r="B4246" s="3">
        <v>118</v>
      </c>
      <c r="C4246" s="32">
        <v>49267</v>
      </c>
      <c r="D4246" s="32" t="s">
        <v>87</v>
      </c>
      <c r="E4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7" spans="1:6" x14ac:dyDescent="0.35">
      <c r="A4247" s="3">
        <v>93672024747</v>
      </c>
      <c r="B4247" s="3">
        <v>59</v>
      </c>
      <c r="C4247" s="32">
        <v>49267</v>
      </c>
      <c r="D4247" s="32" t="s">
        <v>87</v>
      </c>
      <c r="E4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8" spans="1:6" x14ac:dyDescent="0.35">
      <c r="A4248" s="3">
        <v>54884695408</v>
      </c>
      <c r="B4248" s="3">
        <v>283</v>
      </c>
      <c r="C4248" s="32">
        <v>49267</v>
      </c>
      <c r="D4248" s="32" t="s">
        <v>87</v>
      </c>
      <c r="E4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9" spans="1:6" x14ac:dyDescent="0.35">
      <c r="A4249" s="3">
        <v>68882859954</v>
      </c>
      <c r="B4249" s="3">
        <v>178</v>
      </c>
      <c r="C4249" s="32">
        <v>49267</v>
      </c>
      <c r="D4249" s="32" t="s">
        <v>87</v>
      </c>
      <c r="E4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0" spans="1:6" x14ac:dyDescent="0.35">
      <c r="A4250" s="3">
        <v>98590581377</v>
      </c>
      <c r="B4250" s="3">
        <v>134</v>
      </c>
      <c r="C4250" s="32">
        <v>49267</v>
      </c>
      <c r="D4250" s="32" t="s">
        <v>87</v>
      </c>
      <c r="E4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1" spans="1:6" x14ac:dyDescent="0.35">
      <c r="A4251" s="3">
        <v>65685006361</v>
      </c>
      <c r="B4251" s="3">
        <v>173</v>
      </c>
      <c r="C4251" s="32">
        <v>49267</v>
      </c>
      <c r="D4251" s="32">
        <v>49338</v>
      </c>
      <c r="E4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52" spans="1:6" x14ac:dyDescent="0.35">
      <c r="A4252" s="3">
        <v>46164670856</v>
      </c>
      <c r="B4252" s="3">
        <v>229</v>
      </c>
      <c r="C4252" s="32">
        <v>49267</v>
      </c>
      <c r="D4252" s="32" t="s">
        <v>87</v>
      </c>
      <c r="E4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3" spans="1:6" x14ac:dyDescent="0.35">
      <c r="A4253" s="3">
        <v>37296429563</v>
      </c>
      <c r="B4253" s="3">
        <v>301</v>
      </c>
      <c r="C4253" s="32">
        <v>49267</v>
      </c>
      <c r="D4253" s="32" t="s">
        <v>87</v>
      </c>
      <c r="E4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4" spans="1:6" x14ac:dyDescent="0.35">
      <c r="A4254" s="3">
        <v>65507788999</v>
      </c>
      <c r="B4254" s="3">
        <v>255</v>
      </c>
      <c r="C4254" s="32">
        <v>49267</v>
      </c>
      <c r="D4254" s="32" t="s">
        <v>87</v>
      </c>
      <c r="E4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5" spans="1:6" x14ac:dyDescent="0.35">
      <c r="A4255" s="3">
        <v>59444632427</v>
      </c>
      <c r="B4255" s="3">
        <v>116</v>
      </c>
      <c r="C4255" s="32">
        <v>49267</v>
      </c>
      <c r="D4255" s="32" t="s">
        <v>87</v>
      </c>
      <c r="E4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6" spans="1:6" x14ac:dyDescent="0.35">
      <c r="A4256" s="3">
        <v>75678925969</v>
      </c>
      <c r="B4256" s="3">
        <v>73</v>
      </c>
      <c r="C4256" s="32">
        <v>49267</v>
      </c>
      <c r="D4256" s="32" t="s">
        <v>87</v>
      </c>
      <c r="E4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7" spans="1:6" x14ac:dyDescent="0.35">
      <c r="A4257" s="3">
        <v>61694291162</v>
      </c>
      <c r="B4257" s="3">
        <v>123</v>
      </c>
      <c r="C4257" s="32">
        <v>49267</v>
      </c>
      <c r="D4257" s="32" t="s">
        <v>87</v>
      </c>
      <c r="E4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8" spans="1:6" x14ac:dyDescent="0.35">
      <c r="A4258" s="3">
        <v>14107583990</v>
      </c>
      <c r="B4258" s="3">
        <v>269</v>
      </c>
      <c r="C4258" s="32">
        <v>49267</v>
      </c>
      <c r="D4258" s="32" t="s">
        <v>87</v>
      </c>
      <c r="E4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9" spans="1:6" x14ac:dyDescent="0.35">
      <c r="A4259" s="3">
        <v>31798423441</v>
      </c>
      <c r="B4259" s="3">
        <v>10</v>
      </c>
      <c r="C4259" s="32">
        <v>49267</v>
      </c>
      <c r="D4259" s="32" t="s">
        <v>87</v>
      </c>
      <c r="E4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0" spans="1:6" x14ac:dyDescent="0.35">
      <c r="A4260" s="3">
        <v>79884490354</v>
      </c>
      <c r="B4260" s="3">
        <v>256</v>
      </c>
      <c r="C4260" s="32">
        <v>49267</v>
      </c>
      <c r="D4260" s="32" t="s">
        <v>87</v>
      </c>
      <c r="E4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1" spans="1:6" x14ac:dyDescent="0.35">
      <c r="A4261" s="3">
        <v>69167776583</v>
      </c>
      <c r="B4261" s="3">
        <v>31</v>
      </c>
      <c r="C4261" s="32">
        <v>49267</v>
      </c>
      <c r="D4261" s="32" t="s">
        <v>87</v>
      </c>
      <c r="E4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2" spans="1:6" x14ac:dyDescent="0.35">
      <c r="A4262" s="3">
        <v>88523840001</v>
      </c>
      <c r="B4262" s="3">
        <v>155</v>
      </c>
      <c r="C4262" s="32">
        <v>49267</v>
      </c>
      <c r="D4262" s="32">
        <v>49323</v>
      </c>
      <c r="E4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63" spans="1:6" x14ac:dyDescent="0.35">
      <c r="A4263" s="3">
        <v>18070486229</v>
      </c>
      <c r="B4263" s="3">
        <v>20</v>
      </c>
      <c r="C4263" s="32">
        <v>49267</v>
      </c>
      <c r="D4263" s="32" t="s">
        <v>87</v>
      </c>
      <c r="E4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4" spans="1:6" x14ac:dyDescent="0.35">
      <c r="A4264" s="3">
        <v>65068219089</v>
      </c>
      <c r="B4264" s="3">
        <v>321</v>
      </c>
      <c r="C4264" s="32">
        <v>49268</v>
      </c>
      <c r="D4264" s="32" t="s">
        <v>87</v>
      </c>
      <c r="E4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5" spans="1:6" x14ac:dyDescent="0.35">
      <c r="A4265" s="3">
        <v>47814090063</v>
      </c>
      <c r="B4265" s="3">
        <v>212</v>
      </c>
      <c r="C4265" s="32">
        <v>49268</v>
      </c>
      <c r="D4265" s="32" t="s">
        <v>87</v>
      </c>
      <c r="E4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6" spans="1:6" x14ac:dyDescent="0.35">
      <c r="A4266" s="3">
        <v>33217839078</v>
      </c>
      <c r="B4266" s="3">
        <v>334</v>
      </c>
      <c r="C4266" s="32">
        <v>49268</v>
      </c>
      <c r="D4266" s="32" t="s">
        <v>87</v>
      </c>
      <c r="E4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7" spans="1:6" x14ac:dyDescent="0.35">
      <c r="A4267" s="3">
        <v>66001243659</v>
      </c>
      <c r="B4267" s="3">
        <v>45</v>
      </c>
      <c r="C4267" s="32">
        <v>49268</v>
      </c>
      <c r="D4267" s="32" t="s">
        <v>87</v>
      </c>
      <c r="E4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8" spans="1:6" x14ac:dyDescent="0.35">
      <c r="A4268" s="3">
        <v>25073046978</v>
      </c>
      <c r="B4268" s="3">
        <v>83</v>
      </c>
      <c r="C4268" s="32">
        <v>49268</v>
      </c>
      <c r="D4268" s="32">
        <v>49333</v>
      </c>
      <c r="E4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69" spans="1:6" x14ac:dyDescent="0.35">
      <c r="A4269" s="3">
        <v>62279007363</v>
      </c>
      <c r="B4269" s="3">
        <v>120</v>
      </c>
      <c r="C4269" s="32">
        <v>49268</v>
      </c>
      <c r="D4269" s="32" t="s">
        <v>87</v>
      </c>
      <c r="E4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0" spans="1:6" x14ac:dyDescent="0.35">
      <c r="A4270" s="3">
        <v>98922471036</v>
      </c>
      <c r="B4270" s="3">
        <v>183</v>
      </c>
      <c r="C4270" s="32">
        <v>49268</v>
      </c>
      <c r="D4270" s="32" t="s">
        <v>87</v>
      </c>
      <c r="E4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1" spans="1:6" x14ac:dyDescent="0.35">
      <c r="A4271" s="3">
        <v>36319986074</v>
      </c>
      <c r="B4271" s="3">
        <v>251</v>
      </c>
      <c r="C4271" s="32">
        <v>49268</v>
      </c>
      <c r="D4271" s="32" t="s">
        <v>87</v>
      </c>
      <c r="E4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2" spans="1:6" x14ac:dyDescent="0.35">
      <c r="A4272" s="3">
        <v>76373319974</v>
      </c>
      <c r="B4272" s="3">
        <v>133</v>
      </c>
      <c r="C4272" s="32">
        <v>49268</v>
      </c>
      <c r="D4272" s="32" t="s">
        <v>87</v>
      </c>
      <c r="E4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3" spans="1:6" x14ac:dyDescent="0.35">
      <c r="A4273" s="3">
        <v>62773294003</v>
      </c>
      <c r="B4273" s="3">
        <v>151</v>
      </c>
      <c r="C4273" s="32">
        <v>49268</v>
      </c>
      <c r="D4273" s="32" t="s">
        <v>87</v>
      </c>
      <c r="E4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4" spans="1:6" x14ac:dyDescent="0.35">
      <c r="A4274" s="3">
        <v>64555196268</v>
      </c>
      <c r="B4274" s="3">
        <v>315</v>
      </c>
      <c r="C4274" s="32">
        <v>49268</v>
      </c>
      <c r="D4274" s="32" t="s">
        <v>87</v>
      </c>
      <c r="E4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5" spans="1:6" x14ac:dyDescent="0.35">
      <c r="A4275" s="3">
        <v>98668457720</v>
      </c>
      <c r="B4275" s="3">
        <v>4</v>
      </c>
      <c r="C4275" s="32">
        <v>49268</v>
      </c>
      <c r="D4275" s="32">
        <v>49269</v>
      </c>
      <c r="E4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276" spans="1:6" x14ac:dyDescent="0.35">
      <c r="A4276" s="3">
        <v>16760651855</v>
      </c>
      <c r="B4276" s="3">
        <v>265</v>
      </c>
      <c r="C4276" s="32">
        <v>49268</v>
      </c>
      <c r="D4276" s="32">
        <v>49325</v>
      </c>
      <c r="E4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77" spans="1:6" x14ac:dyDescent="0.35">
      <c r="A4277" s="3">
        <v>84035655464</v>
      </c>
      <c r="B4277" s="3">
        <v>271</v>
      </c>
      <c r="C4277" s="32">
        <v>49268</v>
      </c>
      <c r="D4277" s="32">
        <v>49270</v>
      </c>
      <c r="E4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278" spans="1:6" x14ac:dyDescent="0.35">
      <c r="A4278" s="3">
        <v>75280412242</v>
      </c>
      <c r="B4278" s="3">
        <v>30</v>
      </c>
      <c r="C4278" s="32">
        <v>49268</v>
      </c>
      <c r="D4278" s="32" t="s">
        <v>87</v>
      </c>
      <c r="E4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9" spans="1:6" x14ac:dyDescent="0.35">
      <c r="A4279" s="3">
        <v>58284880441</v>
      </c>
      <c r="B4279" s="3">
        <v>251</v>
      </c>
      <c r="C4279" s="32">
        <v>49268</v>
      </c>
      <c r="D4279" s="32" t="s">
        <v>87</v>
      </c>
      <c r="E4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0" spans="1:6" x14ac:dyDescent="0.35">
      <c r="A4280" s="3">
        <v>39412044330</v>
      </c>
      <c r="B4280" s="3">
        <v>291</v>
      </c>
      <c r="C4280" s="32">
        <v>49268</v>
      </c>
      <c r="D4280" s="32"/>
      <c r="E4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1" spans="1:6" x14ac:dyDescent="0.35">
      <c r="A4281" s="3">
        <v>98178258801</v>
      </c>
      <c r="B4281" s="3">
        <v>107</v>
      </c>
      <c r="C4281" s="32">
        <v>49268</v>
      </c>
      <c r="D4281" s="32" t="s">
        <v>87</v>
      </c>
      <c r="E4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2" spans="1:6" x14ac:dyDescent="0.35">
      <c r="A4282" s="3">
        <v>80429463334</v>
      </c>
      <c r="B4282" s="3">
        <v>324</v>
      </c>
      <c r="C4282" s="32">
        <v>49268</v>
      </c>
      <c r="D4282" s="32" t="s">
        <v>87</v>
      </c>
      <c r="E4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3" spans="1:6" x14ac:dyDescent="0.35">
      <c r="A4283" s="3">
        <v>11736826939</v>
      </c>
      <c r="B4283" s="3">
        <v>240</v>
      </c>
      <c r="C4283" s="32">
        <v>49268</v>
      </c>
      <c r="D4283" s="32" t="s">
        <v>87</v>
      </c>
      <c r="E4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4" spans="1:6" x14ac:dyDescent="0.35">
      <c r="A4284" s="3">
        <v>27836161973</v>
      </c>
      <c r="B4284" s="3">
        <v>315</v>
      </c>
      <c r="C4284" s="32">
        <v>49268</v>
      </c>
      <c r="D4284" s="32" t="s">
        <v>87</v>
      </c>
      <c r="E4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5" spans="1:6" x14ac:dyDescent="0.35">
      <c r="A4285" s="3">
        <v>87149222963</v>
      </c>
      <c r="B4285" s="3">
        <v>261</v>
      </c>
      <c r="C4285" s="32">
        <v>49268</v>
      </c>
      <c r="D4285" s="32" t="s">
        <v>87</v>
      </c>
      <c r="E4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6" spans="1:6" x14ac:dyDescent="0.35">
      <c r="A4286" s="3">
        <v>39866030338</v>
      </c>
      <c r="B4286" s="3">
        <v>19</v>
      </c>
      <c r="C4286" s="32">
        <v>49268</v>
      </c>
      <c r="D4286" s="32" t="s">
        <v>87</v>
      </c>
      <c r="E4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7" spans="1:6" x14ac:dyDescent="0.35">
      <c r="A4287" s="3">
        <v>26000952558</v>
      </c>
      <c r="B4287" s="3">
        <v>328</v>
      </c>
      <c r="C4287" s="32">
        <v>49268</v>
      </c>
      <c r="D4287" s="32"/>
      <c r="E4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8" spans="1:6" x14ac:dyDescent="0.35">
      <c r="A4288" s="3">
        <v>20905770356</v>
      </c>
      <c r="B4288" s="3">
        <v>144</v>
      </c>
      <c r="C4288" s="32">
        <v>49268</v>
      </c>
      <c r="D4288" s="32" t="s">
        <v>87</v>
      </c>
      <c r="E4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9" spans="1:6" x14ac:dyDescent="0.35">
      <c r="A4289" s="3">
        <v>35735244083</v>
      </c>
      <c r="B4289" s="3">
        <v>225</v>
      </c>
      <c r="C4289" s="32">
        <v>49269</v>
      </c>
      <c r="D4289" s="32" t="s">
        <v>87</v>
      </c>
      <c r="E4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0" spans="1:6" x14ac:dyDescent="0.35">
      <c r="A4290" s="3">
        <v>51226393828</v>
      </c>
      <c r="B4290" s="3">
        <v>207</v>
      </c>
      <c r="C4290" s="32">
        <v>49269</v>
      </c>
      <c r="D4290" s="32"/>
      <c r="E4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1" spans="1:6" x14ac:dyDescent="0.35">
      <c r="A4291" s="3">
        <v>55800241500</v>
      </c>
      <c r="B4291" s="3">
        <v>139</v>
      </c>
      <c r="C4291" s="32">
        <v>49269</v>
      </c>
      <c r="D4291" s="32" t="s">
        <v>87</v>
      </c>
      <c r="E4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2" spans="1:6" x14ac:dyDescent="0.35">
      <c r="A4292" s="3">
        <v>35104413736</v>
      </c>
      <c r="B4292" s="3">
        <v>265</v>
      </c>
      <c r="C4292" s="32">
        <v>49269</v>
      </c>
      <c r="D4292" s="32" t="s">
        <v>87</v>
      </c>
      <c r="E4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3" spans="1:6" x14ac:dyDescent="0.35">
      <c r="A4293" s="3">
        <v>31021273415</v>
      </c>
      <c r="B4293" s="3">
        <v>199</v>
      </c>
      <c r="C4293" s="32">
        <v>49269</v>
      </c>
      <c r="D4293" s="32" t="s">
        <v>87</v>
      </c>
      <c r="E4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4" spans="1:6" x14ac:dyDescent="0.35">
      <c r="A4294" s="3">
        <v>36561991052</v>
      </c>
      <c r="B4294" s="3">
        <v>162</v>
      </c>
      <c r="C4294" s="32">
        <v>49269</v>
      </c>
      <c r="D4294" s="32" t="s">
        <v>87</v>
      </c>
      <c r="E4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5" spans="1:6" x14ac:dyDescent="0.35">
      <c r="A4295" s="3">
        <v>89359331926</v>
      </c>
      <c r="B4295" s="3">
        <v>92</v>
      </c>
      <c r="C4295" s="32">
        <v>49269</v>
      </c>
      <c r="D4295" s="32">
        <v>49312</v>
      </c>
      <c r="E4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96" spans="1:6" x14ac:dyDescent="0.35">
      <c r="A4296" s="3">
        <v>18676119644</v>
      </c>
      <c r="B4296" s="3">
        <v>292</v>
      </c>
      <c r="C4296" s="32">
        <v>49269</v>
      </c>
      <c r="D4296" s="32" t="s">
        <v>87</v>
      </c>
      <c r="E4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7" spans="1:6" x14ac:dyDescent="0.35">
      <c r="A4297" s="3">
        <v>54019228798</v>
      </c>
      <c r="B4297" s="3">
        <v>3</v>
      </c>
      <c r="C4297" s="32">
        <v>49269</v>
      </c>
      <c r="D4297" s="32" t="s">
        <v>87</v>
      </c>
      <c r="E4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8" spans="1:6" x14ac:dyDescent="0.35">
      <c r="A4298" s="3">
        <v>94813422740</v>
      </c>
      <c r="B4298" s="3">
        <v>241</v>
      </c>
      <c r="C4298" s="32">
        <v>49269</v>
      </c>
      <c r="D4298" s="32" t="s">
        <v>87</v>
      </c>
      <c r="E4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9" spans="1:6" x14ac:dyDescent="0.35">
      <c r="A4299" s="3">
        <v>90765409843</v>
      </c>
      <c r="B4299" s="3">
        <v>252</v>
      </c>
      <c r="C4299" s="32">
        <v>49269</v>
      </c>
      <c r="D4299" s="32" t="s">
        <v>87</v>
      </c>
      <c r="E4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0" spans="1:6" x14ac:dyDescent="0.35">
      <c r="A4300" s="3">
        <v>36178042663</v>
      </c>
      <c r="B4300" s="3">
        <v>46</v>
      </c>
      <c r="C4300" s="32">
        <v>49269</v>
      </c>
      <c r="D4300" s="32">
        <v>49312</v>
      </c>
      <c r="E4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01" spans="1:6" x14ac:dyDescent="0.35">
      <c r="A4301" s="3">
        <v>55868206515</v>
      </c>
      <c r="B4301" s="3">
        <v>243</v>
      </c>
      <c r="C4301" s="32">
        <v>49269</v>
      </c>
      <c r="D4301" s="32" t="s">
        <v>87</v>
      </c>
      <c r="E4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2" spans="1:6" x14ac:dyDescent="0.35">
      <c r="A4302" s="3">
        <v>99419415781</v>
      </c>
      <c r="B4302" s="3">
        <v>8</v>
      </c>
      <c r="C4302" s="32">
        <v>49269</v>
      </c>
      <c r="D4302" s="32" t="s">
        <v>87</v>
      </c>
      <c r="E4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3" spans="1:6" x14ac:dyDescent="0.35">
      <c r="A4303" s="3">
        <v>66919867849</v>
      </c>
      <c r="B4303" s="3">
        <v>161</v>
      </c>
      <c r="C4303" s="32">
        <v>49269</v>
      </c>
      <c r="D4303" s="32">
        <v>49335</v>
      </c>
      <c r="E4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04" spans="1:6" x14ac:dyDescent="0.35">
      <c r="A4304" s="3">
        <v>71995384413</v>
      </c>
      <c r="B4304" s="3">
        <v>54</v>
      </c>
      <c r="C4304" s="32">
        <v>49269</v>
      </c>
      <c r="D4304" s="32" t="s">
        <v>87</v>
      </c>
      <c r="E4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5" spans="1:6" x14ac:dyDescent="0.35">
      <c r="A4305" s="3">
        <v>95580584902</v>
      </c>
      <c r="B4305" s="3">
        <v>68</v>
      </c>
      <c r="C4305" s="32">
        <v>49269</v>
      </c>
      <c r="D4305" s="32" t="s">
        <v>87</v>
      </c>
      <c r="E4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6" spans="1:6" x14ac:dyDescent="0.35">
      <c r="A4306" s="3">
        <v>34782204276</v>
      </c>
      <c r="B4306" s="3">
        <v>305</v>
      </c>
      <c r="C4306" s="32">
        <v>49269</v>
      </c>
      <c r="D4306" s="32" t="s">
        <v>87</v>
      </c>
      <c r="E4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7" spans="1:6" x14ac:dyDescent="0.35">
      <c r="A4307" s="3">
        <v>22996131808</v>
      </c>
      <c r="B4307" s="3">
        <v>197</v>
      </c>
      <c r="C4307" s="32">
        <v>49269</v>
      </c>
      <c r="D4307" s="32" t="s">
        <v>87</v>
      </c>
      <c r="E4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8" spans="1:6" x14ac:dyDescent="0.35">
      <c r="A4308" s="3">
        <v>83572492495</v>
      </c>
      <c r="B4308" s="3">
        <v>172</v>
      </c>
      <c r="C4308" s="32">
        <v>49269</v>
      </c>
      <c r="D4308" s="32" t="s">
        <v>87</v>
      </c>
      <c r="E4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9" spans="1:6" x14ac:dyDescent="0.35">
      <c r="A4309" s="3">
        <v>92129524955</v>
      </c>
      <c r="B4309" s="3">
        <v>5</v>
      </c>
      <c r="C4309" s="32">
        <v>49269</v>
      </c>
      <c r="D4309" s="32" t="s">
        <v>87</v>
      </c>
      <c r="E4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0" spans="1:6" x14ac:dyDescent="0.35">
      <c r="A4310" s="3">
        <v>78185404509</v>
      </c>
      <c r="B4310" s="3">
        <v>82</v>
      </c>
      <c r="C4310" s="32">
        <v>49269</v>
      </c>
      <c r="D4310" s="32" t="s">
        <v>87</v>
      </c>
      <c r="E4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1" spans="1:6" x14ac:dyDescent="0.35">
      <c r="A4311" s="3">
        <v>49177858995</v>
      </c>
      <c r="B4311" s="3">
        <v>155</v>
      </c>
      <c r="C4311" s="32">
        <v>49269</v>
      </c>
      <c r="D4311" s="32" t="s">
        <v>87</v>
      </c>
      <c r="E4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2" spans="1:6" x14ac:dyDescent="0.35">
      <c r="A4312" s="3">
        <v>52023818447</v>
      </c>
      <c r="B4312" s="3">
        <v>145</v>
      </c>
      <c r="C4312" s="32">
        <v>49270</v>
      </c>
      <c r="D4312" s="32" t="s">
        <v>87</v>
      </c>
      <c r="E4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3" spans="1:6" x14ac:dyDescent="0.35">
      <c r="A4313" s="3">
        <v>22926441682</v>
      </c>
      <c r="B4313" s="3">
        <v>248</v>
      </c>
      <c r="C4313" s="32">
        <v>49270</v>
      </c>
      <c r="D4313" s="32" t="s">
        <v>87</v>
      </c>
      <c r="E4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4" spans="1:6" x14ac:dyDescent="0.35">
      <c r="A4314" s="3">
        <v>45492457300</v>
      </c>
      <c r="B4314" s="3">
        <v>123</v>
      </c>
      <c r="C4314" s="32">
        <v>49270</v>
      </c>
      <c r="D4314" s="32" t="s">
        <v>87</v>
      </c>
      <c r="E4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5" spans="1:6" x14ac:dyDescent="0.35">
      <c r="A4315" s="3">
        <v>39808172054</v>
      </c>
      <c r="B4315" s="3">
        <v>159</v>
      </c>
      <c r="C4315" s="32">
        <v>49270</v>
      </c>
      <c r="D4315" s="32" t="s">
        <v>87</v>
      </c>
      <c r="E4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6" spans="1:6" x14ac:dyDescent="0.35">
      <c r="A4316" s="3">
        <v>33368631202</v>
      </c>
      <c r="B4316" s="3">
        <v>197</v>
      </c>
      <c r="C4316" s="32">
        <v>49270</v>
      </c>
      <c r="D4316" s="32" t="s">
        <v>87</v>
      </c>
      <c r="E4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7" spans="1:6" x14ac:dyDescent="0.35">
      <c r="A4317" s="3">
        <v>59254907711</v>
      </c>
      <c r="B4317" s="3">
        <v>18</v>
      </c>
      <c r="C4317" s="32">
        <v>49270</v>
      </c>
      <c r="D4317" s="32" t="s">
        <v>87</v>
      </c>
      <c r="E4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8" spans="1:6" x14ac:dyDescent="0.35">
      <c r="A4318" s="3">
        <v>68140774138</v>
      </c>
      <c r="B4318" s="3">
        <v>301</v>
      </c>
      <c r="C4318" s="32">
        <v>49270</v>
      </c>
      <c r="D4318" s="32" t="s">
        <v>87</v>
      </c>
      <c r="E4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9" spans="1:6" x14ac:dyDescent="0.35">
      <c r="A4319" s="3">
        <v>75258985616</v>
      </c>
      <c r="B4319" s="3">
        <v>139</v>
      </c>
      <c r="C4319" s="32">
        <v>49270</v>
      </c>
      <c r="D4319" s="32" t="s">
        <v>87</v>
      </c>
      <c r="E4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0" spans="1:6" x14ac:dyDescent="0.35">
      <c r="A4320" s="3">
        <v>53134780086</v>
      </c>
      <c r="B4320" s="3">
        <v>95</v>
      </c>
      <c r="C4320" s="32">
        <v>49270</v>
      </c>
      <c r="D4320" s="32" t="s">
        <v>87</v>
      </c>
      <c r="E4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1" spans="1:6" x14ac:dyDescent="0.35">
      <c r="A4321" s="3">
        <v>59604264455</v>
      </c>
      <c r="B4321" s="3">
        <v>233</v>
      </c>
      <c r="C4321" s="32">
        <v>49270</v>
      </c>
      <c r="D4321" s="32" t="s">
        <v>87</v>
      </c>
      <c r="E4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2" spans="1:6" x14ac:dyDescent="0.35">
      <c r="A4322" s="3">
        <v>76944312784</v>
      </c>
      <c r="B4322" s="3">
        <v>191</v>
      </c>
      <c r="C4322" s="32">
        <v>49270</v>
      </c>
      <c r="D4322" s="32" t="s">
        <v>87</v>
      </c>
      <c r="E4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3" spans="1:6" x14ac:dyDescent="0.35">
      <c r="A4323" s="3">
        <v>95985917820</v>
      </c>
      <c r="B4323" s="3">
        <v>12</v>
      </c>
      <c r="C4323" s="32">
        <v>49270</v>
      </c>
      <c r="D4323" s="32" t="s">
        <v>87</v>
      </c>
      <c r="E4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4" spans="1:6" x14ac:dyDescent="0.35">
      <c r="A4324" s="3">
        <v>47242552789</v>
      </c>
      <c r="B4324" s="3">
        <v>300</v>
      </c>
      <c r="C4324" s="32">
        <v>49270</v>
      </c>
      <c r="D4324" s="32">
        <v>49313</v>
      </c>
      <c r="E4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25" spans="1:6" x14ac:dyDescent="0.35">
      <c r="A4325" s="3">
        <v>79801640063</v>
      </c>
      <c r="B4325" s="3">
        <v>39</v>
      </c>
      <c r="C4325" s="32">
        <v>49270</v>
      </c>
      <c r="D4325" s="32"/>
      <c r="E4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6" spans="1:6" x14ac:dyDescent="0.35">
      <c r="A4326" s="3">
        <v>36703837356</v>
      </c>
      <c r="B4326" s="3">
        <v>244</v>
      </c>
      <c r="C4326" s="32">
        <v>49270</v>
      </c>
      <c r="D4326" s="32" t="s">
        <v>87</v>
      </c>
      <c r="E4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7" spans="1:6" x14ac:dyDescent="0.35">
      <c r="A4327" s="3">
        <v>59330805550</v>
      </c>
      <c r="B4327" s="3">
        <v>214</v>
      </c>
      <c r="C4327" s="32">
        <v>49270</v>
      </c>
      <c r="D4327" s="32" t="s">
        <v>87</v>
      </c>
      <c r="E4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8" spans="1:6" x14ac:dyDescent="0.35">
      <c r="A4328" s="3">
        <v>16383095766</v>
      </c>
      <c r="B4328" s="3">
        <v>109</v>
      </c>
      <c r="C4328" s="32">
        <v>49270</v>
      </c>
      <c r="D4328" s="32" t="s">
        <v>87</v>
      </c>
      <c r="E4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9" spans="1:6" x14ac:dyDescent="0.35">
      <c r="A4329" s="3">
        <v>54060714489</v>
      </c>
      <c r="B4329" s="3">
        <v>160</v>
      </c>
      <c r="C4329" s="32">
        <v>49270</v>
      </c>
      <c r="D4329" s="32" t="s">
        <v>87</v>
      </c>
      <c r="E4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0" spans="1:6" x14ac:dyDescent="0.35">
      <c r="A4330" s="3">
        <v>87910798088</v>
      </c>
      <c r="B4330" s="3">
        <v>319</v>
      </c>
      <c r="C4330" s="32">
        <v>49270</v>
      </c>
      <c r="D4330" s="32" t="s">
        <v>87</v>
      </c>
      <c r="E4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1" spans="1:6" x14ac:dyDescent="0.35">
      <c r="A4331" s="3">
        <v>81551614370</v>
      </c>
      <c r="B4331" s="3">
        <v>111</v>
      </c>
      <c r="C4331" s="32">
        <v>49270</v>
      </c>
      <c r="D4331" s="32">
        <v>49291</v>
      </c>
      <c r="E4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32" spans="1:6" x14ac:dyDescent="0.35">
      <c r="A4332" s="3">
        <v>40997574398</v>
      </c>
      <c r="B4332" s="3">
        <v>282</v>
      </c>
      <c r="C4332" s="32">
        <v>49271</v>
      </c>
      <c r="D4332" s="32" t="s">
        <v>87</v>
      </c>
      <c r="E4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3" spans="1:6" x14ac:dyDescent="0.35">
      <c r="A4333" s="3">
        <v>84662883166</v>
      </c>
      <c r="B4333" s="3">
        <v>202</v>
      </c>
      <c r="C4333" s="32">
        <v>49271</v>
      </c>
      <c r="D4333" s="32" t="s">
        <v>87</v>
      </c>
      <c r="E4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4" spans="1:6" x14ac:dyDescent="0.35">
      <c r="A4334" s="3">
        <v>87261394857</v>
      </c>
      <c r="B4334" s="3">
        <v>217</v>
      </c>
      <c r="C4334" s="32">
        <v>49271</v>
      </c>
      <c r="D4334" s="32" t="s">
        <v>87</v>
      </c>
      <c r="E4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5" spans="1:6" x14ac:dyDescent="0.35">
      <c r="A4335" s="3">
        <v>97263954840</v>
      </c>
      <c r="B4335" s="3">
        <v>6</v>
      </c>
      <c r="C4335" s="32">
        <v>49271</v>
      </c>
      <c r="D4335" s="32" t="s">
        <v>87</v>
      </c>
      <c r="E4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6" spans="1:6" x14ac:dyDescent="0.35">
      <c r="A4336" s="3">
        <v>28041546507</v>
      </c>
      <c r="B4336" s="3">
        <v>234</v>
      </c>
      <c r="C4336" s="32">
        <v>49271</v>
      </c>
      <c r="D4336" s="32" t="s">
        <v>87</v>
      </c>
      <c r="E4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7" spans="1:6" x14ac:dyDescent="0.35">
      <c r="A4337" s="3">
        <v>73944566144</v>
      </c>
      <c r="B4337" s="3">
        <v>271</v>
      </c>
      <c r="C4337" s="32">
        <v>49271</v>
      </c>
      <c r="D4337" s="32" t="s">
        <v>87</v>
      </c>
      <c r="E4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8" spans="1:6" x14ac:dyDescent="0.35">
      <c r="A4338" s="3">
        <v>30600492397</v>
      </c>
      <c r="B4338" s="3">
        <v>128</v>
      </c>
      <c r="C4338" s="32">
        <v>49271</v>
      </c>
      <c r="D4338" s="32" t="s">
        <v>87</v>
      </c>
      <c r="E4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9" spans="1:6" x14ac:dyDescent="0.35">
      <c r="A4339" s="3">
        <v>22959667528</v>
      </c>
      <c r="B4339" s="3">
        <v>62</v>
      </c>
      <c r="C4339" s="32">
        <v>49271</v>
      </c>
      <c r="D4339" s="32" t="s">
        <v>87</v>
      </c>
      <c r="E4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0" spans="1:6" x14ac:dyDescent="0.35">
      <c r="A4340" s="3">
        <v>90356718998</v>
      </c>
      <c r="B4340" s="3">
        <v>191</v>
      </c>
      <c r="C4340" s="32">
        <v>49271</v>
      </c>
      <c r="D4340" s="32" t="s">
        <v>87</v>
      </c>
      <c r="E4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1" spans="1:6" x14ac:dyDescent="0.35">
      <c r="A4341" s="3">
        <v>40820609792</v>
      </c>
      <c r="B4341" s="3">
        <v>332</v>
      </c>
      <c r="C4341" s="32">
        <v>49271</v>
      </c>
      <c r="D4341" s="32">
        <v>49288</v>
      </c>
      <c r="E4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42" spans="1:6" x14ac:dyDescent="0.35">
      <c r="A4342" s="3">
        <v>33467572989</v>
      </c>
      <c r="B4342" s="3">
        <v>39</v>
      </c>
      <c r="C4342" s="32">
        <v>49271</v>
      </c>
      <c r="D4342" s="32"/>
      <c r="E4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3" spans="1:6" x14ac:dyDescent="0.35">
      <c r="A4343" s="3">
        <v>27725222625</v>
      </c>
      <c r="B4343" s="3">
        <v>253</v>
      </c>
      <c r="C4343" s="32">
        <v>49272</v>
      </c>
      <c r="D4343" s="32" t="s">
        <v>87</v>
      </c>
      <c r="E4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4" spans="1:6" x14ac:dyDescent="0.35">
      <c r="A4344" s="3">
        <v>47732649103</v>
      </c>
      <c r="B4344" s="3">
        <v>228</v>
      </c>
      <c r="C4344" s="32">
        <v>49272</v>
      </c>
      <c r="D4344" s="32" t="s">
        <v>87</v>
      </c>
      <c r="E4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5" spans="1:6" x14ac:dyDescent="0.35">
      <c r="A4345" s="3">
        <v>20949122028</v>
      </c>
      <c r="B4345" s="3">
        <v>27</v>
      </c>
      <c r="C4345" s="32">
        <v>49272</v>
      </c>
      <c r="D4345" s="32" t="s">
        <v>87</v>
      </c>
      <c r="E4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6" spans="1:6" x14ac:dyDescent="0.35">
      <c r="A4346" s="3">
        <v>14153045437</v>
      </c>
      <c r="B4346" s="3">
        <v>173</v>
      </c>
      <c r="C4346" s="32">
        <v>49272</v>
      </c>
      <c r="D4346" s="32" t="s">
        <v>87</v>
      </c>
      <c r="E4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7" spans="1:6" x14ac:dyDescent="0.35">
      <c r="A4347" s="3">
        <v>80450980221</v>
      </c>
      <c r="B4347" s="3">
        <v>137</v>
      </c>
      <c r="C4347" s="32">
        <v>49272</v>
      </c>
      <c r="D4347" s="32"/>
      <c r="E4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8" spans="1:6" x14ac:dyDescent="0.35">
      <c r="A4348" s="3">
        <v>66882742440</v>
      </c>
      <c r="B4348" s="3">
        <v>314</v>
      </c>
      <c r="C4348" s="32">
        <v>49272</v>
      </c>
      <c r="D4348" s="32" t="s">
        <v>87</v>
      </c>
      <c r="E4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9" spans="1:6" x14ac:dyDescent="0.35">
      <c r="A4349" s="3">
        <v>99006599416</v>
      </c>
      <c r="B4349" s="3">
        <v>156</v>
      </c>
      <c r="C4349" s="32">
        <v>49272</v>
      </c>
      <c r="D4349" s="32" t="s">
        <v>87</v>
      </c>
      <c r="E4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0" spans="1:6" x14ac:dyDescent="0.35">
      <c r="A4350" s="3">
        <v>52877378946</v>
      </c>
      <c r="B4350" s="3">
        <v>220</v>
      </c>
      <c r="C4350" s="32">
        <v>49272</v>
      </c>
      <c r="D4350" s="32" t="s">
        <v>87</v>
      </c>
      <c r="E4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1" spans="1:6" x14ac:dyDescent="0.35">
      <c r="A4351" s="3">
        <v>57356544606</v>
      </c>
      <c r="B4351" s="3">
        <v>257</v>
      </c>
      <c r="C4351" s="32">
        <v>49272</v>
      </c>
      <c r="D4351" s="32" t="s">
        <v>87</v>
      </c>
      <c r="E4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2" spans="1:6" x14ac:dyDescent="0.35">
      <c r="A4352" s="3">
        <v>29394518871</v>
      </c>
      <c r="B4352" s="3">
        <v>38</v>
      </c>
      <c r="C4352" s="32">
        <v>49272</v>
      </c>
      <c r="D4352" s="32" t="s">
        <v>87</v>
      </c>
      <c r="E4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3" spans="1:6" x14ac:dyDescent="0.35">
      <c r="A4353" s="3">
        <v>49154737793</v>
      </c>
      <c r="B4353" s="3">
        <v>283</v>
      </c>
      <c r="C4353" s="32">
        <v>49272</v>
      </c>
      <c r="D4353" s="32" t="s">
        <v>87</v>
      </c>
      <c r="E4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4" spans="1:6" x14ac:dyDescent="0.35">
      <c r="A4354" s="3">
        <v>61728585537</v>
      </c>
      <c r="B4354" s="3">
        <v>16</v>
      </c>
      <c r="C4354" s="32">
        <v>49272</v>
      </c>
      <c r="D4354" s="32" t="s">
        <v>87</v>
      </c>
      <c r="E4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5" spans="1:6" x14ac:dyDescent="0.35">
      <c r="A4355" s="3">
        <v>83410709879</v>
      </c>
      <c r="B4355" s="3">
        <v>323</v>
      </c>
      <c r="C4355" s="32">
        <v>49272</v>
      </c>
      <c r="D4355" s="32" t="s">
        <v>87</v>
      </c>
      <c r="E4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6" spans="1:6" x14ac:dyDescent="0.35">
      <c r="A4356" s="3">
        <v>61302373410</v>
      </c>
      <c r="B4356" s="3">
        <v>221</v>
      </c>
      <c r="C4356" s="32">
        <v>49272</v>
      </c>
      <c r="D4356" s="32" t="s">
        <v>87</v>
      </c>
      <c r="E4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7" spans="1:6" x14ac:dyDescent="0.35">
      <c r="A4357" s="3">
        <v>79568296075</v>
      </c>
      <c r="B4357" s="3">
        <v>292</v>
      </c>
      <c r="C4357" s="32">
        <v>49272</v>
      </c>
      <c r="D4357" s="32" t="s">
        <v>87</v>
      </c>
      <c r="E4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8" spans="1:6" x14ac:dyDescent="0.35">
      <c r="A4358" s="3">
        <v>88335015980</v>
      </c>
      <c r="B4358" s="3">
        <v>292</v>
      </c>
      <c r="C4358" s="32">
        <v>49272</v>
      </c>
      <c r="D4358" s="32" t="s">
        <v>87</v>
      </c>
      <c r="E4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9" spans="1:6" x14ac:dyDescent="0.35">
      <c r="A4359" s="3">
        <v>96581137274</v>
      </c>
      <c r="B4359" s="3">
        <v>186</v>
      </c>
      <c r="C4359" s="32">
        <v>49272</v>
      </c>
      <c r="D4359" s="32" t="s">
        <v>87</v>
      </c>
      <c r="E4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0" spans="1:6" x14ac:dyDescent="0.35">
      <c r="A4360" s="3">
        <v>94390228783</v>
      </c>
      <c r="B4360" s="3">
        <v>206</v>
      </c>
      <c r="C4360" s="32">
        <v>49272</v>
      </c>
      <c r="D4360" s="32" t="s">
        <v>87</v>
      </c>
      <c r="E4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1" spans="1:6" x14ac:dyDescent="0.35">
      <c r="A4361" s="3">
        <v>36385144350</v>
      </c>
      <c r="B4361" s="3">
        <v>178</v>
      </c>
      <c r="C4361" s="32">
        <v>49272</v>
      </c>
      <c r="D4361" s="32">
        <v>49340</v>
      </c>
      <c r="E4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62" spans="1:6" x14ac:dyDescent="0.35">
      <c r="A4362" s="3">
        <v>55359697053</v>
      </c>
      <c r="B4362" s="3">
        <v>162</v>
      </c>
      <c r="C4362" s="32">
        <v>49272</v>
      </c>
      <c r="D4362" s="32" t="s">
        <v>87</v>
      </c>
      <c r="E4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3" spans="1:6" x14ac:dyDescent="0.35">
      <c r="A4363" s="3">
        <v>31426312232</v>
      </c>
      <c r="B4363" s="3">
        <v>232</v>
      </c>
      <c r="C4363" s="32">
        <v>49272</v>
      </c>
      <c r="D4363" s="32" t="s">
        <v>87</v>
      </c>
      <c r="E4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4" spans="1:6" x14ac:dyDescent="0.35">
      <c r="A4364" s="3">
        <v>15119088396</v>
      </c>
      <c r="B4364" s="3">
        <v>174</v>
      </c>
      <c r="C4364" s="32">
        <v>49272</v>
      </c>
      <c r="D4364" s="32" t="s">
        <v>87</v>
      </c>
      <c r="E4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5" spans="1:6" x14ac:dyDescent="0.35">
      <c r="A4365" s="3">
        <v>80636571424</v>
      </c>
      <c r="B4365" s="3">
        <v>144</v>
      </c>
      <c r="C4365" s="32">
        <v>49272</v>
      </c>
      <c r="D4365" s="32" t="s">
        <v>87</v>
      </c>
      <c r="E4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6" spans="1:6" x14ac:dyDescent="0.35">
      <c r="A4366" s="3">
        <v>77604470688</v>
      </c>
      <c r="B4366" s="3">
        <v>333</v>
      </c>
      <c r="C4366" s="32">
        <v>49272</v>
      </c>
      <c r="D4366" s="32" t="s">
        <v>87</v>
      </c>
      <c r="E4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7" spans="1:6" x14ac:dyDescent="0.35">
      <c r="A4367" s="3">
        <v>87307626046</v>
      </c>
      <c r="B4367" s="3">
        <v>154</v>
      </c>
      <c r="C4367" s="32">
        <v>49272</v>
      </c>
      <c r="D4367" s="32" t="s">
        <v>87</v>
      </c>
      <c r="E4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8" spans="1:6" x14ac:dyDescent="0.35">
      <c r="A4368" s="3">
        <v>64865149525</v>
      </c>
      <c r="B4368" s="3">
        <v>157</v>
      </c>
      <c r="C4368" s="32">
        <v>49272</v>
      </c>
      <c r="D4368" s="32" t="s">
        <v>87</v>
      </c>
      <c r="E4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9" spans="1:6" x14ac:dyDescent="0.35">
      <c r="A4369" s="3">
        <v>73004274959</v>
      </c>
      <c r="B4369" s="3">
        <v>28</v>
      </c>
      <c r="C4369" s="32">
        <v>49272</v>
      </c>
      <c r="D4369" s="32" t="s">
        <v>87</v>
      </c>
      <c r="E4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0" spans="1:6" x14ac:dyDescent="0.35">
      <c r="A4370" s="3">
        <v>94209959148</v>
      </c>
      <c r="B4370" s="3">
        <v>92</v>
      </c>
      <c r="C4370" s="32">
        <v>49272</v>
      </c>
      <c r="D4370" s="32"/>
      <c r="E4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1" spans="1:6" x14ac:dyDescent="0.35">
      <c r="A4371" s="3">
        <v>36847018833</v>
      </c>
      <c r="B4371" s="3">
        <v>263</v>
      </c>
      <c r="C4371" s="32">
        <v>49273</v>
      </c>
      <c r="D4371" s="32" t="s">
        <v>87</v>
      </c>
      <c r="E4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2" spans="1:6" x14ac:dyDescent="0.35">
      <c r="A4372" s="3">
        <v>45914517841</v>
      </c>
      <c r="B4372" s="3">
        <v>173</v>
      </c>
      <c r="C4372" s="32">
        <v>49273</v>
      </c>
      <c r="D4372" s="32" t="s">
        <v>87</v>
      </c>
      <c r="E4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3" spans="1:6" x14ac:dyDescent="0.35">
      <c r="A4373" s="3">
        <v>61494206695</v>
      </c>
      <c r="B4373" s="3">
        <v>32</v>
      </c>
      <c r="C4373" s="32">
        <v>49273</v>
      </c>
      <c r="D4373" s="32" t="s">
        <v>87</v>
      </c>
      <c r="E4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4" spans="1:6" x14ac:dyDescent="0.35">
      <c r="A4374" s="3">
        <v>96531761969</v>
      </c>
      <c r="B4374" s="3">
        <v>304</v>
      </c>
      <c r="C4374" s="32">
        <v>49273</v>
      </c>
      <c r="D4374" s="32" t="s">
        <v>87</v>
      </c>
      <c r="E4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5" spans="1:6" x14ac:dyDescent="0.35">
      <c r="A4375" s="3">
        <v>12736986281</v>
      </c>
      <c r="B4375" s="3">
        <v>268</v>
      </c>
      <c r="C4375" s="32">
        <v>49273</v>
      </c>
      <c r="D4375" s="32" t="s">
        <v>87</v>
      </c>
      <c r="E4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6" spans="1:6" x14ac:dyDescent="0.35">
      <c r="A4376" s="3">
        <v>70238556159</v>
      </c>
      <c r="B4376" s="3">
        <v>113</v>
      </c>
      <c r="C4376" s="32">
        <v>49273</v>
      </c>
      <c r="D4376" s="32" t="s">
        <v>87</v>
      </c>
      <c r="E4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7" spans="1:6" x14ac:dyDescent="0.35">
      <c r="A4377" s="3">
        <v>59998652723</v>
      </c>
      <c r="B4377" s="3">
        <v>192</v>
      </c>
      <c r="C4377" s="32">
        <v>49273</v>
      </c>
      <c r="D4377" s="32" t="s">
        <v>87</v>
      </c>
      <c r="E4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8" spans="1:6" x14ac:dyDescent="0.35">
      <c r="A4378" s="3">
        <v>82196778735</v>
      </c>
      <c r="B4378" s="3">
        <v>332</v>
      </c>
      <c r="C4378" s="32">
        <v>49273</v>
      </c>
      <c r="D4378" s="32" t="s">
        <v>87</v>
      </c>
      <c r="E4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9" spans="1:6" x14ac:dyDescent="0.35">
      <c r="A4379" s="3">
        <v>81030984928</v>
      </c>
      <c r="B4379" s="3">
        <v>42</v>
      </c>
      <c r="C4379" s="32">
        <v>49273</v>
      </c>
      <c r="D4379" s="32" t="s">
        <v>87</v>
      </c>
      <c r="E4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0" spans="1:6" x14ac:dyDescent="0.35">
      <c r="A4380" s="3">
        <v>87176127120</v>
      </c>
      <c r="B4380" s="3">
        <v>182</v>
      </c>
      <c r="C4380" s="32">
        <v>49273</v>
      </c>
      <c r="D4380" s="32" t="s">
        <v>87</v>
      </c>
      <c r="E4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1" spans="1:6" x14ac:dyDescent="0.35">
      <c r="A4381" s="3">
        <v>75932022880</v>
      </c>
      <c r="B4381" s="3">
        <v>87</v>
      </c>
      <c r="C4381" s="32">
        <v>49273</v>
      </c>
      <c r="D4381" s="32">
        <v>49273</v>
      </c>
      <c r="E4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382" spans="1:6" x14ac:dyDescent="0.35">
      <c r="A4382" s="3">
        <v>64352160360</v>
      </c>
      <c r="B4382" s="3">
        <v>337</v>
      </c>
      <c r="C4382" s="32">
        <v>49273</v>
      </c>
      <c r="D4382" s="32" t="s">
        <v>87</v>
      </c>
      <c r="E4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3" spans="1:6" x14ac:dyDescent="0.35">
      <c r="A4383" s="3">
        <v>47058615002</v>
      </c>
      <c r="B4383" s="3">
        <v>211</v>
      </c>
      <c r="C4383" s="32">
        <v>49273</v>
      </c>
      <c r="D4383" s="32">
        <v>49304</v>
      </c>
      <c r="E4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84" spans="1:6" x14ac:dyDescent="0.35">
      <c r="A4384" s="3">
        <v>13601186592</v>
      </c>
      <c r="B4384" s="3">
        <v>294</v>
      </c>
      <c r="C4384" s="32">
        <v>49273</v>
      </c>
      <c r="D4384" s="32" t="s">
        <v>87</v>
      </c>
      <c r="E4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5" spans="1:6" x14ac:dyDescent="0.35">
      <c r="A4385" s="3">
        <v>56439109113</v>
      </c>
      <c r="B4385" s="3">
        <v>66</v>
      </c>
      <c r="C4385" s="32">
        <v>49273</v>
      </c>
      <c r="D4385" s="32" t="s">
        <v>87</v>
      </c>
      <c r="E4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6" spans="1:6" x14ac:dyDescent="0.35">
      <c r="A4386" s="3">
        <v>79548225375</v>
      </c>
      <c r="B4386" s="3">
        <v>192</v>
      </c>
      <c r="C4386" s="32">
        <v>49273</v>
      </c>
      <c r="D4386" s="32" t="s">
        <v>87</v>
      </c>
      <c r="E4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7" spans="1:6" x14ac:dyDescent="0.35">
      <c r="A4387" s="3">
        <v>97053427106</v>
      </c>
      <c r="B4387" s="3">
        <v>321</v>
      </c>
      <c r="C4387" s="32">
        <v>49273</v>
      </c>
      <c r="D4387" s="32">
        <v>49310</v>
      </c>
      <c r="E4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88" spans="1:6" x14ac:dyDescent="0.35">
      <c r="A4388" s="3">
        <v>84185483929</v>
      </c>
      <c r="B4388" s="3">
        <v>203</v>
      </c>
      <c r="C4388" s="32">
        <v>49273</v>
      </c>
      <c r="D4388" s="32">
        <v>49290</v>
      </c>
      <c r="E4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89" spans="1:6" x14ac:dyDescent="0.35">
      <c r="A4389" s="3">
        <v>45736612866</v>
      </c>
      <c r="B4389" s="3">
        <v>9</v>
      </c>
      <c r="C4389" s="32">
        <v>49273</v>
      </c>
      <c r="D4389" s="32" t="s">
        <v>87</v>
      </c>
      <c r="E4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0" spans="1:6" x14ac:dyDescent="0.35">
      <c r="A4390" s="3">
        <v>87595519398</v>
      </c>
      <c r="B4390" s="3">
        <v>175</v>
      </c>
      <c r="C4390" s="32">
        <v>49273</v>
      </c>
      <c r="D4390" s="32"/>
      <c r="E4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1" spans="1:6" x14ac:dyDescent="0.35">
      <c r="A4391" s="3">
        <v>37669411114</v>
      </c>
      <c r="B4391" s="3">
        <v>7</v>
      </c>
      <c r="C4391" s="32">
        <v>49273</v>
      </c>
      <c r="D4391" s="32" t="s">
        <v>87</v>
      </c>
      <c r="E4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2" spans="1:6" x14ac:dyDescent="0.35">
      <c r="A4392" s="3">
        <v>12301713788</v>
      </c>
      <c r="B4392" s="3">
        <v>117</v>
      </c>
      <c r="C4392" s="32">
        <v>49273</v>
      </c>
      <c r="D4392" s="32"/>
      <c r="E4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3" spans="1:6" x14ac:dyDescent="0.35">
      <c r="A4393" s="3">
        <v>56601096689</v>
      </c>
      <c r="B4393" s="3">
        <v>314</v>
      </c>
      <c r="C4393" s="32">
        <v>49273</v>
      </c>
      <c r="D4393" s="32" t="s">
        <v>87</v>
      </c>
      <c r="E4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4" spans="1:6" x14ac:dyDescent="0.35">
      <c r="A4394" s="3">
        <v>75336218247</v>
      </c>
      <c r="B4394" s="3">
        <v>16</v>
      </c>
      <c r="C4394" s="32">
        <v>49273</v>
      </c>
      <c r="D4394" s="32" t="s">
        <v>87</v>
      </c>
      <c r="E4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5" spans="1:6" x14ac:dyDescent="0.35">
      <c r="A4395" s="3">
        <v>66818726574</v>
      </c>
      <c r="B4395" s="3">
        <v>63</v>
      </c>
      <c r="C4395" s="32">
        <v>49274</v>
      </c>
      <c r="D4395" s="32" t="s">
        <v>87</v>
      </c>
      <c r="E4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6" spans="1:6" x14ac:dyDescent="0.35">
      <c r="A4396" s="3">
        <v>53374776573</v>
      </c>
      <c r="B4396" s="3">
        <v>84</v>
      </c>
      <c r="C4396" s="32">
        <v>49274</v>
      </c>
      <c r="D4396" s="32" t="s">
        <v>87</v>
      </c>
      <c r="E4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7" spans="1:6" x14ac:dyDescent="0.35">
      <c r="A4397" s="3">
        <v>15199407618</v>
      </c>
      <c r="B4397" s="3">
        <v>185</v>
      </c>
      <c r="C4397" s="32">
        <v>49274</v>
      </c>
      <c r="D4397" s="32" t="s">
        <v>87</v>
      </c>
      <c r="E4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8" spans="1:6" x14ac:dyDescent="0.35">
      <c r="A4398" s="3">
        <v>45921928864</v>
      </c>
      <c r="B4398" s="3">
        <v>9</v>
      </c>
      <c r="C4398" s="32">
        <v>49274</v>
      </c>
      <c r="D4398" s="32" t="s">
        <v>87</v>
      </c>
      <c r="E4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9" spans="1:6" x14ac:dyDescent="0.35">
      <c r="A4399" s="3">
        <v>30101894519</v>
      </c>
      <c r="B4399" s="3">
        <v>301</v>
      </c>
      <c r="C4399" s="32">
        <v>49274</v>
      </c>
      <c r="D4399" s="32" t="s">
        <v>87</v>
      </c>
      <c r="E4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0" spans="1:6" x14ac:dyDescent="0.35">
      <c r="A4400" s="3">
        <v>37470931549</v>
      </c>
      <c r="B4400" s="3">
        <v>175</v>
      </c>
      <c r="C4400" s="32">
        <v>49274</v>
      </c>
      <c r="D4400" s="32" t="s">
        <v>87</v>
      </c>
      <c r="E4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1" spans="1:6" x14ac:dyDescent="0.35">
      <c r="A4401" s="3">
        <v>56386361476</v>
      </c>
      <c r="B4401" s="3">
        <v>275</v>
      </c>
      <c r="C4401" s="32">
        <v>49274</v>
      </c>
      <c r="D4401" s="32" t="s">
        <v>87</v>
      </c>
      <c r="E4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2" spans="1:6" x14ac:dyDescent="0.35">
      <c r="A4402" s="3">
        <v>21291446773</v>
      </c>
      <c r="B4402" s="3">
        <v>54</v>
      </c>
      <c r="C4402" s="32">
        <v>49274</v>
      </c>
      <c r="D4402" s="32" t="s">
        <v>87</v>
      </c>
      <c r="E4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3" spans="1:6" x14ac:dyDescent="0.35">
      <c r="A4403" s="3">
        <v>48129028288</v>
      </c>
      <c r="B4403" s="3">
        <v>171</v>
      </c>
      <c r="C4403" s="32">
        <v>49274</v>
      </c>
      <c r="D4403" s="32" t="s">
        <v>87</v>
      </c>
      <c r="E4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4" spans="1:6" x14ac:dyDescent="0.35">
      <c r="A4404" s="3">
        <v>99326429568</v>
      </c>
      <c r="B4404" s="3">
        <v>312</v>
      </c>
      <c r="C4404" s="32">
        <v>49274</v>
      </c>
      <c r="D4404" s="32" t="s">
        <v>87</v>
      </c>
      <c r="E4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5" spans="1:6" x14ac:dyDescent="0.35">
      <c r="A4405" s="3">
        <v>76236844312</v>
      </c>
      <c r="B4405" s="3">
        <v>208</v>
      </c>
      <c r="C4405" s="32">
        <v>49274</v>
      </c>
      <c r="D4405" s="32" t="s">
        <v>87</v>
      </c>
      <c r="E4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6" spans="1:6" x14ac:dyDescent="0.35">
      <c r="A4406" s="3">
        <v>80899852413</v>
      </c>
      <c r="B4406" s="3">
        <v>40</v>
      </c>
      <c r="C4406" s="32">
        <v>49274</v>
      </c>
      <c r="D4406" s="32" t="s">
        <v>87</v>
      </c>
      <c r="E4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7" spans="1:6" x14ac:dyDescent="0.35">
      <c r="A4407" s="3">
        <v>71665296166</v>
      </c>
      <c r="B4407" s="3">
        <v>315</v>
      </c>
      <c r="C4407" s="32">
        <v>49274</v>
      </c>
      <c r="D4407" s="32" t="s">
        <v>87</v>
      </c>
      <c r="E4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8" spans="1:6" x14ac:dyDescent="0.35">
      <c r="A4408" s="3">
        <v>30347081447</v>
      </c>
      <c r="B4408" s="3">
        <v>156</v>
      </c>
      <c r="C4408" s="32">
        <v>49274</v>
      </c>
      <c r="D4408" s="32"/>
      <c r="E4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9" spans="1:6" x14ac:dyDescent="0.35">
      <c r="A4409" s="3">
        <v>22984085120</v>
      </c>
      <c r="B4409" s="3">
        <v>228</v>
      </c>
      <c r="C4409" s="32">
        <v>49274</v>
      </c>
      <c r="D4409" s="32" t="s">
        <v>87</v>
      </c>
      <c r="E4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0" spans="1:6" x14ac:dyDescent="0.35">
      <c r="A4410" s="3">
        <v>55709499360</v>
      </c>
      <c r="B4410" s="3">
        <v>135</v>
      </c>
      <c r="C4410" s="32">
        <v>49274</v>
      </c>
      <c r="D4410" s="32" t="s">
        <v>87</v>
      </c>
      <c r="E4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1" spans="1:6" x14ac:dyDescent="0.35">
      <c r="A4411" s="3">
        <v>45422941331</v>
      </c>
      <c r="B4411" s="3">
        <v>215</v>
      </c>
      <c r="C4411" s="32">
        <v>49274</v>
      </c>
      <c r="D4411" s="32" t="s">
        <v>87</v>
      </c>
      <c r="E4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2" spans="1:6" x14ac:dyDescent="0.35">
      <c r="A4412" s="3">
        <v>38557881418</v>
      </c>
      <c r="B4412" s="3">
        <v>310</v>
      </c>
      <c r="C4412" s="32">
        <v>49274</v>
      </c>
      <c r="D4412" s="32" t="s">
        <v>87</v>
      </c>
      <c r="E4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3" spans="1:6" x14ac:dyDescent="0.35">
      <c r="A4413" s="3">
        <v>25227939198</v>
      </c>
      <c r="B4413" s="3">
        <v>315</v>
      </c>
      <c r="C4413" s="32">
        <v>49274</v>
      </c>
      <c r="D4413" s="32" t="s">
        <v>87</v>
      </c>
      <c r="E4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4" spans="1:6" x14ac:dyDescent="0.35">
      <c r="A4414" s="3">
        <v>29396600050</v>
      </c>
      <c r="B4414" s="3">
        <v>13</v>
      </c>
      <c r="C4414" s="32">
        <v>49274</v>
      </c>
      <c r="D4414" s="32" t="s">
        <v>87</v>
      </c>
      <c r="E4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5" spans="1:6" x14ac:dyDescent="0.35">
      <c r="A4415" s="3">
        <v>17580087925</v>
      </c>
      <c r="B4415" s="3">
        <v>245</v>
      </c>
      <c r="C4415" s="32">
        <v>49274</v>
      </c>
      <c r="D4415" s="32" t="s">
        <v>87</v>
      </c>
      <c r="E4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6" spans="1:6" x14ac:dyDescent="0.35">
      <c r="A4416" s="3">
        <v>96307925569</v>
      </c>
      <c r="B4416" s="3">
        <v>14</v>
      </c>
      <c r="C4416" s="32">
        <v>49274</v>
      </c>
      <c r="D4416" s="32" t="s">
        <v>87</v>
      </c>
      <c r="E4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7" spans="1:6" x14ac:dyDescent="0.35">
      <c r="A4417" s="3">
        <v>39918711944</v>
      </c>
      <c r="B4417" s="3">
        <v>118</v>
      </c>
      <c r="C4417" s="32">
        <v>49274</v>
      </c>
      <c r="D4417" s="32" t="s">
        <v>87</v>
      </c>
      <c r="E4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8" spans="1:6" x14ac:dyDescent="0.35">
      <c r="A4418" s="3">
        <v>56868904870</v>
      </c>
      <c r="B4418" s="3">
        <v>210</v>
      </c>
      <c r="C4418" s="32">
        <v>49274</v>
      </c>
      <c r="D4418" s="32" t="s">
        <v>87</v>
      </c>
      <c r="E4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9" spans="1:6" x14ac:dyDescent="0.35">
      <c r="A4419" s="3">
        <v>12402051735</v>
      </c>
      <c r="B4419" s="3">
        <v>254</v>
      </c>
      <c r="C4419" s="32">
        <v>49274</v>
      </c>
      <c r="D4419" s="32">
        <v>49295</v>
      </c>
      <c r="E4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20" spans="1:6" x14ac:dyDescent="0.35">
      <c r="A4420" s="3">
        <v>76356943713</v>
      </c>
      <c r="B4420" s="3">
        <v>268</v>
      </c>
      <c r="C4420" s="32">
        <v>49274</v>
      </c>
      <c r="D4420" s="32" t="s">
        <v>87</v>
      </c>
      <c r="E4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1" spans="1:6" x14ac:dyDescent="0.35">
      <c r="A4421" s="3">
        <v>29444368039</v>
      </c>
      <c r="B4421" s="3">
        <v>226</v>
      </c>
      <c r="C4421" s="32">
        <v>49274</v>
      </c>
      <c r="D4421" s="32" t="s">
        <v>87</v>
      </c>
      <c r="E4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2" spans="1:6" x14ac:dyDescent="0.35">
      <c r="A4422" s="3">
        <v>62857026470</v>
      </c>
      <c r="B4422" s="3">
        <v>275</v>
      </c>
      <c r="C4422" s="32">
        <v>49274</v>
      </c>
      <c r="D4422" s="32" t="s">
        <v>87</v>
      </c>
      <c r="E4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3" spans="1:6" x14ac:dyDescent="0.35">
      <c r="A4423" s="3">
        <v>71179547966</v>
      </c>
      <c r="B4423" s="3">
        <v>125</v>
      </c>
      <c r="C4423" s="32">
        <v>49274</v>
      </c>
      <c r="D4423" s="32">
        <v>49321</v>
      </c>
      <c r="E4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24" spans="1:6" x14ac:dyDescent="0.35">
      <c r="A4424" s="3">
        <v>29740865910</v>
      </c>
      <c r="B4424" s="3">
        <v>277</v>
      </c>
      <c r="C4424" s="32">
        <v>49275</v>
      </c>
      <c r="D4424" s="32" t="s">
        <v>87</v>
      </c>
      <c r="E4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5" spans="1:6" x14ac:dyDescent="0.35">
      <c r="A4425" s="3">
        <v>43604527256</v>
      </c>
      <c r="B4425" s="3">
        <v>274</v>
      </c>
      <c r="C4425" s="32">
        <v>49275</v>
      </c>
      <c r="D4425" s="32" t="s">
        <v>87</v>
      </c>
      <c r="E4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6" spans="1:6" x14ac:dyDescent="0.35">
      <c r="A4426" s="3">
        <v>30873619833</v>
      </c>
      <c r="B4426" s="3">
        <v>286</v>
      </c>
      <c r="C4426" s="32">
        <v>49275</v>
      </c>
      <c r="D4426" s="32" t="s">
        <v>87</v>
      </c>
      <c r="E4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7" spans="1:6" x14ac:dyDescent="0.35">
      <c r="A4427" s="3">
        <v>71987675368</v>
      </c>
      <c r="B4427" s="3">
        <v>28</v>
      </c>
      <c r="C4427" s="32">
        <v>49275</v>
      </c>
      <c r="D4427" s="32" t="s">
        <v>87</v>
      </c>
      <c r="E4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8" spans="1:6" x14ac:dyDescent="0.35">
      <c r="A4428" s="3">
        <v>79662914943</v>
      </c>
      <c r="B4428" s="3">
        <v>69</v>
      </c>
      <c r="C4428" s="32">
        <v>49275</v>
      </c>
      <c r="D4428" s="32" t="s">
        <v>87</v>
      </c>
      <c r="E4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9" spans="1:6" x14ac:dyDescent="0.35">
      <c r="A4429" s="3">
        <v>30697506390</v>
      </c>
      <c r="B4429" s="3">
        <v>188</v>
      </c>
      <c r="C4429" s="32">
        <v>49275</v>
      </c>
      <c r="D4429" s="32">
        <v>49301</v>
      </c>
      <c r="E4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30" spans="1:6" x14ac:dyDescent="0.35">
      <c r="A4430" s="3">
        <v>83192032056</v>
      </c>
      <c r="B4430" s="3">
        <v>298</v>
      </c>
      <c r="C4430" s="32">
        <v>49275</v>
      </c>
      <c r="D4430" s="32" t="s">
        <v>87</v>
      </c>
      <c r="E4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1" spans="1:6" x14ac:dyDescent="0.35">
      <c r="A4431" s="3">
        <v>41456465546</v>
      </c>
      <c r="B4431" s="3">
        <v>6</v>
      </c>
      <c r="C4431" s="32">
        <v>49275</v>
      </c>
      <c r="D4431" s="32" t="s">
        <v>87</v>
      </c>
      <c r="E4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2" spans="1:6" x14ac:dyDescent="0.35">
      <c r="A4432" s="3">
        <v>17414838629</v>
      </c>
      <c r="B4432" s="3">
        <v>92</v>
      </c>
      <c r="C4432" s="32">
        <v>49275</v>
      </c>
      <c r="D4432" s="32" t="s">
        <v>87</v>
      </c>
      <c r="E4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3" spans="1:6" x14ac:dyDescent="0.35">
      <c r="A4433" s="3">
        <v>39532468489</v>
      </c>
      <c r="B4433" s="3">
        <v>53</v>
      </c>
      <c r="C4433" s="32">
        <v>49275</v>
      </c>
      <c r="D4433" s="32" t="s">
        <v>87</v>
      </c>
      <c r="E4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4" spans="1:6" x14ac:dyDescent="0.35">
      <c r="A4434" s="3">
        <v>59053992093</v>
      </c>
      <c r="B4434" s="3">
        <v>68</v>
      </c>
      <c r="C4434" s="32">
        <v>49275</v>
      </c>
      <c r="D4434" s="32"/>
      <c r="E4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5" spans="1:6" x14ac:dyDescent="0.35">
      <c r="A4435" s="3">
        <v>90707605293</v>
      </c>
      <c r="B4435" s="3">
        <v>206</v>
      </c>
      <c r="C4435" s="32">
        <v>49275</v>
      </c>
      <c r="D4435" s="32" t="s">
        <v>87</v>
      </c>
      <c r="E4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6" spans="1:6" x14ac:dyDescent="0.35">
      <c r="A4436" s="3">
        <v>11951834709</v>
      </c>
      <c r="B4436" s="3">
        <v>136</v>
      </c>
      <c r="C4436" s="32">
        <v>49275</v>
      </c>
      <c r="D4436" s="32" t="s">
        <v>87</v>
      </c>
      <c r="E4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7" spans="1:6" x14ac:dyDescent="0.35">
      <c r="A4437" s="3">
        <v>46235679482</v>
      </c>
      <c r="B4437" s="3">
        <v>70</v>
      </c>
      <c r="C4437" s="32">
        <v>49275</v>
      </c>
      <c r="D4437" s="32" t="s">
        <v>87</v>
      </c>
      <c r="E4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8" spans="1:6" x14ac:dyDescent="0.35">
      <c r="A4438" s="3">
        <v>20036531474</v>
      </c>
      <c r="B4438" s="3">
        <v>23</v>
      </c>
      <c r="C4438" s="32">
        <v>49275</v>
      </c>
      <c r="D4438" s="32" t="s">
        <v>87</v>
      </c>
      <c r="E4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9" spans="1:6" x14ac:dyDescent="0.35">
      <c r="A4439" s="3">
        <v>29009401907</v>
      </c>
      <c r="B4439" s="3">
        <v>60</v>
      </c>
      <c r="C4439" s="32">
        <v>49275</v>
      </c>
      <c r="D4439" s="32" t="s">
        <v>87</v>
      </c>
      <c r="E4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0" spans="1:6" x14ac:dyDescent="0.35">
      <c r="A4440" s="3">
        <v>42029583541</v>
      </c>
      <c r="B4440" s="3">
        <v>334</v>
      </c>
      <c r="C4440" s="32">
        <v>49275</v>
      </c>
      <c r="D4440" s="32"/>
      <c r="E4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1" spans="1:6" x14ac:dyDescent="0.35">
      <c r="A4441" s="3">
        <v>53502039245</v>
      </c>
      <c r="B4441" s="3">
        <v>324</v>
      </c>
      <c r="C4441" s="32">
        <v>49275</v>
      </c>
      <c r="D4441" s="32" t="s">
        <v>87</v>
      </c>
      <c r="E4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2" spans="1:6" x14ac:dyDescent="0.35">
      <c r="A4442" s="3">
        <v>54035600658</v>
      </c>
      <c r="B4442" s="3">
        <v>161</v>
      </c>
      <c r="C4442" s="32">
        <v>49275</v>
      </c>
      <c r="D4442" s="32" t="s">
        <v>87</v>
      </c>
      <c r="E4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3" spans="1:6" x14ac:dyDescent="0.35">
      <c r="A4443" s="3">
        <v>79575584873</v>
      </c>
      <c r="B4443" s="3">
        <v>227</v>
      </c>
      <c r="C4443" s="32">
        <v>49275</v>
      </c>
      <c r="D4443" s="32" t="s">
        <v>87</v>
      </c>
      <c r="E4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4" spans="1:6" x14ac:dyDescent="0.35">
      <c r="A4444" s="3">
        <v>71740054545</v>
      </c>
      <c r="B4444" s="3">
        <v>53</v>
      </c>
      <c r="C4444" s="32">
        <v>49275</v>
      </c>
      <c r="D4444" s="32" t="s">
        <v>87</v>
      </c>
      <c r="E4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5" spans="1:6" x14ac:dyDescent="0.35">
      <c r="A4445" s="3">
        <v>58332506698</v>
      </c>
      <c r="B4445" s="3">
        <v>261</v>
      </c>
      <c r="C4445" s="32">
        <v>49275</v>
      </c>
      <c r="D4445" s="32" t="s">
        <v>87</v>
      </c>
      <c r="E4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6" spans="1:6" x14ac:dyDescent="0.35">
      <c r="A4446" s="3">
        <v>36790532307</v>
      </c>
      <c r="B4446" s="3">
        <v>45</v>
      </c>
      <c r="C4446" s="32">
        <v>49275</v>
      </c>
      <c r="D4446" s="32">
        <v>49286</v>
      </c>
      <c r="E4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47" spans="1:6" x14ac:dyDescent="0.35">
      <c r="A4447" s="3">
        <v>92583264164</v>
      </c>
      <c r="B4447" s="3">
        <v>7</v>
      </c>
      <c r="C4447" s="32">
        <v>49275</v>
      </c>
      <c r="D4447" s="32">
        <v>49318</v>
      </c>
      <c r="E4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48" spans="1:6" x14ac:dyDescent="0.35">
      <c r="A4448" s="3">
        <v>57575185657</v>
      </c>
      <c r="B4448" s="3">
        <v>38</v>
      </c>
      <c r="C4448" s="32">
        <v>49275</v>
      </c>
      <c r="D4448" s="32" t="s">
        <v>87</v>
      </c>
      <c r="E4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9" spans="1:6" x14ac:dyDescent="0.35">
      <c r="A4449" s="3">
        <v>95265282228</v>
      </c>
      <c r="B4449" s="3">
        <v>3</v>
      </c>
      <c r="C4449" s="32">
        <v>49275</v>
      </c>
      <c r="D4449" s="32" t="s">
        <v>87</v>
      </c>
      <c r="E4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0" spans="1:6" x14ac:dyDescent="0.35">
      <c r="A4450" s="3">
        <v>16403229179</v>
      </c>
      <c r="B4450" s="3">
        <v>62</v>
      </c>
      <c r="C4450" s="32">
        <v>49275</v>
      </c>
      <c r="D4450" s="32" t="s">
        <v>87</v>
      </c>
      <c r="E4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1" spans="1:6" x14ac:dyDescent="0.35">
      <c r="A4451" s="3">
        <v>76360850010</v>
      </c>
      <c r="B4451" s="3">
        <v>293</v>
      </c>
      <c r="C4451" s="32">
        <v>49275</v>
      </c>
      <c r="D4451" s="32" t="s">
        <v>87</v>
      </c>
      <c r="E4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2" spans="1:6" x14ac:dyDescent="0.35">
      <c r="A4452" s="3">
        <v>57906132903</v>
      </c>
      <c r="B4452" s="3">
        <v>177</v>
      </c>
      <c r="C4452" s="32">
        <v>49275</v>
      </c>
      <c r="D4452" s="32" t="s">
        <v>87</v>
      </c>
      <c r="E4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3" spans="1:6" x14ac:dyDescent="0.35">
      <c r="A4453" s="3">
        <v>28400068157</v>
      </c>
      <c r="B4453" s="3">
        <v>43</v>
      </c>
      <c r="C4453" s="32">
        <v>49275</v>
      </c>
      <c r="D4453" s="32" t="s">
        <v>87</v>
      </c>
      <c r="E4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4" spans="1:6" x14ac:dyDescent="0.35">
      <c r="A4454" s="3">
        <v>71454487360</v>
      </c>
      <c r="B4454" s="3">
        <v>293</v>
      </c>
      <c r="C4454" s="32">
        <v>49275</v>
      </c>
      <c r="D4454" s="32" t="s">
        <v>87</v>
      </c>
      <c r="E4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5" spans="1:6" x14ac:dyDescent="0.35">
      <c r="A4455" s="3">
        <v>51423827776</v>
      </c>
      <c r="B4455" s="3">
        <v>261</v>
      </c>
      <c r="C4455" s="32">
        <v>49275</v>
      </c>
      <c r="D4455" s="32">
        <v>49313</v>
      </c>
      <c r="E4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56" spans="1:6" x14ac:dyDescent="0.35">
      <c r="A4456" s="3">
        <v>77512600877</v>
      </c>
      <c r="B4456" s="3">
        <v>232</v>
      </c>
      <c r="C4456" s="32">
        <v>49275</v>
      </c>
      <c r="D4456" s="32" t="s">
        <v>87</v>
      </c>
      <c r="E4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7" spans="1:6" x14ac:dyDescent="0.35">
      <c r="A4457" s="3">
        <v>78443249141</v>
      </c>
      <c r="B4457" s="3">
        <v>199</v>
      </c>
      <c r="C4457" s="32">
        <v>49275</v>
      </c>
      <c r="D4457" s="32"/>
      <c r="E4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8" spans="1:6" x14ac:dyDescent="0.35">
      <c r="A4458" s="3">
        <v>93167486665</v>
      </c>
      <c r="B4458" s="3">
        <v>266</v>
      </c>
      <c r="C4458" s="32">
        <v>49275</v>
      </c>
      <c r="D4458" s="32" t="s">
        <v>87</v>
      </c>
      <c r="E4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9" spans="1:6" x14ac:dyDescent="0.35">
      <c r="A4459" s="3">
        <v>31513104162</v>
      </c>
      <c r="B4459" s="3">
        <v>262</v>
      </c>
      <c r="C4459" s="32">
        <v>49275</v>
      </c>
      <c r="D4459" s="32" t="s">
        <v>87</v>
      </c>
      <c r="E4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0" spans="1:6" x14ac:dyDescent="0.35">
      <c r="A4460" s="3">
        <v>65955868166</v>
      </c>
      <c r="B4460" s="3">
        <v>192</v>
      </c>
      <c r="C4460" s="32">
        <v>49275</v>
      </c>
      <c r="D4460" s="32" t="s">
        <v>87</v>
      </c>
      <c r="E4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1" spans="1:6" x14ac:dyDescent="0.35">
      <c r="A4461" s="3">
        <v>73922567551</v>
      </c>
      <c r="B4461" s="3">
        <v>197</v>
      </c>
      <c r="C4461" s="32">
        <v>49275</v>
      </c>
      <c r="D4461" s="32" t="s">
        <v>87</v>
      </c>
      <c r="E4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2" spans="1:6" x14ac:dyDescent="0.35">
      <c r="A4462" s="3">
        <v>92983205052</v>
      </c>
      <c r="B4462" s="3">
        <v>137</v>
      </c>
      <c r="C4462" s="32">
        <v>49275</v>
      </c>
      <c r="D4462" s="32">
        <v>49323</v>
      </c>
      <c r="E4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63" spans="1:6" x14ac:dyDescent="0.35">
      <c r="A4463" s="3">
        <v>79454448649</v>
      </c>
      <c r="B4463" s="3">
        <v>170</v>
      </c>
      <c r="C4463" s="32">
        <v>49275</v>
      </c>
      <c r="D4463" s="32" t="s">
        <v>87</v>
      </c>
      <c r="E4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4" spans="1:6" x14ac:dyDescent="0.35">
      <c r="A4464" s="3">
        <v>26385694909</v>
      </c>
      <c r="B4464" s="3">
        <v>172</v>
      </c>
      <c r="C4464" s="32">
        <v>49276</v>
      </c>
      <c r="D4464" s="32"/>
      <c r="E4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5" spans="1:6" x14ac:dyDescent="0.35">
      <c r="A4465" s="3">
        <v>72467247730</v>
      </c>
      <c r="B4465" s="3">
        <v>121</v>
      </c>
      <c r="C4465" s="32">
        <v>49276</v>
      </c>
      <c r="D4465" s="32"/>
      <c r="E4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6" spans="1:6" x14ac:dyDescent="0.35">
      <c r="A4466" s="3">
        <v>33931665612</v>
      </c>
      <c r="B4466" s="3">
        <v>206</v>
      </c>
      <c r="C4466" s="32">
        <v>49276</v>
      </c>
      <c r="D4466" s="32" t="s">
        <v>87</v>
      </c>
      <c r="E4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7" spans="1:6" x14ac:dyDescent="0.35">
      <c r="A4467" s="3">
        <v>78711392660</v>
      </c>
      <c r="B4467" s="3">
        <v>41</v>
      </c>
      <c r="C4467" s="32">
        <v>49276</v>
      </c>
      <c r="D4467" s="32" t="s">
        <v>87</v>
      </c>
      <c r="E4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8" spans="1:6" x14ac:dyDescent="0.35">
      <c r="A4468" s="3">
        <v>63324725853</v>
      </c>
      <c r="B4468" s="3">
        <v>307</v>
      </c>
      <c r="C4468" s="32">
        <v>49276</v>
      </c>
      <c r="D4468" s="32" t="s">
        <v>87</v>
      </c>
      <c r="E4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9" spans="1:6" x14ac:dyDescent="0.35">
      <c r="A4469" s="3">
        <v>18984027606</v>
      </c>
      <c r="B4469" s="3">
        <v>233</v>
      </c>
      <c r="C4469" s="32">
        <v>49276</v>
      </c>
      <c r="D4469" s="32"/>
      <c r="E4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0" spans="1:6" x14ac:dyDescent="0.35">
      <c r="A4470" s="3">
        <v>37749355353</v>
      </c>
      <c r="B4470" s="3">
        <v>320</v>
      </c>
      <c r="C4470" s="32">
        <v>49276</v>
      </c>
      <c r="D4470" s="32" t="s">
        <v>87</v>
      </c>
      <c r="E4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1" spans="1:6" x14ac:dyDescent="0.35">
      <c r="A4471" s="3">
        <v>75134143839</v>
      </c>
      <c r="B4471" s="3">
        <v>16</v>
      </c>
      <c r="C4471" s="32">
        <v>49276</v>
      </c>
      <c r="D4471" s="32" t="s">
        <v>87</v>
      </c>
      <c r="E4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2" spans="1:6" x14ac:dyDescent="0.35">
      <c r="A4472" s="3">
        <v>94079045689</v>
      </c>
      <c r="B4472" s="3">
        <v>74</v>
      </c>
      <c r="C4472" s="32">
        <v>49276</v>
      </c>
      <c r="D4472" s="32" t="s">
        <v>87</v>
      </c>
      <c r="E4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3" spans="1:6" x14ac:dyDescent="0.35">
      <c r="A4473" s="3">
        <v>63767459617</v>
      </c>
      <c r="B4473" s="3">
        <v>42</v>
      </c>
      <c r="C4473" s="32">
        <v>49276</v>
      </c>
      <c r="D4473" s="32" t="s">
        <v>87</v>
      </c>
      <c r="E4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4" spans="1:6" x14ac:dyDescent="0.35">
      <c r="A4474" s="3">
        <v>21450752315</v>
      </c>
      <c r="B4474" s="3">
        <v>312</v>
      </c>
      <c r="C4474" s="32">
        <v>49276</v>
      </c>
      <c r="D4474" s="32">
        <v>49306</v>
      </c>
      <c r="E4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75" spans="1:6" x14ac:dyDescent="0.35">
      <c r="A4475" s="3">
        <v>26688152468</v>
      </c>
      <c r="B4475" s="3">
        <v>55</v>
      </c>
      <c r="C4475" s="32">
        <v>49276</v>
      </c>
      <c r="D4475" s="32" t="s">
        <v>87</v>
      </c>
      <c r="E4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6" spans="1:6" x14ac:dyDescent="0.35">
      <c r="A4476" s="3">
        <v>28469636744</v>
      </c>
      <c r="B4476" s="3">
        <v>278</v>
      </c>
      <c r="C4476" s="32">
        <v>49276</v>
      </c>
      <c r="D4476" s="32" t="s">
        <v>87</v>
      </c>
      <c r="E4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7" spans="1:6" x14ac:dyDescent="0.35">
      <c r="A4477" s="3">
        <v>42469427601</v>
      </c>
      <c r="B4477" s="3">
        <v>44</v>
      </c>
      <c r="C4477" s="32">
        <v>49276</v>
      </c>
      <c r="D4477" s="32" t="s">
        <v>87</v>
      </c>
      <c r="E4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8" spans="1:6" x14ac:dyDescent="0.35">
      <c r="A4478" s="3">
        <v>27911215463</v>
      </c>
      <c r="B4478" s="3">
        <v>175</v>
      </c>
      <c r="C4478" s="32">
        <v>49276</v>
      </c>
      <c r="D4478" s="32" t="s">
        <v>87</v>
      </c>
      <c r="E4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9" spans="1:6" x14ac:dyDescent="0.35">
      <c r="A4479" s="3">
        <v>23624147919</v>
      </c>
      <c r="B4479" s="3">
        <v>118</v>
      </c>
      <c r="C4479" s="32">
        <v>49276</v>
      </c>
      <c r="D4479" s="32"/>
      <c r="E4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0" spans="1:6" x14ac:dyDescent="0.35">
      <c r="A4480" s="3">
        <v>42566272988</v>
      </c>
      <c r="B4480" s="3">
        <v>83</v>
      </c>
      <c r="C4480" s="32">
        <v>49276</v>
      </c>
      <c r="D4480" s="32" t="s">
        <v>87</v>
      </c>
      <c r="E4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1" spans="1:6" x14ac:dyDescent="0.35">
      <c r="A4481" s="3">
        <v>86530940303</v>
      </c>
      <c r="B4481" s="3">
        <v>61</v>
      </c>
      <c r="C4481" s="32">
        <v>49276</v>
      </c>
      <c r="D4481" s="32"/>
      <c r="E4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2" spans="1:6" x14ac:dyDescent="0.35">
      <c r="A4482" s="3">
        <v>72313790066</v>
      </c>
      <c r="B4482" s="3">
        <v>228</v>
      </c>
      <c r="C4482" s="32">
        <v>49276</v>
      </c>
      <c r="D4482" s="32" t="s">
        <v>87</v>
      </c>
      <c r="E4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3" spans="1:6" x14ac:dyDescent="0.35">
      <c r="A4483" s="3">
        <v>62981553389</v>
      </c>
      <c r="B4483" s="3">
        <v>55</v>
      </c>
      <c r="C4483" s="32">
        <v>49276</v>
      </c>
      <c r="D4483" s="32" t="s">
        <v>87</v>
      </c>
      <c r="E4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4" spans="1:6" x14ac:dyDescent="0.35">
      <c r="A4484" s="3">
        <v>89908291189</v>
      </c>
      <c r="B4484" s="3">
        <v>288</v>
      </c>
      <c r="C4484" s="32">
        <v>49276</v>
      </c>
      <c r="D4484" s="32" t="s">
        <v>87</v>
      </c>
      <c r="E4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5" spans="1:6" x14ac:dyDescent="0.35">
      <c r="A4485" s="3">
        <v>54517369121</v>
      </c>
      <c r="B4485" s="3">
        <v>340</v>
      </c>
      <c r="C4485" s="32">
        <v>49276</v>
      </c>
      <c r="D4485" s="32" t="s">
        <v>87</v>
      </c>
      <c r="E4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6" spans="1:6" x14ac:dyDescent="0.35">
      <c r="A4486" s="3">
        <v>71585684200</v>
      </c>
      <c r="B4486" s="3">
        <v>261</v>
      </c>
      <c r="C4486" s="32">
        <v>49276</v>
      </c>
      <c r="D4486" s="32"/>
      <c r="E4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7" spans="1:6" x14ac:dyDescent="0.35">
      <c r="A4487" s="3">
        <v>86953553873</v>
      </c>
      <c r="B4487" s="3">
        <v>138</v>
      </c>
      <c r="C4487" s="32">
        <v>49276</v>
      </c>
      <c r="D4487" s="32" t="s">
        <v>87</v>
      </c>
      <c r="E4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8" spans="1:6" x14ac:dyDescent="0.35">
      <c r="A4488" s="3">
        <v>73833881908</v>
      </c>
      <c r="B4488" s="3">
        <v>46</v>
      </c>
      <c r="C4488" s="32">
        <v>49277</v>
      </c>
      <c r="D4488" s="32">
        <v>49307</v>
      </c>
      <c r="E4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89" spans="1:6" x14ac:dyDescent="0.35">
      <c r="A4489" s="3">
        <v>76241247557</v>
      </c>
      <c r="B4489" s="3">
        <v>81</v>
      </c>
      <c r="C4489" s="32">
        <v>49277</v>
      </c>
      <c r="D4489" s="32"/>
      <c r="E4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0" spans="1:6" x14ac:dyDescent="0.35">
      <c r="A4490" s="3">
        <v>87716314936</v>
      </c>
      <c r="B4490" s="3">
        <v>3</v>
      </c>
      <c r="C4490" s="32">
        <v>49277</v>
      </c>
      <c r="D4490" s="32" t="s">
        <v>87</v>
      </c>
      <c r="E4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1" spans="1:6" x14ac:dyDescent="0.35">
      <c r="A4491" s="3">
        <v>11908150166</v>
      </c>
      <c r="B4491" s="3">
        <v>68</v>
      </c>
      <c r="C4491" s="32">
        <v>49277</v>
      </c>
      <c r="D4491" s="32">
        <v>49303</v>
      </c>
      <c r="E4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92" spans="1:6" x14ac:dyDescent="0.35">
      <c r="A4492" s="3">
        <v>40121472962</v>
      </c>
      <c r="B4492" s="3">
        <v>22</v>
      </c>
      <c r="C4492" s="32">
        <v>49277</v>
      </c>
      <c r="D4492" s="32"/>
      <c r="E4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3" spans="1:6" x14ac:dyDescent="0.35">
      <c r="A4493" s="3">
        <v>93441312295</v>
      </c>
      <c r="B4493" s="3">
        <v>31</v>
      </c>
      <c r="C4493" s="32">
        <v>49277</v>
      </c>
      <c r="D4493" s="32" t="s">
        <v>87</v>
      </c>
      <c r="E4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4" spans="1:6" x14ac:dyDescent="0.35">
      <c r="A4494" s="3">
        <v>92916111189</v>
      </c>
      <c r="B4494" s="3">
        <v>258</v>
      </c>
      <c r="C4494" s="32">
        <v>49277</v>
      </c>
      <c r="D4494" s="32" t="s">
        <v>87</v>
      </c>
      <c r="E4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5" spans="1:6" x14ac:dyDescent="0.35">
      <c r="A4495" s="3">
        <v>82016804968</v>
      </c>
      <c r="B4495" s="3">
        <v>197</v>
      </c>
      <c r="C4495" s="32">
        <v>49277</v>
      </c>
      <c r="D4495" s="32" t="s">
        <v>87</v>
      </c>
      <c r="E4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6" spans="1:6" x14ac:dyDescent="0.35">
      <c r="A4496" s="3">
        <v>35468842800</v>
      </c>
      <c r="B4496" s="3">
        <v>13</v>
      </c>
      <c r="C4496" s="32">
        <v>49277</v>
      </c>
      <c r="D4496" s="32" t="s">
        <v>87</v>
      </c>
      <c r="E4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7" spans="1:6" x14ac:dyDescent="0.35">
      <c r="A4497" s="3">
        <v>80120727617</v>
      </c>
      <c r="B4497" s="3">
        <v>141</v>
      </c>
      <c r="C4497" s="32">
        <v>49277</v>
      </c>
      <c r="D4497" s="32" t="s">
        <v>87</v>
      </c>
      <c r="E4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8" spans="1:6" x14ac:dyDescent="0.35">
      <c r="A4498" s="3">
        <v>12745549400</v>
      </c>
      <c r="B4498" s="3">
        <v>143</v>
      </c>
      <c r="C4498" s="32">
        <v>49277</v>
      </c>
      <c r="D4498" s="32" t="s">
        <v>87</v>
      </c>
      <c r="E4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9" spans="1:6" x14ac:dyDescent="0.35">
      <c r="A4499" s="3">
        <v>51108246119</v>
      </c>
      <c r="B4499" s="3">
        <v>273</v>
      </c>
      <c r="C4499" s="32">
        <v>49277</v>
      </c>
      <c r="D4499" s="32" t="s">
        <v>87</v>
      </c>
      <c r="E4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0" spans="1:6" x14ac:dyDescent="0.35">
      <c r="A4500" s="3">
        <v>73910691197</v>
      </c>
      <c r="B4500" s="3">
        <v>268</v>
      </c>
      <c r="C4500" s="32">
        <v>49277</v>
      </c>
      <c r="D4500" s="32" t="s">
        <v>87</v>
      </c>
      <c r="E4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1" spans="1:6" x14ac:dyDescent="0.35">
      <c r="A4501" s="3">
        <v>18270055991</v>
      </c>
      <c r="B4501" s="3">
        <v>241</v>
      </c>
      <c r="C4501" s="32">
        <v>49277</v>
      </c>
      <c r="D4501" s="32" t="s">
        <v>87</v>
      </c>
      <c r="E4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2" spans="1:6" x14ac:dyDescent="0.35">
      <c r="A4502" s="3">
        <v>91534604976</v>
      </c>
      <c r="B4502" s="3">
        <v>157</v>
      </c>
      <c r="C4502" s="32">
        <v>49277</v>
      </c>
      <c r="D4502" s="32" t="s">
        <v>87</v>
      </c>
      <c r="E4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3" spans="1:6" x14ac:dyDescent="0.35">
      <c r="A4503" s="3">
        <v>15026796053</v>
      </c>
      <c r="B4503" s="3">
        <v>313</v>
      </c>
      <c r="C4503" s="32">
        <v>49277</v>
      </c>
      <c r="D4503" s="32" t="s">
        <v>87</v>
      </c>
      <c r="E4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4" spans="1:6" x14ac:dyDescent="0.35">
      <c r="A4504" s="3">
        <v>27246005832</v>
      </c>
      <c r="B4504" s="3">
        <v>221</v>
      </c>
      <c r="C4504" s="32">
        <v>49277</v>
      </c>
      <c r="D4504" s="32" t="s">
        <v>87</v>
      </c>
      <c r="E4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5" spans="1:6" x14ac:dyDescent="0.35">
      <c r="A4505" s="3">
        <v>66226512227</v>
      </c>
      <c r="B4505" s="3">
        <v>149</v>
      </c>
      <c r="C4505" s="32">
        <v>49277</v>
      </c>
      <c r="D4505" s="32" t="s">
        <v>87</v>
      </c>
      <c r="E4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6" spans="1:6" x14ac:dyDescent="0.35">
      <c r="A4506" s="3">
        <v>68335981526</v>
      </c>
      <c r="B4506" s="3">
        <v>1</v>
      </c>
      <c r="C4506" s="32">
        <v>49277</v>
      </c>
      <c r="D4506" s="32" t="s">
        <v>87</v>
      </c>
      <c r="E4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7" spans="1:6" x14ac:dyDescent="0.35">
      <c r="A4507" s="3">
        <v>68579997407</v>
      </c>
      <c r="B4507" s="3">
        <v>128</v>
      </c>
      <c r="C4507" s="32">
        <v>49277</v>
      </c>
      <c r="D4507" s="32"/>
      <c r="E4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8" spans="1:6" x14ac:dyDescent="0.35">
      <c r="A4508" s="3">
        <v>60754596586</v>
      </c>
      <c r="B4508" s="3">
        <v>166</v>
      </c>
      <c r="C4508" s="32">
        <v>49277</v>
      </c>
      <c r="D4508" s="32" t="s">
        <v>87</v>
      </c>
      <c r="E4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9" spans="1:6" x14ac:dyDescent="0.35">
      <c r="A4509" s="3">
        <v>84453342707</v>
      </c>
      <c r="B4509" s="3">
        <v>206</v>
      </c>
      <c r="C4509" s="32">
        <v>49277</v>
      </c>
      <c r="D4509" s="32" t="s">
        <v>87</v>
      </c>
      <c r="E4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0" spans="1:6" x14ac:dyDescent="0.35">
      <c r="A4510" s="3">
        <v>63350288247</v>
      </c>
      <c r="B4510" s="3">
        <v>14</v>
      </c>
      <c r="C4510" s="32">
        <v>49277</v>
      </c>
      <c r="D4510" s="32" t="s">
        <v>87</v>
      </c>
      <c r="E4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1" spans="1:6" x14ac:dyDescent="0.35">
      <c r="A4511" s="3">
        <v>43235971774</v>
      </c>
      <c r="B4511" s="3">
        <v>160</v>
      </c>
      <c r="C4511" s="32">
        <v>49277</v>
      </c>
      <c r="D4511" s="32"/>
      <c r="E4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2" spans="1:6" x14ac:dyDescent="0.35">
      <c r="A4512" s="3">
        <v>35809616344</v>
      </c>
      <c r="B4512" s="3">
        <v>100</v>
      </c>
      <c r="C4512" s="32">
        <v>49277</v>
      </c>
      <c r="D4512" s="32" t="s">
        <v>87</v>
      </c>
      <c r="E4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3" spans="1:6" x14ac:dyDescent="0.35">
      <c r="A4513" s="3">
        <v>66094413508</v>
      </c>
      <c r="B4513" s="3">
        <v>281</v>
      </c>
      <c r="C4513" s="32">
        <v>49277</v>
      </c>
      <c r="D4513" s="32" t="s">
        <v>87</v>
      </c>
      <c r="E4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4" spans="1:6" x14ac:dyDescent="0.35">
      <c r="A4514" s="3">
        <v>39807373068</v>
      </c>
      <c r="B4514" s="3">
        <v>55</v>
      </c>
      <c r="C4514" s="32">
        <v>49277</v>
      </c>
      <c r="D4514" s="32" t="s">
        <v>87</v>
      </c>
      <c r="E4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5" spans="1:6" x14ac:dyDescent="0.35">
      <c r="A4515" s="3">
        <v>51824716599</v>
      </c>
      <c r="B4515" s="3">
        <v>174</v>
      </c>
      <c r="C4515" s="32">
        <v>49277</v>
      </c>
      <c r="D4515" s="32" t="s">
        <v>87</v>
      </c>
      <c r="E4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6" spans="1:6" x14ac:dyDescent="0.35">
      <c r="A4516" s="3">
        <v>72535105738</v>
      </c>
      <c r="B4516" s="3">
        <v>146</v>
      </c>
      <c r="C4516" s="32">
        <v>49277</v>
      </c>
      <c r="D4516" s="32" t="s">
        <v>87</v>
      </c>
      <c r="E4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7" spans="1:6" x14ac:dyDescent="0.35">
      <c r="A4517" s="3">
        <v>30298780517</v>
      </c>
      <c r="B4517" s="3">
        <v>55</v>
      </c>
      <c r="C4517" s="32">
        <v>49278</v>
      </c>
      <c r="D4517" s="32" t="s">
        <v>87</v>
      </c>
      <c r="E4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8" spans="1:6" x14ac:dyDescent="0.35">
      <c r="A4518" s="3">
        <v>99832378917</v>
      </c>
      <c r="B4518" s="3">
        <v>159</v>
      </c>
      <c r="C4518" s="32">
        <v>49278</v>
      </c>
      <c r="D4518" s="32" t="s">
        <v>87</v>
      </c>
      <c r="E4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9" spans="1:6" x14ac:dyDescent="0.35">
      <c r="A4519" s="3">
        <v>39628150589</v>
      </c>
      <c r="B4519" s="3">
        <v>248</v>
      </c>
      <c r="C4519" s="32">
        <v>49278</v>
      </c>
      <c r="D4519" s="32"/>
      <c r="E4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0" spans="1:6" x14ac:dyDescent="0.35">
      <c r="A4520" s="3">
        <v>26463626700</v>
      </c>
      <c r="B4520" s="3">
        <v>54</v>
      </c>
      <c r="C4520" s="32">
        <v>49278</v>
      </c>
      <c r="D4520" s="32">
        <v>49337</v>
      </c>
      <c r="E4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21" spans="1:6" x14ac:dyDescent="0.35">
      <c r="A4521" s="3">
        <v>58585862218</v>
      </c>
      <c r="B4521" s="3">
        <v>239</v>
      </c>
      <c r="C4521" s="32">
        <v>49278</v>
      </c>
      <c r="D4521" s="32"/>
      <c r="E4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2" spans="1:6" x14ac:dyDescent="0.35">
      <c r="A4522" s="3">
        <v>45530773879</v>
      </c>
      <c r="B4522" s="3">
        <v>330</v>
      </c>
      <c r="C4522" s="32">
        <v>49278</v>
      </c>
      <c r="D4522" s="32">
        <v>49291</v>
      </c>
      <c r="E4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523" spans="1:6" x14ac:dyDescent="0.35">
      <c r="A4523" s="3">
        <v>94026047188</v>
      </c>
      <c r="B4523" s="3">
        <v>136</v>
      </c>
      <c r="C4523" s="32">
        <v>49278</v>
      </c>
      <c r="D4523" s="32" t="s">
        <v>87</v>
      </c>
      <c r="E4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4" spans="1:6" x14ac:dyDescent="0.35">
      <c r="A4524" s="3">
        <v>12478520818</v>
      </c>
      <c r="B4524" s="3">
        <v>331</v>
      </c>
      <c r="C4524" s="32">
        <v>49278</v>
      </c>
      <c r="D4524" s="32" t="s">
        <v>87</v>
      </c>
      <c r="E4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5" spans="1:6" x14ac:dyDescent="0.35">
      <c r="A4525" s="3">
        <v>86596874174</v>
      </c>
      <c r="B4525" s="3">
        <v>203</v>
      </c>
      <c r="C4525" s="32">
        <v>49278</v>
      </c>
      <c r="D4525" s="32" t="s">
        <v>87</v>
      </c>
      <c r="E4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6" spans="1:6" x14ac:dyDescent="0.35">
      <c r="A4526" s="3">
        <v>59464176959</v>
      </c>
      <c r="B4526" s="3">
        <v>287</v>
      </c>
      <c r="C4526" s="32">
        <v>49278</v>
      </c>
      <c r="D4526" s="32" t="s">
        <v>87</v>
      </c>
      <c r="E4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7" spans="1:6" x14ac:dyDescent="0.35">
      <c r="A4527" s="3">
        <v>73239809276</v>
      </c>
      <c r="B4527" s="3">
        <v>97</v>
      </c>
      <c r="C4527" s="32">
        <v>49278</v>
      </c>
      <c r="D4527" s="32"/>
      <c r="E4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8" spans="1:6" x14ac:dyDescent="0.35">
      <c r="A4528" s="3">
        <v>22322404423</v>
      </c>
      <c r="B4528" s="3">
        <v>28</v>
      </c>
      <c r="C4528" s="32">
        <v>49278</v>
      </c>
      <c r="D4528" s="32" t="s">
        <v>87</v>
      </c>
      <c r="E4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9" spans="1:6" x14ac:dyDescent="0.35">
      <c r="A4529" s="3">
        <v>25675323012</v>
      </c>
      <c r="B4529" s="3">
        <v>68</v>
      </c>
      <c r="C4529" s="32">
        <v>49278</v>
      </c>
      <c r="D4529" s="32" t="s">
        <v>87</v>
      </c>
      <c r="E4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0" spans="1:6" x14ac:dyDescent="0.35">
      <c r="A4530" s="3">
        <v>75201105312</v>
      </c>
      <c r="B4530" s="3">
        <v>151</v>
      </c>
      <c r="C4530" s="32">
        <v>49278</v>
      </c>
      <c r="D4530" s="32" t="s">
        <v>87</v>
      </c>
      <c r="E4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1" spans="1:6" x14ac:dyDescent="0.35">
      <c r="A4531" s="3">
        <v>65137707376</v>
      </c>
      <c r="B4531" s="3">
        <v>52</v>
      </c>
      <c r="C4531" s="32">
        <v>49278</v>
      </c>
      <c r="D4531" s="32" t="s">
        <v>87</v>
      </c>
      <c r="E4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2" spans="1:6" x14ac:dyDescent="0.35">
      <c r="A4532" s="3">
        <v>97061489162</v>
      </c>
      <c r="B4532" s="3">
        <v>248</v>
      </c>
      <c r="C4532" s="32">
        <v>49278</v>
      </c>
      <c r="D4532" s="32" t="s">
        <v>87</v>
      </c>
      <c r="E4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3" spans="1:6" x14ac:dyDescent="0.35">
      <c r="A4533" s="3">
        <v>24107246619</v>
      </c>
      <c r="B4533" s="3">
        <v>317</v>
      </c>
      <c r="C4533" s="32">
        <v>49278</v>
      </c>
      <c r="D4533" s="32" t="s">
        <v>87</v>
      </c>
      <c r="E4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4" spans="1:6" x14ac:dyDescent="0.35">
      <c r="A4534" s="3">
        <v>52410449943</v>
      </c>
      <c r="B4534" s="3">
        <v>219</v>
      </c>
      <c r="C4534" s="32">
        <v>49278</v>
      </c>
      <c r="D4534" s="32" t="s">
        <v>87</v>
      </c>
      <c r="E4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5" spans="1:6" x14ac:dyDescent="0.35">
      <c r="A4535" s="3">
        <v>88023220123</v>
      </c>
      <c r="B4535" s="3">
        <v>160</v>
      </c>
      <c r="C4535" s="32">
        <v>49278</v>
      </c>
      <c r="D4535" s="32" t="s">
        <v>87</v>
      </c>
      <c r="E4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6" spans="1:6" x14ac:dyDescent="0.35">
      <c r="A4536" s="3">
        <v>25640387696</v>
      </c>
      <c r="B4536" s="3">
        <v>127</v>
      </c>
      <c r="C4536" s="32">
        <v>49278</v>
      </c>
      <c r="D4536" s="32" t="s">
        <v>87</v>
      </c>
      <c r="E4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7" spans="1:6" x14ac:dyDescent="0.35">
      <c r="A4537" s="3">
        <v>80223310833</v>
      </c>
      <c r="B4537" s="3">
        <v>22</v>
      </c>
      <c r="C4537" s="32">
        <v>49278</v>
      </c>
      <c r="D4537" s="32" t="s">
        <v>87</v>
      </c>
      <c r="E4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8" spans="1:6" x14ac:dyDescent="0.35">
      <c r="A4538" s="3">
        <v>77740638063</v>
      </c>
      <c r="B4538" s="3">
        <v>156</v>
      </c>
      <c r="C4538" s="32">
        <v>49278</v>
      </c>
      <c r="D4538" s="32" t="s">
        <v>87</v>
      </c>
      <c r="E4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9" spans="1:6" x14ac:dyDescent="0.35">
      <c r="A4539" s="3">
        <v>86302029654</v>
      </c>
      <c r="B4539" s="3">
        <v>118</v>
      </c>
      <c r="C4539" s="32">
        <v>49278</v>
      </c>
      <c r="D4539" s="32"/>
      <c r="E4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0" spans="1:6" x14ac:dyDescent="0.35">
      <c r="A4540" s="3">
        <v>74528186135</v>
      </c>
      <c r="B4540" s="3">
        <v>99</v>
      </c>
      <c r="C4540" s="32">
        <v>49278</v>
      </c>
      <c r="D4540" s="32" t="s">
        <v>87</v>
      </c>
      <c r="E4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1" spans="1:6" x14ac:dyDescent="0.35">
      <c r="A4541" s="3">
        <v>74660382069</v>
      </c>
      <c r="B4541" s="3">
        <v>307</v>
      </c>
      <c r="C4541" s="32">
        <v>49278</v>
      </c>
      <c r="D4541" s="32" t="s">
        <v>87</v>
      </c>
      <c r="E4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2" spans="1:6" x14ac:dyDescent="0.35">
      <c r="A4542" s="3">
        <v>79458961779</v>
      </c>
      <c r="B4542" s="3">
        <v>221</v>
      </c>
      <c r="C4542" s="32">
        <v>49278</v>
      </c>
      <c r="D4542" s="32" t="s">
        <v>87</v>
      </c>
      <c r="E4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3" spans="1:6" x14ac:dyDescent="0.35">
      <c r="A4543" s="3">
        <v>13553831448</v>
      </c>
      <c r="B4543" s="3">
        <v>201</v>
      </c>
      <c r="C4543" s="32">
        <v>49278</v>
      </c>
      <c r="D4543" s="32" t="s">
        <v>87</v>
      </c>
      <c r="E4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4" spans="1:6" x14ac:dyDescent="0.35">
      <c r="A4544" s="3">
        <v>52278759973</v>
      </c>
      <c r="B4544" s="3">
        <v>319</v>
      </c>
      <c r="C4544" s="32">
        <v>49279</v>
      </c>
      <c r="D4544" s="32" t="s">
        <v>87</v>
      </c>
      <c r="E4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5" spans="1:6" x14ac:dyDescent="0.35">
      <c r="A4545" s="3">
        <v>55469429964</v>
      </c>
      <c r="B4545" s="3">
        <v>306</v>
      </c>
      <c r="C4545" s="32">
        <v>49279</v>
      </c>
      <c r="D4545" s="32" t="s">
        <v>87</v>
      </c>
      <c r="E4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6" spans="1:6" x14ac:dyDescent="0.35">
      <c r="A4546" s="3">
        <v>38448606690</v>
      </c>
      <c r="B4546" s="3">
        <v>3</v>
      </c>
      <c r="C4546" s="32">
        <v>49279</v>
      </c>
      <c r="D4546" s="32" t="s">
        <v>87</v>
      </c>
      <c r="E4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7" spans="1:6" x14ac:dyDescent="0.35">
      <c r="A4547" s="3">
        <v>26695796415</v>
      </c>
      <c r="B4547" s="3">
        <v>220</v>
      </c>
      <c r="C4547" s="32">
        <v>49279</v>
      </c>
      <c r="D4547" s="32">
        <v>49325</v>
      </c>
      <c r="E4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48" spans="1:6" x14ac:dyDescent="0.35">
      <c r="A4548" s="3">
        <v>87356834413</v>
      </c>
      <c r="B4548" s="3">
        <v>93</v>
      </c>
      <c r="C4548" s="32">
        <v>49279</v>
      </c>
      <c r="D4548" s="32" t="s">
        <v>87</v>
      </c>
      <c r="E4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9" spans="1:6" x14ac:dyDescent="0.35">
      <c r="A4549" s="3">
        <v>81301608866</v>
      </c>
      <c r="B4549" s="3">
        <v>161</v>
      </c>
      <c r="C4549" s="32">
        <v>49279</v>
      </c>
      <c r="D4549" s="32" t="s">
        <v>87</v>
      </c>
      <c r="E4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0" spans="1:6" x14ac:dyDescent="0.35">
      <c r="A4550" s="3">
        <v>26028923526</v>
      </c>
      <c r="B4550" s="3">
        <v>242</v>
      </c>
      <c r="C4550" s="32">
        <v>49279</v>
      </c>
      <c r="D4550" s="32" t="s">
        <v>87</v>
      </c>
      <c r="E4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1" spans="1:6" x14ac:dyDescent="0.35">
      <c r="A4551" s="3">
        <v>50060319161</v>
      </c>
      <c r="B4551" s="3">
        <v>134</v>
      </c>
      <c r="C4551" s="32">
        <v>49279</v>
      </c>
      <c r="D4551" s="32" t="s">
        <v>87</v>
      </c>
      <c r="E4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2" spans="1:6" x14ac:dyDescent="0.35">
      <c r="A4552" s="3">
        <v>83250314291</v>
      </c>
      <c r="B4552" s="3">
        <v>64</v>
      </c>
      <c r="C4552" s="32">
        <v>49279</v>
      </c>
      <c r="D4552" s="32" t="s">
        <v>87</v>
      </c>
      <c r="E4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3" spans="1:6" x14ac:dyDescent="0.35">
      <c r="A4553" s="3">
        <v>24575683658</v>
      </c>
      <c r="B4553" s="3">
        <v>39</v>
      </c>
      <c r="C4553" s="32">
        <v>49279</v>
      </c>
      <c r="D4553" s="32" t="s">
        <v>87</v>
      </c>
      <c r="E4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4" spans="1:6" x14ac:dyDescent="0.35">
      <c r="A4554" s="3">
        <v>35553069934</v>
      </c>
      <c r="B4554" s="3">
        <v>168</v>
      </c>
      <c r="C4554" s="32">
        <v>49279</v>
      </c>
      <c r="D4554" s="32" t="s">
        <v>87</v>
      </c>
      <c r="E4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5" spans="1:6" x14ac:dyDescent="0.35">
      <c r="A4555" s="3">
        <v>74718503193</v>
      </c>
      <c r="B4555" s="3">
        <v>99</v>
      </c>
      <c r="C4555" s="32">
        <v>49279</v>
      </c>
      <c r="D4555" s="32"/>
      <c r="E4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6" spans="1:6" x14ac:dyDescent="0.35">
      <c r="A4556" s="3">
        <v>59653783896</v>
      </c>
      <c r="B4556" s="3">
        <v>268</v>
      </c>
      <c r="C4556" s="32">
        <v>49279</v>
      </c>
      <c r="D4556" s="32">
        <v>49325</v>
      </c>
      <c r="E4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57" spans="1:6" x14ac:dyDescent="0.35">
      <c r="A4557" s="3">
        <v>76123718430</v>
      </c>
      <c r="B4557" s="3">
        <v>188</v>
      </c>
      <c r="C4557" s="32">
        <v>49279</v>
      </c>
      <c r="D4557" s="32" t="s">
        <v>87</v>
      </c>
      <c r="E4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8" spans="1:6" x14ac:dyDescent="0.35">
      <c r="A4558" s="3">
        <v>29772526684</v>
      </c>
      <c r="B4558" s="3">
        <v>277</v>
      </c>
      <c r="C4558" s="32">
        <v>49279</v>
      </c>
      <c r="D4558" s="32" t="s">
        <v>87</v>
      </c>
      <c r="E4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9" spans="1:6" x14ac:dyDescent="0.35">
      <c r="A4559" s="3">
        <v>69644132535</v>
      </c>
      <c r="B4559" s="3">
        <v>218</v>
      </c>
      <c r="C4559" s="32">
        <v>49279</v>
      </c>
      <c r="D4559" s="32" t="s">
        <v>87</v>
      </c>
      <c r="E4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0" spans="1:6" x14ac:dyDescent="0.35">
      <c r="A4560" s="3">
        <v>60834163315</v>
      </c>
      <c r="B4560" s="3">
        <v>311</v>
      </c>
      <c r="C4560" s="32">
        <v>49279</v>
      </c>
      <c r="D4560" s="32" t="s">
        <v>87</v>
      </c>
      <c r="E4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1" spans="1:6" x14ac:dyDescent="0.35">
      <c r="A4561" s="3">
        <v>44132650737</v>
      </c>
      <c r="B4561" s="3">
        <v>196</v>
      </c>
      <c r="C4561" s="32">
        <v>49279</v>
      </c>
      <c r="D4561" s="32" t="s">
        <v>87</v>
      </c>
      <c r="E4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2" spans="1:6" x14ac:dyDescent="0.35">
      <c r="A4562" s="3">
        <v>87816598737</v>
      </c>
      <c r="B4562" s="3">
        <v>183</v>
      </c>
      <c r="C4562" s="32">
        <v>49279</v>
      </c>
      <c r="D4562" s="32" t="s">
        <v>87</v>
      </c>
      <c r="E4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3" spans="1:6" x14ac:dyDescent="0.35">
      <c r="A4563" s="3">
        <v>39271291411</v>
      </c>
      <c r="B4563" s="3">
        <v>45</v>
      </c>
      <c r="C4563" s="32">
        <v>49279</v>
      </c>
      <c r="D4563" s="32" t="s">
        <v>87</v>
      </c>
      <c r="E4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4" spans="1:6" x14ac:dyDescent="0.35">
      <c r="A4564" s="3">
        <v>23751894876</v>
      </c>
      <c r="B4564" s="3">
        <v>37</v>
      </c>
      <c r="C4564" s="32">
        <v>49279</v>
      </c>
      <c r="D4564" s="32" t="s">
        <v>87</v>
      </c>
      <c r="E4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5" spans="1:6" x14ac:dyDescent="0.35">
      <c r="A4565" s="3">
        <v>75263845886</v>
      </c>
      <c r="B4565" s="3">
        <v>276</v>
      </c>
      <c r="C4565" s="32">
        <v>49279</v>
      </c>
      <c r="D4565" s="32" t="s">
        <v>87</v>
      </c>
      <c r="E4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6" spans="1:6" x14ac:dyDescent="0.35">
      <c r="A4566" s="3">
        <v>67226038622</v>
      </c>
      <c r="B4566" s="3">
        <v>315</v>
      </c>
      <c r="C4566" s="32">
        <v>49279</v>
      </c>
      <c r="D4566" s="32">
        <v>49318</v>
      </c>
      <c r="E4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67" spans="1:6" x14ac:dyDescent="0.35">
      <c r="A4567" s="3">
        <v>12050530714</v>
      </c>
      <c r="B4567" s="3">
        <v>138</v>
      </c>
      <c r="C4567" s="32">
        <v>49279</v>
      </c>
      <c r="D4567" s="32">
        <v>49317</v>
      </c>
      <c r="E4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68" spans="1:6" x14ac:dyDescent="0.35">
      <c r="A4568" s="3">
        <v>61708012047</v>
      </c>
      <c r="B4568" s="3">
        <v>248</v>
      </c>
      <c r="C4568" s="32">
        <v>49279</v>
      </c>
      <c r="D4568" s="32" t="s">
        <v>87</v>
      </c>
      <c r="E4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9" spans="1:6" x14ac:dyDescent="0.35">
      <c r="A4569" s="3">
        <v>15891551916</v>
      </c>
      <c r="B4569" s="3">
        <v>186</v>
      </c>
      <c r="C4569" s="32">
        <v>49279</v>
      </c>
      <c r="D4569" s="32" t="s">
        <v>87</v>
      </c>
      <c r="E4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0" spans="1:6" x14ac:dyDescent="0.35">
      <c r="A4570" s="3">
        <v>54119291806</v>
      </c>
      <c r="B4570" s="3">
        <v>243</v>
      </c>
      <c r="C4570" s="32">
        <v>49279</v>
      </c>
      <c r="D4570" s="32">
        <v>49329</v>
      </c>
      <c r="E4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71" spans="1:6" x14ac:dyDescent="0.35">
      <c r="A4571" s="3">
        <v>14800275067</v>
      </c>
      <c r="B4571" s="3">
        <v>105</v>
      </c>
      <c r="C4571" s="32">
        <v>49279</v>
      </c>
      <c r="D4571" s="32"/>
      <c r="E4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2" spans="1:6" x14ac:dyDescent="0.35">
      <c r="A4572" s="3">
        <v>74327399892</v>
      </c>
      <c r="B4572" s="3">
        <v>281</v>
      </c>
      <c r="C4572" s="32">
        <v>49279</v>
      </c>
      <c r="D4572" s="32" t="s">
        <v>87</v>
      </c>
      <c r="E4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3" spans="1:6" x14ac:dyDescent="0.35">
      <c r="A4573" s="3">
        <v>94005808425</v>
      </c>
      <c r="B4573" s="3">
        <v>134</v>
      </c>
      <c r="C4573" s="32">
        <v>49279</v>
      </c>
      <c r="D4573" s="32" t="s">
        <v>87</v>
      </c>
      <c r="E4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4" spans="1:6" x14ac:dyDescent="0.35">
      <c r="A4574" s="3">
        <v>64053883802</v>
      </c>
      <c r="B4574" s="3">
        <v>120</v>
      </c>
      <c r="C4574" s="32">
        <v>49279</v>
      </c>
      <c r="D4574" s="32" t="s">
        <v>87</v>
      </c>
      <c r="E4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5" spans="1:6" x14ac:dyDescent="0.35">
      <c r="A4575" s="3">
        <v>19836706123</v>
      </c>
      <c r="B4575" s="3">
        <v>126</v>
      </c>
      <c r="C4575" s="32">
        <v>49279</v>
      </c>
      <c r="D4575" s="32" t="s">
        <v>87</v>
      </c>
      <c r="E4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6" spans="1:6" x14ac:dyDescent="0.35">
      <c r="A4576" s="3">
        <v>28007327581</v>
      </c>
      <c r="B4576" s="3">
        <v>177</v>
      </c>
      <c r="C4576" s="32">
        <v>49279</v>
      </c>
      <c r="D4576" s="32" t="s">
        <v>87</v>
      </c>
      <c r="E4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7" spans="1:6" x14ac:dyDescent="0.35">
      <c r="A4577" s="3">
        <v>33711814071</v>
      </c>
      <c r="B4577" s="3">
        <v>264</v>
      </c>
      <c r="C4577" s="32">
        <v>49279</v>
      </c>
      <c r="D4577" s="32" t="s">
        <v>87</v>
      </c>
      <c r="E4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8" spans="1:6" x14ac:dyDescent="0.35">
      <c r="A4578" s="3">
        <v>44326553015</v>
      </c>
      <c r="B4578" s="3">
        <v>233</v>
      </c>
      <c r="C4578" s="32">
        <v>49279</v>
      </c>
      <c r="D4578" s="32" t="s">
        <v>87</v>
      </c>
      <c r="E4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9" spans="1:6" x14ac:dyDescent="0.35">
      <c r="A4579" s="3">
        <v>99315671624</v>
      </c>
      <c r="B4579" s="3">
        <v>38</v>
      </c>
      <c r="C4579" s="32">
        <v>49279</v>
      </c>
      <c r="D4579" s="32" t="s">
        <v>87</v>
      </c>
      <c r="E4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0" spans="1:6" x14ac:dyDescent="0.35">
      <c r="A4580" s="3">
        <v>60350358444</v>
      </c>
      <c r="B4580" s="3">
        <v>304</v>
      </c>
      <c r="C4580" s="32">
        <v>49279</v>
      </c>
      <c r="D4580" s="32" t="s">
        <v>87</v>
      </c>
      <c r="E4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1" spans="1:6" x14ac:dyDescent="0.35">
      <c r="A4581" s="3">
        <v>73814646216</v>
      </c>
      <c r="B4581" s="3">
        <v>211</v>
      </c>
      <c r="C4581" s="32">
        <v>49279</v>
      </c>
      <c r="D4581" s="32"/>
      <c r="E4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2" spans="1:6" x14ac:dyDescent="0.35">
      <c r="A4582" s="3">
        <v>95604385641</v>
      </c>
      <c r="B4582" s="3">
        <v>259</v>
      </c>
      <c r="C4582" s="32">
        <v>49279</v>
      </c>
      <c r="D4582" s="32" t="s">
        <v>87</v>
      </c>
      <c r="E4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3" spans="1:6" x14ac:dyDescent="0.35">
      <c r="A4583" s="3">
        <v>44604305895</v>
      </c>
      <c r="B4583" s="3">
        <v>306</v>
      </c>
      <c r="C4583" s="32">
        <v>49279</v>
      </c>
      <c r="D4583" s="32" t="s">
        <v>87</v>
      </c>
      <c r="E4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4" spans="1:6" x14ac:dyDescent="0.35">
      <c r="A4584" s="3">
        <v>93423966867</v>
      </c>
      <c r="B4584" s="3">
        <v>299</v>
      </c>
      <c r="C4584" s="32">
        <v>49280</v>
      </c>
      <c r="D4584" s="32" t="s">
        <v>87</v>
      </c>
      <c r="E4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5" spans="1:6" x14ac:dyDescent="0.35">
      <c r="A4585" s="3">
        <v>20129286870</v>
      </c>
      <c r="B4585" s="3">
        <v>338</v>
      </c>
      <c r="C4585" s="32">
        <v>49280</v>
      </c>
      <c r="D4585" s="32" t="s">
        <v>87</v>
      </c>
      <c r="E4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6" spans="1:6" x14ac:dyDescent="0.35">
      <c r="A4586" s="3">
        <v>24761644889</v>
      </c>
      <c r="B4586" s="3">
        <v>95</v>
      </c>
      <c r="C4586" s="32">
        <v>49280</v>
      </c>
      <c r="D4586" s="32" t="s">
        <v>87</v>
      </c>
      <c r="E4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7" spans="1:6" x14ac:dyDescent="0.35">
      <c r="A4587" s="3">
        <v>13916680524</v>
      </c>
      <c r="B4587" s="3">
        <v>301</v>
      </c>
      <c r="C4587" s="32">
        <v>49280</v>
      </c>
      <c r="D4587" s="32" t="s">
        <v>87</v>
      </c>
      <c r="E4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8" spans="1:6" x14ac:dyDescent="0.35">
      <c r="A4588" s="3">
        <v>39684355525</v>
      </c>
      <c r="B4588" s="3">
        <v>266</v>
      </c>
      <c r="C4588" s="32">
        <v>49280</v>
      </c>
      <c r="D4588" s="32" t="s">
        <v>87</v>
      </c>
      <c r="E4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9" spans="1:6" x14ac:dyDescent="0.35">
      <c r="A4589" s="3">
        <v>92117456499</v>
      </c>
      <c r="B4589" s="3">
        <v>71</v>
      </c>
      <c r="C4589" s="32">
        <v>49280</v>
      </c>
      <c r="D4589" s="32" t="s">
        <v>87</v>
      </c>
      <c r="E4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0" spans="1:6" x14ac:dyDescent="0.35">
      <c r="A4590" s="3">
        <v>25822802819</v>
      </c>
      <c r="B4590" s="3">
        <v>331</v>
      </c>
      <c r="C4590" s="32">
        <v>49280</v>
      </c>
      <c r="D4590" s="32" t="s">
        <v>87</v>
      </c>
      <c r="E4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1" spans="1:6" x14ac:dyDescent="0.35">
      <c r="A4591" s="3">
        <v>99349814697</v>
      </c>
      <c r="B4591" s="3">
        <v>163</v>
      </c>
      <c r="C4591" s="32">
        <v>49280</v>
      </c>
      <c r="D4591" s="32"/>
      <c r="E4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2" spans="1:6" x14ac:dyDescent="0.35">
      <c r="A4592" s="3">
        <v>75361123200</v>
      </c>
      <c r="B4592" s="3">
        <v>88</v>
      </c>
      <c r="C4592" s="32">
        <v>49280</v>
      </c>
      <c r="D4592" s="32" t="s">
        <v>87</v>
      </c>
      <c r="E4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3" spans="1:6" x14ac:dyDescent="0.35">
      <c r="A4593" s="3">
        <v>57841689142</v>
      </c>
      <c r="B4593" s="3">
        <v>312</v>
      </c>
      <c r="C4593" s="32">
        <v>49280</v>
      </c>
      <c r="D4593" s="32" t="s">
        <v>87</v>
      </c>
      <c r="E4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4" spans="1:6" x14ac:dyDescent="0.35">
      <c r="A4594" s="3">
        <v>35215623585</v>
      </c>
      <c r="B4594" s="3">
        <v>173</v>
      </c>
      <c r="C4594" s="32">
        <v>49280</v>
      </c>
      <c r="D4594" s="32" t="s">
        <v>87</v>
      </c>
      <c r="E4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5" spans="1:6" x14ac:dyDescent="0.35">
      <c r="A4595" s="3">
        <v>35624790703</v>
      </c>
      <c r="B4595" s="3">
        <v>254</v>
      </c>
      <c r="C4595" s="32">
        <v>49280</v>
      </c>
      <c r="D4595" s="32" t="s">
        <v>87</v>
      </c>
      <c r="E4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6" spans="1:6" x14ac:dyDescent="0.35">
      <c r="A4596" s="3">
        <v>60356405373</v>
      </c>
      <c r="B4596" s="3">
        <v>96</v>
      </c>
      <c r="C4596" s="32">
        <v>49280</v>
      </c>
      <c r="D4596" s="32" t="s">
        <v>87</v>
      </c>
      <c r="E4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7" spans="1:6" x14ac:dyDescent="0.35">
      <c r="A4597" s="3">
        <v>90181252948</v>
      </c>
      <c r="B4597" s="3">
        <v>25</v>
      </c>
      <c r="C4597" s="32">
        <v>49280</v>
      </c>
      <c r="D4597" s="32" t="s">
        <v>87</v>
      </c>
      <c r="E4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8" spans="1:6" x14ac:dyDescent="0.35">
      <c r="A4598" s="3">
        <v>54689411378</v>
      </c>
      <c r="B4598" s="3">
        <v>155</v>
      </c>
      <c r="C4598" s="32">
        <v>49280</v>
      </c>
      <c r="D4598" s="32" t="s">
        <v>87</v>
      </c>
      <c r="E4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9" spans="1:6" x14ac:dyDescent="0.35">
      <c r="A4599" s="3">
        <v>44697663754</v>
      </c>
      <c r="B4599" s="3">
        <v>238</v>
      </c>
      <c r="C4599" s="32">
        <v>49280</v>
      </c>
      <c r="D4599" s="32">
        <v>49296</v>
      </c>
      <c r="E4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00" spans="1:6" x14ac:dyDescent="0.35">
      <c r="A4600" s="3">
        <v>13047255464</v>
      </c>
      <c r="B4600" s="3">
        <v>166</v>
      </c>
      <c r="C4600" s="32">
        <v>49280</v>
      </c>
      <c r="D4600" s="32" t="s">
        <v>87</v>
      </c>
      <c r="E4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1" spans="1:6" x14ac:dyDescent="0.35">
      <c r="A4601" s="3">
        <v>36187286368</v>
      </c>
      <c r="B4601" s="3">
        <v>313</v>
      </c>
      <c r="C4601" s="32">
        <v>49280</v>
      </c>
      <c r="D4601" s="32" t="s">
        <v>87</v>
      </c>
      <c r="E4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2" spans="1:6" x14ac:dyDescent="0.35">
      <c r="A4602" s="3">
        <v>62408775135</v>
      </c>
      <c r="B4602" s="3">
        <v>165</v>
      </c>
      <c r="C4602" s="32">
        <v>49280</v>
      </c>
      <c r="D4602" s="32" t="s">
        <v>87</v>
      </c>
      <c r="E4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3" spans="1:6" x14ac:dyDescent="0.35">
      <c r="A4603" s="3">
        <v>67494894647</v>
      </c>
      <c r="B4603" s="3">
        <v>42</v>
      </c>
      <c r="C4603" s="32">
        <v>49280</v>
      </c>
      <c r="D4603" s="32" t="s">
        <v>87</v>
      </c>
      <c r="E4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4" spans="1:6" x14ac:dyDescent="0.35">
      <c r="A4604" s="3">
        <v>75442699001</v>
      </c>
      <c r="B4604" s="3">
        <v>163</v>
      </c>
      <c r="C4604" s="32">
        <v>49280</v>
      </c>
      <c r="D4604" s="32"/>
      <c r="E4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5" spans="1:6" x14ac:dyDescent="0.35">
      <c r="A4605" s="3">
        <v>37430919504</v>
      </c>
      <c r="B4605" s="3">
        <v>112</v>
      </c>
      <c r="C4605" s="32">
        <v>49280</v>
      </c>
      <c r="D4605" s="32" t="s">
        <v>87</v>
      </c>
      <c r="E4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6" spans="1:6" x14ac:dyDescent="0.35">
      <c r="A4606" s="3">
        <v>44577667090</v>
      </c>
      <c r="B4606" s="3">
        <v>275</v>
      </c>
      <c r="C4606" s="32">
        <v>49280</v>
      </c>
      <c r="D4606" s="32" t="s">
        <v>87</v>
      </c>
      <c r="E4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7" spans="1:6" x14ac:dyDescent="0.35">
      <c r="A4607" s="3">
        <v>95437212906</v>
      </c>
      <c r="B4607" s="3">
        <v>255</v>
      </c>
      <c r="C4607" s="32">
        <v>49280</v>
      </c>
      <c r="D4607" s="32"/>
      <c r="E4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8" spans="1:6" x14ac:dyDescent="0.35">
      <c r="A4608" s="3">
        <v>43464031695</v>
      </c>
      <c r="B4608" s="3">
        <v>325</v>
      </c>
      <c r="C4608" s="32">
        <v>49280</v>
      </c>
      <c r="D4608" s="32" t="s">
        <v>87</v>
      </c>
      <c r="E4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9" spans="1:6" x14ac:dyDescent="0.35">
      <c r="A4609" s="3">
        <v>92598053378</v>
      </c>
      <c r="B4609" s="3">
        <v>337</v>
      </c>
      <c r="C4609" s="32">
        <v>49280</v>
      </c>
      <c r="D4609" s="32">
        <v>49296</v>
      </c>
      <c r="E4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10" spans="1:6" x14ac:dyDescent="0.35">
      <c r="A4610" s="3">
        <v>23172940088</v>
      </c>
      <c r="B4610" s="3">
        <v>320</v>
      </c>
      <c r="C4610" s="32">
        <v>49280</v>
      </c>
      <c r="D4610" s="32"/>
      <c r="E4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1" spans="1:6" x14ac:dyDescent="0.35">
      <c r="A4611" s="3">
        <v>49728235791</v>
      </c>
      <c r="B4611" s="3">
        <v>25</v>
      </c>
      <c r="C4611" s="32">
        <v>49280</v>
      </c>
      <c r="D4611" s="32">
        <v>49286</v>
      </c>
      <c r="E4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12" spans="1:6" x14ac:dyDescent="0.35">
      <c r="A4612" s="3">
        <v>38462468995</v>
      </c>
      <c r="B4612" s="3">
        <v>5</v>
      </c>
      <c r="C4612" s="32">
        <v>49280</v>
      </c>
      <c r="D4612" s="32"/>
      <c r="E4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3" spans="1:6" x14ac:dyDescent="0.35">
      <c r="A4613" s="3">
        <v>47368000064</v>
      </c>
      <c r="B4613" s="3">
        <v>30</v>
      </c>
      <c r="C4613" s="32">
        <v>49280</v>
      </c>
      <c r="D4613" s="32" t="s">
        <v>87</v>
      </c>
      <c r="E4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4" spans="1:6" x14ac:dyDescent="0.35">
      <c r="A4614" s="3">
        <v>26783946747</v>
      </c>
      <c r="B4614" s="3">
        <v>39</v>
      </c>
      <c r="C4614" s="32">
        <v>49281</v>
      </c>
      <c r="D4614" s="32" t="s">
        <v>87</v>
      </c>
      <c r="E4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5" spans="1:6" x14ac:dyDescent="0.35">
      <c r="A4615" s="3">
        <v>28829051288</v>
      </c>
      <c r="B4615" s="3">
        <v>115</v>
      </c>
      <c r="C4615" s="32">
        <v>49281</v>
      </c>
      <c r="D4615" s="32" t="s">
        <v>87</v>
      </c>
      <c r="E4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6" spans="1:6" x14ac:dyDescent="0.35">
      <c r="A4616" s="3">
        <v>65115086271</v>
      </c>
      <c r="B4616" s="3">
        <v>333</v>
      </c>
      <c r="C4616" s="32">
        <v>49281</v>
      </c>
      <c r="D4616" s="32" t="s">
        <v>87</v>
      </c>
      <c r="E4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7" spans="1:6" x14ac:dyDescent="0.35">
      <c r="A4617" s="3">
        <v>47719372159</v>
      </c>
      <c r="B4617" s="3">
        <v>167</v>
      </c>
      <c r="C4617" s="32">
        <v>49281</v>
      </c>
      <c r="D4617" s="32" t="s">
        <v>87</v>
      </c>
      <c r="E4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8" spans="1:6" x14ac:dyDescent="0.35">
      <c r="A4618" s="3">
        <v>69772482052</v>
      </c>
      <c r="B4618" s="3">
        <v>66</v>
      </c>
      <c r="C4618" s="32">
        <v>49281</v>
      </c>
      <c r="D4618" s="32" t="s">
        <v>87</v>
      </c>
      <c r="E4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9" spans="1:6" x14ac:dyDescent="0.35">
      <c r="A4619" s="3">
        <v>69790248699</v>
      </c>
      <c r="B4619" s="3">
        <v>208</v>
      </c>
      <c r="C4619" s="32">
        <v>49281</v>
      </c>
      <c r="D4619" s="32">
        <v>49337</v>
      </c>
      <c r="E4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20" spans="1:6" x14ac:dyDescent="0.35">
      <c r="A4620" s="3">
        <v>50557904702</v>
      </c>
      <c r="B4620" s="3">
        <v>52</v>
      </c>
      <c r="C4620" s="32">
        <v>49281</v>
      </c>
      <c r="D4620" s="32">
        <v>49310</v>
      </c>
      <c r="E4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21" spans="1:6" x14ac:dyDescent="0.35">
      <c r="A4621" s="3">
        <v>30982175482</v>
      </c>
      <c r="B4621" s="3">
        <v>261</v>
      </c>
      <c r="C4621" s="32">
        <v>49281</v>
      </c>
      <c r="D4621" s="32" t="s">
        <v>87</v>
      </c>
      <c r="E4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2" spans="1:6" x14ac:dyDescent="0.35">
      <c r="A4622" s="3">
        <v>47916345167</v>
      </c>
      <c r="B4622" s="3">
        <v>216</v>
      </c>
      <c r="C4622" s="32">
        <v>49281</v>
      </c>
      <c r="D4622" s="32" t="s">
        <v>87</v>
      </c>
      <c r="E4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3" spans="1:6" x14ac:dyDescent="0.35">
      <c r="A4623" s="3">
        <v>44093333356</v>
      </c>
      <c r="B4623" s="3">
        <v>8</v>
      </c>
      <c r="C4623" s="32">
        <v>49281</v>
      </c>
      <c r="D4623" s="32"/>
      <c r="E4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4" spans="1:6" x14ac:dyDescent="0.35">
      <c r="A4624" s="3">
        <v>99810217192</v>
      </c>
      <c r="B4624" s="3">
        <v>172</v>
      </c>
      <c r="C4624" s="32">
        <v>49281</v>
      </c>
      <c r="D4624" s="32"/>
      <c r="E4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5" spans="1:6" x14ac:dyDescent="0.35">
      <c r="A4625" s="3">
        <v>21196901080</v>
      </c>
      <c r="B4625" s="3">
        <v>29</v>
      </c>
      <c r="C4625" s="32">
        <v>49281</v>
      </c>
      <c r="D4625" s="32" t="s">
        <v>87</v>
      </c>
      <c r="E4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6" spans="1:6" x14ac:dyDescent="0.35">
      <c r="A4626" s="3">
        <v>19715444446</v>
      </c>
      <c r="B4626" s="3">
        <v>94</v>
      </c>
      <c r="C4626" s="32">
        <v>49281</v>
      </c>
      <c r="D4626" s="32"/>
      <c r="E4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7" spans="1:6" x14ac:dyDescent="0.35">
      <c r="A4627" s="3">
        <v>51010413013</v>
      </c>
      <c r="B4627" s="3">
        <v>234</v>
      </c>
      <c r="C4627" s="32">
        <v>49281</v>
      </c>
      <c r="D4627" s="32" t="s">
        <v>87</v>
      </c>
      <c r="E4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8" spans="1:6" x14ac:dyDescent="0.35">
      <c r="A4628" s="3">
        <v>30713039733</v>
      </c>
      <c r="B4628" s="3">
        <v>295</v>
      </c>
      <c r="C4628" s="32">
        <v>49281</v>
      </c>
      <c r="D4628" s="32" t="s">
        <v>87</v>
      </c>
      <c r="E4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9" spans="1:6" x14ac:dyDescent="0.35">
      <c r="A4629" s="3">
        <v>47908321955</v>
      </c>
      <c r="B4629" s="3">
        <v>189</v>
      </c>
      <c r="C4629" s="32">
        <v>49281</v>
      </c>
      <c r="D4629" s="32" t="s">
        <v>87</v>
      </c>
      <c r="E4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0" spans="1:6" x14ac:dyDescent="0.35">
      <c r="A4630" s="3">
        <v>81328580975</v>
      </c>
      <c r="B4630" s="3">
        <v>241</v>
      </c>
      <c r="C4630" s="32">
        <v>49281</v>
      </c>
      <c r="D4630" s="32" t="s">
        <v>87</v>
      </c>
      <c r="E4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1" spans="1:6" x14ac:dyDescent="0.35">
      <c r="A4631" s="3">
        <v>46178526888</v>
      </c>
      <c r="B4631" s="3">
        <v>77</v>
      </c>
      <c r="C4631" s="32">
        <v>49281</v>
      </c>
      <c r="D4631" s="32"/>
      <c r="E4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2" spans="1:6" x14ac:dyDescent="0.35">
      <c r="A4632" s="3">
        <v>83085858597</v>
      </c>
      <c r="B4632" s="3">
        <v>71</v>
      </c>
      <c r="C4632" s="32">
        <v>49281</v>
      </c>
      <c r="D4632" s="32"/>
      <c r="E4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3" spans="1:6" x14ac:dyDescent="0.35">
      <c r="A4633" s="3">
        <v>21877787232</v>
      </c>
      <c r="B4633" s="3">
        <v>197</v>
      </c>
      <c r="C4633" s="32">
        <v>49281</v>
      </c>
      <c r="D4633" s="32" t="s">
        <v>87</v>
      </c>
      <c r="E4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4" spans="1:6" x14ac:dyDescent="0.35">
      <c r="A4634" s="3">
        <v>26730572680</v>
      </c>
      <c r="B4634" s="3">
        <v>32</v>
      </c>
      <c r="C4634" s="32">
        <v>49281</v>
      </c>
      <c r="D4634" s="32" t="s">
        <v>87</v>
      </c>
      <c r="E4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5" spans="1:6" x14ac:dyDescent="0.35">
      <c r="A4635" s="3">
        <v>24736113130</v>
      </c>
      <c r="B4635" s="3">
        <v>242</v>
      </c>
      <c r="C4635" s="32">
        <v>49281</v>
      </c>
      <c r="D4635" s="32">
        <v>49304</v>
      </c>
      <c r="E4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36" spans="1:6" x14ac:dyDescent="0.35">
      <c r="A4636" s="3">
        <v>61685763169</v>
      </c>
      <c r="B4636" s="3">
        <v>327</v>
      </c>
      <c r="C4636" s="32">
        <v>49281</v>
      </c>
      <c r="D4636" s="32" t="s">
        <v>87</v>
      </c>
      <c r="E4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7" spans="1:6" x14ac:dyDescent="0.35">
      <c r="A4637" s="3">
        <v>40056578903</v>
      </c>
      <c r="B4637" s="3">
        <v>75</v>
      </c>
      <c r="C4637" s="32">
        <v>49281</v>
      </c>
      <c r="D4637" s="32" t="s">
        <v>87</v>
      </c>
      <c r="E4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8" spans="1:6" x14ac:dyDescent="0.35">
      <c r="A4638" s="3">
        <v>87278545080</v>
      </c>
      <c r="B4638" s="3">
        <v>270</v>
      </c>
      <c r="C4638" s="32">
        <v>49281</v>
      </c>
      <c r="D4638" s="32">
        <v>49324</v>
      </c>
      <c r="E4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39" spans="1:6" x14ac:dyDescent="0.35">
      <c r="A4639" s="3">
        <v>62246973978</v>
      </c>
      <c r="B4639" s="3">
        <v>207</v>
      </c>
      <c r="C4639" s="32">
        <v>49281</v>
      </c>
      <c r="D4639" s="32" t="s">
        <v>87</v>
      </c>
      <c r="E4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0" spans="1:6" x14ac:dyDescent="0.35">
      <c r="A4640" s="3">
        <v>80008538931</v>
      </c>
      <c r="B4640" s="3">
        <v>314</v>
      </c>
      <c r="C4640" s="32">
        <v>49282</v>
      </c>
      <c r="D4640" s="32">
        <v>49293</v>
      </c>
      <c r="E4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41" spans="1:6" x14ac:dyDescent="0.35">
      <c r="A4641" s="3">
        <v>93437078149</v>
      </c>
      <c r="B4641" s="3">
        <v>310</v>
      </c>
      <c r="C4641" s="32">
        <v>49282</v>
      </c>
      <c r="D4641" s="32" t="s">
        <v>87</v>
      </c>
      <c r="E4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2" spans="1:6" x14ac:dyDescent="0.35">
      <c r="A4642" s="3">
        <v>19359646942</v>
      </c>
      <c r="B4642" s="3">
        <v>211</v>
      </c>
      <c r="C4642" s="32">
        <v>49282</v>
      </c>
      <c r="D4642" s="32" t="s">
        <v>87</v>
      </c>
      <c r="E4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3" spans="1:6" x14ac:dyDescent="0.35">
      <c r="A4643" s="3">
        <v>35060987340</v>
      </c>
      <c r="B4643" s="3">
        <v>296</v>
      </c>
      <c r="C4643" s="32">
        <v>49282</v>
      </c>
      <c r="D4643" s="32" t="s">
        <v>87</v>
      </c>
      <c r="E4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4" spans="1:6" x14ac:dyDescent="0.35">
      <c r="A4644" s="3">
        <v>16013999474</v>
      </c>
      <c r="B4644" s="3">
        <v>100</v>
      </c>
      <c r="C4644" s="32">
        <v>49282</v>
      </c>
      <c r="D4644" s="32" t="s">
        <v>87</v>
      </c>
      <c r="E4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5" spans="1:6" x14ac:dyDescent="0.35">
      <c r="A4645" s="3">
        <v>34845568032</v>
      </c>
      <c r="B4645" s="3">
        <v>4</v>
      </c>
      <c r="C4645" s="32">
        <v>49282</v>
      </c>
      <c r="D4645" s="32" t="s">
        <v>87</v>
      </c>
      <c r="E4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6" spans="1:6" x14ac:dyDescent="0.35">
      <c r="A4646" s="3">
        <v>13312541428</v>
      </c>
      <c r="B4646" s="3">
        <v>49</v>
      </c>
      <c r="C4646" s="32">
        <v>49282</v>
      </c>
      <c r="D4646" s="32" t="s">
        <v>87</v>
      </c>
      <c r="E4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7" spans="1:6" x14ac:dyDescent="0.35">
      <c r="A4647" s="3">
        <v>43662709869</v>
      </c>
      <c r="B4647" s="3">
        <v>152</v>
      </c>
      <c r="C4647" s="32">
        <v>49282</v>
      </c>
      <c r="D4647" s="32" t="s">
        <v>87</v>
      </c>
      <c r="E4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8" spans="1:6" x14ac:dyDescent="0.35">
      <c r="A4648" s="3">
        <v>22385593720</v>
      </c>
      <c r="B4648" s="3">
        <v>216</v>
      </c>
      <c r="C4648" s="32">
        <v>49282</v>
      </c>
      <c r="D4648" s="32"/>
      <c r="E4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9" spans="1:6" x14ac:dyDescent="0.35">
      <c r="A4649" s="3">
        <v>37177865030</v>
      </c>
      <c r="B4649" s="3">
        <v>191</v>
      </c>
      <c r="C4649" s="32">
        <v>49282</v>
      </c>
      <c r="D4649" s="32">
        <v>49313</v>
      </c>
      <c r="E4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50" spans="1:6" x14ac:dyDescent="0.35">
      <c r="A4650" s="3">
        <v>80539587574</v>
      </c>
      <c r="B4650" s="3">
        <v>154</v>
      </c>
      <c r="C4650" s="32">
        <v>49282</v>
      </c>
      <c r="D4650" s="32" t="s">
        <v>87</v>
      </c>
      <c r="E4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1" spans="1:6" x14ac:dyDescent="0.35">
      <c r="A4651" s="3">
        <v>92311743364</v>
      </c>
      <c r="B4651" s="3">
        <v>128</v>
      </c>
      <c r="C4651" s="32">
        <v>49282</v>
      </c>
      <c r="D4651" s="32" t="s">
        <v>87</v>
      </c>
      <c r="E4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2" spans="1:6" x14ac:dyDescent="0.35">
      <c r="A4652" s="3">
        <v>43718267452</v>
      </c>
      <c r="B4652" s="3">
        <v>116</v>
      </c>
      <c r="C4652" s="32">
        <v>49282</v>
      </c>
      <c r="D4652" s="32" t="s">
        <v>87</v>
      </c>
      <c r="E4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3" spans="1:6" x14ac:dyDescent="0.35">
      <c r="A4653" s="3">
        <v>97663049825</v>
      </c>
      <c r="B4653" s="3">
        <v>80</v>
      </c>
      <c r="C4653" s="32">
        <v>49282</v>
      </c>
      <c r="D4653" s="32">
        <v>49316</v>
      </c>
      <c r="E4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54" spans="1:6" x14ac:dyDescent="0.35">
      <c r="A4654" s="3">
        <v>16555458958</v>
      </c>
      <c r="B4654" s="3">
        <v>17</v>
      </c>
      <c r="C4654" s="32">
        <v>49282</v>
      </c>
      <c r="D4654" s="32" t="s">
        <v>87</v>
      </c>
      <c r="E4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5" spans="1:6" x14ac:dyDescent="0.35">
      <c r="A4655" s="3">
        <v>29844360445</v>
      </c>
      <c r="B4655" s="3">
        <v>185</v>
      </c>
      <c r="C4655" s="32">
        <v>49282</v>
      </c>
      <c r="D4655" s="32" t="s">
        <v>87</v>
      </c>
      <c r="E4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6" spans="1:6" x14ac:dyDescent="0.35">
      <c r="A4656" s="3">
        <v>59764569829</v>
      </c>
      <c r="B4656" s="3">
        <v>327</v>
      </c>
      <c r="C4656" s="32">
        <v>49282</v>
      </c>
      <c r="D4656" s="32" t="s">
        <v>87</v>
      </c>
      <c r="E4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7" spans="1:6" x14ac:dyDescent="0.35">
      <c r="A4657" s="3">
        <v>69719156486</v>
      </c>
      <c r="B4657" s="3">
        <v>251</v>
      </c>
      <c r="C4657" s="32">
        <v>49282</v>
      </c>
      <c r="D4657" s="32">
        <v>49282</v>
      </c>
      <c r="E4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58" spans="1:6" x14ac:dyDescent="0.35">
      <c r="A4658" s="3">
        <v>50335997038</v>
      </c>
      <c r="B4658" s="3">
        <v>212</v>
      </c>
      <c r="C4658" s="32">
        <v>49282</v>
      </c>
      <c r="D4658" s="32" t="s">
        <v>87</v>
      </c>
      <c r="E4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9" spans="1:6" x14ac:dyDescent="0.35">
      <c r="A4659" s="3">
        <v>98208038134</v>
      </c>
      <c r="B4659" s="3">
        <v>242</v>
      </c>
      <c r="C4659" s="32">
        <v>49282</v>
      </c>
      <c r="D4659" s="32" t="s">
        <v>87</v>
      </c>
      <c r="E4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0" spans="1:6" x14ac:dyDescent="0.35">
      <c r="A4660" s="3">
        <v>33787338028</v>
      </c>
      <c r="B4660" s="3">
        <v>135</v>
      </c>
      <c r="C4660" s="32">
        <v>49282</v>
      </c>
      <c r="D4660" s="32" t="s">
        <v>87</v>
      </c>
      <c r="E4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1" spans="1:6" x14ac:dyDescent="0.35">
      <c r="A4661" s="3">
        <v>29233550885</v>
      </c>
      <c r="B4661" s="3">
        <v>203</v>
      </c>
      <c r="C4661" s="32">
        <v>49282</v>
      </c>
      <c r="D4661" s="32" t="s">
        <v>87</v>
      </c>
      <c r="E4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2" spans="1:6" x14ac:dyDescent="0.35">
      <c r="A4662" s="3">
        <v>56194791349</v>
      </c>
      <c r="B4662" s="3">
        <v>213</v>
      </c>
      <c r="C4662" s="32">
        <v>49282</v>
      </c>
      <c r="D4662" s="32" t="s">
        <v>87</v>
      </c>
      <c r="E4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3" spans="1:6" x14ac:dyDescent="0.35">
      <c r="A4663" s="3">
        <v>64938124421</v>
      </c>
      <c r="B4663" s="3">
        <v>260</v>
      </c>
      <c r="C4663" s="32">
        <v>49282</v>
      </c>
      <c r="D4663" s="32" t="s">
        <v>87</v>
      </c>
      <c r="E4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4" spans="1:6" x14ac:dyDescent="0.35">
      <c r="A4664" s="3">
        <v>81665294664</v>
      </c>
      <c r="B4664" s="3">
        <v>249</v>
      </c>
      <c r="C4664" s="32">
        <v>49282</v>
      </c>
      <c r="D4664" s="32" t="s">
        <v>87</v>
      </c>
      <c r="E4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5" spans="1:6" x14ac:dyDescent="0.35">
      <c r="A4665" s="3">
        <v>78206200835</v>
      </c>
      <c r="B4665" s="3">
        <v>86</v>
      </c>
      <c r="C4665" s="32">
        <v>49282</v>
      </c>
      <c r="D4665" s="32" t="s">
        <v>87</v>
      </c>
      <c r="E4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6" spans="1:6" x14ac:dyDescent="0.35">
      <c r="A4666" s="3">
        <v>41047371650</v>
      </c>
      <c r="B4666" s="3">
        <v>281</v>
      </c>
      <c r="C4666" s="32">
        <v>49282</v>
      </c>
      <c r="D4666" s="32"/>
      <c r="E4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7" spans="1:6" x14ac:dyDescent="0.35">
      <c r="A4667" s="3">
        <v>94600782988</v>
      </c>
      <c r="B4667" s="3">
        <v>118</v>
      </c>
      <c r="C4667" s="32">
        <v>49282</v>
      </c>
      <c r="D4667" s="32" t="s">
        <v>87</v>
      </c>
      <c r="E4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8" spans="1:6" x14ac:dyDescent="0.35">
      <c r="A4668" s="3">
        <v>24333375599</v>
      </c>
      <c r="B4668" s="3">
        <v>174</v>
      </c>
      <c r="C4668" s="32">
        <v>49282</v>
      </c>
      <c r="D4668" s="32" t="s">
        <v>87</v>
      </c>
      <c r="E4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9" spans="1:6" x14ac:dyDescent="0.35">
      <c r="A4669" s="3">
        <v>74891276017</v>
      </c>
      <c r="B4669" s="3">
        <v>200</v>
      </c>
      <c r="C4669" s="32">
        <v>49282</v>
      </c>
      <c r="D4669" s="32" t="s">
        <v>87</v>
      </c>
      <c r="E4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0" spans="1:6" x14ac:dyDescent="0.35">
      <c r="A4670" s="3">
        <v>34584915308</v>
      </c>
      <c r="B4670" s="3">
        <v>152</v>
      </c>
      <c r="C4670" s="32">
        <v>49282</v>
      </c>
      <c r="D4670" s="32" t="s">
        <v>87</v>
      </c>
      <c r="E4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1" spans="1:6" x14ac:dyDescent="0.35">
      <c r="A4671" s="3">
        <v>58115768817</v>
      </c>
      <c r="B4671" s="3">
        <v>120</v>
      </c>
      <c r="C4671" s="32">
        <v>49282</v>
      </c>
      <c r="D4671" s="32"/>
      <c r="E4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2" spans="1:6" x14ac:dyDescent="0.35">
      <c r="A4672" s="3">
        <v>83828114694</v>
      </c>
      <c r="B4672" s="3">
        <v>251</v>
      </c>
      <c r="C4672" s="32">
        <v>49283</v>
      </c>
      <c r="D4672" s="32" t="s">
        <v>87</v>
      </c>
      <c r="E4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3" spans="1:6" x14ac:dyDescent="0.35">
      <c r="A4673" s="3">
        <v>82881456442</v>
      </c>
      <c r="B4673" s="3">
        <v>6</v>
      </c>
      <c r="C4673" s="32">
        <v>49283</v>
      </c>
      <c r="D4673" s="32" t="s">
        <v>87</v>
      </c>
      <c r="E4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4" spans="1:6" x14ac:dyDescent="0.35">
      <c r="A4674" s="3">
        <v>78070198109</v>
      </c>
      <c r="B4674" s="3">
        <v>17</v>
      </c>
      <c r="C4674" s="32">
        <v>49283</v>
      </c>
      <c r="D4674" s="32" t="s">
        <v>87</v>
      </c>
      <c r="E4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5" spans="1:6" x14ac:dyDescent="0.35">
      <c r="A4675" s="3">
        <v>45072955166</v>
      </c>
      <c r="B4675" s="3">
        <v>124</v>
      </c>
      <c r="C4675" s="32">
        <v>49283</v>
      </c>
      <c r="D4675" s="32" t="s">
        <v>87</v>
      </c>
      <c r="E4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6" spans="1:6" x14ac:dyDescent="0.35">
      <c r="A4676" s="3">
        <v>72245347031</v>
      </c>
      <c r="B4676" s="3">
        <v>276</v>
      </c>
      <c r="C4676" s="32">
        <v>49283</v>
      </c>
      <c r="D4676" s="32" t="s">
        <v>87</v>
      </c>
      <c r="E4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7" spans="1:6" x14ac:dyDescent="0.35">
      <c r="A4677" s="3">
        <v>78349687144</v>
      </c>
      <c r="B4677" s="3">
        <v>229</v>
      </c>
      <c r="C4677" s="32">
        <v>49283</v>
      </c>
      <c r="D4677" s="32" t="s">
        <v>87</v>
      </c>
      <c r="E4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8" spans="1:6" x14ac:dyDescent="0.35">
      <c r="A4678" s="3">
        <v>87764060734</v>
      </c>
      <c r="B4678" s="3">
        <v>72</v>
      </c>
      <c r="C4678" s="32">
        <v>49283</v>
      </c>
      <c r="D4678" s="32" t="s">
        <v>87</v>
      </c>
      <c r="E4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9" spans="1:6" x14ac:dyDescent="0.35">
      <c r="A4679" s="3">
        <v>19446491050</v>
      </c>
      <c r="B4679" s="3">
        <v>154</v>
      </c>
      <c r="C4679" s="32">
        <v>49283</v>
      </c>
      <c r="D4679" s="32" t="s">
        <v>87</v>
      </c>
      <c r="E4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0" spans="1:6" x14ac:dyDescent="0.35">
      <c r="A4680" s="3">
        <v>16848570469</v>
      </c>
      <c r="B4680" s="3">
        <v>253</v>
      </c>
      <c r="C4680" s="32">
        <v>49283</v>
      </c>
      <c r="D4680" s="32">
        <v>49305</v>
      </c>
      <c r="E4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81" spans="1:6" x14ac:dyDescent="0.35">
      <c r="A4681" s="3">
        <v>95597763594</v>
      </c>
      <c r="B4681" s="3">
        <v>116</v>
      </c>
      <c r="C4681" s="32">
        <v>49283</v>
      </c>
      <c r="D4681" s="32" t="s">
        <v>87</v>
      </c>
      <c r="E4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2" spans="1:6" x14ac:dyDescent="0.35">
      <c r="A4682" s="3">
        <v>43243538624</v>
      </c>
      <c r="B4682" s="3">
        <v>12</v>
      </c>
      <c r="C4682" s="32">
        <v>49283</v>
      </c>
      <c r="D4682" s="32" t="s">
        <v>87</v>
      </c>
      <c r="E4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3" spans="1:6" x14ac:dyDescent="0.35">
      <c r="A4683" s="3">
        <v>47396140050</v>
      </c>
      <c r="B4683" s="3">
        <v>319</v>
      </c>
      <c r="C4683" s="32">
        <v>49283</v>
      </c>
      <c r="D4683" s="32" t="s">
        <v>87</v>
      </c>
      <c r="E4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4" spans="1:6" x14ac:dyDescent="0.35">
      <c r="A4684" s="3">
        <v>19017185413</v>
      </c>
      <c r="B4684" s="3">
        <v>19</v>
      </c>
      <c r="C4684" s="32">
        <v>49283</v>
      </c>
      <c r="D4684" s="32" t="s">
        <v>87</v>
      </c>
      <c r="E4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5" spans="1:6" x14ac:dyDescent="0.35">
      <c r="A4685" s="3">
        <v>15252187586</v>
      </c>
      <c r="B4685" s="3">
        <v>145</v>
      </c>
      <c r="C4685" s="32">
        <v>49283</v>
      </c>
      <c r="D4685" s="32" t="s">
        <v>87</v>
      </c>
      <c r="E4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6" spans="1:6" x14ac:dyDescent="0.35">
      <c r="A4686" s="3">
        <v>88897790621</v>
      </c>
      <c r="B4686" s="3">
        <v>140</v>
      </c>
      <c r="C4686" s="32">
        <v>49283</v>
      </c>
      <c r="D4686" s="32" t="s">
        <v>87</v>
      </c>
      <c r="E4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7" spans="1:6" x14ac:dyDescent="0.35">
      <c r="A4687" s="3">
        <v>70355840443</v>
      </c>
      <c r="B4687" s="3">
        <v>178</v>
      </c>
      <c r="C4687" s="32">
        <v>49283</v>
      </c>
      <c r="D4687" s="32"/>
      <c r="E4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8" spans="1:6" x14ac:dyDescent="0.35">
      <c r="A4688" s="3">
        <v>88931436161</v>
      </c>
      <c r="B4688" s="3">
        <v>17</v>
      </c>
      <c r="C4688" s="32">
        <v>49283</v>
      </c>
      <c r="D4688" s="32" t="s">
        <v>87</v>
      </c>
      <c r="E4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9" spans="1:6" x14ac:dyDescent="0.35">
      <c r="A4689" s="3">
        <v>56221570243</v>
      </c>
      <c r="B4689" s="3">
        <v>179</v>
      </c>
      <c r="C4689" s="32">
        <v>49283</v>
      </c>
      <c r="D4689" s="32" t="s">
        <v>87</v>
      </c>
      <c r="E4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0" spans="1:6" x14ac:dyDescent="0.35">
      <c r="A4690" s="3">
        <v>75889004867</v>
      </c>
      <c r="B4690" s="3">
        <v>83</v>
      </c>
      <c r="C4690" s="32">
        <v>49283</v>
      </c>
      <c r="D4690" s="32"/>
      <c r="E4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1" spans="1:6" x14ac:dyDescent="0.35">
      <c r="A4691" s="3">
        <v>81913000025</v>
      </c>
      <c r="B4691" s="3">
        <v>226</v>
      </c>
      <c r="C4691" s="32">
        <v>49283</v>
      </c>
      <c r="D4691" s="32" t="s">
        <v>87</v>
      </c>
      <c r="E4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2" spans="1:6" x14ac:dyDescent="0.35">
      <c r="A4692" s="3">
        <v>37453149062</v>
      </c>
      <c r="B4692" s="3">
        <v>11</v>
      </c>
      <c r="C4692" s="32">
        <v>49283</v>
      </c>
      <c r="D4692" s="32" t="s">
        <v>87</v>
      </c>
      <c r="E4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3" spans="1:6" x14ac:dyDescent="0.35">
      <c r="A4693" s="3">
        <v>61287020020</v>
      </c>
      <c r="B4693" s="3">
        <v>42</v>
      </c>
      <c r="C4693" s="32">
        <v>49283</v>
      </c>
      <c r="D4693" s="32" t="s">
        <v>87</v>
      </c>
      <c r="E4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4" spans="1:6" x14ac:dyDescent="0.35">
      <c r="A4694" s="3">
        <v>24742845982</v>
      </c>
      <c r="B4694" s="3">
        <v>150</v>
      </c>
      <c r="C4694" s="32">
        <v>49283</v>
      </c>
      <c r="D4694" s="32">
        <v>49312</v>
      </c>
      <c r="E4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95" spans="1:6" x14ac:dyDescent="0.35">
      <c r="A4695" s="3">
        <v>24587663244</v>
      </c>
      <c r="B4695" s="3">
        <v>205</v>
      </c>
      <c r="C4695" s="32">
        <v>49283</v>
      </c>
      <c r="D4695" s="32" t="s">
        <v>87</v>
      </c>
      <c r="E4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6" spans="1:6" x14ac:dyDescent="0.35">
      <c r="A4696" s="3">
        <v>95658724314</v>
      </c>
      <c r="B4696" s="3">
        <v>259</v>
      </c>
      <c r="C4696" s="32">
        <v>49283</v>
      </c>
      <c r="D4696" s="32" t="s">
        <v>87</v>
      </c>
      <c r="E4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7" spans="1:6" x14ac:dyDescent="0.35">
      <c r="A4697" s="3">
        <v>70731970990</v>
      </c>
      <c r="B4697" s="3">
        <v>46</v>
      </c>
      <c r="C4697" s="32">
        <v>49283</v>
      </c>
      <c r="D4697" s="32" t="s">
        <v>87</v>
      </c>
      <c r="E4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8" spans="1:6" x14ac:dyDescent="0.35">
      <c r="A4698" s="3">
        <v>31473436141</v>
      </c>
      <c r="B4698" s="3">
        <v>246</v>
      </c>
      <c r="C4698" s="32">
        <v>49283</v>
      </c>
      <c r="D4698" s="32" t="s">
        <v>87</v>
      </c>
      <c r="E4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9" spans="1:6" x14ac:dyDescent="0.35">
      <c r="A4699" s="3">
        <v>98742132009</v>
      </c>
      <c r="B4699" s="3">
        <v>222</v>
      </c>
      <c r="C4699" s="32">
        <v>49283</v>
      </c>
      <c r="D4699" s="32" t="s">
        <v>87</v>
      </c>
      <c r="E4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0" spans="1:6" x14ac:dyDescent="0.35">
      <c r="A4700" s="3">
        <v>46107458837</v>
      </c>
      <c r="B4700" s="3">
        <v>209</v>
      </c>
      <c r="C4700" s="32">
        <v>49283</v>
      </c>
      <c r="D4700" s="32" t="s">
        <v>87</v>
      </c>
      <c r="E4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1" spans="1:6" x14ac:dyDescent="0.35">
      <c r="A4701" s="3">
        <v>13079628719</v>
      </c>
      <c r="B4701" s="3">
        <v>237</v>
      </c>
      <c r="C4701" s="32">
        <v>49284</v>
      </c>
      <c r="D4701" s="32"/>
      <c r="E4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2" spans="1:6" x14ac:dyDescent="0.35">
      <c r="A4702" s="3">
        <v>91913274554</v>
      </c>
      <c r="B4702" s="3">
        <v>196</v>
      </c>
      <c r="C4702" s="32">
        <v>49284</v>
      </c>
      <c r="D4702" s="32">
        <v>49332</v>
      </c>
      <c r="E4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03" spans="1:6" x14ac:dyDescent="0.35">
      <c r="A4703" s="3">
        <v>46388220767</v>
      </c>
      <c r="B4703" s="3">
        <v>319</v>
      </c>
      <c r="C4703" s="32">
        <v>49284</v>
      </c>
      <c r="D4703" s="32" t="s">
        <v>87</v>
      </c>
      <c r="E4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4" spans="1:6" x14ac:dyDescent="0.35">
      <c r="A4704" s="3">
        <v>32764864465</v>
      </c>
      <c r="B4704" s="3">
        <v>276</v>
      </c>
      <c r="C4704" s="32">
        <v>49284</v>
      </c>
      <c r="D4704" s="32">
        <v>49302</v>
      </c>
      <c r="E4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05" spans="1:6" x14ac:dyDescent="0.35">
      <c r="A4705" s="3">
        <v>76036161820</v>
      </c>
      <c r="B4705" s="3">
        <v>149</v>
      </c>
      <c r="C4705" s="32">
        <v>49284</v>
      </c>
      <c r="D4705" s="32" t="s">
        <v>87</v>
      </c>
      <c r="E4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6" spans="1:6" x14ac:dyDescent="0.35">
      <c r="A4706" s="3">
        <v>35630644221</v>
      </c>
      <c r="B4706" s="3">
        <v>229</v>
      </c>
      <c r="C4706" s="32">
        <v>49284</v>
      </c>
      <c r="D4706" s="32" t="s">
        <v>87</v>
      </c>
      <c r="E4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7" spans="1:6" x14ac:dyDescent="0.35">
      <c r="A4707" s="3">
        <v>69989307251</v>
      </c>
      <c r="B4707" s="3">
        <v>147</v>
      </c>
      <c r="C4707" s="32">
        <v>49284</v>
      </c>
      <c r="D4707" s="32" t="s">
        <v>87</v>
      </c>
      <c r="E4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8" spans="1:6" x14ac:dyDescent="0.35">
      <c r="A4708" s="3">
        <v>24197122814</v>
      </c>
      <c r="B4708" s="3">
        <v>176</v>
      </c>
      <c r="C4708" s="32">
        <v>49284</v>
      </c>
      <c r="D4708" s="32" t="s">
        <v>87</v>
      </c>
      <c r="E4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9" spans="1:6" x14ac:dyDescent="0.35">
      <c r="A4709" s="3">
        <v>87919562517</v>
      </c>
      <c r="B4709" s="3">
        <v>215</v>
      </c>
      <c r="C4709" s="32">
        <v>49284</v>
      </c>
      <c r="D4709" s="32" t="s">
        <v>87</v>
      </c>
      <c r="E4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0" spans="1:6" x14ac:dyDescent="0.35">
      <c r="A4710" s="3">
        <v>97326824188</v>
      </c>
      <c r="B4710" s="3">
        <v>35</v>
      </c>
      <c r="C4710" s="32">
        <v>49284</v>
      </c>
      <c r="D4710" s="32"/>
      <c r="E4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1" spans="1:6" x14ac:dyDescent="0.35">
      <c r="A4711" s="3">
        <v>73290395622</v>
      </c>
      <c r="B4711" s="3">
        <v>251</v>
      </c>
      <c r="C4711" s="32">
        <v>49284</v>
      </c>
      <c r="D4711" s="32">
        <v>49285</v>
      </c>
      <c r="E4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12" spans="1:6" x14ac:dyDescent="0.35">
      <c r="A4712" s="3">
        <v>61326388063</v>
      </c>
      <c r="B4712" s="3">
        <v>182</v>
      </c>
      <c r="C4712" s="32">
        <v>49284</v>
      </c>
      <c r="D4712" s="32"/>
      <c r="E4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3" spans="1:6" x14ac:dyDescent="0.35">
      <c r="A4713" s="3">
        <v>47075762787</v>
      </c>
      <c r="B4713" s="3">
        <v>285</v>
      </c>
      <c r="C4713" s="32">
        <v>49284</v>
      </c>
      <c r="D4713" s="32" t="s">
        <v>87</v>
      </c>
      <c r="E4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4" spans="1:6" x14ac:dyDescent="0.35">
      <c r="A4714" s="3">
        <v>21082185746</v>
      </c>
      <c r="B4714" s="3">
        <v>292</v>
      </c>
      <c r="C4714" s="32">
        <v>49284</v>
      </c>
      <c r="D4714" s="32" t="s">
        <v>87</v>
      </c>
      <c r="E4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5" spans="1:6" x14ac:dyDescent="0.35">
      <c r="A4715" s="3">
        <v>14767611198</v>
      </c>
      <c r="B4715" s="3">
        <v>218</v>
      </c>
      <c r="C4715" s="32">
        <v>49284</v>
      </c>
      <c r="D4715" s="32" t="s">
        <v>87</v>
      </c>
      <c r="E4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6" spans="1:6" x14ac:dyDescent="0.35">
      <c r="A4716" s="3">
        <v>72371257236</v>
      </c>
      <c r="B4716" s="3">
        <v>175</v>
      </c>
      <c r="C4716" s="32">
        <v>49284</v>
      </c>
      <c r="D4716" s="32" t="s">
        <v>87</v>
      </c>
      <c r="E4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7" spans="1:6" x14ac:dyDescent="0.35">
      <c r="A4717" s="3">
        <v>64714494256</v>
      </c>
      <c r="B4717" s="3">
        <v>186</v>
      </c>
      <c r="C4717" s="32">
        <v>49284</v>
      </c>
      <c r="D4717" s="32">
        <v>49318</v>
      </c>
      <c r="E4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18" spans="1:6" x14ac:dyDescent="0.35">
      <c r="A4718" s="3">
        <v>18436143166</v>
      </c>
      <c r="B4718" s="3">
        <v>228</v>
      </c>
      <c r="C4718" s="32">
        <v>49284</v>
      </c>
      <c r="D4718" s="32" t="s">
        <v>87</v>
      </c>
      <c r="E4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9" spans="1:6" x14ac:dyDescent="0.35">
      <c r="A4719" s="3">
        <v>51910485339</v>
      </c>
      <c r="B4719" s="3">
        <v>80</v>
      </c>
      <c r="C4719" s="32">
        <v>49284</v>
      </c>
      <c r="D4719" s="32">
        <v>49337</v>
      </c>
      <c r="E4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0" spans="1:6" x14ac:dyDescent="0.35">
      <c r="A4720" s="3">
        <v>39312095260</v>
      </c>
      <c r="B4720" s="3">
        <v>285</v>
      </c>
      <c r="C4720" s="32">
        <v>49284</v>
      </c>
      <c r="D4720" s="32" t="s">
        <v>87</v>
      </c>
      <c r="E4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1" spans="1:6" x14ac:dyDescent="0.35">
      <c r="A4721" s="3">
        <v>15645755628</v>
      </c>
      <c r="B4721" s="3">
        <v>279</v>
      </c>
      <c r="C4721" s="32">
        <v>49284</v>
      </c>
      <c r="D4721" s="32" t="s">
        <v>87</v>
      </c>
      <c r="E4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2" spans="1:6" x14ac:dyDescent="0.35">
      <c r="A4722" s="3">
        <v>50972883425</v>
      </c>
      <c r="B4722" s="3">
        <v>177</v>
      </c>
      <c r="C4722" s="32">
        <v>49284</v>
      </c>
      <c r="D4722" s="32" t="s">
        <v>87</v>
      </c>
      <c r="E4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3" spans="1:6" x14ac:dyDescent="0.35">
      <c r="A4723" s="3">
        <v>11245077816</v>
      </c>
      <c r="B4723" s="3">
        <v>217</v>
      </c>
      <c r="C4723" s="32">
        <v>49284</v>
      </c>
      <c r="D4723" s="32" t="s">
        <v>87</v>
      </c>
      <c r="E4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4" spans="1:6" x14ac:dyDescent="0.35">
      <c r="A4724" s="3">
        <v>17191037345</v>
      </c>
      <c r="B4724" s="3">
        <v>1</v>
      </c>
      <c r="C4724" s="32">
        <v>49284</v>
      </c>
      <c r="D4724" s="32">
        <v>49311</v>
      </c>
      <c r="E4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5" spans="1:6" x14ac:dyDescent="0.35">
      <c r="A4725" s="3">
        <v>18387440458</v>
      </c>
      <c r="B4725" s="3">
        <v>242</v>
      </c>
      <c r="C4725" s="32">
        <v>49284</v>
      </c>
      <c r="D4725" s="32">
        <v>49322</v>
      </c>
      <c r="E4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6" spans="1:6" x14ac:dyDescent="0.35">
      <c r="A4726" s="3">
        <v>42171090419</v>
      </c>
      <c r="B4726" s="3">
        <v>3</v>
      </c>
      <c r="C4726" s="32">
        <v>49284</v>
      </c>
      <c r="D4726" s="32" t="s">
        <v>87</v>
      </c>
      <c r="E4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7" spans="1:6" x14ac:dyDescent="0.35">
      <c r="A4727" s="3">
        <v>34470599245</v>
      </c>
      <c r="B4727" s="3">
        <v>203</v>
      </c>
      <c r="C4727" s="32">
        <v>49284</v>
      </c>
      <c r="D4727" s="32" t="s">
        <v>87</v>
      </c>
      <c r="E4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8" spans="1:6" x14ac:dyDescent="0.35">
      <c r="A4728" s="3">
        <v>85505062998</v>
      </c>
      <c r="B4728" s="3">
        <v>75</v>
      </c>
      <c r="C4728" s="32">
        <v>49284</v>
      </c>
      <c r="D4728" s="32" t="s">
        <v>87</v>
      </c>
      <c r="E4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9" spans="1:6" x14ac:dyDescent="0.35">
      <c r="A4729" s="3">
        <v>65900372316</v>
      </c>
      <c r="B4729" s="3">
        <v>261</v>
      </c>
      <c r="C4729" s="32">
        <v>49284</v>
      </c>
      <c r="D4729" s="32" t="s">
        <v>87</v>
      </c>
      <c r="E4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0" spans="1:6" x14ac:dyDescent="0.35">
      <c r="A4730" s="3">
        <v>33525286939</v>
      </c>
      <c r="B4730" s="3">
        <v>73</v>
      </c>
      <c r="C4730" s="32">
        <v>49284</v>
      </c>
      <c r="D4730" s="32">
        <v>49306</v>
      </c>
      <c r="E4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31" spans="1:6" x14ac:dyDescent="0.35">
      <c r="A4731" s="3">
        <v>29330830594</v>
      </c>
      <c r="B4731" s="3">
        <v>268</v>
      </c>
      <c r="C4731" s="32">
        <v>49285</v>
      </c>
      <c r="D4731" s="32" t="s">
        <v>87</v>
      </c>
      <c r="E4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2" spans="1:6" x14ac:dyDescent="0.35">
      <c r="A4732" s="3">
        <v>96901564726</v>
      </c>
      <c r="B4732" s="3">
        <v>197</v>
      </c>
      <c r="C4732" s="32">
        <v>49285</v>
      </c>
      <c r="D4732" s="32" t="s">
        <v>87</v>
      </c>
      <c r="E4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3" spans="1:6" x14ac:dyDescent="0.35">
      <c r="A4733" s="3">
        <v>71428653580</v>
      </c>
      <c r="B4733" s="3">
        <v>283</v>
      </c>
      <c r="C4733" s="32">
        <v>49285</v>
      </c>
      <c r="D4733" s="32" t="s">
        <v>87</v>
      </c>
      <c r="E4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4" spans="1:6" x14ac:dyDescent="0.35">
      <c r="A4734" s="3">
        <v>30622416736</v>
      </c>
      <c r="B4734" s="3">
        <v>302</v>
      </c>
      <c r="C4734" s="32">
        <v>49285</v>
      </c>
      <c r="D4734" s="32" t="s">
        <v>87</v>
      </c>
      <c r="E4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5" spans="1:6" x14ac:dyDescent="0.35">
      <c r="A4735" s="3">
        <v>78067164255</v>
      </c>
      <c r="B4735" s="3">
        <v>105</v>
      </c>
      <c r="C4735" s="32">
        <v>49285</v>
      </c>
      <c r="D4735" s="32" t="s">
        <v>87</v>
      </c>
      <c r="E4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6" spans="1:6" x14ac:dyDescent="0.35">
      <c r="A4736" s="3">
        <v>57102004723</v>
      </c>
      <c r="B4736" s="3">
        <v>172</v>
      </c>
      <c r="C4736" s="32">
        <v>49285</v>
      </c>
      <c r="D4736" s="32" t="s">
        <v>87</v>
      </c>
      <c r="E4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7" spans="1:6" x14ac:dyDescent="0.35">
      <c r="A4737" s="3">
        <v>36811365721</v>
      </c>
      <c r="B4737" s="3">
        <v>332</v>
      </c>
      <c r="C4737" s="32">
        <v>49285</v>
      </c>
      <c r="D4737" s="32" t="s">
        <v>87</v>
      </c>
      <c r="E4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8" spans="1:6" x14ac:dyDescent="0.35">
      <c r="A4738" s="3">
        <v>17895468653</v>
      </c>
      <c r="B4738" s="3">
        <v>27</v>
      </c>
      <c r="C4738" s="32">
        <v>49285</v>
      </c>
      <c r="D4738" s="32" t="s">
        <v>87</v>
      </c>
      <c r="E4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9" spans="1:6" x14ac:dyDescent="0.35">
      <c r="A4739" s="3">
        <v>82244726835</v>
      </c>
      <c r="B4739" s="3">
        <v>248</v>
      </c>
      <c r="C4739" s="32">
        <v>49285</v>
      </c>
      <c r="D4739" s="32" t="s">
        <v>87</v>
      </c>
      <c r="E4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0" spans="1:6" x14ac:dyDescent="0.35">
      <c r="A4740" s="3">
        <v>40251618569</v>
      </c>
      <c r="B4740" s="3">
        <v>35</v>
      </c>
      <c r="C4740" s="32">
        <v>49285</v>
      </c>
      <c r="D4740" s="32"/>
      <c r="E4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1" spans="1:6" x14ac:dyDescent="0.35">
      <c r="A4741" s="3">
        <v>42216104439</v>
      </c>
      <c r="B4741" s="3">
        <v>93</v>
      </c>
      <c r="C4741" s="32">
        <v>49285</v>
      </c>
      <c r="D4741" s="32"/>
      <c r="E4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2" spans="1:6" x14ac:dyDescent="0.35">
      <c r="A4742" s="3">
        <v>98525707549</v>
      </c>
      <c r="B4742" s="3">
        <v>284</v>
      </c>
      <c r="C4742" s="32">
        <v>49285</v>
      </c>
      <c r="D4742" s="32" t="s">
        <v>87</v>
      </c>
      <c r="E4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3" spans="1:6" x14ac:dyDescent="0.35">
      <c r="A4743" s="3">
        <v>41826366887</v>
      </c>
      <c r="B4743" s="3">
        <v>87</v>
      </c>
      <c r="C4743" s="32">
        <v>49285</v>
      </c>
      <c r="D4743" s="32"/>
      <c r="E4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4" spans="1:6" x14ac:dyDescent="0.35">
      <c r="A4744" s="3">
        <v>37450762682</v>
      </c>
      <c r="B4744" s="3">
        <v>55</v>
      </c>
      <c r="C4744" s="32">
        <v>49285</v>
      </c>
      <c r="D4744" s="32" t="s">
        <v>87</v>
      </c>
      <c r="E4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5" spans="1:6" x14ac:dyDescent="0.35">
      <c r="A4745" s="3">
        <v>88320206880</v>
      </c>
      <c r="B4745" s="3">
        <v>203</v>
      </c>
      <c r="C4745" s="32">
        <v>49285</v>
      </c>
      <c r="D4745" s="32" t="s">
        <v>87</v>
      </c>
      <c r="E4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6" spans="1:6" x14ac:dyDescent="0.35">
      <c r="A4746" s="3">
        <v>51409558665</v>
      </c>
      <c r="B4746" s="3">
        <v>48</v>
      </c>
      <c r="C4746" s="32">
        <v>49285</v>
      </c>
      <c r="D4746" s="32" t="s">
        <v>87</v>
      </c>
      <c r="E4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7" spans="1:6" x14ac:dyDescent="0.35">
      <c r="A4747" s="3">
        <v>37027537468</v>
      </c>
      <c r="B4747" s="3">
        <v>63</v>
      </c>
      <c r="C4747" s="32">
        <v>49285</v>
      </c>
      <c r="D4747" s="32">
        <v>49289</v>
      </c>
      <c r="E4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48" spans="1:6" x14ac:dyDescent="0.35">
      <c r="A4748" s="3">
        <v>32047713083</v>
      </c>
      <c r="B4748" s="3">
        <v>99</v>
      </c>
      <c r="C4748" s="32">
        <v>49285</v>
      </c>
      <c r="D4748" s="32" t="s">
        <v>87</v>
      </c>
      <c r="E4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9" spans="1:6" x14ac:dyDescent="0.35">
      <c r="A4749" s="3">
        <v>50879217717</v>
      </c>
      <c r="B4749" s="3">
        <v>268</v>
      </c>
      <c r="C4749" s="32">
        <v>49285</v>
      </c>
      <c r="D4749" s="32" t="s">
        <v>87</v>
      </c>
      <c r="E4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0" spans="1:6" x14ac:dyDescent="0.35">
      <c r="A4750" s="3">
        <v>90886483010</v>
      </c>
      <c r="B4750" s="3">
        <v>269</v>
      </c>
      <c r="C4750" s="32">
        <v>49285</v>
      </c>
      <c r="D4750" s="32" t="s">
        <v>87</v>
      </c>
      <c r="E4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1" spans="1:6" x14ac:dyDescent="0.35">
      <c r="A4751" s="3">
        <v>44540100227</v>
      </c>
      <c r="B4751" s="3">
        <v>9</v>
      </c>
      <c r="C4751" s="32">
        <v>49285</v>
      </c>
      <c r="D4751" s="32" t="s">
        <v>87</v>
      </c>
      <c r="E4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2" spans="1:6" x14ac:dyDescent="0.35">
      <c r="A4752" s="3">
        <v>36483672449</v>
      </c>
      <c r="B4752" s="3">
        <v>81</v>
      </c>
      <c r="C4752" s="32">
        <v>49285</v>
      </c>
      <c r="D4752" s="32" t="s">
        <v>87</v>
      </c>
      <c r="E4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3" spans="1:6" x14ac:dyDescent="0.35">
      <c r="A4753" s="3">
        <v>51702064328</v>
      </c>
      <c r="B4753" s="3">
        <v>152</v>
      </c>
      <c r="C4753" s="32">
        <v>49285</v>
      </c>
      <c r="D4753" s="32" t="s">
        <v>87</v>
      </c>
      <c r="E4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4" spans="1:6" x14ac:dyDescent="0.35">
      <c r="A4754" s="3">
        <v>28168269783</v>
      </c>
      <c r="B4754" s="3">
        <v>143</v>
      </c>
      <c r="C4754" s="32">
        <v>49286</v>
      </c>
      <c r="D4754" s="32" t="s">
        <v>87</v>
      </c>
      <c r="E4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5" spans="1:6" x14ac:dyDescent="0.35">
      <c r="A4755" s="3">
        <v>74829827884</v>
      </c>
      <c r="B4755" s="3">
        <v>328</v>
      </c>
      <c r="C4755" s="32">
        <v>49286</v>
      </c>
      <c r="D4755" s="32" t="s">
        <v>87</v>
      </c>
      <c r="E4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6" spans="1:6" x14ac:dyDescent="0.35">
      <c r="A4756" s="3">
        <v>94123211927</v>
      </c>
      <c r="B4756" s="3">
        <v>189</v>
      </c>
      <c r="C4756" s="32">
        <v>49286</v>
      </c>
      <c r="D4756" s="32" t="s">
        <v>87</v>
      </c>
      <c r="E4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7" spans="1:6" x14ac:dyDescent="0.35">
      <c r="A4757" s="3">
        <v>12027511720</v>
      </c>
      <c r="B4757" s="3">
        <v>7</v>
      </c>
      <c r="C4757" s="32">
        <v>49286</v>
      </c>
      <c r="D4757" s="32"/>
      <c r="E4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8" spans="1:6" x14ac:dyDescent="0.35">
      <c r="A4758" s="3">
        <v>84579237062</v>
      </c>
      <c r="B4758" s="3">
        <v>302</v>
      </c>
      <c r="C4758" s="32">
        <v>49286</v>
      </c>
      <c r="D4758" s="32"/>
      <c r="E4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9" spans="1:6" x14ac:dyDescent="0.35">
      <c r="A4759" s="3">
        <v>56463516016</v>
      </c>
      <c r="B4759" s="3">
        <v>189</v>
      </c>
      <c r="C4759" s="32">
        <v>49286</v>
      </c>
      <c r="D4759" s="32">
        <v>49292</v>
      </c>
      <c r="E4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60" spans="1:6" x14ac:dyDescent="0.35">
      <c r="A4760" s="3">
        <v>53527664364</v>
      </c>
      <c r="B4760" s="3">
        <v>267</v>
      </c>
      <c r="C4760" s="32">
        <v>49286</v>
      </c>
      <c r="D4760" s="32" t="s">
        <v>87</v>
      </c>
      <c r="E4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1" spans="1:6" x14ac:dyDescent="0.35">
      <c r="A4761" s="3">
        <v>67868860296</v>
      </c>
      <c r="B4761" s="3">
        <v>200</v>
      </c>
      <c r="C4761" s="32">
        <v>49286</v>
      </c>
      <c r="D4761" s="32" t="s">
        <v>87</v>
      </c>
      <c r="E4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2" spans="1:6" x14ac:dyDescent="0.35">
      <c r="A4762" s="3">
        <v>63473733712</v>
      </c>
      <c r="B4762" s="3">
        <v>323</v>
      </c>
      <c r="C4762" s="32">
        <v>49286</v>
      </c>
      <c r="D4762" s="32" t="s">
        <v>87</v>
      </c>
      <c r="E4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3" spans="1:6" x14ac:dyDescent="0.35">
      <c r="A4763" s="3">
        <v>24714530169</v>
      </c>
      <c r="B4763" s="3">
        <v>337</v>
      </c>
      <c r="C4763" s="32">
        <v>49286</v>
      </c>
      <c r="D4763" s="32"/>
      <c r="E4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4" spans="1:6" x14ac:dyDescent="0.35">
      <c r="A4764" s="3">
        <v>38464914070</v>
      </c>
      <c r="B4764" s="3">
        <v>119</v>
      </c>
      <c r="C4764" s="32">
        <v>49286</v>
      </c>
      <c r="D4764" s="32" t="s">
        <v>87</v>
      </c>
      <c r="E4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5" spans="1:6" x14ac:dyDescent="0.35">
      <c r="A4765" s="3">
        <v>59405265226</v>
      </c>
      <c r="B4765" s="3">
        <v>96</v>
      </c>
      <c r="C4765" s="32">
        <v>49286</v>
      </c>
      <c r="D4765" s="32" t="s">
        <v>87</v>
      </c>
      <c r="E4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6" spans="1:6" x14ac:dyDescent="0.35">
      <c r="A4766" s="3">
        <v>36502540429</v>
      </c>
      <c r="B4766" s="3">
        <v>82</v>
      </c>
      <c r="C4766" s="32">
        <v>49286</v>
      </c>
      <c r="D4766" s="32" t="s">
        <v>87</v>
      </c>
      <c r="E4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7" spans="1:6" x14ac:dyDescent="0.35">
      <c r="A4767" s="3">
        <v>74800549448</v>
      </c>
      <c r="B4767" s="3">
        <v>139</v>
      </c>
      <c r="C4767" s="32">
        <v>49286</v>
      </c>
      <c r="D4767" s="32" t="s">
        <v>87</v>
      </c>
      <c r="E4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8" spans="1:6" x14ac:dyDescent="0.35">
      <c r="A4768" s="3">
        <v>43330776594</v>
      </c>
      <c r="B4768" s="3">
        <v>124</v>
      </c>
      <c r="C4768" s="32">
        <v>49286</v>
      </c>
      <c r="D4768" s="32">
        <v>49313</v>
      </c>
      <c r="E4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69" spans="1:6" x14ac:dyDescent="0.35">
      <c r="A4769" s="3">
        <v>34105317369</v>
      </c>
      <c r="B4769" s="3">
        <v>212</v>
      </c>
      <c r="C4769" s="32">
        <v>49286</v>
      </c>
      <c r="D4769" s="32" t="s">
        <v>87</v>
      </c>
      <c r="E4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0" spans="1:6" x14ac:dyDescent="0.35">
      <c r="A4770" s="3">
        <v>32388187315</v>
      </c>
      <c r="B4770" s="3">
        <v>43</v>
      </c>
      <c r="C4770" s="32">
        <v>49286</v>
      </c>
      <c r="D4770" s="32" t="s">
        <v>87</v>
      </c>
      <c r="E4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1" spans="1:6" x14ac:dyDescent="0.35">
      <c r="A4771" s="3">
        <v>79652832778</v>
      </c>
      <c r="B4771" s="3">
        <v>50</v>
      </c>
      <c r="C4771" s="32">
        <v>49286</v>
      </c>
      <c r="D4771" s="32" t="s">
        <v>87</v>
      </c>
      <c r="E4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2" spans="1:6" x14ac:dyDescent="0.35">
      <c r="A4772" s="3">
        <v>70636360833</v>
      </c>
      <c r="B4772" s="3">
        <v>148</v>
      </c>
      <c r="C4772" s="32">
        <v>49286</v>
      </c>
      <c r="D4772" s="32" t="s">
        <v>87</v>
      </c>
      <c r="E4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3" spans="1:6" x14ac:dyDescent="0.35">
      <c r="A4773" s="3">
        <v>72272390428</v>
      </c>
      <c r="B4773" s="3">
        <v>201</v>
      </c>
      <c r="C4773" s="32">
        <v>49286</v>
      </c>
      <c r="D4773" s="32" t="s">
        <v>87</v>
      </c>
      <c r="E4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4" spans="1:6" x14ac:dyDescent="0.35">
      <c r="A4774" s="3">
        <v>60199373454</v>
      </c>
      <c r="B4774" s="3">
        <v>265</v>
      </c>
      <c r="C4774" s="32">
        <v>49286</v>
      </c>
      <c r="D4774" s="32">
        <v>49305</v>
      </c>
      <c r="E4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75" spans="1:6" x14ac:dyDescent="0.35">
      <c r="A4775" s="3">
        <v>74957604989</v>
      </c>
      <c r="B4775" s="3">
        <v>210</v>
      </c>
      <c r="C4775" s="32">
        <v>49286</v>
      </c>
      <c r="D4775" s="32" t="s">
        <v>87</v>
      </c>
      <c r="E4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6" spans="1:6" x14ac:dyDescent="0.35">
      <c r="A4776" s="3">
        <v>20534219618</v>
      </c>
      <c r="B4776" s="3">
        <v>273</v>
      </c>
      <c r="C4776" s="32">
        <v>49286</v>
      </c>
      <c r="D4776" s="32" t="s">
        <v>87</v>
      </c>
      <c r="E4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7" spans="1:6" x14ac:dyDescent="0.35">
      <c r="A4777" s="3">
        <v>60343113151</v>
      </c>
      <c r="B4777" s="3">
        <v>155</v>
      </c>
      <c r="C4777" s="32">
        <v>49286</v>
      </c>
      <c r="D4777" s="32"/>
      <c r="E4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8" spans="1:6" x14ac:dyDescent="0.35">
      <c r="A4778" s="3">
        <v>93045201807</v>
      </c>
      <c r="B4778" s="3">
        <v>30</v>
      </c>
      <c r="C4778" s="32">
        <v>49286</v>
      </c>
      <c r="D4778" s="32" t="s">
        <v>87</v>
      </c>
      <c r="E4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9" spans="1:6" x14ac:dyDescent="0.35">
      <c r="A4779" s="3">
        <v>23707594507</v>
      </c>
      <c r="B4779" s="3">
        <v>174</v>
      </c>
      <c r="C4779" s="32">
        <v>49286</v>
      </c>
      <c r="D4779" s="32">
        <v>49307</v>
      </c>
      <c r="E4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80" spans="1:6" x14ac:dyDescent="0.35">
      <c r="A4780" s="3">
        <v>48702489679</v>
      </c>
      <c r="B4780" s="3">
        <v>81</v>
      </c>
      <c r="C4780" s="32">
        <v>49286</v>
      </c>
      <c r="D4780" s="32" t="s">
        <v>87</v>
      </c>
      <c r="E4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1" spans="1:6" x14ac:dyDescent="0.35">
      <c r="A4781" s="3">
        <v>53107894726</v>
      </c>
      <c r="B4781" s="3">
        <v>190</v>
      </c>
      <c r="C4781" s="32">
        <v>49287</v>
      </c>
      <c r="D4781" s="32" t="s">
        <v>87</v>
      </c>
      <c r="E4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2" spans="1:6" x14ac:dyDescent="0.35">
      <c r="A4782" s="3">
        <v>86441232073</v>
      </c>
      <c r="B4782" s="3">
        <v>339</v>
      </c>
      <c r="C4782" s="32">
        <v>49287</v>
      </c>
      <c r="D4782" s="32" t="s">
        <v>87</v>
      </c>
      <c r="E4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3" spans="1:6" x14ac:dyDescent="0.35">
      <c r="A4783" s="3">
        <v>71737862719</v>
      </c>
      <c r="B4783" s="3">
        <v>30</v>
      </c>
      <c r="C4783" s="32">
        <v>49287</v>
      </c>
      <c r="D4783" s="32">
        <v>49320</v>
      </c>
      <c r="E4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84" spans="1:6" x14ac:dyDescent="0.35">
      <c r="A4784" s="3">
        <v>20014837958</v>
      </c>
      <c r="B4784" s="3">
        <v>281</v>
      </c>
      <c r="C4784" s="32">
        <v>49287</v>
      </c>
      <c r="D4784" s="32" t="s">
        <v>87</v>
      </c>
      <c r="E4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5" spans="1:6" x14ac:dyDescent="0.35">
      <c r="A4785" s="3">
        <v>12798124569</v>
      </c>
      <c r="B4785" s="3">
        <v>143</v>
      </c>
      <c r="C4785" s="32">
        <v>49287</v>
      </c>
      <c r="D4785" s="32"/>
      <c r="E4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6" spans="1:6" x14ac:dyDescent="0.35">
      <c r="A4786" s="3">
        <v>80338506594</v>
      </c>
      <c r="B4786" s="3">
        <v>96</v>
      </c>
      <c r="C4786" s="32">
        <v>49287</v>
      </c>
      <c r="D4786" s="32" t="s">
        <v>87</v>
      </c>
      <c r="E4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7" spans="1:6" x14ac:dyDescent="0.35">
      <c r="A4787" s="3">
        <v>11596527058</v>
      </c>
      <c r="B4787" s="3">
        <v>116</v>
      </c>
      <c r="C4787" s="32">
        <v>49287</v>
      </c>
      <c r="D4787" s="32" t="s">
        <v>87</v>
      </c>
      <c r="E4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8" spans="1:6" x14ac:dyDescent="0.35">
      <c r="A4788" s="3">
        <v>84305946395</v>
      </c>
      <c r="B4788" s="3">
        <v>309</v>
      </c>
      <c r="C4788" s="32">
        <v>49287</v>
      </c>
      <c r="D4788" s="32"/>
      <c r="E4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9" spans="1:6" x14ac:dyDescent="0.35">
      <c r="A4789" s="3">
        <v>64463755224</v>
      </c>
      <c r="B4789" s="3">
        <v>218</v>
      </c>
      <c r="C4789" s="32">
        <v>49287</v>
      </c>
      <c r="D4789" s="32" t="s">
        <v>87</v>
      </c>
      <c r="E4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0" spans="1:6" x14ac:dyDescent="0.35">
      <c r="A4790" s="3">
        <v>82952635170</v>
      </c>
      <c r="B4790" s="3">
        <v>169</v>
      </c>
      <c r="C4790" s="32">
        <v>49287</v>
      </c>
      <c r="D4790" s="32">
        <v>49299</v>
      </c>
      <c r="E4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91" spans="1:6" x14ac:dyDescent="0.35">
      <c r="A4791" s="3">
        <v>44824851874</v>
      </c>
      <c r="B4791" s="3">
        <v>128</v>
      </c>
      <c r="C4791" s="32">
        <v>49287</v>
      </c>
      <c r="D4791" s="32" t="s">
        <v>87</v>
      </c>
      <c r="E4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2" spans="1:6" x14ac:dyDescent="0.35">
      <c r="A4792" s="3">
        <v>20119203844</v>
      </c>
      <c r="B4792" s="3">
        <v>188</v>
      </c>
      <c r="C4792" s="32">
        <v>49287</v>
      </c>
      <c r="D4792" s="32" t="s">
        <v>87</v>
      </c>
      <c r="E4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3" spans="1:6" x14ac:dyDescent="0.35">
      <c r="A4793" s="3">
        <v>77782029730</v>
      </c>
      <c r="B4793" s="3">
        <v>154</v>
      </c>
      <c r="C4793" s="32">
        <v>49287</v>
      </c>
      <c r="D4793" s="32" t="s">
        <v>87</v>
      </c>
      <c r="E4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4" spans="1:6" x14ac:dyDescent="0.35">
      <c r="A4794" s="3">
        <v>30185463573</v>
      </c>
      <c r="B4794" s="3">
        <v>158</v>
      </c>
      <c r="C4794" s="32">
        <v>49287</v>
      </c>
      <c r="D4794" s="32" t="s">
        <v>87</v>
      </c>
      <c r="E4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5" spans="1:6" x14ac:dyDescent="0.35">
      <c r="A4795" s="3">
        <v>95408574348</v>
      </c>
      <c r="B4795" s="3">
        <v>183</v>
      </c>
      <c r="C4795" s="32">
        <v>49287</v>
      </c>
      <c r="D4795" s="32" t="s">
        <v>87</v>
      </c>
      <c r="E4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6" spans="1:6" x14ac:dyDescent="0.35">
      <c r="A4796" s="3">
        <v>79771056562</v>
      </c>
      <c r="B4796" s="3">
        <v>334</v>
      </c>
      <c r="C4796" s="32">
        <v>49287</v>
      </c>
      <c r="D4796" s="32"/>
      <c r="E4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7" spans="1:6" x14ac:dyDescent="0.35">
      <c r="A4797" s="3">
        <v>18094547203</v>
      </c>
      <c r="B4797" s="3">
        <v>105</v>
      </c>
      <c r="C4797" s="32">
        <v>49287</v>
      </c>
      <c r="D4797" s="32" t="s">
        <v>87</v>
      </c>
      <c r="E4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8" spans="1:6" x14ac:dyDescent="0.35">
      <c r="A4798" s="3">
        <v>22950621172</v>
      </c>
      <c r="B4798" s="3">
        <v>218</v>
      </c>
      <c r="C4798" s="32">
        <v>49287</v>
      </c>
      <c r="D4798" s="32" t="s">
        <v>87</v>
      </c>
      <c r="E4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9" spans="1:6" x14ac:dyDescent="0.35">
      <c r="A4799" s="3">
        <v>73610361635</v>
      </c>
      <c r="B4799" s="3">
        <v>211</v>
      </c>
      <c r="C4799" s="32">
        <v>49287</v>
      </c>
      <c r="D4799" s="32" t="s">
        <v>87</v>
      </c>
      <c r="E4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0" spans="1:6" x14ac:dyDescent="0.35">
      <c r="A4800" s="3">
        <v>67761452600</v>
      </c>
      <c r="B4800" s="3">
        <v>247</v>
      </c>
      <c r="C4800" s="32">
        <v>49287</v>
      </c>
      <c r="D4800" s="32" t="s">
        <v>87</v>
      </c>
      <c r="E4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1" spans="1:6" x14ac:dyDescent="0.35">
      <c r="A4801" s="3">
        <v>78370546695</v>
      </c>
      <c r="B4801" s="3">
        <v>52</v>
      </c>
      <c r="C4801" s="32">
        <v>49287</v>
      </c>
      <c r="D4801" s="32">
        <v>49303</v>
      </c>
      <c r="E4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02" spans="1:6" x14ac:dyDescent="0.35">
      <c r="A4802" s="3">
        <v>93336531464</v>
      </c>
      <c r="B4802" s="3">
        <v>175</v>
      </c>
      <c r="C4802" s="32">
        <v>49287</v>
      </c>
      <c r="D4802" s="32">
        <v>49289</v>
      </c>
      <c r="E4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03" spans="1:6" x14ac:dyDescent="0.35">
      <c r="A4803" s="3">
        <v>75610000918</v>
      </c>
      <c r="B4803" s="3">
        <v>131</v>
      </c>
      <c r="C4803" s="32">
        <v>49287</v>
      </c>
      <c r="D4803" s="32" t="s">
        <v>87</v>
      </c>
      <c r="E4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4" spans="1:6" x14ac:dyDescent="0.35">
      <c r="A4804" s="3">
        <v>18956029687</v>
      </c>
      <c r="B4804" s="3">
        <v>137</v>
      </c>
      <c r="C4804" s="32">
        <v>49287</v>
      </c>
      <c r="D4804" s="32" t="s">
        <v>87</v>
      </c>
      <c r="E4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5" spans="1:6" x14ac:dyDescent="0.35">
      <c r="A4805" s="3">
        <v>78909646018</v>
      </c>
      <c r="B4805" s="3">
        <v>114</v>
      </c>
      <c r="C4805" s="32">
        <v>49288</v>
      </c>
      <c r="D4805" s="32" t="s">
        <v>87</v>
      </c>
      <c r="E4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6" spans="1:6" x14ac:dyDescent="0.35">
      <c r="A4806" s="3">
        <v>77731723155</v>
      </c>
      <c r="B4806" s="3">
        <v>37</v>
      </c>
      <c r="C4806" s="32">
        <v>49288</v>
      </c>
      <c r="D4806" s="32" t="s">
        <v>87</v>
      </c>
      <c r="E4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7" spans="1:6" x14ac:dyDescent="0.35">
      <c r="A4807" s="3">
        <v>56132977027</v>
      </c>
      <c r="B4807" s="3">
        <v>328</v>
      </c>
      <c r="C4807" s="32">
        <v>49288</v>
      </c>
      <c r="D4807" s="32" t="s">
        <v>87</v>
      </c>
      <c r="E4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8" spans="1:6" x14ac:dyDescent="0.35">
      <c r="A4808" s="3">
        <v>81422459269</v>
      </c>
      <c r="B4808" s="3">
        <v>289</v>
      </c>
      <c r="C4808" s="32">
        <v>49288</v>
      </c>
      <c r="D4808" s="32" t="s">
        <v>87</v>
      </c>
      <c r="E4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9" spans="1:6" x14ac:dyDescent="0.35">
      <c r="A4809" s="3">
        <v>34883835068</v>
      </c>
      <c r="B4809" s="3">
        <v>308</v>
      </c>
      <c r="C4809" s="32">
        <v>49288</v>
      </c>
      <c r="D4809" s="32" t="s">
        <v>87</v>
      </c>
      <c r="E4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0" spans="1:6" x14ac:dyDescent="0.35">
      <c r="A4810" s="3">
        <v>13182891272</v>
      </c>
      <c r="B4810" s="3">
        <v>331</v>
      </c>
      <c r="C4810" s="32">
        <v>49288</v>
      </c>
      <c r="D4810" s="32" t="s">
        <v>87</v>
      </c>
      <c r="E4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1" spans="1:6" x14ac:dyDescent="0.35">
      <c r="A4811" s="3">
        <v>12834121799</v>
      </c>
      <c r="B4811" s="3">
        <v>235</v>
      </c>
      <c r="C4811" s="32">
        <v>49288</v>
      </c>
      <c r="D4811" s="32" t="s">
        <v>87</v>
      </c>
      <c r="E4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2" spans="1:6" x14ac:dyDescent="0.35">
      <c r="A4812" s="3">
        <v>39860443866</v>
      </c>
      <c r="B4812" s="3">
        <v>36</v>
      </c>
      <c r="C4812" s="32">
        <v>49288</v>
      </c>
      <c r="D4812" s="32"/>
      <c r="E4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3" spans="1:6" x14ac:dyDescent="0.35">
      <c r="A4813" s="3">
        <v>72804890597</v>
      </c>
      <c r="B4813" s="3">
        <v>263</v>
      </c>
      <c r="C4813" s="32">
        <v>49288</v>
      </c>
      <c r="D4813" s="32" t="s">
        <v>87</v>
      </c>
      <c r="E4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4" spans="1:6" x14ac:dyDescent="0.35">
      <c r="A4814" s="3">
        <v>67879409937</v>
      </c>
      <c r="B4814" s="3">
        <v>223</v>
      </c>
      <c r="C4814" s="32">
        <v>49288</v>
      </c>
      <c r="D4814" s="32" t="s">
        <v>87</v>
      </c>
      <c r="E4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5" spans="1:6" x14ac:dyDescent="0.35">
      <c r="A4815" s="3">
        <v>64252879772</v>
      </c>
      <c r="B4815" s="3">
        <v>118</v>
      </c>
      <c r="C4815" s="32">
        <v>49288</v>
      </c>
      <c r="D4815" s="32" t="s">
        <v>87</v>
      </c>
      <c r="E4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6" spans="1:6" x14ac:dyDescent="0.35">
      <c r="A4816" s="3">
        <v>63768395136</v>
      </c>
      <c r="B4816" s="3">
        <v>41</v>
      </c>
      <c r="C4816" s="32">
        <v>49288</v>
      </c>
      <c r="D4816" s="32">
        <v>49324</v>
      </c>
      <c r="E4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17" spans="1:6" x14ac:dyDescent="0.35">
      <c r="A4817" s="3">
        <v>38412466860</v>
      </c>
      <c r="B4817" s="3">
        <v>57</v>
      </c>
      <c r="C4817" s="32">
        <v>49288</v>
      </c>
      <c r="D4817" s="32" t="s">
        <v>87</v>
      </c>
      <c r="E4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8" spans="1:6" x14ac:dyDescent="0.35">
      <c r="A4818" s="3">
        <v>99578154746</v>
      </c>
      <c r="B4818" s="3">
        <v>201</v>
      </c>
      <c r="C4818" s="32">
        <v>49288</v>
      </c>
      <c r="D4818" s="32">
        <v>49327</v>
      </c>
      <c r="E4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19" spans="1:6" x14ac:dyDescent="0.35">
      <c r="A4819" s="3">
        <v>31459358439</v>
      </c>
      <c r="B4819" s="3">
        <v>240</v>
      </c>
      <c r="C4819" s="32">
        <v>49288</v>
      </c>
      <c r="D4819" s="32" t="s">
        <v>87</v>
      </c>
      <c r="E4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0" spans="1:6" x14ac:dyDescent="0.35">
      <c r="A4820" s="3">
        <v>77237268729</v>
      </c>
      <c r="B4820" s="3">
        <v>209</v>
      </c>
      <c r="C4820" s="32">
        <v>49288</v>
      </c>
      <c r="D4820" s="32" t="s">
        <v>87</v>
      </c>
      <c r="E4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1" spans="1:6" x14ac:dyDescent="0.35">
      <c r="A4821" s="3">
        <v>69763408954</v>
      </c>
      <c r="B4821" s="3">
        <v>186</v>
      </c>
      <c r="C4821" s="32">
        <v>49288</v>
      </c>
      <c r="D4821" s="32"/>
      <c r="E4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2" spans="1:6" x14ac:dyDescent="0.35">
      <c r="A4822" s="3">
        <v>84658836221</v>
      </c>
      <c r="B4822" s="3">
        <v>333</v>
      </c>
      <c r="C4822" s="32">
        <v>49288</v>
      </c>
      <c r="D4822" s="32" t="s">
        <v>87</v>
      </c>
      <c r="E4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3" spans="1:6" x14ac:dyDescent="0.35">
      <c r="A4823" s="3">
        <v>94512958895</v>
      </c>
      <c r="B4823" s="3">
        <v>163</v>
      </c>
      <c r="C4823" s="32">
        <v>49288</v>
      </c>
      <c r="D4823" s="32" t="s">
        <v>87</v>
      </c>
      <c r="E4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4" spans="1:6" x14ac:dyDescent="0.35">
      <c r="A4824" s="3">
        <v>73473222872</v>
      </c>
      <c r="B4824" s="3">
        <v>102</v>
      </c>
      <c r="C4824" s="32">
        <v>49289</v>
      </c>
      <c r="D4824" s="32" t="s">
        <v>87</v>
      </c>
      <c r="E4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5" spans="1:6" x14ac:dyDescent="0.35">
      <c r="A4825" s="3">
        <v>91269555345</v>
      </c>
      <c r="B4825" s="3">
        <v>94</v>
      </c>
      <c r="C4825" s="32">
        <v>49289</v>
      </c>
      <c r="D4825" s="32" t="s">
        <v>87</v>
      </c>
      <c r="E4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6" spans="1:6" x14ac:dyDescent="0.35">
      <c r="A4826" s="3">
        <v>97974477780</v>
      </c>
      <c r="B4826" s="3">
        <v>209</v>
      </c>
      <c r="C4826" s="32">
        <v>49289</v>
      </c>
      <c r="D4826" s="32" t="s">
        <v>87</v>
      </c>
      <c r="E4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7" spans="1:6" x14ac:dyDescent="0.35">
      <c r="A4827" s="3">
        <v>51273908941</v>
      </c>
      <c r="B4827" s="3">
        <v>165</v>
      </c>
      <c r="C4827" s="32">
        <v>49289</v>
      </c>
      <c r="D4827" s="32">
        <v>49304</v>
      </c>
      <c r="E4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28" spans="1:6" x14ac:dyDescent="0.35">
      <c r="A4828" s="3">
        <v>15676270117</v>
      </c>
      <c r="B4828" s="3">
        <v>197</v>
      </c>
      <c r="C4828" s="32">
        <v>49289</v>
      </c>
      <c r="D4828" s="32" t="s">
        <v>87</v>
      </c>
      <c r="E4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9" spans="1:6" x14ac:dyDescent="0.35">
      <c r="A4829" s="3">
        <v>62258984065</v>
      </c>
      <c r="B4829" s="3">
        <v>150</v>
      </c>
      <c r="C4829" s="32">
        <v>49289</v>
      </c>
      <c r="D4829" s="32"/>
      <c r="E4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0" spans="1:6" x14ac:dyDescent="0.35">
      <c r="A4830" s="3">
        <v>19718489784</v>
      </c>
      <c r="B4830" s="3">
        <v>315</v>
      </c>
      <c r="C4830" s="32">
        <v>49289</v>
      </c>
      <c r="D4830" s="32" t="s">
        <v>87</v>
      </c>
      <c r="E4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1" spans="1:6" x14ac:dyDescent="0.35">
      <c r="A4831" s="3">
        <v>53337374474</v>
      </c>
      <c r="B4831" s="3">
        <v>2</v>
      </c>
      <c r="C4831" s="32">
        <v>49289</v>
      </c>
      <c r="D4831" s="32" t="s">
        <v>87</v>
      </c>
      <c r="E4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2" spans="1:6" x14ac:dyDescent="0.35">
      <c r="A4832" s="3">
        <v>82355298411</v>
      </c>
      <c r="B4832" s="3">
        <v>43</v>
      </c>
      <c r="C4832" s="32">
        <v>49289</v>
      </c>
      <c r="D4832" s="32"/>
      <c r="E4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3" spans="1:6" x14ac:dyDescent="0.35">
      <c r="A4833" s="3">
        <v>67218090009</v>
      </c>
      <c r="B4833" s="3">
        <v>244</v>
      </c>
      <c r="C4833" s="32">
        <v>49289</v>
      </c>
      <c r="D4833" s="32" t="s">
        <v>87</v>
      </c>
      <c r="E4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4" spans="1:6" x14ac:dyDescent="0.35">
      <c r="A4834" s="3">
        <v>18084815528</v>
      </c>
      <c r="B4834" s="3">
        <v>299</v>
      </c>
      <c r="C4834" s="32">
        <v>49289</v>
      </c>
      <c r="D4834" s="32" t="s">
        <v>87</v>
      </c>
      <c r="E4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5" spans="1:6" x14ac:dyDescent="0.35">
      <c r="A4835" s="3">
        <v>69289260156</v>
      </c>
      <c r="B4835" s="3">
        <v>88</v>
      </c>
      <c r="C4835" s="32">
        <v>49289</v>
      </c>
      <c r="D4835" s="32" t="s">
        <v>87</v>
      </c>
      <c r="E4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6" spans="1:6" x14ac:dyDescent="0.35">
      <c r="A4836" s="3">
        <v>81478573686</v>
      </c>
      <c r="B4836" s="3">
        <v>194</v>
      </c>
      <c r="C4836" s="32">
        <v>49289</v>
      </c>
      <c r="D4836" s="32">
        <v>49314</v>
      </c>
      <c r="E4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37" spans="1:6" x14ac:dyDescent="0.35">
      <c r="A4837" s="3">
        <v>48403205482</v>
      </c>
      <c r="B4837" s="3">
        <v>181</v>
      </c>
      <c r="C4837" s="32">
        <v>49289</v>
      </c>
      <c r="D4837" s="32" t="s">
        <v>87</v>
      </c>
      <c r="E4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8" spans="1:6" x14ac:dyDescent="0.35">
      <c r="A4838" s="3">
        <v>89457011735</v>
      </c>
      <c r="B4838" s="3">
        <v>111</v>
      </c>
      <c r="C4838" s="32">
        <v>49289</v>
      </c>
      <c r="D4838" s="32" t="s">
        <v>87</v>
      </c>
      <c r="E4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9" spans="1:6" x14ac:dyDescent="0.35">
      <c r="A4839" s="3">
        <v>93655386284</v>
      </c>
      <c r="B4839" s="3">
        <v>200</v>
      </c>
      <c r="C4839" s="32">
        <v>49289</v>
      </c>
      <c r="D4839" s="32" t="s">
        <v>87</v>
      </c>
      <c r="E4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0" spans="1:6" x14ac:dyDescent="0.35">
      <c r="A4840" s="3">
        <v>93666109530</v>
      </c>
      <c r="B4840" s="3">
        <v>47</v>
      </c>
      <c r="C4840" s="32">
        <v>49289</v>
      </c>
      <c r="D4840" s="32" t="s">
        <v>87</v>
      </c>
      <c r="E4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1" spans="1:6" x14ac:dyDescent="0.35">
      <c r="A4841" s="3">
        <v>94597161683</v>
      </c>
      <c r="B4841" s="3">
        <v>191</v>
      </c>
      <c r="C4841" s="32">
        <v>49289</v>
      </c>
      <c r="D4841" s="32" t="s">
        <v>87</v>
      </c>
      <c r="E4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2" spans="1:6" x14ac:dyDescent="0.35">
      <c r="A4842" s="3">
        <v>29072726826</v>
      </c>
      <c r="B4842" s="3">
        <v>11</v>
      </c>
      <c r="C4842" s="32">
        <v>49289</v>
      </c>
      <c r="D4842" s="32" t="s">
        <v>87</v>
      </c>
      <c r="E4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3" spans="1:6" x14ac:dyDescent="0.35">
      <c r="A4843" s="3">
        <v>79264027970</v>
      </c>
      <c r="B4843" s="3">
        <v>313</v>
      </c>
      <c r="C4843" s="32">
        <v>49289</v>
      </c>
      <c r="D4843" s="32" t="s">
        <v>87</v>
      </c>
      <c r="E4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4" spans="1:6" x14ac:dyDescent="0.35">
      <c r="A4844" s="3">
        <v>53888539800</v>
      </c>
      <c r="B4844" s="3">
        <v>132</v>
      </c>
      <c r="C4844" s="32">
        <v>49289</v>
      </c>
      <c r="D4844" s="32" t="s">
        <v>87</v>
      </c>
      <c r="E4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5" spans="1:6" x14ac:dyDescent="0.35">
      <c r="A4845" s="3">
        <v>66448519322</v>
      </c>
      <c r="B4845" s="3">
        <v>89</v>
      </c>
      <c r="C4845" s="32">
        <v>49289</v>
      </c>
      <c r="D4845" s="32" t="s">
        <v>87</v>
      </c>
      <c r="E4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6" spans="1:6" x14ac:dyDescent="0.35">
      <c r="A4846" s="3">
        <v>62242452883</v>
      </c>
      <c r="B4846" s="3">
        <v>305</v>
      </c>
      <c r="C4846" s="32">
        <v>49289</v>
      </c>
      <c r="D4846" s="32" t="s">
        <v>87</v>
      </c>
      <c r="E4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7" spans="1:6" x14ac:dyDescent="0.35">
      <c r="A4847" s="3">
        <v>68511039532</v>
      </c>
      <c r="B4847" s="3">
        <v>245</v>
      </c>
      <c r="C4847" s="32">
        <v>49289</v>
      </c>
      <c r="D4847" s="32" t="s">
        <v>87</v>
      </c>
      <c r="E4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8" spans="1:6" x14ac:dyDescent="0.35">
      <c r="A4848" s="3">
        <v>70474663296</v>
      </c>
      <c r="B4848" s="3">
        <v>181</v>
      </c>
      <c r="C4848" s="32">
        <v>49289</v>
      </c>
      <c r="D4848" s="32" t="s">
        <v>87</v>
      </c>
      <c r="E4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9" spans="1:6" x14ac:dyDescent="0.35">
      <c r="A4849" s="3">
        <v>98978675041</v>
      </c>
      <c r="B4849" s="3">
        <v>151</v>
      </c>
      <c r="C4849" s="32">
        <v>49289</v>
      </c>
      <c r="D4849" s="32" t="s">
        <v>87</v>
      </c>
      <c r="E4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0" spans="1:6" x14ac:dyDescent="0.35">
      <c r="A4850" s="3">
        <v>19896940018</v>
      </c>
      <c r="B4850" s="3">
        <v>268</v>
      </c>
      <c r="C4850" s="32">
        <v>49289</v>
      </c>
      <c r="D4850" s="32"/>
      <c r="E4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1" spans="1:6" x14ac:dyDescent="0.35">
      <c r="A4851" s="3">
        <v>46907775770</v>
      </c>
      <c r="B4851" s="3">
        <v>331</v>
      </c>
      <c r="C4851" s="32">
        <v>49289</v>
      </c>
      <c r="D4851" s="32" t="s">
        <v>87</v>
      </c>
      <c r="E4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2" spans="1:6" x14ac:dyDescent="0.35">
      <c r="A4852" s="3">
        <v>31691124756</v>
      </c>
      <c r="B4852" s="3">
        <v>33</v>
      </c>
      <c r="C4852" s="32">
        <v>49289</v>
      </c>
      <c r="D4852" s="32">
        <v>49341</v>
      </c>
      <c r="E4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4853" spans="1:6" x14ac:dyDescent="0.35">
      <c r="A4853" s="3">
        <v>82729495442</v>
      </c>
      <c r="B4853" s="3">
        <v>207</v>
      </c>
      <c r="C4853" s="32">
        <v>49289</v>
      </c>
      <c r="D4853" s="32"/>
      <c r="E4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4" spans="1:6" x14ac:dyDescent="0.35">
      <c r="A4854" s="3">
        <v>92224292269</v>
      </c>
      <c r="B4854" s="3">
        <v>265</v>
      </c>
      <c r="C4854" s="32">
        <v>49289</v>
      </c>
      <c r="D4854" s="32" t="s">
        <v>87</v>
      </c>
      <c r="E4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5" spans="1:6" x14ac:dyDescent="0.35">
      <c r="A4855" s="3">
        <v>76876157807</v>
      </c>
      <c r="B4855" s="3">
        <v>0</v>
      </c>
      <c r="C4855" s="32">
        <v>49289</v>
      </c>
      <c r="D4855" s="32" t="s">
        <v>87</v>
      </c>
      <c r="E4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6" spans="1:6" x14ac:dyDescent="0.35">
      <c r="A4856" s="3">
        <v>90996591988</v>
      </c>
      <c r="B4856" s="3">
        <v>106</v>
      </c>
      <c r="C4856" s="32">
        <v>49289</v>
      </c>
      <c r="D4856" s="32" t="s">
        <v>87</v>
      </c>
      <c r="E4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7" spans="1:6" x14ac:dyDescent="0.35">
      <c r="A4857" s="3">
        <v>85898961873</v>
      </c>
      <c r="B4857" s="3">
        <v>251</v>
      </c>
      <c r="C4857" s="32">
        <v>49289</v>
      </c>
      <c r="D4857" s="32" t="s">
        <v>87</v>
      </c>
      <c r="E4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8" spans="1:6" x14ac:dyDescent="0.35">
      <c r="A4858" s="3">
        <v>64188906048</v>
      </c>
      <c r="B4858" s="3">
        <v>317</v>
      </c>
      <c r="C4858" s="32">
        <v>49290</v>
      </c>
      <c r="D4858" s="32" t="s">
        <v>87</v>
      </c>
      <c r="E4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9" spans="1:6" x14ac:dyDescent="0.35">
      <c r="A4859" s="3">
        <v>40370269414</v>
      </c>
      <c r="B4859" s="3">
        <v>229</v>
      </c>
      <c r="C4859" s="32">
        <v>49290</v>
      </c>
      <c r="D4859" s="32" t="s">
        <v>87</v>
      </c>
      <c r="E4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0" spans="1:6" x14ac:dyDescent="0.35">
      <c r="A4860" s="3">
        <v>57207028697</v>
      </c>
      <c r="B4860" s="3">
        <v>187</v>
      </c>
      <c r="C4860" s="32">
        <v>49290</v>
      </c>
      <c r="D4860" s="32" t="s">
        <v>87</v>
      </c>
      <c r="E4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1" spans="1:6" x14ac:dyDescent="0.35">
      <c r="A4861" s="3">
        <v>22188566181</v>
      </c>
      <c r="B4861" s="3">
        <v>319</v>
      </c>
      <c r="C4861" s="32">
        <v>49290</v>
      </c>
      <c r="D4861" s="32" t="s">
        <v>87</v>
      </c>
      <c r="E4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2" spans="1:6" x14ac:dyDescent="0.35">
      <c r="A4862" s="3">
        <v>45844576408</v>
      </c>
      <c r="B4862" s="3">
        <v>45</v>
      </c>
      <c r="C4862" s="32">
        <v>49290</v>
      </c>
      <c r="D4862" s="32">
        <v>49306</v>
      </c>
      <c r="E4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63" spans="1:6" x14ac:dyDescent="0.35">
      <c r="A4863" s="3">
        <v>82770694494</v>
      </c>
      <c r="B4863" s="3">
        <v>208</v>
      </c>
      <c r="C4863" s="32">
        <v>49290</v>
      </c>
      <c r="D4863" s="32" t="s">
        <v>87</v>
      </c>
      <c r="E4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4" spans="1:6" x14ac:dyDescent="0.35">
      <c r="A4864" s="3">
        <v>43693426198</v>
      </c>
      <c r="B4864" s="3">
        <v>152</v>
      </c>
      <c r="C4864" s="32">
        <v>49290</v>
      </c>
      <c r="D4864" s="32" t="s">
        <v>87</v>
      </c>
      <c r="E4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5" spans="1:6" x14ac:dyDescent="0.35">
      <c r="A4865" s="3">
        <v>31519380359</v>
      </c>
      <c r="B4865" s="3">
        <v>109</v>
      </c>
      <c r="C4865" s="32">
        <v>49290</v>
      </c>
      <c r="D4865" s="32" t="s">
        <v>87</v>
      </c>
      <c r="E4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6" spans="1:6" x14ac:dyDescent="0.35">
      <c r="A4866" s="3">
        <v>67095919328</v>
      </c>
      <c r="B4866" s="3">
        <v>30</v>
      </c>
      <c r="C4866" s="32">
        <v>49290</v>
      </c>
      <c r="D4866" s="32" t="s">
        <v>87</v>
      </c>
      <c r="E4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7" spans="1:6" x14ac:dyDescent="0.35">
      <c r="A4867" s="3">
        <v>56224881839</v>
      </c>
      <c r="B4867" s="3">
        <v>76</v>
      </c>
      <c r="C4867" s="32">
        <v>49290</v>
      </c>
      <c r="D4867" s="32" t="s">
        <v>87</v>
      </c>
      <c r="E4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8" spans="1:6" x14ac:dyDescent="0.35">
      <c r="A4868" s="3">
        <v>24881288795</v>
      </c>
      <c r="B4868" s="3">
        <v>210</v>
      </c>
      <c r="C4868" s="32">
        <v>49290</v>
      </c>
      <c r="D4868" s="32" t="s">
        <v>87</v>
      </c>
      <c r="E4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9" spans="1:6" x14ac:dyDescent="0.35">
      <c r="A4869" s="3">
        <v>91790158998</v>
      </c>
      <c r="B4869" s="3">
        <v>259</v>
      </c>
      <c r="C4869" s="32">
        <v>49290</v>
      </c>
      <c r="D4869" s="32" t="s">
        <v>87</v>
      </c>
      <c r="E4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0" spans="1:6" x14ac:dyDescent="0.35">
      <c r="A4870" s="3">
        <v>93545976013</v>
      </c>
      <c r="B4870" s="3">
        <v>66</v>
      </c>
      <c r="C4870" s="32">
        <v>49290</v>
      </c>
      <c r="D4870" s="32" t="s">
        <v>87</v>
      </c>
      <c r="E4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1" spans="1:6" x14ac:dyDescent="0.35">
      <c r="A4871" s="3">
        <v>19498868047</v>
      </c>
      <c r="B4871" s="3">
        <v>290</v>
      </c>
      <c r="C4871" s="32">
        <v>49290</v>
      </c>
      <c r="D4871" s="32" t="s">
        <v>87</v>
      </c>
      <c r="E4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2" spans="1:6" x14ac:dyDescent="0.35">
      <c r="A4872" s="3">
        <v>51158109537</v>
      </c>
      <c r="B4872" s="3">
        <v>270</v>
      </c>
      <c r="C4872" s="32">
        <v>49290</v>
      </c>
      <c r="D4872" s="32" t="s">
        <v>87</v>
      </c>
      <c r="E4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3" spans="1:6" x14ac:dyDescent="0.35">
      <c r="A4873" s="3">
        <v>81087578333</v>
      </c>
      <c r="B4873" s="3">
        <v>97</v>
      </c>
      <c r="C4873" s="32">
        <v>49290</v>
      </c>
      <c r="D4873" s="32">
        <v>49320</v>
      </c>
      <c r="E4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74" spans="1:6" x14ac:dyDescent="0.35">
      <c r="A4874" s="3">
        <v>36069797324</v>
      </c>
      <c r="B4874" s="3">
        <v>239</v>
      </c>
      <c r="C4874" s="32">
        <v>49290</v>
      </c>
      <c r="D4874" s="32">
        <v>49325</v>
      </c>
      <c r="E4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75" spans="1:6" x14ac:dyDescent="0.35">
      <c r="A4875" s="3">
        <v>93511905006</v>
      </c>
      <c r="B4875" s="3">
        <v>66</v>
      </c>
      <c r="C4875" s="32">
        <v>49290</v>
      </c>
      <c r="D4875" s="32" t="s">
        <v>87</v>
      </c>
      <c r="E4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6" spans="1:6" x14ac:dyDescent="0.35">
      <c r="A4876" s="3">
        <v>50201695511</v>
      </c>
      <c r="B4876" s="3">
        <v>226</v>
      </c>
      <c r="C4876" s="32">
        <v>49290</v>
      </c>
      <c r="D4876" s="32" t="s">
        <v>87</v>
      </c>
      <c r="E4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7" spans="1:6" x14ac:dyDescent="0.35">
      <c r="A4877" s="3">
        <v>69942340913</v>
      </c>
      <c r="B4877" s="3">
        <v>228</v>
      </c>
      <c r="C4877" s="32">
        <v>49290</v>
      </c>
      <c r="D4877" s="32" t="s">
        <v>87</v>
      </c>
      <c r="E4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8" spans="1:6" x14ac:dyDescent="0.35">
      <c r="A4878" s="3">
        <v>49760735004</v>
      </c>
      <c r="B4878" s="3">
        <v>280</v>
      </c>
      <c r="C4878" s="32">
        <v>49290</v>
      </c>
      <c r="D4878" s="32" t="s">
        <v>87</v>
      </c>
      <c r="E4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9" spans="1:6" x14ac:dyDescent="0.35">
      <c r="A4879" s="3">
        <v>50956431491</v>
      </c>
      <c r="B4879" s="3">
        <v>337</v>
      </c>
      <c r="C4879" s="32">
        <v>49290</v>
      </c>
      <c r="D4879" s="32" t="s">
        <v>87</v>
      </c>
      <c r="E4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0" spans="1:6" x14ac:dyDescent="0.35">
      <c r="A4880" s="3">
        <v>81242527944</v>
      </c>
      <c r="B4880" s="3">
        <v>128</v>
      </c>
      <c r="C4880" s="32">
        <v>49290</v>
      </c>
      <c r="D4880" s="32" t="s">
        <v>87</v>
      </c>
      <c r="E4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1" spans="1:6" x14ac:dyDescent="0.35">
      <c r="A4881" s="3">
        <v>38416894292</v>
      </c>
      <c r="B4881" s="3">
        <v>232</v>
      </c>
      <c r="C4881" s="32">
        <v>49290</v>
      </c>
      <c r="D4881" s="32" t="s">
        <v>87</v>
      </c>
      <c r="E4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2" spans="1:6" x14ac:dyDescent="0.35">
      <c r="A4882" s="3">
        <v>28754448701</v>
      </c>
      <c r="B4882" s="3">
        <v>107</v>
      </c>
      <c r="C4882" s="32">
        <v>49290</v>
      </c>
      <c r="D4882" s="32" t="s">
        <v>87</v>
      </c>
      <c r="E4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3" spans="1:6" x14ac:dyDescent="0.35">
      <c r="A4883" s="3">
        <v>66071623790</v>
      </c>
      <c r="B4883" s="3">
        <v>197</v>
      </c>
      <c r="C4883" s="32">
        <v>49290</v>
      </c>
      <c r="D4883" s="32" t="s">
        <v>87</v>
      </c>
      <c r="E4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4" spans="1:6" x14ac:dyDescent="0.35">
      <c r="A4884" s="3">
        <v>24741280635</v>
      </c>
      <c r="B4884" s="3">
        <v>77</v>
      </c>
      <c r="C4884" s="32">
        <v>49290</v>
      </c>
      <c r="D4884" s="32" t="s">
        <v>87</v>
      </c>
      <c r="E4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5" spans="1:6" x14ac:dyDescent="0.35">
      <c r="A4885" s="3">
        <v>69175897612</v>
      </c>
      <c r="B4885" s="3">
        <v>169</v>
      </c>
      <c r="C4885" s="32">
        <v>49290</v>
      </c>
      <c r="D4885" s="32" t="s">
        <v>87</v>
      </c>
      <c r="E4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6" spans="1:6" x14ac:dyDescent="0.35">
      <c r="A4886" s="3">
        <v>13266344549</v>
      </c>
      <c r="B4886" s="3">
        <v>251</v>
      </c>
      <c r="C4886" s="32">
        <v>49290</v>
      </c>
      <c r="D4886" s="32" t="s">
        <v>87</v>
      </c>
      <c r="E4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7" spans="1:6" x14ac:dyDescent="0.35">
      <c r="A4887" s="3">
        <v>11479613922</v>
      </c>
      <c r="B4887" s="3">
        <v>130</v>
      </c>
      <c r="C4887" s="32">
        <v>49290</v>
      </c>
      <c r="D4887" s="32" t="s">
        <v>87</v>
      </c>
      <c r="E4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8" spans="1:6" x14ac:dyDescent="0.35">
      <c r="A4888" s="3">
        <v>37427260033</v>
      </c>
      <c r="B4888" s="3">
        <v>333</v>
      </c>
      <c r="C4888" s="32">
        <v>49290</v>
      </c>
      <c r="D4888" s="32" t="s">
        <v>87</v>
      </c>
      <c r="E4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9" spans="1:6" x14ac:dyDescent="0.35">
      <c r="A4889" s="3">
        <v>31516059321</v>
      </c>
      <c r="B4889" s="3">
        <v>23</v>
      </c>
      <c r="C4889" s="32">
        <v>49290</v>
      </c>
      <c r="D4889" s="32" t="s">
        <v>87</v>
      </c>
      <c r="E4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0" spans="1:6" x14ac:dyDescent="0.35">
      <c r="A4890" s="3">
        <v>82613193378</v>
      </c>
      <c r="B4890" s="3">
        <v>298</v>
      </c>
      <c r="C4890" s="32">
        <v>49290</v>
      </c>
      <c r="D4890" s="32" t="s">
        <v>87</v>
      </c>
      <c r="E4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1" spans="1:6" x14ac:dyDescent="0.35">
      <c r="A4891" s="3">
        <v>45324662009</v>
      </c>
      <c r="B4891" s="3">
        <v>117</v>
      </c>
      <c r="C4891" s="32">
        <v>49290</v>
      </c>
      <c r="D4891" s="32" t="s">
        <v>87</v>
      </c>
      <c r="E4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2" spans="1:6" x14ac:dyDescent="0.35">
      <c r="A4892" s="3">
        <v>39349081060</v>
      </c>
      <c r="B4892" s="3">
        <v>103</v>
      </c>
      <c r="C4892" s="32">
        <v>49291</v>
      </c>
      <c r="D4892" s="32"/>
      <c r="E4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3" spans="1:6" x14ac:dyDescent="0.35">
      <c r="A4893" s="3">
        <v>12331855704</v>
      </c>
      <c r="B4893" s="3">
        <v>205</v>
      </c>
      <c r="C4893" s="32">
        <v>49291</v>
      </c>
      <c r="D4893" s="32" t="s">
        <v>87</v>
      </c>
      <c r="E4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4" spans="1:6" x14ac:dyDescent="0.35">
      <c r="A4894" s="3">
        <v>84791305666</v>
      </c>
      <c r="B4894" s="3">
        <v>221</v>
      </c>
      <c r="C4894" s="32">
        <v>49291</v>
      </c>
      <c r="D4894" s="32" t="s">
        <v>87</v>
      </c>
      <c r="E4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5" spans="1:6" x14ac:dyDescent="0.35">
      <c r="A4895" s="3">
        <v>22766035622</v>
      </c>
      <c r="B4895" s="3">
        <v>314</v>
      </c>
      <c r="C4895" s="32">
        <v>49291</v>
      </c>
      <c r="D4895" s="32"/>
      <c r="E4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6" spans="1:6" x14ac:dyDescent="0.35">
      <c r="A4896" s="3">
        <v>94133533028</v>
      </c>
      <c r="B4896" s="3">
        <v>147</v>
      </c>
      <c r="C4896" s="32">
        <v>49291</v>
      </c>
      <c r="D4896" s="32" t="s">
        <v>87</v>
      </c>
      <c r="E4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7" spans="1:6" x14ac:dyDescent="0.35">
      <c r="A4897" s="3">
        <v>45355634303</v>
      </c>
      <c r="B4897" s="3">
        <v>44</v>
      </c>
      <c r="C4897" s="32">
        <v>49291</v>
      </c>
      <c r="D4897" s="32"/>
      <c r="E4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8" spans="1:6" x14ac:dyDescent="0.35">
      <c r="A4898" s="3">
        <v>94226838621</v>
      </c>
      <c r="B4898" s="3">
        <v>134</v>
      </c>
      <c r="C4898" s="32">
        <v>49291</v>
      </c>
      <c r="D4898" s="32" t="s">
        <v>87</v>
      </c>
      <c r="E4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9" spans="1:6" x14ac:dyDescent="0.35">
      <c r="A4899" s="3">
        <v>99483922545</v>
      </c>
      <c r="B4899" s="3">
        <v>63</v>
      </c>
      <c r="C4899" s="32">
        <v>49291</v>
      </c>
      <c r="D4899" s="32" t="s">
        <v>87</v>
      </c>
      <c r="E4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0" spans="1:6" x14ac:dyDescent="0.35">
      <c r="A4900" s="3">
        <v>82750417023</v>
      </c>
      <c r="B4900" s="3">
        <v>86</v>
      </c>
      <c r="C4900" s="32">
        <v>49291</v>
      </c>
      <c r="D4900" s="32" t="s">
        <v>87</v>
      </c>
      <c r="E4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1" spans="1:6" x14ac:dyDescent="0.35">
      <c r="A4901" s="3">
        <v>16404743736</v>
      </c>
      <c r="B4901" s="3">
        <v>69</v>
      </c>
      <c r="C4901" s="32">
        <v>49291</v>
      </c>
      <c r="D4901" s="32" t="s">
        <v>87</v>
      </c>
      <c r="E4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2" spans="1:6" x14ac:dyDescent="0.35">
      <c r="A4902" s="3">
        <v>91520417010</v>
      </c>
      <c r="B4902" s="3">
        <v>157</v>
      </c>
      <c r="C4902" s="32">
        <v>49291</v>
      </c>
      <c r="D4902" s="32" t="s">
        <v>87</v>
      </c>
      <c r="E4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3" spans="1:6" x14ac:dyDescent="0.35">
      <c r="A4903" s="3">
        <v>78513597040</v>
      </c>
      <c r="B4903" s="3">
        <v>167</v>
      </c>
      <c r="C4903" s="32">
        <v>49291</v>
      </c>
      <c r="D4903" s="32" t="s">
        <v>87</v>
      </c>
      <c r="E4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4" spans="1:6" x14ac:dyDescent="0.35">
      <c r="A4904" s="3">
        <v>23213399782</v>
      </c>
      <c r="B4904" s="3">
        <v>138</v>
      </c>
      <c r="C4904" s="32">
        <v>49291</v>
      </c>
      <c r="D4904" s="32" t="s">
        <v>87</v>
      </c>
      <c r="E4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5" spans="1:6" x14ac:dyDescent="0.35">
      <c r="A4905" s="3">
        <v>68197353888</v>
      </c>
      <c r="B4905" s="3">
        <v>26</v>
      </c>
      <c r="C4905" s="32">
        <v>49291</v>
      </c>
      <c r="D4905" s="32" t="s">
        <v>87</v>
      </c>
      <c r="E4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6" spans="1:6" x14ac:dyDescent="0.35">
      <c r="A4906" s="3">
        <v>16015018581</v>
      </c>
      <c r="B4906" s="3">
        <v>310</v>
      </c>
      <c r="C4906" s="32">
        <v>49291</v>
      </c>
      <c r="D4906" s="32" t="s">
        <v>87</v>
      </c>
      <c r="E4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7" spans="1:6" x14ac:dyDescent="0.35">
      <c r="A4907" s="3">
        <v>40328880497</v>
      </c>
      <c r="B4907" s="3">
        <v>263</v>
      </c>
      <c r="C4907" s="32">
        <v>49291</v>
      </c>
      <c r="D4907" s="32" t="s">
        <v>87</v>
      </c>
      <c r="E4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8" spans="1:6" x14ac:dyDescent="0.35">
      <c r="A4908" s="3">
        <v>23470141503</v>
      </c>
      <c r="B4908" s="3">
        <v>52</v>
      </c>
      <c r="C4908" s="32">
        <v>49291</v>
      </c>
      <c r="D4908" s="32">
        <v>49320</v>
      </c>
      <c r="E4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09" spans="1:6" x14ac:dyDescent="0.35">
      <c r="A4909" s="3">
        <v>16700633181</v>
      </c>
      <c r="B4909" s="3">
        <v>163</v>
      </c>
      <c r="C4909" s="32">
        <v>49291</v>
      </c>
      <c r="D4909" s="32"/>
      <c r="E4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0" spans="1:6" x14ac:dyDescent="0.35">
      <c r="A4910" s="3">
        <v>47360610316</v>
      </c>
      <c r="B4910" s="3">
        <v>104</v>
      </c>
      <c r="C4910" s="32">
        <v>49291</v>
      </c>
      <c r="D4910" s="32" t="s">
        <v>87</v>
      </c>
      <c r="E4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1" spans="1:6" x14ac:dyDescent="0.35">
      <c r="A4911" s="3">
        <v>37407010596</v>
      </c>
      <c r="B4911" s="3">
        <v>45</v>
      </c>
      <c r="C4911" s="32">
        <v>49291</v>
      </c>
      <c r="D4911" s="32" t="s">
        <v>87</v>
      </c>
      <c r="E4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2" spans="1:6" x14ac:dyDescent="0.35">
      <c r="A4912" s="3">
        <v>31278872160</v>
      </c>
      <c r="B4912" s="3">
        <v>249</v>
      </c>
      <c r="C4912" s="32">
        <v>49291</v>
      </c>
      <c r="D4912" s="32" t="s">
        <v>87</v>
      </c>
      <c r="E4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3" spans="1:6" x14ac:dyDescent="0.35">
      <c r="A4913" s="3">
        <v>11921203685</v>
      </c>
      <c r="B4913" s="3">
        <v>159</v>
      </c>
      <c r="C4913" s="32">
        <v>49291</v>
      </c>
      <c r="D4913" s="32" t="s">
        <v>87</v>
      </c>
      <c r="E4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4" spans="1:6" x14ac:dyDescent="0.35">
      <c r="A4914" s="3">
        <v>12994658170</v>
      </c>
      <c r="B4914" s="3">
        <v>252</v>
      </c>
      <c r="C4914" s="32">
        <v>49291</v>
      </c>
      <c r="D4914" s="32" t="s">
        <v>87</v>
      </c>
      <c r="E4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5" spans="1:6" x14ac:dyDescent="0.35">
      <c r="A4915" s="3">
        <v>54851675737</v>
      </c>
      <c r="B4915" s="3">
        <v>177</v>
      </c>
      <c r="C4915" s="32">
        <v>49291</v>
      </c>
      <c r="D4915" s="32" t="s">
        <v>87</v>
      </c>
      <c r="E4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6" spans="1:6" x14ac:dyDescent="0.35">
      <c r="A4916" s="3">
        <v>60089707743</v>
      </c>
      <c r="B4916" s="3">
        <v>213</v>
      </c>
      <c r="C4916" s="32">
        <v>49292</v>
      </c>
      <c r="D4916" s="32" t="s">
        <v>87</v>
      </c>
      <c r="E4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7" spans="1:6" x14ac:dyDescent="0.35">
      <c r="A4917" s="3">
        <v>57858732645</v>
      </c>
      <c r="B4917" s="3">
        <v>74</v>
      </c>
      <c r="C4917" s="32">
        <v>49292</v>
      </c>
      <c r="D4917" s="32" t="s">
        <v>87</v>
      </c>
      <c r="E4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8" spans="1:6" x14ac:dyDescent="0.35">
      <c r="A4918" s="3">
        <v>34466583005</v>
      </c>
      <c r="B4918" s="3">
        <v>35</v>
      </c>
      <c r="C4918" s="32">
        <v>49292</v>
      </c>
      <c r="D4918" s="32" t="s">
        <v>87</v>
      </c>
      <c r="E4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9" spans="1:6" x14ac:dyDescent="0.35">
      <c r="A4919" s="3">
        <v>62242795105</v>
      </c>
      <c r="B4919" s="3">
        <v>190</v>
      </c>
      <c r="C4919" s="32">
        <v>49292</v>
      </c>
      <c r="D4919" s="32" t="s">
        <v>87</v>
      </c>
      <c r="E4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0" spans="1:6" x14ac:dyDescent="0.35">
      <c r="A4920" s="3">
        <v>90279275238</v>
      </c>
      <c r="B4920" s="3">
        <v>167</v>
      </c>
      <c r="C4920" s="32">
        <v>49292</v>
      </c>
      <c r="D4920" s="32">
        <v>49312</v>
      </c>
      <c r="E4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21" spans="1:6" x14ac:dyDescent="0.35">
      <c r="A4921" s="3">
        <v>35332700767</v>
      </c>
      <c r="B4921" s="3">
        <v>106</v>
      </c>
      <c r="C4921" s="32">
        <v>49292</v>
      </c>
      <c r="D4921" s="32" t="s">
        <v>87</v>
      </c>
      <c r="E4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2" spans="1:6" x14ac:dyDescent="0.35">
      <c r="A4922" s="3">
        <v>18656715016</v>
      </c>
      <c r="B4922" s="3">
        <v>279</v>
      </c>
      <c r="C4922" s="32">
        <v>49292</v>
      </c>
      <c r="D4922" s="32" t="s">
        <v>87</v>
      </c>
      <c r="E4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3" spans="1:6" x14ac:dyDescent="0.35">
      <c r="A4923" s="3">
        <v>32143328342</v>
      </c>
      <c r="B4923" s="3">
        <v>260</v>
      </c>
      <c r="C4923" s="32">
        <v>49292</v>
      </c>
      <c r="D4923" s="32" t="s">
        <v>87</v>
      </c>
      <c r="E4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4" spans="1:6" x14ac:dyDescent="0.35">
      <c r="A4924" s="3">
        <v>81980117413</v>
      </c>
      <c r="B4924" s="3">
        <v>290</v>
      </c>
      <c r="C4924" s="32">
        <v>49292</v>
      </c>
      <c r="D4924" s="32" t="s">
        <v>87</v>
      </c>
      <c r="E4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5" spans="1:6" x14ac:dyDescent="0.35">
      <c r="A4925" s="3">
        <v>90978013432</v>
      </c>
      <c r="B4925" s="3">
        <v>196</v>
      </c>
      <c r="C4925" s="32">
        <v>49292</v>
      </c>
      <c r="D4925" s="32" t="s">
        <v>87</v>
      </c>
      <c r="E4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6" spans="1:6" x14ac:dyDescent="0.35">
      <c r="A4926" s="3">
        <v>93383770751</v>
      </c>
      <c r="B4926" s="3">
        <v>48</v>
      </c>
      <c r="C4926" s="32">
        <v>49292</v>
      </c>
      <c r="D4926" s="32" t="s">
        <v>87</v>
      </c>
      <c r="E4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7" spans="1:6" x14ac:dyDescent="0.35">
      <c r="A4927" s="3">
        <v>53714767843</v>
      </c>
      <c r="B4927" s="3">
        <v>320</v>
      </c>
      <c r="C4927" s="32">
        <v>49292</v>
      </c>
      <c r="D4927" s="32" t="s">
        <v>87</v>
      </c>
      <c r="E4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8" spans="1:6" x14ac:dyDescent="0.35">
      <c r="A4928" s="3">
        <v>76030363599</v>
      </c>
      <c r="B4928" s="3">
        <v>156</v>
      </c>
      <c r="C4928" s="32">
        <v>49292</v>
      </c>
      <c r="D4928" s="32" t="s">
        <v>87</v>
      </c>
      <c r="E4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9" spans="1:6" x14ac:dyDescent="0.35">
      <c r="A4929" s="3">
        <v>59412640239</v>
      </c>
      <c r="B4929" s="3">
        <v>268</v>
      </c>
      <c r="C4929" s="32">
        <v>49292</v>
      </c>
      <c r="D4929" s="32">
        <v>49329</v>
      </c>
      <c r="E4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30" spans="1:6" x14ac:dyDescent="0.35">
      <c r="A4930" s="3">
        <v>34655659862</v>
      </c>
      <c r="B4930" s="3">
        <v>112</v>
      </c>
      <c r="C4930" s="32">
        <v>49292</v>
      </c>
      <c r="D4930" s="32" t="s">
        <v>87</v>
      </c>
      <c r="E4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1" spans="1:6" x14ac:dyDescent="0.35">
      <c r="A4931" s="3">
        <v>51371238767</v>
      </c>
      <c r="B4931" s="3">
        <v>39</v>
      </c>
      <c r="C4931" s="32">
        <v>49292</v>
      </c>
      <c r="D4931" s="32"/>
      <c r="E4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2" spans="1:6" x14ac:dyDescent="0.35">
      <c r="A4932" s="3">
        <v>17618714794</v>
      </c>
      <c r="B4932" s="3">
        <v>104</v>
      </c>
      <c r="C4932" s="32">
        <v>49292</v>
      </c>
      <c r="D4932" s="32" t="s">
        <v>87</v>
      </c>
      <c r="E4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3" spans="1:6" x14ac:dyDescent="0.35">
      <c r="A4933" s="3">
        <v>69681313863</v>
      </c>
      <c r="B4933" s="3">
        <v>175</v>
      </c>
      <c r="C4933" s="32">
        <v>49292</v>
      </c>
      <c r="D4933" s="32" t="s">
        <v>87</v>
      </c>
      <c r="E4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4" spans="1:6" x14ac:dyDescent="0.35">
      <c r="A4934" s="3">
        <v>31188933687</v>
      </c>
      <c r="B4934" s="3">
        <v>161</v>
      </c>
      <c r="C4934" s="32">
        <v>49292</v>
      </c>
      <c r="D4934" s="32" t="s">
        <v>87</v>
      </c>
      <c r="E4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5" spans="1:6" x14ac:dyDescent="0.35">
      <c r="A4935" s="3">
        <v>76413684942</v>
      </c>
      <c r="B4935" s="3">
        <v>24</v>
      </c>
      <c r="C4935" s="32">
        <v>49292</v>
      </c>
      <c r="D4935" s="32" t="s">
        <v>87</v>
      </c>
      <c r="E4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6" spans="1:6" x14ac:dyDescent="0.35">
      <c r="A4936" s="3">
        <v>83360234057</v>
      </c>
      <c r="B4936" s="3">
        <v>262</v>
      </c>
      <c r="C4936" s="32">
        <v>49293</v>
      </c>
      <c r="D4936" s="32"/>
      <c r="E4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7" spans="1:6" x14ac:dyDescent="0.35">
      <c r="A4937" s="3">
        <v>26272800348</v>
      </c>
      <c r="B4937" s="3">
        <v>281</v>
      </c>
      <c r="C4937" s="32">
        <v>49293</v>
      </c>
      <c r="D4937" s="32" t="s">
        <v>87</v>
      </c>
      <c r="E4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8" spans="1:6" x14ac:dyDescent="0.35">
      <c r="A4938" s="3">
        <v>98255614921</v>
      </c>
      <c r="B4938" s="3">
        <v>132</v>
      </c>
      <c r="C4938" s="32">
        <v>49293</v>
      </c>
      <c r="D4938" s="32"/>
      <c r="E4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9" spans="1:6" x14ac:dyDescent="0.35">
      <c r="A4939" s="3">
        <v>12201631892</v>
      </c>
      <c r="B4939" s="3">
        <v>104</v>
      </c>
      <c r="C4939" s="32">
        <v>49293</v>
      </c>
      <c r="D4939" s="32" t="s">
        <v>87</v>
      </c>
      <c r="E4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0" spans="1:6" x14ac:dyDescent="0.35">
      <c r="A4940" s="3">
        <v>97740523555</v>
      </c>
      <c r="B4940" s="3">
        <v>142</v>
      </c>
      <c r="C4940" s="32">
        <v>49293</v>
      </c>
      <c r="D4940" s="32" t="s">
        <v>87</v>
      </c>
      <c r="E4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1" spans="1:6" x14ac:dyDescent="0.35">
      <c r="A4941" s="3">
        <v>36989729625</v>
      </c>
      <c r="B4941" s="3">
        <v>207</v>
      </c>
      <c r="C4941" s="32">
        <v>49293</v>
      </c>
      <c r="D4941" s="32" t="s">
        <v>87</v>
      </c>
      <c r="E4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2" spans="1:6" x14ac:dyDescent="0.35">
      <c r="A4942" s="3">
        <v>22130255998</v>
      </c>
      <c r="B4942" s="3">
        <v>187</v>
      </c>
      <c r="C4942" s="32">
        <v>49293</v>
      </c>
      <c r="D4942" s="32" t="s">
        <v>87</v>
      </c>
      <c r="E4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3" spans="1:6" x14ac:dyDescent="0.35">
      <c r="A4943" s="3">
        <v>45016170733</v>
      </c>
      <c r="B4943" s="3">
        <v>308</v>
      </c>
      <c r="C4943" s="32">
        <v>49293</v>
      </c>
      <c r="D4943" s="32" t="s">
        <v>87</v>
      </c>
      <c r="E4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4" spans="1:6" x14ac:dyDescent="0.35">
      <c r="A4944" s="3">
        <v>53463248774</v>
      </c>
      <c r="B4944" s="3">
        <v>302</v>
      </c>
      <c r="C4944" s="32">
        <v>49293</v>
      </c>
      <c r="D4944" s="32" t="s">
        <v>87</v>
      </c>
      <c r="E4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5" spans="1:6" x14ac:dyDescent="0.35">
      <c r="A4945" s="3">
        <v>48182709087</v>
      </c>
      <c r="B4945" s="3">
        <v>168</v>
      </c>
      <c r="C4945" s="32">
        <v>49293</v>
      </c>
      <c r="D4945" s="32"/>
      <c r="E4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6" spans="1:6" x14ac:dyDescent="0.35">
      <c r="A4946" s="3">
        <v>58347553774</v>
      </c>
      <c r="B4946" s="3">
        <v>263</v>
      </c>
      <c r="C4946" s="32">
        <v>49293</v>
      </c>
      <c r="D4946" s="32" t="s">
        <v>87</v>
      </c>
      <c r="E4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7" spans="1:6" x14ac:dyDescent="0.35">
      <c r="A4947" s="3">
        <v>87079392351</v>
      </c>
      <c r="B4947" s="3">
        <v>79</v>
      </c>
      <c r="C4947" s="32">
        <v>49293</v>
      </c>
      <c r="D4947" s="32" t="s">
        <v>87</v>
      </c>
      <c r="E4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8" spans="1:6" x14ac:dyDescent="0.35">
      <c r="A4948" s="3">
        <v>29828259522</v>
      </c>
      <c r="B4948" s="3">
        <v>17</v>
      </c>
      <c r="C4948" s="32">
        <v>49293</v>
      </c>
      <c r="D4948" s="32"/>
      <c r="E4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9" spans="1:6" x14ac:dyDescent="0.35">
      <c r="A4949" s="3">
        <v>43393920153</v>
      </c>
      <c r="B4949" s="3">
        <v>99</v>
      </c>
      <c r="C4949" s="32">
        <v>49293</v>
      </c>
      <c r="D4949" s="32" t="s">
        <v>87</v>
      </c>
      <c r="E4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0" spans="1:6" x14ac:dyDescent="0.35">
      <c r="A4950" s="3">
        <v>46273990244</v>
      </c>
      <c r="B4950" s="3">
        <v>228</v>
      </c>
      <c r="C4950" s="32">
        <v>49293</v>
      </c>
      <c r="D4950" s="32" t="s">
        <v>87</v>
      </c>
      <c r="E4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1" spans="1:6" x14ac:dyDescent="0.35">
      <c r="A4951" s="3">
        <v>29333741588</v>
      </c>
      <c r="B4951" s="3">
        <v>179</v>
      </c>
      <c r="C4951" s="32">
        <v>49293</v>
      </c>
      <c r="D4951" s="32" t="s">
        <v>87</v>
      </c>
      <c r="E4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2" spans="1:6" x14ac:dyDescent="0.35">
      <c r="A4952" s="3">
        <v>70694221882</v>
      </c>
      <c r="B4952" s="3">
        <v>109</v>
      </c>
      <c r="C4952" s="32">
        <v>49293</v>
      </c>
      <c r="D4952" s="32" t="s">
        <v>87</v>
      </c>
      <c r="E4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3" spans="1:6" x14ac:dyDescent="0.35">
      <c r="A4953" s="3">
        <v>96444405960</v>
      </c>
      <c r="B4953" s="3">
        <v>91</v>
      </c>
      <c r="C4953" s="32">
        <v>49293</v>
      </c>
      <c r="D4953" s="32"/>
      <c r="E4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4" spans="1:6" x14ac:dyDescent="0.35">
      <c r="A4954" s="3">
        <v>44198016995</v>
      </c>
      <c r="B4954" s="3">
        <v>34</v>
      </c>
      <c r="C4954" s="32">
        <v>49293</v>
      </c>
      <c r="D4954" s="32" t="s">
        <v>87</v>
      </c>
      <c r="E4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5" spans="1:6" x14ac:dyDescent="0.35">
      <c r="A4955" s="3">
        <v>98096953563</v>
      </c>
      <c r="B4955" s="3">
        <v>266</v>
      </c>
      <c r="C4955" s="32">
        <v>49293</v>
      </c>
      <c r="D4955" s="32">
        <v>49334</v>
      </c>
      <c r="E4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56" spans="1:6" x14ac:dyDescent="0.35">
      <c r="A4956" s="3">
        <v>96426013970</v>
      </c>
      <c r="B4956" s="3">
        <v>291</v>
      </c>
      <c r="C4956" s="32">
        <v>49293</v>
      </c>
      <c r="D4956" s="32" t="s">
        <v>87</v>
      </c>
      <c r="E4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7" spans="1:6" x14ac:dyDescent="0.35">
      <c r="A4957" s="3">
        <v>43856845784</v>
      </c>
      <c r="B4957" s="3">
        <v>148</v>
      </c>
      <c r="C4957" s="32">
        <v>49293</v>
      </c>
      <c r="D4957" s="32">
        <v>49329</v>
      </c>
      <c r="E4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58" spans="1:6" x14ac:dyDescent="0.35">
      <c r="A4958" s="3">
        <v>85947900096</v>
      </c>
      <c r="B4958" s="3">
        <v>177</v>
      </c>
      <c r="C4958" s="32">
        <v>49293</v>
      </c>
      <c r="D4958" s="32" t="s">
        <v>87</v>
      </c>
      <c r="E4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9" spans="1:6" x14ac:dyDescent="0.35">
      <c r="A4959" s="3">
        <v>12668027650</v>
      </c>
      <c r="B4959" s="3">
        <v>152</v>
      </c>
      <c r="C4959" s="32">
        <v>49293</v>
      </c>
      <c r="D4959" s="32" t="s">
        <v>87</v>
      </c>
      <c r="E4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0" spans="1:6" x14ac:dyDescent="0.35">
      <c r="A4960" s="3">
        <v>44228541499</v>
      </c>
      <c r="B4960" s="3">
        <v>61</v>
      </c>
      <c r="C4960" s="32">
        <v>49293</v>
      </c>
      <c r="D4960" s="32" t="s">
        <v>87</v>
      </c>
      <c r="E4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1" spans="1:6" x14ac:dyDescent="0.35">
      <c r="A4961" s="3">
        <v>87181083407</v>
      </c>
      <c r="B4961" s="3">
        <v>16</v>
      </c>
      <c r="C4961" s="32">
        <v>49293</v>
      </c>
      <c r="D4961" s="32">
        <v>49306</v>
      </c>
      <c r="E4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62" spans="1:6" x14ac:dyDescent="0.35">
      <c r="A4962" s="3">
        <v>35467148616</v>
      </c>
      <c r="B4962" s="3">
        <v>327</v>
      </c>
      <c r="C4962" s="32">
        <v>49294</v>
      </c>
      <c r="D4962" s="32" t="s">
        <v>87</v>
      </c>
      <c r="E4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3" spans="1:6" x14ac:dyDescent="0.35">
      <c r="A4963" s="3">
        <v>31661913093</v>
      </c>
      <c r="B4963" s="3">
        <v>30</v>
      </c>
      <c r="C4963" s="32">
        <v>49294</v>
      </c>
      <c r="D4963" s="32" t="s">
        <v>87</v>
      </c>
      <c r="E4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4" spans="1:6" x14ac:dyDescent="0.35">
      <c r="A4964" s="3">
        <v>81729646800</v>
      </c>
      <c r="B4964" s="3">
        <v>265</v>
      </c>
      <c r="C4964" s="32">
        <v>49294</v>
      </c>
      <c r="D4964" s="32" t="s">
        <v>87</v>
      </c>
      <c r="E4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5" spans="1:6" x14ac:dyDescent="0.35">
      <c r="A4965" s="3">
        <v>50499062878</v>
      </c>
      <c r="B4965" s="3">
        <v>38</v>
      </c>
      <c r="C4965" s="32">
        <v>49294</v>
      </c>
      <c r="D4965" s="32" t="s">
        <v>87</v>
      </c>
      <c r="E4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6" spans="1:6" x14ac:dyDescent="0.35">
      <c r="A4966" s="3">
        <v>61468501953</v>
      </c>
      <c r="B4966" s="3">
        <v>237</v>
      </c>
      <c r="C4966" s="32">
        <v>49294</v>
      </c>
      <c r="D4966" s="32" t="s">
        <v>87</v>
      </c>
      <c r="E4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7" spans="1:6" x14ac:dyDescent="0.35">
      <c r="A4967" s="3">
        <v>34770330665</v>
      </c>
      <c r="B4967" s="3">
        <v>45</v>
      </c>
      <c r="C4967" s="32">
        <v>49294</v>
      </c>
      <c r="D4967" s="32"/>
      <c r="E4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8" spans="1:6" x14ac:dyDescent="0.35">
      <c r="A4968" s="3">
        <v>80550775021</v>
      </c>
      <c r="B4968" s="3">
        <v>184</v>
      </c>
      <c r="C4968" s="32">
        <v>49294</v>
      </c>
      <c r="D4968" s="32">
        <v>49324</v>
      </c>
      <c r="E4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69" spans="1:6" x14ac:dyDescent="0.35">
      <c r="A4969" s="3">
        <v>44254419400</v>
      </c>
      <c r="B4969" s="3">
        <v>110</v>
      </c>
      <c r="C4969" s="32">
        <v>49294</v>
      </c>
      <c r="D4969" s="32" t="s">
        <v>87</v>
      </c>
      <c r="E4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0" spans="1:6" x14ac:dyDescent="0.35">
      <c r="A4970" s="3">
        <v>82915247188</v>
      </c>
      <c r="B4970" s="3">
        <v>142</v>
      </c>
      <c r="C4970" s="32">
        <v>49294</v>
      </c>
      <c r="D4970" s="32" t="s">
        <v>87</v>
      </c>
      <c r="E4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1" spans="1:6" x14ac:dyDescent="0.35">
      <c r="A4971" s="3">
        <v>72237222043</v>
      </c>
      <c r="B4971" s="3">
        <v>206</v>
      </c>
      <c r="C4971" s="32">
        <v>49294</v>
      </c>
      <c r="D4971" s="32"/>
      <c r="E4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2" spans="1:6" x14ac:dyDescent="0.35">
      <c r="A4972" s="3">
        <v>92287150872</v>
      </c>
      <c r="B4972" s="3">
        <v>212</v>
      </c>
      <c r="C4972" s="32">
        <v>49294</v>
      </c>
      <c r="D4972" s="32" t="s">
        <v>87</v>
      </c>
      <c r="E4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3" spans="1:6" x14ac:dyDescent="0.35">
      <c r="A4973" s="3">
        <v>14308005447</v>
      </c>
      <c r="B4973" s="3">
        <v>236</v>
      </c>
      <c r="C4973" s="32">
        <v>49294</v>
      </c>
      <c r="D4973" s="32">
        <v>49315</v>
      </c>
      <c r="E4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74" spans="1:6" x14ac:dyDescent="0.35">
      <c r="A4974" s="3">
        <v>24887059278</v>
      </c>
      <c r="B4974" s="3">
        <v>95</v>
      </c>
      <c r="C4974" s="32">
        <v>49294</v>
      </c>
      <c r="D4974" s="32" t="s">
        <v>87</v>
      </c>
      <c r="E4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5" spans="1:6" x14ac:dyDescent="0.35">
      <c r="A4975" s="3">
        <v>74422918492</v>
      </c>
      <c r="B4975" s="3">
        <v>272</v>
      </c>
      <c r="C4975" s="32">
        <v>49294</v>
      </c>
      <c r="D4975" s="32" t="s">
        <v>87</v>
      </c>
      <c r="E4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6" spans="1:6" x14ac:dyDescent="0.35">
      <c r="A4976" s="3">
        <v>92817984198</v>
      </c>
      <c r="B4976" s="3">
        <v>320</v>
      </c>
      <c r="C4976" s="32">
        <v>49294</v>
      </c>
      <c r="D4976" s="32">
        <v>49294</v>
      </c>
      <c r="E4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77" spans="1:6" x14ac:dyDescent="0.35">
      <c r="A4977" s="3">
        <v>46502529389</v>
      </c>
      <c r="B4977" s="3">
        <v>14</v>
      </c>
      <c r="C4977" s="32">
        <v>49294</v>
      </c>
      <c r="D4977" s="32"/>
      <c r="E4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8" spans="1:6" x14ac:dyDescent="0.35">
      <c r="A4978" s="3">
        <v>19695615817</v>
      </c>
      <c r="B4978" s="3">
        <v>10</v>
      </c>
      <c r="C4978" s="32">
        <v>49294</v>
      </c>
      <c r="D4978" s="32" t="s">
        <v>87</v>
      </c>
      <c r="E4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9" spans="1:6" x14ac:dyDescent="0.35">
      <c r="A4979" s="3">
        <v>80773005293</v>
      </c>
      <c r="B4979" s="3">
        <v>259</v>
      </c>
      <c r="C4979" s="32">
        <v>49294</v>
      </c>
      <c r="D4979" s="32"/>
      <c r="E4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0" spans="1:6" x14ac:dyDescent="0.35">
      <c r="A4980" s="3">
        <v>92809110855</v>
      </c>
      <c r="B4980" s="3">
        <v>70</v>
      </c>
      <c r="C4980" s="32">
        <v>49294</v>
      </c>
      <c r="D4980" s="32" t="s">
        <v>87</v>
      </c>
      <c r="E4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1" spans="1:6" x14ac:dyDescent="0.35">
      <c r="A4981" s="3">
        <v>34664273933</v>
      </c>
      <c r="B4981" s="3">
        <v>158</v>
      </c>
      <c r="C4981" s="32">
        <v>49294</v>
      </c>
      <c r="D4981" s="32" t="s">
        <v>87</v>
      </c>
      <c r="E4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2" spans="1:6" x14ac:dyDescent="0.35">
      <c r="A4982" s="3">
        <v>91968820139</v>
      </c>
      <c r="B4982" s="3">
        <v>63</v>
      </c>
      <c r="C4982" s="32">
        <v>49294</v>
      </c>
      <c r="D4982" s="32" t="s">
        <v>87</v>
      </c>
      <c r="E4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3" spans="1:6" x14ac:dyDescent="0.35">
      <c r="A4983" s="3">
        <v>74793563772</v>
      </c>
      <c r="B4983" s="3">
        <v>140</v>
      </c>
      <c r="C4983" s="32">
        <v>49294</v>
      </c>
      <c r="D4983" s="32" t="s">
        <v>87</v>
      </c>
      <c r="E4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4" spans="1:6" x14ac:dyDescent="0.35">
      <c r="A4984" s="3">
        <v>72551653138</v>
      </c>
      <c r="B4984" s="3">
        <v>258</v>
      </c>
      <c r="C4984" s="32">
        <v>49294</v>
      </c>
      <c r="D4984" s="32" t="s">
        <v>87</v>
      </c>
      <c r="E4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5" spans="1:6" x14ac:dyDescent="0.35">
      <c r="A4985" s="3">
        <v>15269737072</v>
      </c>
      <c r="B4985" s="3">
        <v>215</v>
      </c>
      <c r="C4985" s="32">
        <v>49294</v>
      </c>
      <c r="D4985" s="32" t="s">
        <v>87</v>
      </c>
      <c r="E4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6" spans="1:6" x14ac:dyDescent="0.35">
      <c r="A4986" s="3">
        <v>21558573565</v>
      </c>
      <c r="B4986" s="3">
        <v>322</v>
      </c>
      <c r="C4986" s="32">
        <v>49294</v>
      </c>
      <c r="D4986" s="32">
        <v>49308</v>
      </c>
      <c r="E4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87" spans="1:6" x14ac:dyDescent="0.35">
      <c r="A4987" s="3">
        <v>63712664362</v>
      </c>
      <c r="B4987" s="3">
        <v>203</v>
      </c>
      <c r="C4987" s="32">
        <v>49295</v>
      </c>
      <c r="D4987" s="32" t="s">
        <v>87</v>
      </c>
      <c r="E4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8" spans="1:6" x14ac:dyDescent="0.35">
      <c r="A4988" s="3">
        <v>47481046150</v>
      </c>
      <c r="B4988" s="3">
        <v>54</v>
      </c>
      <c r="C4988" s="32">
        <v>49295</v>
      </c>
      <c r="D4988" s="32" t="s">
        <v>87</v>
      </c>
      <c r="E4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9" spans="1:6" x14ac:dyDescent="0.35">
      <c r="A4989" s="3">
        <v>57863474255</v>
      </c>
      <c r="B4989" s="3">
        <v>266</v>
      </c>
      <c r="C4989" s="32">
        <v>49295</v>
      </c>
      <c r="D4989" s="32" t="s">
        <v>87</v>
      </c>
      <c r="E4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0" spans="1:6" x14ac:dyDescent="0.35">
      <c r="A4990" s="3">
        <v>97082843548</v>
      </c>
      <c r="B4990" s="3">
        <v>127</v>
      </c>
      <c r="C4990" s="32">
        <v>49295</v>
      </c>
      <c r="D4990" s="32" t="s">
        <v>87</v>
      </c>
      <c r="E4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1" spans="1:6" x14ac:dyDescent="0.35">
      <c r="A4991" s="3">
        <v>21136629306</v>
      </c>
      <c r="B4991" s="3">
        <v>273</v>
      </c>
      <c r="C4991" s="32">
        <v>49295</v>
      </c>
      <c r="D4991" s="32" t="s">
        <v>87</v>
      </c>
      <c r="E4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2" spans="1:6" x14ac:dyDescent="0.35">
      <c r="A4992" s="3">
        <v>21251171514</v>
      </c>
      <c r="B4992" s="3">
        <v>111</v>
      </c>
      <c r="C4992" s="32">
        <v>49295</v>
      </c>
      <c r="D4992" s="32" t="s">
        <v>87</v>
      </c>
      <c r="E4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3" spans="1:6" x14ac:dyDescent="0.35">
      <c r="A4993" s="3">
        <v>60990348312</v>
      </c>
      <c r="B4993" s="3">
        <v>197</v>
      </c>
      <c r="C4993" s="32">
        <v>49295</v>
      </c>
      <c r="D4993" s="32" t="s">
        <v>87</v>
      </c>
      <c r="E4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4" spans="1:6" x14ac:dyDescent="0.35">
      <c r="A4994" s="3">
        <v>60057604038</v>
      </c>
      <c r="B4994" s="3">
        <v>244</v>
      </c>
      <c r="C4994" s="32">
        <v>49295</v>
      </c>
      <c r="D4994" s="32" t="s">
        <v>87</v>
      </c>
      <c r="E4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5" spans="1:6" x14ac:dyDescent="0.35">
      <c r="A4995" s="3">
        <v>65705829872</v>
      </c>
      <c r="B4995" s="3">
        <v>140</v>
      </c>
      <c r="C4995" s="32">
        <v>49295</v>
      </c>
      <c r="D4995" s="32" t="s">
        <v>87</v>
      </c>
      <c r="E4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6" spans="1:6" x14ac:dyDescent="0.35">
      <c r="A4996" s="3">
        <v>85808290242</v>
      </c>
      <c r="B4996" s="3">
        <v>305</v>
      </c>
      <c r="C4996" s="32">
        <v>49295</v>
      </c>
      <c r="D4996" s="32" t="s">
        <v>87</v>
      </c>
      <c r="E4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7" spans="1:6" x14ac:dyDescent="0.35">
      <c r="A4997" s="3">
        <v>20114400999</v>
      </c>
      <c r="B4997" s="3">
        <v>135</v>
      </c>
      <c r="C4997" s="32">
        <v>49295</v>
      </c>
      <c r="D4997" s="32"/>
      <c r="E4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8" spans="1:6" x14ac:dyDescent="0.35">
      <c r="A4998" s="3">
        <v>25114820382</v>
      </c>
      <c r="B4998" s="3">
        <v>90</v>
      </c>
      <c r="C4998" s="32">
        <v>49295</v>
      </c>
      <c r="D4998" s="32" t="s">
        <v>87</v>
      </c>
      <c r="E4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9" spans="1:6" x14ac:dyDescent="0.35">
      <c r="A4999" s="3">
        <v>79389308717</v>
      </c>
      <c r="B4999" s="3">
        <v>227</v>
      </c>
      <c r="C4999" s="32">
        <v>49295</v>
      </c>
      <c r="D4999" s="32" t="s">
        <v>87</v>
      </c>
      <c r="E4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0" spans="1:6" x14ac:dyDescent="0.35">
      <c r="A5000" s="3">
        <v>33455382879</v>
      </c>
      <c r="B5000" s="3">
        <v>35</v>
      </c>
      <c r="C5000" s="32">
        <v>49295</v>
      </c>
      <c r="D5000" s="32" t="s">
        <v>87</v>
      </c>
      <c r="E5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1" spans="1:6" x14ac:dyDescent="0.35">
      <c r="A5001" s="3">
        <v>19692779270</v>
      </c>
      <c r="B5001" s="3">
        <v>131</v>
      </c>
      <c r="C5001" s="32">
        <v>49295</v>
      </c>
      <c r="D5001" s="32" t="s">
        <v>87</v>
      </c>
      <c r="E5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2" spans="1:6" x14ac:dyDescent="0.35">
      <c r="A5002" s="3">
        <v>15045663259</v>
      </c>
      <c r="B5002" s="3">
        <v>162</v>
      </c>
      <c r="C5002" s="32">
        <v>49295</v>
      </c>
      <c r="D5002" s="32"/>
      <c r="E5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3" spans="1:6" x14ac:dyDescent="0.35">
      <c r="A5003" s="3">
        <v>52026424707</v>
      </c>
      <c r="B5003" s="3">
        <v>218</v>
      </c>
      <c r="C5003" s="32">
        <v>49295</v>
      </c>
      <c r="D5003" s="32" t="s">
        <v>87</v>
      </c>
      <c r="E5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4" spans="1:6" x14ac:dyDescent="0.35">
      <c r="A5004" s="3">
        <v>62672793566</v>
      </c>
      <c r="B5004" s="3">
        <v>318</v>
      </c>
      <c r="C5004" s="32">
        <v>49295</v>
      </c>
      <c r="D5004" s="32" t="s">
        <v>87</v>
      </c>
      <c r="E5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5" spans="1:6" x14ac:dyDescent="0.35">
      <c r="A5005" s="3">
        <v>52854392008</v>
      </c>
      <c r="B5005" s="3">
        <v>279</v>
      </c>
      <c r="C5005" s="32">
        <v>49295</v>
      </c>
      <c r="D5005" s="32" t="s">
        <v>87</v>
      </c>
      <c r="E5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6" spans="1:6" x14ac:dyDescent="0.35">
      <c r="A5006" s="3">
        <v>65409367864</v>
      </c>
      <c r="B5006" s="3">
        <v>301</v>
      </c>
      <c r="C5006" s="32">
        <v>49295</v>
      </c>
      <c r="D5006" s="32" t="s">
        <v>87</v>
      </c>
      <c r="E5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7" spans="1:6" x14ac:dyDescent="0.35">
      <c r="A5007" s="3">
        <v>45198007238</v>
      </c>
      <c r="B5007" s="3">
        <v>5</v>
      </c>
      <c r="C5007" s="32">
        <v>49295</v>
      </c>
      <c r="D5007" s="32" t="s">
        <v>87</v>
      </c>
      <c r="E5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8" spans="1:6" x14ac:dyDescent="0.35">
      <c r="A5008" s="3">
        <v>32257288756</v>
      </c>
      <c r="B5008" s="3">
        <v>107</v>
      </c>
      <c r="C5008" s="32">
        <v>49295</v>
      </c>
      <c r="D5008" s="32" t="s">
        <v>87</v>
      </c>
      <c r="E5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9" spans="1:6" x14ac:dyDescent="0.35">
      <c r="A5009" s="3">
        <v>63565147819</v>
      </c>
      <c r="B5009" s="3">
        <v>311</v>
      </c>
      <c r="C5009" s="32">
        <v>49295</v>
      </c>
      <c r="D5009" s="32" t="s">
        <v>87</v>
      </c>
      <c r="E5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0" spans="1:6" x14ac:dyDescent="0.35">
      <c r="A5010" s="3">
        <v>31816167185</v>
      </c>
      <c r="B5010" s="3">
        <v>141</v>
      </c>
      <c r="C5010" s="32">
        <v>49295</v>
      </c>
      <c r="D5010" s="32" t="s">
        <v>87</v>
      </c>
      <c r="E5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1" spans="1:6" x14ac:dyDescent="0.35">
      <c r="A5011" s="3">
        <v>12376981226</v>
      </c>
      <c r="B5011" s="3">
        <v>137</v>
      </c>
      <c r="C5011" s="32">
        <v>49295</v>
      </c>
      <c r="D5011" s="32">
        <v>49341</v>
      </c>
      <c r="E5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012" spans="1:6" x14ac:dyDescent="0.35">
      <c r="A5012" s="3">
        <v>35372060228</v>
      </c>
      <c r="B5012" s="3">
        <v>234</v>
      </c>
      <c r="C5012" s="32">
        <v>49296</v>
      </c>
      <c r="D5012" s="32" t="s">
        <v>87</v>
      </c>
      <c r="E5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3" spans="1:6" x14ac:dyDescent="0.35">
      <c r="A5013" s="3">
        <v>78072569395</v>
      </c>
      <c r="B5013" s="3">
        <v>302</v>
      </c>
      <c r="C5013" s="32">
        <v>49296</v>
      </c>
      <c r="D5013" s="32" t="s">
        <v>87</v>
      </c>
      <c r="E5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4" spans="1:6" x14ac:dyDescent="0.35">
      <c r="A5014" s="3">
        <v>62695945151</v>
      </c>
      <c r="B5014" s="3">
        <v>325</v>
      </c>
      <c r="C5014" s="32">
        <v>49296</v>
      </c>
      <c r="D5014" s="32" t="s">
        <v>87</v>
      </c>
      <c r="E5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5" spans="1:6" x14ac:dyDescent="0.35">
      <c r="A5015" s="3">
        <v>50760513908</v>
      </c>
      <c r="B5015" s="3">
        <v>23</v>
      </c>
      <c r="C5015" s="32">
        <v>49296</v>
      </c>
      <c r="D5015" s="32" t="s">
        <v>87</v>
      </c>
      <c r="E5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6" spans="1:6" x14ac:dyDescent="0.35">
      <c r="A5016" s="3">
        <v>87717578324</v>
      </c>
      <c r="B5016" s="3">
        <v>164</v>
      </c>
      <c r="C5016" s="32">
        <v>49296</v>
      </c>
      <c r="D5016" s="32" t="s">
        <v>87</v>
      </c>
      <c r="E5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7" spans="1:6" x14ac:dyDescent="0.35">
      <c r="A5017" s="3">
        <v>59876876188</v>
      </c>
      <c r="B5017" s="3">
        <v>237</v>
      </c>
      <c r="C5017" s="32">
        <v>49296</v>
      </c>
      <c r="D5017" s="32" t="s">
        <v>87</v>
      </c>
      <c r="E5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8" spans="1:6" x14ac:dyDescent="0.35">
      <c r="A5018" s="3">
        <v>72963500256</v>
      </c>
      <c r="B5018" s="3">
        <v>228</v>
      </c>
      <c r="C5018" s="32">
        <v>49296</v>
      </c>
      <c r="D5018" s="32" t="s">
        <v>87</v>
      </c>
      <c r="E5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9" spans="1:6" x14ac:dyDescent="0.35">
      <c r="A5019" s="3">
        <v>75388181916</v>
      </c>
      <c r="B5019" s="3">
        <v>221</v>
      </c>
      <c r="C5019" s="32">
        <v>49296</v>
      </c>
      <c r="D5019" s="32" t="s">
        <v>87</v>
      </c>
      <c r="E5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0" spans="1:6" x14ac:dyDescent="0.35">
      <c r="A5020" s="3">
        <v>99922621520</v>
      </c>
      <c r="B5020" s="3">
        <v>43</v>
      </c>
      <c r="C5020" s="32">
        <v>49296</v>
      </c>
      <c r="D5020" s="32" t="s">
        <v>87</v>
      </c>
      <c r="E5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1" spans="1:6" x14ac:dyDescent="0.35">
      <c r="A5021" s="3">
        <v>45798224168</v>
      </c>
      <c r="B5021" s="3">
        <v>98</v>
      </c>
      <c r="C5021" s="32">
        <v>49296</v>
      </c>
      <c r="D5021" s="32"/>
      <c r="E5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2" spans="1:6" x14ac:dyDescent="0.35">
      <c r="A5022" s="3">
        <v>36937251729</v>
      </c>
      <c r="B5022" s="3">
        <v>133</v>
      </c>
      <c r="C5022" s="32">
        <v>49296</v>
      </c>
      <c r="D5022" s="32" t="s">
        <v>87</v>
      </c>
      <c r="E5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3" spans="1:6" x14ac:dyDescent="0.35">
      <c r="A5023" s="3">
        <v>85350454358</v>
      </c>
      <c r="B5023" s="3">
        <v>94</v>
      </c>
      <c r="C5023" s="32">
        <v>49296</v>
      </c>
      <c r="D5023" s="32" t="s">
        <v>87</v>
      </c>
      <c r="E5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4" spans="1:6" x14ac:dyDescent="0.35">
      <c r="A5024" s="3">
        <v>29731466045</v>
      </c>
      <c r="B5024" s="3">
        <v>79</v>
      </c>
      <c r="C5024" s="32">
        <v>49296</v>
      </c>
      <c r="D5024" s="32" t="s">
        <v>87</v>
      </c>
      <c r="E5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5" spans="1:6" x14ac:dyDescent="0.35">
      <c r="A5025" s="3">
        <v>83011385319</v>
      </c>
      <c r="B5025" s="3">
        <v>226</v>
      </c>
      <c r="C5025" s="32">
        <v>49296</v>
      </c>
      <c r="D5025" s="32"/>
      <c r="E5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6" spans="1:6" x14ac:dyDescent="0.35">
      <c r="A5026" s="3">
        <v>67365317448</v>
      </c>
      <c r="B5026" s="3">
        <v>264</v>
      </c>
      <c r="C5026" s="32">
        <v>49296</v>
      </c>
      <c r="D5026" s="32" t="s">
        <v>87</v>
      </c>
      <c r="E5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7" spans="1:6" x14ac:dyDescent="0.35">
      <c r="A5027" s="3">
        <v>60427199547</v>
      </c>
      <c r="B5027" s="3">
        <v>264</v>
      </c>
      <c r="C5027" s="32">
        <v>49296</v>
      </c>
      <c r="D5027" s="32" t="s">
        <v>87</v>
      </c>
      <c r="E5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8" spans="1:6" x14ac:dyDescent="0.35">
      <c r="A5028" s="3">
        <v>87864565104</v>
      </c>
      <c r="B5028" s="3">
        <v>90</v>
      </c>
      <c r="C5028" s="32">
        <v>49296</v>
      </c>
      <c r="D5028" s="32" t="s">
        <v>87</v>
      </c>
      <c r="E5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9" spans="1:6" x14ac:dyDescent="0.35">
      <c r="A5029" s="3">
        <v>28833851992</v>
      </c>
      <c r="B5029" s="3">
        <v>96</v>
      </c>
      <c r="C5029" s="32">
        <v>49296</v>
      </c>
      <c r="D5029" s="32" t="s">
        <v>87</v>
      </c>
      <c r="E5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0" spans="1:6" x14ac:dyDescent="0.35">
      <c r="A5030" s="3">
        <v>76709536329</v>
      </c>
      <c r="B5030" s="3">
        <v>193</v>
      </c>
      <c r="C5030" s="32">
        <v>49296</v>
      </c>
      <c r="D5030" s="32"/>
      <c r="E5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1" spans="1:6" x14ac:dyDescent="0.35">
      <c r="A5031" s="3">
        <v>65496907791</v>
      </c>
      <c r="B5031" s="3">
        <v>239</v>
      </c>
      <c r="C5031" s="32">
        <v>49296</v>
      </c>
      <c r="D5031" s="32" t="s">
        <v>87</v>
      </c>
      <c r="E5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2" spans="1:6" x14ac:dyDescent="0.35">
      <c r="A5032" s="3">
        <v>63686198094</v>
      </c>
      <c r="B5032" s="3">
        <v>66</v>
      </c>
      <c r="C5032" s="32">
        <v>49296</v>
      </c>
      <c r="D5032" s="32" t="s">
        <v>87</v>
      </c>
      <c r="E5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3" spans="1:6" x14ac:dyDescent="0.35">
      <c r="A5033" s="3">
        <v>30646489605</v>
      </c>
      <c r="B5033" s="3">
        <v>155</v>
      </c>
      <c r="C5033" s="32">
        <v>49296</v>
      </c>
      <c r="D5033" s="32" t="s">
        <v>87</v>
      </c>
      <c r="E5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4" spans="1:6" x14ac:dyDescent="0.35">
      <c r="A5034" s="3">
        <v>97648732199</v>
      </c>
      <c r="B5034" s="3">
        <v>106</v>
      </c>
      <c r="C5034" s="32">
        <v>49296</v>
      </c>
      <c r="D5034" s="32" t="s">
        <v>87</v>
      </c>
      <c r="E5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5" spans="1:6" x14ac:dyDescent="0.35">
      <c r="A5035" s="3">
        <v>19654334077</v>
      </c>
      <c r="B5035" s="3">
        <v>181</v>
      </c>
      <c r="C5035" s="32">
        <v>49296</v>
      </c>
      <c r="D5035" s="32" t="s">
        <v>87</v>
      </c>
      <c r="E5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6" spans="1:6" x14ac:dyDescent="0.35">
      <c r="A5036" s="3">
        <v>80369617662</v>
      </c>
      <c r="B5036" s="3">
        <v>91</v>
      </c>
      <c r="C5036" s="32">
        <v>49296</v>
      </c>
      <c r="D5036" s="32" t="s">
        <v>87</v>
      </c>
      <c r="E5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7" spans="1:6" x14ac:dyDescent="0.35">
      <c r="A5037" s="3">
        <v>50907655882</v>
      </c>
      <c r="B5037" s="3">
        <v>308</v>
      </c>
      <c r="C5037" s="32">
        <v>49296</v>
      </c>
      <c r="D5037" s="32" t="s">
        <v>87</v>
      </c>
      <c r="E5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8" spans="1:6" x14ac:dyDescent="0.35">
      <c r="A5038" s="3">
        <v>28995310036</v>
      </c>
      <c r="B5038" s="3">
        <v>226</v>
      </c>
      <c r="C5038" s="32">
        <v>49296</v>
      </c>
      <c r="D5038" s="32" t="s">
        <v>87</v>
      </c>
      <c r="E5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9" spans="1:6" x14ac:dyDescent="0.35">
      <c r="A5039" s="3">
        <v>72743820486</v>
      </c>
      <c r="B5039" s="3">
        <v>163</v>
      </c>
      <c r="C5039" s="32">
        <v>49296</v>
      </c>
      <c r="D5039" s="32">
        <v>49325</v>
      </c>
      <c r="E5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0" spans="1:6" x14ac:dyDescent="0.35">
      <c r="A5040" s="3">
        <v>51012659251</v>
      </c>
      <c r="B5040" s="3">
        <v>211</v>
      </c>
      <c r="C5040" s="32">
        <v>49297</v>
      </c>
      <c r="D5040" s="32" t="s">
        <v>87</v>
      </c>
      <c r="E5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1" spans="1:6" x14ac:dyDescent="0.35">
      <c r="A5041" s="3">
        <v>13667314580</v>
      </c>
      <c r="B5041" s="3">
        <v>80</v>
      </c>
      <c r="C5041" s="32">
        <v>49297</v>
      </c>
      <c r="D5041" s="32">
        <v>49336</v>
      </c>
      <c r="E5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2" spans="1:6" x14ac:dyDescent="0.35">
      <c r="A5042" s="3">
        <v>75272361038</v>
      </c>
      <c r="B5042" s="3">
        <v>12</v>
      </c>
      <c r="C5042" s="32">
        <v>49297</v>
      </c>
      <c r="D5042" s="32" t="s">
        <v>87</v>
      </c>
      <c r="E5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3" spans="1:6" x14ac:dyDescent="0.35">
      <c r="A5043" s="3">
        <v>56730146425</v>
      </c>
      <c r="B5043" s="3">
        <v>108</v>
      </c>
      <c r="C5043" s="32">
        <v>49297</v>
      </c>
      <c r="D5043" s="32" t="s">
        <v>87</v>
      </c>
      <c r="E5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4" spans="1:6" x14ac:dyDescent="0.35">
      <c r="A5044" s="3">
        <v>69301978290</v>
      </c>
      <c r="B5044" s="3">
        <v>171</v>
      </c>
      <c r="C5044" s="32">
        <v>49297</v>
      </c>
      <c r="D5044" s="32" t="s">
        <v>87</v>
      </c>
      <c r="E5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5" spans="1:6" x14ac:dyDescent="0.35">
      <c r="A5045" s="3">
        <v>57151064885</v>
      </c>
      <c r="B5045" s="3">
        <v>293</v>
      </c>
      <c r="C5045" s="32">
        <v>49297</v>
      </c>
      <c r="D5045" s="32"/>
      <c r="E5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6" spans="1:6" x14ac:dyDescent="0.35">
      <c r="A5046" s="3">
        <v>51417767166</v>
      </c>
      <c r="B5046" s="3">
        <v>39</v>
      </c>
      <c r="C5046" s="32">
        <v>49297</v>
      </c>
      <c r="D5046" s="32">
        <v>49336</v>
      </c>
      <c r="E5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7" spans="1:6" x14ac:dyDescent="0.35">
      <c r="A5047" s="3">
        <v>12738778871</v>
      </c>
      <c r="B5047" s="3">
        <v>77</v>
      </c>
      <c r="C5047" s="32">
        <v>49297</v>
      </c>
      <c r="D5047" s="32"/>
      <c r="E5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8" spans="1:6" x14ac:dyDescent="0.35">
      <c r="A5048" s="3">
        <v>54574593884</v>
      </c>
      <c r="B5048" s="3">
        <v>164</v>
      </c>
      <c r="C5048" s="32">
        <v>49297</v>
      </c>
      <c r="D5048" s="32"/>
      <c r="E5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9" spans="1:6" x14ac:dyDescent="0.35">
      <c r="A5049" s="3">
        <v>77955396090</v>
      </c>
      <c r="B5049" s="3">
        <v>106</v>
      </c>
      <c r="C5049" s="32">
        <v>49297</v>
      </c>
      <c r="D5049" s="32" t="s">
        <v>87</v>
      </c>
      <c r="E5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0" spans="1:6" x14ac:dyDescent="0.35">
      <c r="A5050" s="3">
        <v>38580820947</v>
      </c>
      <c r="B5050" s="3">
        <v>210</v>
      </c>
      <c r="C5050" s="32">
        <v>49297</v>
      </c>
      <c r="D5050" s="32" t="s">
        <v>87</v>
      </c>
      <c r="E5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1" spans="1:6" x14ac:dyDescent="0.35">
      <c r="A5051" s="3">
        <v>68797989741</v>
      </c>
      <c r="B5051" s="3">
        <v>227</v>
      </c>
      <c r="C5051" s="32">
        <v>49297</v>
      </c>
      <c r="D5051" s="32" t="s">
        <v>87</v>
      </c>
      <c r="E5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2" spans="1:6" x14ac:dyDescent="0.35">
      <c r="A5052" s="3">
        <v>34011933789</v>
      </c>
      <c r="B5052" s="3">
        <v>78</v>
      </c>
      <c r="C5052" s="32">
        <v>49297</v>
      </c>
      <c r="D5052" s="32" t="s">
        <v>87</v>
      </c>
      <c r="E5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3" spans="1:6" x14ac:dyDescent="0.35">
      <c r="A5053" s="3">
        <v>70455759333</v>
      </c>
      <c r="B5053" s="3">
        <v>51</v>
      </c>
      <c r="C5053" s="32">
        <v>49297</v>
      </c>
      <c r="D5053" s="32" t="s">
        <v>87</v>
      </c>
      <c r="E5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4" spans="1:6" x14ac:dyDescent="0.35">
      <c r="A5054" s="3">
        <v>12209041713</v>
      </c>
      <c r="B5054" s="3">
        <v>43</v>
      </c>
      <c r="C5054" s="32">
        <v>49297</v>
      </c>
      <c r="D5054" s="32" t="s">
        <v>87</v>
      </c>
      <c r="E5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5" spans="1:6" x14ac:dyDescent="0.35">
      <c r="A5055" s="3">
        <v>83341092378</v>
      </c>
      <c r="B5055" s="3">
        <v>139</v>
      </c>
      <c r="C5055" s="32">
        <v>49297</v>
      </c>
      <c r="D5055" s="32" t="s">
        <v>87</v>
      </c>
      <c r="E5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6" spans="1:6" x14ac:dyDescent="0.35">
      <c r="A5056" s="3">
        <v>61390959932</v>
      </c>
      <c r="B5056" s="3">
        <v>334</v>
      </c>
      <c r="C5056" s="32">
        <v>49297</v>
      </c>
      <c r="D5056" s="32" t="s">
        <v>87</v>
      </c>
      <c r="E5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7" spans="1:6" x14ac:dyDescent="0.35">
      <c r="A5057" s="3">
        <v>56001341670</v>
      </c>
      <c r="B5057" s="3">
        <v>241</v>
      </c>
      <c r="C5057" s="32">
        <v>49297</v>
      </c>
      <c r="D5057" s="32" t="s">
        <v>87</v>
      </c>
      <c r="E5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8" spans="1:6" x14ac:dyDescent="0.35">
      <c r="A5058" s="3">
        <v>35099789633</v>
      </c>
      <c r="B5058" s="3">
        <v>328</v>
      </c>
      <c r="C5058" s="32">
        <v>49297</v>
      </c>
      <c r="D5058" s="32" t="s">
        <v>87</v>
      </c>
      <c r="E5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9" spans="1:6" x14ac:dyDescent="0.35">
      <c r="A5059" s="3">
        <v>55254937314</v>
      </c>
      <c r="B5059" s="3">
        <v>220</v>
      </c>
      <c r="C5059" s="32">
        <v>49297</v>
      </c>
      <c r="D5059" s="32" t="s">
        <v>87</v>
      </c>
      <c r="E5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0" spans="1:6" x14ac:dyDescent="0.35">
      <c r="A5060" s="3">
        <v>71821189545</v>
      </c>
      <c r="B5060" s="3">
        <v>33</v>
      </c>
      <c r="C5060" s="32">
        <v>49297</v>
      </c>
      <c r="D5060" s="32" t="s">
        <v>87</v>
      </c>
      <c r="E5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1" spans="1:6" x14ac:dyDescent="0.35">
      <c r="A5061" s="3">
        <v>50836092723</v>
      </c>
      <c r="B5061" s="3">
        <v>173</v>
      </c>
      <c r="C5061" s="32">
        <v>49297</v>
      </c>
      <c r="D5061" s="32" t="s">
        <v>87</v>
      </c>
      <c r="E5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2" spans="1:6" x14ac:dyDescent="0.35">
      <c r="A5062" s="3">
        <v>45251315129</v>
      </c>
      <c r="B5062" s="3">
        <v>275</v>
      </c>
      <c r="C5062" s="32">
        <v>49297</v>
      </c>
      <c r="D5062" s="32" t="s">
        <v>87</v>
      </c>
      <c r="E5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3" spans="1:6" x14ac:dyDescent="0.35">
      <c r="A5063" s="3">
        <v>50936496743</v>
      </c>
      <c r="B5063" s="3">
        <v>292</v>
      </c>
      <c r="C5063" s="32">
        <v>49297</v>
      </c>
      <c r="D5063" s="32" t="s">
        <v>87</v>
      </c>
      <c r="E5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4" spans="1:6" x14ac:dyDescent="0.35">
      <c r="A5064" s="3">
        <v>77287644320</v>
      </c>
      <c r="B5064" s="3">
        <v>51</v>
      </c>
      <c r="C5064" s="32">
        <v>49297</v>
      </c>
      <c r="D5064" s="32"/>
      <c r="E5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5" spans="1:6" x14ac:dyDescent="0.35">
      <c r="A5065" s="3">
        <v>21905207602</v>
      </c>
      <c r="B5065" s="3">
        <v>232</v>
      </c>
      <c r="C5065" s="32">
        <v>49297</v>
      </c>
      <c r="D5065" s="32"/>
      <c r="E5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6" spans="1:6" x14ac:dyDescent="0.35">
      <c r="A5066" s="3">
        <v>66590523021</v>
      </c>
      <c r="B5066" s="3">
        <v>42</v>
      </c>
      <c r="C5066" s="32">
        <v>49297</v>
      </c>
      <c r="D5066" s="32" t="s">
        <v>87</v>
      </c>
      <c r="E5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7" spans="1:6" x14ac:dyDescent="0.35">
      <c r="A5067" s="3">
        <v>62322220406</v>
      </c>
      <c r="B5067" s="3">
        <v>42</v>
      </c>
      <c r="C5067" s="32">
        <v>49297</v>
      </c>
      <c r="D5067" s="32" t="s">
        <v>87</v>
      </c>
      <c r="E5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8" spans="1:6" x14ac:dyDescent="0.35">
      <c r="A5068" s="3">
        <v>86210082508</v>
      </c>
      <c r="B5068" s="3">
        <v>308</v>
      </c>
      <c r="C5068" s="32">
        <v>49297</v>
      </c>
      <c r="D5068" s="32">
        <v>49327</v>
      </c>
      <c r="E5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69" spans="1:6" x14ac:dyDescent="0.35">
      <c r="A5069" s="3">
        <v>27725317829</v>
      </c>
      <c r="B5069" s="3">
        <v>210</v>
      </c>
      <c r="C5069" s="32">
        <v>49298</v>
      </c>
      <c r="D5069" s="32" t="s">
        <v>87</v>
      </c>
      <c r="E5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0" spans="1:6" x14ac:dyDescent="0.35">
      <c r="A5070" s="3">
        <v>17206907128</v>
      </c>
      <c r="B5070" s="3">
        <v>62</v>
      </c>
      <c r="C5070" s="32">
        <v>49298</v>
      </c>
      <c r="D5070" s="32" t="s">
        <v>87</v>
      </c>
      <c r="E5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1" spans="1:6" x14ac:dyDescent="0.35">
      <c r="A5071" s="3">
        <v>86239209738</v>
      </c>
      <c r="B5071" s="3">
        <v>193</v>
      </c>
      <c r="C5071" s="32">
        <v>49298</v>
      </c>
      <c r="D5071" s="32" t="s">
        <v>87</v>
      </c>
      <c r="E5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2" spans="1:6" x14ac:dyDescent="0.35">
      <c r="A5072" s="3">
        <v>69805466633</v>
      </c>
      <c r="B5072" s="3">
        <v>253</v>
      </c>
      <c r="C5072" s="32">
        <v>49298</v>
      </c>
      <c r="D5072" s="32" t="s">
        <v>87</v>
      </c>
      <c r="E5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3" spans="1:6" x14ac:dyDescent="0.35">
      <c r="A5073" s="3">
        <v>85341428284</v>
      </c>
      <c r="B5073" s="3">
        <v>283</v>
      </c>
      <c r="C5073" s="32">
        <v>49298</v>
      </c>
      <c r="D5073" s="32" t="s">
        <v>87</v>
      </c>
      <c r="E5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4" spans="1:6" x14ac:dyDescent="0.35">
      <c r="A5074" s="3">
        <v>48766368705</v>
      </c>
      <c r="B5074" s="3">
        <v>194</v>
      </c>
      <c r="C5074" s="32">
        <v>49298</v>
      </c>
      <c r="D5074" s="32">
        <v>49304</v>
      </c>
      <c r="E5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075" spans="1:6" x14ac:dyDescent="0.35">
      <c r="A5075" s="3">
        <v>41033517020</v>
      </c>
      <c r="B5075" s="3">
        <v>59</v>
      </c>
      <c r="C5075" s="32">
        <v>49298</v>
      </c>
      <c r="D5075" s="32" t="s">
        <v>87</v>
      </c>
      <c r="E5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6" spans="1:6" x14ac:dyDescent="0.35">
      <c r="A5076" s="3">
        <v>29346404627</v>
      </c>
      <c r="B5076" s="3">
        <v>0</v>
      </c>
      <c r="C5076" s="32">
        <v>49298</v>
      </c>
      <c r="D5076" s="32" t="s">
        <v>87</v>
      </c>
      <c r="E5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7" spans="1:6" x14ac:dyDescent="0.35">
      <c r="A5077" s="3">
        <v>44484207369</v>
      </c>
      <c r="B5077" s="3">
        <v>225</v>
      </c>
      <c r="C5077" s="32">
        <v>49298</v>
      </c>
      <c r="D5077" s="32" t="s">
        <v>87</v>
      </c>
      <c r="E5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8" spans="1:6" x14ac:dyDescent="0.35">
      <c r="A5078" s="3">
        <v>58769933760</v>
      </c>
      <c r="B5078" s="3">
        <v>24</v>
      </c>
      <c r="C5078" s="32">
        <v>49298</v>
      </c>
      <c r="D5078" s="32" t="s">
        <v>87</v>
      </c>
      <c r="E5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9" spans="1:6" x14ac:dyDescent="0.35">
      <c r="A5079" s="3">
        <v>41723446242</v>
      </c>
      <c r="B5079" s="3">
        <v>5</v>
      </c>
      <c r="C5079" s="32">
        <v>49298</v>
      </c>
      <c r="D5079" s="32" t="s">
        <v>87</v>
      </c>
      <c r="E5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0" spans="1:6" x14ac:dyDescent="0.35">
      <c r="A5080" s="3">
        <v>82300735361</v>
      </c>
      <c r="B5080" s="3">
        <v>285</v>
      </c>
      <c r="C5080" s="32">
        <v>49298</v>
      </c>
      <c r="D5080" s="32"/>
      <c r="E5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1" spans="1:6" x14ac:dyDescent="0.35">
      <c r="A5081" s="3">
        <v>23594291217</v>
      </c>
      <c r="B5081" s="3">
        <v>244</v>
      </c>
      <c r="C5081" s="32">
        <v>49298</v>
      </c>
      <c r="D5081" s="32"/>
      <c r="E5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2" spans="1:6" x14ac:dyDescent="0.35">
      <c r="A5082" s="3">
        <v>40301350862</v>
      </c>
      <c r="B5082" s="3">
        <v>162</v>
      </c>
      <c r="C5082" s="32">
        <v>49298</v>
      </c>
      <c r="D5082" s="32"/>
      <c r="E5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3" spans="1:6" x14ac:dyDescent="0.35">
      <c r="A5083" s="3">
        <v>59569061396</v>
      </c>
      <c r="B5083" s="3">
        <v>206</v>
      </c>
      <c r="C5083" s="32">
        <v>49298</v>
      </c>
      <c r="D5083" s="32" t="s">
        <v>87</v>
      </c>
      <c r="E5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4" spans="1:6" x14ac:dyDescent="0.35">
      <c r="A5084" s="3">
        <v>45025831496</v>
      </c>
      <c r="B5084" s="3">
        <v>5</v>
      </c>
      <c r="C5084" s="32">
        <v>49298</v>
      </c>
      <c r="D5084" s="32" t="s">
        <v>87</v>
      </c>
      <c r="E5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5" spans="1:6" x14ac:dyDescent="0.35">
      <c r="A5085" s="3">
        <v>23355096159</v>
      </c>
      <c r="B5085" s="3">
        <v>69</v>
      </c>
      <c r="C5085" s="32">
        <v>49298</v>
      </c>
      <c r="D5085" s="32">
        <v>49322</v>
      </c>
      <c r="E5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86" spans="1:6" x14ac:dyDescent="0.35">
      <c r="A5086" s="3">
        <v>77897136977</v>
      </c>
      <c r="B5086" s="3">
        <v>216</v>
      </c>
      <c r="C5086" s="32">
        <v>49298</v>
      </c>
      <c r="D5086" s="32" t="s">
        <v>87</v>
      </c>
      <c r="E5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7" spans="1:6" x14ac:dyDescent="0.35">
      <c r="A5087" s="3">
        <v>87687144750</v>
      </c>
      <c r="B5087" s="3">
        <v>268</v>
      </c>
      <c r="C5087" s="32">
        <v>49298</v>
      </c>
      <c r="D5087" s="32" t="s">
        <v>87</v>
      </c>
      <c r="E5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8" spans="1:6" x14ac:dyDescent="0.35">
      <c r="A5088" s="3">
        <v>75894274058</v>
      </c>
      <c r="B5088" s="3">
        <v>12</v>
      </c>
      <c r="C5088" s="32">
        <v>49298</v>
      </c>
      <c r="D5088" s="32" t="s">
        <v>87</v>
      </c>
      <c r="E5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9" spans="1:6" x14ac:dyDescent="0.35">
      <c r="A5089" s="3">
        <v>48739321158</v>
      </c>
      <c r="B5089" s="3">
        <v>254</v>
      </c>
      <c r="C5089" s="32">
        <v>49298</v>
      </c>
      <c r="D5089" s="32" t="s">
        <v>87</v>
      </c>
      <c r="E5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0" spans="1:6" x14ac:dyDescent="0.35">
      <c r="A5090" s="3">
        <v>80382725593</v>
      </c>
      <c r="B5090" s="3">
        <v>109</v>
      </c>
      <c r="C5090" s="32">
        <v>49298</v>
      </c>
      <c r="D5090" s="32">
        <v>49305</v>
      </c>
      <c r="E5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091" spans="1:6" x14ac:dyDescent="0.35">
      <c r="A5091" s="3">
        <v>30224615522</v>
      </c>
      <c r="B5091" s="3">
        <v>250</v>
      </c>
      <c r="C5091" s="32">
        <v>49298</v>
      </c>
      <c r="D5091" s="32" t="s">
        <v>87</v>
      </c>
      <c r="E5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2" spans="1:6" x14ac:dyDescent="0.35">
      <c r="A5092" s="3">
        <v>30692559222</v>
      </c>
      <c r="B5092" s="3">
        <v>237</v>
      </c>
      <c r="C5092" s="32">
        <v>49298</v>
      </c>
      <c r="D5092" s="32" t="s">
        <v>87</v>
      </c>
      <c r="E5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3" spans="1:6" x14ac:dyDescent="0.35">
      <c r="A5093" s="3">
        <v>22488346953</v>
      </c>
      <c r="B5093" s="3">
        <v>326</v>
      </c>
      <c r="C5093" s="32">
        <v>49298</v>
      </c>
      <c r="D5093" s="32" t="s">
        <v>87</v>
      </c>
      <c r="E5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4" spans="1:6" x14ac:dyDescent="0.35">
      <c r="A5094" s="3">
        <v>60241456803</v>
      </c>
      <c r="B5094" s="3">
        <v>112</v>
      </c>
      <c r="C5094" s="32">
        <v>49298</v>
      </c>
      <c r="D5094" s="32" t="s">
        <v>87</v>
      </c>
      <c r="E5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5" spans="1:6" x14ac:dyDescent="0.35">
      <c r="A5095" s="3">
        <v>78159882775</v>
      </c>
      <c r="B5095" s="3">
        <v>319</v>
      </c>
      <c r="C5095" s="32">
        <v>49298</v>
      </c>
      <c r="D5095" s="32"/>
      <c r="E5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6" spans="1:6" x14ac:dyDescent="0.35">
      <c r="A5096" s="3">
        <v>12352494217</v>
      </c>
      <c r="B5096" s="3">
        <v>183</v>
      </c>
      <c r="C5096" s="32">
        <v>49298</v>
      </c>
      <c r="D5096" s="32" t="s">
        <v>87</v>
      </c>
      <c r="E5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7" spans="1:6" x14ac:dyDescent="0.35">
      <c r="A5097" s="3">
        <v>20770495709</v>
      </c>
      <c r="B5097" s="3">
        <v>227</v>
      </c>
      <c r="C5097" s="32">
        <v>49299</v>
      </c>
      <c r="D5097" s="32" t="s">
        <v>87</v>
      </c>
      <c r="E5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8" spans="1:6" x14ac:dyDescent="0.35">
      <c r="A5098" s="3">
        <v>78938249106</v>
      </c>
      <c r="B5098" s="3">
        <v>122</v>
      </c>
      <c r="C5098" s="32">
        <v>49299</v>
      </c>
      <c r="D5098" s="32" t="s">
        <v>87</v>
      </c>
      <c r="E5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9" spans="1:6" x14ac:dyDescent="0.35">
      <c r="A5099" s="3">
        <v>99168803075</v>
      </c>
      <c r="B5099" s="3">
        <v>261</v>
      </c>
      <c r="C5099" s="32">
        <v>49299</v>
      </c>
      <c r="D5099" s="32" t="s">
        <v>87</v>
      </c>
      <c r="E5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0" spans="1:6" x14ac:dyDescent="0.35">
      <c r="A5100" s="3">
        <v>42208072235</v>
      </c>
      <c r="B5100" s="3">
        <v>332</v>
      </c>
      <c r="C5100" s="32">
        <v>49299</v>
      </c>
      <c r="D5100" s="32" t="s">
        <v>87</v>
      </c>
      <c r="E5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1" spans="1:6" x14ac:dyDescent="0.35">
      <c r="A5101" s="3">
        <v>94467171709</v>
      </c>
      <c r="B5101" s="3">
        <v>83</v>
      </c>
      <c r="C5101" s="32">
        <v>49299</v>
      </c>
      <c r="D5101" s="32"/>
      <c r="E5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2" spans="1:6" x14ac:dyDescent="0.35">
      <c r="A5102" s="3">
        <v>20762297407</v>
      </c>
      <c r="B5102" s="3">
        <v>27</v>
      </c>
      <c r="C5102" s="32">
        <v>49299</v>
      </c>
      <c r="D5102" s="32" t="s">
        <v>87</v>
      </c>
      <c r="E5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3" spans="1:6" x14ac:dyDescent="0.35">
      <c r="A5103" s="3">
        <v>45260880510</v>
      </c>
      <c r="B5103" s="3">
        <v>123</v>
      </c>
      <c r="C5103" s="32">
        <v>49299</v>
      </c>
      <c r="D5103" s="32" t="s">
        <v>87</v>
      </c>
      <c r="E5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4" spans="1:6" x14ac:dyDescent="0.35">
      <c r="A5104" s="3">
        <v>12380800726</v>
      </c>
      <c r="B5104" s="3">
        <v>323</v>
      </c>
      <c r="C5104" s="32">
        <v>49299</v>
      </c>
      <c r="D5104" s="32" t="s">
        <v>87</v>
      </c>
      <c r="E5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5" spans="1:6" x14ac:dyDescent="0.35">
      <c r="A5105" s="3">
        <v>30657489616</v>
      </c>
      <c r="B5105" s="3">
        <v>58</v>
      </c>
      <c r="C5105" s="32">
        <v>49299</v>
      </c>
      <c r="D5105" s="32" t="s">
        <v>87</v>
      </c>
      <c r="E5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6" spans="1:6" x14ac:dyDescent="0.35">
      <c r="A5106" s="3">
        <v>74978472658</v>
      </c>
      <c r="B5106" s="3">
        <v>175</v>
      </c>
      <c r="C5106" s="32">
        <v>49299</v>
      </c>
      <c r="D5106" s="32" t="s">
        <v>87</v>
      </c>
      <c r="E5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7" spans="1:6" x14ac:dyDescent="0.35">
      <c r="A5107" s="3">
        <v>80958908095</v>
      </c>
      <c r="B5107" s="3">
        <v>29</v>
      </c>
      <c r="C5107" s="32">
        <v>49299</v>
      </c>
      <c r="D5107" s="32" t="s">
        <v>87</v>
      </c>
      <c r="E5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8" spans="1:6" x14ac:dyDescent="0.35">
      <c r="A5108" s="3">
        <v>17800440729</v>
      </c>
      <c r="B5108" s="3">
        <v>259</v>
      </c>
      <c r="C5108" s="32">
        <v>49299</v>
      </c>
      <c r="D5108" s="32"/>
      <c r="E5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9" spans="1:6" x14ac:dyDescent="0.35">
      <c r="A5109" s="3">
        <v>21747112461</v>
      </c>
      <c r="B5109" s="3">
        <v>233</v>
      </c>
      <c r="C5109" s="32">
        <v>49299</v>
      </c>
      <c r="D5109" s="32" t="s">
        <v>87</v>
      </c>
      <c r="E5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0" spans="1:6" x14ac:dyDescent="0.35">
      <c r="A5110" s="3">
        <v>52681334752</v>
      </c>
      <c r="B5110" s="3">
        <v>173</v>
      </c>
      <c r="C5110" s="32">
        <v>49299</v>
      </c>
      <c r="D5110" s="32" t="s">
        <v>87</v>
      </c>
      <c r="E5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1" spans="1:6" x14ac:dyDescent="0.35">
      <c r="A5111" s="3">
        <v>34399251153</v>
      </c>
      <c r="B5111" s="3">
        <v>61</v>
      </c>
      <c r="C5111" s="32">
        <v>49299</v>
      </c>
      <c r="D5111" s="32"/>
      <c r="E5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2" spans="1:6" x14ac:dyDescent="0.35">
      <c r="A5112" s="3">
        <v>52228946526</v>
      </c>
      <c r="B5112" s="3">
        <v>292</v>
      </c>
      <c r="C5112" s="32">
        <v>49299</v>
      </c>
      <c r="D5112" s="32" t="s">
        <v>87</v>
      </c>
      <c r="E5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3" spans="1:6" x14ac:dyDescent="0.35">
      <c r="A5113" s="3">
        <v>37337263088</v>
      </c>
      <c r="B5113" s="3">
        <v>74</v>
      </c>
      <c r="C5113" s="32">
        <v>49300</v>
      </c>
      <c r="D5113" s="32" t="s">
        <v>87</v>
      </c>
      <c r="E5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4" spans="1:6" x14ac:dyDescent="0.35">
      <c r="A5114" s="3">
        <v>69843263707</v>
      </c>
      <c r="B5114" s="3">
        <v>53</v>
      </c>
      <c r="C5114" s="32">
        <v>49300</v>
      </c>
      <c r="D5114" s="32" t="s">
        <v>87</v>
      </c>
      <c r="E5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5" spans="1:6" x14ac:dyDescent="0.35">
      <c r="A5115" s="3">
        <v>99881292073</v>
      </c>
      <c r="B5115" s="3">
        <v>300</v>
      </c>
      <c r="C5115" s="32">
        <v>49300</v>
      </c>
      <c r="D5115" s="32" t="s">
        <v>87</v>
      </c>
      <c r="E5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6" spans="1:6" x14ac:dyDescent="0.35">
      <c r="A5116" s="3">
        <v>69419568107</v>
      </c>
      <c r="B5116" s="3">
        <v>57</v>
      </c>
      <c r="C5116" s="32">
        <v>49300</v>
      </c>
      <c r="D5116" s="32">
        <v>49337</v>
      </c>
      <c r="E5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17" spans="1:6" x14ac:dyDescent="0.35">
      <c r="A5117" s="3">
        <v>18174821086</v>
      </c>
      <c r="B5117" s="3">
        <v>314</v>
      </c>
      <c r="C5117" s="32">
        <v>49300</v>
      </c>
      <c r="D5117" s="32" t="s">
        <v>87</v>
      </c>
      <c r="E5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8" spans="1:6" x14ac:dyDescent="0.35">
      <c r="A5118" s="3">
        <v>17031606503</v>
      </c>
      <c r="B5118" s="3">
        <v>38</v>
      </c>
      <c r="C5118" s="32">
        <v>49300</v>
      </c>
      <c r="D5118" s="32"/>
      <c r="E5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9" spans="1:6" x14ac:dyDescent="0.35">
      <c r="A5119" s="3">
        <v>99021774450</v>
      </c>
      <c r="B5119" s="3">
        <v>58</v>
      </c>
      <c r="C5119" s="32">
        <v>49300</v>
      </c>
      <c r="D5119" s="32"/>
      <c r="E5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0" spans="1:6" x14ac:dyDescent="0.35">
      <c r="A5120" s="3">
        <v>77645252410</v>
      </c>
      <c r="B5120" s="3">
        <v>8</v>
      </c>
      <c r="C5120" s="32">
        <v>49300</v>
      </c>
      <c r="D5120" s="32">
        <v>49341</v>
      </c>
      <c r="E5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121" spans="1:6" x14ac:dyDescent="0.35">
      <c r="A5121" s="3">
        <v>98455725514</v>
      </c>
      <c r="B5121" s="3">
        <v>174</v>
      </c>
      <c r="C5121" s="32">
        <v>49300</v>
      </c>
      <c r="D5121" s="32" t="s">
        <v>87</v>
      </c>
      <c r="E5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2" spans="1:6" x14ac:dyDescent="0.35">
      <c r="A5122" s="3">
        <v>96073073933</v>
      </c>
      <c r="B5122" s="3">
        <v>131</v>
      </c>
      <c r="C5122" s="32">
        <v>49300</v>
      </c>
      <c r="D5122" s="32" t="s">
        <v>87</v>
      </c>
      <c r="E5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3" spans="1:6" x14ac:dyDescent="0.35">
      <c r="A5123" s="3">
        <v>93588149535</v>
      </c>
      <c r="B5123" s="3">
        <v>221</v>
      </c>
      <c r="C5123" s="32">
        <v>49300</v>
      </c>
      <c r="D5123" s="32" t="s">
        <v>87</v>
      </c>
      <c r="E5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4" spans="1:6" x14ac:dyDescent="0.35">
      <c r="A5124" s="3">
        <v>52823385876</v>
      </c>
      <c r="B5124" s="3">
        <v>169</v>
      </c>
      <c r="C5124" s="32">
        <v>49300</v>
      </c>
      <c r="D5124" s="32" t="s">
        <v>87</v>
      </c>
      <c r="E5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5" spans="1:6" x14ac:dyDescent="0.35">
      <c r="A5125" s="3">
        <v>96406204455</v>
      </c>
      <c r="B5125" s="3">
        <v>206</v>
      </c>
      <c r="C5125" s="32">
        <v>49300</v>
      </c>
      <c r="D5125" s="32"/>
      <c r="E5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6" spans="1:6" x14ac:dyDescent="0.35">
      <c r="A5126" s="3">
        <v>79555861804</v>
      </c>
      <c r="B5126" s="3">
        <v>20</v>
      </c>
      <c r="C5126" s="32">
        <v>49300</v>
      </c>
      <c r="D5126" s="32" t="s">
        <v>87</v>
      </c>
      <c r="E5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7" spans="1:6" x14ac:dyDescent="0.35">
      <c r="A5127" s="3">
        <v>39936323255</v>
      </c>
      <c r="B5127" s="3">
        <v>204</v>
      </c>
      <c r="C5127" s="32">
        <v>49300</v>
      </c>
      <c r="D5127" s="32" t="s">
        <v>87</v>
      </c>
      <c r="E5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8" spans="1:6" x14ac:dyDescent="0.35">
      <c r="A5128" s="3">
        <v>72757610566</v>
      </c>
      <c r="B5128" s="3">
        <v>4</v>
      </c>
      <c r="C5128" s="32">
        <v>49300</v>
      </c>
      <c r="D5128" s="32" t="s">
        <v>87</v>
      </c>
      <c r="E5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9" spans="1:6" x14ac:dyDescent="0.35">
      <c r="A5129" s="3">
        <v>95926624201</v>
      </c>
      <c r="B5129" s="3">
        <v>196</v>
      </c>
      <c r="C5129" s="32">
        <v>49300</v>
      </c>
      <c r="D5129" s="32" t="s">
        <v>87</v>
      </c>
      <c r="E5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0" spans="1:6" x14ac:dyDescent="0.35">
      <c r="A5130" s="3">
        <v>69998495905</v>
      </c>
      <c r="B5130" s="3">
        <v>119</v>
      </c>
      <c r="C5130" s="32">
        <v>49300</v>
      </c>
      <c r="D5130" s="32" t="s">
        <v>87</v>
      </c>
      <c r="E5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1" spans="1:6" x14ac:dyDescent="0.35">
      <c r="A5131" s="3">
        <v>71513555131</v>
      </c>
      <c r="B5131" s="3">
        <v>129</v>
      </c>
      <c r="C5131" s="32">
        <v>49300</v>
      </c>
      <c r="D5131" s="32" t="s">
        <v>87</v>
      </c>
      <c r="E5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2" spans="1:6" x14ac:dyDescent="0.35">
      <c r="A5132" s="3">
        <v>58622053383</v>
      </c>
      <c r="B5132" s="3">
        <v>80</v>
      </c>
      <c r="C5132" s="32">
        <v>49300</v>
      </c>
      <c r="D5132" s="32" t="s">
        <v>87</v>
      </c>
      <c r="E5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3" spans="1:6" x14ac:dyDescent="0.35">
      <c r="A5133" s="3">
        <v>85044647536</v>
      </c>
      <c r="B5133" s="3">
        <v>320</v>
      </c>
      <c r="C5133" s="32">
        <v>49300</v>
      </c>
      <c r="D5133" s="32" t="s">
        <v>87</v>
      </c>
      <c r="E5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4" spans="1:6" x14ac:dyDescent="0.35">
      <c r="A5134" s="3">
        <v>13024795103</v>
      </c>
      <c r="B5134" s="3">
        <v>110</v>
      </c>
      <c r="C5134" s="32">
        <v>49300</v>
      </c>
      <c r="D5134" s="32" t="s">
        <v>87</v>
      </c>
      <c r="E5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5" spans="1:6" x14ac:dyDescent="0.35">
      <c r="A5135" s="3">
        <v>64302980735</v>
      </c>
      <c r="B5135" s="3">
        <v>223</v>
      </c>
      <c r="C5135" s="32">
        <v>49300</v>
      </c>
      <c r="D5135" s="32" t="s">
        <v>87</v>
      </c>
      <c r="E5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6" spans="1:6" x14ac:dyDescent="0.35">
      <c r="A5136" s="3">
        <v>74019722881</v>
      </c>
      <c r="B5136" s="3">
        <v>281</v>
      </c>
      <c r="C5136" s="32">
        <v>49300</v>
      </c>
      <c r="D5136" s="32" t="s">
        <v>87</v>
      </c>
      <c r="E5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7" spans="1:6" x14ac:dyDescent="0.35">
      <c r="A5137" s="3">
        <v>19091084795</v>
      </c>
      <c r="B5137" s="3">
        <v>50</v>
      </c>
      <c r="C5137" s="32">
        <v>49300</v>
      </c>
      <c r="D5137" s="32" t="s">
        <v>87</v>
      </c>
      <c r="E5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8" spans="1:6" x14ac:dyDescent="0.35">
      <c r="A5138" s="3">
        <v>17050301928</v>
      </c>
      <c r="B5138" s="3">
        <v>206</v>
      </c>
      <c r="C5138" s="32">
        <v>49301</v>
      </c>
      <c r="D5138" s="32" t="s">
        <v>87</v>
      </c>
      <c r="E5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9" spans="1:6" x14ac:dyDescent="0.35">
      <c r="A5139" s="3">
        <v>41664598332</v>
      </c>
      <c r="B5139" s="3">
        <v>321</v>
      </c>
      <c r="C5139" s="32">
        <v>49301</v>
      </c>
      <c r="D5139" s="32" t="s">
        <v>87</v>
      </c>
      <c r="E5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0" spans="1:6" x14ac:dyDescent="0.35">
      <c r="A5140" s="3">
        <v>37077022405</v>
      </c>
      <c r="B5140" s="3">
        <v>187</v>
      </c>
      <c r="C5140" s="32">
        <v>49301</v>
      </c>
      <c r="D5140" s="32" t="s">
        <v>87</v>
      </c>
      <c r="E5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1" spans="1:6" x14ac:dyDescent="0.35">
      <c r="A5141" s="3">
        <v>49476406224</v>
      </c>
      <c r="B5141" s="3">
        <v>122</v>
      </c>
      <c r="C5141" s="32">
        <v>49301</v>
      </c>
      <c r="D5141" s="32" t="s">
        <v>87</v>
      </c>
      <c r="E5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2" spans="1:6" x14ac:dyDescent="0.35">
      <c r="A5142" s="3">
        <v>53167277790</v>
      </c>
      <c r="B5142" s="3">
        <v>227</v>
      </c>
      <c r="C5142" s="32">
        <v>49301</v>
      </c>
      <c r="D5142" s="32" t="s">
        <v>87</v>
      </c>
      <c r="E5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3" spans="1:6" x14ac:dyDescent="0.35">
      <c r="A5143" s="3">
        <v>84068503891</v>
      </c>
      <c r="B5143" s="3">
        <v>230</v>
      </c>
      <c r="C5143" s="32">
        <v>49301</v>
      </c>
      <c r="D5143" s="32" t="s">
        <v>87</v>
      </c>
      <c r="E5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4" spans="1:6" x14ac:dyDescent="0.35">
      <c r="A5144" s="3">
        <v>61846586896</v>
      </c>
      <c r="B5144" s="3">
        <v>176</v>
      </c>
      <c r="C5144" s="32">
        <v>49301</v>
      </c>
      <c r="D5144" s="32"/>
      <c r="E5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5" spans="1:6" x14ac:dyDescent="0.35">
      <c r="A5145" s="3">
        <v>42625750783</v>
      </c>
      <c r="B5145" s="3">
        <v>270</v>
      </c>
      <c r="C5145" s="32">
        <v>49301</v>
      </c>
      <c r="D5145" s="32"/>
      <c r="E5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6" spans="1:6" x14ac:dyDescent="0.35">
      <c r="A5146" s="3">
        <v>55158656640</v>
      </c>
      <c r="B5146" s="3">
        <v>309</v>
      </c>
      <c r="C5146" s="32">
        <v>49301</v>
      </c>
      <c r="D5146" s="32" t="s">
        <v>87</v>
      </c>
      <c r="E5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7" spans="1:6" x14ac:dyDescent="0.35">
      <c r="A5147" s="3">
        <v>63920158498</v>
      </c>
      <c r="B5147" s="3">
        <v>332</v>
      </c>
      <c r="C5147" s="32">
        <v>49301</v>
      </c>
      <c r="D5147" s="32">
        <v>49315</v>
      </c>
      <c r="E5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48" spans="1:6" x14ac:dyDescent="0.35">
      <c r="A5148" s="3">
        <v>98316566389</v>
      </c>
      <c r="B5148" s="3">
        <v>76</v>
      </c>
      <c r="C5148" s="32">
        <v>49301</v>
      </c>
      <c r="D5148" s="32" t="s">
        <v>87</v>
      </c>
      <c r="E5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9" spans="1:6" x14ac:dyDescent="0.35">
      <c r="A5149" s="3">
        <v>40663361798</v>
      </c>
      <c r="B5149" s="3">
        <v>172</v>
      </c>
      <c r="C5149" s="32">
        <v>49301</v>
      </c>
      <c r="D5149" s="32" t="s">
        <v>87</v>
      </c>
      <c r="E5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0" spans="1:6" x14ac:dyDescent="0.35">
      <c r="A5150" s="3">
        <v>85759992341</v>
      </c>
      <c r="B5150" s="3">
        <v>92</v>
      </c>
      <c r="C5150" s="32">
        <v>49301</v>
      </c>
      <c r="D5150" s="32" t="s">
        <v>87</v>
      </c>
      <c r="E5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1" spans="1:6" x14ac:dyDescent="0.35">
      <c r="A5151" s="3">
        <v>54854676020</v>
      </c>
      <c r="B5151" s="3">
        <v>49</v>
      </c>
      <c r="C5151" s="32">
        <v>49301</v>
      </c>
      <c r="D5151" s="32"/>
      <c r="E5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2" spans="1:6" x14ac:dyDescent="0.35">
      <c r="A5152" s="3">
        <v>82176720217</v>
      </c>
      <c r="B5152" s="3">
        <v>340</v>
      </c>
      <c r="C5152" s="32">
        <v>49301</v>
      </c>
      <c r="D5152" s="32">
        <v>49311</v>
      </c>
      <c r="E5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53" spans="1:6" x14ac:dyDescent="0.35">
      <c r="A5153" s="3">
        <v>49718769879</v>
      </c>
      <c r="B5153" s="3">
        <v>200</v>
      </c>
      <c r="C5153" s="32">
        <v>49301</v>
      </c>
      <c r="D5153" s="32" t="s">
        <v>87</v>
      </c>
      <c r="E5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4" spans="1:6" x14ac:dyDescent="0.35">
      <c r="A5154" s="3">
        <v>77864343873</v>
      </c>
      <c r="B5154" s="3">
        <v>192</v>
      </c>
      <c r="C5154" s="32">
        <v>49301</v>
      </c>
      <c r="D5154" s="32" t="s">
        <v>87</v>
      </c>
      <c r="E5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5" spans="1:6" x14ac:dyDescent="0.35">
      <c r="A5155" s="3">
        <v>60935697020</v>
      </c>
      <c r="B5155" s="3">
        <v>234</v>
      </c>
      <c r="C5155" s="32">
        <v>49301</v>
      </c>
      <c r="D5155" s="32" t="s">
        <v>87</v>
      </c>
      <c r="E5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6" spans="1:6" x14ac:dyDescent="0.35">
      <c r="A5156" s="3">
        <v>73672352434</v>
      </c>
      <c r="B5156" s="3">
        <v>246</v>
      </c>
      <c r="C5156" s="32">
        <v>49301</v>
      </c>
      <c r="D5156" s="32">
        <v>49340</v>
      </c>
      <c r="E5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57" spans="1:6" x14ac:dyDescent="0.35">
      <c r="A5157" s="3">
        <v>85248329840</v>
      </c>
      <c r="B5157" s="3">
        <v>201</v>
      </c>
      <c r="C5157" s="32">
        <v>49301</v>
      </c>
      <c r="D5157" s="32" t="s">
        <v>87</v>
      </c>
      <c r="E5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8" spans="1:6" x14ac:dyDescent="0.35">
      <c r="A5158" s="3">
        <v>98423003462</v>
      </c>
      <c r="B5158" s="3">
        <v>327</v>
      </c>
      <c r="C5158" s="32">
        <v>49301</v>
      </c>
      <c r="D5158" s="32" t="s">
        <v>87</v>
      </c>
      <c r="E5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9" spans="1:6" x14ac:dyDescent="0.35">
      <c r="A5159" s="3">
        <v>83053253940</v>
      </c>
      <c r="B5159" s="3">
        <v>76</v>
      </c>
      <c r="C5159" s="32">
        <v>49302</v>
      </c>
      <c r="D5159" s="32" t="s">
        <v>87</v>
      </c>
      <c r="E5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0" spans="1:6" x14ac:dyDescent="0.35">
      <c r="A5160" s="3">
        <v>60236226804</v>
      </c>
      <c r="B5160" s="3">
        <v>41</v>
      </c>
      <c r="C5160" s="32">
        <v>49302</v>
      </c>
      <c r="D5160" s="32">
        <v>49304</v>
      </c>
      <c r="E5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161" spans="1:6" x14ac:dyDescent="0.35">
      <c r="A5161" s="3">
        <v>65084796193</v>
      </c>
      <c r="B5161" s="3">
        <v>127</v>
      </c>
      <c r="C5161" s="32">
        <v>49302</v>
      </c>
      <c r="D5161" s="32" t="s">
        <v>87</v>
      </c>
      <c r="E5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2" spans="1:6" x14ac:dyDescent="0.35">
      <c r="A5162" s="3">
        <v>98087884419</v>
      </c>
      <c r="B5162" s="3">
        <v>152</v>
      </c>
      <c r="C5162" s="32">
        <v>49302</v>
      </c>
      <c r="D5162" s="32"/>
      <c r="E5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3" spans="1:6" x14ac:dyDescent="0.35">
      <c r="A5163" s="3">
        <v>37673168739</v>
      </c>
      <c r="B5163" s="3">
        <v>126</v>
      </c>
      <c r="C5163" s="32">
        <v>49302</v>
      </c>
      <c r="D5163" s="32" t="s">
        <v>87</v>
      </c>
      <c r="E5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4" spans="1:6" x14ac:dyDescent="0.35">
      <c r="A5164" s="3">
        <v>31168533817</v>
      </c>
      <c r="B5164" s="3">
        <v>230</v>
      </c>
      <c r="C5164" s="32">
        <v>49302</v>
      </c>
      <c r="D5164" s="32" t="s">
        <v>87</v>
      </c>
      <c r="E5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5" spans="1:6" x14ac:dyDescent="0.35">
      <c r="A5165" s="3">
        <v>47920174875</v>
      </c>
      <c r="B5165" s="3">
        <v>290</v>
      </c>
      <c r="C5165" s="32">
        <v>49302</v>
      </c>
      <c r="D5165" s="32"/>
      <c r="E5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6" spans="1:6" x14ac:dyDescent="0.35">
      <c r="A5166" s="3">
        <v>25373337030</v>
      </c>
      <c r="B5166" s="3">
        <v>158</v>
      </c>
      <c r="C5166" s="32">
        <v>49302</v>
      </c>
      <c r="D5166" s="32" t="s">
        <v>87</v>
      </c>
      <c r="E5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7" spans="1:6" x14ac:dyDescent="0.35">
      <c r="A5167" s="3">
        <v>85536917444</v>
      </c>
      <c r="B5167" s="3">
        <v>52</v>
      </c>
      <c r="C5167" s="32">
        <v>49302</v>
      </c>
      <c r="D5167" s="32"/>
      <c r="E5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8" spans="1:6" x14ac:dyDescent="0.35">
      <c r="A5168" s="3">
        <v>54197701148</v>
      </c>
      <c r="B5168" s="3">
        <v>259</v>
      </c>
      <c r="C5168" s="32">
        <v>49302</v>
      </c>
      <c r="D5168" s="32">
        <v>49309</v>
      </c>
      <c r="E5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169" spans="1:6" x14ac:dyDescent="0.35">
      <c r="A5169" s="3">
        <v>79363536692</v>
      </c>
      <c r="B5169" s="3">
        <v>45</v>
      </c>
      <c r="C5169" s="32">
        <v>49302</v>
      </c>
      <c r="D5169" s="32" t="s">
        <v>87</v>
      </c>
      <c r="E5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0" spans="1:6" x14ac:dyDescent="0.35">
      <c r="A5170" s="3">
        <v>72679162495</v>
      </c>
      <c r="B5170" s="3">
        <v>138</v>
      </c>
      <c r="C5170" s="32">
        <v>49302</v>
      </c>
      <c r="D5170" s="32" t="s">
        <v>87</v>
      </c>
      <c r="E5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1" spans="1:6" x14ac:dyDescent="0.35">
      <c r="A5171" s="3">
        <v>28644377972</v>
      </c>
      <c r="B5171" s="3">
        <v>149</v>
      </c>
      <c r="C5171" s="32">
        <v>49302</v>
      </c>
      <c r="D5171" s="32" t="s">
        <v>87</v>
      </c>
      <c r="E5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2" spans="1:6" x14ac:dyDescent="0.35">
      <c r="A5172" s="3">
        <v>76552561369</v>
      </c>
      <c r="B5172" s="3">
        <v>228</v>
      </c>
      <c r="C5172" s="32">
        <v>49302</v>
      </c>
      <c r="D5172" s="32"/>
      <c r="E5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3" spans="1:6" x14ac:dyDescent="0.35">
      <c r="A5173" s="3">
        <v>42977992066</v>
      </c>
      <c r="B5173" s="3">
        <v>67</v>
      </c>
      <c r="C5173" s="32">
        <v>49302</v>
      </c>
      <c r="D5173" s="32"/>
      <c r="E5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4" spans="1:6" x14ac:dyDescent="0.35">
      <c r="A5174" s="3">
        <v>44720686082</v>
      </c>
      <c r="B5174" s="3">
        <v>330</v>
      </c>
      <c r="C5174" s="32">
        <v>49302</v>
      </c>
      <c r="D5174" s="32"/>
      <c r="E5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5" spans="1:6" x14ac:dyDescent="0.35">
      <c r="A5175" s="3">
        <v>61680260172</v>
      </c>
      <c r="B5175" s="3">
        <v>273</v>
      </c>
      <c r="C5175" s="32">
        <v>49302</v>
      </c>
      <c r="D5175" s="32" t="s">
        <v>87</v>
      </c>
      <c r="E5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6" spans="1:6" x14ac:dyDescent="0.35">
      <c r="A5176" s="3">
        <v>41759245487</v>
      </c>
      <c r="B5176" s="3">
        <v>0</v>
      </c>
      <c r="C5176" s="32">
        <v>49302</v>
      </c>
      <c r="D5176" s="32" t="s">
        <v>87</v>
      </c>
      <c r="E5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7" spans="1:6" x14ac:dyDescent="0.35">
      <c r="A5177" s="3">
        <v>12156536147</v>
      </c>
      <c r="B5177" s="3">
        <v>26</v>
      </c>
      <c r="C5177" s="32">
        <v>49302</v>
      </c>
      <c r="D5177" s="32" t="s">
        <v>87</v>
      </c>
      <c r="E5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8" spans="1:6" x14ac:dyDescent="0.35">
      <c r="A5178" s="3">
        <v>96075573612</v>
      </c>
      <c r="B5178" s="3">
        <v>192</v>
      </c>
      <c r="C5178" s="32">
        <v>49302</v>
      </c>
      <c r="D5178" s="32" t="s">
        <v>87</v>
      </c>
      <c r="E5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9" spans="1:6" x14ac:dyDescent="0.35">
      <c r="A5179" s="3">
        <v>51369741156</v>
      </c>
      <c r="B5179" s="3">
        <v>274</v>
      </c>
      <c r="C5179" s="32">
        <v>49302</v>
      </c>
      <c r="D5179" s="32" t="s">
        <v>87</v>
      </c>
      <c r="E5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0" spans="1:6" x14ac:dyDescent="0.35">
      <c r="A5180" s="3">
        <v>78762366693</v>
      </c>
      <c r="B5180" s="3">
        <v>2</v>
      </c>
      <c r="C5180" s="32">
        <v>49302</v>
      </c>
      <c r="D5180" s="32">
        <v>49335</v>
      </c>
      <c r="E5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81" spans="1:6" x14ac:dyDescent="0.35">
      <c r="A5181" s="3">
        <v>49788980714</v>
      </c>
      <c r="B5181" s="3">
        <v>309</v>
      </c>
      <c r="C5181" s="32">
        <v>49302</v>
      </c>
      <c r="D5181" s="32"/>
      <c r="E5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2" spans="1:6" x14ac:dyDescent="0.35">
      <c r="A5182" s="3">
        <v>14179992202</v>
      </c>
      <c r="B5182" s="3">
        <v>130</v>
      </c>
      <c r="C5182" s="32">
        <v>49302</v>
      </c>
      <c r="D5182" s="32" t="s">
        <v>87</v>
      </c>
      <c r="E5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3" spans="1:6" x14ac:dyDescent="0.35">
      <c r="A5183" s="3">
        <v>55911326683</v>
      </c>
      <c r="B5183" s="3">
        <v>253</v>
      </c>
      <c r="C5183" s="32">
        <v>49302</v>
      </c>
      <c r="D5183" s="32"/>
      <c r="E5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4" spans="1:6" x14ac:dyDescent="0.35">
      <c r="A5184" s="3">
        <v>20538250111</v>
      </c>
      <c r="B5184" s="3">
        <v>157</v>
      </c>
      <c r="C5184" s="32">
        <v>49302</v>
      </c>
      <c r="D5184" s="32">
        <v>49318</v>
      </c>
      <c r="E5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85" spans="1:6" x14ac:dyDescent="0.35">
      <c r="A5185" s="3">
        <v>87821113027</v>
      </c>
      <c r="B5185" s="3">
        <v>164</v>
      </c>
      <c r="C5185" s="32">
        <v>49302</v>
      </c>
      <c r="D5185" s="32" t="s">
        <v>87</v>
      </c>
      <c r="E5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6" spans="1:6" x14ac:dyDescent="0.35">
      <c r="A5186" s="3">
        <v>43738729305</v>
      </c>
      <c r="B5186" s="3">
        <v>140</v>
      </c>
      <c r="C5186" s="32">
        <v>49302</v>
      </c>
      <c r="D5186" s="32" t="s">
        <v>87</v>
      </c>
      <c r="E5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7" spans="1:6" x14ac:dyDescent="0.35">
      <c r="A5187" s="3">
        <v>65779423762</v>
      </c>
      <c r="B5187" s="3">
        <v>295</v>
      </c>
      <c r="C5187" s="32">
        <v>49303</v>
      </c>
      <c r="D5187" s="32">
        <v>49341</v>
      </c>
      <c r="E5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188" spans="1:6" x14ac:dyDescent="0.35">
      <c r="A5188" s="3">
        <v>14665596204</v>
      </c>
      <c r="B5188" s="3">
        <v>329</v>
      </c>
      <c r="C5188" s="32">
        <v>49303</v>
      </c>
      <c r="D5188" s="32"/>
      <c r="E5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9" spans="1:6" x14ac:dyDescent="0.35">
      <c r="A5189" s="3">
        <v>82275797964</v>
      </c>
      <c r="B5189" s="3">
        <v>155</v>
      </c>
      <c r="C5189" s="32">
        <v>49303</v>
      </c>
      <c r="D5189" s="32" t="s">
        <v>87</v>
      </c>
      <c r="E5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0" spans="1:6" x14ac:dyDescent="0.35">
      <c r="A5190" s="3">
        <v>85616472608</v>
      </c>
      <c r="B5190" s="3">
        <v>193</v>
      </c>
      <c r="C5190" s="32">
        <v>49303</v>
      </c>
      <c r="D5190" s="32" t="s">
        <v>87</v>
      </c>
      <c r="E5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1" spans="1:6" x14ac:dyDescent="0.35">
      <c r="A5191" s="3">
        <v>35212387306</v>
      </c>
      <c r="B5191" s="3">
        <v>312</v>
      </c>
      <c r="C5191" s="32">
        <v>49303</v>
      </c>
      <c r="D5191" s="32" t="s">
        <v>87</v>
      </c>
      <c r="E5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2" spans="1:6" x14ac:dyDescent="0.35">
      <c r="A5192" s="3">
        <v>34725844026</v>
      </c>
      <c r="B5192" s="3">
        <v>81</v>
      </c>
      <c r="C5192" s="32">
        <v>49303</v>
      </c>
      <c r="D5192" s="32" t="s">
        <v>87</v>
      </c>
      <c r="E5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3" spans="1:6" x14ac:dyDescent="0.35">
      <c r="A5193" s="3">
        <v>77313234900</v>
      </c>
      <c r="B5193" s="3">
        <v>129</v>
      </c>
      <c r="C5193" s="32">
        <v>49303</v>
      </c>
      <c r="D5193" s="32"/>
      <c r="E5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4" spans="1:6" x14ac:dyDescent="0.35">
      <c r="A5194" s="3">
        <v>82557092333</v>
      </c>
      <c r="B5194" s="3">
        <v>170</v>
      </c>
      <c r="C5194" s="32">
        <v>49303</v>
      </c>
      <c r="D5194" s="32" t="s">
        <v>87</v>
      </c>
      <c r="E5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5" spans="1:6" x14ac:dyDescent="0.35">
      <c r="A5195" s="3">
        <v>76336855301</v>
      </c>
      <c r="B5195" s="3">
        <v>202</v>
      </c>
      <c r="C5195" s="32">
        <v>49303</v>
      </c>
      <c r="D5195" s="32" t="s">
        <v>87</v>
      </c>
      <c r="E5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6" spans="1:6" x14ac:dyDescent="0.35">
      <c r="A5196" s="3">
        <v>97631003005</v>
      </c>
      <c r="B5196" s="3">
        <v>229</v>
      </c>
      <c r="C5196" s="32">
        <v>49303</v>
      </c>
      <c r="D5196" s="32" t="s">
        <v>87</v>
      </c>
      <c r="E5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7" spans="1:6" x14ac:dyDescent="0.35">
      <c r="A5197" s="3">
        <v>11364461428</v>
      </c>
      <c r="B5197" s="3">
        <v>224</v>
      </c>
      <c r="C5197" s="32">
        <v>49303</v>
      </c>
      <c r="D5197" s="32" t="s">
        <v>87</v>
      </c>
      <c r="E5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8" spans="1:6" x14ac:dyDescent="0.35">
      <c r="A5198" s="3">
        <v>90298713558</v>
      </c>
      <c r="B5198" s="3">
        <v>339</v>
      </c>
      <c r="C5198" s="32">
        <v>49303</v>
      </c>
      <c r="D5198" s="32" t="s">
        <v>87</v>
      </c>
      <c r="E5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9" spans="1:6" x14ac:dyDescent="0.35">
      <c r="A5199" s="3">
        <v>61862795311</v>
      </c>
      <c r="B5199" s="3">
        <v>216</v>
      </c>
      <c r="C5199" s="32">
        <v>49303</v>
      </c>
      <c r="D5199" s="32"/>
      <c r="E5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0" spans="1:6" x14ac:dyDescent="0.35">
      <c r="A5200" s="3">
        <v>92892054047</v>
      </c>
      <c r="B5200" s="3">
        <v>43</v>
      </c>
      <c r="C5200" s="32">
        <v>49303</v>
      </c>
      <c r="D5200" s="32" t="s">
        <v>87</v>
      </c>
      <c r="E5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1" spans="1:6" x14ac:dyDescent="0.35">
      <c r="A5201" s="3">
        <v>60254847051</v>
      </c>
      <c r="B5201" s="3">
        <v>242</v>
      </c>
      <c r="C5201" s="32">
        <v>49303</v>
      </c>
      <c r="D5201" s="32" t="s">
        <v>87</v>
      </c>
      <c r="E5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2" spans="1:6" x14ac:dyDescent="0.35">
      <c r="A5202" s="3">
        <v>67821266849</v>
      </c>
      <c r="B5202" s="3">
        <v>270</v>
      </c>
      <c r="C5202" s="32">
        <v>49303</v>
      </c>
      <c r="D5202" s="32" t="s">
        <v>87</v>
      </c>
      <c r="E5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3" spans="1:6" x14ac:dyDescent="0.35">
      <c r="A5203" s="3">
        <v>89706208060</v>
      </c>
      <c r="B5203" s="3">
        <v>97</v>
      </c>
      <c r="C5203" s="32">
        <v>49303</v>
      </c>
      <c r="D5203" s="32" t="s">
        <v>87</v>
      </c>
      <c r="E5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4" spans="1:6" x14ac:dyDescent="0.35">
      <c r="A5204" s="3">
        <v>81312184649</v>
      </c>
      <c r="B5204" s="3">
        <v>258</v>
      </c>
      <c r="C5204" s="32">
        <v>49303</v>
      </c>
      <c r="D5204" s="32" t="s">
        <v>87</v>
      </c>
      <c r="E5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5" spans="1:6" x14ac:dyDescent="0.35">
      <c r="A5205" s="3">
        <v>82737055901</v>
      </c>
      <c r="B5205" s="3">
        <v>171</v>
      </c>
      <c r="C5205" s="32">
        <v>49303</v>
      </c>
      <c r="D5205" s="32">
        <v>49328</v>
      </c>
      <c r="E5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06" spans="1:6" x14ac:dyDescent="0.35">
      <c r="A5206" s="3">
        <v>79667771630</v>
      </c>
      <c r="B5206" s="3">
        <v>189</v>
      </c>
      <c r="C5206" s="32">
        <v>49303</v>
      </c>
      <c r="D5206" s="32" t="s">
        <v>87</v>
      </c>
      <c r="E5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7" spans="1:6" x14ac:dyDescent="0.35">
      <c r="A5207" s="3">
        <v>80462125848</v>
      </c>
      <c r="B5207" s="3">
        <v>210</v>
      </c>
      <c r="C5207" s="32">
        <v>49303</v>
      </c>
      <c r="D5207" s="32"/>
      <c r="E5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8" spans="1:6" x14ac:dyDescent="0.35">
      <c r="A5208" s="3">
        <v>77014543954</v>
      </c>
      <c r="B5208" s="3">
        <v>70</v>
      </c>
      <c r="C5208" s="32">
        <v>49303</v>
      </c>
      <c r="D5208" s="32"/>
      <c r="E5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9" spans="1:6" x14ac:dyDescent="0.35">
      <c r="A5209" s="3">
        <v>57478889023</v>
      </c>
      <c r="B5209" s="3">
        <v>27</v>
      </c>
      <c r="C5209" s="32">
        <v>49303</v>
      </c>
      <c r="D5209" s="32" t="s">
        <v>87</v>
      </c>
      <c r="E5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0" spans="1:6" x14ac:dyDescent="0.35">
      <c r="A5210" s="3">
        <v>31769625931</v>
      </c>
      <c r="B5210" s="3">
        <v>162</v>
      </c>
      <c r="C5210" s="32">
        <v>49303</v>
      </c>
      <c r="D5210" s="32" t="s">
        <v>87</v>
      </c>
      <c r="E5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1" spans="1:6" x14ac:dyDescent="0.35">
      <c r="A5211" s="3">
        <v>73989872093</v>
      </c>
      <c r="B5211" s="3">
        <v>267</v>
      </c>
      <c r="C5211" s="32">
        <v>49303</v>
      </c>
      <c r="D5211" s="32">
        <v>49324</v>
      </c>
      <c r="E5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2" spans="1:6" x14ac:dyDescent="0.35">
      <c r="A5212" s="3">
        <v>15983451570</v>
      </c>
      <c r="B5212" s="3">
        <v>17</v>
      </c>
      <c r="C5212" s="32">
        <v>49303</v>
      </c>
      <c r="D5212" s="32">
        <v>49325</v>
      </c>
      <c r="E5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3" spans="1:6" x14ac:dyDescent="0.35">
      <c r="A5213" s="3">
        <v>54608634000</v>
      </c>
      <c r="B5213" s="3">
        <v>11</v>
      </c>
      <c r="C5213" s="32">
        <v>49303</v>
      </c>
      <c r="D5213" s="32" t="s">
        <v>87</v>
      </c>
      <c r="E5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4" spans="1:6" x14ac:dyDescent="0.35">
      <c r="A5214" s="3">
        <v>86134241891</v>
      </c>
      <c r="B5214" s="3">
        <v>308</v>
      </c>
      <c r="C5214" s="32">
        <v>49303</v>
      </c>
      <c r="D5214" s="32">
        <v>49318</v>
      </c>
      <c r="E5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5" spans="1:6" x14ac:dyDescent="0.35">
      <c r="A5215" s="3">
        <v>31413605097</v>
      </c>
      <c r="B5215" s="3">
        <v>59</v>
      </c>
      <c r="C5215" s="32">
        <v>49303</v>
      </c>
      <c r="D5215" s="32" t="s">
        <v>87</v>
      </c>
      <c r="E5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6" spans="1:6" x14ac:dyDescent="0.35">
      <c r="A5216" s="3">
        <v>56330054903</v>
      </c>
      <c r="B5216" s="3">
        <v>93</v>
      </c>
      <c r="C5216" s="32">
        <v>49304</v>
      </c>
      <c r="D5216" s="32"/>
      <c r="E5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7" spans="1:6" x14ac:dyDescent="0.35">
      <c r="A5217" s="3">
        <v>68029407313</v>
      </c>
      <c r="B5217" s="3">
        <v>295</v>
      </c>
      <c r="C5217" s="32">
        <v>49304</v>
      </c>
      <c r="D5217" s="32" t="s">
        <v>87</v>
      </c>
      <c r="E5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8" spans="1:6" x14ac:dyDescent="0.35">
      <c r="A5218" s="3">
        <v>88431379349</v>
      </c>
      <c r="B5218" s="3">
        <v>69</v>
      </c>
      <c r="C5218" s="32">
        <v>49304</v>
      </c>
      <c r="D5218" s="32" t="s">
        <v>87</v>
      </c>
      <c r="E5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9" spans="1:6" x14ac:dyDescent="0.35">
      <c r="A5219" s="3">
        <v>38660805352</v>
      </c>
      <c r="B5219" s="3">
        <v>72</v>
      </c>
      <c r="C5219" s="32">
        <v>49304</v>
      </c>
      <c r="D5219" s="32">
        <v>49315</v>
      </c>
      <c r="E5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20" spans="1:6" x14ac:dyDescent="0.35">
      <c r="A5220" s="3">
        <v>88192418195</v>
      </c>
      <c r="B5220" s="3">
        <v>225</v>
      </c>
      <c r="C5220" s="32">
        <v>49304</v>
      </c>
      <c r="D5220" s="32" t="s">
        <v>87</v>
      </c>
      <c r="E5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1" spans="1:6" x14ac:dyDescent="0.35">
      <c r="A5221" s="3">
        <v>75256707875</v>
      </c>
      <c r="B5221" s="3">
        <v>104</v>
      </c>
      <c r="C5221" s="32">
        <v>49304</v>
      </c>
      <c r="D5221" s="32" t="s">
        <v>87</v>
      </c>
      <c r="E5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2" spans="1:6" x14ac:dyDescent="0.35">
      <c r="A5222" s="3">
        <v>16582190176</v>
      </c>
      <c r="B5222" s="3">
        <v>120</v>
      </c>
      <c r="C5222" s="32">
        <v>49304</v>
      </c>
      <c r="D5222" s="32" t="s">
        <v>87</v>
      </c>
      <c r="E5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3" spans="1:6" x14ac:dyDescent="0.35">
      <c r="A5223" s="3">
        <v>81521458532</v>
      </c>
      <c r="B5223" s="3">
        <v>67</v>
      </c>
      <c r="C5223" s="32">
        <v>49304</v>
      </c>
      <c r="D5223" s="32" t="s">
        <v>87</v>
      </c>
      <c r="E5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4" spans="1:6" x14ac:dyDescent="0.35">
      <c r="A5224" s="3">
        <v>39556130617</v>
      </c>
      <c r="B5224" s="3">
        <v>45</v>
      </c>
      <c r="C5224" s="32">
        <v>49304</v>
      </c>
      <c r="D5224" s="32" t="s">
        <v>87</v>
      </c>
      <c r="E5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5" spans="1:6" x14ac:dyDescent="0.35">
      <c r="A5225" s="3">
        <v>78355546812</v>
      </c>
      <c r="B5225" s="3">
        <v>61</v>
      </c>
      <c r="C5225" s="32">
        <v>49304</v>
      </c>
      <c r="D5225" s="32"/>
      <c r="E5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6" spans="1:6" x14ac:dyDescent="0.35">
      <c r="A5226" s="3">
        <v>28547380248</v>
      </c>
      <c r="B5226" s="3">
        <v>257</v>
      </c>
      <c r="C5226" s="32">
        <v>49304</v>
      </c>
      <c r="D5226" s="32">
        <v>49321</v>
      </c>
      <c r="E5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27" spans="1:6" x14ac:dyDescent="0.35">
      <c r="A5227" s="3">
        <v>32700707165</v>
      </c>
      <c r="B5227" s="3">
        <v>35</v>
      </c>
      <c r="C5227" s="32">
        <v>49304</v>
      </c>
      <c r="D5227" s="32" t="s">
        <v>87</v>
      </c>
      <c r="E5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8" spans="1:6" x14ac:dyDescent="0.35">
      <c r="A5228" s="3">
        <v>26881306508</v>
      </c>
      <c r="B5228" s="3">
        <v>17</v>
      </c>
      <c r="C5228" s="32">
        <v>49304</v>
      </c>
      <c r="D5228" s="32" t="s">
        <v>87</v>
      </c>
      <c r="E5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9" spans="1:6" x14ac:dyDescent="0.35">
      <c r="A5229" s="3">
        <v>41874854472</v>
      </c>
      <c r="B5229" s="3">
        <v>78</v>
      </c>
      <c r="C5229" s="32">
        <v>49304</v>
      </c>
      <c r="D5229" s="32" t="s">
        <v>87</v>
      </c>
      <c r="E5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0" spans="1:6" x14ac:dyDescent="0.35">
      <c r="A5230" s="3">
        <v>48363947069</v>
      </c>
      <c r="B5230" s="3">
        <v>66</v>
      </c>
      <c r="C5230" s="32">
        <v>49304</v>
      </c>
      <c r="D5230" s="32" t="s">
        <v>87</v>
      </c>
      <c r="E5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1" spans="1:6" x14ac:dyDescent="0.35">
      <c r="A5231" s="3">
        <v>29231711986</v>
      </c>
      <c r="B5231" s="3">
        <v>235</v>
      </c>
      <c r="C5231" s="32">
        <v>49304</v>
      </c>
      <c r="D5231" s="32"/>
      <c r="E5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2" spans="1:6" x14ac:dyDescent="0.35">
      <c r="A5232" s="3">
        <v>18816217669</v>
      </c>
      <c r="B5232" s="3">
        <v>333</v>
      </c>
      <c r="C5232" s="32">
        <v>49304</v>
      </c>
      <c r="D5232" s="32" t="s">
        <v>87</v>
      </c>
      <c r="E5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3" spans="1:6" x14ac:dyDescent="0.35">
      <c r="A5233" s="3">
        <v>17074645514</v>
      </c>
      <c r="B5233" s="3">
        <v>41</v>
      </c>
      <c r="C5233" s="32">
        <v>49304</v>
      </c>
      <c r="D5233" s="32" t="s">
        <v>87</v>
      </c>
      <c r="E5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4" spans="1:6" x14ac:dyDescent="0.35">
      <c r="A5234" s="3">
        <v>65359903933</v>
      </c>
      <c r="B5234" s="3">
        <v>95</v>
      </c>
      <c r="C5234" s="32">
        <v>49304</v>
      </c>
      <c r="D5234" s="32"/>
      <c r="E5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5" spans="1:6" x14ac:dyDescent="0.35">
      <c r="A5235" s="3">
        <v>12712046433</v>
      </c>
      <c r="B5235" s="3">
        <v>135</v>
      </c>
      <c r="C5235" s="32">
        <v>49304</v>
      </c>
      <c r="D5235" s="32" t="s">
        <v>87</v>
      </c>
      <c r="E5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6" spans="1:6" x14ac:dyDescent="0.35">
      <c r="A5236" s="3">
        <v>74761648583</v>
      </c>
      <c r="B5236" s="3">
        <v>122</v>
      </c>
      <c r="C5236" s="32">
        <v>49304</v>
      </c>
      <c r="D5236" s="32" t="s">
        <v>87</v>
      </c>
      <c r="E5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7" spans="1:6" x14ac:dyDescent="0.35">
      <c r="A5237" s="3">
        <v>21677850109</v>
      </c>
      <c r="B5237" s="3">
        <v>118</v>
      </c>
      <c r="C5237" s="32">
        <v>49304</v>
      </c>
      <c r="D5237" s="32" t="s">
        <v>87</v>
      </c>
      <c r="E5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8" spans="1:6" x14ac:dyDescent="0.35">
      <c r="A5238" s="3">
        <v>87910793775</v>
      </c>
      <c r="B5238" s="3">
        <v>212</v>
      </c>
      <c r="C5238" s="32">
        <v>49304</v>
      </c>
      <c r="D5238" s="32" t="s">
        <v>87</v>
      </c>
      <c r="E5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9" spans="1:6" x14ac:dyDescent="0.35">
      <c r="A5239" s="3">
        <v>74352924924</v>
      </c>
      <c r="B5239" s="3">
        <v>29</v>
      </c>
      <c r="C5239" s="32">
        <v>49304</v>
      </c>
      <c r="D5239" s="32" t="s">
        <v>87</v>
      </c>
      <c r="E5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0" spans="1:6" x14ac:dyDescent="0.35">
      <c r="A5240" s="3">
        <v>52456987421</v>
      </c>
      <c r="B5240" s="3">
        <v>41</v>
      </c>
      <c r="C5240" s="32">
        <v>49304</v>
      </c>
      <c r="D5240" s="32">
        <v>49339</v>
      </c>
      <c r="E5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1" spans="1:6" x14ac:dyDescent="0.35">
      <c r="A5241" s="3">
        <v>74584124877</v>
      </c>
      <c r="B5241" s="3">
        <v>17</v>
      </c>
      <c r="C5241" s="32">
        <v>49304</v>
      </c>
      <c r="D5241" s="32" t="s">
        <v>87</v>
      </c>
      <c r="E5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2" spans="1:6" x14ac:dyDescent="0.35">
      <c r="A5242" s="3">
        <v>48191970612</v>
      </c>
      <c r="B5242" s="3">
        <v>148</v>
      </c>
      <c r="C5242" s="32">
        <v>49304</v>
      </c>
      <c r="D5242" s="32"/>
      <c r="E5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3" spans="1:6" x14ac:dyDescent="0.35">
      <c r="A5243" s="3">
        <v>38884278985</v>
      </c>
      <c r="B5243" s="3">
        <v>191</v>
      </c>
      <c r="C5243" s="32">
        <v>49304</v>
      </c>
      <c r="D5243" s="32">
        <v>49326</v>
      </c>
      <c r="E5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4" spans="1:6" x14ac:dyDescent="0.35">
      <c r="A5244" s="3">
        <v>81040825329</v>
      </c>
      <c r="B5244" s="3">
        <v>250</v>
      </c>
      <c r="C5244" s="32">
        <v>49304</v>
      </c>
      <c r="D5244" s="32" t="s">
        <v>87</v>
      </c>
      <c r="E5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5" spans="1:6" x14ac:dyDescent="0.35">
      <c r="A5245" s="3">
        <v>55389276774</v>
      </c>
      <c r="B5245" s="3">
        <v>119</v>
      </c>
      <c r="C5245" s="32">
        <v>49304</v>
      </c>
      <c r="D5245" s="32" t="s">
        <v>87</v>
      </c>
      <c r="E5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6" spans="1:6" x14ac:dyDescent="0.35">
      <c r="A5246" s="3">
        <v>30053422823</v>
      </c>
      <c r="B5246" s="3">
        <v>25</v>
      </c>
      <c r="C5246" s="32">
        <v>49304</v>
      </c>
      <c r="D5246" s="32" t="s">
        <v>87</v>
      </c>
      <c r="E5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7" spans="1:6" x14ac:dyDescent="0.35">
      <c r="A5247" s="3">
        <v>57520953636</v>
      </c>
      <c r="B5247" s="3">
        <v>327</v>
      </c>
      <c r="C5247" s="32">
        <v>49305</v>
      </c>
      <c r="D5247" s="32">
        <v>49338</v>
      </c>
      <c r="E5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8" spans="1:6" x14ac:dyDescent="0.35">
      <c r="A5248" s="3">
        <v>94131833209</v>
      </c>
      <c r="B5248" s="3">
        <v>153</v>
      </c>
      <c r="C5248" s="32">
        <v>49305</v>
      </c>
      <c r="D5248" s="32" t="s">
        <v>87</v>
      </c>
      <c r="E5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9" spans="1:6" x14ac:dyDescent="0.35">
      <c r="A5249" s="3">
        <v>45020000514</v>
      </c>
      <c r="B5249" s="3">
        <v>24</v>
      </c>
      <c r="C5249" s="32">
        <v>49305</v>
      </c>
      <c r="D5249" s="32"/>
      <c r="E5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0" spans="1:6" x14ac:dyDescent="0.35">
      <c r="A5250" s="3">
        <v>34584596303</v>
      </c>
      <c r="B5250" s="3">
        <v>339</v>
      </c>
      <c r="C5250" s="32">
        <v>49305</v>
      </c>
      <c r="D5250" s="32" t="s">
        <v>87</v>
      </c>
      <c r="E5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1" spans="1:6" x14ac:dyDescent="0.35">
      <c r="A5251" s="3">
        <v>63899907711</v>
      </c>
      <c r="B5251" s="3">
        <v>70</v>
      </c>
      <c r="C5251" s="32">
        <v>49305</v>
      </c>
      <c r="D5251" s="32" t="s">
        <v>87</v>
      </c>
      <c r="E5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2" spans="1:6" x14ac:dyDescent="0.35">
      <c r="A5252" s="3">
        <v>41643802120</v>
      </c>
      <c r="B5252" s="3">
        <v>110</v>
      </c>
      <c r="C5252" s="32">
        <v>49305</v>
      </c>
      <c r="D5252" s="32"/>
      <c r="E5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3" spans="1:6" x14ac:dyDescent="0.35">
      <c r="A5253" s="3">
        <v>95205002946</v>
      </c>
      <c r="B5253" s="3">
        <v>222</v>
      </c>
      <c r="C5253" s="32">
        <v>49305</v>
      </c>
      <c r="D5253" s="32" t="s">
        <v>87</v>
      </c>
      <c r="E5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4" spans="1:6" x14ac:dyDescent="0.35">
      <c r="A5254" s="3">
        <v>65244060965</v>
      </c>
      <c r="B5254" s="3">
        <v>171</v>
      </c>
      <c r="C5254" s="32">
        <v>49305</v>
      </c>
      <c r="D5254" s="32" t="s">
        <v>87</v>
      </c>
      <c r="E5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5" spans="1:6" x14ac:dyDescent="0.35">
      <c r="A5255" s="3">
        <v>25922347457</v>
      </c>
      <c r="B5255" s="3">
        <v>47</v>
      </c>
      <c r="C5255" s="32">
        <v>49305</v>
      </c>
      <c r="D5255" s="32" t="s">
        <v>87</v>
      </c>
      <c r="E5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6" spans="1:6" x14ac:dyDescent="0.35">
      <c r="A5256" s="3">
        <v>87469437960</v>
      </c>
      <c r="B5256" s="3">
        <v>250</v>
      </c>
      <c r="C5256" s="32">
        <v>49305</v>
      </c>
      <c r="D5256" s="32" t="s">
        <v>87</v>
      </c>
      <c r="E5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7" spans="1:6" x14ac:dyDescent="0.35">
      <c r="A5257" s="3">
        <v>42168593894</v>
      </c>
      <c r="B5257" s="3">
        <v>120</v>
      </c>
      <c r="C5257" s="32">
        <v>49305</v>
      </c>
      <c r="D5257" s="32" t="s">
        <v>87</v>
      </c>
      <c r="E5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8" spans="1:6" x14ac:dyDescent="0.35">
      <c r="A5258" s="3">
        <v>41902730385</v>
      </c>
      <c r="B5258" s="3">
        <v>11</v>
      </c>
      <c r="C5258" s="32">
        <v>49305</v>
      </c>
      <c r="D5258" s="32" t="s">
        <v>87</v>
      </c>
      <c r="E5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9" spans="1:6" x14ac:dyDescent="0.35">
      <c r="A5259" s="3">
        <v>81452714488</v>
      </c>
      <c r="B5259" s="3">
        <v>247</v>
      </c>
      <c r="C5259" s="32">
        <v>49305</v>
      </c>
      <c r="D5259" s="32" t="s">
        <v>87</v>
      </c>
      <c r="E5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0" spans="1:6" x14ac:dyDescent="0.35">
      <c r="A5260" s="3">
        <v>69914794522</v>
      </c>
      <c r="B5260" s="3">
        <v>8</v>
      </c>
      <c r="C5260" s="32">
        <v>49305</v>
      </c>
      <c r="D5260" s="32" t="s">
        <v>87</v>
      </c>
      <c r="E5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1" spans="1:6" x14ac:dyDescent="0.35">
      <c r="A5261" s="3">
        <v>58450424981</v>
      </c>
      <c r="B5261" s="3">
        <v>273</v>
      </c>
      <c r="C5261" s="32">
        <v>49305</v>
      </c>
      <c r="D5261" s="32" t="s">
        <v>87</v>
      </c>
      <c r="E5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2" spans="1:6" x14ac:dyDescent="0.35">
      <c r="A5262" s="3">
        <v>50737135317</v>
      </c>
      <c r="B5262" s="3">
        <v>128</v>
      </c>
      <c r="C5262" s="32">
        <v>49305</v>
      </c>
      <c r="D5262" s="32" t="s">
        <v>87</v>
      </c>
      <c r="E5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3" spans="1:6" x14ac:dyDescent="0.35">
      <c r="A5263" s="3">
        <v>29257125431</v>
      </c>
      <c r="B5263" s="3">
        <v>68</v>
      </c>
      <c r="C5263" s="32">
        <v>49305</v>
      </c>
      <c r="D5263" s="32" t="s">
        <v>87</v>
      </c>
      <c r="E5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4" spans="1:6" x14ac:dyDescent="0.35">
      <c r="A5264" s="3">
        <v>91196276597</v>
      </c>
      <c r="B5264" s="3">
        <v>247</v>
      </c>
      <c r="C5264" s="32">
        <v>49306</v>
      </c>
      <c r="D5264" s="32" t="s">
        <v>87</v>
      </c>
      <c r="E5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5" spans="1:6" x14ac:dyDescent="0.35">
      <c r="A5265" s="3">
        <v>82112206633</v>
      </c>
      <c r="B5265" s="3">
        <v>210</v>
      </c>
      <c r="C5265" s="32">
        <v>49306</v>
      </c>
      <c r="D5265" s="32" t="s">
        <v>87</v>
      </c>
      <c r="E5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6" spans="1:6" x14ac:dyDescent="0.35">
      <c r="A5266" s="3">
        <v>81244488119</v>
      </c>
      <c r="B5266" s="3">
        <v>213</v>
      </c>
      <c r="C5266" s="32">
        <v>49306</v>
      </c>
      <c r="D5266" s="32"/>
      <c r="E5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7" spans="1:6" x14ac:dyDescent="0.35">
      <c r="A5267" s="3">
        <v>65628851954</v>
      </c>
      <c r="B5267" s="3">
        <v>221</v>
      </c>
      <c r="C5267" s="32">
        <v>49306</v>
      </c>
      <c r="D5267" s="32"/>
      <c r="E5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8" spans="1:6" x14ac:dyDescent="0.35">
      <c r="A5268" s="3">
        <v>30418681640</v>
      </c>
      <c r="B5268" s="3">
        <v>293</v>
      </c>
      <c r="C5268" s="32">
        <v>49306</v>
      </c>
      <c r="D5268" s="32" t="s">
        <v>87</v>
      </c>
      <c r="E5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9" spans="1:6" x14ac:dyDescent="0.35">
      <c r="A5269" s="3">
        <v>65132581623</v>
      </c>
      <c r="B5269" s="3">
        <v>217</v>
      </c>
      <c r="C5269" s="32">
        <v>49306</v>
      </c>
      <c r="D5269" s="32">
        <v>49330</v>
      </c>
      <c r="E5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0" spans="1:6" x14ac:dyDescent="0.35">
      <c r="A5270" s="3">
        <v>85858159258</v>
      </c>
      <c r="B5270" s="3">
        <v>295</v>
      </c>
      <c r="C5270" s="32">
        <v>49306</v>
      </c>
      <c r="D5270" s="32" t="s">
        <v>87</v>
      </c>
      <c r="E5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1" spans="1:6" x14ac:dyDescent="0.35">
      <c r="A5271" s="3">
        <v>97813000293</v>
      </c>
      <c r="B5271" s="3">
        <v>260</v>
      </c>
      <c r="C5271" s="32">
        <v>49306</v>
      </c>
      <c r="D5271" s="32"/>
      <c r="E5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2" spans="1:6" x14ac:dyDescent="0.35">
      <c r="A5272" s="3">
        <v>54376289208</v>
      </c>
      <c r="B5272" s="3">
        <v>40</v>
      </c>
      <c r="C5272" s="32">
        <v>49306</v>
      </c>
      <c r="D5272" s="32" t="s">
        <v>87</v>
      </c>
      <c r="E5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3" spans="1:6" x14ac:dyDescent="0.35">
      <c r="A5273" s="3">
        <v>74741652677</v>
      </c>
      <c r="B5273" s="3">
        <v>290</v>
      </c>
      <c r="C5273" s="32">
        <v>49306</v>
      </c>
      <c r="D5273" s="32" t="s">
        <v>87</v>
      </c>
      <c r="E5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4" spans="1:6" x14ac:dyDescent="0.35">
      <c r="A5274" s="3">
        <v>31883715867</v>
      </c>
      <c r="B5274" s="3">
        <v>315</v>
      </c>
      <c r="C5274" s="32">
        <v>49306</v>
      </c>
      <c r="D5274" s="32" t="s">
        <v>87</v>
      </c>
      <c r="E5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5" spans="1:6" x14ac:dyDescent="0.35">
      <c r="A5275" s="3">
        <v>29242960253</v>
      </c>
      <c r="B5275" s="3">
        <v>25</v>
      </c>
      <c r="C5275" s="32">
        <v>49306</v>
      </c>
      <c r="D5275" s="32">
        <v>49330</v>
      </c>
      <c r="E5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6" spans="1:6" x14ac:dyDescent="0.35">
      <c r="A5276" s="3">
        <v>85040595644</v>
      </c>
      <c r="B5276" s="3">
        <v>245</v>
      </c>
      <c r="C5276" s="32">
        <v>49306</v>
      </c>
      <c r="D5276" s="32">
        <v>49333</v>
      </c>
      <c r="E5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7" spans="1:6" x14ac:dyDescent="0.35">
      <c r="A5277" s="3">
        <v>49604456322</v>
      </c>
      <c r="B5277" s="3">
        <v>217</v>
      </c>
      <c r="C5277" s="32">
        <v>49306</v>
      </c>
      <c r="D5277" s="32">
        <v>49339</v>
      </c>
      <c r="E5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8" spans="1:6" x14ac:dyDescent="0.35">
      <c r="A5278" s="3">
        <v>96285913278</v>
      </c>
      <c r="B5278" s="3">
        <v>290</v>
      </c>
      <c r="C5278" s="32">
        <v>49306</v>
      </c>
      <c r="D5278" s="32" t="s">
        <v>87</v>
      </c>
      <c r="E5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9" spans="1:6" x14ac:dyDescent="0.35">
      <c r="A5279" s="3">
        <v>17246432333</v>
      </c>
      <c r="B5279" s="3">
        <v>263</v>
      </c>
      <c r="C5279" s="32">
        <v>49306</v>
      </c>
      <c r="D5279" s="32" t="s">
        <v>87</v>
      </c>
      <c r="E5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0" spans="1:6" x14ac:dyDescent="0.35">
      <c r="A5280" s="3">
        <v>21072963024</v>
      </c>
      <c r="B5280" s="3">
        <v>319</v>
      </c>
      <c r="C5280" s="32">
        <v>49306</v>
      </c>
      <c r="D5280" s="32" t="s">
        <v>87</v>
      </c>
      <c r="E5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1" spans="1:6" x14ac:dyDescent="0.35">
      <c r="A5281" s="3">
        <v>23238064782</v>
      </c>
      <c r="B5281" s="3">
        <v>141</v>
      </c>
      <c r="C5281" s="32">
        <v>49306</v>
      </c>
      <c r="D5281" s="32" t="s">
        <v>87</v>
      </c>
      <c r="E5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2" spans="1:6" x14ac:dyDescent="0.35">
      <c r="A5282" s="3">
        <v>50188452386</v>
      </c>
      <c r="B5282" s="3">
        <v>142</v>
      </c>
      <c r="C5282" s="32">
        <v>49306</v>
      </c>
      <c r="D5282" s="32"/>
      <c r="E5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3" spans="1:6" x14ac:dyDescent="0.35">
      <c r="A5283" s="3">
        <v>62977211362</v>
      </c>
      <c r="B5283" s="3">
        <v>7</v>
      </c>
      <c r="C5283" s="32">
        <v>49306</v>
      </c>
      <c r="D5283" s="32" t="s">
        <v>87</v>
      </c>
      <c r="E5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4" spans="1:6" x14ac:dyDescent="0.35">
      <c r="A5284" s="3">
        <v>48088930235</v>
      </c>
      <c r="B5284" s="3">
        <v>21</v>
      </c>
      <c r="C5284" s="32">
        <v>49306</v>
      </c>
      <c r="D5284" s="32" t="s">
        <v>87</v>
      </c>
      <c r="E5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5" spans="1:6" x14ac:dyDescent="0.35">
      <c r="A5285" s="3">
        <v>47630689458</v>
      </c>
      <c r="B5285" s="3">
        <v>60</v>
      </c>
      <c r="C5285" s="32">
        <v>49306</v>
      </c>
      <c r="D5285" s="32">
        <v>49313</v>
      </c>
      <c r="E5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86" spans="1:6" x14ac:dyDescent="0.35">
      <c r="A5286" s="3">
        <v>91812691201</v>
      </c>
      <c r="B5286" s="3">
        <v>146</v>
      </c>
      <c r="C5286" s="32">
        <v>49306</v>
      </c>
      <c r="D5286" s="32" t="s">
        <v>87</v>
      </c>
      <c r="E5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7" spans="1:6" x14ac:dyDescent="0.35">
      <c r="A5287" s="3">
        <v>47989648809</v>
      </c>
      <c r="B5287" s="3">
        <v>5</v>
      </c>
      <c r="C5287" s="32">
        <v>49306</v>
      </c>
      <c r="D5287" s="32" t="s">
        <v>87</v>
      </c>
      <c r="E5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8" spans="1:6" x14ac:dyDescent="0.35">
      <c r="A5288" s="3">
        <v>28203898576</v>
      </c>
      <c r="B5288" s="3">
        <v>276</v>
      </c>
      <c r="C5288" s="32">
        <v>49306</v>
      </c>
      <c r="D5288" s="32" t="s">
        <v>87</v>
      </c>
      <c r="E5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9" spans="1:6" x14ac:dyDescent="0.35">
      <c r="A5289" s="3">
        <v>94980296245</v>
      </c>
      <c r="B5289" s="3">
        <v>104</v>
      </c>
      <c r="C5289" s="32">
        <v>49306</v>
      </c>
      <c r="D5289" s="32" t="s">
        <v>87</v>
      </c>
      <c r="E5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0" spans="1:6" x14ac:dyDescent="0.35">
      <c r="A5290" s="3">
        <v>77045446879</v>
      </c>
      <c r="B5290" s="3">
        <v>319</v>
      </c>
      <c r="C5290" s="32">
        <v>49306</v>
      </c>
      <c r="D5290" s="32" t="s">
        <v>87</v>
      </c>
      <c r="E5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1" spans="1:6" x14ac:dyDescent="0.35">
      <c r="A5291" s="3">
        <v>24081426990</v>
      </c>
      <c r="B5291" s="3">
        <v>168</v>
      </c>
      <c r="C5291" s="32">
        <v>49307</v>
      </c>
      <c r="D5291" s="32" t="s">
        <v>87</v>
      </c>
      <c r="E5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2" spans="1:6" x14ac:dyDescent="0.35">
      <c r="A5292" s="3">
        <v>62611159495</v>
      </c>
      <c r="B5292" s="3">
        <v>57</v>
      </c>
      <c r="C5292" s="32">
        <v>49307</v>
      </c>
      <c r="D5292" s="32"/>
      <c r="E5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3" spans="1:6" x14ac:dyDescent="0.35">
      <c r="A5293" s="3">
        <v>49690849038</v>
      </c>
      <c r="B5293" s="3">
        <v>144</v>
      </c>
      <c r="C5293" s="32">
        <v>49307</v>
      </c>
      <c r="D5293" s="32" t="s">
        <v>87</v>
      </c>
      <c r="E5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4" spans="1:6" x14ac:dyDescent="0.35">
      <c r="A5294" s="3">
        <v>46814937459</v>
      </c>
      <c r="B5294" s="3">
        <v>85</v>
      </c>
      <c r="C5294" s="32">
        <v>49307</v>
      </c>
      <c r="D5294" s="32" t="s">
        <v>87</v>
      </c>
      <c r="E5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5" spans="1:6" x14ac:dyDescent="0.35">
      <c r="A5295" s="3">
        <v>87199059184</v>
      </c>
      <c r="B5295" s="3">
        <v>32</v>
      </c>
      <c r="C5295" s="32">
        <v>49307</v>
      </c>
      <c r="D5295" s="32"/>
      <c r="E5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6" spans="1:6" x14ac:dyDescent="0.35">
      <c r="A5296" s="3">
        <v>92409934938</v>
      </c>
      <c r="B5296" s="3">
        <v>56</v>
      </c>
      <c r="C5296" s="32">
        <v>49307</v>
      </c>
      <c r="D5296" s="32" t="s">
        <v>87</v>
      </c>
      <c r="E5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7" spans="1:6" x14ac:dyDescent="0.35">
      <c r="A5297" s="3">
        <v>95089931346</v>
      </c>
      <c r="B5297" s="3">
        <v>189</v>
      </c>
      <c r="C5297" s="32">
        <v>49307</v>
      </c>
      <c r="D5297" s="32"/>
      <c r="E5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8" spans="1:6" x14ac:dyDescent="0.35">
      <c r="A5298" s="3">
        <v>41905243730</v>
      </c>
      <c r="B5298" s="3">
        <v>120</v>
      </c>
      <c r="C5298" s="32">
        <v>49307</v>
      </c>
      <c r="D5298" s="32"/>
      <c r="E5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9" spans="1:6" x14ac:dyDescent="0.35">
      <c r="A5299" s="3">
        <v>39950225810</v>
      </c>
      <c r="B5299" s="3">
        <v>219</v>
      </c>
      <c r="C5299" s="32">
        <v>49307</v>
      </c>
      <c r="D5299" s="32" t="s">
        <v>87</v>
      </c>
      <c r="E5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0" spans="1:6" x14ac:dyDescent="0.35">
      <c r="A5300" s="3">
        <v>60387164509</v>
      </c>
      <c r="B5300" s="3">
        <v>45</v>
      </c>
      <c r="C5300" s="32">
        <v>49307</v>
      </c>
      <c r="D5300" s="32" t="s">
        <v>87</v>
      </c>
      <c r="E5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1" spans="1:6" x14ac:dyDescent="0.35">
      <c r="A5301" s="3">
        <v>94329154576</v>
      </c>
      <c r="B5301" s="3">
        <v>231</v>
      </c>
      <c r="C5301" s="32">
        <v>49307</v>
      </c>
      <c r="D5301" s="32"/>
      <c r="E5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2" spans="1:6" x14ac:dyDescent="0.35">
      <c r="A5302" s="3">
        <v>92233291829</v>
      </c>
      <c r="B5302" s="3">
        <v>276</v>
      </c>
      <c r="C5302" s="32">
        <v>49307</v>
      </c>
      <c r="D5302" s="32" t="s">
        <v>87</v>
      </c>
      <c r="E5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3" spans="1:6" x14ac:dyDescent="0.35">
      <c r="A5303" s="3">
        <v>84227591476</v>
      </c>
      <c r="B5303" s="3">
        <v>60</v>
      </c>
      <c r="C5303" s="32">
        <v>49307</v>
      </c>
      <c r="D5303" s="32" t="s">
        <v>87</v>
      </c>
      <c r="E5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4" spans="1:6" x14ac:dyDescent="0.35">
      <c r="A5304" s="3">
        <v>16018497532</v>
      </c>
      <c r="B5304" s="3">
        <v>93</v>
      </c>
      <c r="C5304" s="32">
        <v>49307</v>
      </c>
      <c r="D5304" s="32"/>
      <c r="E5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5" spans="1:6" x14ac:dyDescent="0.35">
      <c r="A5305" s="3">
        <v>92171007558</v>
      </c>
      <c r="B5305" s="3">
        <v>214</v>
      </c>
      <c r="C5305" s="32">
        <v>49307</v>
      </c>
      <c r="D5305" s="32" t="s">
        <v>87</v>
      </c>
      <c r="E5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6" spans="1:6" x14ac:dyDescent="0.35">
      <c r="A5306" s="3">
        <v>84102292745</v>
      </c>
      <c r="B5306" s="3">
        <v>228</v>
      </c>
      <c r="C5306" s="32">
        <v>49307</v>
      </c>
      <c r="D5306" s="32" t="s">
        <v>87</v>
      </c>
      <c r="E5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7" spans="1:6" x14ac:dyDescent="0.35">
      <c r="A5307" s="3">
        <v>72441567277</v>
      </c>
      <c r="B5307" s="3">
        <v>320</v>
      </c>
      <c r="C5307" s="32">
        <v>49307</v>
      </c>
      <c r="D5307" s="32" t="s">
        <v>87</v>
      </c>
      <c r="E5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8" spans="1:6" x14ac:dyDescent="0.35">
      <c r="A5308" s="3">
        <v>42338283769</v>
      </c>
      <c r="B5308" s="3">
        <v>147</v>
      </c>
      <c r="C5308" s="32">
        <v>49307</v>
      </c>
      <c r="D5308" s="32"/>
      <c r="E5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9" spans="1:6" x14ac:dyDescent="0.35">
      <c r="A5309" s="3">
        <v>40042700960</v>
      </c>
      <c r="B5309" s="3">
        <v>126</v>
      </c>
      <c r="C5309" s="32">
        <v>49307</v>
      </c>
      <c r="D5309" s="32" t="s">
        <v>87</v>
      </c>
      <c r="E5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0" spans="1:6" x14ac:dyDescent="0.35">
      <c r="A5310" s="3">
        <v>71384224482</v>
      </c>
      <c r="B5310" s="3">
        <v>266</v>
      </c>
      <c r="C5310" s="32">
        <v>49307</v>
      </c>
      <c r="D5310" s="32"/>
      <c r="E5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1" spans="1:6" x14ac:dyDescent="0.35">
      <c r="A5311" s="3">
        <v>50087326569</v>
      </c>
      <c r="B5311" s="3">
        <v>22</v>
      </c>
      <c r="C5311" s="32">
        <v>49307</v>
      </c>
      <c r="D5311" s="32" t="s">
        <v>87</v>
      </c>
      <c r="E5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2" spans="1:6" x14ac:dyDescent="0.35">
      <c r="A5312" s="3">
        <v>61019132866</v>
      </c>
      <c r="B5312" s="3">
        <v>63</v>
      </c>
      <c r="C5312" s="32">
        <v>49307</v>
      </c>
      <c r="D5312" s="32" t="s">
        <v>87</v>
      </c>
      <c r="E5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3" spans="1:6" x14ac:dyDescent="0.35">
      <c r="A5313" s="3">
        <v>75362514235</v>
      </c>
      <c r="B5313" s="3">
        <v>304</v>
      </c>
      <c r="C5313" s="32">
        <v>49307</v>
      </c>
      <c r="D5313" s="32" t="s">
        <v>87</v>
      </c>
      <c r="E5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4" spans="1:6" x14ac:dyDescent="0.35">
      <c r="A5314" s="3">
        <v>48902094898</v>
      </c>
      <c r="B5314" s="3">
        <v>55</v>
      </c>
      <c r="C5314" s="32">
        <v>49307</v>
      </c>
      <c r="D5314" s="32" t="s">
        <v>87</v>
      </c>
      <c r="E5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5" spans="1:6" x14ac:dyDescent="0.35">
      <c r="A5315" s="3">
        <v>81520110621</v>
      </c>
      <c r="B5315" s="3">
        <v>176</v>
      </c>
      <c r="C5315" s="32">
        <v>49307</v>
      </c>
      <c r="D5315" s="32">
        <v>49317</v>
      </c>
      <c r="E5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16" spans="1:6" x14ac:dyDescent="0.35">
      <c r="A5316" s="3">
        <v>49088907448</v>
      </c>
      <c r="B5316" s="3">
        <v>113</v>
      </c>
      <c r="C5316" s="32">
        <v>49307</v>
      </c>
      <c r="D5316" s="32" t="s">
        <v>87</v>
      </c>
      <c r="E5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7" spans="1:6" x14ac:dyDescent="0.35">
      <c r="A5317" s="3">
        <v>98626527052</v>
      </c>
      <c r="B5317" s="3">
        <v>264</v>
      </c>
      <c r="C5317" s="32">
        <v>49308</v>
      </c>
      <c r="D5317" s="32" t="s">
        <v>87</v>
      </c>
      <c r="E5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8" spans="1:6" x14ac:dyDescent="0.35">
      <c r="A5318" s="3">
        <v>65602798748</v>
      </c>
      <c r="B5318" s="3">
        <v>25</v>
      </c>
      <c r="C5318" s="32">
        <v>49308</v>
      </c>
      <c r="D5318" s="32" t="s">
        <v>87</v>
      </c>
      <c r="E5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9" spans="1:6" x14ac:dyDescent="0.35">
      <c r="A5319" s="3">
        <v>94863983791</v>
      </c>
      <c r="B5319" s="3">
        <v>142</v>
      </c>
      <c r="C5319" s="32">
        <v>49308</v>
      </c>
      <c r="D5319" s="32" t="s">
        <v>87</v>
      </c>
      <c r="E5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0" spans="1:6" x14ac:dyDescent="0.35">
      <c r="A5320" s="3">
        <v>62343154660</v>
      </c>
      <c r="B5320" s="3">
        <v>61</v>
      </c>
      <c r="C5320" s="32">
        <v>49308</v>
      </c>
      <c r="D5320" s="32" t="s">
        <v>87</v>
      </c>
      <c r="E5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1" spans="1:6" x14ac:dyDescent="0.35">
      <c r="A5321" s="3">
        <v>86362868039</v>
      </c>
      <c r="B5321" s="3">
        <v>204</v>
      </c>
      <c r="C5321" s="32">
        <v>49308</v>
      </c>
      <c r="D5321" s="32" t="s">
        <v>87</v>
      </c>
      <c r="E5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2" spans="1:6" x14ac:dyDescent="0.35">
      <c r="A5322" s="3">
        <v>36602870753</v>
      </c>
      <c r="B5322" s="3">
        <v>118</v>
      </c>
      <c r="C5322" s="32">
        <v>49308</v>
      </c>
      <c r="D5322" s="32">
        <v>49315</v>
      </c>
      <c r="E5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23" spans="1:6" x14ac:dyDescent="0.35">
      <c r="A5323" s="3">
        <v>47021300592</v>
      </c>
      <c r="B5323" s="3">
        <v>15</v>
      </c>
      <c r="C5323" s="32">
        <v>49308</v>
      </c>
      <c r="D5323" s="32" t="s">
        <v>87</v>
      </c>
      <c r="E5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4" spans="1:6" x14ac:dyDescent="0.35">
      <c r="A5324" s="3">
        <v>29046382189</v>
      </c>
      <c r="B5324" s="3">
        <v>154</v>
      </c>
      <c r="C5324" s="32">
        <v>49308</v>
      </c>
      <c r="D5324" s="32" t="s">
        <v>87</v>
      </c>
      <c r="E5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5" spans="1:6" x14ac:dyDescent="0.35">
      <c r="A5325" s="3">
        <v>55160120115</v>
      </c>
      <c r="B5325" s="3">
        <v>205</v>
      </c>
      <c r="C5325" s="32">
        <v>49308</v>
      </c>
      <c r="D5325" s="32" t="s">
        <v>87</v>
      </c>
      <c r="E5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6" spans="1:6" x14ac:dyDescent="0.35">
      <c r="A5326" s="3">
        <v>71618594395</v>
      </c>
      <c r="B5326" s="3">
        <v>223</v>
      </c>
      <c r="C5326" s="32">
        <v>49308</v>
      </c>
      <c r="D5326" s="32" t="s">
        <v>87</v>
      </c>
      <c r="E5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7" spans="1:6" x14ac:dyDescent="0.35">
      <c r="A5327" s="3">
        <v>13116208817</v>
      </c>
      <c r="B5327" s="3">
        <v>247</v>
      </c>
      <c r="C5327" s="32">
        <v>49308</v>
      </c>
      <c r="D5327" s="32">
        <v>49315</v>
      </c>
      <c r="E5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28" spans="1:6" x14ac:dyDescent="0.35">
      <c r="A5328" s="3">
        <v>44358437355</v>
      </c>
      <c r="B5328" s="3">
        <v>162</v>
      </c>
      <c r="C5328" s="32">
        <v>49308</v>
      </c>
      <c r="D5328" s="32" t="s">
        <v>87</v>
      </c>
      <c r="E5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9" spans="1:6" x14ac:dyDescent="0.35">
      <c r="A5329" s="3">
        <v>14595821409</v>
      </c>
      <c r="B5329" s="3">
        <v>236</v>
      </c>
      <c r="C5329" s="32">
        <v>49308</v>
      </c>
      <c r="D5329" s="32" t="s">
        <v>87</v>
      </c>
      <c r="E5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0" spans="1:6" x14ac:dyDescent="0.35">
      <c r="A5330" s="3">
        <v>96642308242</v>
      </c>
      <c r="B5330" s="3">
        <v>276</v>
      </c>
      <c r="C5330" s="32">
        <v>49308</v>
      </c>
      <c r="D5330" s="32" t="s">
        <v>87</v>
      </c>
      <c r="E5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1" spans="1:6" x14ac:dyDescent="0.35">
      <c r="A5331" s="3">
        <v>51535786717</v>
      </c>
      <c r="B5331" s="3">
        <v>95</v>
      </c>
      <c r="C5331" s="32">
        <v>49308</v>
      </c>
      <c r="D5331" s="32" t="s">
        <v>87</v>
      </c>
      <c r="E5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2" spans="1:6" x14ac:dyDescent="0.35">
      <c r="A5332" s="3">
        <v>14084278544</v>
      </c>
      <c r="B5332" s="3">
        <v>259</v>
      </c>
      <c r="C5332" s="32">
        <v>49308</v>
      </c>
      <c r="D5332" s="32" t="s">
        <v>87</v>
      </c>
      <c r="E5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3" spans="1:6" x14ac:dyDescent="0.35">
      <c r="A5333" s="3">
        <v>55969449130</v>
      </c>
      <c r="B5333" s="3">
        <v>231</v>
      </c>
      <c r="C5333" s="32">
        <v>49308</v>
      </c>
      <c r="D5333" s="32" t="s">
        <v>87</v>
      </c>
      <c r="E5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4" spans="1:6" x14ac:dyDescent="0.35">
      <c r="A5334" s="3">
        <v>96109464167</v>
      </c>
      <c r="B5334" s="3">
        <v>95</v>
      </c>
      <c r="C5334" s="32">
        <v>49308</v>
      </c>
      <c r="D5334" s="32" t="s">
        <v>87</v>
      </c>
      <c r="E5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5" spans="1:6" x14ac:dyDescent="0.35">
      <c r="A5335" s="3">
        <v>62277358072</v>
      </c>
      <c r="B5335" s="3">
        <v>6</v>
      </c>
      <c r="C5335" s="32">
        <v>49308</v>
      </c>
      <c r="D5335" s="32" t="s">
        <v>87</v>
      </c>
      <c r="E5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6" spans="1:6" x14ac:dyDescent="0.35">
      <c r="A5336" s="3">
        <v>23834098693</v>
      </c>
      <c r="B5336" s="3">
        <v>143</v>
      </c>
      <c r="C5336" s="32">
        <v>49308</v>
      </c>
      <c r="D5336" s="32"/>
      <c r="E5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7" spans="1:6" x14ac:dyDescent="0.35">
      <c r="A5337" s="3">
        <v>81018746250</v>
      </c>
      <c r="B5337" s="3">
        <v>318</v>
      </c>
      <c r="C5337" s="32">
        <v>49308</v>
      </c>
      <c r="D5337" s="32" t="s">
        <v>87</v>
      </c>
      <c r="E5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8" spans="1:6" x14ac:dyDescent="0.35">
      <c r="A5338" s="3">
        <v>63780995588</v>
      </c>
      <c r="B5338" s="3">
        <v>263</v>
      </c>
      <c r="C5338" s="32">
        <v>49308</v>
      </c>
      <c r="D5338" s="32" t="s">
        <v>87</v>
      </c>
      <c r="E5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9" spans="1:6" x14ac:dyDescent="0.35">
      <c r="A5339" s="3">
        <v>26637319457</v>
      </c>
      <c r="B5339" s="3">
        <v>179</v>
      </c>
      <c r="C5339" s="32">
        <v>49308</v>
      </c>
      <c r="D5339" s="32" t="s">
        <v>87</v>
      </c>
      <c r="E5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0" spans="1:6" x14ac:dyDescent="0.35">
      <c r="A5340" s="3">
        <v>99066350204</v>
      </c>
      <c r="B5340" s="3">
        <v>9</v>
      </c>
      <c r="C5340" s="32">
        <v>49309</v>
      </c>
      <c r="D5340" s="32" t="s">
        <v>87</v>
      </c>
      <c r="E5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1" spans="1:6" x14ac:dyDescent="0.35">
      <c r="A5341" s="3">
        <v>63000008080</v>
      </c>
      <c r="B5341" s="3">
        <v>64</v>
      </c>
      <c r="C5341" s="32">
        <v>49309</v>
      </c>
      <c r="D5341" s="32"/>
      <c r="E5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2" spans="1:6" x14ac:dyDescent="0.35">
      <c r="A5342" s="3">
        <v>75178545978</v>
      </c>
      <c r="B5342" s="3">
        <v>306</v>
      </c>
      <c r="C5342" s="32">
        <v>49309</v>
      </c>
      <c r="D5342" s="32">
        <v>49317</v>
      </c>
      <c r="E5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43" spans="1:6" x14ac:dyDescent="0.35">
      <c r="A5343" s="3">
        <v>48548277101</v>
      </c>
      <c r="B5343" s="3">
        <v>13</v>
      </c>
      <c r="C5343" s="32">
        <v>49309</v>
      </c>
      <c r="D5343" s="32"/>
      <c r="E5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4" spans="1:6" x14ac:dyDescent="0.35">
      <c r="A5344" s="3">
        <v>78766924561</v>
      </c>
      <c r="B5344" s="3">
        <v>149</v>
      </c>
      <c r="C5344" s="32">
        <v>49309</v>
      </c>
      <c r="D5344" s="32"/>
      <c r="E5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5" spans="1:6" x14ac:dyDescent="0.35">
      <c r="A5345" s="3">
        <v>28732811825</v>
      </c>
      <c r="B5345" s="3">
        <v>107</v>
      </c>
      <c r="C5345" s="32">
        <v>49309</v>
      </c>
      <c r="D5345" s="32"/>
      <c r="E5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6" spans="1:6" x14ac:dyDescent="0.35">
      <c r="A5346" s="3">
        <v>38309389384</v>
      </c>
      <c r="B5346" s="3">
        <v>110</v>
      </c>
      <c r="C5346" s="32">
        <v>49309</v>
      </c>
      <c r="D5346" s="32" t="s">
        <v>87</v>
      </c>
      <c r="E5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7" spans="1:6" x14ac:dyDescent="0.35">
      <c r="A5347" s="3">
        <v>58854119123</v>
      </c>
      <c r="B5347" s="3">
        <v>288</v>
      </c>
      <c r="C5347" s="32">
        <v>49309</v>
      </c>
      <c r="D5347" s="32" t="s">
        <v>87</v>
      </c>
      <c r="E5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8" spans="1:6" x14ac:dyDescent="0.35">
      <c r="A5348" s="3">
        <v>11577844194</v>
      </c>
      <c r="B5348" s="3">
        <v>326</v>
      </c>
      <c r="C5348" s="32">
        <v>49309</v>
      </c>
      <c r="D5348" s="32"/>
      <c r="E5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9" spans="1:6" x14ac:dyDescent="0.35">
      <c r="A5349" s="3">
        <v>12359969317</v>
      </c>
      <c r="B5349" s="3">
        <v>228</v>
      </c>
      <c r="C5349" s="32">
        <v>49309</v>
      </c>
      <c r="D5349" s="32" t="s">
        <v>87</v>
      </c>
      <c r="E5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0" spans="1:6" x14ac:dyDescent="0.35">
      <c r="A5350" s="3">
        <v>90928034919</v>
      </c>
      <c r="B5350" s="3">
        <v>22</v>
      </c>
      <c r="C5350" s="32">
        <v>49309</v>
      </c>
      <c r="D5350" s="32" t="s">
        <v>87</v>
      </c>
      <c r="E5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1" spans="1:6" x14ac:dyDescent="0.35">
      <c r="A5351" s="3">
        <v>19915832397</v>
      </c>
      <c r="B5351" s="3">
        <v>133</v>
      </c>
      <c r="C5351" s="32">
        <v>49309</v>
      </c>
      <c r="D5351" s="32" t="s">
        <v>87</v>
      </c>
      <c r="E5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2" spans="1:6" x14ac:dyDescent="0.35">
      <c r="A5352" s="3">
        <v>53532225658</v>
      </c>
      <c r="B5352" s="3">
        <v>200</v>
      </c>
      <c r="C5352" s="32">
        <v>49309</v>
      </c>
      <c r="D5352" s="32"/>
      <c r="E5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3" spans="1:6" x14ac:dyDescent="0.35">
      <c r="A5353" s="3">
        <v>47695737386</v>
      </c>
      <c r="B5353" s="3">
        <v>81</v>
      </c>
      <c r="C5353" s="32">
        <v>49309</v>
      </c>
      <c r="D5353" s="32" t="s">
        <v>87</v>
      </c>
      <c r="E5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4" spans="1:6" x14ac:dyDescent="0.35">
      <c r="A5354" s="3">
        <v>56021076631</v>
      </c>
      <c r="B5354" s="3">
        <v>239</v>
      </c>
      <c r="C5354" s="32">
        <v>49309</v>
      </c>
      <c r="D5354" s="32" t="s">
        <v>87</v>
      </c>
      <c r="E5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5" spans="1:6" x14ac:dyDescent="0.35">
      <c r="A5355" s="3">
        <v>21202205551</v>
      </c>
      <c r="B5355" s="3">
        <v>267</v>
      </c>
      <c r="C5355" s="32">
        <v>49309</v>
      </c>
      <c r="D5355" s="32" t="s">
        <v>87</v>
      </c>
      <c r="E5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6" spans="1:6" x14ac:dyDescent="0.35">
      <c r="A5356" s="3">
        <v>32813291288</v>
      </c>
      <c r="B5356" s="3">
        <v>264</v>
      </c>
      <c r="C5356" s="32">
        <v>49309</v>
      </c>
      <c r="D5356" s="32" t="s">
        <v>87</v>
      </c>
      <c r="E5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7" spans="1:6" x14ac:dyDescent="0.35">
      <c r="A5357" s="3">
        <v>45572022636</v>
      </c>
      <c r="B5357" s="3">
        <v>22</v>
      </c>
      <c r="C5357" s="32">
        <v>49309</v>
      </c>
      <c r="D5357" s="32">
        <v>49338</v>
      </c>
      <c r="E5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58" spans="1:6" x14ac:dyDescent="0.35">
      <c r="A5358" s="3">
        <v>55179430940</v>
      </c>
      <c r="B5358" s="3">
        <v>157</v>
      </c>
      <c r="C5358" s="32">
        <v>49309</v>
      </c>
      <c r="D5358" s="32" t="s">
        <v>87</v>
      </c>
      <c r="E5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9" spans="1:6" x14ac:dyDescent="0.35">
      <c r="A5359" s="3">
        <v>92016852575</v>
      </c>
      <c r="B5359" s="3">
        <v>184</v>
      </c>
      <c r="C5359" s="32">
        <v>49309</v>
      </c>
      <c r="D5359" s="32" t="s">
        <v>87</v>
      </c>
      <c r="E5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0" spans="1:6" x14ac:dyDescent="0.35">
      <c r="A5360" s="3">
        <v>15032203584</v>
      </c>
      <c r="B5360" s="3">
        <v>19</v>
      </c>
      <c r="C5360" s="32">
        <v>49309</v>
      </c>
      <c r="D5360" s="32" t="s">
        <v>87</v>
      </c>
      <c r="E5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1" spans="1:6" x14ac:dyDescent="0.35">
      <c r="A5361" s="3">
        <v>93990018834</v>
      </c>
      <c r="B5361" s="3">
        <v>42</v>
      </c>
      <c r="C5361" s="32">
        <v>49309</v>
      </c>
      <c r="D5361" s="32" t="s">
        <v>87</v>
      </c>
      <c r="E5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2" spans="1:6" x14ac:dyDescent="0.35">
      <c r="A5362" s="3">
        <v>80667468318</v>
      </c>
      <c r="B5362" s="3">
        <v>253</v>
      </c>
      <c r="C5362" s="32">
        <v>49309</v>
      </c>
      <c r="D5362" s="32"/>
      <c r="E5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3" spans="1:6" x14ac:dyDescent="0.35">
      <c r="A5363" s="3">
        <v>76936879122</v>
      </c>
      <c r="B5363" s="3">
        <v>325</v>
      </c>
      <c r="C5363" s="32">
        <v>49309</v>
      </c>
      <c r="D5363" s="32" t="s">
        <v>87</v>
      </c>
      <c r="E5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4" spans="1:6" x14ac:dyDescent="0.35">
      <c r="A5364" s="3">
        <v>55389039174</v>
      </c>
      <c r="B5364" s="3">
        <v>231</v>
      </c>
      <c r="C5364" s="32">
        <v>49309</v>
      </c>
      <c r="D5364" s="32" t="s">
        <v>87</v>
      </c>
      <c r="E5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5" spans="1:6" x14ac:dyDescent="0.35">
      <c r="A5365" s="3">
        <v>45222195678</v>
      </c>
      <c r="B5365" s="3">
        <v>48</v>
      </c>
      <c r="C5365" s="32">
        <v>49309</v>
      </c>
      <c r="D5365" s="32" t="s">
        <v>87</v>
      </c>
      <c r="E5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6" spans="1:6" x14ac:dyDescent="0.35">
      <c r="A5366" s="3">
        <v>95497574674</v>
      </c>
      <c r="B5366" s="3">
        <v>331</v>
      </c>
      <c r="C5366" s="32">
        <v>49309</v>
      </c>
      <c r="D5366" s="32" t="s">
        <v>87</v>
      </c>
      <c r="E5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7" spans="1:6" x14ac:dyDescent="0.35">
      <c r="A5367" s="3">
        <v>81965039930</v>
      </c>
      <c r="B5367" s="3">
        <v>156</v>
      </c>
      <c r="C5367" s="32">
        <v>49310</v>
      </c>
      <c r="D5367" s="32" t="s">
        <v>87</v>
      </c>
      <c r="E5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8" spans="1:6" x14ac:dyDescent="0.35">
      <c r="A5368" s="3">
        <v>62954525738</v>
      </c>
      <c r="B5368" s="3">
        <v>292</v>
      </c>
      <c r="C5368" s="32">
        <v>49310</v>
      </c>
      <c r="D5368" s="32" t="s">
        <v>87</v>
      </c>
      <c r="E5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9" spans="1:6" x14ac:dyDescent="0.35">
      <c r="A5369" s="3">
        <v>80144036637</v>
      </c>
      <c r="B5369" s="3">
        <v>338</v>
      </c>
      <c r="C5369" s="32">
        <v>49310</v>
      </c>
      <c r="D5369" s="32" t="s">
        <v>87</v>
      </c>
      <c r="E5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0" spans="1:6" x14ac:dyDescent="0.35">
      <c r="A5370" s="3">
        <v>15562152949</v>
      </c>
      <c r="B5370" s="3">
        <v>29</v>
      </c>
      <c r="C5370" s="32">
        <v>49310</v>
      </c>
      <c r="D5370" s="32" t="s">
        <v>87</v>
      </c>
      <c r="E5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1" spans="1:6" x14ac:dyDescent="0.35">
      <c r="A5371" s="3">
        <v>43939603585</v>
      </c>
      <c r="B5371" s="3">
        <v>242</v>
      </c>
      <c r="C5371" s="32">
        <v>49310</v>
      </c>
      <c r="D5371" s="32" t="s">
        <v>87</v>
      </c>
      <c r="E5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2" spans="1:6" x14ac:dyDescent="0.35">
      <c r="A5372" s="3">
        <v>12131724111</v>
      </c>
      <c r="B5372" s="3">
        <v>27</v>
      </c>
      <c r="C5372" s="32">
        <v>49310</v>
      </c>
      <c r="D5372" s="32" t="s">
        <v>87</v>
      </c>
      <c r="E5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3" spans="1:6" x14ac:dyDescent="0.35">
      <c r="A5373" s="3">
        <v>96358796672</v>
      </c>
      <c r="B5373" s="3">
        <v>311</v>
      </c>
      <c r="C5373" s="32">
        <v>49310</v>
      </c>
      <c r="D5373" s="32">
        <v>49340</v>
      </c>
      <c r="E5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74" spans="1:6" x14ac:dyDescent="0.35">
      <c r="A5374" s="3">
        <v>28511638210</v>
      </c>
      <c r="B5374" s="3">
        <v>105</v>
      </c>
      <c r="C5374" s="32">
        <v>49310</v>
      </c>
      <c r="D5374" s="32"/>
      <c r="E5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5" spans="1:6" x14ac:dyDescent="0.35">
      <c r="A5375" s="3">
        <v>23953325743</v>
      </c>
      <c r="B5375" s="3">
        <v>79</v>
      </c>
      <c r="C5375" s="32">
        <v>49310</v>
      </c>
      <c r="D5375" s="32" t="s">
        <v>87</v>
      </c>
      <c r="E5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6" spans="1:6" x14ac:dyDescent="0.35">
      <c r="A5376" s="3">
        <v>74502827622</v>
      </c>
      <c r="B5376" s="3">
        <v>334</v>
      </c>
      <c r="C5376" s="32">
        <v>49310</v>
      </c>
      <c r="D5376" s="32"/>
      <c r="E5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7" spans="1:6" x14ac:dyDescent="0.35">
      <c r="A5377" s="3">
        <v>99206072996</v>
      </c>
      <c r="B5377" s="3">
        <v>154</v>
      </c>
      <c r="C5377" s="32">
        <v>49310</v>
      </c>
      <c r="D5377" s="32"/>
      <c r="E5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8" spans="1:6" x14ac:dyDescent="0.35">
      <c r="A5378" s="3">
        <v>66934320425</v>
      </c>
      <c r="B5378" s="3">
        <v>217</v>
      </c>
      <c r="C5378" s="32">
        <v>49310</v>
      </c>
      <c r="D5378" s="32" t="s">
        <v>87</v>
      </c>
      <c r="E5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9" spans="1:6" x14ac:dyDescent="0.35">
      <c r="A5379" s="3">
        <v>11537167361</v>
      </c>
      <c r="B5379" s="3">
        <v>180</v>
      </c>
      <c r="C5379" s="32">
        <v>49310</v>
      </c>
      <c r="D5379" s="32" t="s">
        <v>87</v>
      </c>
      <c r="E5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0" spans="1:6" x14ac:dyDescent="0.35">
      <c r="A5380" s="3">
        <v>98944207737</v>
      </c>
      <c r="B5380" s="3">
        <v>224</v>
      </c>
      <c r="C5380" s="32">
        <v>49310</v>
      </c>
      <c r="D5380" s="32" t="s">
        <v>87</v>
      </c>
      <c r="E5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1" spans="1:6" x14ac:dyDescent="0.35">
      <c r="A5381" s="3">
        <v>71733818813</v>
      </c>
      <c r="B5381" s="3">
        <v>2</v>
      </c>
      <c r="C5381" s="32">
        <v>49310</v>
      </c>
      <c r="D5381" s="32" t="s">
        <v>87</v>
      </c>
      <c r="E5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2" spans="1:6" x14ac:dyDescent="0.35">
      <c r="A5382" s="3">
        <v>61786540499</v>
      </c>
      <c r="B5382" s="3">
        <v>141</v>
      </c>
      <c r="C5382" s="32">
        <v>49310</v>
      </c>
      <c r="D5382" s="32" t="s">
        <v>87</v>
      </c>
      <c r="E5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3" spans="1:6" x14ac:dyDescent="0.35">
      <c r="A5383" s="3">
        <v>26495649262</v>
      </c>
      <c r="B5383" s="3">
        <v>34</v>
      </c>
      <c r="C5383" s="32">
        <v>49310</v>
      </c>
      <c r="D5383" s="32" t="s">
        <v>87</v>
      </c>
      <c r="E5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4" spans="1:6" x14ac:dyDescent="0.35">
      <c r="A5384" s="3">
        <v>97825599767</v>
      </c>
      <c r="B5384" s="3">
        <v>29</v>
      </c>
      <c r="C5384" s="32">
        <v>49310</v>
      </c>
      <c r="D5384" s="32" t="s">
        <v>87</v>
      </c>
      <c r="E5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5" spans="1:6" x14ac:dyDescent="0.35">
      <c r="A5385" s="3">
        <v>36565381918</v>
      </c>
      <c r="B5385" s="3">
        <v>143</v>
      </c>
      <c r="C5385" s="32">
        <v>49310</v>
      </c>
      <c r="D5385" s="32" t="s">
        <v>87</v>
      </c>
      <c r="E5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6" spans="1:6" x14ac:dyDescent="0.35">
      <c r="A5386" s="3">
        <v>61436966901</v>
      </c>
      <c r="B5386" s="3">
        <v>150</v>
      </c>
      <c r="C5386" s="32">
        <v>49310</v>
      </c>
      <c r="D5386" s="32" t="s">
        <v>87</v>
      </c>
      <c r="E5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7" spans="1:6" x14ac:dyDescent="0.35">
      <c r="A5387" s="3">
        <v>74341893827</v>
      </c>
      <c r="B5387" s="3">
        <v>288</v>
      </c>
      <c r="C5387" s="32">
        <v>49310</v>
      </c>
      <c r="D5387" s="32" t="s">
        <v>87</v>
      </c>
      <c r="E5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8" spans="1:6" x14ac:dyDescent="0.35">
      <c r="A5388" s="3">
        <v>20858432674</v>
      </c>
      <c r="B5388" s="3">
        <v>67</v>
      </c>
      <c r="C5388" s="32">
        <v>49310</v>
      </c>
      <c r="D5388" s="32"/>
      <c r="E5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9" spans="1:6" x14ac:dyDescent="0.35">
      <c r="A5389" s="3">
        <v>99106450867</v>
      </c>
      <c r="B5389" s="3">
        <v>53</v>
      </c>
      <c r="C5389" s="32">
        <v>49310</v>
      </c>
      <c r="D5389" s="32" t="s">
        <v>87</v>
      </c>
      <c r="E5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0" spans="1:6" x14ac:dyDescent="0.35">
      <c r="A5390" s="3">
        <v>60604926661</v>
      </c>
      <c r="B5390" s="3">
        <v>272</v>
      </c>
      <c r="C5390" s="32">
        <v>49310</v>
      </c>
      <c r="D5390" s="32" t="s">
        <v>87</v>
      </c>
      <c r="E5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1" spans="1:6" x14ac:dyDescent="0.35">
      <c r="A5391" s="3">
        <v>14050111046</v>
      </c>
      <c r="B5391" s="3">
        <v>37</v>
      </c>
      <c r="C5391" s="32">
        <v>49310</v>
      </c>
      <c r="D5391" s="32"/>
      <c r="E5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2" spans="1:6" x14ac:dyDescent="0.35">
      <c r="A5392" s="3">
        <v>65712909977</v>
      </c>
      <c r="B5392" s="3">
        <v>30</v>
      </c>
      <c r="C5392" s="32">
        <v>49310</v>
      </c>
      <c r="D5392" s="32" t="s">
        <v>87</v>
      </c>
      <c r="E5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3" spans="1:6" x14ac:dyDescent="0.35">
      <c r="A5393" s="3">
        <v>24323940145</v>
      </c>
      <c r="B5393" s="3">
        <v>151</v>
      </c>
      <c r="C5393" s="32">
        <v>49310</v>
      </c>
      <c r="D5393" s="32" t="s">
        <v>87</v>
      </c>
      <c r="E5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4" spans="1:6" x14ac:dyDescent="0.35">
      <c r="A5394" s="3">
        <v>18577042093</v>
      </c>
      <c r="B5394" s="3">
        <v>255</v>
      </c>
      <c r="C5394" s="32">
        <v>49310</v>
      </c>
      <c r="D5394" s="32" t="s">
        <v>87</v>
      </c>
      <c r="E5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5" spans="1:6" x14ac:dyDescent="0.35">
      <c r="A5395" s="3">
        <v>55747396659</v>
      </c>
      <c r="B5395" s="3">
        <v>34</v>
      </c>
      <c r="C5395" s="32">
        <v>49311</v>
      </c>
      <c r="D5395" s="32" t="s">
        <v>87</v>
      </c>
      <c r="E5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6" spans="1:6" x14ac:dyDescent="0.35">
      <c r="A5396" s="3">
        <v>27555999077</v>
      </c>
      <c r="B5396" s="3">
        <v>278</v>
      </c>
      <c r="C5396" s="32">
        <v>49311</v>
      </c>
      <c r="D5396" s="32" t="s">
        <v>87</v>
      </c>
      <c r="E5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7" spans="1:6" x14ac:dyDescent="0.35">
      <c r="A5397" s="3">
        <v>60467791901</v>
      </c>
      <c r="B5397" s="3">
        <v>153</v>
      </c>
      <c r="C5397" s="32">
        <v>49311</v>
      </c>
      <c r="D5397" s="32"/>
      <c r="E5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8" spans="1:6" x14ac:dyDescent="0.35">
      <c r="A5398" s="3">
        <v>85500046173</v>
      </c>
      <c r="B5398" s="3">
        <v>279</v>
      </c>
      <c r="C5398" s="32">
        <v>49311</v>
      </c>
      <c r="D5398" s="32" t="s">
        <v>87</v>
      </c>
      <c r="E5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9" spans="1:6" x14ac:dyDescent="0.35">
      <c r="A5399" s="3">
        <v>64491512183</v>
      </c>
      <c r="B5399" s="3">
        <v>166</v>
      </c>
      <c r="C5399" s="32">
        <v>49311</v>
      </c>
      <c r="D5399" s="32" t="s">
        <v>87</v>
      </c>
      <c r="E5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0" spans="1:6" x14ac:dyDescent="0.35">
      <c r="A5400" s="3">
        <v>63106682545</v>
      </c>
      <c r="B5400" s="3">
        <v>10</v>
      </c>
      <c r="C5400" s="32">
        <v>49311</v>
      </c>
      <c r="D5400" s="32"/>
      <c r="E5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1" spans="1:6" x14ac:dyDescent="0.35">
      <c r="A5401" s="3">
        <v>71584702847</v>
      </c>
      <c r="B5401" s="3">
        <v>272</v>
      </c>
      <c r="C5401" s="32">
        <v>49311</v>
      </c>
      <c r="D5401" s="32" t="s">
        <v>87</v>
      </c>
      <c r="E5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2" spans="1:6" x14ac:dyDescent="0.35">
      <c r="A5402" s="3">
        <v>66095526882</v>
      </c>
      <c r="B5402" s="3">
        <v>27</v>
      </c>
      <c r="C5402" s="32">
        <v>49311</v>
      </c>
      <c r="D5402" s="32" t="s">
        <v>87</v>
      </c>
      <c r="E5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3" spans="1:6" x14ac:dyDescent="0.35">
      <c r="A5403" s="3">
        <v>43981943209</v>
      </c>
      <c r="B5403" s="3">
        <v>327</v>
      </c>
      <c r="C5403" s="32">
        <v>49311</v>
      </c>
      <c r="D5403" s="32" t="s">
        <v>87</v>
      </c>
      <c r="E5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4" spans="1:6" x14ac:dyDescent="0.35">
      <c r="A5404" s="3">
        <v>64307745248</v>
      </c>
      <c r="B5404" s="3">
        <v>126</v>
      </c>
      <c r="C5404" s="32">
        <v>49311</v>
      </c>
      <c r="D5404" s="32" t="s">
        <v>87</v>
      </c>
      <c r="E5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5" spans="1:6" x14ac:dyDescent="0.35">
      <c r="A5405" s="3">
        <v>67848850957</v>
      </c>
      <c r="B5405" s="3">
        <v>315</v>
      </c>
      <c r="C5405" s="32">
        <v>49311</v>
      </c>
      <c r="D5405" s="32" t="s">
        <v>87</v>
      </c>
      <c r="E5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6" spans="1:6" x14ac:dyDescent="0.35">
      <c r="A5406" s="3">
        <v>18963917017</v>
      </c>
      <c r="B5406" s="3">
        <v>296</v>
      </c>
      <c r="C5406" s="32">
        <v>49311</v>
      </c>
      <c r="D5406" s="32"/>
      <c r="E5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7" spans="1:6" x14ac:dyDescent="0.35">
      <c r="A5407" s="3">
        <v>42116038903</v>
      </c>
      <c r="B5407" s="3">
        <v>114</v>
      </c>
      <c r="C5407" s="32">
        <v>49311</v>
      </c>
      <c r="D5407" s="32">
        <v>49341</v>
      </c>
      <c r="E5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408" spans="1:6" x14ac:dyDescent="0.35">
      <c r="A5408" s="3">
        <v>58447868518</v>
      </c>
      <c r="B5408" s="3">
        <v>268</v>
      </c>
      <c r="C5408" s="32">
        <v>49311</v>
      </c>
      <c r="D5408" s="32" t="s">
        <v>87</v>
      </c>
      <c r="E5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9" spans="1:6" x14ac:dyDescent="0.35">
      <c r="A5409" s="3">
        <v>12027806844</v>
      </c>
      <c r="B5409" s="3">
        <v>17</v>
      </c>
      <c r="C5409" s="32">
        <v>49311</v>
      </c>
      <c r="D5409" s="32" t="s">
        <v>87</v>
      </c>
      <c r="E5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0" spans="1:6" x14ac:dyDescent="0.35">
      <c r="A5410" s="3">
        <v>91592998172</v>
      </c>
      <c r="B5410" s="3">
        <v>38</v>
      </c>
      <c r="C5410" s="32">
        <v>49311</v>
      </c>
      <c r="D5410" s="32" t="s">
        <v>87</v>
      </c>
      <c r="E5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1" spans="1:6" x14ac:dyDescent="0.35">
      <c r="A5411" s="3">
        <v>85840454165</v>
      </c>
      <c r="B5411" s="3">
        <v>167</v>
      </c>
      <c r="C5411" s="32">
        <v>49311</v>
      </c>
      <c r="D5411" s="32" t="s">
        <v>87</v>
      </c>
      <c r="E5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2" spans="1:6" x14ac:dyDescent="0.35">
      <c r="A5412" s="3">
        <v>37113690395</v>
      </c>
      <c r="B5412" s="3">
        <v>316</v>
      </c>
      <c r="C5412" s="32">
        <v>49311</v>
      </c>
      <c r="D5412" s="32" t="s">
        <v>87</v>
      </c>
      <c r="E5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3" spans="1:6" x14ac:dyDescent="0.35">
      <c r="A5413" s="3">
        <v>73774671839</v>
      </c>
      <c r="B5413" s="3">
        <v>194</v>
      </c>
      <c r="C5413" s="32">
        <v>49311</v>
      </c>
      <c r="D5413" s="32" t="s">
        <v>87</v>
      </c>
      <c r="E5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4" spans="1:6" x14ac:dyDescent="0.35">
      <c r="A5414" s="3">
        <v>66051610320</v>
      </c>
      <c r="B5414" s="3">
        <v>121</v>
      </c>
      <c r="C5414" s="32">
        <v>49311</v>
      </c>
      <c r="D5414" s="32" t="s">
        <v>87</v>
      </c>
      <c r="E5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5" spans="1:6" x14ac:dyDescent="0.35">
      <c r="A5415" s="3">
        <v>50794555588</v>
      </c>
      <c r="B5415" s="3">
        <v>154</v>
      </c>
      <c r="C5415" s="32">
        <v>49311</v>
      </c>
      <c r="D5415" s="32" t="s">
        <v>87</v>
      </c>
      <c r="E5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6" spans="1:6" x14ac:dyDescent="0.35">
      <c r="A5416" s="3">
        <v>20495140546</v>
      </c>
      <c r="B5416" s="3">
        <v>41</v>
      </c>
      <c r="C5416" s="32">
        <v>49311</v>
      </c>
      <c r="D5416" s="32">
        <v>49326</v>
      </c>
      <c r="E5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17" spans="1:6" x14ac:dyDescent="0.35">
      <c r="A5417" s="3">
        <v>60096973932</v>
      </c>
      <c r="B5417" s="3">
        <v>11</v>
      </c>
      <c r="C5417" s="32">
        <v>49311</v>
      </c>
      <c r="D5417" s="32" t="s">
        <v>87</v>
      </c>
      <c r="E5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8" spans="1:6" x14ac:dyDescent="0.35">
      <c r="A5418" s="3">
        <v>11775025360</v>
      </c>
      <c r="B5418" s="3">
        <v>312</v>
      </c>
      <c r="C5418" s="32">
        <v>49311</v>
      </c>
      <c r="D5418" s="32" t="s">
        <v>87</v>
      </c>
      <c r="E5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9" spans="1:6" x14ac:dyDescent="0.35">
      <c r="A5419" s="3">
        <v>96011546611</v>
      </c>
      <c r="B5419" s="3">
        <v>16</v>
      </c>
      <c r="C5419" s="32">
        <v>49311</v>
      </c>
      <c r="D5419" s="32"/>
      <c r="E5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0" spans="1:6" x14ac:dyDescent="0.35">
      <c r="A5420" s="3">
        <v>54408602840</v>
      </c>
      <c r="B5420" s="3">
        <v>148</v>
      </c>
      <c r="C5420" s="32">
        <v>49311</v>
      </c>
      <c r="D5420" s="32"/>
      <c r="E5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1" spans="1:6" x14ac:dyDescent="0.35">
      <c r="A5421" s="3">
        <v>71600502836</v>
      </c>
      <c r="B5421" s="3">
        <v>220</v>
      </c>
      <c r="C5421" s="32">
        <v>49311</v>
      </c>
      <c r="D5421" s="32" t="s">
        <v>87</v>
      </c>
      <c r="E5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2" spans="1:6" x14ac:dyDescent="0.35">
      <c r="A5422" s="3">
        <v>86782400072</v>
      </c>
      <c r="B5422" s="3">
        <v>132</v>
      </c>
      <c r="C5422" s="32">
        <v>49311</v>
      </c>
      <c r="D5422" s="32" t="s">
        <v>87</v>
      </c>
      <c r="E5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3" spans="1:6" x14ac:dyDescent="0.35">
      <c r="A5423" s="3">
        <v>94547017166</v>
      </c>
      <c r="B5423" s="3">
        <v>165</v>
      </c>
      <c r="C5423" s="32">
        <v>49311</v>
      </c>
      <c r="D5423" s="32"/>
      <c r="E5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4" spans="1:6" x14ac:dyDescent="0.35">
      <c r="A5424" s="3">
        <v>16408939922</v>
      </c>
      <c r="B5424" s="3">
        <v>111</v>
      </c>
      <c r="C5424" s="32">
        <v>49312</v>
      </c>
      <c r="D5424" s="32" t="s">
        <v>87</v>
      </c>
      <c r="E5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5" spans="1:6" x14ac:dyDescent="0.35">
      <c r="A5425" s="3">
        <v>35305837800</v>
      </c>
      <c r="B5425" s="3">
        <v>339</v>
      </c>
      <c r="C5425" s="32">
        <v>49312</v>
      </c>
      <c r="D5425" s="32" t="s">
        <v>87</v>
      </c>
      <c r="E5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6" spans="1:6" x14ac:dyDescent="0.35">
      <c r="A5426" s="3">
        <v>28813231581</v>
      </c>
      <c r="B5426" s="3">
        <v>303</v>
      </c>
      <c r="C5426" s="32">
        <v>49312</v>
      </c>
      <c r="D5426" s="32" t="s">
        <v>87</v>
      </c>
      <c r="E5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7" spans="1:6" x14ac:dyDescent="0.35">
      <c r="A5427" s="3">
        <v>66159398371</v>
      </c>
      <c r="B5427" s="3">
        <v>267</v>
      </c>
      <c r="C5427" s="32">
        <v>49312</v>
      </c>
      <c r="D5427" s="32" t="s">
        <v>87</v>
      </c>
      <c r="E5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8" spans="1:6" x14ac:dyDescent="0.35">
      <c r="A5428" s="3">
        <v>41930757696</v>
      </c>
      <c r="B5428" s="3">
        <v>291</v>
      </c>
      <c r="C5428" s="32">
        <v>49312</v>
      </c>
      <c r="D5428" s="32" t="s">
        <v>87</v>
      </c>
      <c r="E5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9" spans="1:6" x14ac:dyDescent="0.35">
      <c r="A5429" s="3">
        <v>38529760589</v>
      </c>
      <c r="B5429" s="3">
        <v>13</v>
      </c>
      <c r="C5429" s="32">
        <v>49312</v>
      </c>
      <c r="D5429" s="32" t="s">
        <v>87</v>
      </c>
      <c r="E5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0" spans="1:6" x14ac:dyDescent="0.35">
      <c r="A5430" s="3">
        <v>72362982416</v>
      </c>
      <c r="B5430" s="3">
        <v>148</v>
      </c>
      <c r="C5430" s="32">
        <v>49312</v>
      </c>
      <c r="D5430" s="32" t="s">
        <v>87</v>
      </c>
      <c r="E5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1" spans="1:6" x14ac:dyDescent="0.35">
      <c r="A5431" s="3">
        <v>28980139575</v>
      </c>
      <c r="B5431" s="3">
        <v>64</v>
      </c>
      <c r="C5431" s="32">
        <v>49312</v>
      </c>
      <c r="D5431" s="32" t="s">
        <v>87</v>
      </c>
      <c r="E5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2" spans="1:6" x14ac:dyDescent="0.35">
      <c r="A5432" s="3">
        <v>14319611336</v>
      </c>
      <c r="B5432" s="3">
        <v>145</v>
      </c>
      <c r="C5432" s="32">
        <v>49312</v>
      </c>
      <c r="D5432" s="32"/>
      <c r="E5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3" spans="1:6" x14ac:dyDescent="0.35">
      <c r="A5433" s="3">
        <v>86444946760</v>
      </c>
      <c r="B5433" s="3">
        <v>133</v>
      </c>
      <c r="C5433" s="32">
        <v>49312</v>
      </c>
      <c r="D5433" s="32" t="s">
        <v>87</v>
      </c>
      <c r="E5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4" spans="1:6" x14ac:dyDescent="0.35">
      <c r="A5434" s="3">
        <v>89887071017</v>
      </c>
      <c r="B5434" s="3">
        <v>252</v>
      </c>
      <c r="C5434" s="32">
        <v>49312</v>
      </c>
      <c r="D5434" s="32" t="s">
        <v>87</v>
      </c>
      <c r="E5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5" spans="1:6" x14ac:dyDescent="0.35">
      <c r="A5435" s="3">
        <v>28174881693</v>
      </c>
      <c r="B5435" s="3">
        <v>240</v>
      </c>
      <c r="C5435" s="32">
        <v>49312</v>
      </c>
      <c r="D5435" s="32" t="s">
        <v>87</v>
      </c>
      <c r="E5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6" spans="1:6" x14ac:dyDescent="0.35">
      <c r="A5436" s="3">
        <v>69314634908</v>
      </c>
      <c r="B5436" s="3">
        <v>2</v>
      </c>
      <c r="C5436" s="32">
        <v>49312</v>
      </c>
      <c r="D5436" s="32"/>
      <c r="E5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7" spans="1:6" x14ac:dyDescent="0.35">
      <c r="A5437" s="3">
        <v>97220397461</v>
      </c>
      <c r="B5437" s="3">
        <v>74</v>
      </c>
      <c r="C5437" s="32">
        <v>49312</v>
      </c>
      <c r="D5437" s="32"/>
      <c r="E5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8" spans="1:6" x14ac:dyDescent="0.35">
      <c r="A5438" s="3">
        <v>67014828845</v>
      </c>
      <c r="B5438" s="3">
        <v>97</v>
      </c>
      <c r="C5438" s="32">
        <v>49312</v>
      </c>
      <c r="D5438" s="32" t="s">
        <v>87</v>
      </c>
      <c r="E5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9" spans="1:6" x14ac:dyDescent="0.35">
      <c r="A5439" s="3">
        <v>21274915402</v>
      </c>
      <c r="B5439" s="3">
        <v>80</v>
      </c>
      <c r="C5439" s="32">
        <v>49312</v>
      </c>
      <c r="D5439" s="32" t="s">
        <v>87</v>
      </c>
      <c r="E5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0" spans="1:6" x14ac:dyDescent="0.35">
      <c r="A5440" s="3">
        <v>74909237454</v>
      </c>
      <c r="B5440" s="3">
        <v>284</v>
      </c>
      <c r="C5440" s="32">
        <v>49312</v>
      </c>
      <c r="D5440" s="32" t="s">
        <v>87</v>
      </c>
      <c r="E5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1" spans="1:6" x14ac:dyDescent="0.35">
      <c r="A5441" s="3">
        <v>46086904443</v>
      </c>
      <c r="B5441" s="3">
        <v>12</v>
      </c>
      <c r="C5441" s="32">
        <v>49312</v>
      </c>
      <c r="D5441" s="32"/>
      <c r="E5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2" spans="1:6" x14ac:dyDescent="0.35">
      <c r="A5442" s="3">
        <v>54094288898</v>
      </c>
      <c r="B5442" s="3">
        <v>72</v>
      </c>
      <c r="C5442" s="32">
        <v>49312</v>
      </c>
      <c r="D5442" s="32" t="s">
        <v>87</v>
      </c>
      <c r="E5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3" spans="1:6" x14ac:dyDescent="0.35">
      <c r="A5443" s="3">
        <v>46792857653</v>
      </c>
      <c r="B5443" s="3">
        <v>235</v>
      </c>
      <c r="C5443" s="32">
        <v>49312</v>
      </c>
      <c r="D5443" s="32" t="s">
        <v>87</v>
      </c>
      <c r="E5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4" spans="1:6" x14ac:dyDescent="0.35">
      <c r="A5444" s="3">
        <v>34331861193</v>
      </c>
      <c r="B5444" s="3">
        <v>48</v>
      </c>
      <c r="C5444" s="32">
        <v>49312</v>
      </c>
      <c r="D5444" s="32" t="s">
        <v>87</v>
      </c>
      <c r="E5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5" spans="1:6" x14ac:dyDescent="0.35">
      <c r="A5445" s="3">
        <v>78579388683</v>
      </c>
      <c r="B5445" s="3">
        <v>184</v>
      </c>
      <c r="C5445" s="32">
        <v>49312</v>
      </c>
      <c r="D5445" s="32" t="s">
        <v>87</v>
      </c>
      <c r="E5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6" spans="1:6" x14ac:dyDescent="0.35">
      <c r="A5446" s="3">
        <v>65175869352</v>
      </c>
      <c r="B5446" s="3">
        <v>45</v>
      </c>
      <c r="C5446" s="32">
        <v>49312</v>
      </c>
      <c r="D5446" s="32" t="s">
        <v>87</v>
      </c>
      <c r="E5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7" spans="1:6" x14ac:dyDescent="0.35">
      <c r="A5447" s="3">
        <v>68705906302</v>
      </c>
      <c r="B5447" s="3">
        <v>62</v>
      </c>
      <c r="C5447" s="32">
        <v>49312</v>
      </c>
      <c r="D5447" s="32">
        <v>49322</v>
      </c>
      <c r="E5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48" spans="1:6" x14ac:dyDescent="0.35">
      <c r="A5448" s="3">
        <v>37603748188</v>
      </c>
      <c r="B5448" s="3">
        <v>147</v>
      </c>
      <c r="C5448" s="32">
        <v>49312</v>
      </c>
      <c r="D5448" s="32" t="s">
        <v>87</v>
      </c>
      <c r="E5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9" spans="1:6" x14ac:dyDescent="0.35">
      <c r="A5449" s="3">
        <v>76773562839</v>
      </c>
      <c r="B5449" s="3">
        <v>118</v>
      </c>
      <c r="C5449" s="32">
        <v>49312</v>
      </c>
      <c r="D5449" s="32" t="s">
        <v>87</v>
      </c>
      <c r="E5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0" spans="1:6" x14ac:dyDescent="0.35">
      <c r="A5450" s="3">
        <v>71404210832</v>
      </c>
      <c r="B5450" s="3">
        <v>268</v>
      </c>
      <c r="C5450" s="32">
        <v>49312</v>
      </c>
      <c r="D5450" s="32" t="s">
        <v>87</v>
      </c>
      <c r="E5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1" spans="1:6" x14ac:dyDescent="0.35">
      <c r="A5451" s="3">
        <v>81879453500</v>
      </c>
      <c r="B5451" s="3">
        <v>137</v>
      </c>
      <c r="C5451" s="32">
        <v>49312</v>
      </c>
      <c r="D5451" s="32" t="s">
        <v>87</v>
      </c>
      <c r="E5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2" spans="1:6" x14ac:dyDescent="0.35">
      <c r="A5452" s="3">
        <v>39028733541</v>
      </c>
      <c r="B5452" s="3">
        <v>208</v>
      </c>
      <c r="C5452" s="32">
        <v>49312</v>
      </c>
      <c r="D5452" s="32" t="s">
        <v>87</v>
      </c>
      <c r="E5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3" spans="1:6" x14ac:dyDescent="0.35">
      <c r="A5453" s="3">
        <v>37364383160</v>
      </c>
      <c r="B5453" s="3">
        <v>321</v>
      </c>
      <c r="C5453" s="32">
        <v>49312</v>
      </c>
      <c r="D5453" s="32" t="s">
        <v>87</v>
      </c>
      <c r="E5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4" spans="1:6" x14ac:dyDescent="0.35">
      <c r="A5454" s="3">
        <v>43839384356</v>
      </c>
      <c r="B5454" s="3">
        <v>48</v>
      </c>
      <c r="C5454" s="32">
        <v>49312</v>
      </c>
      <c r="D5454" s="32" t="s">
        <v>87</v>
      </c>
      <c r="E5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5" spans="1:6" x14ac:dyDescent="0.35">
      <c r="A5455" s="3">
        <v>81556721068</v>
      </c>
      <c r="B5455" s="3">
        <v>180</v>
      </c>
      <c r="C5455" s="32">
        <v>49313</v>
      </c>
      <c r="D5455" s="32" t="s">
        <v>87</v>
      </c>
      <c r="E5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6" spans="1:6" x14ac:dyDescent="0.35">
      <c r="A5456" s="3">
        <v>63173335126</v>
      </c>
      <c r="B5456" s="3">
        <v>153</v>
      </c>
      <c r="C5456" s="32">
        <v>49313</v>
      </c>
      <c r="D5456" s="32" t="s">
        <v>87</v>
      </c>
      <c r="E5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7" spans="1:6" x14ac:dyDescent="0.35">
      <c r="A5457" s="3">
        <v>33525030246</v>
      </c>
      <c r="B5457" s="3">
        <v>190</v>
      </c>
      <c r="C5457" s="32">
        <v>49313</v>
      </c>
      <c r="D5457" s="32" t="s">
        <v>87</v>
      </c>
      <c r="E5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8" spans="1:6" x14ac:dyDescent="0.35">
      <c r="A5458" s="3">
        <v>34513098056</v>
      </c>
      <c r="B5458" s="3">
        <v>46</v>
      </c>
      <c r="C5458" s="32">
        <v>49313</v>
      </c>
      <c r="D5458" s="32" t="s">
        <v>87</v>
      </c>
      <c r="E5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9" spans="1:6" x14ac:dyDescent="0.35">
      <c r="A5459" s="3">
        <v>22669389683</v>
      </c>
      <c r="B5459" s="3">
        <v>167</v>
      </c>
      <c r="C5459" s="32">
        <v>49313</v>
      </c>
      <c r="D5459" s="32" t="s">
        <v>87</v>
      </c>
      <c r="E5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0" spans="1:6" x14ac:dyDescent="0.35">
      <c r="A5460" s="3">
        <v>35876409693</v>
      </c>
      <c r="B5460" s="3">
        <v>147</v>
      </c>
      <c r="C5460" s="32">
        <v>49313</v>
      </c>
      <c r="D5460" s="32" t="s">
        <v>87</v>
      </c>
      <c r="E5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1" spans="1:6" x14ac:dyDescent="0.35">
      <c r="A5461" s="3">
        <v>98523793875</v>
      </c>
      <c r="B5461" s="3">
        <v>134</v>
      </c>
      <c r="C5461" s="32">
        <v>49313</v>
      </c>
      <c r="D5461" s="32" t="s">
        <v>87</v>
      </c>
      <c r="E5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2" spans="1:6" x14ac:dyDescent="0.35">
      <c r="A5462" s="3">
        <v>65293397395</v>
      </c>
      <c r="B5462" s="3">
        <v>51</v>
      </c>
      <c r="C5462" s="32">
        <v>49313</v>
      </c>
      <c r="D5462" s="32" t="s">
        <v>87</v>
      </c>
      <c r="E5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3" spans="1:6" x14ac:dyDescent="0.35">
      <c r="A5463" s="3">
        <v>86927372217</v>
      </c>
      <c r="B5463" s="3">
        <v>133</v>
      </c>
      <c r="C5463" s="32">
        <v>49313</v>
      </c>
      <c r="D5463" s="32" t="s">
        <v>87</v>
      </c>
      <c r="E5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4" spans="1:6" x14ac:dyDescent="0.35">
      <c r="A5464" s="3">
        <v>36542313515</v>
      </c>
      <c r="B5464" s="3">
        <v>141</v>
      </c>
      <c r="C5464" s="32">
        <v>49313</v>
      </c>
      <c r="D5464" s="32" t="s">
        <v>87</v>
      </c>
      <c r="E5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5" spans="1:6" x14ac:dyDescent="0.35">
      <c r="A5465" s="3">
        <v>76040197037</v>
      </c>
      <c r="B5465" s="3">
        <v>157</v>
      </c>
      <c r="C5465" s="32">
        <v>49313</v>
      </c>
      <c r="D5465" s="32" t="s">
        <v>87</v>
      </c>
      <c r="E5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6" spans="1:6" x14ac:dyDescent="0.35">
      <c r="A5466" s="3">
        <v>20982439199</v>
      </c>
      <c r="B5466" s="3">
        <v>209</v>
      </c>
      <c r="C5466" s="32">
        <v>49313</v>
      </c>
      <c r="D5466" s="32" t="s">
        <v>87</v>
      </c>
      <c r="E5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7" spans="1:6" x14ac:dyDescent="0.35">
      <c r="A5467" s="3">
        <v>27563058431</v>
      </c>
      <c r="B5467" s="3">
        <v>248</v>
      </c>
      <c r="C5467" s="32">
        <v>49313</v>
      </c>
      <c r="D5467" s="32" t="s">
        <v>87</v>
      </c>
      <c r="E5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8" spans="1:6" x14ac:dyDescent="0.35">
      <c r="A5468" s="3">
        <v>64541738112</v>
      </c>
      <c r="B5468" s="3">
        <v>119</v>
      </c>
      <c r="C5468" s="32">
        <v>49313</v>
      </c>
      <c r="D5468" s="32" t="s">
        <v>87</v>
      </c>
      <c r="E5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9" spans="1:6" x14ac:dyDescent="0.35">
      <c r="A5469" s="3">
        <v>72367490325</v>
      </c>
      <c r="B5469" s="3">
        <v>144</v>
      </c>
      <c r="C5469" s="32">
        <v>49313</v>
      </c>
      <c r="D5469" s="32"/>
      <c r="E5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0" spans="1:6" x14ac:dyDescent="0.35">
      <c r="A5470" s="3">
        <v>36209237436</v>
      </c>
      <c r="B5470" s="3">
        <v>233</v>
      </c>
      <c r="C5470" s="32">
        <v>49313</v>
      </c>
      <c r="D5470" s="32" t="s">
        <v>87</v>
      </c>
      <c r="E5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1" spans="1:6" x14ac:dyDescent="0.35">
      <c r="A5471" s="3">
        <v>30774790814</v>
      </c>
      <c r="B5471" s="3">
        <v>50</v>
      </c>
      <c r="C5471" s="32">
        <v>49313</v>
      </c>
      <c r="D5471" s="32" t="s">
        <v>87</v>
      </c>
      <c r="E5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2" spans="1:6" x14ac:dyDescent="0.35">
      <c r="A5472" s="3">
        <v>97917827984</v>
      </c>
      <c r="B5472" s="3">
        <v>277</v>
      </c>
      <c r="C5472" s="32">
        <v>49313</v>
      </c>
      <c r="D5472" s="32" t="s">
        <v>87</v>
      </c>
      <c r="E5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3" spans="1:6" x14ac:dyDescent="0.35">
      <c r="A5473" s="3">
        <v>86800105215</v>
      </c>
      <c r="B5473" s="3">
        <v>99</v>
      </c>
      <c r="C5473" s="32">
        <v>49313</v>
      </c>
      <c r="D5473" s="32"/>
      <c r="E5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4" spans="1:6" x14ac:dyDescent="0.35">
      <c r="A5474" s="3">
        <v>76475959525</v>
      </c>
      <c r="B5474" s="3">
        <v>274</v>
      </c>
      <c r="C5474" s="32">
        <v>49313</v>
      </c>
      <c r="D5474" s="32" t="s">
        <v>87</v>
      </c>
      <c r="E5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5" spans="1:6" x14ac:dyDescent="0.35">
      <c r="A5475" s="3">
        <v>68098618716</v>
      </c>
      <c r="B5475" s="3">
        <v>166</v>
      </c>
      <c r="C5475" s="32">
        <v>49313</v>
      </c>
      <c r="D5475" s="32">
        <v>49338</v>
      </c>
      <c r="E5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76" spans="1:6" x14ac:dyDescent="0.35">
      <c r="A5476" s="3">
        <v>16345452009</v>
      </c>
      <c r="B5476" s="3">
        <v>313</v>
      </c>
      <c r="C5476" s="32">
        <v>49313</v>
      </c>
      <c r="D5476" s="32" t="s">
        <v>87</v>
      </c>
      <c r="E5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7" spans="1:6" x14ac:dyDescent="0.35">
      <c r="A5477" s="3">
        <v>48086361134</v>
      </c>
      <c r="B5477" s="3">
        <v>7</v>
      </c>
      <c r="C5477" s="32">
        <v>49314</v>
      </c>
      <c r="D5477" s="32" t="s">
        <v>87</v>
      </c>
      <c r="E5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8" spans="1:6" x14ac:dyDescent="0.35">
      <c r="A5478" s="3">
        <v>44568676866</v>
      </c>
      <c r="B5478" s="3">
        <v>187</v>
      </c>
      <c r="C5478" s="32">
        <v>49314</v>
      </c>
      <c r="D5478" s="32" t="s">
        <v>87</v>
      </c>
      <c r="E5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9" spans="1:6" x14ac:dyDescent="0.35">
      <c r="A5479" s="3">
        <v>69426639812</v>
      </c>
      <c r="B5479" s="3">
        <v>175</v>
      </c>
      <c r="C5479" s="32">
        <v>49314</v>
      </c>
      <c r="D5479" s="32" t="s">
        <v>87</v>
      </c>
      <c r="E5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0" spans="1:6" x14ac:dyDescent="0.35">
      <c r="A5480" s="3">
        <v>60716303999</v>
      </c>
      <c r="B5480" s="3">
        <v>34</v>
      </c>
      <c r="C5480" s="32">
        <v>49314</v>
      </c>
      <c r="D5480" s="32"/>
      <c r="E5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1" spans="1:6" x14ac:dyDescent="0.35">
      <c r="A5481" s="3">
        <v>72820289491</v>
      </c>
      <c r="B5481" s="3">
        <v>249</v>
      </c>
      <c r="C5481" s="32">
        <v>49314</v>
      </c>
      <c r="D5481" s="32" t="s">
        <v>87</v>
      </c>
      <c r="E5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2" spans="1:6" x14ac:dyDescent="0.35">
      <c r="A5482" s="3">
        <v>83846178149</v>
      </c>
      <c r="B5482" s="3">
        <v>78</v>
      </c>
      <c r="C5482" s="32">
        <v>49314</v>
      </c>
      <c r="D5482" s="32"/>
      <c r="E5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3" spans="1:6" x14ac:dyDescent="0.35">
      <c r="A5483" s="3">
        <v>40020497728</v>
      </c>
      <c r="B5483" s="3">
        <v>283</v>
      </c>
      <c r="C5483" s="32">
        <v>49314</v>
      </c>
      <c r="D5483" s="32" t="s">
        <v>87</v>
      </c>
      <c r="E5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4" spans="1:6" x14ac:dyDescent="0.35">
      <c r="A5484" s="3">
        <v>60060047208</v>
      </c>
      <c r="B5484" s="3">
        <v>287</v>
      </c>
      <c r="C5484" s="32">
        <v>49314</v>
      </c>
      <c r="D5484" s="32" t="s">
        <v>87</v>
      </c>
      <c r="E5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5" spans="1:6" x14ac:dyDescent="0.35">
      <c r="A5485" s="3">
        <v>37572728151</v>
      </c>
      <c r="B5485" s="3">
        <v>188</v>
      </c>
      <c r="C5485" s="32">
        <v>49314</v>
      </c>
      <c r="D5485" s="32" t="s">
        <v>87</v>
      </c>
      <c r="E5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6" spans="1:6" x14ac:dyDescent="0.35">
      <c r="A5486" s="3">
        <v>39353809341</v>
      </c>
      <c r="B5486" s="3">
        <v>179</v>
      </c>
      <c r="C5486" s="32">
        <v>49314</v>
      </c>
      <c r="D5486" s="32" t="s">
        <v>87</v>
      </c>
      <c r="E5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7" spans="1:6" x14ac:dyDescent="0.35">
      <c r="A5487" s="3">
        <v>66149467084</v>
      </c>
      <c r="B5487" s="3">
        <v>337</v>
      </c>
      <c r="C5487" s="32">
        <v>49314</v>
      </c>
      <c r="D5487" s="32" t="s">
        <v>87</v>
      </c>
      <c r="E5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8" spans="1:6" x14ac:dyDescent="0.35">
      <c r="A5488" s="3">
        <v>93937624265</v>
      </c>
      <c r="B5488" s="3">
        <v>118</v>
      </c>
      <c r="C5488" s="32">
        <v>49314</v>
      </c>
      <c r="D5488" s="32" t="s">
        <v>87</v>
      </c>
      <c r="E5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9" spans="1:6" x14ac:dyDescent="0.35">
      <c r="A5489" s="3">
        <v>63678070865</v>
      </c>
      <c r="B5489" s="3">
        <v>162</v>
      </c>
      <c r="C5489" s="32">
        <v>49314</v>
      </c>
      <c r="D5489" s="32" t="s">
        <v>87</v>
      </c>
      <c r="E5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0" spans="1:6" x14ac:dyDescent="0.35">
      <c r="A5490" s="3">
        <v>43703855327</v>
      </c>
      <c r="B5490" s="3">
        <v>283</v>
      </c>
      <c r="C5490" s="32">
        <v>49314</v>
      </c>
      <c r="D5490" s="32" t="s">
        <v>87</v>
      </c>
      <c r="E5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1" spans="1:6" x14ac:dyDescent="0.35">
      <c r="A5491" s="3">
        <v>59342795074</v>
      </c>
      <c r="B5491" s="3">
        <v>98</v>
      </c>
      <c r="C5491" s="32">
        <v>49314</v>
      </c>
      <c r="D5491" s="32"/>
      <c r="E5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2" spans="1:6" x14ac:dyDescent="0.35">
      <c r="A5492" s="3">
        <v>53895008558</v>
      </c>
      <c r="B5492" s="3">
        <v>182</v>
      </c>
      <c r="C5492" s="32">
        <v>49314</v>
      </c>
      <c r="D5492" s="32" t="s">
        <v>87</v>
      </c>
      <c r="E5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3" spans="1:6" x14ac:dyDescent="0.35">
      <c r="A5493" s="3">
        <v>91902601914</v>
      </c>
      <c r="B5493" s="3">
        <v>140</v>
      </c>
      <c r="C5493" s="32">
        <v>49314</v>
      </c>
      <c r="D5493" s="32" t="s">
        <v>87</v>
      </c>
      <c r="E5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4" spans="1:6" x14ac:dyDescent="0.35">
      <c r="A5494" s="3">
        <v>90177434119</v>
      </c>
      <c r="B5494" s="3">
        <v>112</v>
      </c>
      <c r="C5494" s="32">
        <v>49314</v>
      </c>
      <c r="D5494" s="32"/>
      <c r="E5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5" spans="1:6" x14ac:dyDescent="0.35">
      <c r="A5495" s="3">
        <v>73555960539</v>
      </c>
      <c r="B5495" s="3">
        <v>113</v>
      </c>
      <c r="C5495" s="32">
        <v>49314</v>
      </c>
      <c r="D5495" s="32" t="s">
        <v>87</v>
      </c>
      <c r="E5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6" spans="1:6" x14ac:dyDescent="0.35">
      <c r="A5496" s="3">
        <v>82310227144</v>
      </c>
      <c r="B5496" s="3">
        <v>144</v>
      </c>
      <c r="C5496" s="32">
        <v>49314</v>
      </c>
      <c r="D5496" s="32" t="s">
        <v>87</v>
      </c>
      <c r="E5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7" spans="1:6" x14ac:dyDescent="0.35">
      <c r="A5497" s="3">
        <v>32560459921</v>
      </c>
      <c r="B5497" s="3">
        <v>94</v>
      </c>
      <c r="C5497" s="32">
        <v>49314</v>
      </c>
      <c r="D5497" s="32"/>
      <c r="E5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8" spans="1:6" x14ac:dyDescent="0.35">
      <c r="A5498" s="3">
        <v>83267934967</v>
      </c>
      <c r="B5498" s="3">
        <v>219</v>
      </c>
      <c r="C5498" s="32">
        <v>49314</v>
      </c>
      <c r="D5498" s="32" t="s">
        <v>87</v>
      </c>
      <c r="E5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9" spans="1:6" x14ac:dyDescent="0.35">
      <c r="A5499" s="3">
        <v>21343007672</v>
      </c>
      <c r="B5499" s="3">
        <v>337</v>
      </c>
      <c r="C5499" s="32">
        <v>49315</v>
      </c>
      <c r="D5499" s="32" t="s">
        <v>87</v>
      </c>
      <c r="E5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0" spans="1:6" x14ac:dyDescent="0.35">
      <c r="A5500" s="3">
        <v>40531144025</v>
      </c>
      <c r="B5500" s="3">
        <v>126</v>
      </c>
      <c r="C5500" s="32">
        <v>49315</v>
      </c>
      <c r="D5500" s="32" t="s">
        <v>87</v>
      </c>
      <c r="E5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1" spans="1:6" x14ac:dyDescent="0.35">
      <c r="A5501" s="3">
        <v>11509231660</v>
      </c>
      <c r="B5501" s="3">
        <v>39</v>
      </c>
      <c r="C5501" s="32">
        <v>49315</v>
      </c>
      <c r="D5501" s="32"/>
      <c r="E5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2" spans="1:6" x14ac:dyDescent="0.35">
      <c r="A5502" s="3">
        <v>48852056193</v>
      </c>
      <c r="B5502" s="3">
        <v>316</v>
      </c>
      <c r="C5502" s="32">
        <v>49315</v>
      </c>
      <c r="D5502" s="32"/>
      <c r="E5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3" spans="1:6" x14ac:dyDescent="0.35">
      <c r="A5503" s="3">
        <v>92453554483</v>
      </c>
      <c r="B5503" s="3">
        <v>154</v>
      </c>
      <c r="C5503" s="32">
        <v>49315</v>
      </c>
      <c r="D5503" s="32">
        <v>49340</v>
      </c>
      <c r="E5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04" spans="1:6" x14ac:dyDescent="0.35">
      <c r="A5504" s="3">
        <v>65170484640</v>
      </c>
      <c r="B5504" s="3">
        <v>225</v>
      </c>
      <c r="C5504" s="32">
        <v>49315</v>
      </c>
      <c r="D5504" s="32"/>
      <c r="E5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5" spans="1:6" x14ac:dyDescent="0.35">
      <c r="A5505" s="3">
        <v>65829274195</v>
      </c>
      <c r="B5505" s="3">
        <v>293</v>
      </c>
      <c r="C5505" s="32">
        <v>49315</v>
      </c>
      <c r="D5505" s="32">
        <v>49315</v>
      </c>
      <c r="E5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06" spans="1:6" x14ac:dyDescent="0.35">
      <c r="A5506" s="3">
        <v>31836771406</v>
      </c>
      <c r="B5506" s="3">
        <v>301</v>
      </c>
      <c r="C5506" s="32">
        <v>49315</v>
      </c>
      <c r="D5506" s="32" t="s">
        <v>87</v>
      </c>
      <c r="E5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7" spans="1:6" x14ac:dyDescent="0.35">
      <c r="A5507" s="3">
        <v>57422452049</v>
      </c>
      <c r="B5507" s="3">
        <v>38</v>
      </c>
      <c r="C5507" s="32">
        <v>49315</v>
      </c>
      <c r="D5507" s="32" t="s">
        <v>87</v>
      </c>
      <c r="E5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8" spans="1:6" x14ac:dyDescent="0.35">
      <c r="A5508" s="3">
        <v>16758598759</v>
      </c>
      <c r="B5508" s="3">
        <v>72</v>
      </c>
      <c r="C5508" s="32">
        <v>49315</v>
      </c>
      <c r="D5508" s="32" t="s">
        <v>87</v>
      </c>
      <c r="E5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9" spans="1:6" x14ac:dyDescent="0.35">
      <c r="A5509" s="3">
        <v>28635333337</v>
      </c>
      <c r="B5509" s="3">
        <v>220</v>
      </c>
      <c r="C5509" s="32">
        <v>49315</v>
      </c>
      <c r="D5509" s="32" t="s">
        <v>87</v>
      </c>
      <c r="E5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0" spans="1:6" x14ac:dyDescent="0.35">
      <c r="A5510" s="3">
        <v>76847182079</v>
      </c>
      <c r="B5510" s="3">
        <v>133</v>
      </c>
      <c r="C5510" s="32">
        <v>49315</v>
      </c>
      <c r="D5510" s="32" t="s">
        <v>87</v>
      </c>
      <c r="E5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1" spans="1:6" x14ac:dyDescent="0.35">
      <c r="A5511" s="3">
        <v>89383996721</v>
      </c>
      <c r="B5511" s="3">
        <v>296</v>
      </c>
      <c r="C5511" s="32">
        <v>49315</v>
      </c>
      <c r="D5511" s="32" t="s">
        <v>87</v>
      </c>
      <c r="E5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2" spans="1:6" x14ac:dyDescent="0.35">
      <c r="A5512" s="3">
        <v>48873304284</v>
      </c>
      <c r="B5512" s="3">
        <v>25</v>
      </c>
      <c r="C5512" s="32">
        <v>49315</v>
      </c>
      <c r="D5512" s="32" t="s">
        <v>87</v>
      </c>
      <c r="E5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3" spans="1:6" x14ac:dyDescent="0.35">
      <c r="A5513" s="3">
        <v>59205666608</v>
      </c>
      <c r="B5513" s="3">
        <v>253</v>
      </c>
      <c r="C5513" s="32">
        <v>49315</v>
      </c>
      <c r="D5513" s="32" t="s">
        <v>87</v>
      </c>
      <c r="E5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4" spans="1:6" x14ac:dyDescent="0.35">
      <c r="A5514" s="3">
        <v>79781178072</v>
      </c>
      <c r="B5514" s="3">
        <v>314</v>
      </c>
      <c r="C5514" s="32">
        <v>49315</v>
      </c>
      <c r="D5514" s="32" t="s">
        <v>87</v>
      </c>
      <c r="E5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5" spans="1:6" x14ac:dyDescent="0.35">
      <c r="A5515" s="3">
        <v>97571876790</v>
      </c>
      <c r="B5515" s="3">
        <v>242</v>
      </c>
      <c r="C5515" s="32">
        <v>49315</v>
      </c>
      <c r="D5515" s="32" t="s">
        <v>87</v>
      </c>
      <c r="E5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6" spans="1:6" x14ac:dyDescent="0.35">
      <c r="A5516" s="3">
        <v>55803102324</v>
      </c>
      <c r="B5516" s="3">
        <v>217</v>
      </c>
      <c r="C5516" s="32">
        <v>49315</v>
      </c>
      <c r="D5516" s="32"/>
      <c r="E5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7" spans="1:6" x14ac:dyDescent="0.35">
      <c r="A5517" s="3">
        <v>59650193894</v>
      </c>
      <c r="B5517" s="3">
        <v>270</v>
      </c>
      <c r="C5517" s="32">
        <v>49315</v>
      </c>
      <c r="D5517" s="32" t="s">
        <v>87</v>
      </c>
      <c r="E5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8" spans="1:6" x14ac:dyDescent="0.35">
      <c r="A5518" s="3">
        <v>17222152937</v>
      </c>
      <c r="B5518" s="3">
        <v>28</v>
      </c>
      <c r="C5518" s="32">
        <v>49315</v>
      </c>
      <c r="D5518" s="32"/>
      <c r="E5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9" spans="1:6" x14ac:dyDescent="0.35">
      <c r="A5519" s="3">
        <v>92635290095</v>
      </c>
      <c r="B5519" s="3">
        <v>140</v>
      </c>
      <c r="C5519" s="32">
        <v>49315</v>
      </c>
      <c r="D5519" s="32" t="s">
        <v>87</v>
      </c>
      <c r="E5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0" spans="1:6" x14ac:dyDescent="0.35">
      <c r="A5520" s="3">
        <v>43121907307</v>
      </c>
      <c r="B5520" s="3">
        <v>26</v>
      </c>
      <c r="C5520" s="32">
        <v>49315</v>
      </c>
      <c r="D5520" s="32" t="s">
        <v>87</v>
      </c>
      <c r="E5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1" spans="1:6" x14ac:dyDescent="0.35">
      <c r="A5521" s="3">
        <v>57837184281</v>
      </c>
      <c r="B5521" s="3">
        <v>66</v>
      </c>
      <c r="C5521" s="32">
        <v>49315</v>
      </c>
      <c r="D5521" s="32" t="s">
        <v>87</v>
      </c>
      <c r="E5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2" spans="1:6" x14ac:dyDescent="0.35">
      <c r="A5522" s="3">
        <v>14165440474</v>
      </c>
      <c r="B5522" s="3">
        <v>244</v>
      </c>
      <c r="C5522" s="32">
        <v>49315</v>
      </c>
      <c r="D5522" s="32" t="s">
        <v>87</v>
      </c>
      <c r="E5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3" spans="1:6" x14ac:dyDescent="0.35">
      <c r="A5523" s="3">
        <v>38727041316</v>
      </c>
      <c r="B5523" s="3">
        <v>297</v>
      </c>
      <c r="C5523" s="32">
        <v>49315</v>
      </c>
      <c r="D5523" s="32" t="s">
        <v>87</v>
      </c>
      <c r="E5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4" spans="1:6" x14ac:dyDescent="0.35">
      <c r="A5524" s="3">
        <v>47530798031</v>
      </c>
      <c r="B5524" s="3">
        <v>15</v>
      </c>
      <c r="C5524" s="32">
        <v>49315</v>
      </c>
      <c r="D5524" s="32" t="s">
        <v>87</v>
      </c>
      <c r="E5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5" spans="1:6" x14ac:dyDescent="0.35">
      <c r="A5525" s="3">
        <v>40552314401</v>
      </c>
      <c r="B5525" s="3">
        <v>215</v>
      </c>
      <c r="C5525" s="32">
        <v>49315</v>
      </c>
      <c r="D5525" s="32" t="s">
        <v>87</v>
      </c>
      <c r="E5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6" spans="1:6" x14ac:dyDescent="0.35">
      <c r="A5526" s="3">
        <v>79994196901</v>
      </c>
      <c r="B5526" s="3">
        <v>77</v>
      </c>
      <c r="C5526" s="32">
        <v>49315</v>
      </c>
      <c r="D5526" s="32" t="s">
        <v>87</v>
      </c>
      <c r="E5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7" spans="1:6" x14ac:dyDescent="0.35">
      <c r="A5527" s="3">
        <v>70715201953</v>
      </c>
      <c r="B5527" s="3">
        <v>198</v>
      </c>
      <c r="C5527" s="32">
        <v>49315</v>
      </c>
      <c r="D5527" s="32" t="s">
        <v>87</v>
      </c>
      <c r="E5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8" spans="1:6" x14ac:dyDescent="0.35">
      <c r="A5528" s="3">
        <v>87592356922</v>
      </c>
      <c r="B5528" s="3">
        <v>73</v>
      </c>
      <c r="C5528" s="32">
        <v>49315</v>
      </c>
      <c r="D5528" s="32" t="s">
        <v>87</v>
      </c>
      <c r="E5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9" spans="1:6" x14ac:dyDescent="0.35">
      <c r="A5529" s="3">
        <v>12550046734</v>
      </c>
      <c r="B5529" s="3">
        <v>332</v>
      </c>
      <c r="C5529" s="32">
        <v>49315</v>
      </c>
      <c r="D5529" s="32" t="s">
        <v>87</v>
      </c>
      <c r="E5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0" spans="1:6" x14ac:dyDescent="0.35">
      <c r="A5530" s="3">
        <v>49834496996</v>
      </c>
      <c r="B5530" s="3">
        <v>64</v>
      </c>
      <c r="C5530" s="32">
        <v>49316</v>
      </c>
      <c r="D5530" s="32" t="s">
        <v>87</v>
      </c>
      <c r="E5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1" spans="1:6" x14ac:dyDescent="0.35">
      <c r="A5531" s="3">
        <v>59005489210</v>
      </c>
      <c r="B5531" s="3">
        <v>340</v>
      </c>
      <c r="C5531" s="32">
        <v>49316</v>
      </c>
      <c r="D5531" s="32" t="s">
        <v>87</v>
      </c>
      <c r="E5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2" spans="1:6" x14ac:dyDescent="0.35">
      <c r="A5532" s="3">
        <v>32020388358</v>
      </c>
      <c r="B5532" s="3">
        <v>208</v>
      </c>
      <c r="C5532" s="32">
        <v>49316</v>
      </c>
      <c r="D5532" s="32" t="s">
        <v>87</v>
      </c>
      <c r="E5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3" spans="1:6" x14ac:dyDescent="0.35">
      <c r="A5533" s="3">
        <v>85483636586</v>
      </c>
      <c r="B5533" s="3">
        <v>291</v>
      </c>
      <c r="C5533" s="32">
        <v>49316</v>
      </c>
      <c r="D5533" s="32" t="s">
        <v>87</v>
      </c>
      <c r="E5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4" spans="1:6" x14ac:dyDescent="0.35">
      <c r="A5534" s="3">
        <v>91847472613</v>
      </c>
      <c r="B5534" s="3">
        <v>49</v>
      </c>
      <c r="C5534" s="32">
        <v>49316</v>
      </c>
      <c r="D5534" s="32" t="s">
        <v>87</v>
      </c>
      <c r="E5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5" spans="1:6" x14ac:dyDescent="0.35">
      <c r="A5535" s="3">
        <v>88439533414</v>
      </c>
      <c r="B5535" s="3">
        <v>301</v>
      </c>
      <c r="C5535" s="32">
        <v>49316</v>
      </c>
      <c r="D5535" s="32"/>
      <c r="E5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6" spans="1:6" x14ac:dyDescent="0.35">
      <c r="A5536" s="3">
        <v>69629973692</v>
      </c>
      <c r="B5536" s="3">
        <v>177</v>
      </c>
      <c r="C5536" s="32">
        <v>49316</v>
      </c>
      <c r="D5536" s="32"/>
      <c r="E5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7" spans="1:6" x14ac:dyDescent="0.35">
      <c r="A5537" s="3">
        <v>76179297898</v>
      </c>
      <c r="B5537" s="3">
        <v>1</v>
      </c>
      <c r="C5537" s="32">
        <v>49316</v>
      </c>
      <c r="D5537" s="32" t="s">
        <v>87</v>
      </c>
      <c r="E5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8" spans="1:6" x14ac:dyDescent="0.35">
      <c r="A5538" s="3">
        <v>12941920610</v>
      </c>
      <c r="B5538" s="3">
        <v>249</v>
      </c>
      <c r="C5538" s="32">
        <v>49316</v>
      </c>
      <c r="D5538" s="32" t="s">
        <v>87</v>
      </c>
      <c r="E5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9" spans="1:6" x14ac:dyDescent="0.35">
      <c r="A5539" s="3">
        <v>20023789651</v>
      </c>
      <c r="B5539" s="3">
        <v>81</v>
      </c>
      <c r="C5539" s="32">
        <v>49316</v>
      </c>
      <c r="D5539" s="32" t="s">
        <v>87</v>
      </c>
      <c r="E5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0" spans="1:6" x14ac:dyDescent="0.35">
      <c r="A5540" s="3">
        <v>71983607605</v>
      </c>
      <c r="B5540" s="3">
        <v>297</v>
      </c>
      <c r="C5540" s="32">
        <v>49316</v>
      </c>
      <c r="D5540" s="32" t="s">
        <v>87</v>
      </c>
      <c r="E5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1" spans="1:6" x14ac:dyDescent="0.35">
      <c r="A5541" s="3">
        <v>70688320237</v>
      </c>
      <c r="B5541" s="3">
        <v>156</v>
      </c>
      <c r="C5541" s="32">
        <v>49316</v>
      </c>
      <c r="D5541" s="32" t="s">
        <v>87</v>
      </c>
      <c r="E5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2" spans="1:6" x14ac:dyDescent="0.35">
      <c r="A5542" s="3">
        <v>25507767374</v>
      </c>
      <c r="B5542" s="3">
        <v>32</v>
      </c>
      <c r="C5542" s="32">
        <v>49316</v>
      </c>
      <c r="D5542" s="32" t="s">
        <v>87</v>
      </c>
      <c r="E5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3" spans="1:6" x14ac:dyDescent="0.35">
      <c r="A5543" s="3">
        <v>70680953441</v>
      </c>
      <c r="B5543" s="3">
        <v>220</v>
      </c>
      <c r="C5543" s="32">
        <v>49316</v>
      </c>
      <c r="D5543" s="32" t="s">
        <v>87</v>
      </c>
      <c r="E5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4" spans="1:6" x14ac:dyDescent="0.35">
      <c r="A5544" s="3">
        <v>74733825443</v>
      </c>
      <c r="B5544" s="3">
        <v>109</v>
      </c>
      <c r="C5544" s="32">
        <v>49316</v>
      </c>
      <c r="D5544" s="32" t="s">
        <v>87</v>
      </c>
      <c r="E5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5" spans="1:6" x14ac:dyDescent="0.35">
      <c r="A5545" s="3">
        <v>99248799342</v>
      </c>
      <c r="B5545" s="3">
        <v>78</v>
      </c>
      <c r="C5545" s="32">
        <v>49316</v>
      </c>
      <c r="D5545" s="32"/>
      <c r="E5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6" spans="1:6" x14ac:dyDescent="0.35">
      <c r="A5546" s="3">
        <v>15375577350</v>
      </c>
      <c r="B5546" s="3">
        <v>290</v>
      </c>
      <c r="C5546" s="32">
        <v>49316</v>
      </c>
      <c r="D5546" s="32"/>
      <c r="E5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7" spans="1:6" x14ac:dyDescent="0.35">
      <c r="A5547" s="3">
        <v>86993990945</v>
      </c>
      <c r="B5547" s="3">
        <v>317</v>
      </c>
      <c r="C5547" s="32">
        <v>49316</v>
      </c>
      <c r="D5547" s="32" t="s">
        <v>87</v>
      </c>
      <c r="E5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8" spans="1:6" x14ac:dyDescent="0.35">
      <c r="A5548" s="3">
        <v>29412971523</v>
      </c>
      <c r="B5548" s="3">
        <v>289</v>
      </c>
      <c r="C5548" s="32">
        <v>49316</v>
      </c>
      <c r="D5548" s="32"/>
      <c r="E5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9" spans="1:6" x14ac:dyDescent="0.35">
      <c r="A5549" s="3">
        <v>97159758023</v>
      </c>
      <c r="B5549" s="3">
        <v>335</v>
      </c>
      <c r="C5549" s="32">
        <v>49316</v>
      </c>
      <c r="D5549" s="32" t="s">
        <v>87</v>
      </c>
      <c r="E5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0" spans="1:6" x14ac:dyDescent="0.35">
      <c r="A5550" s="3">
        <v>18816593136</v>
      </c>
      <c r="B5550" s="3">
        <v>27</v>
      </c>
      <c r="C5550" s="32">
        <v>49316</v>
      </c>
      <c r="D5550" s="32" t="s">
        <v>87</v>
      </c>
      <c r="E5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1" spans="1:6" x14ac:dyDescent="0.35">
      <c r="A5551" s="3">
        <v>32236089814</v>
      </c>
      <c r="B5551" s="3">
        <v>313</v>
      </c>
      <c r="C5551" s="32">
        <v>49316</v>
      </c>
      <c r="D5551" s="32">
        <v>49339</v>
      </c>
      <c r="E5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52" spans="1:6" x14ac:dyDescent="0.35">
      <c r="A5552" s="3">
        <v>65204622327</v>
      </c>
      <c r="B5552" s="3">
        <v>240</v>
      </c>
      <c r="C5552" s="32">
        <v>49316</v>
      </c>
      <c r="D5552" s="32" t="s">
        <v>87</v>
      </c>
      <c r="E5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3" spans="1:6" x14ac:dyDescent="0.35">
      <c r="A5553" s="3">
        <v>57177610823</v>
      </c>
      <c r="B5553" s="3">
        <v>167</v>
      </c>
      <c r="C5553" s="32">
        <v>49316</v>
      </c>
      <c r="D5553" s="32">
        <v>49328</v>
      </c>
      <c r="E5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54" spans="1:6" x14ac:dyDescent="0.35">
      <c r="A5554" s="3">
        <v>91346219915</v>
      </c>
      <c r="B5554" s="3">
        <v>95</v>
      </c>
      <c r="C5554" s="32">
        <v>49316</v>
      </c>
      <c r="D5554" s="32"/>
      <c r="E5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5" spans="1:6" x14ac:dyDescent="0.35">
      <c r="A5555" s="3">
        <v>12845558069</v>
      </c>
      <c r="B5555" s="3">
        <v>170</v>
      </c>
      <c r="C5555" s="32">
        <v>49316</v>
      </c>
      <c r="D5555" s="32" t="s">
        <v>87</v>
      </c>
      <c r="E5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6" spans="1:6" x14ac:dyDescent="0.35">
      <c r="A5556" s="3">
        <v>77502599929</v>
      </c>
      <c r="B5556" s="3">
        <v>14</v>
      </c>
      <c r="C5556" s="32">
        <v>49316</v>
      </c>
      <c r="D5556" s="32" t="s">
        <v>87</v>
      </c>
      <c r="E5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7" spans="1:6" x14ac:dyDescent="0.35">
      <c r="A5557" s="3">
        <v>93235271535</v>
      </c>
      <c r="B5557" s="3">
        <v>67</v>
      </c>
      <c r="C5557" s="32">
        <v>49316</v>
      </c>
      <c r="D5557" s="32" t="s">
        <v>87</v>
      </c>
      <c r="E5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8" spans="1:6" x14ac:dyDescent="0.35">
      <c r="A5558" s="3">
        <v>26083716947</v>
      </c>
      <c r="B5558" s="3">
        <v>246</v>
      </c>
      <c r="C5558" s="32">
        <v>49317</v>
      </c>
      <c r="D5558" s="32" t="s">
        <v>87</v>
      </c>
      <c r="E5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9" spans="1:6" x14ac:dyDescent="0.35">
      <c r="A5559" s="3">
        <v>22365596545</v>
      </c>
      <c r="B5559" s="3">
        <v>12</v>
      </c>
      <c r="C5559" s="32">
        <v>49317</v>
      </c>
      <c r="D5559" s="32" t="s">
        <v>87</v>
      </c>
      <c r="E5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0" spans="1:6" x14ac:dyDescent="0.35">
      <c r="A5560" s="3">
        <v>26008465478</v>
      </c>
      <c r="B5560" s="3">
        <v>58</v>
      </c>
      <c r="C5560" s="32">
        <v>49317</v>
      </c>
      <c r="D5560" s="32" t="s">
        <v>87</v>
      </c>
      <c r="E5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1" spans="1:6" x14ac:dyDescent="0.35">
      <c r="A5561" s="3">
        <v>29293638122</v>
      </c>
      <c r="B5561" s="3">
        <v>299</v>
      </c>
      <c r="C5561" s="32">
        <v>49317</v>
      </c>
      <c r="D5561" s="32" t="s">
        <v>87</v>
      </c>
      <c r="E5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2" spans="1:6" x14ac:dyDescent="0.35">
      <c r="A5562" s="3">
        <v>96416317941</v>
      </c>
      <c r="B5562" s="3">
        <v>332</v>
      </c>
      <c r="C5562" s="32">
        <v>49317</v>
      </c>
      <c r="D5562" s="32" t="s">
        <v>87</v>
      </c>
      <c r="E5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3" spans="1:6" x14ac:dyDescent="0.35">
      <c r="A5563" s="3">
        <v>73655025878</v>
      </c>
      <c r="B5563" s="3">
        <v>51</v>
      </c>
      <c r="C5563" s="32">
        <v>49317</v>
      </c>
      <c r="D5563" s="32" t="s">
        <v>87</v>
      </c>
      <c r="E5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4" spans="1:6" x14ac:dyDescent="0.35">
      <c r="A5564" s="3">
        <v>91207513987</v>
      </c>
      <c r="B5564" s="3">
        <v>60</v>
      </c>
      <c r="C5564" s="32">
        <v>49317</v>
      </c>
      <c r="D5564" s="32" t="s">
        <v>87</v>
      </c>
      <c r="E5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5" spans="1:6" x14ac:dyDescent="0.35">
      <c r="A5565" s="3">
        <v>23567226307</v>
      </c>
      <c r="B5565" s="3">
        <v>23</v>
      </c>
      <c r="C5565" s="32">
        <v>49317</v>
      </c>
      <c r="D5565" s="32" t="s">
        <v>87</v>
      </c>
      <c r="E5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6" spans="1:6" x14ac:dyDescent="0.35">
      <c r="A5566" s="3">
        <v>66955016169</v>
      </c>
      <c r="B5566" s="3">
        <v>48</v>
      </c>
      <c r="C5566" s="32">
        <v>49317</v>
      </c>
      <c r="D5566" s="32" t="s">
        <v>87</v>
      </c>
      <c r="E5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7" spans="1:6" x14ac:dyDescent="0.35">
      <c r="A5567" s="3">
        <v>40757904750</v>
      </c>
      <c r="B5567" s="3">
        <v>130</v>
      </c>
      <c r="C5567" s="32">
        <v>49317</v>
      </c>
      <c r="D5567" s="32" t="s">
        <v>87</v>
      </c>
      <c r="E5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8" spans="1:6" x14ac:dyDescent="0.35">
      <c r="A5568" s="3">
        <v>86568923768</v>
      </c>
      <c r="B5568" s="3">
        <v>73</v>
      </c>
      <c r="C5568" s="32">
        <v>49317</v>
      </c>
      <c r="D5568" s="32"/>
      <c r="E5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9" spans="1:6" x14ac:dyDescent="0.35">
      <c r="A5569" s="3">
        <v>37072636669</v>
      </c>
      <c r="B5569" s="3">
        <v>16</v>
      </c>
      <c r="C5569" s="32">
        <v>49317</v>
      </c>
      <c r="D5569" s="32" t="s">
        <v>87</v>
      </c>
      <c r="E5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0" spans="1:6" x14ac:dyDescent="0.35">
      <c r="A5570" s="3">
        <v>23960221403</v>
      </c>
      <c r="B5570" s="3">
        <v>270</v>
      </c>
      <c r="C5570" s="32">
        <v>49317</v>
      </c>
      <c r="D5570" s="32" t="s">
        <v>87</v>
      </c>
      <c r="E5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1" spans="1:6" x14ac:dyDescent="0.35">
      <c r="A5571" s="3">
        <v>77248533495</v>
      </c>
      <c r="B5571" s="3">
        <v>69</v>
      </c>
      <c r="C5571" s="32">
        <v>49317</v>
      </c>
      <c r="D5571" s="32" t="s">
        <v>87</v>
      </c>
      <c r="E5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2" spans="1:6" x14ac:dyDescent="0.35">
      <c r="A5572" s="3">
        <v>36780039477</v>
      </c>
      <c r="B5572" s="3">
        <v>198</v>
      </c>
      <c r="C5572" s="32">
        <v>49317</v>
      </c>
      <c r="D5572" s="32" t="s">
        <v>87</v>
      </c>
      <c r="E5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3" spans="1:6" x14ac:dyDescent="0.35">
      <c r="A5573" s="3">
        <v>29041722789</v>
      </c>
      <c r="B5573" s="3">
        <v>319</v>
      </c>
      <c r="C5573" s="32">
        <v>49317</v>
      </c>
      <c r="D5573" s="32" t="s">
        <v>87</v>
      </c>
      <c r="E5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4" spans="1:6" x14ac:dyDescent="0.35">
      <c r="A5574" s="3">
        <v>15909144874</v>
      </c>
      <c r="B5574" s="3">
        <v>338</v>
      </c>
      <c r="C5574" s="32">
        <v>49317</v>
      </c>
      <c r="D5574" s="32" t="s">
        <v>87</v>
      </c>
      <c r="E5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5" spans="1:6" x14ac:dyDescent="0.35">
      <c r="A5575" s="3">
        <v>94731833101</v>
      </c>
      <c r="B5575" s="3">
        <v>86</v>
      </c>
      <c r="C5575" s="32">
        <v>49317</v>
      </c>
      <c r="D5575" s="32" t="s">
        <v>87</v>
      </c>
      <c r="E5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6" spans="1:6" x14ac:dyDescent="0.35">
      <c r="A5576" s="3">
        <v>45731132589</v>
      </c>
      <c r="B5576" s="3">
        <v>265</v>
      </c>
      <c r="C5576" s="32">
        <v>49317</v>
      </c>
      <c r="D5576" s="32"/>
      <c r="E5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7" spans="1:6" x14ac:dyDescent="0.35">
      <c r="A5577" s="3">
        <v>65841967620</v>
      </c>
      <c r="B5577" s="3">
        <v>120</v>
      </c>
      <c r="C5577" s="32">
        <v>49317</v>
      </c>
      <c r="D5577" s="32" t="s">
        <v>87</v>
      </c>
      <c r="E5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8" spans="1:6" x14ac:dyDescent="0.35">
      <c r="A5578" s="3">
        <v>58894320037</v>
      </c>
      <c r="B5578" s="3">
        <v>49</v>
      </c>
      <c r="C5578" s="32">
        <v>49317</v>
      </c>
      <c r="D5578" s="32" t="s">
        <v>87</v>
      </c>
      <c r="E5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9" spans="1:6" x14ac:dyDescent="0.35">
      <c r="A5579" s="3">
        <v>22446226310</v>
      </c>
      <c r="B5579" s="3">
        <v>322</v>
      </c>
      <c r="C5579" s="32">
        <v>49317</v>
      </c>
      <c r="D5579" s="32" t="s">
        <v>87</v>
      </c>
      <c r="E5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0" spans="1:6" x14ac:dyDescent="0.35">
      <c r="A5580" s="3">
        <v>37354372171</v>
      </c>
      <c r="B5580" s="3">
        <v>237</v>
      </c>
      <c r="C5580" s="32">
        <v>49317</v>
      </c>
      <c r="D5580" s="32"/>
      <c r="E5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1" spans="1:6" x14ac:dyDescent="0.35">
      <c r="A5581" s="3">
        <v>67825248327</v>
      </c>
      <c r="B5581" s="3">
        <v>296</v>
      </c>
      <c r="C5581" s="32">
        <v>49317</v>
      </c>
      <c r="D5581" s="32" t="s">
        <v>87</v>
      </c>
      <c r="E5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2" spans="1:6" x14ac:dyDescent="0.35">
      <c r="A5582" s="3">
        <v>23082310871</v>
      </c>
      <c r="B5582" s="3">
        <v>67</v>
      </c>
      <c r="C5582" s="32">
        <v>49317</v>
      </c>
      <c r="D5582" s="32" t="s">
        <v>87</v>
      </c>
      <c r="E5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3" spans="1:6" x14ac:dyDescent="0.35">
      <c r="A5583" s="3">
        <v>98961414827</v>
      </c>
      <c r="B5583" s="3">
        <v>144</v>
      </c>
      <c r="C5583" s="32">
        <v>49317</v>
      </c>
      <c r="D5583" s="32">
        <v>49317</v>
      </c>
      <c r="E5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84" spans="1:6" x14ac:dyDescent="0.35">
      <c r="A5584" s="3">
        <v>85838033234</v>
      </c>
      <c r="B5584" s="3">
        <v>259</v>
      </c>
      <c r="C5584" s="32">
        <v>49317</v>
      </c>
      <c r="D5584" s="32"/>
      <c r="E5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5" spans="1:6" x14ac:dyDescent="0.35">
      <c r="A5585" s="3">
        <v>24964614976</v>
      </c>
      <c r="B5585" s="3">
        <v>125</v>
      </c>
      <c r="C5585" s="32">
        <v>49318</v>
      </c>
      <c r="D5585" s="32" t="s">
        <v>87</v>
      </c>
      <c r="E5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6" spans="1:6" x14ac:dyDescent="0.35">
      <c r="A5586" s="3">
        <v>35897779909</v>
      </c>
      <c r="B5586" s="3">
        <v>211</v>
      </c>
      <c r="C5586" s="32">
        <v>49318</v>
      </c>
      <c r="D5586" s="32" t="s">
        <v>87</v>
      </c>
      <c r="E5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7" spans="1:6" x14ac:dyDescent="0.35">
      <c r="A5587" s="3">
        <v>22113431680</v>
      </c>
      <c r="B5587" s="3">
        <v>136</v>
      </c>
      <c r="C5587" s="32">
        <v>49318</v>
      </c>
      <c r="D5587" s="32" t="s">
        <v>87</v>
      </c>
      <c r="E5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8" spans="1:6" x14ac:dyDescent="0.35">
      <c r="A5588" s="3">
        <v>24360741217</v>
      </c>
      <c r="B5588" s="3">
        <v>64</v>
      </c>
      <c r="C5588" s="32">
        <v>49318</v>
      </c>
      <c r="D5588" s="32" t="s">
        <v>87</v>
      </c>
      <c r="E5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9" spans="1:6" x14ac:dyDescent="0.35">
      <c r="A5589" s="3">
        <v>98163548338</v>
      </c>
      <c r="B5589" s="3">
        <v>24</v>
      </c>
      <c r="C5589" s="32">
        <v>49318</v>
      </c>
      <c r="D5589" s="32" t="s">
        <v>87</v>
      </c>
      <c r="E5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0" spans="1:6" x14ac:dyDescent="0.35">
      <c r="A5590" s="3">
        <v>78020569308</v>
      </c>
      <c r="B5590" s="3">
        <v>123</v>
      </c>
      <c r="C5590" s="32">
        <v>49318</v>
      </c>
      <c r="D5590" s="32" t="s">
        <v>87</v>
      </c>
      <c r="E5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1" spans="1:6" x14ac:dyDescent="0.35">
      <c r="A5591" s="3">
        <v>24502460327</v>
      </c>
      <c r="B5591" s="3">
        <v>105</v>
      </c>
      <c r="C5591" s="32">
        <v>49318</v>
      </c>
      <c r="D5591" s="32" t="s">
        <v>87</v>
      </c>
      <c r="E5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2" spans="1:6" x14ac:dyDescent="0.35">
      <c r="A5592" s="3">
        <v>93395862545</v>
      </c>
      <c r="B5592" s="3">
        <v>305</v>
      </c>
      <c r="C5592" s="32">
        <v>49318</v>
      </c>
      <c r="D5592" s="32" t="s">
        <v>87</v>
      </c>
      <c r="E5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3" spans="1:6" x14ac:dyDescent="0.35">
      <c r="A5593" s="3">
        <v>22796643217</v>
      </c>
      <c r="B5593" s="3">
        <v>335</v>
      </c>
      <c r="C5593" s="32">
        <v>49318</v>
      </c>
      <c r="D5593" s="32"/>
      <c r="E5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4" spans="1:6" x14ac:dyDescent="0.35">
      <c r="A5594" s="3">
        <v>82529258795</v>
      </c>
      <c r="B5594" s="3">
        <v>39</v>
      </c>
      <c r="C5594" s="32">
        <v>49318</v>
      </c>
      <c r="D5594" s="32"/>
      <c r="E5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5" spans="1:6" x14ac:dyDescent="0.35">
      <c r="A5595" s="3">
        <v>85830252879</v>
      </c>
      <c r="B5595" s="3">
        <v>28</v>
      </c>
      <c r="C5595" s="32">
        <v>49318</v>
      </c>
      <c r="D5595" s="32" t="s">
        <v>87</v>
      </c>
      <c r="E5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6" spans="1:6" x14ac:dyDescent="0.35">
      <c r="A5596" s="3">
        <v>35426330054</v>
      </c>
      <c r="B5596" s="3">
        <v>64</v>
      </c>
      <c r="C5596" s="32">
        <v>49318</v>
      </c>
      <c r="D5596" s="32" t="s">
        <v>87</v>
      </c>
      <c r="E5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7" spans="1:6" x14ac:dyDescent="0.35">
      <c r="A5597" s="3">
        <v>57147537965</v>
      </c>
      <c r="B5597" s="3">
        <v>277</v>
      </c>
      <c r="C5597" s="32">
        <v>49318</v>
      </c>
      <c r="D5597" s="32" t="s">
        <v>87</v>
      </c>
      <c r="E5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8" spans="1:6" x14ac:dyDescent="0.35">
      <c r="A5598" s="3">
        <v>39060591043</v>
      </c>
      <c r="B5598" s="3">
        <v>124</v>
      </c>
      <c r="C5598" s="32">
        <v>49318</v>
      </c>
      <c r="D5598" s="32" t="s">
        <v>87</v>
      </c>
      <c r="E5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9" spans="1:6" x14ac:dyDescent="0.35">
      <c r="A5599" s="3">
        <v>61655784939</v>
      </c>
      <c r="B5599" s="3">
        <v>338</v>
      </c>
      <c r="C5599" s="32">
        <v>49318</v>
      </c>
      <c r="D5599" s="32" t="s">
        <v>87</v>
      </c>
      <c r="E5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0" spans="1:6" x14ac:dyDescent="0.35">
      <c r="A5600" s="3">
        <v>39444118567</v>
      </c>
      <c r="B5600" s="3">
        <v>216</v>
      </c>
      <c r="C5600" s="32">
        <v>49318</v>
      </c>
      <c r="D5600" s="32" t="s">
        <v>87</v>
      </c>
      <c r="E5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1" spans="1:6" x14ac:dyDescent="0.35">
      <c r="A5601" s="3">
        <v>86495227277</v>
      </c>
      <c r="B5601" s="3">
        <v>138</v>
      </c>
      <c r="C5601" s="32">
        <v>49318</v>
      </c>
      <c r="D5601" s="32" t="s">
        <v>87</v>
      </c>
      <c r="E5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2" spans="1:6" x14ac:dyDescent="0.35">
      <c r="A5602" s="3">
        <v>67369537853</v>
      </c>
      <c r="B5602" s="3">
        <v>189</v>
      </c>
      <c r="C5602" s="32">
        <v>49318</v>
      </c>
      <c r="D5602" s="32" t="s">
        <v>87</v>
      </c>
      <c r="E5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3" spans="1:6" x14ac:dyDescent="0.35">
      <c r="A5603" s="3">
        <v>93240252132</v>
      </c>
      <c r="B5603" s="3">
        <v>67</v>
      </c>
      <c r="C5603" s="32">
        <v>49318</v>
      </c>
      <c r="D5603" s="32" t="s">
        <v>87</v>
      </c>
      <c r="E5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4" spans="1:6" x14ac:dyDescent="0.35">
      <c r="A5604" s="3">
        <v>78740244033</v>
      </c>
      <c r="B5604" s="3">
        <v>257</v>
      </c>
      <c r="C5604" s="32">
        <v>49318</v>
      </c>
      <c r="D5604" s="32" t="s">
        <v>87</v>
      </c>
      <c r="E5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5" spans="1:6" x14ac:dyDescent="0.35">
      <c r="A5605" s="3">
        <v>62597280062</v>
      </c>
      <c r="B5605" s="3">
        <v>193</v>
      </c>
      <c r="C5605" s="32">
        <v>49318</v>
      </c>
      <c r="D5605" s="32" t="s">
        <v>87</v>
      </c>
      <c r="E5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6" spans="1:6" x14ac:dyDescent="0.35">
      <c r="A5606" s="3">
        <v>53998430257</v>
      </c>
      <c r="B5606" s="3">
        <v>277</v>
      </c>
      <c r="C5606" s="32">
        <v>49318</v>
      </c>
      <c r="D5606" s="32" t="s">
        <v>87</v>
      </c>
      <c r="E5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7" spans="1:6" x14ac:dyDescent="0.35">
      <c r="A5607" s="3">
        <v>26939723943</v>
      </c>
      <c r="B5607" s="3">
        <v>240</v>
      </c>
      <c r="C5607" s="32">
        <v>49318</v>
      </c>
      <c r="D5607" s="32" t="s">
        <v>87</v>
      </c>
      <c r="E5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8" spans="1:6" x14ac:dyDescent="0.35">
      <c r="A5608" s="3">
        <v>68973045617</v>
      </c>
      <c r="B5608" s="3">
        <v>89</v>
      </c>
      <c r="C5608" s="32">
        <v>49318</v>
      </c>
      <c r="D5608" s="32">
        <v>49332</v>
      </c>
      <c r="E5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09" spans="1:6" x14ac:dyDescent="0.35">
      <c r="A5609" s="3">
        <v>47777891373</v>
      </c>
      <c r="B5609" s="3">
        <v>6</v>
      </c>
      <c r="C5609" s="32">
        <v>49318</v>
      </c>
      <c r="D5609" s="32" t="s">
        <v>87</v>
      </c>
      <c r="E5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0" spans="1:6" x14ac:dyDescent="0.35">
      <c r="A5610" s="3">
        <v>80851378754</v>
      </c>
      <c r="B5610" s="3">
        <v>158</v>
      </c>
      <c r="C5610" s="32">
        <v>49319</v>
      </c>
      <c r="D5610" s="32" t="s">
        <v>87</v>
      </c>
      <c r="E5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1" spans="1:6" x14ac:dyDescent="0.35">
      <c r="A5611" s="3">
        <v>72957558664</v>
      </c>
      <c r="B5611" s="3">
        <v>331</v>
      </c>
      <c r="C5611" s="32">
        <v>49319</v>
      </c>
      <c r="D5611" s="32" t="s">
        <v>87</v>
      </c>
      <c r="E5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2" spans="1:6" x14ac:dyDescent="0.35">
      <c r="A5612" s="3">
        <v>29535229926</v>
      </c>
      <c r="B5612" s="3">
        <v>43</v>
      </c>
      <c r="C5612" s="32">
        <v>49319</v>
      </c>
      <c r="D5612" s="32" t="s">
        <v>87</v>
      </c>
      <c r="E5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3" spans="1:6" x14ac:dyDescent="0.35">
      <c r="A5613" s="3">
        <v>19406389445</v>
      </c>
      <c r="B5613" s="3">
        <v>154</v>
      </c>
      <c r="C5613" s="32">
        <v>49319</v>
      </c>
      <c r="D5613" s="32" t="s">
        <v>87</v>
      </c>
      <c r="E5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4" spans="1:6" x14ac:dyDescent="0.35">
      <c r="A5614" s="3">
        <v>99617409345</v>
      </c>
      <c r="B5614" s="3">
        <v>49</v>
      </c>
      <c r="C5614" s="32">
        <v>49319</v>
      </c>
      <c r="D5614" s="32" t="s">
        <v>87</v>
      </c>
      <c r="E5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5" spans="1:6" x14ac:dyDescent="0.35">
      <c r="A5615" s="3">
        <v>15302136338</v>
      </c>
      <c r="B5615" s="3">
        <v>14</v>
      </c>
      <c r="C5615" s="32">
        <v>49319</v>
      </c>
      <c r="D5615" s="32" t="s">
        <v>87</v>
      </c>
      <c r="E5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6" spans="1:6" x14ac:dyDescent="0.35">
      <c r="A5616" s="3">
        <v>44261688035</v>
      </c>
      <c r="B5616" s="3">
        <v>305</v>
      </c>
      <c r="C5616" s="32">
        <v>49319</v>
      </c>
      <c r="D5616" s="32" t="s">
        <v>87</v>
      </c>
      <c r="E5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7" spans="1:6" x14ac:dyDescent="0.35">
      <c r="A5617" s="3">
        <v>86545572257</v>
      </c>
      <c r="B5617" s="3">
        <v>30</v>
      </c>
      <c r="C5617" s="32">
        <v>49319</v>
      </c>
      <c r="D5617" s="32" t="s">
        <v>87</v>
      </c>
      <c r="E5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8" spans="1:6" x14ac:dyDescent="0.35">
      <c r="A5618" s="3">
        <v>43261602152</v>
      </c>
      <c r="B5618" s="3">
        <v>210</v>
      </c>
      <c r="C5618" s="32">
        <v>49319</v>
      </c>
      <c r="D5618" s="32" t="s">
        <v>87</v>
      </c>
      <c r="E5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9" spans="1:6" x14ac:dyDescent="0.35">
      <c r="A5619" s="3">
        <v>96583195680</v>
      </c>
      <c r="B5619" s="3">
        <v>334</v>
      </c>
      <c r="C5619" s="32">
        <v>49319</v>
      </c>
      <c r="D5619" s="32" t="s">
        <v>87</v>
      </c>
      <c r="E5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0" spans="1:6" x14ac:dyDescent="0.35">
      <c r="A5620" s="3">
        <v>63986935786</v>
      </c>
      <c r="B5620" s="3">
        <v>340</v>
      </c>
      <c r="C5620" s="32">
        <v>49319</v>
      </c>
      <c r="D5620" s="32" t="s">
        <v>87</v>
      </c>
      <c r="E5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1" spans="1:6" x14ac:dyDescent="0.35">
      <c r="A5621" s="3">
        <v>76396310893</v>
      </c>
      <c r="B5621" s="3">
        <v>261</v>
      </c>
      <c r="C5621" s="32">
        <v>49319</v>
      </c>
      <c r="D5621" s="32" t="s">
        <v>87</v>
      </c>
      <c r="E5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2" spans="1:6" x14ac:dyDescent="0.35">
      <c r="A5622" s="3">
        <v>29158359632</v>
      </c>
      <c r="B5622" s="3">
        <v>213</v>
      </c>
      <c r="C5622" s="32">
        <v>49319</v>
      </c>
      <c r="D5622" s="32" t="s">
        <v>87</v>
      </c>
      <c r="E5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3" spans="1:6" x14ac:dyDescent="0.35">
      <c r="A5623" s="3">
        <v>44870403866</v>
      </c>
      <c r="B5623" s="3">
        <v>316</v>
      </c>
      <c r="C5623" s="32">
        <v>49319</v>
      </c>
      <c r="D5623" s="32">
        <v>49336</v>
      </c>
      <c r="E5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24" spans="1:6" x14ac:dyDescent="0.35">
      <c r="A5624" s="3">
        <v>57154721272</v>
      </c>
      <c r="B5624" s="3">
        <v>263</v>
      </c>
      <c r="C5624" s="32">
        <v>49319</v>
      </c>
      <c r="D5624" s="32"/>
      <c r="E5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5" spans="1:6" x14ac:dyDescent="0.35">
      <c r="A5625" s="3">
        <v>56902793367</v>
      </c>
      <c r="B5625" s="3">
        <v>14</v>
      </c>
      <c r="C5625" s="32">
        <v>49319</v>
      </c>
      <c r="D5625" s="32" t="s">
        <v>87</v>
      </c>
      <c r="E5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6" spans="1:6" x14ac:dyDescent="0.35">
      <c r="A5626" s="3">
        <v>47684069538</v>
      </c>
      <c r="B5626" s="3">
        <v>284</v>
      </c>
      <c r="C5626" s="32">
        <v>49319</v>
      </c>
      <c r="D5626" s="32" t="s">
        <v>87</v>
      </c>
      <c r="E5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7" spans="1:6" x14ac:dyDescent="0.35">
      <c r="A5627" s="3">
        <v>49043916516</v>
      </c>
      <c r="B5627" s="3">
        <v>231</v>
      </c>
      <c r="C5627" s="32">
        <v>49319</v>
      </c>
      <c r="D5627" s="32" t="s">
        <v>87</v>
      </c>
      <c r="E5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8" spans="1:6" x14ac:dyDescent="0.35">
      <c r="A5628" s="3">
        <v>50427154368</v>
      </c>
      <c r="B5628" s="3">
        <v>314</v>
      </c>
      <c r="C5628" s="32">
        <v>49319</v>
      </c>
      <c r="D5628" s="32" t="s">
        <v>87</v>
      </c>
      <c r="E5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9" spans="1:6" x14ac:dyDescent="0.35">
      <c r="A5629" s="3">
        <v>83111020845</v>
      </c>
      <c r="B5629" s="3">
        <v>177</v>
      </c>
      <c r="C5629" s="32">
        <v>49319</v>
      </c>
      <c r="D5629" s="32" t="s">
        <v>87</v>
      </c>
      <c r="E5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0" spans="1:6" x14ac:dyDescent="0.35">
      <c r="A5630" s="3">
        <v>70370605154</v>
      </c>
      <c r="B5630" s="3">
        <v>328</v>
      </c>
      <c r="C5630" s="32">
        <v>49319</v>
      </c>
      <c r="D5630" s="32"/>
      <c r="E5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1" spans="1:6" x14ac:dyDescent="0.35">
      <c r="A5631" s="3">
        <v>59984431018</v>
      </c>
      <c r="B5631" s="3">
        <v>196</v>
      </c>
      <c r="C5631" s="32">
        <v>49320</v>
      </c>
      <c r="D5631" s="32"/>
      <c r="E5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2" spans="1:6" x14ac:dyDescent="0.35">
      <c r="A5632" s="3">
        <v>89340887170</v>
      </c>
      <c r="B5632" s="3">
        <v>312</v>
      </c>
      <c r="C5632" s="32">
        <v>49320</v>
      </c>
      <c r="D5632" s="32" t="s">
        <v>87</v>
      </c>
      <c r="E5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3" spans="1:6" x14ac:dyDescent="0.35">
      <c r="A5633" s="3">
        <v>73393616632</v>
      </c>
      <c r="B5633" s="3">
        <v>171</v>
      </c>
      <c r="C5633" s="32">
        <v>49320</v>
      </c>
      <c r="D5633" s="32" t="s">
        <v>87</v>
      </c>
      <c r="E5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4" spans="1:6" x14ac:dyDescent="0.35">
      <c r="A5634" s="3">
        <v>97295131696</v>
      </c>
      <c r="B5634" s="3">
        <v>41</v>
      </c>
      <c r="C5634" s="32">
        <v>49320</v>
      </c>
      <c r="D5634" s="32" t="s">
        <v>87</v>
      </c>
      <c r="E5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5" spans="1:6" x14ac:dyDescent="0.35">
      <c r="A5635" s="3">
        <v>22606095129</v>
      </c>
      <c r="B5635" s="3">
        <v>32</v>
      </c>
      <c r="C5635" s="32">
        <v>49320</v>
      </c>
      <c r="D5635" s="32" t="s">
        <v>87</v>
      </c>
      <c r="E5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6" spans="1:6" x14ac:dyDescent="0.35">
      <c r="A5636" s="3">
        <v>69176227960</v>
      </c>
      <c r="B5636" s="3">
        <v>314</v>
      </c>
      <c r="C5636" s="32">
        <v>49320</v>
      </c>
      <c r="D5636" s="32">
        <v>49339</v>
      </c>
      <c r="E5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37" spans="1:6" x14ac:dyDescent="0.35">
      <c r="A5637" s="3">
        <v>58206209369</v>
      </c>
      <c r="B5637" s="3">
        <v>337</v>
      </c>
      <c r="C5637" s="32">
        <v>49320</v>
      </c>
      <c r="D5637" s="32" t="s">
        <v>87</v>
      </c>
      <c r="E5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8" spans="1:6" x14ac:dyDescent="0.35">
      <c r="A5638" s="3">
        <v>70953792189</v>
      </c>
      <c r="B5638" s="3">
        <v>212</v>
      </c>
      <c r="C5638" s="32">
        <v>49320</v>
      </c>
      <c r="D5638" s="32"/>
      <c r="E5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9" spans="1:6" x14ac:dyDescent="0.35">
      <c r="A5639" s="3">
        <v>24714586798</v>
      </c>
      <c r="B5639" s="3">
        <v>295</v>
      </c>
      <c r="C5639" s="32">
        <v>49320</v>
      </c>
      <c r="D5639" s="32" t="s">
        <v>87</v>
      </c>
      <c r="E5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0" spans="1:6" x14ac:dyDescent="0.35">
      <c r="A5640" s="3">
        <v>44438288956</v>
      </c>
      <c r="B5640" s="3">
        <v>157</v>
      </c>
      <c r="C5640" s="32">
        <v>49320</v>
      </c>
      <c r="D5640" s="32">
        <v>49335</v>
      </c>
      <c r="E5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41" spans="1:6" x14ac:dyDescent="0.35">
      <c r="A5641" s="3">
        <v>40167412481</v>
      </c>
      <c r="B5641" s="3">
        <v>257</v>
      </c>
      <c r="C5641" s="32">
        <v>49320</v>
      </c>
      <c r="D5641" s="32"/>
      <c r="E5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2" spans="1:6" x14ac:dyDescent="0.35">
      <c r="A5642" s="3">
        <v>50614784568</v>
      </c>
      <c r="B5642" s="3">
        <v>338</v>
      </c>
      <c r="C5642" s="32">
        <v>49320</v>
      </c>
      <c r="D5642" s="32" t="s">
        <v>87</v>
      </c>
      <c r="E5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3" spans="1:6" x14ac:dyDescent="0.35">
      <c r="A5643" s="3">
        <v>13597471081</v>
      </c>
      <c r="B5643" s="3">
        <v>203</v>
      </c>
      <c r="C5643" s="32">
        <v>49320</v>
      </c>
      <c r="D5643" s="32" t="s">
        <v>87</v>
      </c>
      <c r="E5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4" spans="1:6" x14ac:dyDescent="0.35">
      <c r="A5644" s="3">
        <v>38681594116</v>
      </c>
      <c r="B5644" s="3">
        <v>127</v>
      </c>
      <c r="C5644" s="32">
        <v>49320</v>
      </c>
      <c r="D5644" s="32">
        <v>49331</v>
      </c>
      <c r="E5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45" spans="1:6" x14ac:dyDescent="0.35">
      <c r="A5645" s="3">
        <v>19987346660</v>
      </c>
      <c r="B5645" s="3">
        <v>167</v>
      </c>
      <c r="C5645" s="32">
        <v>49320</v>
      </c>
      <c r="D5645" s="32" t="s">
        <v>87</v>
      </c>
      <c r="E5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6" spans="1:6" x14ac:dyDescent="0.35">
      <c r="A5646" s="3">
        <v>86401255194</v>
      </c>
      <c r="B5646" s="3">
        <v>152</v>
      </c>
      <c r="C5646" s="32">
        <v>49320</v>
      </c>
      <c r="D5646" s="32" t="s">
        <v>87</v>
      </c>
      <c r="E5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7" spans="1:6" x14ac:dyDescent="0.35">
      <c r="A5647" s="3">
        <v>33241276178</v>
      </c>
      <c r="B5647" s="3">
        <v>219</v>
      </c>
      <c r="C5647" s="32">
        <v>49320</v>
      </c>
      <c r="D5647" s="32" t="s">
        <v>87</v>
      </c>
      <c r="E5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8" spans="1:6" x14ac:dyDescent="0.35">
      <c r="A5648" s="3">
        <v>19323252063</v>
      </c>
      <c r="B5648" s="3">
        <v>257</v>
      </c>
      <c r="C5648" s="32">
        <v>49320</v>
      </c>
      <c r="D5648" s="32" t="s">
        <v>87</v>
      </c>
      <c r="E5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9" spans="1:6" x14ac:dyDescent="0.35">
      <c r="A5649" s="3">
        <v>86515200659</v>
      </c>
      <c r="B5649" s="3">
        <v>92</v>
      </c>
      <c r="C5649" s="32">
        <v>49320</v>
      </c>
      <c r="D5649" s="32"/>
      <c r="E5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0" spans="1:6" x14ac:dyDescent="0.35">
      <c r="A5650" s="3">
        <v>64404234918</v>
      </c>
      <c r="B5650" s="3">
        <v>38</v>
      </c>
      <c r="C5650" s="32">
        <v>49321</v>
      </c>
      <c r="D5650" s="32"/>
      <c r="E5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1" spans="1:6" x14ac:dyDescent="0.35">
      <c r="A5651" s="3">
        <v>95066568890</v>
      </c>
      <c r="B5651" s="3">
        <v>187</v>
      </c>
      <c r="C5651" s="32">
        <v>49321</v>
      </c>
      <c r="D5651" s="32" t="s">
        <v>87</v>
      </c>
      <c r="E5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2" spans="1:6" x14ac:dyDescent="0.35">
      <c r="A5652" s="3">
        <v>86106463597</v>
      </c>
      <c r="B5652" s="3">
        <v>145</v>
      </c>
      <c r="C5652" s="32">
        <v>49321</v>
      </c>
      <c r="D5652" s="32" t="s">
        <v>87</v>
      </c>
      <c r="E5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3" spans="1:6" x14ac:dyDescent="0.35">
      <c r="A5653" s="3">
        <v>53641013533</v>
      </c>
      <c r="B5653" s="3">
        <v>198</v>
      </c>
      <c r="C5653" s="32">
        <v>49321</v>
      </c>
      <c r="D5653" s="32"/>
      <c r="E5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4" spans="1:6" x14ac:dyDescent="0.35">
      <c r="A5654" s="3">
        <v>55028770059</v>
      </c>
      <c r="B5654" s="3">
        <v>331</v>
      </c>
      <c r="C5654" s="32">
        <v>49321</v>
      </c>
      <c r="D5654" s="32" t="s">
        <v>87</v>
      </c>
      <c r="E5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5" spans="1:6" x14ac:dyDescent="0.35">
      <c r="A5655" s="3">
        <v>98589974640</v>
      </c>
      <c r="B5655" s="3">
        <v>327</v>
      </c>
      <c r="C5655" s="32">
        <v>49321</v>
      </c>
      <c r="D5655" s="32" t="s">
        <v>87</v>
      </c>
      <c r="E5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6" spans="1:6" x14ac:dyDescent="0.35">
      <c r="A5656" s="3">
        <v>12698044310</v>
      </c>
      <c r="B5656" s="3">
        <v>238</v>
      </c>
      <c r="C5656" s="32">
        <v>49321</v>
      </c>
      <c r="D5656" s="32" t="s">
        <v>87</v>
      </c>
      <c r="E5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7" spans="1:6" x14ac:dyDescent="0.35">
      <c r="A5657" s="3">
        <v>18334001662</v>
      </c>
      <c r="B5657" s="3">
        <v>17</v>
      </c>
      <c r="C5657" s="32">
        <v>49321</v>
      </c>
      <c r="D5657" s="32" t="s">
        <v>87</v>
      </c>
      <c r="E5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8" spans="1:6" x14ac:dyDescent="0.35">
      <c r="A5658" s="3">
        <v>75388219707</v>
      </c>
      <c r="B5658" s="3">
        <v>145</v>
      </c>
      <c r="C5658" s="32">
        <v>49321</v>
      </c>
      <c r="D5658" s="32"/>
      <c r="E5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9" spans="1:6" x14ac:dyDescent="0.35">
      <c r="A5659" s="3">
        <v>36491850606</v>
      </c>
      <c r="B5659" s="3">
        <v>244</v>
      </c>
      <c r="C5659" s="32">
        <v>49321</v>
      </c>
      <c r="D5659" s="32"/>
      <c r="E5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0" spans="1:6" x14ac:dyDescent="0.35">
      <c r="A5660" s="3">
        <v>94081571973</v>
      </c>
      <c r="B5660" s="3">
        <v>107</v>
      </c>
      <c r="C5660" s="32">
        <v>49321</v>
      </c>
      <c r="D5660" s="32" t="s">
        <v>87</v>
      </c>
      <c r="E5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1" spans="1:6" x14ac:dyDescent="0.35">
      <c r="A5661" s="3">
        <v>44122108562</v>
      </c>
      <c r="B5661" s="3">
        <v>303</v>
      </c>
      <c r="C5661" s="32">
        <v>49321</v>
      </c>
      <c r="D5661" s="32"/>
      <c r="E5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2" spans="1:6" x14ac:dyDescent="0.35">
      <c r="A5662" s="3">
        <v>78899709521</v>
      </c>
      <c r="B5662" s="3">
        <v>275</v>
      </c>
      <c r="C5662" s="32">
        <v>49321</v>
      </c>
      <c r="D5662" s="32" t="s">
        <v>87</v>
      </c>
      <c r="E5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3" spans="1:6" x14ac:dyDescent="0.35">
      <c r="A5663" s="3">
        <v>92967442807</v>
      </c>
      <c r="B5663" s="3">
        <v>198</v>
      </c>
      <c r="C5663" s="32">
        <v>49321</v>
      </c>
      <c r="D5663" s="32" t="s">
        <v>87</v>
      </c>
      <c r="E5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4" spans="1:6" x14ac:dyDescent="0.35">
      <c r="A5664" s="3">
        <v>96674318189</v>
      </c>
      <c r="B5664" s="3">
        <v>293</v>
      </c>
      <c r="C5664" s="32">
        <v>49321</v>
      </c>
      <c r="D5664" s="32" t="s">
        <v>87</v>
      </c>
      <c r="E5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5" spans="1:6" x14ac:dyDescent="0.35">
      <c r="A5665" s="3">
        <v>37718569765</v>
      </c>
      <c r="B5665" s="3">
        <v>111</v>
      </c>
      <c r="C5665" s="32">
        <v>49321</v>
      </c>
      <c r="D5665" s="32" t="s">
        <v>87</v>
      </c>
      <c r="E5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6" spans="1:6" x14ac:dyDescent="0.35">
      <c r="A5666" s="3">
        <v>31449175874</v>
      </c>
      <c r="B5666" s="3">
        <v>339</v>
      </c>
      <c r="C5666" s="32">
        <v>49321</v>
      </c>
      <c r="D5666" s="32">
        <v>49337</v>
      </c>
      <c r="E5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67" spans="1:6" x14ac:dyDescent="0.35">
      <c r="A5667" s="3">
        <v>45174436039</v>
      </c>
      <c r="B5667" s="3">
        <v>79</v>
      </c>
      <c r="C5667" s="32">
        <v>49321</v>
      </c>
      <c r="D5667" s="32" t="s">
        <v>87</v>
      </c>
      <c r="E5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8" spans="1:6" x14ac:dyDescent="0.35">
      <c r="A5668" s="3">
        <v>32789811584</v>
      </c>
      <c r="B5668" s="3">
        <v>233</v>
      </c>
      <c r="C5668" s="32">
        <v>49321</v>
      </c>
      <c r="D5668" s="32"/>
      <c r="E5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9" spans="1:6" x14ac:dyDescent="0.35">
      <c r="A5669" s="3">
        <v>94045411878</v>
      </c>
      <c r="B5669" s="3">
        <v>336</v>
      </c>
      <c r="C5669" s="32">
        <v>49321</v>
      </c>
      <c r="D5669" s="32" t="s">
        <v>87</v>
      </c>
      <c r="E5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0" spans="1:6" x14ac:dyDescent="0.35">
      <c r="A5670" s="3">
        <v>76969902542</v>
      </c>
      <c r="B5670" s="3">
        <v>238</v>
      </c>
      <c r="C5670" s="32">
        <v>49321</v>
      </c>
      <c r="D5670" s="32"/>
      <c r="E5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1" spans="1:6" x14ac:dyDescent="0.35">
      <c r="A5671" s="3">
        <v>92640428871</v>
      </c>
      <c r="B5671" s="3">
        <v>230</v>
      </c>
      <c r="C5671" s="32">
        <v>49321</v>
      </c>
      <c r="D5671" s="32">
        <v>49323</v>
      </c>
      <c r="E5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72" spans="1:6" x14ac:dyDescent="0.35">
      <c r="A5672" s="3">
        <v>75676911446</v>
      </c>
      <c r="B5672" s="3">
        <v>127</v>
      </c>
      <c r="C5672" s="32">
        <v>49321</v>
      </c>
      <c r="D5672" s="32"/>
      <c r="E5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3" spans="1:6" x14ac:dyDescent="0.35">
      <c r="A5673" s="3">
        <v>98416497228</v>
      </c>
      <c r="B5673" s="3">
        <v>304</v>
      </c>
      <c r="C5673" s="32">
        <v>49321</v>
      </c>
      <c r="D5673" s="32" t="s">
        <v>87</v>
      </c>
      <c r="E5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4" spans="1:6" x14ac:dyDescent="0.35">
      <c r="A5674" s="3">
        <v>62420483058</v>
      </c>
      <c r="B5674" s="3">
        <v>16</v>
      </c>
      <c r="C5674" s="32">
        <v>49321</v>
      </c>
      <c r="D5674" s="32" t="s">
        <v>87</v>
      </c>
      <c r="E5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5" spans="1:6" x14ac:dyDescent="0.35">
      <c r="A5675" s="3">
        <v>58194270783</v>
      </c>
      <c r="B5675" s="3">
        <v>145</v>
      </c>
      <c r="C5675" s="32">
        <v>49321</v>
      </c>
      <c r="D5675" s="32"/>
      <c r="E5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6" spans="1:6" x14ac:dyDescent="0.35">
      <c r="A5676" s="3">
        <v>41934001702</v>
      </c>
      <c r="B5676" s="3">
        <v>146</v>
      </c>
      <c r="C5676" s="32">
        <v>49322</v>
      </c>
      <c r="D5676" s="32" t="s">
        <v>87</v>
      </c>
      <c r="E5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7" spans="1:6" x14ac:dyDescent="0.35">
      <c r="A5677" s="3">
        <v>59537963565</v>
      </c>
      <c r="B5677" s="3">
        <v>170</v>
      </c>
      <c r="C5677" s="32">
        <v>49322</v>
      </c>
      <c r="D5677" s="32" t="s">
        <v>87</v>
      </c>
      <c r="E5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8" spans="1:6" x14ac:dyDescent="0.35">
      <c r="A5678" s="3">
        <v>45180077457</v>
      </c>
      <c r="B5678" s="3">
        <v>322</v>
      </c>
      <c r="C5678" s="32">
        <v>49322</v>
      </c>
      <c r="D5678" s="32"/>
      <c r="E5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9" spans="1:6" x14ac:dyDescent="0.35">
      <c r="A5679" s="3">
        <v>49431797102</v>
      </c>
      <c r="B5679" s="3">
        <v>11</v>
      </c>
      <c r="C5679" s="32">
        <v>49322</v>
      </c>
      <c r="D5679" s="32">
        <v>49331</v>
      </c>
      <c r="E5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80" spans="1:6" x14ac:dyDescent="0.35">
      <c r="A5680" s="3">
        <v>64709040475</v>
      </c>
      <c r="B5680" s="3">
        <v>53</v>
      </c>
      <c r="C5680" s="32">
        <v>49322</v>
      </c>
      <c r="D5680" s="32" t="s">
        <v>87</v>
      </c>
      <c r="E5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1" spans="1:6" x14ac:dyDescent="0.35">
      <c r="A5681" s="3">
        <v>95043563988</v>
      </c>
      <c r="B5681" s="3">
        <v>23</v>
      </c>
      <c r="C5681" s="32">
        <v>49322</v>
      </c>
      <c r="D5681" s="32"/>
      <c r="E5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2" spans="1:6" x14ac:dyDescent="0.35">
      <c r="A5682" s="3">
        <v>23625511191</v>
      </c>
      <c r="B5682" s="3">
        <v>148</v>
      </c>
      <c r="C5682" s="32">
        <v>49322</v>
      </c>
      <c r="D5682" s="32" t="s">
        <v>87</v>
      </c>
      <c r="E5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3" spans="1:6" x14ac:dyDescent="0.35">
      <c r="A5683" s="3">
        <v>21001233183</v>
      </c>
      <c r="B5683" s="3">
        <v>260</v>
      </c>
      <c r="C5683" s="32">
        <v>49322</v>
      </c>
      <c r="D5683" s="32" t="s">
        <v>87</v>
      </c>
      <c r="E5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4" spans="1:6" x14ac:dyDescent="0.35">
      <c r="A5684" s="3">
        <v>43453903691</v>
      </c>
      <c r="B5684" s="3">
        <v>214</v>
      </c>
      <c r="C5684" s="32">
        <v>49322</v>
      </c>
      <c r="D5684" s="32" t="s">
        <v>87</v>
      </c>
      <c r="E5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5" spans="1:6" x14ac:dyDescent="0.35">
      <c r="A5685" s="3">
        <v>25503006208</v>
      </c>
      <c r="B5685" s="3">
        <v>243</v>
      </c>
      <c r="C5685" s="32">
        <v>49322</v>
      </c>
      <c r="D5685" s="32"/>
      <c r="E5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6" spans="1:6" x14ac:dyDescent="0.35">
      <c r="A5686" s="3">
        <v>56325300366</v>
      </c>
      <c r="B5686" s="3">
        <v>230</v>
      </c>
      <c r="C5686" s="32">
        <v>49322</v>
      </c>
      <c r="D5686" s="32" t="s">
        <v>87</v>
      </c>
      <c r="E5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7" spans="1:6" x14ac:dyDescent="0.35">
      <c r="A5687" s="3">
        <v>58378699915</v>
      </c>
      <c r="B5687" s="3">
        <v>220</v>
      </c>
      <c r="C5687" s="32">
        <v>49322</v>
      </c>
      <c r="D5687" s="32" t="s">
        <v>87</v>
      </c>
      <c r="E5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8" spans="1:6" x14ac:dyDescent="0.35">
      <c r="A5688" s="3">
        <v>83395101033</v>
      </c>
      <c r="B5688" s="3">
        <v>3</v>
      </c>
      <c r="C5688" s="32">
        <v>49322</v>
      </c>
      <c r="D5688" s="32" t="s">
        <v>87</v>
      </c>
      <c r="E5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9" spans="1:6" x14ac:dyDescent="0.35">
      <c r="A5689" s="3">
        <v>28866774913</v>
      </c>
      <c r="B5689" s="3">
        <v>281</v>
      </c>
      <c r="C5689" s="32">
        <v>49322</v>
      </c>
      <c r="D5689" s="32" t="s">
        <v>87</v>
      </c>
      <c r="E5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0" spans="1:6" x14ac:dyDescent="0.35">
      <c r="A5690" s="3">
        <v>78235145045</v>
      </c>
      <c r="B5690" s="3">
        <v>239</v>
      </c>
      <c r="C5690" s="32">
        <v>49322</v>
      </c>
      <c r="D5690" s="32" t="s">
        <v>87</v>
      </c>
      <c r="E5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1" spans="1:6" x14ac:dyDescent="0.35">
      <c r="A5691" s="3">
        <v>35843832460</v>
      </c>
      <c r="B5691" s="3">
        <v>312</v>
      </c>
      <c r="C5691" s="32">
        <v>49322</v>
      </c>
      <c r="D5691" s="32" t="s">
        <v>87</v>
      </c>
      <c r="E5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2" spans="1:6" x14ac:dyDescent="0.35">
      <c r="A5692" s="3">
        <v>44662359635</v>
      </c>
      <c r="B5692" s="3">
        <v>110</v>
      </c>
      <c r="C5692" s="32">
        <v>49322</v>
      </c>
      <c r="D5692" s="32" t="s">
        <v>87</v>
      </c>
      <c r="E5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3" spans="1:6" x14ac:dyDescent="0.35">
      <c r="A5693" s="3">
        <v>22469748467</v>
      </c>
      <c r="B5693" s="3">
        <v>340</v>
      </c>
      <c r="C5693" s="32">
        <v>49322</v>
      </c>
      <c r="D5693" s="32" t="s">
        <v>87</v>
      </c>
      <c r="E5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4" spans="1:6" x14ac:dyDescent="0.35">
      <c r="A5694" s="3">
        <v>66446956809</v>
      </c>
      <c r="B5694" s="3">
        <v>318</v>
      </c>
      <c r="C5694" s="32">
        <v>49322</v>
      </c>
      <c r="D5694" s="32"/>
      <c r="E5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5" spans="1:6" x14ac:dyDescent="0.35">
      <c r="A5695" s="3">
        <v>89301805986</v>
      </c>
      <c r="B5695" s="3">
        <v>23</v>
      </c>
      <c r="C5695" s="32">
        <v>49322</v>
      </c>
      <c r="D5695" s="32" t="s">
        <v>87</v>
      </c>
      <c r="E5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6" spans="1:6" x14ac:dyDescent="0.35">
      <c r="A5696" s="3">
        <v>45302700531</v>
      </c>
      <c r="B5696" s="3">
        <v>71</v>
      </c>
      <c r="C5696" s="32">
        <v>49322</v>
      </c>
      <c r="D5696" s="32" t="s">
        <v>87</v>
      </c>
      <c r="E5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7" spans="1:6" x14ac:dyDescent="0.35">
      <c r="A5697" s="3">
        <v>68717609469</v>
      </c>
      <c r="B5697" s="3">
        <v>128</v>
      </c>
      <c r="C5697" s="32">
        <v>49322</v>
      </c>
      <c r="D5697" s="32"/>
      <c r="E5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8" spans="1:6" x14ac:dyDescent="0.35">
      <c r="A5698" s="3">
        <v>20771839329</v>
      </c>
      <c r="B5698" s="3">
        <v>193</v>
      </c>
      <c r="C5698" s="32">
        <v>49322</v>
      </c>
      <c r="D5698" s="32" t="s">
        <v>87</v>
      </c>
      <c r="E5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9" spans="1:6" x14ac:dyDescent="0.35">
      <c r="A5699" s="3">
        <v>54817849209</v>
      </c>
      <c r="B5699" s="3">
        <v>132</v>
      </c>
      <c r="C5699" s="32">
        <v>49322</v>
      </c>
      <c r="D5699" s="32" t="s">
        <v>87</v>
      </c>
      <c r="E5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0" spans="1:6" x14ac:dyDescent="0.35">
      <c r="A5700" s="3">
        <v>20682435776</v>
      </c>
      <c r="B5700" s="3">
        <v>234</v>
      </c>
      <c r="C5700" s="32">
        <v>49322</v>
      </c>
      <c r="D5700" s="32" t="s">
        <v>87</v>
      </c>
      <c r="E5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1" spans="1:6" x14ac:dyDescent="0.35">
      <c r="A5701" s="3">
        <v>66697260861</v>
      </c>
      <c r="B5701" s="3">
        <v>137</v>
      </c>
      <c r="C5701" s="32">
        <v>49322</v>
      </c>
      <c r="D5701" s="32" t="s">
        <v>87</v>
      </c>
      <c r="E5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2" spans="1:6" x14ac:dyDescent="0.35">
      <c r="A5702" s="3">
        <v>85903560712</v>
      </c>
      <c r="B5702" s="3">
        <v>303</v>
      </c>
      <c r="C5702" s="32">
        <v>49322</v>
      </c>
      <c r="D5702" s="32" t="s">
        <v>87</v>
      </c>
      <c r="E5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3" spans="1:6" x14ac:dyDescent="0.35">
      <c r="A5703" s="3">
        <v>39752572492</v>
      </c>
      <c r="B5703" s="3">
        <v>327</v>
      </c>
      <c r="C5703" s="32">
        <v>49322</v>
      </c>
      <c r="D5703" s="32" t="s">
        <v>87</v>
      </c>
      <c r="E5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4" spans="1:6" x14ac:dyDescent="0.35">
      <c r="A5704" s="3">
        <v>14145036187</v>
      </c>
      <c r="B5704" s="3">
        <v>50</v>
      </c>
      <c r="C5704" s="32">
        <v>49322</v>
      </c>
      <c r="D5704" s="32" t="s">
        <v>87</v>
      </c>
      <c r="E5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5" spans="1:6" x14ac:dyDescent="0.35">
      <c r="A5705" s="3">
        <v>33236654140</v>
      </c>
      <c r="B5705" s="3">
        <v>10</v>
      </c>
      <c r="C5705" s="32">
        <v>49322</v>
      </c>
      <c r="D5705" s="32" t="s">
        <v>87</v>
      </c>
      <c r="E5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6" spans="1:6" x14ac:dyDescent="0.35">
      <c r="A5706" s="3">
        <v>34943301697</v>
      </c>
      <c r="B5706" s="3">
        <v>7</v>
      </c>
      <c r="C5706" s="32">
        <v>49323</v>
      </c>
      <c r="D5706" s="32" t="s">
        <v>87</v>
      </c>
      <c r="E5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7" spans="1:6" x14ac:dyDescent="0.35">
      <c r="A5707" s="3">
        <v>68208507985</v>
      </c>
      <c r="B5707" s="3">
        <v>22</v>
      </c>
      <c r="C5707" s="32">
        <v>49323</v>
      </c>
      <c r="D5707" s="32" t="s">
        <v>87</v>
      </c>
      <c r="E5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8" spans="1:6" x14ac:dyDescent="0.35">
      <c r="A5708" s="3">
        <v>40830036420</v>
      </c>
      <c r="B5708" s="3">
        <v>76</v>
      </c>
      <c r="C5708" s="32">
        <v>49323</v>
      </c>
      <c r="D5708" s="32" t="s">
        <v>87</v>
      </c>
      <c r="E5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9" spans="1:6" x14ac:dyDescent="0.35">
      <c r="A5709" s="3">
        <v>19521445941</v>
      </c>
      <c r="B5709" s="3">
        <v>131</v>
      </c>
      <c r="C5709" s="32">
        <v>49323</v>
      </c>
      <c r="D5709" s="32" t="s">
        <v>87</v>
      </c>
      <c r="E5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0" spans="1:6" x14ac:dyDescent="0.35">
      <c r="A5710" s="3">
        <v>89596794201</v>
      </c>
      <c r="B5710" s="3">
        <v>127</v>
      </c>
      <c r="C5710" s="32">
        <v>49323</v>
      </c>
      <c r="D5710" s="32" t="s">
        <v>87</v>
      </c>
      <c r="E5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1" spans="1:6" x14ac:dyDescent="0.35">
      <c r="A5711" s="3">
        <v>97804466623</v>
      </c>
      <c r="B5711" s="3">
        <v>50</v>
      </c>
      <c r="C5711" s="32">
        <v>49323</v>
      </c>
      <c r="D5711" s="32" t="s">
        <v>87</v>
      </c>
      <c r="E5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2" spans="1:6" x14ac:dyDescent="0.35">
      <c r="A5712" s="3">
        <v>50238403010</v>
      </c>
      <c r="B5712" s="3">
        <v>58</v>
      </c>
      <c r="C5712" s="32">
        <v>49323</v>
      </c>
      <c r="D5712" s="32" t="s">
        <v>87</v>
      </c>
      <c r="E5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3" spans="1:6" x14ac:dyDescent="0.35">
      <c r="A5713" s="3">
        <v>23332268975</v>
      </c>
      <c r="B5713" s="3">
        <v>11</v>
      </c>
      <c r="C5713" s="32">
        <v>49323</v>
      </c>
      <c r="D5713" s="32"/>
      <c r="E5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4" spans="1:6" x14ac:dyDescent="0.35">
      <c r="A5714" s="3">
        <v>63450115197</v>
      </c>
      <c r="B5714" s="3">
        <v>30</v>
      </c>
      <c r="C5714" s="32">
        <v>49323</v>
      </c>
      <c r="D5714" s="32" t="s">
        <v>87</v>
      </c>
      <c r="E5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5" spans="1:6" x14ac:dyDescent="0.35">
      <c r="A5715" s="3">
        <v>46360949369</v>
      </c>
      <c r="B5715" s="3">
        <v>41</v>
      </c>
      <c r="C5715" s="32">
        <v>49323</v>
      </c>
      <c r="D5715" s="32" t="s">
        <v>87</v>
      </c>
      <c r="E5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6" spans="1:6" x14ac:dyDescent="0.35">
      <c r="A5716" s="3">
        <v>83164148927</v>
      </c>
      <c r="B5716" s="3">
        <v>41</v>
      </c>
      <c r="C5716" s="32">
        <v>49323</v>
      </c>
      <c r="D5716" s="32" t="s">
        <v>87</v>
      </c>
      <c r="E5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7" spans="1:6" x14ac:dyDescent="0.35">
      <c r="A5717" s="3">
        <v>57652341175</v>
      </c>
      <c r="B5717" s="3">
        <v>163</v>
      </c>
      <c r="C5717" s="32">
        <v>49323</v>
      </c>
      <c r="D5717" s="32" t="s">
        <v>87</v>
      </c>
      <c r="E5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8" spans="1:6" x14ac:dyDescent="0.35">
      <c r="A5718" s="3">
        <v>78404943719</v>
      </c>
      <c r="B5718" s="3">
        <v>332</v>
      </c>
      <c r="C5718" s="32">
        <v>49323</v>
      </c>
      <c r="D5718" s="32" t="s">
        <v>87</v>
      </c>
      <c r="E5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9" spans="1:6" x14ac:dyDescent="0.35">
      <c r="A5719" s="3">
        <v>83731768970</v>
      </c>
      <c r="B5719" s="3">
        <v>230</v>
      </c>
      <c r="C5719" s="32">
        <v>49323</v>
      </c>
      <c r="D5719" s="32" t="s">
        <v>87</v>
      </c>
      <c r="E5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0" spans="1:6" x14ac:dyDescent="0.35">
      <c r="A5720" s="3">
        <v>37651146954</v>
      </c>
      <c r="B5720" s="3">
        <v>316</v>
      </c>
      <c r="C5720" s="32">
        <v>49323</v>
      </c>
      <c r="D5720" s="32" t="s">
        <v>87</v>
      </c>
      <c r="E5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1" spans="1:6" x14ac:dyDescent="0.35">
      <c r="A5721" s="3">
        <v>76850543794</v>
      </c>
      <c r="B5721" s="3">
        <v>272</v>
      </c>
      <c r="C5721" s="32">
        <v>49323</v>
      </c>
      <c r="D5721" s="32" t="s">
        <v>87</v>
      </c>
      <c r="E5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2" spans="1:6" x14ac:dyDescent="0.35">
      <c r="A5722" s="3">
        <v>87434160502</v>
      </c>
      <c r="B5722" s="3">
        <v>6</v>
      </c>
      <c r="C5722" s="32">
        <v>49323</v>
      </c>
      <c r="D5722" s="32" t="s">
        <v>87</v>
      </c>
      <c r="E5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3" spans="1:6" x14ac:dyDescent="0.35">
      <c r="A5723" s="3">
        <v>56988358719</v>
      </c>
      <c r="B5723" s="3">
        <v>90</v>
      </c>
      <c r="C5723" s="32">
        <v>49323</v>
      </c>
      <c r="D5723" s="32" t="s">
        <v>87</v>
      </c>
      <c r="E5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4" spans="1:6" x14ac:dyDescent="0.35">
      <c r="A5724" s="3">
        <v>46597726118</v>
      </c>
      <c r="B5724" s="3">
        <v>291</v>
      </c>
      <c r="C5724" s="32">
        <v>49323</v>
      </c>
      <c r="D5724" s="32"/>
      <c r="E5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5" spans="1:6" x14ac:dyDescent="0.35">
      <c r="A5725" s="3">
        <v>63141666552</v>
      </c>
      <c r="B5725" s="3">
        <v>272</v>
      </c>
      <c r="C5725" s="32">
        <v>49323</v>
      </c>
      <c r="D5725" s="32" t="s">
        <v>87</v>
      </c>
      <c r="E5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6" spans="1:6" x14ac:dyDescent="0.35">
      <c r="A5726" s="3">
        <v>92506895567</v>
      </c>
      <c r="B5726" s="3">
        <v>288</v>
      </c>
      <c r="C5726" s="32">
        <v>49323</v>
      </c>
      <c r="D5726" s="32"/>
      <c r="E5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7" spans="1:6" x14ac:dyDescent="0.35">
      <c r="A5727" s="3">
        <v>54108657633</v>
      </c>
      <c r="B5727" s="3">
        <v>156</v>
      </c>
      <c r="C5727" s="32">
        <v>49323</v>
      </c>
      <c r="D5727" s="32" t="s">
        <v>87</v>
      </c>
      <c r="E5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8" spans="1:6" x14ac:dyDescent="0.35">
      <c r="A5728" s="3">
        <v>47643809143</v>
      </c>
      <c r="B5728" s="3">
        <v>200</v>
      </c>
      <c r="C5728" s="32">
        <v>49323</v>
      </c>
      <c r="D5728" s="32" t="s">
        <v>87</v>
      </c>
      <c r="E5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9" spans="1:6" x14ac:dyDescent="0.35">
      <c r="A5729" s="3">
        <v>94338469244</v>
      </c>
      <c r="B5729" s="3">
        <v>58</v>
      </c>
      <c r="C5729" s="32">
        <v>49324</v>
      </c>
      <c r="D5729" s="32" t="s">
        <v>87</v>
      </c>
      <c r="E5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0" spans="1:6" x14ac:dyDescent="0.35">
      <c r="A5730" s="3">
        <v>88701272799</v>
      </c>
      <c r="B5730" s="3">
        <v>108</v>
      </c>
      <c r="C5730" s="32">
        <v>49324</v>
      </c>
      <c r="D5730" s="32" t="s">
        <v>87</v>
      </c>
      <c r="E5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1" spans="1:6" x14ac:dyDescent="0.35">
      <c r="A5731" s="3">
        <v>71559890779</v>
      </c>
      <c r="B5731" s="3">
        <v>188</v>
      </c>
      <c r="C5731" s="32">
        <v>49324</v>
      </c>
      <c r="D5731" s="32" t="s">
        <v>87</v>
      </c>
      <c r="E5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2" spans="1:6" x14ac:dyDescent="0.35">
      <c r="A5732" s="3">
        <v>49015829668</v>
      </c>
      <c r="B5732" s="3">
        <v>211</v>
      </c>
      <c r="C5732" s="32">
        <v>49324</v>
      </c>
      <c r="D5732" s="32" t="s">
        <v>87</v>
      </c>
      <c r="E5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3" spans="1:6" x14ac:dyDescent="0.35">
      <c r="A5733" s="3">
        <v>65460352286</v>
      </c>
      <c r="B5733" s="3">
        <v>231</v>
      </c>
      <c r="C5733" s="32">
        <v>49324</v>
      </c>
      <c r="D5733" s="32" t="s">
        <v>87</v>
      </c>
      <c r="E5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4" spans="1:6" x14ac:dyDescent="0.35">
      <c r="A5734" s="3">
        <v>97524585337</v>
      </c>
      <c r="B5734" s="3">
        <v>336</v>
      </c>
      <c r="C5734" s="32">
        <v>49324</v>
      </c>
      <c r="D5734" s="32" t="s">
        <v>87</v>
      </c>
      <c r="E5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5" spans="1:6" x14ac:dyDescent="0.35">
      <c r="A5735" s="3">
        <v>78569561600</v>
      </c>
      <c r="B5735" s="3">
        <v>1</v>
      </c>
      <c r="C5735" s="32">
        <v>49324</v>
      </c>
      <c r="D5735" s="32" t="s">
        <v>87</v>
      </c>
      <c r="E5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6" spans="1:6" x14ac:dyDescent="0.35">
      <c r="A5736" s="3">
        <v>78876325784</v>
      </c>
      <c r="B5736" s="3">
        <v>82</v>
      </c>
      <c r="C5736" s="32">
        <v>49324</v>
      </c>
      <c r="D5736" s="32" t="s">
        <v>87</v>
      </c>
      <c r="E5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7" spans="1:6" x14ac:dyDescent="0.35">
      <c r="A5737" s="3">
        <v>88034157502</v>
      </c>
      <c r="B5737" s="3">
        <v>31</v>
      </c>
      <c r="C5737" s="32">
        <v>49324</v>
      </c>
      <c r="D5737" s="32" t="s">
        <v>87</v>
      </c>
      <c r="E5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8" spans="1:6" x14ac:dyDescent="0.35">
      <c r="A5738" s="3">
        <v>24049143876</v>
      </c>
      <c r="B5738" s="3">
        <v>65</v>
      </c>
      <c r="C5738" s="32">
        <v>49324</v>
      </c>
      <c r="D5738" s="32" t="s">
        <v>87</v>
      </c>
      <c r="E5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9" spans="1:6" x14ac:dyDescent="0.35">
      <c r="A5739" s="3">
        <v>78827326838</v>
      </c>
      <c r="B5739" s="3">
        <v>257</v>
      </c>
      <c r="C5739" s="32">
        <v>49324</v>
      </c>
      <c r="D5739" s="32" t="s">
        <v>87</v>
      </c>
      <c r="E5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0" spans="1:6" x14ac:dyDescent="0.35">
      <c r="A5740" s="3">
        <v>36994155650</v>
      </c>
      <c r="B5740" s="3">
        <v>268</v>
      </c>
      <c r="C5740" s="32">
        <v>49324</v>
      </c>
      <c r="D5740" s="32" t="s">
        <v>87</v>
      </c>
      <c r="E5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1" spans="1:6" x14ac:dyDescent="0.35">
      <c r="A5741" s="3">
        <v>87088367298</v>
      </c>
      <c r="B5741" s="3">
        <v>108</v>
      </c>
      <c r="C5741" s="32">
        <v>49324</v>
      </c>
      <c r="D5741" s="32" t="s">
        <v>87</v>
      </c>
      <c r="E5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2" spans="1:6" x14ac:dyDescent="0.35">
      <c r="A5742" s="3">
        <v>82896280181</v>
      </c>
      <c r="B5742" s="3">
        <v>308</v>
      </c>
      <c r="C5742" s="32">
        <v>49324</v>
      </c>
      <c r="D5742" s="32" t="s">
        <v>87</v>
      </c>
      <c r="E5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3" spans="1:6" x14ac:dyDescent="0.35">
      <c r="A5743" s="3">
        <v>68758227288</v>
      </c>
      <c r="B5743" s="3">
        <v>183</v>
      </c>
      <c r="C5743" s="32">
        <v>49324</v>
      </c>
      <c r="D5743" s="32" t="s">
        <v>87</v>
      </c>
      <c r="E5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4" spans="1:6" x14ac:dyDescent="0.35">
      <c r="A5744" s="3">
        <v>45943068349</v>
      </c>
      <c r="B5744" s="3">
        <v>164</v>
      </c>
      <c r="C5744" s="32">
        <v>49324</v>
      </c>
      <c r="D5744" s="32" t="s">
        <v>87</v>
      </c>
      <c r="E5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5" spans="1:6" x14ac:dyDescent="0.35">
      <c r="A5745" s="3">
        <v>75905797565</v>
      </c>
      <c r="B5745" s="3">
        <v>18</v>
      </c>
      <c r="C5745" s="32">
        <v>49324</v>
      </c>
      <c r="D5745" s="32" t="s">
        <v>87</v>
      </c>
      <c r="E5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6" spans="1:6" x14ac:dyDescent="0.35">
      <c r="A5746" s="3">
        <v>97935798316</v>
      </c>
      <c r="B5746" s="3">
        <v>42</v>
      </c>
      <c r="C5746" s="32">
        <v>49324</v>
      </c>
      <c r="D5746" s="32" t="s">
        <v>87</v>
      </c>
      <c r="E5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7" spans="1:6" x14ac:dyDescent="0.35">
      <c r="A5747" s="3">
        <v>89624365610</v>
      </c>
      <c r="B5747" s="3">
        <v>308</v>
      </c>
      <c r="C5747" s="32">
        <v>49324</v>
      </c>
      <c r="D5747" s="32"/>
      <c r="E5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8" spans="1:6" x14ac:dyDescent="0.35">
      <c r="A5748" s="3">
        <v>29557882029</v>
      </c>
      <c r="B5748" s="3">
        <v>79</v>
      </c>
      <c r="C5748" s="32">
        <v>49324</v>
      </c>
      <c r="D5748" s="32" t="s">
        <v>87</v>
      </c>
      <c r="E5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9" spans="1:6" x14ac:dyDescent="0.35">
      <c r="A5749" s="3">
        <v>85267166034</v>
      </c>
      <c r="B5749" s="3">
        <v>223</v>
      </c>
      <c r="C5749" s="32">
        <v>49324</v>
      </c>
      <c r="D5749" s="32" t="s">
        <v>87</v>
      </c>
      <c r="E5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0" spans="1:6" x14ac:dyDescent="0.35">
      <c r="A5750" s="3">
        <v>15301365750</v>
      </c>
      <c r="B5750" s="3">
        <v>228</v>
      </c>
      <c r="C5750" s="32">
        <v>49324</v>
      </c>
      <c r="D5750" s="32" t="s">
        <v>87</v>
      </c>
      <c r="E5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1" spans="1:6" x14ac:dyDescent="0.35">
      <c r="A5751" s="3">
        <v>32342249891</v>
      </c>
      <c r="B5751" s="3">
        <v>102</v>
      </c>
      <c r="C5751" s="32">
        <v>49324</v>
      </c>
      <c r="D5751" s="32"/>
      <c r="E5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2" spans="1:6" x14ac:dyDescent="0.35">
      <c r="A5752" s="3">
        <v>88975536510</v>
      </c>
      <c r="B5752" s="3">
        <v>276</v>
      </c>
      <c r="C5752" s="32">
        <v>49324</v>
      </c>
      <c r="D5752" s="32"/>
      <c r="E5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3" spans="1:6" x14ac:dyDescent="0.35">
      <c r="A5753" s="3">
        <v>23987759739</v>
      </c>
      <c r="B5753" s="3">
        <v>120</v>
      </c>
      <c r="C5753" s="32">
        <v>49324</v>
      </c>
      <c r="D5753" s="32"/>
      <c r="E5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4" spans="1:6" x14ac:dyDescent="0.35">
      <c r="A5754" s="3">
        <v>34826249894</v>
      </c>
      <c r="B5754" s="3">
        <v>157</v>
      </c>
      <c r="C5754" s="32">
        <v>49324</v>
      </c>
      <c r="D5754" s="32" t="s">
        <v>87</v>
      </c>
      <c r="E5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5" spans="1:6" x14ac:dyDescent="0.35">
      <c r="A5755" s="3">
        <v>39418387636</v>
      </c>
      <c r="B5755" s="3">
        <v>133</v>
      </c>
      <c r="C5755" s="32">
        <v>49324</v>
      </c>
      <c r="D5755" s="32" t="s">
        <v>87</v>
      </c>
      <c r="E5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6" spans="1:6" x14ac:dyDescent="0.35">
      <c r="A5756" s="3">
        <v>58487850122</v>
      </c>
      <c r="B5756" s="3">
        <v>173</v>
      </c>
      <c r="C5756" s="32">
        <v>49324</v>
      </c>
      <c r="D5756" s="32" t="s">
        <v>87</v>
      </c>
      <c r="E5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7" spans="1:6" x14ac:dyDescent="0.35">
      <c r="A5757" s="3">
        <v>77136661099</v>
      </c>
      <c r="B5757" s="3">
        <v>269</v>
      </c>
      <c r="C5757" s="32">
        <v>49324</v>
      </c>
      <c r="D5757" s="32"/>
      <c r="E5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8" spans="1:6" x14ac:dyDescent="0.35">
      <c r="A5758" s="3">
        <v>81941986496</v>
      </c>
      <c r="B5758" s="3">
        <v>204</v>
      </c>
      <c r="C5758" s="32">
        <v>49324</v>
      </c>
      <c r="D5758" s="32" t="s">
        <v>87</v>
      </c>
      <c r="E5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9" spans="1:6" x14ac:dyDescent="0.35">
      <c r="A5759" s="3">
        <v>14496943949</v>
      </c>
      <c r="B5759" s="3">
        <v>34</v>
      </c>
      <c r="C5759" s="32">
        <v>49324</v>
      </c>
      <c r="D5759" s="32" t="s">
        <v>87</v>
      </c>
      <c r="E5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0" spans="1:6" x14ac:dyDescent="0.35">
      <c r="A5760" s="3">
        <v>65896417746</v>
      </c>
      <c r="B5760" s="3">
        <v>237</v>
      </c>
      <c r="C5760" s="32">
        <v>49325</v>
      </c>
      <c r="D5760" s="32"/>
      <c r="E5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1" spans="1:6" x14ac:dyDescent="0.35">
      <c r="A5761" s="3">
        <v>17678325091</v>
      </c>
      <c r="B5761" s="3">
        <v>220</v>
      </c>
      <c r="C5761" s="32">
        <v>49325</v>
      </c>
      <c r="D5761" s="32" t="s">
        <v>87</v>
      </c>
      <c r="E5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2" spans="1:6" x14ac:dyDescent="0.35">
      <c r="A5762" s="3">
        <v>29816670240</v>
      </c>
      <c r="B5762" s="3">
        <v>298</v>
      </c>
      <c r="C5762" s="32">
        <v>49325</v>
      </c>
      <c r="D5762" s="32" t="s">
        <v>87</v>
      </c>
      <c r="E5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3" spans="1:6" x14ac:dyDescent="0.35">
      <c r="A5763" s="3">
        <v>56676954020</v>
      </c>
      <c r="B5763" s="3">
        <v>217</v>
      </c>
      <c r="C5763" s="32">
        <v>49325</v>
      </c>
      <c r="D5763" s="32"/>
      <c r="E5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4" spans="1:6" x14ac:dyDescent="0.35">
      <c r="A5764" s="3">
        <v>78575532331</v>
      </c>
      <c r="B5764" s="3">
        <v>203</v>
      </c>
      <c r="C5764" s="32">
        <v>49325</v>
      </c>
      <c r="D5764" s="32" t="s">
        <v>87</v>
      </c>
      <c r="E5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5" spans="1:6" x14ac:dyDescent="0.35">
      <c r="A5765" s="3">
        <v>47005958770</v>
      </c>
      <c r="B5765" s="3">
        <v>303</v>
      </c>
      <c r="C5765" s="32">
        <v>49325</v>
      </c>
      <c r="D5765" s="32"/>
      <c r="E5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6" spans="1:6" x14ac:dyDescent="0.35">
      <c r="A5766" s="3">
        <v>21865815641</v>
      </c>
      <c r="B5766" s="3">
        <v>147</v>
      </c>
      <c r="C5766" s="32">
        <v>49325</v>
      </c>
      <c r="D5766" s="32"/>
      <c r="E5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7" spans="1:6" x14ac:dyDescent="0.35">
      <c r="A5767" s="3">
        <v>96468165635</v>
      </c>
      <c r="B5767" s="3">
        <v>63</v>
      </c>
      <c r="C5767" s="32">
        <v>49325</v>
      </c>
      <c r="D5767" s="32" t="s">
        <v>87</v>
      </c>
      <c r="E5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8" spans="1:6" x14ac:dyDescent="0.35">
      <c r="A5768" s="3">
        <v>92436719580</v>
      </c>
      <c r="B5768" s="3">
        <v>2</v>
      </c>
      <c r="C5768" s="32">
        <v>49325</v>
      </c>
      <c r="D5768" s="32" t="s">
        <v>87</v>
      </c>
      <c r="E5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9" spans="1:6" x14ac:dyDescent="0.35">
      <c r="A5769" s="3">
        <v>89493150612</v>
      </c>
      <c r="B5769" s="3">
        <v>117</v>
      </c>
      <c r="C5769" s="32">
        <v>49325</v>
      </c>
      <c r="D5769" s="32"/>
      <c r="E5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0" spans="1:6" x14ac:dyDescent="0.35">
      <c r="A5770" s="3">
        <v>76588905220</v>
      </c>
      <c r="B5770" s="3">
        <v>18</v>
      </c>
      <c r="C5770" s="32">
        <v>49325</v>
      </c>
      <c r="D5770" s="32" t="s">
        <v>87</v>
      </c>
      <c r="E5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1" spans="1:6" x14ac:dyDescent="0.35">
      <c r="A5771" s="3">
        <v>17141339993</v>
      </c>
      <c r="B5771" s="3">
        <v>162</v>
      </c>
      <c r="C5771" s="32">
        <v>49325</v>
      </c>
      <c r="D5771" s="32"/>
      <c r="E5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2" spans="1:6" x14ac:dyDescent="0.35">
      <c r="A5772" s="3">
        <v>75736876299</v>
      </c>
      <c r="B5772" s="3">
        <v>219</v>
      </c>
      <c r="C5772" s="32">
        <v>49325</v>
      </c>
      <c r="D5772" s="32" t="s">
        <v>87</v>
      </c>
      <c r="E5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3" spans="1:6" x14ac:dyDescent="0.35">
      <c r="A5773" s="3">
        <v>26958470292</v>
      </c>
      <c r="B5773" s="3">
        <v>107</v>
      </c>
      <c r="C5773" s="32">
        <v>49325</v>
      </c>
      <c r="D5773" s="32" t="s">
        <v>87</v>
      </c>
      <c r="E5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4" spans="1:6" x14ac:dyDescent="0.35">
      <c r="A5774" s="3">
        <v>42736240456</v>
      </c>
      <c r="B5774" s="3">
        <v>22</v>
      </c>
      <c r="C5774" s="32">
        <v>49325</v>
      </c>
      <c r="D5774" s="32" t="s">
        <v>87</v>
      </c>
      <c r="E5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5" spans="1:6" x14ac:dyDescent="0.35">
      <c r="A5775" s="3">
        <v>18145993967</v>
      </c>
      <c r="B5775" s="3">
        <v>234</v>
      </c>
      <c r="C5775" s="32">
        <v>49325</v>
      </c>
      <c r="D5775" s="32" t="s">
        <v>87</v>
      </c>
      <c r="E5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6" spans="1:6" x14ac:dyDescent="0.35">
      <c r="A5776" s="3">
        <v>49515984777</v>
      </c>
      <c r="B5776" s="3">
        <v>246</v>
      </c>
      <c r="C5776" s="32">
        <v>49325</v>
      </c>
      <c r="D5776" s="32"/>
      <c r="E5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7" spans="1:6" x14ac:dyDescent="0.35">
      <c r="A5777" s="3">
        <v>65211514650</v>
      </c>
      <c r="B5777" s="3">
        <v>246</v>
      </c>
      <c r="C5777" s="32">
        <v>49325</v>
      </c>
      <c r="D5777" s="32" t="s">
        <v>87</v>
      </c>
      <c r="E5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8" spans="1:6" x14ac:dyDescent="0.35">
      <c r="A5778" s="3">
        <v>66568684536</v>
      </c>
      <c r="B5778" s="3">
        <v>338</v>
      </c>
      <c r="C5778" s="32">
        <v>49325</v>
      </c>
      <c r="D5778" s="32"/>
      <c r="E5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9" spans="1:6" x14ac:dyDescent="0.35">
      <c r="A5779" s="3">
        <v>95970389724</v>
      </c>
      <c r="B5779" s="3">
        <v>183</v>
      </c>
      <c r="C5779" s="32">
        <v>49325</v>
      </c>
      <c r="D5779" s="32" t="s">
        <v>87</v>
      </c>
      <c r="E5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0" spans="1:6" x14ac:dyDescent="0.35">
      <c r="A5780" s="3">
        <v>30753981201</v>
      </c>
      <c r="B5780" s="3">
        <v>86</v>
      </c>
      <c r="C5780" s="32">
        <v>49325</v>
      </c>
      <c r="D5780" s="32" t="s">
        <v>87</v>
      </c>
      <c r="E5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1" spans="1:6" x14ac:dyDescent="0.35">
      <c r="A5781" s="3">
        <v>57595692390</v>
      </c>
      <c r="B5781" s="3">
        <v>14</v>
      </c>
      <c r="C5781" s="32">
        <v>49325</v>
      </c>
      <c r="D5781" s="32"/>
      <c r="E5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2" spans="1:6" x14ac:dyDescent="0.35">
      <c r="A5782" s="3">
        <v>69743382516</v>
      </c>
      <c r="B5782" s="3">
        <v>135</v>
      </c>
      <c r="C5782" s="32">
        <v>49325</v>
      </c>
      <c r="D5782" s="32" t="s">
        <v>87</v>
      </c>
      <c r="E5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3" spans="1:6" x14ac:dyDescent="0.35">
      <c r="A5783" s="3">
        <v>83509530061</v>
      </c>
      <c r="B5783" s="3">
        <v>166</v>
      </c>
      <c r="C5783" s="32">
        <v>49325</v>
      </c>
      <c r="D5783" s="32"/>
      <c r="E5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4" spans="1:6" x14ac:dyDescent="0.35">
      <c r="A5784" s="3">
        <v>86083150295</v>
      </c>
      <c r="B5784" s="3">
        <v>134</v>
      </c>
      <c r="C5784" s="32">
        <v>49325</v>
      </c>
      <c r="D5784" s="32" t="s">
        <v>87</v>
      </c>
      <c r="E5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5" spans="1:6" x14ac:dyDescent="0.35">
      <c r="A5785" s="3">
        <v>21358094870</v>
      </c>
      <c r="B5785" s="3">
        <v>52</v>
      </c>
      <c r="C5785" s="32">
        <v>49325</v>
      </c>
      <c r="D5785" s="32" t="s">
        <v>87</v>
      </c>
      <c r="E5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6" spans="1:6" x14ac:dyDescent="0.35">
      <c r="A5786" s="3">
        <v>50334711560</v>
      </c>
      <c r="B5786" s="3">
        <v>13</v>
      </c>
      <c r="C5786" s="32">
        <v>49325</v>
      </c>
      <c r="D5786" s="32" t="s">
        <v>87</v>
      </c>
      <c r="E5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7" spans="1:6" x14ac:dyDescent="0.35">
      <c r="A5787" s="3">
        <v>24575321781</v>
      </c>
      <c r="B5787" s="3">
        <v>112</v>
      </c>
      <c r="C5787" s="32">
        <v>49326</v>
      </c>
      <c r="D5787" s="32" t="s">
        <v>87</v>
      </c>
      <c r="E5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8" spans="1:6" x14ac:dyDescent="0.35">
      <c r="A5788" s="3">
        <v>86298620493</v>
      </c>
      <c r="B5788" s="3">
        <v>152</v>
      </c>
      <c r="C5788" s="32">
        <v>49326</v>
      </c>
      <c r="D5788" s="32" t="s">
        <v>87</v>
      </c>
      <c r="E5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9" spans="1:6" x14ac:dyDescent="0.35">
      <c r="A5789" s="3">
        <v>36137206443</v>
      </c>
      <c r="B5789" s="3">
        <v>131</v>
      </c>
      <c r="C5789" s="32">
        <v>49326</v>
      </c>
      <c r="D5789" s="32" t="s">
        <v>87</v>
      </c>
      <c r="E5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0" spans="1:6" x14ac:dyDescent="0.35">
      <c r="A5790" s="3">
        <v>45282056172</v>
      </c>
      <c r="B5790" s="3">
        <v>104</v>
      </c>
      <c r="C5790" s="32">
        <v>49326</v>
      </c>
      <c r="D5790" s="32" t="s">
        <v>87</v>
      </c>
      <c r="E5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1" spans="1:6" x14ac:dyDescent="0.35">
      <c r="A5791" s="3">
        <v>41077303517</v>
      </c>
      <c r="B5791" s="3">
        <v>151</v>
      </c>
      <c r="C5791" s="32">
        <v>49326</v>
      </c>
      <c r="D5791" s="32" t="s">
        <v>87</v>
      </c>
      <c r="E5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2" spans="1:6" x14ac:dyDescent="0.35">
      <c r="A5792" s="3">
        <v>65686104130</v>
      </c>
      <c r="B5792" s="3">
        <v>166</v>
      </c>
      <c r="C5792" s="32">
        <v>49326</v>
      </c>
      <c r="D5792" s="32" t="s">
        <v>87</v>
      </c>
      <c r="E5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3" spans="1:6" x14ac:dyDescent="0.35">
      <c r="A5793" s="3">
        <v>66186040995</v>
      </c>
      <c r="B5793" s="3">
        <v>143</v>
      </c>
      <c r="C5793" s="32">
        <v>49326</v>
      </c>
      <c r="D5793" s="32"/>
      <c r="E5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4" spans="1:6" x14ac:dyDescent="0.35">
      <c r="A5794" s="3">
        <v>98232404143</v>
      </c>
      <c r="B5794" s="3">
        <v>273</v>
      </c>
      <c r="C5794" s="32">
        <v>49326</v>
      </c>
      <c r="D5794" s="32" t="s">
        <v>87</v>
      </c>
      <c r="E5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5" spans="1:6" x14ac:dyDescent="0.35">
      <c r="A5795" s="3">
        <v>19200770096</v>
      </c>
      <c r="B5795" s="3">
        <v>248</v>
      </c>
      <c r="C5795" s="32">
        <v>49326</v>
      </c>
      <c r="D5795" s="32" t="s">
        <v>87</v>
      </c>
      <c r="E5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6" spans="1:6" x14ac:dyDescent="0.35">
      <c r="A5796" s="3">
        <v>20308267948</v>
      </c>
      <c r="B5796" s="3">
        <v>274</v>
      </c>
      <c r="C5796" s="32">
        <v>49326</v>
      </c>
      <c r="D5796" s="32" t="s">
        <v>87</v>
      </c>
      <c r="E5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7" spans="1:6" x14ac:dyDescent="0.35">
      <c r="A5797" s="3">
        <v>53190040918</v>
      </c>
      <c r="B5797" s="3">
        <v>340</v>
      </c>
      <c r="C5797" s="32">
        <v>49326</v>
      </c>
      <c r="D5797" s="32" t="s">
        <v>87</v>
      </c>
      <c r="E5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8" spans="1:6" x14ac:dyDescent="0.35">
      <c r="A5798" s="3">
        <v>20825917535</v>
      </c>
      <c r="B5798" s="3">
        <v>4</v>
      </c>
      <c r="C5798" s="32">
        <v>49326</v>
      </c>
      <c r="D5798" s="32" t="s">
        <v>87</v>
      </c>
      <c r="E5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9" spans="1:6" x14ac:dyDescent="0.35">
      <c r="A5799" s="3">
        <v>64518176370</v>
      </c>
      <c r="B5799" s="3">
        <v>148</v>
      </c>
      <c r="C5799" s="32">
        <v>49326</v>
      </c>
      <c r="D5799" s="32" t="s">
        <v>87</v>
      </c>
      <c r="E5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0" spans="1:6" x14ac:dyDescent="0.35">
      <c r="A5800" s="3">
        <v>47996959689</v>
      </c>
      <c r="B5800" s="3">
        <v>324</v>
      </c>
      <c r="C5800" s="32">
        <v>49326</v>
      </c>
      <c r="D5800" s="32" t="s">
        <v>87</v>
      </c>
      <c r="E5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1" spans="1:6" x14ac:dyDescent="0.35">
      <c r="A5801" s="3">
        <v>96979749738</v>
      </c>
      <c r="B5801" s="3">
        <v>13</v>
      </c>
      <c r="C5801" s="32">
        <v>49326</v>
      </c>
      <c r="D5801" s="32" t="s">
        <v>87</v>
      </c>
      <c r="E5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2" spans="1:6" x14ac:dyDescent="0.35">
      <c r="A5802" s="3">
        <v>33459426555</v>
      </c>
      <c r="B5802" s="3">
        <v>142</v>
      </c>
      <c r="C5802" s="32">
        <v>49326</v>
      </c>
      <c r="D5802" s="32" t="s">
        <v>87</v>
      </c>
      <c r="E5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3" spans="1:6" x14ac:dyDescent="0.35">
      <c r="A5803" s="3">
        <v>20575546781</v>
      </c>
      <c r="B5803" s="3">
        <v>161</v>
      </c>
      <c r="C5803" s="32">
        <v>49326</v>
      </c>
      <c r="D5803" s="32" t="s">
        <v>87</v>
      </c>
      <c r="E5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4" spans="1:6" x14ac:dyDescent="0.35">
      <c r="A5804" s="3">
        <v>57568684273</v>
      </c>
      <c r="B5804" s="3">
        <v>116</v>
      </c>
      <c r="C5804" s="32">
        <v>49327</v>
      </c>
      <c r="D5804" s="32" t="s">
        <v>87</v>
      </c>
      <c r="E5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5" spans="1:6" x14ac:dyDescent="0.35">
      <c r="A5805" s="3">
        <v>41258857622</v>
      </c>
      <c r="B5805" s="3">
        <v>224</v>
      </c>
      <c r="C5805" s="32">
        <v>49327</v>
      </c>
      <c r="D5805" s="32" t="s">
        <v>87</v>
      </c>
      <c r="E5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6" spans="1:6" x14ac:dyDescent="0.35">
      <c r="A5806" s="3">
        <v>53551901177</v>
      </c>
      <c r="B5806" s="3">
        <v>198</v>
      </c>
      <c r="C5806" s="32">
        <v>49327</v>
      </c>
      <c r="D5806" s="32" t="s">
        <v>87</v>
      </c>
      <c r="E5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7" spans="1:6" x14ac:dyDescent="0.35">
      <c r="A5807" s="3">
        <v>27892593023</v>
      </c>
      <c r="B5807" s="3">
        <v>327</v>
      </c>
      <c r="C5807" s="32">
        <v>49327</v>
      </c>
      <c r="D5807" s="32">
        <v>49327</v>
      </c>
      <c r="E5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808" spans="1:6" x14ac:dyDescent="0.35">
      <c r="A5808" s="3">
        <v>19233565404</v>
      </c>
      <c r="B5808" s="3">
        <v>98</v>
      </c>
      <c r="C5808" s="32">
        <v>49327</v>
      </c>
      <c r="D5808" s="32" t="s">
        <v>87</v>
      </c>
      <c r="E5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9" spans="1:6" x14ac:dyDescent="0.35">
      <c r="A5809" s="3">
        <v>18458126787</v>
      </c>
      <c r="B5809" s="3">
        <v>225</v>
      </c>
      <c r="C5809" s="32">
        <v>49327</v>
      </c>
      <c r="D5809" s="32"/>
      <c r="E5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0" spans="1:6" x14ac:dyDescent="0.35">
      <c r="A5810" s="3">
        <v>33926434855</v>
      </c>
      <c r="B5810" s="3">
        <v>20</v>
      </c>
      <c r="C5810" s="32">
        <v>49327</v>
      </c>
      <c r="D5810" s="32" t="s">
        <v>87</v>
      </c>
      <c r="E5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1" spans="1:6" x14ac:dyDescent="0.35">
      <c r="A5811" s="3">
        <v>83717001264</v>
      </c>
      <c r="B5811" s="3">
        <v>38</v>
      </c>
      <c r="C5811" s="32">
        <v>49327</v>
      </c>
      <c r="D5811" s="32" t="s">
        <v>87</v>
      </c>
      <c r="E5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2" spans="1:6" x14ac:dyDescent="0.35">
      <c r="A5812" s="3">
        <v>60778885005</v>
      </c>
      <c r="B5812" s="3">
        <v>240</v>
      </c>
      <c r="C5812" s="32">
        <v>49327</v>
      </c>
      <c r="D5812" s="32" t="s">
        <v>87</v>
      </c>
      <c r="E5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3" spans="1:6" x14ac:dyDescent="0.35">
      <c r="A5813" s="3">
        <v>53021673965</v>
      </c>
      <c r="B5813" s="3">
        <v>265</v>
      </c>
      <c r="C5813" s="32">
        <v>49327</v>
      </c>
      <c r="D5813" s="32" t="s">
        <v>87</v>
      </c>
      <c r="E5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4" spans="1:6" x14ac:dyDescent="0.35">
      <c r="A5814" s="3">
        <v>63013665118</v>
      </c>
      <c r="B5814" s="3">
        <v>107</v>
      </c>
      <c r="C5814" s="32">
        <v>49327</v>
      </c>
      <c r="D5814" s="32" t="s">
        <v>87</v>
      </c>
      <c r="E5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5" spans="1:6" x14ac:dyDescent="0.35">
      <c r="A5815" s="3">
        <v>38607269281</v>
      </c>
      <c r="B5815" s="3">
        <v>108</v>
      </c>
      <c r="C5815" s="32">
        <v>49327</v>
      </c>
      <c r="D5815" s="32" t="s">
        <v>87</v>
      </c>
      <c r="E5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6" spans="1:6" x14ac:dyDescent="0.35">
      <c r="A5816" s="3">
        <v>72465111181</v>
      </c>
      <c r="B5816" s="3">
        <v>155</v>
      </c>
      <c r="C5816" s="32">
        <v>49327</v>
      </c>
      <c r="D5816" s="32" t="s">
        <v>87</v>
      </c>
      <c r="E5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7" spans="1:6" x14ac:dyDescent="0.35">
      <c r="A5817" s="3">
        <v>88798084134</v>
      </c>
      <c r="B5817" s="3">
        <v>323</v>
      </c>
      <c r="C5817" s="32">
        <v>49327</v>
      </c>
      <c r="D5817" s="32"/>
      <c r="E5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8" spans="1:6" x14ac:dyDescent="0.35">
      <c r="A5818" s="3">
        <v>80977903532</v>
      </c>
      <c r="B5818" s="3">
        <v>111</v>
      </c>
      <c r="C5818" s="32">
        <v>49327</v>
      </c>
      <c r="D5818" s="32" t="s">
        <v>87</v>
      </c>
      <c r="E5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9" spans="1:6" x14ac:dyDescent="0.35">
      <c r="A5819" s="3">
        <v>24045694542</v>
      </c>
      <c r="B5819" s="3">
        <v>199</v>
      </c>
      <c r="C5819" s="32">
        <v>49327</v>
      </c>
      <c r="D5819" s="32"/>
      <c r="E5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0" spans="1:6" x14ac:dyDescent="0.35">
      <c r="A5820" s="3">
        <v>88290289808</v>
      </c>
      <c r="B5820" s="3">
        <v>88</v>
      </c>
      <c r="C5820" s="32">
        <v>49327</v>
      </c>
      <c r="D5820" s="32"/>
      <c r="E5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1" spans="1:6" x14ac:dyDescent="0.35">
      <c r="A5821" s="3">
        <v>33548299312</v>
      </c>
      <c r="B5821" s="3">
        <v>48</v>
      </c>
      <c r="C5821" s="32">
        <v>49327</v>
      </c>
      <c r="D5821" s="32" t="s">
        <v>87</v>
      </c>
      <c r="E5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2" spans="1:6" x14ac:dyDescent="0.35">
      <c r="A5822" s="3">
        <v>45003585087</v>
      </c>
      <c r="B5822" s="3">
        <v>156</v>
      </c>
      <c r="C5822" s="32">
        <v>49327</v>
      </c>
      <c r="D5822" s="32"/>
      <c r="E5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3" spans="1:6" x14ac:dyDescent="0.35">
      <c r="A5823" s="3">
        <v>38514191549</v>
      </c>
      <c r="B5823" s="3">
        <v>65</v>
      </c>
      <c r="C5823" s="32">
        <v>49327</v>
      </c>
      <c r="D5823" s="32" t="s">
        <v>87</v>
      </c>
      <c r="E5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4" spans="1:6" x14ac:dyDescent="0.35">
      <c r="A5824" s="3">
        <v>60805846742</v>
      </c>
      <c r="B5824" s="3">
        <v>315</v>
      </c>
      <c r="C5824" s="32">
        <v>49327</v>
      </c>
      <c r="D5824" s="32" t="s">
        <v>87</v>
      </c>
      <c r="E5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5" spans="1:6" x14ac:dyDescent="0.35">
      <c r="A5825" s="3">
        <v>39520462666</v>
      </c>
      <c r="B5825" s="3">
        <v>58</v>
      </c>
      <c r="C5825" s="32">
        <v>49327</v>
      </c>
      <c r="D5825" s="32" t="s">
        <v>87</v>
      </c>
      <c r="E5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6" spans="1:6" x14ac:dyDescent="0.35">
      <c r="A5826" s="3">
        <v>69681385243</v>
      </c>
      <c r="B5826" s="3">
        <v>22</v>
      </c>
      <c r="C5826" s="32">
        <v>49328</v>
      </c>
      <c r="D5826" s="32" t="s">
        <v>87</v>
      </c>
      <c r="E5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7" spans="1:6" x14ac:dyDescent="0.35">
      <c r="A5827" s="3">
        <v>67097613398</v>
      </c>
      <c r="B5827" s="3">
        <v>162</v>
      </c>
      <c r="C5827" s="32">
        <v>49328</v>
      </c>
      <c r="D5827" s="32"/>
      <c r="E5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8" spans="1:6" x14ac:dyDescent="0.35">
      <c r="A5828" s="3">
        <v>57164840845</v>
      </c>
      <c r="B5828" s="3">
        <v>81</v>
      </c>
      <c r="C5828" s="32">
        <v>49328</v>
      </c>
      <c r="D5828" s="32" t="s">
        <v>87</v>
      </c>
      <c r="E5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9" spans="1:6" x14ac:dyDescent="0.35">
      <c r="A5829" s="3">
        <v>81885268721</v>
      </c>
      <c r="B5829" s="3">
        <v>188</v>
      </c>
      <c r="C5829" s="32">
        <v>49328</v>
      </c>
      <c r="D5829" s="32" t="s">
        <v>87</v>
      </c>
      <c r="E5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0" spans="1:6" x14ac:dyDescent="0.35">
      <c r="A5830" s="3">
        <v>69791536379</v>
      </c>
      <c r="B5830" s="3">
        <v>223</v>
      </c>
      <c r="C5830" s="32">
        <v>49328</v>
      </c>
      <c r="D5830" s="32" t="s">
        <v>87</v>
      </c>
      <c r="E5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1" spans="1:6" x14ac:dyDescent="0.35">
      <c r="A5831" s="3">
        <v>24660021769</v>
      </c>
      <c r="B5831" s="3">
        <v>69</v>
      </c>
      <c r="C5831" s="32">
        <v>49328</v>
      </c>
      <c r="D5831" s="32" t="s">
        <v>87</v>
      </c>
      <c r="E5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2" spans="1:6" x14ac:dyDescent="0.35">
      <c r="A5832" s="3">
        <v>16471783368</v>
      </c>
      <c r="B5832" s="3">
        <v>305</v>
      </c>
      <c r="C5832" s="32">
        <v>49328</v>
      </c>
      <c r="D5832" s="32" t="s">
        <v>87</v>
      </c>
      <c r="E5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3" spans="1:6" x14ac:dyDescent="0.35">
      <c r="A5833" s="3">
        <v>43573431429</v>
      </c>
      <c r="B5833" s="3">
        <v>217</v>
      </c>
      <c r="C5833" s="32">
        <v>49328</v>
      </c>
      <c r="D5833" s="32">
        <v>49337</v>
      </c>
      <c r="E5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834" spans="1:6" x14ac:dyDescent="0.35">
      <c r="A5834" s="3">
        <v>87034751643</v>
      </c>
      <c r="B5834" s="3">
        <v>206</v>
      </c>
      <c r="C5834" s="32">
        <v>49328</v>
      </c>
      <c r="D5834" s="32"/>
      <c r="E5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5" spans="1:6" x14ac:dyDescent="0.35">
      <c r="A5835" s="3">
        <v>96278006678</v>
      </c>
      <c r="B5835" s="3">
        <v>32</v>
      </c>
      <c r="C5835" s="32">
        <v>49328</v>
      </c>
      <c r="D5835" s="32" t="s">
        <v>87</v>
      </c>
      <c r="E5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6" spans="1:6" x14ac:dyDescent="0.35">
      <c r="A5836" s="3">
        <v>73095882950</v>
      </c>
      <c r="B5836" s="3">
        <v>167</v>
      </c>
      <c r="C5836" s="32">
        <v>49328</v>
      </c>
      <c r="D5836" s="32" t="s">
        <v>87</v>
      </c>
      <c r="E5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7" spans="1:6" x14ac:dyDescent="0.35">
      <c r="A5837" s="3">
        <v>65309187506</v>
      </c>
      <c r="B5837" s="3">
        <v>7</v>
      </c>
      <c r="C5837" s="32">
        <v>49328</v>
      </c>
      <c r="D5837" s="32" t="s">
        <v>87</v>
      </c>
      <c r="E5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8" spans="1:6" x14ac:dyDescent="0.35">
      <c r="A5838" s="3">
        <v>26035340529</v>
      </c>
      <c r="B5838" s="3">
        <v>338</v>
      </c>
      <c r="C5838" s="32">
        <v>49328</v>
      </c>
      <c r="D5838" s="32" t="s">
        <v>87</v>
      </c>
      <c r="E5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9" spans="1:6" x14ac:dyDescent="0.35">
      <c r="A5839" s="3">
        <v>80255239991</v>
      </c>
      <c r="B5839" s="3">
        <v>317</v>
      </c>
      <c r="C5839" s="32">
        <v>49328</v>
      </c>
      <c r="D5839" s="32" t="s">
        <v>87</v>
      </c>
      <c r="E5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0" spans="1:6" x14ac:dyDescent="0.35">
      <c r="A5840" s="3">
        <v>87652556529</v>
      </c>
      <c r="B5840" s="3">
        <v>53</v>
      </c>
      <c r="C5840" s="32">
        <v>49328</v>
      </c>
      <c r="D5840" s="32"/>
      <c r="E5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1" spans="1:6" x14ac:dyDescent="0.35">
      <c r="A5841" s="3">
        <v>47332803418</v>
      </c>
      <c r="B5841" s="3">
        <v>20</v>
      </c>
      <c r="C5841" s="32">
        <v>49328</v>
      </c>
      <c r="D5841" s="32" t="s">
        <v>87</v>
      </c>
      <c r="E5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2" spans="1:6" x14ac:dyDescent="0.35">
      <c r="A5842" s="3">
        <v>72271266323</v>
      </c>
      <c r="B5842" s="3">
        <v>103</v>
      </c>
      <c r="C5842" s="32">
        <v>49328</v>
      </c>
      <c r="D5842" s="32" t="s">
        <v>87</v>
      </c>
      <c r="E5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3" spans="1:6" x14ac:dyDescent="0.35">
      <c r="A5843" s="3">
        <v>77087712961</v>
      </c>
      <c r="B5843" s="3">
        <v>161</v>
      </c>
      <c r="C5843" s="32">
        <v>49328</v>
      </c>
      <c r="D5843" s="32" t="s">
        <v>87</v>
      </c>
      <c r="E5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4" spans="1:6" x14ac:dyDescent="0.35">
      <c r="A5844" s="3">
        <v>95963858996</v>
      </c>
      <c r="B5844" s="3">
        <v>7</v>
      </c>
      <c r="C5844" s="32">
        <v>49328</v>
      </c>
      <c r="D5844" s="32"/>
      <c r="E5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5" spans="1:6" x14ac:dyDescent="0.35">
      <c r="A5845" s="3">
        <v>97798058466</v>
      </c>
      <c r="B5845" s="3">
        <v>176</v>
      </c>
      <c r="C5845" s="32">
        <v>49328</v>
      </c>
      <c r="D5845" s="32" t="s">
        <v>87</v>
      </c>
      <c r="E5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6" spans="1:6" x14ac:dyDescent="0.35">
      <c r="A5846" s="3">
        <v>80159597897</v>
      </c>
      <c r="B5846" s="3">
        <v>43</v>
      </c>
      <c r="C5846" s="32">
        <v>49328</v>
      </c>
      <c r="D5846" s="32" t="s">
        <v>87</v>
      </c>
      <c r="E5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7" spans="1:6" x14ac:dyDescent="0.35">
      <c r="A5847" s="3">
        <v>92384501581</v>
      </c>
      <c r="B5847" s="3">
        <v>17</v>
      </c>
      <c r="C5847" s="32">
        <v>49328</v>
      </c>
      <c r="D5847" s="32" t="s">
        <v>87</v>
      </c>
      <c r="E5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8" spans="1:6" x14ac:dyDescent="0.35">
      <c r="A5848" s="3">
        <v>20470390431</v>
      </c>
      <c r="B5848" s="3">
        <v>309</v>
      </c>
      <c r="C5848" s="32">
        <v>49328</v>
      </c>
      <c r="D5848" s="32" t="s">
        <v>87</v>
      </c>
      <c r="E5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9" spans="1:6" x14ac:dyDescent="0.35">
      <c r="A5849" s="3">
        <v>16564505921</v>
      </c>
      <c r="B5849" s="3">
        <v>146</v>
      </c>
      <c r="C5849" s="32">
        <v>49328</v>
      </c>
      <c r="D5849" s="32"/>
      <c r="E5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0" spans="1:6" x14ac:dyDescent="0.35">
      <c r="A5850" s="3">
        <v>67619937013</v>
      </c>
      <c r="B5850" s="3">
        <v>227</v>
      </c>
      <c r="C5850" s="32">
        <v>49328</v>
      </c>
      <c r="D5850" s="32" t="s">
        <v>87</v>
      </c>
      <c r="E5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1" spans="1:6" x14ac:dyDescent="0.35">
      <c r="A5851" s="3">
        <v>64594679464</v>
      </c>
      <c r="B5851" s="3">
        <v>27</v>
      </c>
      <c r="C5851" s="32">
        <v>49328</v>
      </c>
      <c r="D5851" s="32"/>
      <c r="E5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2" spans="1:6" x14ac:dyDescent="0.35">
      <c r="A5852" s="3">
        <v>76227204072</v>
      </c>
      <c r="B5852" s="3">
        <v>293</v>
      </c>
      <c r="C5852" s="32">
        <v>49328</v>
      </c>
      <c r="D5852" s="32" t="s">
        <v>87</v>
      </c>
      <c r="E5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3" spans="1:6" x14ac:dyDescent="0.35">
      <c r="A5853" s="3">
        <v>11517276339</v>
      </c>
      <c r="B5853" s="3">
        <v>40</v>
      </c>
      <c r="C5853" s="32">
        <v>49328</v>
      </c>
      <c r="D5853" s="32" t="s">
        <v>87</v>
      </c>
      <c r="E5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4" spans="1:6" x14ac:dyDescent="0.35">
      <c r="A5854" s="3">
        <v>21221187067</v>
      </c>
      <c r="B5854" s="3">
        <v>317</v>
      </c>
      <c r="C5854" s="32">
        <v>49328</v>
      </c>
      <c r="D5854" s="32" t="s">
        <v>87</v>
      </c>
      <c r="E5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5" spans="1:6" x14ac:dyDescent="0.35">
      <c r="A5855" s="3">
        <v>32130580896</v>
      </c>
      <c r="B5855" s="3">
        <v>335</v>
      </c>
      <c r="C5855" s="32">
        <v>49328</v>
      </c>
      <c r="D5855" s="32" t="s">
        <v>87</v>
      </c>
      <c r="E5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6" spans="1:6" x14ac:dyDescent="0.35">
      <c r="A5856" s="3">
        <v>13276210131</v>
      </c>
      <c r="B5856" s="3">
        <v>304</v>
      </c>
      <c r="C5856" s="32">
        <v>49328</v>
      </c>
      <c r="D5856" s="32" t="s">
        <v>87</v>
      </c>
      <c r="E5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7" spans="1:6" x14ac:dyDescent="0.35">
      <c r="A5857" s="3">
        <v>34940296731</v>
      </c>
      <c r="B5857" s="3">
        <v>174</v>
      </c>
      <c r="C5857" s="32">
        <v>49328</v>
      </c>
      <c r="D5857" s="32" t="s">
        <v>87</v>
      </c>
      <c r="E5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8" spans="1:6" x14ac:dyDescent="0.35">
      <c r="A5858" s="3">
        <v>96291869454</v>
      </c>
      <c r="B5858" s="3">
        <v>182</v>
      </c>
      <c r="C5858" s="32">
        <v>49329</v>
      </c>
      <c r="D5858" s="32" t="s">
        <v>87</v>
      </c>
      <c r="E5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9" spans="1:6" x14ac:dyDescent="0.35">
      <c r="A5859" s="3">
        <v>66389171378</v>
      </c>
      <c r="B5859" s="3">
        <v>334</v>
      </c>
      <c r="C5859" s="32">
        <v>49329</v>
      </c>
      <c r="D5859" s="32" t="s">
        <v>87</v>
      </c>
      <c r="E5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0" spans="1:6" x14ac:dyDescent="0.35">
      <c r="A5860" s="3">
        <v>15168293655</v>
      </c>
      <c r="B5860" s="3">
        <v>203</v>
      </c>
      <c r="C5860" s="32">
        <v>49329</v>
      </c>
      <c r="D5860" s="32" t="s">
        <v>87</v>
      </c>
      <c r="E5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1" spans="1:6" x14ac:dyDescent="0.35">
      <c r="A5861" s="3">
        <v>46733715299</v>
      </c>
      <c r="B5861" s="3">
        <v>286</v>
      </c>
      <c r="C5861" s="32">
        <v>49329</v>
      </c>
      <c r="D5861" s="32" t="s">
        <v>87</v>
      </c>
      <c r="E5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2" spans="1:6" x14ac:dyDescent="0.35">
      <c r="A5862" s="3">
        <v>47690640150</v>
      </c>
      <c r="B5862" s="3">
        <v>274</v>
      </c>
      <c r="C5862" s="32">
        <v>49329</v>
      </c>
      <c r="D5862" s="32" t="s">
        <v>87</v>
      </c>
      <c r="E5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3" spans="1:6" x14ac:dyDescent="0.35">
      <c r="A5863" s="3">
        <v>27226074509</v>
      </c>
      <c r="B5863" s="3">
        <v>61</v>
      </c>
      <c r="C5863" s="32">
        <v>49329</v>
      </c>
      <c r="D5863" s="32" t="s">
        <v>87</v>
      </c>
      <c r="E5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4" spans="1:6" x14ac:dyDescent="0.35">
      <c r="A5864" s="3">
        <v>22046403090</v>
      </c>
      <c r="B5864" s="3">
        <v>81</v>
      </c>
      <c r="C5864" s="32">
        <v>49329</v>
      </c>
      <c r="D5864" s="32" t="s">
        <v>87</v>
      </c>
      <c r="E5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5" spans="1:6" x14ac:dyDescent="0.35">
      <c r="A5865" s="3">
        <v>73539990975</v>
      </c>
      <c r="B5865" s="3">
        <v>229</v>
      </c>
      <c r="C5865" s="32">
        <v>49329</v>
      </c>
      <c r="D5865" s="32" t="s">
        <v>87</v>
      </c>
      <c r="E5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6" spans="1:6" x14ac:dyDescent="0.35">
      <c r="A5866" s="3">
        <v>52835118023</v>
      </c>
      <c r="B5866" s="3">
        <v>258</v>
      </c>
      <c r="C5866" s="32">
        <v>49329</v>
      </c>
      <c r="D5866" s="32" t="s">
        <v>87</v>
      </c>
      <c r="E5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7" spans="1:6" x14ac:dyDescent="0.35">
      <c r="A5867" s="3">
        <v>83063630707</v>
      </c>
      <c r="B5867" s="3">
        <v>125</v>
      </c>
      <c r="C5867" s="32">
        <v>49329</v>
      </c>
      <c r="D5867" s="32"/>
      <c r="E5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8" spans="1:6" x14ac:dyDescent="0.35">
      <c r="A5868" s="3">
        <v>14409815540</v>
      </c>
      <c r="B5868" s="3">
        <v>113</v>
      </c>
      <c r="C5868" s="32">
        <v>49329</v>
      </c>
      <c r="D5868" s="32"/>
      <c r="E5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9" spans="1:6" x14ac:dyDescent="0.35">
      <c r="A5869" s="3">
        <v>47735040225</v>
      </c>
      <c r="B5869" s="3">
        <v>64</v>
      </c>
      <c r="C5869" s="32">
        <v>49329</v>
      </c>
      <c r="D5869" s="32" t="s">
        <v>87</v>
      </c>
      <c r="E5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0" spans="1:6" x14ac:dyDescent="0.35">
      <c r="A5870" s="3">
        <v>13407366453</v>
      </c>
      <c r="B5870" s="3">
        <v>112</v>
      </c>
      <c r="C5870" s="32">
        <v>49329</v>
      </c>
      <c r="D5870" s="32" t="s">
        <v>87</v>
      </c>
      <c r="E5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1" spans="1:6" x14ac:dyDescent="0.35">
      <c r="A5871" s="3">
        <v>80381621626</v>
      </c>
      <c r="B5871" s="3">
        <v>150</v>
      </c>
      <c r="C5871" s="32">
        <v>49329</v>
      </c>
      <c r="D5871" s="32"/>
      <c r="E5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2" spans="1:6" x14ac:dyDescent="0.35">
      <c r="A5872" s="3">
        <v>44116998666</v>
      </c>
      <c r="B5872" s="3">
        <v>3</v>
      </c>
      <c r="C5872" s="32">
        <v>49329</v>
      </c>
      <c r="D5872" s="32" t="s">
        <v>87</v>
      </c>
      <c r="E5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3" spans="1:6" x14ac:dyDescent="0.35">
      <c r="A5873" s="3">
        <v>66222351413</v>
      </c>
      <c r="B5873" s="3">
        <v>277</v>
      </c>
      <c r="C5873" s="32">
        <v>49329</v>
      </c>
      <c r="D5873" s="32" t="s">
        <v>87</v>
      </c>
      <c r="E5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4" spans="1:6" x14ac:dyDescent="0.35">
      <c r="A5874" s="3">
        <v>73946836326</v>
      </c>
      <c r="B5874" s="3">
        <v>249</v>
      </c>
      <c r="C5874" s="32">
        <v>49329</v>
      </c>
      <c r="D5874" s="32" t="s">
        <v>87</v>
      </c>
      <c r="E5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5" spans="1:6" x14ac:dyDescent="0.35">
      <c r="A5875" s="3">
        <v>92061057282</v>
      </c>
      <c r="B5875" s="3">
        <v>264</v>
      </c>
      <c r="C5875" s="32">
        <v>49329</v>
      </c>
      <c r="D5875" s="32" t="s">
        <v>87</v>
      </c>
      <c r="E5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6" spans="1:6" x14ac:dyDescent="0.35">
      <c r="A5876" s="3">
        <v>88723569782</v>
      </c>
      <c r="B5876" s="3">
        <v>225</v>
      </c>
      <c r="C5876" s="32">
        <v>49329</v>
      </c>
      <c r="D5876" s="32"/>
      <c r="E5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7" spans="1:6" x14ac:dyDescent="0.35">
      <c r="A5877" s="3">
        <v>54393185698</v>
      </c>
      <c r="B5877" s="3">
        <v>314</v>
      </c>
      <c r="C5877" s="32">
        <v>49329</v>
      </c>
      <c r="D5877" s="32" t="s">
        <v>87</v>
      </c>
      <c r="E5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8" spans="1:6" x14ac:dyDescent="0.35">
      <c r="A5878" s="3">
        <v>33832195033</v>
      </c>
      <c r="B5878" s="3">
        <v>134</v>
      </c>
      <c r="C5878" s="32">
        <v>49329</v>
      </c>
      <c r="D5878" s="32"/>
      <c r="E5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9" spans="1:6" x14ac:dyDescent="0.35">
      <c r="A5879" s="3">
        <v>49712430084</v>
      </c>
      <c r="B5879" s="3">
        <v>340</v>
      </c>
      <c r="C5879" s="32">
        <v>49329</v>
      </c>
      <c r="D5879" s="32"/>
      <c r="E5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0" spans="1:6" x14ac:dyDescent="0.35">
      <c r="A5880" s="3">
        <v>44998369576</v>
      </c>
      <c r="B5880" s="3">
        <v>219</v>
      </c>
      <c r="C5880" s="32">
        <v>49329</v>
      </c>
      <c r="D5880" s="32" t="s">
        <v>87</v>
      </c>
      <c r="E5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1" spans="1:6" x14ac:dyDescent="0.35">
      <c r="A5881" s="3">
        <v>28786149113</v>
      </c>
      <c r="B5881" s="3">
        <v>238</v>
      </c>
      <c r="C5881" s="32">
        <v>49329</v>
      </c>
      <c r="D5881" s="32">
        <v>49341</v>
      </c>
      <c r="E5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882" spans="1:6" x14ac:dyDescent="0.35">
      <c r="A5882" s="3">
        <v>75924929569</v>
      </c>
      <c r="B5882" s="3">
        <v>235</v>
      </c>
      <c r="C5882" s="32">
        <v>49329</v>
      </c>
      <c r="D5882" s="32" t="s">
        <v>87</v>
      </c>
      <c r="E5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3" spans="1:6" x14ac:dyDescent="0.35">
      <c r="A5883" s="3">
        <v>90684709647</v>
      </c>
      <c r="B5883" s="3">
        <v>251</v>
      </c>
      <c r="C5883" s="32">
        <v>49329</v>
      </c>
      <c r="D5883" s="32" t="s">
        <v>87</v>
      </c>
      <c r="E5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4" spans="1:6" x14ac:dyDescent="0.35">
      <c r="A5884" s="3">
        <v>24109331552</v>
      </c>
      <c r="B5884" s="3">
        <v>298</v>
      </c>
      <c r="C5884" s="32">
        <v>49329</v>
      </c>
      <c r="D5884" s="32"/>
      <c r="E5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5" spans="1:6" x14ac:dyDescent="0.35">
      <c r="A5885" s="3">
        <v>58468898014</v>
      </c>
      <c r="B5885" s="3">
        <v>98</v>
      </c>
      <c r="C5885" s="32">
        <v>49330</v>
      </c>
      <c r="D5885" s="32" t="s">
        <v>87</v>
      </c>
      <c r="E5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6" spans="1:6" x14ac:dyDescent="0.35">
      <c r="A5886" s="3">
        <v>61250163481</v>
      </c>
      <c r="B5886" s="3">
        <v>217</v>
      </c>
      <c r="C5886" s="32">
        <v>49330</v>
      </c>
      <c r="D5886" s="32" t="s">
        <v>87</v>
      </c>
      <c r="E5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7" spans="1:6" x14ac:dyDescent="0.35">
      <c r="A5887" s="3">
        <v>17497122522</v>
      </c>
      <c r="B5887" s="3">
        <v>89</v>
      </c>
      <c r="C5887" s="32">
        <v>49330</v>
      </c>
      <c r="D5887" s="32" t="s">
        <v>87</v>
      </c>
      <c r="E5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8" spans="1:6" x14ac:dyDescent="0.35">
      <c r="A5888" s="3">
        <v>38994158799</v>
      </c>
      <c r="B5888" s="3">
        <v>101</v>
      </c>
      <c r="C5888" s="32">
        <v>49330</v>
      </c>
      <c r="D5888" s="32" t="s">
        <v>87</v>
      </c>
      <c r="E5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9" spans="1:6" x14ac:dyDescent="0.35">
      <c r="A5889" s="3">
        <v>49742584050</v>
      </c>
      <c r="B5889" s="3">
        <v>129</v>
      </c>
      <c r="C5889" s="32">
        <v>49330</v>
      </c>
      <c r="D5889" s="32" t="s">
        <v>87</v>
      </c>
      <c r="E5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0" spans="1:6" x14ac:dyDescent="0.35">
      <c r="A5890" s="3">
        <v>25825272222</v>
      </c>
      <c r="B5890" s="3">
        <v>181</v>
      </c>
      <c r="C5890" s="32">
        <v>49330</v>
      </c>
      <c r="D5890" s="32"/>
      <c r="E5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1" spans="1:6" x14ac:dyDescent="0.35">
      <c r="A5891" s="3">
        <v>19206452531</v>
      </c>
      <c r="B5891" s="3">
        <v>46</v>
      </c>
      <c r="C5891" s="32">
        <v>49330</v>
      </c>
      <c r="D5891" s="32" t="s">
        <v>87</v>
      </c>
      <c r="E5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2" spans="1:6" x14ac:dyDescent="0.35">
      <c r="A5892" s="3">
        <v>66484706965</v>
      </c>
      <c r="B5892" s="3">
        <v>117</v>
      </c>
      <c r="C5892" s="32">
        <v>49330</v>
      </c>
      <c r="D5892" s="32" t="s">
        <v>87</v>
      </c>
      <c r="E5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3" spans="1:6" x14ac:dyDescent="0.35">
      <c r="A5893" s="3">
        <v>72364237674</v>
      </c>
      <c r="B5893" s="3">
        <v>171</v>
      </c>
      <c r="C5893" s="32">
        <v>49330</v>
      </c>
      <c r="D5893" s="32" t="s">
        <v>87</v>
      </c>
      <c r="E5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4" spans="1:6" x14ac:dyDescent="0.35">
      <c r="A5894" s="3">
        <v>25065020338</v>
      </c>
      <c r="B5894" s="3">
        <v>130</v>
      </c>
      <c r="C5894" s="32">
        <v>49330</v>
      </c>
      <c r="D5894" s="32" t="s">
        <v>87</v>
      </c>
      <c r="E5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5" spans="1:6" x14ac:dyDescent="0.35">
      <c r="A5895" s="3">
        <v>24713250657</v>
      </c>
      <c r="B5895" s="3">
        <v>97</v>
      </c>
      <c r="C5895" s="32">
        <v>49330</v>
      </c>
      <c r="D5895" s="32" t="s">
        <v>87</v>
      </c>
      <c r="E5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6" spans="1:6" x14ac:dyDescent="0.35">
      <c r="A5896" s="3">
        <v>37478085192</v>
      </c>
      <c r="B5896" s="3">
        <v>144</v>
      </c>
      <c r="C5896" s="32">
        <v>49330</v>
      </c>
      <c r="D5896" s="32" t="s">
        <v>87</v>
      </c>
      <c r="E5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7" spans="1:6" x14ac:dyDescent="0.35">
      <c r="A5897" s="3">
        <v>13408412679</v>
      </c>
      <c r="B5897" s="3">
        <v>301</v>
      </c>
      <c r="C5897" s="32">
        <v>49330</v>
      </c>
      <c r="D5897" s="32" t="s">
        <v>87</v>
      </c>
      <c r="E5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8" spans="1:6" x14ac:dyDescent="0.35">
      <c r="A5898" s="3">
        <v>38322240486</v>
      </c>
      <c r="B5898" s="3">
        <v>38</v>
      </c>
      <c r="C5898" s="32">
        <v>49330</v>
      </c>
      <c r="D5898" s="32" t="s">
        <v>87</v>
      </c>
      <c r="E5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9" spans="1:6" x14ac:dyDescent="0.35">
      <c r="A5899" s="3">
        <v>13701533418</v>
      </c>
      <c r="B5899" s="3">
        <v>191</v>
      </c>
      <c r="C5899" s="32">
        <v>49330</v>
      </c>
      <c r="D5899" s="32" t="s">
        <v>87</v>
      </c>
      <c r="E5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0" spans="1:6" x14ac:dyDescent="0.35">
      <c r="A5900" s="3">
        <v>18315255931</v>
      </c>
      <c r="B5900" s="3">
        <v>64</v>
      </c>
      <c r="C5900" s="32">
        <v>49330</v>
      </c>
      <c r="D5900" s="32"/>
      <c r="E5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1" spans="1:6" x14ac:dyDescent="0.35">
      <c r="A5901" s="3">
        <v>86368842256</v>
      </c>
      <c r="B5901" s="3">
        <v>291</v>
      </c>
      <c r="C5901" s="32">
        <v>49330</v>
      </c>
      <c r="D5901" s="32" t="s">
        <v>87</v>
      </c>
      <c r="E5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2" spans="1:6" x14ac:dyDescent="0.35">
      <c r="A5902" s="3">
        <v>86594195503</v>
      </c>
      <c r="B5902" s="3">
        <v>138</v>
      </c>
      <c r="C5902" s="32">
        <v>49330</v>
      </c>
      <c r="D5902" s="32">
        <v>49332</v>
      </c>
      <c r="E5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903" spans="1:6" x14ac:dyDescent="0.35">
      <c r="A5903" s="3">
        <v>85927736864</v>
      </c>
      <c r="B5903" s="3">
        <v>157</v>
      </c>
      <c r="C5903" s="32">
        <v>49330</v>
      </c>
      <c r="D5903" s="32" t="s">
        <v>87</v>
      </c>
      <c r="E5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4" spans="1:6" x14ac:dyDescent="0.35">
      <c r="A5904" s="3">
        <v>81349305965</v>
      </c>
      <c r="B5904" s="3">
        <v>51</v>
      </c>
      <c r="C5904" s="32">
        <v>49330</v>
      </c>
      <c r="D5904" s="32"/>
      <c r="E5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5" spans="1:6" x14ac:dyDescent="0.35">
      <c r="A5905" s="3">
        <v>54182574923</v>
      </c>
      <c r="B5905" s="3">
        <v>107</v>
      </c>
      <c r="C5905" s="32">
        <v>49330</v>
      </c>
      <c r="D5905" s="32" t="s">
        <v>87</v>
      </c>
      <c r="E5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6" spans="1:6" x14ac:dyDescent="0.35">
      <c r="A5906" s="3">
        <v>48210718213</v>
      </c>
      <c r="B5906" s="3">
        <v>175</v>
      </c>
      <c r="C5906" s="32">
        <v>49330</v>
      </c>
      <c r="D5906" s="32" t="s">
        <v>87</v>
      </c>
      <c r="E5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7" spans="1:6" x14ac:dyDescent="0.35">
      <c r="A5907" s="3">
        <v>56887269020</v>
      </c>
      <c r="B5907" s="3">
        <v>26</v>
      </c>
      <c r="C5907" s="32">
        <v>49330</v>
      </c>
      <c r="D5907" s="32" t="s">
        <v>87</v>
      </c>
      <c r="E5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8" spans="1:6" x14ac:dyDescent="0.35">
      <c r="A5908" s="3">
        <v>99430689014</v>
      </c>
      <c r="B5908" s="3">
        <v>9</v>
      </c>
      <c r="C5908" s="32">
        <v>49330</v>
      </c>
      <c r="D5908" s="32" t="s">
        <v>87</v>
      </c>
      <c r="E5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9" spans="1:6" x14ac:dyDescent="0.35">
      <c r="A5909" s="3">
        <v>56615227919</v>
      </c>
      <c r="B5909" s="3">
        <v>267</v>
      </c>
      <c r="C5909" s="32">
        <v>49330</v>
      </c>
      <c r="D5909" s="32"/>
      <c r="E5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0" spans="1:6" x14ac:dyDescent="0.35">
      <c r="A5910" s="3">
        <v>46633302913</v>
      </c>
      <c r="B5910" s="3">
        <v>314</v>
      </c>
      <c r="C5910" s="32">
        <v>49330</v>
      </c>
      <c r="D5910" s="32" t="s">
        <v>87</v>
      </c>
      <c r="E5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1" spans="1:6" x14ac:dyDescent="0.35">
      <c r="A5911" s="3">
        <v>71228361117</v>
      </c>
      <c r="B5911" s="3">
        <v>278</v>
      </c>
      <c r="C5911" s="32">
        <v>49330</v>
      </c>
      <c r="D5911" s="32" t="s">
        <v>87</v>
      </c>
      <c r="E5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2" spans="1:6" x14ac:dyDescent="0.35">
      <c r="A5912" s="3">
        <v>78751815781</v>
      </c>
      <c r="B5912" s="3">
        <v>157</v>
      </c>
      <c r="C5912" s="32">
        <v>49331</v>
      </c>
      <c r="D5912" s="32" t="s">
        <v>87</v>
      </c>
      <c r="E5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3" spans="1:6" x14ac:dyDescent="0.35">
      <c r="A5913" s="3">
        <v>77517652937</v>
      </c>
      <c r="B5913" s="3">
        <v>246</v>
      </c>
      <c r="C5913" s="32">
        <v>49331</v>
      </c>
      <c r="D5913" s="32" t="s">
        <v>87</v>
      </c>
      <c r="E5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4" spans="1:6" x14ac:dyDescent="0.35">
      <c r="A5914" s="3">
        <v>76905248824</v>
      </c>
      <c r="B5914" s="3">
        <v>176</v>
      </c>
      <c r="C5914" s="32">
        <v>49331</v>
      </c>
      <c r="D5914" s="32" t="s">
        <v>87</v>
      </c>
      <c r="E5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5" spans="1:6" x14ac:dyDescent="0.35">
      <c r="A5915" s="3">
        <v>95422484658</v>
      </c>
      <c r="B5915" s="3">
        <v>127</v>
      </c>
      <c r="C5915" s="32">
        <v>49331</v>
      </c>
      <c r="D5915" s="32"/>
      <c r="E5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6" spans="1:6" x14ac:dyDescent="0.35">
      <c r="A5916" s="3">
        <v>82844295835</v>
      </c>
      <c r="B5916" s="3">
        <v>132</v>
      </c>
      <c r="C5916" s="32">
        <v>49331</v>
      </c>
      <c r="D5916" s="32" t="s">
        <v>87</v>
      </c>
      <c r="E5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7" spans="1:6" x14ac:dyDescent="0.35">
      <c r="A5917" s="3">
        <v>23069937676</v>
      </c>
      <c r="B5917" s="3">
        <v>257</v>
      </c>
      <c r="C5917" s="32">
        <v>49331</v>
      </c>
      <c r="D5917" s="32" t="s">
        <v>87</v>
      </c>
      <c r="E5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8" spans="1:6" x14ac:dyDescent="0.35">
      <c r="A5918" s="3">
        <v>87932576043</v>
      </c>
      <c r="B5918" s="3">
        <v>133</v>
      </c>
      <c r="C5918" s="32">
        <v>49331</v>
      </c>
      <c r="D5918" s="32" t="s">
        <v>87</v>
      </c>
      <c r="E5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9" spans="1:6" x14ac:dyDescent="0.35">
      <c r="A5919" s="3">
        <v>31167953463</v>
      </c>
      <c r="B5919" s="3">
        <v>336</v>
      </c>
      <c r="C5919" s="32">
        <v>49331</v>
      </c>
      <c r="D5919" s="32" t="s">
        <v>87</v>
      </c>
      <c r="E5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0" spans="1:6" x14ac:dyDescent="0.35">
      <c r="A5920" s="3">
        <v>77936283147</v>
      </c>
      <c r="B5920" s="3">
        <v>330</v>
      </c>
      <c r="C5920" s="32">
        <v>49331</v>
      </c>
      <c r="D5920" s="32"/>
      <c r="E5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1" spans="1:6" x14ac:dyDescent="0.35">
      <c r="A5921" s="3">
        <v>88395830324</v>
      </c>
      <c r="B5921" s="3">
        <v>82</v>
      </c>
      <c r="C5921" s="32">
        <v>49331</v>
      </c>
      <c r="D5921" s="32" t="s">
        <v>87</v>
      </c>
      <c r="E5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2" spans="1:6" x14ac:dyDescent="0.35">
      <c r="A5922" s="3">
        <v>29815378984</v>
      </c>
      <c r="B5922" s="3">
        <v>42</v>
      </c>
      <c r="C5922" s="32">
        <v>49331</v>
      </c>
      <c r="D5922" s="32"/>
      <c r="E5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3" spans="1:6" x14ac:dyDescent="0.35">
      <c r="A5923" s="3">
        <v>18304388389</v>
      </c>
      <c r="B5923" s="3">
        <v>208</v>
      </c>
      <c r="C5923" s="32">
        <v>49331</v>
      </c>
      <c r="D5923" s="32" t="s">
        <v>87</v>
      </c>
      <c r="E5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4" spans="1:6" x14ac:dyDescent="0.35">
      <c r="A5924" s="3">
        <v>30947560525</v>
      </c>
      <c r="B5924" s="3">
        <v>290</v>
      </c>
      <c r="C5924" s="32">
        <v>49331</v>
      </c>
      <c r="D5924" s="32" t="s">
        <v>87</v>
      </c>
      <c r="E5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5" spans="1:6" x14ac:dyDescent="0.35">
      <c r="A5925" s="3">
        <v>31172169840</v>
      </c>
      <c r="B5925" s="3">
        <v>188</v>
      </c>
      <c r="C5925" s="32">
        <v>49331</v>
      </c>
      <c r="D5925" s="32" t="s">
        <v>87</v>
      </c>
      <c r="E5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6" spans="1:6" x14ac:dyDescent="0.35">
      <c r="A5926" s="3">
        <v>14487527377</v>
      </c>
      <c r="B5926" s="3">
        <v>14</v>
      </c>
      <c r="C5926" s="32">
        <v>49331</v>
      </c>
      <c r="D5926" s="32" t="s">
        <v>87</v>
      </c>
      <c r="E5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7" spans="1:6" x14ac:dyDescent="0.35">
      <c r="A5927" s="3">
        <v>16471762368</v>
      </c>
      <c r="B5927" s="3">
        <v>298</v>
      </c>
      <c r="C5927" s="32">
        <v>49331</v>
      </c>
      <c r="D5927" s="32" t="s">
        <v>87</v>
      </c>
      <c r="E5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8" spans="1:6" x14ac:dyDescent="0.35">
      <c r="A5928" s="3">
        <v>70201773234</v>
      </c>
      <c r="B5928" s="3">
        <v>68</v>
      </c>
      <c r="C5928" s="32">
        <v>49331</v>
      </c>
      <c r="D5928" s="32" t="s">
        <v>87</v>
      </c>
      <c r="E5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9" spans="1:6" x14ac:dyDescent="0.35">
      <c r="A5929" s="3">
        <v>23868170373</v>
      </c>
      <c r="B5929" s="3">
        <v>7</v>
      </c>
      <c r="C5929" s="32">
        <v>49331</v>
      </c>
      <c r="D5929" s="32" t="s">
        <v>87</v>
      </c>
      <c r="E5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0" spans="1:6" x14ac:dyDescent="0.35">
      <c r="A5930" s="3">
        <v>89875573969</v>
      </c>
      <c r="B5930" s="3">
        <v>225</v>
      </c>
      <c r="C5930" s="32">
        <v>49331</v>
      </c>
      <c r="D5930" s="32"/>
      <c r="E5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1" spans="1:6" x14ac:dyDescent="0.35">
      <c r="A5931" s="3">
        <v>72312250883</v>
      </c>
      <c r="B5931" s="3">
        <v>105</v>
      </c>
      <c r="C5931" s="32">
        <v>49331</v>
      </c>
      <c r="D5931" s="32"/>
      <c r="E5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2" spans="1:6" x14ac:dyDescent="0.35">
      <c r="A5932" s="3">
        <v>43744305219</v>
      </c>
      <c r="B5932" s="3">
        <v>206</v>
      </c>
      <c r="C5932" s="32">
        <v>49331</v>
      </c>
      <c r="D5932" s="32" t="s">
        <v>87</v>
      </c>
      <c r="E5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3" spans="1:6" x14ac:dyDescent="0.35">
      <c r="A5933" s="3">
        <v>56385687133</v>
      </c>
      <c r="B5933" s="3">
        <v>107</v>
      </c>
      <c r="C5933" s="32">
        <v>49331</v>
      </c>
      <c r="D5933" s="32" t="s">
        <v>87</v>
      </c>
      <c r="E5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4" spans="1:6" x14ac:dyDescent="0.35">
      <c r="A5934" s="3">
        <v>87368147155</v>
      </c>
      <c r="B5934" s="3">
        <v>334</v>
      </c>
      <c r="C5934" s="32">
        <v>49331</v>
      </c>
      <c r="D5934" s="32" t="s">
        <v>87</v>
      </c>
      <c r="E5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5" spans="1:6" x14ac:dyDescent="0.35">
      <c r="A5935" s="3">
        <v>13271937750</v>
      </c>
      <c r="B5935" s="3">
        <v>4</v>
      </c>
      <c r="C5935" s="32">
        <v>49331</v>
      </c>
      <c r="D5935" s="32" t="s">
        <v>87</v>
      </c>
      <c r="E5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6" spans="1:6" x14ac:dyDescent="0.35">
      <c r="A5936" s="3">
        <v>48521764937</v>
      </c>
      <c r="B5936" s="3">
        <v>331</v>
      </c>
      <c r="C5936" s="32">
        <v>49331</v>
      </c>
      <c r="D5936" s="32" t="s">
        <v>87</v>
      </c>
      <c r="E5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7" spans="1:6" x14ac:dyDescent="0.35">
      <c r="A5937" s="3">
        <v>49936522136</v>
      </c>
      <c r="B5937" s="3">
        <v>95</v>
      </c>
      <c r="C5937" s="32">
        <v>49331</v>
      </c>
      <c r="D5937" s="32" t="s">
        <v>87</v>
      </c>
      <c r="E5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8" spans="1:6" x14ac:dyDescent="0.35">
      <c r="A5938" s="3">
        <v>88071610990</v>
      </c>
      <c r="B5938" s="3">
        <v>84</v>
      </c>
      <c r="C5938" s="32">
        <v>49332</v>
      </c>
      <c r="D5938" s="32" t="s">
        <v>87</v>
      </c>
      <c r="E5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9" spans="1:6" x14ac:dyDescent="0.35">
      <c r="A5939" s="3">
        <v>35636609257</v>
      </c>
      <c r="B5939" s="3">
        <v>223</v>
      </c>
      <c r="C5939" s="32">
        <v>49332</v>
      </c>
      <c r="D5939" s="32" t="s">
        <v>87</v>
      </c>
      <c r="E5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0" spans="1:6" x14ac:dyDescent="0.35">
      <c r="A5940" s="3">
        <v>37665573312</v>
      </c>
      <c r="B5940" s="3">
        <v>65</v>
      </c>
      <c r="C5940" s="32">
        <v>49332</v>
      </c>
      <c r="D5940" s="32" t="s">
        <v>87</v>
      </c>
      <c r="E5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1" spans="1:6" x14ac:dyDescent="0.35">
      <c r="A5941" s="3">
        <v>39927253405</v>
      </c>
      <c r="B5941" s="3">
        <v>67</v>
      </c>
      <c r="C5941" s="32">
        <v>49332</v>
      </c>
      <c r="D5941" s="32"/>
      <c r="E5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2" spans="1:6" x14ac:dyDescent="0.35">
      <c r="A5942" s="3">
        <v>12185545149</v>
      </c>
      <c r="B5942" s="3">
        <v>332</v>
      </c>
      <c r="C5942" s="32">
        <v>49332</v>
      </c>
      <c r="D5942" s="32" t="s">
        <v>87</v>
      </c>
      <c r="E5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3" spans="1:6" x14ac:dyDescent="0.35">
      <c r="A5943" s="3">
        <v>38744713646</v>
      </c>
      <c r="B5943" s="3">
        <v>115</v>
      </c>
      <c r="C5943" s="32">
        <v>49332</v>
      </c>
      <c r="D5943" s="32" t="s">
        <v>87</v>
      </c>
      <c r="E5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4" spans="1:6" x14ac:dyDescent="0.35">
      <c r="A5944" s="3">
        <v>70587639627</v>
      </c>
      <c r="B5944" s="3">
        <v>93</v>
      </c>
      <c r="C5944" s="32">
        <v>49332</v>
      </c>
      <c r="D5944" s="32" t="s">
        <v>87</v>
      </c>
      <c r="E5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5" spans="1:6" x14ac:dyDescent="0.35">
      <c r="A5945" s="3">
        <v>81085098492</v>
      </c>
      <c r="B5945" s="3">
        <v>315</v>
      </c>
      <c r="C5945" s="32">
        <v>49332</v>
      </c>
      <c r="D5945" s="32" t="s">
        <v>87</v>
      </c>
      <c r="E5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6" spans="1:6" x14ac:dyDescent="0.35">
      <c r="A5946" s="3">
        <v>55000359054</v>
      </c>
      <c r="B5946" s="3">
        <v>186</v>
      </c>
      <c r="C5946" s="32">
        <v>49332</v>
      </c>
      <c r="D5946" s="32" t="s">
        <v>87</v>
      </c>
      <c r="E5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7" spans="1:6" x14ac:dyDescent="0.35">
      <c r="A5947" s="3">
        <v>82366303691</v>
      </c>
      <c r="B5947" s="3">
        <v>106</v>
      </c>
      <c r="C5947" s="32">
        <v>49332</v>
      </c>
      <c r="D5947" s="32"/>
      <c r="E5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8" spans="1:6" x14ac:dyDescent="0.35">
      <c r="A5948" s="3">
        <v>46512234080</v>
      </c>
      <c r="B5948" s="3">
        <v>221</v>
      </c>
      <c r="C5948" s="32">
        <v>49332</v>
      </c>
      <c r="D5948" s="32" t="s">
        <v>87</v>
      </c>
      <c r="E5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9" spans="1:6" x14ac:dyDescent="0.35">
      <c r="A5949" s="3">
        <v>65545355786</v>
      </c>
      <c r="B5949" s="3">
        <v>254</v>
      </c>
      <c r="C5949" s="32">
        <v>49332</v>
      </c>
      <c r="D5949" s="32" t="s">
        <v>87</v>
      </c>
      <c r="E5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0" spans="1:6" x14ac:dyDescent="0.35">
      <c r="A5950" s="3">
        <v>47771862596</v>
      </c>
      <c r="B5950" s="3">
        <v>128</v>
      </c>
      <c r="C5950" s="32">
        <v>49332</v>
      </c>
      <c r="D5950" s="32" t="s">
        <v>87</v>
      </c>
      <c r="E5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1" spans="1:6" x14ac:dyDescent="0.35">
      <c r="A5951" s="3">
        <v>78836409509</v>
      </c>
      <c r="B5951" s="3">
        <v>158</v>
      </c>
      <c r="C5951" s="32">
        <v>49332</v>
      </c>
      <c r="D5951" s="32" t="s">
        <v>87</v>
      </c>
      <c r="E5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2" spans="1:6" x14ac:dyDescent="0.35">
      <c r="A5952" s="3">
        <v>65251527231</v>
      </c>
      <c r="B5952" s="3">
        <v>186</v>
      </c>
      <c r="C5952" s="32">
        <v>49332</v>
      </c>
      <c r="D5952" s="32" t="s">
        <v>87</v>
      </c>
      <c r="E5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3" spans="1:6" x14ac:dyDescent="0.35">
      <c r="A5953" s="3">
        <v>42484244376</v>
      </c>
      <c r="B5953" s="3">
        <v>324</v>
      </c>
      <c r="C5953" s="32">
        <v>49332</v>
      </c>
      <c r="D5953" s="32" t="s">
        <v>87</v>
      </c>
      <c r="E5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4" spans="1:6" x14ac:dyDescent="0.35">
      <c r="A5954" s="3">
        <v>79252919590</v>
      </c>
      <c r="B5954" s="3">
        <v>179</v>
      </c>
      <c r="C5954" s="32">
        <v>49332</v>
      </c>
      <c r="D5954" s="32"/>
      <c r="E5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5" spans="1:6" x14ac:dyDescent="0.35">
      <c r="A5955" s="3">
        <v>67691820499</v>
      </c>
      <c r="B5955" s="3">
        <v>166</v>
      </c>
      <c r="C5955" s="32">
        <v>49332</v>
      </c>
      <c r="D5955" s="32" t="s">
        <v>87</v>
      </c>
      <c r="E5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6" spans="1:6" x14ac:dyDescent="0.35">
      <c r="A5956" s="3">
        <v>24606487747</v>
      </c>
      <c r="B5956" s="3">
        <v>241</v>
      </c>
      <c r="C5956" s="32">
        <v>49332</v>
      </c>
      <c r="D5956" s="32" t="s">
        <v>87</v>
      </c>
      <c r="E5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7" spans="1:6" x14ac:dyDescent="0.35">
      <c r="A5957" s="3">
        <v>57973698134</v>
      </c>
      <c r="B5957" s="3">
        <v>326</v>
      </c>
      <c r="C5957" s="32">
        <v>49333</v>
      </c>
      <c r="D5957" s="32" t="s">
        <v>87</v>
      </c>
      <c r="E5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8" spans="1:6" x14ac:dyDescent="0.35">
      <c r="A5958" s="3">
        <v>38985516325</v>
      </c>
      <c r="B5958" s="3">
        <v>245</v>
      </c>
      <c r="C5958" s="32">
        <v>49333</v>
      </c>
      <c r="D5958" s="32" t="s">
        <v>87</v>
      </c>
      <c r="E5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9" spans="1:6" x14ac:dyDescent="0.35">
      <c r="A5959" s="3">
        <v>80404542023</v>
      </c>
      <c r="B5959" s="3">
        <v>135</v>
      </c>
      <c r="C5959" s="32">
        <v>49333</v>
      </c>
      <c r="D5959" s="32" t="s">
        <v>87</v>
      </c>
      <c r="E5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0" spans="1:6" x14ac:dyDescent="0.35">
      <c r="A5960" s="3">
        <v>77495490734</v>
      </c>
      <c r="B5960" s="3">
        <v>221</v>
      </c>
      <c r="C5960" s="32">
        <v>49333</v>
      </c>
      <c r="D5960" s="32" t="s">
        <v>87</v>
      </c>
      <c r="E5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1" spans="1:6" x14ac:dyDescent="0.35">
      <c r="A5961" s="3">
        <v>94521486117</v>
      </c>
      <c r="B5961" s="3">
        <v>194</v>
      </c>
      <c r="C5961" s="32">
        <v>49333</v>
      </c>
      <c r="D5961" s="32" t="s">
        <v>87</v>
      </c>
      <c r="E5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2" spans="1:6" x14ac:dyDescent="0.35">
      <c r="A5962" s="3">
        <v>67971786453</v>
      </c>
      <c r="B5962" s="3">
        <v>63</v>
      </c>
      <c r="C5962" s="32">
        <v>49333</v>
      </c>
      <c r="D5962" s="32" t="s">
        <v>87</v>
      </c>
      <c r="E5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3" spans="1:6" x14ac:dyDescent="0.35">
      <c r="A5963" s="3">
        <v>76883888154</v>
      </c>
      <c r="B5963" s="3">
        <v>333</v>
      </c>
      <c r="C5963" s="32">
        <v>49333</v>
      </c>
      <c r="D5963" s="32" t="s">
        <v>87</v>
      </c>
      <c r="E5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4" spans="1:6" x14ac:dyDescent="0.35">
      <c r="A5964" s="3">
        <v>12839079263</v>
      </c>
      <c r="B5964" s="3">
        <v>48</v>
      </c>
      <c r="C5964" s="32">
        <v>49333</v>
      </c>
      <c r="D5964" s="32" t="s">
        <v>87</v>
      </c>
      <c r="E5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5" spans="1:6" x14ac:dyDescent="0.35">
      <c r="A5965" s="3">
        <v>67755389538</v>
      </c>
      <c r="B5965" s="3">
        <v>214</v>
      </c>
      <c r="C5965" s="32">
        <v>49333</v>
      </c>
      <c r="D5965" s="32"/>
      <c r="E5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6" spans="1:6" x14ac:dyDescent="0.35">
      <c r="A5966" s="3">
        <v>69335924676</v>
      </c>
      <c r="B5966" s="3">
        <v>39</v>
      </c>
      <c r="C5966" s="32">
        <v>49333</v>
      </c>
      <c r="D5966" s="32" t="s">
        <v>87</v>
      </c>
      <c r="E5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7" spans="1:6" x14ac:dyDescent="0.35">
      <c r="A5967" s="3">
        <v>92718120824</v>
      </c>
      <c r="B5967" s="3">
        <v>173</v>
      </c>
      <c r="C5967" s="32">
        <v>49333</v>
      </c>
      <c r="D5967" s="32" t="s">
        <v>87</v>
      </c>
      <c r="E5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8" spans="1:6" x14ac:dyDescent="0.35">
      <c r="A5968" s="3">
        <v>77857380535</v>
      </c>
      <c r="B5968" s="3">
        <v>225</v>
      </c>
      <c r="C5968" s="32">
        <v>49333</v>
      </c>
      <c r="D5968" s="32" t="s">
        <v>87</v>
      </c>
      <c r="E5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9" spans="1:6" x14ac:dyDescent="0.35">
      <c r="A5969" s="3">
        <v>87058364618</v>
      </c>
      <c r="B5969" s="3">
        <v>68</v>
      </c>
      <c r="C5969" s="32">
        <v>49333</v>
      </c>
      <c r="D5969" s="32" t="s">
        <v>87</v>
      </c>
      <c r="E5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0" spans="1:6" x14ac:dyDescent="0.35">
      <c r="A5970" s="3">
        <v>78479431415</v>
      </c>
      <c r="B5970" s="3">
        <v>183</v>
      </c>
      <c r="C5970" s="32">
        <v>49333</v>
      </c>
      <c r="D5970" s="32" t="s">
        <v>87</v>
      </c>
      <c r="E5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1" spans="1:6" x14ac:dyDescent="0.35">
      <c r="A5971" s="3">
        <v>74796657167</v>
      </c>
      <c r="B5971" s="3">
        <v>198</v>
      </c>
      <c r="C5971" s="32">
        <v>49333</v>
      </c>
      <c r="D5971" s="32" t="s">
        <v>87</v>
      </c>
      <c r="E5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2" spans="1:6" x14ac:dyDescent="0.35">
      <c r="A5972" s="3">
        <v>55220427205</v>
      </c>
      <c r="B5972" s="3">
        <v>200</v>
      </c>
      <c r="C5972" s="32">
        <v>49333</v>
      </c>
      <c r="D5972" s="32" t="s">
        <v>87</v>
      </c>
      <c r="E5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3" spans="1:6" x14ac:dyDescent="0.35">
      <c r="A5973" s="3">
        <v>76023901791</v>
      </c>
      <c r="B5973" s="3">
        <v>107</v>
      </c>
      <c r="C5973" s="32">
        <v>49333</v>
      </c>
      <c r="D5973" s="32" t="s">
        <v>87</v>
      </c>
      <c r="E5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4" spans="1:6" x14ac:dyDescent="0.35">
      <c r="A5974" s="3">
        <v>65992186436</v>
      </c>
      <c r="B5974" s="3">
        <v>319</v>
      </c>
      <c r="C5974" s="32">
        <v>49333</v>
      </c>
      <c r="D5974" s="32" t="s">
        <v>87</v>
      </c>
      <c r="E5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5" spans="1:6" x14ac:dyDescent="0.35">
      <c r="A5975" s="3">
        <v>77957160771</v>
      </c>
      <c r="B5975" s="3">
        <v>179</v>
      </c>
      <c r="C5975" s="32">
        <v>49333</v>
      </c>
      <c r="D5975" s="32" t="s">
        <v>87</v>
      </c>
      <c r="E5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6" spans="1:6" x14ac:dyDescent="0.35">
      <c r="A5976" s="3">
        <v>36218248809</v>
      </c>
      <c r="B5976" s="3">
        <v>105</v>
      </c>
      <c r="C5976" s="32">
        <v>49333</v>
      </c>
      <c r="D5976" s="32"/>
      <c r="E5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7" spans="1:6" x14ac:dyDescent="0.35">
      <c r="A5977" s="3">
        <v>21203661739</v>
      </c>
      <c r="B5977" s="3">
        <v>226</v>
      </c>
      <c r="C5977" s="32">
        <v>49333</v>
      </c>
      <c r="D5977" s="32" t="s">
        <v>87</v>
      </c>
      <c r="E5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8" spans="1:6" x14ac:dyDescent="0.35">
      <c r="A5978" s="3">
        <v>53917164202</v>
      </c>
      <c r="B5978" s="3">
        <v>72</v>
      </c>
      <c r="C5978" s="32">
        <v>49333</v>
      </c>
      <c r="D5978" s="32" t="s">
        <v>87</v>
      </c>
      <c r="E5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9" spans="1:6" x14ac:dyDescent="0.35">
      <c r="A5979" s="3">
        <v>62476235224</v>
      </c>
      <c r="B5979" s="3">
        <v>72</v>
      </c>
      <c r="C5979" s="32">
        <v>49333</v>
      </c>
      <c r="D5979" s="32" t="s">
        <v>87</v>
      </c>
      <c r="E5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0" spans="1:6" x14ac:dyDescent="0.35">
      <c r="A5980" s="3">
        <v>61380541824</v>
      </c>
      <c r="B5980" s="3">
        <v>258</v>
      </c>
      <c r="C5980" s="32">
        <v>49333</v>
      </c>
      <c r="D5980" s="32"/>
      <c r="E5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1" spans="1:6" x14ac:dyDescent="0.35">
      <c r="A5981" s="3">
        <v>54889318301</v>
      </c>
      <c r="B5981" s="3">
        <v>152</v>
      </c>
      <c r="C5981" s="32">
        <v>49333</v>
      </c>
      <c r="D5981" s="32" t="s">
        <v>87</v>
      </c>
      <c r="E5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2" spans="1:6" x14ac:dyDescent="0.35">
      <c r="A5982" s="3">
        <v>16759434809</v>
      </c>
      <c r="B5982" s="3">
        <v>292</v>
      </c>
      <c r="C5982" s="32">
        <v>49333</v>
      </c>
      <c r="D5982" s="32" t="s">
        <v>87</v>
      </c>
      <c r="E5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3" spans="1:6" x14ac:dyDescent="0.35">
      <c r="A5983" s="3">
        <v>92102907722</v>
      </c>
      <c r="B5983" s="3">
        <v>270</v>
      </c>
      <c r="C5983" s="32">
        <v>49333</v>
      </c>
      <c r="D5983" s="32" t="s">
        <v>87</v>
      </c>
      <c r="E5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4" spans="1:6" x14ac:dyDescent="0.35">
      <c r="A5984" s="3">
        <v>51809906087</v>
      </c>
      <c r="B5984" s="3">
        <v>197</v>
      </c>
      <c r="C5984" s="32">
        <v>49333</v>
      </c>
      <c r="D5984" s="32">
        <v>49339</v>
      </c>
      <c r="E5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985" spans="1:6" x14ac:dyDescent="0.35">
      <c r="A5985" s="3">
        <v>28521681782</v>
      </c>
      <c r="B5985" s="3">
        <v>65</v>
      </c>
      <c r="C5985" s="32">
        <v>49334</v>
      </c>
      <c r="D5985" s="32" t="s">
        <v>87</v>
      </c>
      <c r="E5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6" spans="1:6" x14ac:dyDescent="0.35">
      <c r="A5986" s="3">
        <v>13134676717</v>
      </c>
      <c r="B5986" s="3">
        <v>30</v>
      </c>
      <c r="C5986" s="32">
        <v>49334</v>
      </c>
      <c r="D5986" s="32" t="s">
        <v>87</v>
      </c>
      <c r="E5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7" spans="1:6" x14ac:dyDescent="0.35">
      <c r="A5987" s="3">
        <v>33712816063</v>
      </c>
      <c r="B5987" s="3">
        <v>310</v>
      </c>
      <c r="C5987" s="32">
        <v>49334</v>
      </c>
      <c r="D5987" s="32" t="s">
        <v>87</v>
      </c>
      <c r="E5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8" spans="1:6" x14ac:dyDescent="0.35">
      <c r="A5988" s="3">
        <v>99263861732</v>
      </c>
      <c r="B5988" s="3">
        <v>75</v>
      </c>
      <c r="C5988" s="32">
        <v>49334</v>
      </c>
      <c r="D5988" s="32" t="s">
        <v>87</v>
      </c>
      <c r="E5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9" spans="1:6" x14ac:dyDescent="0.35">
      <c r="A5989" s="3">
        <v>18947255372</v>
      </c>
      <c r="B5989" s="3">
        <v>319</v>
      </c>
      <c r="C5989" s="32">
        <v>49334</v>
      </c>
      <c r="D5989" s="32" t="s">
        <v>87</v>
      </c>
      <c r="E5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0" spans="1:6" x14ac:dyDescent="0.35">
      <c r="A5990" s="3">
        <v>22232756641</v>
      </c>
      <c r="B5990" s="3">
        <v>308</v>
      </c>
      <c r="C5990" s="32">
        <v>49334</v>
      </c>
      <c r="D5990" s="32" t="s">
        <v>87</v>
      </c>
      <c r="E5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1" spans="1:6" x14ac:dyDescent="0.35">
      <c r="A5991" s="3">
        <v>49352603484</v>
      </c>
      <c r="B5991" s="3">
        <v>127</v>
      </c>
      <c r="C5991" s="32">
        <v>49334</v>
      </c>
      <c r="D5991" s="32" t="s">
        <v>87</v>
      </c>
      <c r="E5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2" spans="1:6" x14ac:dyDescent="0.35">
      <c r="A5992" s="3">
        <v>38234757674</v>
      </c>
      <c r="B5992" s="3">
        <v>226</v>
      </c>
      <c r="C5992" s="32">
        <v>49334</v>
      </c>
      <c r="D5992" s="32" t="s">
        <v>87</v>
      </c>
      <c r="E5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3" spans="1:6" x14ac:dyDescent="0.35">
      <c r="A5993" s="3">
        <v>46603527046</v>
      </c>
      <c r="B5993" s="3">
        <v>210</v>
      </c>
      <c r="C5993" s="32">
        <v>49334</v>
      </c>
      <c r="D5993" s="32" t="s">
        <v>87</v>
      </c>
      <c r="E5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4" spans="1:6" x14ac:dyDescent="0.35">
      <c r="A5994" s="3">
        <v>62619949337</v>
      </c>
      <c r="B5994" s="3">
        <v>157</v>
      </c>
      <c r="C5994" s="32">
        <v>49334</v>
      </c>
      <c r="D5994" s="32" t="s">
        <v>87</v>
      </c>
      <c r="E5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5" spans="1:6" x14ac:dyDescent="0.35">
      <c r="A5995" s="3">
        <v>51310642433</v>
      </c>
      <c r="B5995" s="3">
        <v>67</v>
      </c>
      <c r="C5995" s="32">
        <v>49334</v>
      </c>
      <c r="D5995" s="32"/>
      <c r="E5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6" spans="1:6" x14ac:dyDescent="0.35">
      <c r="A5996" s="3">
        <v>80156800410</v>
      </c>
      <c r="B5996" s="3">
        <v>130</v>
      </c>
      <c r="C5996" s="32">
        <v>49334</v>
      </c>
      <c r="D5996" s="32" t="s">
        <v>87</v>
      </c>
      <c r="E5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7" spans="1:6" x14ac:dyDescent="0.35">
      <c r="A5997" s="3">
        <v>11339200243</v>
      </c>
      <c r="B5997" s="3">
        <v>84</v>
      </c>
      <c r="C5997" s="32">
        <v>49334</v>
      </c>
      <c r="D5997" s="32" t="s">
        <v>87</v>
      </c>
      <c r="E5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8" spans="1:6" x14ac:dyDescent="0.35">
      <c r="A5998" s="3">
        <v>92943063953</v>
      </c>
      <c r="B5998" s="3">
        <v>14</v>
      </c>
      <c r="C5998" s="32">
        <v>49334</v>
      </c>
      <c r="D5998" s="32"/>
      <c r="E5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9" spans="1:6" x14ac:dyDescent="0.35">
      <c r="A5999" s="3">
        <v>17704135294</v>
      </c>
      <c r="B5999" s="3">
        <v>91</v>
      </c>
      <c r="C5999" s="32">
        <v>49334</v>
      </c>
      <c r="D5999" s="32" t="s">
        <v>87</v>
      </c>
      <c r="E5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0" spans="1:6" x14ac:dyDescent="0.35">
      <c r="A6000" s="3">
        <v>80600932962</v>
      </c>
      <c r="B6000" s="3">
        <v>114</v>
      </c>
      <c r="C6000" s="32">
        <v>49334</v>
      </c>
      <c r="D6000" s="32" t="s">
        <v>87</v>
      </c>
      <c r="E6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1" spans="1:6" x14ac:dyDescent="0.35">
      <c r="A6001" s="3">
        <v>86392533966</v>
      </c>
      <c r="B6001" s="3">
        <v>127</v>
      </c>
      <c r="C6001" s="32">
        <v>49334</v>
      </c>
      <c r="D6001" s="32" t="s">
        <v>87</v>
      </c>
      <c r="E6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2" spans="1:6" x14ac:dyDescent="0.35">
      <c r="A6002" s="3">
        <v>76124438212</v>
      </c>
      <c r="B6002" s="3">
        <v>177</v>
      </c>
      <c r="C6002" s="32">
        <v>49334</v>
      </c>
      <c r="D6002" s="32" t="s">
        <v>87</v>
      </c>
      <c r="E6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3" spans="1:6" x14ac:dyDescent="0.35">
      <c r="A6003" s="3">
        <v>36603031463</v>
      </c>
      <c r="B6003" s="3">
        <v>16</v>
      </c>
      <c r="C6003" s="32">
        <v>49334</v>
      </c>
      <c r="D6003" s="32"/>
      <c r="E6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4" spans="1:6" x14ac:dyDescent="0.35">
      <c r="A6004" s="3">
        <v>69457448149</v>
      </c>
      <c r="B6004" s="3">
        <v>245</v>
      </c>
      <c r="C6004" s="32">
        <v>49334</v>
      </c>
      <c r="D6004" s="32" t="s">
        <v>87</v>
      </c>
      <c r="E6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5" spans="1:6" x14ac:dyDescent="0.35">
      <c r="A6005" s="3">
        <v>31117028599</v>
      </c>
      <c r="B6005" s="3">
        <v>48</v>
      </c>
      <c r="C6005" s="32">
        <v>49334</v>
      </c>
      <c r="D6005" s="32" t="s">
        <v>87</v>
      </c>
      <c r="E6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6" spans="1:6" x14ac:dyDescent="0.35">
      <c r="A6006" s="3">
        <v>26531992797</v>
      </c>
      <c r="B6006" s="3">
        <v>47</v>
      </c>
      <c r="C6006" s="32">
        <v>49334</v>
      </c>
      <c r="D6006" s="32"/>
      <c r="E6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7" spans="1:6" x14ac:dyDescent="0.35">
      <c r="A6007" s="3">
        <v>16146120154</v>
      </c>
      <c r="B6007" s="3">
        <v>249</v>
      </c>
      <c r="C6007" s="32">
        <v>49334</v>
      </c>
      <c r="D6007" s="32" t="s">
        <v>87</v>
      </c>
      <c r="E6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8" spans="1:6" x14ac:dyDescent="0.35">
      <c r="A6008" s="3">
        <v>84862334118</v>
      </c>
      <c r="B6008" s="3">
        <v>243</v>
      </c>
      <c r="C6008" s="32">
        <v>49334</v>
      </c>
      <c r="D6008" s="32" t="s">
        <v>87</v>
      </c>
      <c r="E6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9" spans="1:6" x14ac:dyDescent="0.35">
      <c r="A6009" s="3">
        <v>95481038690</v>
      </c>
      <c r="B6009" s="3">
        <v>224</v>
      </c>
      <c r="C6009" s="32">
        <v>49334</v>
      </c>
      <c r="D6009" s="32" t="s">
        <v>87</v>
      </c>
      <c r="E6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0" spans="1:6" x14ac:dyDescent="0.35">
      <c r="A6010" s="3">
        <v>94535830584</v>
      </c>
      <c r="B6010" s="3">
        <v>286</v>
      </c>
      <c r="C6010" s="32">
        <v>49334</v>
      </c>
      <c r="D6010" s="32" t="s">
        <v>87</v>
      </c>
      <c r="E6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1" spans="1:6" x14ac:dyDescent="0.35">
      <c r="A6011" s="3">
        <v>95340134885</v>
      </c>
      <c r="B6011" s="3">
        <v>104</v>
      </c>
      <c r="C6011" s="32">
        <v>49334</v>
      </c>
      <c r="D6011" s="32" t="s">
        <v>87</v>
      </c>
      <c r="E6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2" spans="1:6" x14ac:dyDescent="0.35">
      <c r="A6012" s="3">
        <v>66527594253</v>
      </c>
      <c r="B6012" s="3">
        <v>12</v>
      </c>
      <c r="C6012" s="32">
        <v>49334</v>
      </c>
      <c r="D6012" s="32"/>
      <c r="E6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3" spans="1:6" x14ac:dyDescent="0.35">
      <c r="A6013" s="3">
        <v>85033413798</v>
      </c>
      <c r="B6013" s="3">
        <v>199</v>
      </c>
      <c r="C6013" s="32">
        <v>49334</v>
      </c>
      <c r="D6013" s="32" t="s">
        <v>87</v>
      </c>
      <c r="E6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4" spans="1:6" x14ac:dyDescent="0.35">
      <c r="A6014" s="3">
        <v>26998353648</v>
      </c>
      <c r="B6014" s="3">
        <v>327</v>
      </c>
      <c r="C6014" s="32">
        <v>49334</v>
      </c>
      <c r="D6014" s="32" t="s">
        <v>87</v>
      </c>
      <c r="E6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5" spans="1:6" x14ac:dyDescent="0.35">
      <c r="A6015" s="3">
        <v>63315293745</v>
      </c>
      <c r="B6015" s="3">
        <v>121</v>
      </c>
      <c r="C6015" s="32">
        <v>49334</v>
      </c>
      <c r="D6015" s="32" t="s">
        <v>87</v>
      </c>
      <c r="E6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6" spans="1:6" x14ac:dyDescent="0.35">
      <c r="A6016" s="3">
        <v>98593474774</v>
      </c>
      <c r="B6016" s="3">
        <v>236</v>
      </c>
      <c r="C6016" s="32">
        <v>49334</v>
      </c>
      <c r="D6016" s="32" t="s">
        <v>87</v>
      </c>
      <c r="E6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7" spans="1:6" x14ac:dyDescent="0.35">
      <c r="A6017" s="3">
        <v>27872565755</v>
      </c>
      <c r="B6017" s="3">
        <v>165</v>
      </c>
      <c r="C6017" s="32">
        <v>49334</v>
      </c>
      <c r="D6017" s="32" t="s">
        <v>87</v>
      </c>
      <c r="E6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8" spans="1:6" x14ac:dyDescent="0.35">
      <c r="A6018" s="3">
        <v>14536029993</v>
      </c>
      <c r="B6018" s="3">
        <v>237</v>
      </c>
      <c r="C6018" s="32">
        <v>49335</v>
      </c>
      <c r="D6018" s="32" t="s">
        <v>87</v>
      </c>
      <c r="E6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9" spans="1:6" x14ac:dyDescent="0.35">
      <c r="A6019" s="3">
        <v>68553708859</v>
      </c>
      <c r="B6019" s="3">
        <v>201</v>
      </c>
      <c r="C6019" s="32">
        <v>49335</v>
      </c>
      <c r="D6019" s="32" t="s">
        <v>87</v>
      </c>
      <c r="E6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0" spans="1:6" x14ac:dyDescent="0.35">
      <c r="A6020" s="3">
        <v>87366970987</v>
      </c>
      <c r="B6020" s="3">
        <v>17</v>
      </c>
      <c r="C6020" s="32">
        <v>49335</v>
      </c>
      <c r="D6020" s="32"/>
      <c r="E6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1" spans="1:6" x14ac:dyDescent="0.35">
      <c r="A6021" s="3">
        <v>92962625111</v>
      </c>
      <c r="B6021" s="3">
        <v>226</v>
      </c>
      <c r="C6021" s="32">
        <v>49335</v>
      </c>
      <c r="D6021" s="32" t="s">
        <v>87</v>
      </c>
      <c r="E6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2" spans="1:6" x14ac:dyDescent="0.35">
      <c r="A6022" s="3">
        <v>97989126023</v>
      </c>
      <c r="B6022" s="3">
        <v>297</v>
      </c>
      <c r="C6022" s="32">
        <v>49335</v>
      </c>
      <c r="D6022" s="32" t="s">
        <v>87</v>
      </c>
      <c r="E6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3" spans="1:6" x14ac:dyDescent="0.35">
      <c r="A6023" s="3">
        <v>31913265866</v>
      </c>
      <c r="B6023" s="3">
        <v>33</v>
      </c>
      <c r="C6023" s="32">
        <v>49335</v>
      </c>
      <c r="D6023" s="32"/>
      <c r="E6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4" spans="1:6" x14ac:dyDescent="0.35">
      <c r="A6024" s="3">
        <v>54912296755</v>
      </c>
      <c r="B6024" s="3">
        <v>29</v>
      </c>
      <c r="C6024" s="32">
        <v>49335</v>
      </c>
      <c r="D6024" s="32"/>
      <c r="E6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5" spans="1:6" x14ac:dyDescent="0.35">
      <c r="A6025" s="3">
        <v>81827490309</v>
      </c>
      <c r="B6025" s="3">
        <v>298</v>
      </c>
      <c r="C6025" s="32">
        <v>49335</v>
      </c>
      <c r="D6025" s="32" t="s">
        <v>87</v>
      </c>
      <c r="E6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6" spans="1:6" x14ac:dyDescent="0.35">
      <c r="A6026" s="3">
        <v>76912419755</v>
      </c>
      <c r="B6026" s="3">
        <v>240</v>
      </c>
      <c r="C6026" s="32">
        <v>49335</v>
      </c>
      <c r="D6026" s="32" t="s">
        <v>87</v>
      </c>
      <c r="E6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7" spans="1:6" x14ac:dyDescent="0.35">
      <c r="A6027" s="3">
        <v>66092650003</v>
      </c>
      <c r="B6027" s="3">
        <v>180</v>
      </c>
      <c r="C6027" s="32">
        <v>49335</v>
      </c>
      <c r="D6027" s="32"/>
      <c r="E6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8" spans="1:6" x14ac:dyDescent="0.35">
      <c r="A6028" s="3">
        <v>37018776758</v>
      </c>
      <c r="B6028" s="3">
        <v>75</v>
      </c>
      <c r="C6028" s="32">
        <v>49335</v>
      </c>
      <c r="D6028" s="32" t="s">
        <v>87</v>
      </c>
      <c r="E6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9" spans="1:6" x14ac:dyDescent="0.35">
      <c r="A6029" s="3">
        <v>24578304910</v>
      </c>
      <c r="B6029" s="3">
        <v>106</v>
      </c>
      <c r="C6029" s="32">
        <v>49335</v>
      </c>
      <c r="D6029" s="32" t="s">
        <v>87</v>
      </c>
      <c r="E6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0" spans="1:6" x14ac:dyDescent="0.35">
      <c r="A6030" s="3">
        <v>76819387984</v>
      </c>
      <c r="B6030" s="3">
        <v>44</v>
      </c>
      <c r="C6030" s="32">
        <v>49335</v>
      </c>
      <c r="D6030" s="32" t="s">
        <v>87</v>
      </c>
      <c r="E6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1" spans="1:6" x14ac:dyDescent="0.35">
      <c r="A6031" s="3">
        <v>58073174289</v>
      </c>
      <c r="B6031" s="3">
        <v>311</v>
      </c>
      <c r="C6031" s="32">
        <v>49335</v>
      </c>
      <c r="D6031" s="32" t="s">
        <v>87</v>
      </c>
      <c r="E6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2" spans="1:6" x14ac:dyDescent="0.35">
      <c r="A6032" s="3">
        <v>32491024423</v>
      </c>
      <c r="B6032" s="3">
        <v>330</v>
      </c>
      <c r="C6032" s="32">
        <v>49335</v>
      </c>
      <c r="D6032" s="32" t="s">
        <v>87</v>
      </c>
      <c r="E6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3" spans="1:6" x14ac:dyDescent="0.35">
      <c r="A6033" s="3">
        <v>77639821576</v>
      </c>
      <c r="B6033" s="3">
        <v>239</v>
      </c>
      <c r="C6033" s="32">
        <v>49335</v>
      </c>
      <c r="D6033" s="32" t="s">
        <v>87</v>
      </c>
      <c r="E6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4" spans="1:6" x14ac:dyDescent="0.35">
      <c r="A6034" s="3">
        <v>57437445399</v>
      </c>
      <c r="B6034" s="3">
        <v>309</v>
      </c>
      <c r="C6034" s="32">
        <v>49335</v>
      </c>
      <c r="D6034" s="32" t="s">
        <v>87</v>
      </c>
      <c r="E6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5" spans="1:6" x14ac:dyDescent="0.35">
      <c r="A6035" s="3">
        <v>19760820790</v>
      </c>
      <c r="B6035" s="3">
        <v>207</v>
      </c>
      <c r="C6035" s="32">
        <v>49335</v>
      </c>
      <c r="D6035" s="32" t="s">
        <v>87</v>
      </c>
      <c r="E6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6" spans="1:6" x14ac:dyDescent="0.35">
      <c r="A6036" s="3">
        <v>23155564906</v>
      </c>
      <c r="B6036" s="3">
        <v>284</v>
      </c>
      <c r="C6036" s="32">
        <v>49335</v>
      </c>
      <c r="D6036" s="32" t="s">
        <v>87</v>
      </c>
      <c r="E6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7" spans="1:6" x14ac:dyDescent="0.35">
      <c r="A6037" s="3">
        <v>48470928039</v>
      </c>
      <c r="B6037" s="3">
        <v>286</v>
      </c>
      <c r="C6037" s="32">
        <v>49335</v>
      </c>
      <c r="D6037" s="32" t="s">
        <v>87</v>
      </c>
      <c r="E6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8" spans="1:6" x14ac:dyDescent="0.35">
      <c r="A6038" s="3">
        <v>62951378064</v>
      </c>
      <c r="B6038" s="3">
        <v>317</v>
      </c>
      <c r="C6038" s="32">
        <v>49335</v>
      </c>
      <c r="D6038" s="32"/>
      <c r="E6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9" spans="1:6" x14ac:dyDescent="0.35">
      <c r="A6039" s="3">
        <v>93433682050</v>
      </c>
      <c r="B6039" s="3">
        <v>316</v>
      </c>
      <c r="C6039" s="32">
        <v>49335</v>
      </c>
      <c r="D6039" s="32" t="s">
        <v>87</v>
      </c>
      <c r="E6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0" spans="1:6" x14ac:dyDescent="0.35">
      <c r="A6040" s="3">
        <v>33332601805</v>
      </c>
      <c r="B6040" s="3">
        <v>95</v>
      </c>
      <c r="C6040" s="32">
        <v>49335</v>
      </c>
      <c r="D6040" s="32" t="s">
        <v>87</v>
      </c>
      <c r="E6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1" spans="1:6" x14ac:dyDescent="0.35">
      <c r="A6041" s="3">
        <v>30490358224</v>
      </c>
      <c r="B6041" s="3">
        <v>257</v>
      </c>
      <c r="C6041" s="32">
        <v>49335</v>
      </c>
      <c r="D6041" s="32" t="s">
        <v>87</v>
      </c>
      <c r="E6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2" spans="1:6" x14ac:dyDescent="0.35">
      <c r="A6042" s="3">
        <v>16396456278</v>
      </c>
      <c r="B6042" s="3">
        <v>205</v>
      </c>
      <c r="C6042" s="32">
        <v>49335</v>
      </c>
      <c r="D6042" s="32"/>
      <c r="E6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3" spans="1:6" x14ac:dyDescent="0.35">
      <c r="A6043" s="3">
        <v>70620430036</v>
      </c>
      <c r="B6043" s="3">
        <v>166</v>
      </c>
      <c r="C6043" s="32">
        <v>49335</v>
      </c>
      <c r="D6043" s="32" t="s">
        <v>87</v>
      </c>
      <c r="E6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4" spans="1:6" x14ac:dyDescent="0.35">
      <c r="A6044" s="3">
        <v>64840117812</v>
      </c>
      <c r="B6044" s="3">
        <v>106</v>
      </c>
      <c r="C6044" s="32">
        <v>49335</v>
      </c>
      <c r="D6044" s="32" t="s">
        <v>87</v>
      </c>
      <c r="E6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5" spans="1:6" x14ac:dyDescent="0.35">
      <c r="A6045" s="3">
        <v>60615165152</v>
      </c>
      <c r="B6045" s="3">
        <v>109</v>
      </c>
      <c r="C6045" s="32">
        <v>49336</v>
      </c>
      <c r="D6045" s="32" t="s">
        <v>87</v>
      </c>
      <c r="E6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6" spans="1:6" x14ac:dyDescent="0.35">
      <c r="A6046" s="3">
        <v>16416794119</v>
      </c>
      <c r="B6046" s="3">
        <v>78</v>
      </c>
      <c r="C6046" s="32">
        <v>49336</v>
      </c>
      <c r="D6046" s="32" t="s">
        <v>87</v>
      </c>
      <c r="E6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7" spans="1:6" x14ac:dyDescent="0.35">
      <c r="A6047" s="3">
        <v>16630440440</v>
      </c>
      <c r="B6047" s="3">
        <v>146</v>
      </c>
      <c r="C6047" s="32">
        <v>49336</v>
      </c>
      <c r="D6047" s="32" t="s">
        <v>87</v>
      </c>
      <c r="E6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8" spans="1:6" x14ac:dyDescent="0.35">
      <c r="A6048" s="3">
        <v>39754421918</v>
      </c>
      <c r="B6048" s="3">
        <v>129</v>
      </c>
      <c r="C6048" s="32">
        <v>49336</v>
      </c>
      <c r="D6048" s="32"/>
      <c r="E6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9" spans="1:6" x14ac:dyDescent="0.35">
      <c r="A6049" s="3">
        <v>13482538505</v>
      </c>
      <c r="B6049" s="3">
        <v>186</v>
      </c>
      <c r="C6049" s="32">
        <v>49336</v>
      </c>
      <c r="D6049" s="32" t="s">
        <v>87</v>
      </c>
      <c r="E6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0" spans="1:6" x14ac:dyDescent="0.35">
      <c r="A6050" s="3">
        <v>42106654415</v>
      </c>
      <c r="B6050" s="3">
        <v>59</v>
      </c>
      <c r="C6050" s="32">
        <v>49336</v>
      </c>
      <c r="D6050" s="32" t="s">
        <v>87</v>
      </c>
      <c r="E6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1" spans="1:6" x14ac:dyDescent="0.35">
      <c r="A6051" s="3">
        <v>51174909054</v>
      </c>
      <c r="B6051" s="3">
        <v>178</v>
      </c>
      <c r="C6051" s="32">
        <v>49336</v>
      </c>
      <c r="D6051" s="32" t="s">
        <v>87</v>
      </c>
      <c r="E6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2" spans="1:6" x14ac:dyDescent="0.35">
      <c r="A6052" s="3">
        <v>42292023160</v>
      </c>
      <c r="B6052" s="3">
        <v>227</v>
      </c>
      <c r="C6052" s="32">
        <v>49336</v>
      </c>
      <c r="D6052" s="32" t="s">
        <v>87</v>
      </c>
      <c r="E6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3" spans="1:6" x14ac:dyDescent="0.35">
      <c r="A6053" s="3">
        <v>55212567625</v>
      </c>
      <c r="B6053" s="3">
        <v>84</v>
      </c>
      <c r="C6053" s="32">
        <v>49336</v>
      </c>
      <c r="D6053" s="32" t="s">
        <v>87</v>
      </c>
      <c r="E6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4" spans="1:6" x14ac:dyDescent="0.35">
      <c r="A6054" s="3">
        <v>45524223131</v>
      </c>
      <c r="B6054" s="3">
        <v>21</v>
      </c>
      <c r="C6054" s="32">
        <v>49336</v>
      </c>
      <c r="D6054" s="32"/>
      <c r="E6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5" spans="1:6" x14ac:dyDescent="0.35">
      <c r="A6055" s="3">
        <v>66626160718</v>
      </c>
      <c r="B6055" s="3">
        <v>110</v>
      </c>
      <c r="C6055" s="32">
        <v>49336</v>
      </c>
      <c r="D6055" s="32"/>
      <c r="E6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6" spans="1:6" x14ac:dyDescent="0.35">
      <c r="A6056" s="3">
        <v>93659116707</v>
      </c>
      <c r="B6056" s="3">
        <v>176</v>
      </c>
      <c r="C6056" s="32">
        <v>49336</v>
      </c>
      <c r="D6056" s="32" t="s">
        <v>87</v>
      </c>
      <c r="E6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7" spans="1:6" x14ac:dyDescent="0.35">
      <c r="A6057" s="3">
        <v>19373005745</v>
      </c>
      <c r="B6057" s="3">
        <v>139</v>
      </c>
      <c r="C6057" s="32">
        <v>49336</v>
      </c>
      <c r="D6057" s="32" t="s">
        <v>87</v>
      </c>
      <c r="E6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8" spans="1:6" x14ac:dyDescent="0.35">
      <c r="A6058" s="3">
        <v>58807641560</v>
      </c>
      <c r="B6058" s="3">
        <v>266</v>
      </c>
      <c r="C6058" s="32">
        <v>49336</v>
      </c>
      <c r="D6058" s="32"/>
      <c r="E6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9" spans="1:6" x14ac:dyDescent="0.35">
      <c r="A6059" s="3">
        <v>66173795901</v>
      </c>
      <c r="B6059" s="3">
        <v>316</v>
      </c>
      <c r="C6059" s="32">
        <v>49336</v>
      </c>
      <c r="D6059" s="32"/>
      <c r="E6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0" spans="1:6" x14ac:dyDescent="0.35">
      <c r="A6060" s="3">
        <v>51953866215</v>
      </c>
      <c r="B6060" s="3">
        <v>254</v>
      </c>
      <c r="C6060" s="32">
        <v>49336</v>
      </c>
      <c r="D6060" s="32" t="s">
        <v>87</v>
      </c>
      <c r="E6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1" spans="1:6" x14ac:dyDescent="0.35">
      <c r="A6061" s="3">
        <v>89397654946</v>
      </c>
      <c r="B6061" s="3">
        <v>213</v>
      </c>
      <c r="C6061" s="32">
        <v>49336</v>
      </c>
      <c r="D6061" s="32" t="s">
        <v>87</v>
      </c>
      <c r="E6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2" spans="1:6" x14ac:dyDescent="0.35">
      <c r="A6062" s="3">
        <v>49392645289</v>
      </c>
      <c r="B6062" s="3">
        <v>109</v>
      </c>
      <c r="C6062" s="32">
        <v>49336</v>
      </c>
      <c r="D6062" s="32" t="s">
        <v>87</v>
      </c>
      <c r="E6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3" spans="1:6" x14ac:dyDescent="0.35">
      <c r="A6063" s="3">
        <v>11258157034</v>
      </c>
      <c r="B6063" s="3">
        <v>104</v>
      </c>
      <c r="C6063" s="32">
        <v>49336</v>
      </c>
      <c r="D6063" s="32"/>
      <c r="E6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4" spans="1:6" x14ac:dyDescent="0.35">
      <c r="A6064" s="3">
        <v>54713060273</v>
      </c>
      <c r="B6064" s="3">
        <v>115</v>
      </c>
      <c r="C6064" s="32">
        <v>49336</v>
      </c>
      <c r="D6064" s="32" t="s">
        <v>87</v>
      </c>
      <c r="E6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5" spans="1:6" x14ac:dyDescent="0.35">
      <c r="A6065" s="3">
        <v>59725234342</v>
      </c>
      <c r="B6065" s="3">
        <v>111</v>
      </c>
      <c r="C6065" s="32">
        <v>49336</v>
      </c>
      <c r="D6065" s="32"/>
      <c r="E6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6" spans="1:6" x14ac:dyDescent="0.35">
      <c r="A6066" s="3">
        <v>65070133117</v>
      </c>
      <c r="B6066" s="3">
        <v>191</v>
      </c>
      <c r="C6066" s="32">
        <v>49336</v>
      </c>
      <c r="D6066" s="32" t="s">
        <v>87</v>
      </c>
      <c r="E6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7" spans="1:6" x14ac:dyDescent="0.35">
      <c r="A6067" s="3">
        <v>60552724442</v>
      </c>
      <c r="B6067" s="3">
        <v>156</v>
      </c>
      <c r="C6067" s="32">
        <v>49336</v>
      </c>
      <c r="D6067" s="32" t="s">
        <v>87</v>
      </c>
      <c r="E6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8" spans="1:6" x14ac:dyDescent="0.35">
      <c r="A6068" s="3">
        <v>93255182507</v>
      </c>
      <c r="B6068" s="3">
        <v>202</v>
      </c>
      <c r="C6068" s="32">
        <v>49336</v>
      </c>
      <c r="D6068" s="32" t="s">
        <v>87</v>
      </c>
      <c r="E6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9" spans="1:6" x14ac:dyDescent="0.35">
      <c r="A6069" s="3">
        <v>45385912612</v>
      </c>
      <c r="B6069" s="3">
        <v>283</v>
      </c>
      <c r="C6069" s="32">
        <v>49336</v>
      </c>
      <c r="D6069" s="32" t="s">
        <v>87</v>
      </c>
      <c r="E6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0" spans="1:6" x14ac:dyDescent="0.35">
      <c r="A6070" s="3">
        <v>84387188899</v>
      </c>
      <c r="B6070" s="3">
        <v>232</v>
      </c>
      <c r="C6070" s="32">
        <v>49336</v>
      </c>
      <c r="D6070" s="32"/>
      <c r="E6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1" spans="1:6" x14ac:dyDescent="0.35">
      <c r="A6071" s="3">
        <v>12637189303</v>
      </c>
      <c r="B6071" s="3">
        <v>76</v>
      </c>
      <c r="C6071" s="32">
        <v>49337</v>
      </c>
      <c r="D6071" s="32" t="s">
        <v>87</v>
      </c>
      <c r="E6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2" spans="1:6" x14ac:dyDescent="0.35">
      <c r="A6072" s="3">
        <v>30346016756</v>
      </c>
      <c r="B6072" s="3">
        <v>218</v>
      </c>
      <c r="C6072" s="32">
        <v>49337</v>
      </c>
      <c r="D6072" s="32" t="s">
        <v>87</v>
      </c>
      <c r="E6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3" spans="1:6" x14ac:dyDescent="0.35">
      <c r="A6073" s="3">
        <v>91118387343</v>
      </c>
      <c r="B6073" s="3">
        <v>215</v>
      </c>
      <c r="C6073" s="32">
        <v>49337</v>
      </c>
      <c r="D6073" s="32"/>
      <c r="E6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4" spans="1:6" x14ac:dyDescent="0.35">
      <c r="A6074" s="3">
        <v>50740227179</v>
      </c>
      <c r="B6074" s="3">
        <v>143</v>
      </c>
      <c r="C6074" s="32">
        <v>49337</v>
      </c>
      <c r="D6074" s="32" t="s">
        <v>87</v>
      </c>
      <c r="E6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5" spans="1:6" x14ac:dyDescent="0.35">
      <c r="A6075" s="3">
        <v>26133362490</v>
      </c>
      <c r="B6075" s="3">
        <v>277</v>
      </c>
      <c r="C6075" s="32">
        <v>49337</v>
      </c>
      <c r="D6075" s="32" t="s">
        <v>87</v>
      </c>
      <c r="E6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6" spans="1:6" x14ac:dyDescent="0.35">
      <c r="A6076" s="3">
        <v>80324130495</v>
      </c>
      <c r="B6076" s="3">
        <v>156</v>
      </c>
      <c r="C6076" s="32">
        <v>49337</v>
      </c>
      <c r="D6076" s="32" t="s">
        <v>87</v>
      </c>
      <c r="E6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7" spans="1:6" x14ac:dyDescent="0.35">
      <c r="A6077" s="3">
        <v>61413574579</v>
      </c>
      <c r="B6077" s="3">
        <v>290</v>
      </c>
      <c r="C6077" s="32">
        <v>49337</v>
      </c>
      <c r="D6077" s="32"/>
      <c r="E6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8" spans="1:6" x14ac:dyDescent="0.35">
      <c r="A6078" s="3">
        <v>66176048461</v>
      </c>
      <c r="B6078" s="3">
        <v>340</v>
      </c>
      <c r="C6078" s="32">
        <v>49337</v>
      </c>
      <c r="D6078" s="32"/>
      <c r="E6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9" spans="1:6" x14ac:dyDescent="0.35">
      <c r="A6079" s="3">
        <v>82749830229</v>
      </c>
      <c r="B6079" s="3">
        <v>231</v>
      </c>
      <c r="C6079" s="32">
        <v>49337</v>
      </c>
      <c r="D6079" s="32" t="s">
        <v>87</v>
      </c>
      <c r="E6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0" spans="1:6" x14ac:dyDescent="0.35">
      <c r="A6080" s="3">
        <v>79958740626</v>
      </c>
      <c r="B6080" s="3">
        <v>51</v>
      </c>
      <c r="C6080" s="32">
        <v>49337</v>
      </c>
      <c r="D6080" s="32" t="s">
        <v>87</v>
      </c>
      <c r="E6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1" spans="1:6" x14ac:dyDescent="0.35">
      <c r="A6081" s="3">
        <v>95494162547</v>
      </c>
      <c r="B6081" s="3">
        <v>47</v>
      </c>
      <c r="C6081" s="32">
        <v>49337</v>
      </c>
      <c r="D6081" s="32" t="s">
        <v>87</v>
      </c>
      <c r="E6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2" spans="1:6" x14ac:dyDescent="0.35">
      <c r="A6082" s="3">
        <v>82047827139</v>
      </c>
      <c r="B6082" s="3">
        <v>147</v>
      </c>
      <c r="C6082" s="32">
        <v>49337</v>
      </c>
      <c r="D6082" s="32" t="s">
        <v>87</v>
      </c>
      <c r="E6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3" spans="1:6" x14ac:dyDescent="0.35">
      <c r="A6083" s="3">
        <v>69850091569</v>
      </c>
      <c r="B6083" s="3">
        <v>339</v>
      </c>
      <c r="C6083" s="32">
        <v>49337</v>
      </c>
      <c r="D6083" s="32"/>
      <c r="E6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4" spans="1:6" x14ac:dyDescent="0.35">
      <c r="A6084" s="3">
        <v>31418345881</v>
      </c>
      <c r="B6084" s="3">
        <v>3</v>
      </c>
      <c r="C6084" s="32">
        <v>49337</v>
      </c>
      <c r="D6084" s="32"/>
      <c r="E6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5" spans="1:6" x14ac:dyDescent="0.35">
      <c r="A6085" s="3">
        <v>51650490221</v>
      </c>
      <c r="B6085" s="3">
        <v>57</v>
      </c>
      <c r="C6085" s="32">
        <v>49337</v>
      </c>
      <c r="D6085" s="32" t="s">
        <v>87</v>
      </c>
      <c r="E6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6" spans="1:6" x14ac:dyDescent="0.35">
      <c r="A6086" s="3">
        <v>52524089490</v>
      </c>
      <c r="B6086" s="3">
        <v>59</v>
      </c>
      <c r="C6086" s="32">
        <v>49337</v>
      </c>
      <c r="D6086" s="32"/>
      <c r="E6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7" spans="1:6" x14ac:dyDescent="0.35">
      <c r="A6087" s="3">
        <v>54236705843</v>
      </c>
      <c r="B6087" s="3">
        <v>90</v>
      </c>
      <c r="C6087" s="32">
        <v>49337</v>
      </c>
      <c r="D6087" s="32" t="s">
        <v>87</v>
      </c>
      <c r="E6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8" spans="1:6" x14ac:dyDescent="0.35">
      <c r="A6088" s="3">
        <v>56119254692</v>
      </c>
      <c r="B6088" s="3">
        <v>46</v>
      </c>
      <c r="C6088" s="32">
        <v>49337</v>
      </c>
      <c r="D6088" s="32"/>
      <c r="E6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9" spans="1:6" x14ac:dyDescent="0.35">
      <c r="A6089" s="3">
        <v>51532988936</v>
      </c>
      <c r="B6089" s="3">
        <v>74</v>
      </c>
      <c r="C6089" s="32">
        <v>49337</v>
      </c>
      <c r="D6089" s="32" t="s">
        <v>87</v>
      </c>
      <c r="E6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0" spans="1:6" x14ac:dyDescent="0.35">
      <c r="A6090" s="3">
        <v>19898135107</v>
      </c>
      <c r="B6090" s="3">
        <v>235</v>
      </c>
      <c r="C6090" s="32">
        <v>49337</v>
      </c>
      <c r="D6090" s="32" t="s">
        <v>87</v>
      </c>
      <c r="E6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1" spans="1:6" x14ac:dyDescent="0.35">
      <c r="A6091" s="3">
        <v>87276780804</v>
      </c>
      <c r="B6091" s="3">
        <v>226</v>
      </c>
      <c r="C6091" s="32">
        <v>49337</v>
      </c>
      <c r="D6091" s="32" t="s">
        <v>87</v>
      </c>
      <c r="E6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2" spans="1:6" x14ac:dyDescent="0.35">
      <c r="A6092" s="3">
        <v>69193174152</v>
      </c>
      <c r="B6092" s="3">
        <v>182</v>
      </c>
      <c r="C6092" s="32">
        <v>49337</v>
      </c>
      <c r="D6092" s="32"/>
      <c r="E6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3" spans="1:6" x14ac:dyDescent="0.35">
      <c r="A6093" s="3">
        <v>76176931351</v>
      </c>
      <c r="B6093" s="3">
        <v>120</v>
      </c>
      <c r="C6093" s="32">
        <v>49338</v>
      </c>
      <c r="D6093" s="32" t="s">
        <v>87</v>
      </c>
      <c r="E6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4" spans="1:6" x14ac:dyDescent="0.35">
      <c r="A6094" s="3">
        <v>18891839484</v>
      </c>
      <c r="B6094" s="3">
        <v>25</v>
      </c>
      <c r="C6094" s="32">
        <v>49338</v>
      </c>
      <c r="D6094" s="32" t="s">
        <v>87</v>
      </c>
      <c r="E6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5" spans="1:6" x14ac:dyDescent="0.35">
      <c r="A6095" s="3">
        <v>47724528943</v>
      </c>
      <c r="B6095" s="3">
        <v>199</v>
      </c>
      <c r="C6095" s="32">
        <v>49338</v>
      </c>
      <c r="D6095" s="32" t="s">
        <v>87</v>
      </c>
      <c r="E6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6" spans="1:6" x14ac:dyDescent="0.35">
      <c r="A6096" s="3">
        <v>97737041557</v>
      </c>
      <c r="B6096" s="3">
        <v>214</v>
      </c>
      <c r="C6096" s="32">
        <v>49338</v>
      </c>
      <c r="D6096" s="32" t="s">
        <v>87</v>
      </c>
      <c r="E6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7" spans="1:6" x14ac:dyDescent="0.35">
      <c r="A6097" s="3">
        <v>45512372244</v>
      </c>
      <c r="B6097" s="3">
        <v>322</v>
      </c>
      <c r="C6097" s="32">
        <v>49338</v>
      </c>
      <c r="D6097" s="32" t="s">
        <v>87</v>
      </c>
      <c r="E6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8" spans="1:6" x14ac:dyDescent="0.35">
      <c r="A6098" s="3">
        <v>87477854423</v>
      </c>
      <c r="B6098" s="3">
        <v>134</v>
      </c>
      <c r="C6098" s="32">
        <v>49338</v>
      </c>
      <c r="D6098" s="32" t="s">
        <v>87</v>
      </c>
      <c r="E6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9" spans="1:6" x14ac:dyDescent="0.35">
      <c r="A6099" s="3">
        <v>83765531837</v>
      </c>
      <c r="B6099" s="3">
        <v>278</v>
      </c>
      <c r="C6099" s="32">
        <v>49338</v>
      </c>
      <c r="D6099" s="32" t="s">
        <v>87</v>
      </c>
      <c r="E6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0" spans="1:6" x14ac:dyDescent="0.35">
      <c r="A6100" s="3">
        <v>66850018462</v>
      </c>
      <c r="B6100" s="3">
        <v>185</v>
      </c>
      <c r="C6100" s="32">
        <v>49338</v>
      </c>
      <c r="D6100" s="32"/>
      <c r="E6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1" spans="1:6" x14ac:dyDescent="0.35">
      <c r="A6101" s="3">
        <v>17465421659</v>
      </c>
      <c r="B6101" s="3">
        <v>217</v>
      </c>
      <c r="C6101" s="32">
        <v>49338</v>
      </c>
      <c r="D6101" s="32" t="s">
        <v>87</v>
      </c>
      <c r="E6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2" spans="1:6" x14ac:dyDescent="0.35">
      <c r="A6102" s="3">
        <v>34006972816</v>
      </c>
      <c r="B6102" s="3">
        <v>91</v>
      </c>
      <c r="C6102" s="32">
        <v>49338</v>
      </c>
      <c r="D6102" s="32"/>
      <c r="E6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3" spans="1:6" x14ac:dyDescent="0.35">
      <c r="A6103" s="3">
        <v>25203848674</v>
      </c>
      <c r="B6103" s="3">
        <v>67</v>
      </c>
      <c r="C6103" s="32">
        <v>49338</v>
      </c>
      <c r="D6103" s="32" t="s">
        <v>87</v>
      </c>
      <c r="E6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4" spans="1:6" x14ac:dyDescent="0.35">
      <c r="A6104" s="3">
        <v>22474371823</v>
      </c>
      <c r="B6104" s="3">
        <v>48</v>
      </c>
      <c r="C6104" s="32">
        <v>49338</v>
      </c>
      <c r="D6104" s="32" t="s">
        <v>87</v>
      </c>
      <c r="E6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5" spans="1:6" x14ac:dyDescent="0.35">
      <c r="A6105" s="3">
        <v>80277139381</v>
      </c>
      <c r="B6105" s="3">
        <v>147</v>
      </c>
      <c r="C6105" s="32">
        <v>49338</v>
      </c>
      <c r="D6105" s="32" t="s">
        <v>87</v>
      </c>
      <c r="E6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6" spans="1:6" x14ac:dyDescent="0.35">
      <c r="A6106" s="3">
        <v>58330949185</v>
      </c>
      <c r="B6106" s="3">
        <v>192</v>
      </c>
      <c r="C6106" s="32">
        <v>49338</v>
      </c>
      <c r="D6106" s="32" t="s">
        <v>87</v>
      </c>
      <c r="E6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7" spans="1:6" x14ac:dyDescent="0.35">
      <c r="A6107" s="3">
        <v>93956297896</v>
      </c>
      <c r="B6107" s="3">
        <v>207</v>
      </c>
      <c r="C6107" s="32">
        <v>49338</v>
      </c>
      <c r="D6107" s="32" t="s">
        <v>87</v>
      </c>
      <c r="E6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8" spans="1:6" x14ac:dyDescent="0.35">
      <c r="A6108" s="3">
        <v>46813714338</v>
      </c>
      <c r="B6108" s="3">
        <v>60</v>
      </c>
      <c r="C6108" s="32">
        <v>49338</v>
      </c>
      <c r="D6108" s="32"/>
      <c r="E6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9" spans="1:6" x14ac:dyDescent="0.35">
      <c r="A6109" s="3">
        <v>40451579588</v>
      </c>
      <c r="B6109" s="3">
        <v>310</v>
      </c>
      <c r="C6109" s="32">
        <v>49338</v>
      </c>
      <c r="D6109" s="32" t="s">
        <v>87</v>
      </c>
      <c r="E6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0" spans="1:6" x14ac:dyDescent="0.35">
      <c r="A6110" s="3">
        <v>50729944925</v>
      </c>
      <c r="B6110" s="3">
        <v>57</v>
      </c>
      <c r="C6110" s="32">
        <v>49338</v>
      </c>
      <c r="D6110" s="32"/>
      <c r="E6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1" spans="1:6" x14ac:dyDescent="0.35">
      <c r="A6111" s="3">
        <v>32014405973</v>
      </c>
      <c r="B6111" s="3">
        <v>106</v>
      </c>
      <c r="C6111" s="32">
        <v>49338</v>
      </c>
      <c r="D6111" s="32"/>
      <c r="E6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2" spans="1:6" x14ac:dyDescent="0.35">
      <c r="A6112" s="3">
        <v>69255992754</v>
      </c>
      <c r="B6112" s="3">
        <v>8</v>
      </c>
      <c r="C6112" s="32">
        <v>49338</v>
      </c>
      <c r="D6112" s="32" t="s">
        <v>87</v>
      </c>
      <c r="E6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3" spans="1:6" x14ac:dyDescent="0.35">
      <c r="A6113" s="3">
        <v>36514347083</v>
      </c>
      <c r="B6113" s="3">
        <v>272</v>
      </c>
      <c r="C6113" s="32">
        <v>49338</v>
      </c>
      <c r="D6113" s="32"/>
      <c r="E6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4" spans="1:6" x14ac:dyDescent="0.35">
      <c r="A6114" s="3">
        <v>60143043996</v>
      </c>
      <c r="B6114" s="3">
        <v>124</v>
      </c>
      <c r="C6114" s="32">
        <v>49338</v>
      </c>
      <c r="D6114" s="32"/>
      <c r="E6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5" spans="1:6" x14ac:dyDescent="0.35">
      <c r="A6115" s="3">
        <v>57051659467</v>
      </c>
      <c r="B6115" s="3">
        <v>334</v>
      </c>
      <c r="C6115" s="32">
        <v>49338</v>
      </c>
      <c r="D6115" s="32" t="s">
        <v>87</v>
      </c>
      <c r="E6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6" spans="1:6" x14ac:dyDescent="0.35">
      <c r="A6116" s="3">
        <v>95454829176</v>
      </c>
      <c r="B6116" s="3">
        <v>215</v>
      </c>
      <c r="C6116" s="32">
        <v>49338</v>
      </c>
      <c r="D6116" s="32"/>
      <c r="E6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7" spans="1:6" x14ac:dyDescent="0.35">
      <c r="A6117" s="3">
        <v>53240309565</v>
      </c>
      <c r="B6117" s="3">
        <v>1</v>
      </c>
      <c r="C6117" s="32">
        <v>49338</v>
      </c>
      <c r="D6117" s="32"/>
      <c r="E6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8" spans="1:6" x14ac:dyDescent="0.35">
      <c r="A6118" s="3">
        <v>40386055528</v>
      </c>
      <c r="B6118" s="3">
        <v>248</v>
      </c>
      <c r="C6118" s="32">
        <v>49338</v>
      </c>
      <c r="D6118" s="32" t="s">
        <v>87</v>
      </c>
      <c r="E6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9" spans="1:6" x14ac:dyDescent="0.35">
      <c r="A6119" s="3">
        <v>27088222050</v>
      </c>
      <c r="B6119" s="3">
        <v>316</v>
      </c>
      <c r="C6119" s="32">
        <v>49338</v>
      </c>
      <c r="D6119" s="32" t="s">
        <v>87</v>
      </c>
      <c r="E6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0" spans="1:6" x14ac:dyDescent="0.35">
      <c r="A6120" s="3">
        <v>30229834226</v>
      </c>
      <c r="B6120" s="3">
        <v>90</v>
      </c>
      <c r="C6120" s="32">
        <v>49339</v>
      </c>
      <c r="D6120" s="32"/>
      <c r="E6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1" spans="1:6" x14ac:dyDescent="0.35">
      <c r="A6121" s="3">
        <v>68398605170</v>
      </c>
      <c r="B6121" s="3">
        <v>9</v>
      </c>
      <c r="C6121" s="32">
        <v>49339</v>
      </c>
      <c r="D6121" s="32" t="s">
        <v>87</v>
      </c>
      <c r="E6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2" spans="1:6" x14ac:dyDescent="0.35">
      <c r="A6122" s="3">
        <v>51845754022</v>
      </c>
      <c r="B6122" s="3">
        <v>201</v>
      </c>
      <c r="C6122" s="32">
        <v>49339</v>
      </c>
      <c r="D6122" s="32" t="s">
        <v>87</v>
      </c>
      <c r="E6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3" spans="1:6" x14ac:dyDescent="0.35">
      <c r="A6123" s="3">
        <v>90587615735</v>
      </c>
      <c r="B6123" s="3">
        <v>148</v>
      </c>
      <c r="C6123" s="32">
        <v>49339</v>
      </c>
      <c r="D6123" s="32" t="s">
        <v>87</v>
      </c>
      <c r="E6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4" spans="1:6" x14ac:dyDescent="0.35">
      <c r="A6124" s="3">
        <v>22548081097</v>
      </c>
      <c r="B6124" s="3">
        <v>307</v>
      </c>
      <c r="C6124" s="32">
        <v>49339</v>
      </c>
      <c r="D6124" s="32"/>
      <c r="E6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5" spans="1:6" x14ac:dyDescent="0.35">
      <c r="A6125" s="3">
        <v>38936120982</v>
      </c>
      <c r="B6125" s="3">
        <v>121</v>
      </c>
      <c r="C6125" s="32">
        <v>49339</v>
      </c>
      <c r="D6125" s="32" t="s">
        <v>87</v>
      </c>
      <c r="E6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6" spans="1:6" x14ac:dyDescent="0.35">
      <c r="A6126" s="3">
        <v>32096508707</v>
      </c>
      <c r="B6126" s="3">
        <v>289</v>
      </c>
      <c r="C6126" s="32">
        <v>49339</v>
      </c>
      <c r="D6126" s="32" t="s">
        <v>87</v>
      </c>
      <c r="E6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7" spans="1:6" x14ac:dyDescent="0.35">
      <c r="A6127" s="3">
        <v>75003954674</v>
      </c>
      <c r="B6127" s="3">
        <v>111</v>
      </c>
      <c r="C6127" s="32">
        <v>49339</v>
      </c>
      <c r="D6127" s="32" t="s">
        <v>87</v>
      </c>
      <c r="E6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8" spans="1:6" x14ac:dyDescent="0.35">
      <c r="A6128" s="3">
        <v>66938030220</v>
      </c>
      <c r="B6128" s="3">
        <v>238</v>
      </c>
      <c r="C6128" s="32">
        <v>49339</v>
      </c>
      <c r="D6128" s="32"/>
      <c r="E6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9" spans="1:6" x14ac:dyDescent="0.35">
      <c r="A6129" s="3">
        <v>32375721132</v>
      </c>
      <c r="B6129" s="3">
        <v>250</v>
      </c>
      <c r="C6129" s="32">
        <v>49339</v>
      </c>
      <c r="D6129" s="32" t="s">
        <v>87</v>
      </c>
      <c r="E6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0" spans="1:6" x14ac:dyDescent="0.35">
      <c r="A6130" s="3">
        <v>35391061307</v>
      </c>
      <c r="B6130" s="3">
        <v>232</v>
      </c>
      <c r="C6130" s="32">
        <v>49339</v>
      </c>
      <c r="D6130" s="32" t="s">
        <v>87</v>
      </c>
      <c r="E6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1" spans="1:6" x14ac:dyDescent="0.35">
      <c r="A6131" s="3">
        <v>27815647582</v>
      </c>
      <c r="B6131" s="3">
        <v>101</v>
      </c>
      <c r="C6131" s="32">
        <v>49339</v>
      </c>
      <c r="D6131" s="32" t="s">
        <v>87</v>
      </c>
      <c r="E6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2" spans="1:6" x14ac:dyDescent="0.35">
      <c r="A6132" s="3">
        <v>40322729885</v>
      </c>
      <c r="B6132" s="3">
        <v>132</v>
      </c>
      <c r="C6132" s="32">
        <v>49339</v>
      </c>
      <c r="D6132" s="32" t="s">
        <v>87</v>
      </c>
      <c r="E6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3" spans="1:6" x14ac:dyDescent="0.35">
      <c r="A6133" s="3">
        <v>64594879599</v>
      </c>
      <c r="B6133" s="3">
        <v>48</v>
      </c>
      <c r="C6133" s="32">
        <v>49339</v>
      </c>
      <c r="D6133" s="32" t="s">
        <v>87</v>
      </c>
      <c r="E6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4" spans="1:6" x14ac:dyDescent="0.35">
      <c r="A6134" s="3">
        <v>98833522360</v>
      </c>
      <c r="B6134" s="3">
        <v>132</v>
      </c>
      <c r="C6134" s="32">
        <v>49339</v>
      </c>
      <c r="D6134" s="32" t="s">
        <v>87</v>
      </c>
      <c r="E6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5" spans="1:6" x14ac:dyDescent="0.35">
      <c r="A6135" s="3">
        <v>89168296853</v>
      </c>
      <c r="B6135" s="3">
        <v>292</v>
      </c>
      <c r="C6135" s="32">
        <v>49339</v>
      </c>
      <c r="D6135" s="32" t="s">
        <v>87</v>
      </c>
      <c r="E6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6" spans="1:6" x14ac:dyDescent="0.35">
      <c r="A6136" s="3">
        <v>52183974020</v>
      </c>
      <c r="B6136" s="3">
        <v>200</v>
      </c>
      <c r="C6136" s="32">
        <v>49339</v>
      </c>
      <c r="D6136" s="32" t="s">
        <v>87</v>
      </c>
      <c r="E6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7" spans="1:6" x14ac:dyDescent="0.35">
      <c r="A6137" s="3">
        <v>16073943944</v>
      </c>
      <c r="B6137" s="3">
        <v>37</v>
      </c>
      <c r="C6137" s="32">
        <v>49339</v>
      </c>
      <c r="D6137" s="32" t="s">
        <v>87</v>
      </c>
      <c r="E6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8" spans="1:6" x14ac:dyDescent="0.35">
      <c r="A6138" s="3">
        <v>34085258293</v>
      </c>
      <c r="B6138" s="3">
        <v>31</v>
      </c>
      <c r="C6138" s="32">
        <v>49339</v>
      </c>
      <c r="D6138" s="32" t="s">
        <v>87</v>
      </c>
      <c r="E6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9" spans="1:6" x14ac:dyDescent="0.35">
      <c r="A6139" s="3">
        <v>45709320556</v>
      </c>
      <c r="B6139" s="3">
        <v>155</v>
      </c>
      <c r="C6139" s="32">
        <v>49339</v>
      </c>
      <c r="D6139" s="32" t="s">
        <v>87</v>
      </c>
      <c r="E6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0" spans="1:6" x14ac:dyDescent="0.35">
      <c r="A6140" s="3">
        <v>50350186880</v>
      </c>
      <c r="B6140" s="3">
        <v>286</v>
      </c>
      <c r="C6140" s="32">
        <v>49339</v>
      </c>
      <c r="D6140" s="32" t="s">
        <v>87</v>
      </c>
      <c r="E6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1" spans="1:6" x14ac:dyDescent="0.35">
      <c r="A6141" s="3">
        <v>78407697041</v>
      </c>
      <c r="B6141" s="3">
        <v>167</v>
      </c>
      <c r="C6141" s="32">
        <v>49339</v>
      </c>
      <c r="D6141" s="32" t="s">
        <v>87</v>
      </c>
      <c r="E6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2" spans="1:6" x14ac:dyDescent="0.35">
      <c r="A6142" s="3">
        <v>21312861808</v>
      </c>
      <c r="B6142" s="3">
        <v>98</v>
      </c>
      <c r="C6142" s="32">
        <v>49339</v>
      </c>
      <c r="D6142" s="32" t="s">
        <v>87</v>
      </c>
      <c r="E6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3" spans="1:6" x14ac:dyDescent="0.35">
      <c r="A6143" s="3">
        <v>50319538088</v>
      </c>
      <c r="B6143" s="3">
        <v>151</v>
      </c>
      <c r="C6143" s="32">
        <v>49339</v>
      </c>
      <c r="D6143" s="32" t="s">
        <v>87</v>
      </c>
      <c r="E6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4" spans="1:6" x14ac:dyDescent="0.35">
      <c r="A6144" s="3">
        <v>83690615399</v>
      </c>
      <c r="B6144" s="3">
        <v>74</v>
      </c>
      <c r="C6144" s="32">
        <v>49339</v>
      </c>
      <c r="D6144" s="32"/>
      <c r="E6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5" spans="1:6" x14ac:dyDescent="0.35">
      <c r="A6145" s="3">
        <v>88494368240</v>
      </c>
      <c r="B6145" s="3">
        <v>319</v>
      </c>
      <c r="C6145" s="32">
        <v>49339</v>
      </c>
      <c r="D6145" s="32" t="s">
        <v>87</v>
      </c>
      <c r="E6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6" spans="1:6" x14ac:dyDescent="0.35">
      <c r="A6146" s="3">
        <v>62003613315</v>
      </c>
      <c r="B6146" s="3">
        <v>266</v>
      </c>
      <c r="C6146" s="32">
        <v>49340</v>
      </c>
      <c r="D6146" s="32" t="s">
        <v>87</v>
      </c>
      <c r="E6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7" spans="1:6" x14ac:dyDescent="0.35">
      <c r="A6147" s="3">
        <v>24972913061</v>
      </c>
      <c r="B6147" s="3">
        <v>231</v>
      </c>
      <c r="C6147" s="32">
        <v>49340</v>
      </c>
      <c r="D6147" s="32" t="s">
        <v>87</v>
      </c>
      <c r="E6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8" spans="1:6" x14ac:dyDescent="0.35">
      <c r="A6148" s="3">
        <v>16498747593</v>
      </c>
      <c r="B6148" s="3">
        <v>24</v>
      </c>
      <c r="C6148" s="32">
        <v>49340</v>
      </c>
      <c r="D6148" s="32"/>
      <c r="E6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9" spans="1:6" x14ac:dyDescent="0.35">
      <c r="A6149" s="3">
        <v>14386625958</v>
      </c>
      <c r="B6149" s="3">
        <v>15</v>
      </c>
      <c r="C6149" s="32">
        <v>49340</v>
      </c>
      <c r="D6149" s="32"/>
      <c r="E6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0" spans="1:6" x14ac:dyDescent="0.35">
      <c r="A6150" s="3">
        <v>99433789617</v>
      </c>
      <c r="B6150" s="3">
        <v>126</v>
      </c>
      <c r="C6150" s="32">
        <v>49340</v>
      </c>
      <c r="D6150" s="32" t="s">
        <v>87</v>
      </c>
      <c r="E6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1" spans="1:6" x14ac:dyDescent="0.35">
      <c r="A6151" s="3">
        <v>72621862023</v>
      </c>
      <c r="B6151" s="3">
        <v>231</v>
      </c>
      <c r="C6151" s="32">
        <v>49340</v>
      </c>
      <c r="D6151" s="32" t="s">
        <v>87</v>
      </c>
      <c r="E6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2" spans="1:6" x14ac:dyDescent="0.35">
      <c r="A6152" s="3">
        <v>17788850756</v>
      </c>
      <c r="B6152" s="3">
        <v>154</v>
      </c>
      <c r="C6152" s="32">
        <v>49340</v>
      </c>
      <c r="D6152" s="32" t="s">
        <v>87</v>
      </c>
      <c r="E6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3" spans="1:6" x14ac:dyDescent="0.35">
      <c r="A6153" s="3">
        <v>92283404171</v>
      </c>
      <c r="B6153" s="3">
        <v>96</v>
      </c>
      <c r="C6153" s="32">
        <v>49340</v>
      </c>
      <c r="D6153" s="32"/>
      <c r="E6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4" spans="1:6" x14ac:dyDescent="0.35">
      <c r="A6154" s="3">
        <v>93074953957</v>
      </c>
      <c r="B6154" s="3">
        <v>138</v>
      </c>
      <c r="C6154" s="32">
        <v>49340</v>
      </c>
      <c r="D6154" s="32" t="s">
        <v>87</v>
      </c>
      <c r="E6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5" spans="1:6" x14ac:dyDescent="0.35">
      <c r="A6155" s="3">
        <v>44674602764</v>
      </c>
      <c r="B6155" s="3">
        <v>63</v>
      </c>
      <c r="C6155" s="32">
        <v>49340</v>
      </c>
      <c r="D6155" s="32"/>
      <c r="E6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6" spans="1:6" x14ac:dyDescent="0.35">
      <c r="A6156" s="3">
        <v>97953543559</v>
      </c>
      <c r="B6156" s="3">
        <v>128</v>
      </c>
      <c r="C6156" s="32">
        <v>49340</v>
      </c>
      <c r="D6156" s="32" t="s">
        <v>87</v>
      </c>
      <c r="E6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7" spans="1:6" x14ac:dyDescent="0.35">
      <c r="A6157" s="3">
        <v>61190594110</v>
      </c>
      <c r="B6157" s="3">
        <v>228</v>
      </c>
      <c r="C6157" s="32">
        <v>49340</v>
      </c>
      <c r="D6157" s="32"/>
      <c r="E6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8" spans="1:6" x14ac:dyDescent="0.35">
      <c r="A6158" s="3">
        <v>12876986724</v>
      </c>
      <c r="B6158" s="3">
        <v>268</v>
      </c>
      <c r="C6158" s="32">
        <v>49340</v>
      </c>
      <c r="D6158" s="32" t="s">
        <v>87</v>
      </c>
      <c r="E6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9" spans="1:6" x14ac:dyDescent="0.35">
      <c r="A6159" s="3">
        <v>60773629463</v>
      </c>
      <c r="B6159" s="3">
        <v>184</v>
      </c>
      <c r="C6159" s="32">
        <v>49340</v>
      </c>
      <c r="D6159" s="32" t="s">
        <v>87</v>
      </c>
      <c r="E6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0" spans="1:6" x14ac:dyDescent="0.35">
      <c r="A6160" s="3">
        <v>87335387339</v>
      </c>
      <c r="B6160" s="3">
        <v>174</v>
      </c>
      <c r="C6160" s="32">
        <v>49340</v>
      </c>
      <c r="D6160" s="32" t="s">
        <v>87</v>
      </c>
      <c r="E6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1" spans="1:6" x14ac:dyDescent="0.35">
      <c r="A6161" s="3">
        <v>13206708906</v>
      </c>
      <c r="B6161" s="3">
        <v>252</v>
      </c>
      <c r="C6161" s="32">
        <v>49340</v>
      </c>
      <c r="D6161" s="32"/>
      <c r="E6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2" spans="1:6" x14ac:dyDescent="0.35">
      <c r="A6162" s="3">
        <v>17684932280</v>
      </c>
      <c r="B6162" s="3">
        <v>68</v>
      </c>
      <c r="C6162" s="32">
        <v>49340</v>
      </c>
      <c r="D6162" s="32" t="s">
        <v>87</v>
      </c>
      <c r="E6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3" spans="1:6" x14ac:dyDescent="0.35">
      <c r="A6163" s="3">
        <v>63971971685</v>
      </c>
      <c r="B6163" s="3">
        <v>312</v>
      </c>
      <c r="C6163" s="32">
        <v>49340</v>
      </c>
      <c r="D6163" s="32" t="s">
        <v>87</v>
      </c>
      <c r="E6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4" spans="1:6" x14ac:dyDescent="0.35">
      <c r="A6164" s="3">
        <v>61693197066</v>
      </c>
      <c r="B6164" s="3">
        <v>211</v>
      </c>
      <c r="C6164" s="32">
        <v>49340</v>
      </c>
      <c r="D6164" s="32" t="s">
        <v>87</v>
      </c>
      <c r="E6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5" spans="1:6" x14ac:dyDescent="0.35">
      <c r="A6165" s="3">
        <v>92428257047</v>
      </c>
      <c r="B6165" s="3">
        <v>78</v>
      </c>
      <c r="C6165" s="32">
        <v>49340</v>
      </c>
      <c r="D6165" s="32"/>
      <c r="E6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6" spans="1:6" x14ac:dyDescent="0.35">
      <c r="A6166" s="3">
        <v>20811056972</v>
      </c>
      <c r="B6166" s="3">
        <v>173</v>
      </c>
      <c r="C6166" s="32">
        <v>49340</v>
      </c>
      <c r="D6166" s="32" t="s">
        <v>87</v>
      </c>
      <c r="E6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7" spans="1:6" x14ac:dyDescent="0.35">
      <c r="A6167" s="3">
        <v>26020298425</v>
      </c>
      <c r="B6167" s="3">
        <v>300</v>
      </c>
      <c r="C6167" s="32">
        <v>49340</v>
      </c>
      <c r="D6167" s="32" t="s">
        <v>87</v>
      </c>
      <c r="E6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8" spans="1:6" x14ac:dyDescent="0.35">
      <c r="A6168" s="3">
        <v>46826559783</v>
      </c>
      <c r="B6168" s="3">
        <v>222</v>
      </c>
      <c r="C6168" s="32">
        <v>49341</v>
      </c>
      <c r="D6168" s="32" t="s">
        <v>87</v>
      </c>
      <c r="E6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9" spans="1:6" x14ac:dyDescent="0.35">
      <c r="A6169" s="3">
        <v>67027268047</v>
      </c>
      <c r="B6169" s="3">
        <v>120</v>
      </c>
      <c r="C6169" s="32">
        <v>49341</v>
      </c>
      <c r="D6169" s="32" t="s">
        <v>87</v>
      </c>
      <c r="E6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0" spans="1:6" x14ac:dyDescent="0.35">
      <c r="A6170" s="3">
        <v>91531837122</v>
      </c>
      <c r="B6170" s="3">
        <v>196</v>
      </c>
      <c r="C6170" s="32">
        <v>49341</v>
      </c>
      <c r="D6170" s="32" t="s">
        <v>87</v>
      </c>
      <c r="E6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1" spans="1:6" x14ac:dyDescent="0.35">
      <c r="A6171" s="3">
        <v>58220797895</v>
      </c>
      <c r="B6171" s="3">
        <v>307</v>
      </c>
      <c r="C6171" s="32">
        <v>49341</v>
      </c>
      <c r="D6171" s="32" t="s">
        <v>87</v>
      </c>
      <c r="E6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2" spans="1:6" x14ac:dyDescent="0.35">
      <c r="A6172" s="3">
        <v>81288150258</v>
      </c>
      <c r="B6172" s="3">
        <v>21</v>
      </c>
      <c r="C6172" s="32">
        <v>49341</v>
      </c>
      <c r="D6172" s="32" t="s">
        <v>87</v>
      </c>
      <c r="E6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3" spans="1:6" x14ac:dyDescent="0.35">
      <c r="A6173" s="3">
        <v>35477567984</v>
      </c>
      <c r="B6173" s="3">
        <v>166</v>
      </c>
      <c r="C6173" s="32">
        <v>49341</v>
      </c>
      <c r="D6173" s="32" t="s">
        <v>87</v>
      </c>
      <c r="E6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4" spans="1:6" x14ac:dyDescent="0.35">
      <c r="A6174" s="3">
        <v>53704124999</v>
      </c>
      <c r="B6174" s="3">
        <v>287</v>
      </c>
      <c r="C6174" s="32">
        <v>49341</v>
      </c>
      <c r="D6174" s="32" t="s">
        <v>87</v>
      </c>
      <c r="E6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5" spans="1:6" x14ac:dyDescent="0.35">
      <c r="A6175" s="3">
        <v>37151411428</v>
      </c>
      <c r="B6175" s="3">
        <v>30</v>
      </c>
      <c r="C6175" s="32">
        <v>49341</v>
      </c>
      <c r="D6175" s="32" t="s">
        <v>87</v>
      </c>
      <c r="E6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6" spans="1:6" x14ac:dyDescent="0.35">
      <c r="A6176" s="3">
        <v>45831267915</v>
      </c>
      <c r="B6176" s="3">
        <v>171</v>
      </c>
      <c r="C6176" s="32">
        <v>49341</v>
      </c>
      <c r="D6176" s="32"/>
      <c r="E6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7" spans="1:6" x14ac:dyDescent="0.35">
      <c r="A6177" s="3">
        <v>67348652085</v>
      </c>
      <c r="B6177" s="3">
        <v>140</v>
      </c>
      <c r="C6177" s="32">
        <v>49341</v>
      </c>
      <c r="D6177" s="32" t="s">
        <v>87</v>
      </c>
      <c r="E6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8" spans="1:6" x14ac:dyDescent="0.35">
      <c r="A6178" s="3">
        <v>65887254150</v>
      </c>
      <c r="B6178" s="3">
        <v>144</v>
      </c>
      <c r="C6178" s="32">
        <v>49341</v>
      </c>
      <c r="D6178" s="32"/>
      <c r="E6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9" spans="1:6" x14ac:dyDescent="0.35">
      <c r="A6179" s="3">
        <v>37530687254</v>
      </c>
      <c r="B6179" s="3">
        <v>246</v>
      </c>
      <c r="C6179" s="32">
        <v>49341</v>
      </c>
      <c r="D6179" s="32" t="s">
        <v>87</v>
      </c>
      <c r="E6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0" spans="1:6" x14ac:dyDescent="0.35">
      <c r="A6180" s="3">
        <v>79391054292</v>
      </c>
      <c r="B6180" s="3">
        <v>155</v>
      </c>
      <c r="C6180" s="32">
        <v>49341</v>
      </c>
      <c r="D6180" s="32"/>
      <c r="E6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1" spans="1:6" x14ac:dyDescent="0.35">
      <c r="A6181" s="3">
        <v>64185844294</v>
      </c>
      <c r="B6181" s="3">
        <v>231</v>
      </c>
      <c r="C6181" s="32">
        <v>49341</v>
      </c>
      <c r="D6181" s="32" t="s">
        <v>87</v>
      </c>
      <c r="E6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2" spans="1:6" x14ac:dyDescent="0.35">
      <c r="A6182" s="3">
        <v>82318449911</v>
      </c>
      <c r="B6182" s="3">
        <v>286</v>
      </c>
      <c r="C6182" s="32">
        <v>49341</v>
      </c>
      <c r="D6182" s="32" t="s">
        <v>87</v>
      </c>
      <c r="E6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3" spans="1:6" x14ac:dyDescent="0.35">
      <c r="A6183" s="3">
        <v>86545411132</v>
      </c>
      <c r="B6183" s="3">
        <v>275</v>
      </c>
      <c r="C6183" s="32">
        <v>49341</v>
      </c>
      <c r="D6183" s="32" t="s">
        <v>87</v>
      </c>
      <c r="E6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4" spans="1:6" x14ac:dyDescent="0.35">
      <c r="A6184" s="3">
        <v>67380321749</v>
      </c>
      <c r="B6184" s="3">
        <v>141</v>
      </c>
      <c r="C6184" s="32">
        <v>49341</v>
      </c>
      <c r="D6184" s="32" t="s">
        <v>87</v>
      </c>
      <c r="E6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5" spans="1:6" x14ac:dyDescent="0.35">
      <c r="A6185" s="3">
        <v>23450439927</v>
      </c>
      <c r="B6185" s="3">
        <v>205</v>
      </c>
      <c r="C6185" s="32">
        <v>49341</v>
      </c>
      <c r="D6185" s="32" t="s">
        <v>87</v>
      </c>
      <c r="E6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6" spans="1:6" x14ac:dyDescent="0.35">
      <c r="A6186" s="3">
        <v>97983610866</v>
      </c>
      <c r="B6186" s="3">
        <v>155</v>
      </c>
      <c r="C6186" s="32">
        <v>49341</v>
      </c>
      <c r="D6186" s="32" t="s">
        <v>87</v>
      </c>
      <c r="E6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7" spans="1:6" x14ac:dyDescent="0.35">
      <c r="A6187" s="3">
        <v>75498811916</v>
      </c>
      <c r="B6187" s="3">
        <v>199</v>
      </c>
      <c r="C6187" s="32">
        <v>49341</v>
      </c>
      <c r="D6187" s="32" t="s">
        <v>87</v>
      </c>
      <c r="E6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8" spans="1:6" x14ac:dyDescent="0.35">
      <c r="A6188" s="3">
        <v>22103457500</v>
      </c>
      <c r="B6188" s="3">
        <v>89</v>
      </c>
      <c r="C6188" s="32">
        <v>49341</v>
      </c>
      <c r="D6188" s="32" t="s">
        <v>87</v>
      </c>
      <c r="E6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9" spans="1:6" x14ac:dyDescent="0.35">
      <c r="A6189" s="3">
        <v>61355664622</v>
      </c>
      <c r="B6189" s="3">
        <v>165</v>
      </c>
      <c r="C6189" s="32">
        <v>49341</v>
      </c>
      <c r="D6189" s="32" t="s">
        <v>87</v>
      </c>
      <c r="E6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0" spans="1:6" x14ac:dyDescent="0.35">
      <c r="A6190" s="3">
        <v>11509691958</v>
      </c>
      <c r="B6190" s="3">
        <v>7</v>
      </c>
      <c r="C6190" s="32">
        <v>49341</v>
      </c>
      <c r="D6190" s="32" t="s">
        <v>87</v>
      </c>
      <c r="E6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1" spans="1:6" x14ac:dyDescent="0.35">
      <c r="A6191" s="3">
        <v>41613137500</v>
      </c>
      <c r="B6191" s="3">
        <v>111</v>
      </c>
      <c r="C6191" s="32">
        <v>49341</v>
      </c>
      <c r="D6191" s="32" t="s">
        <v>87</v>
      </c>
      <c r="E6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2" spans="1:6" x14ac:dyDescent="0.35">
      <c r="A6192" s="3">
        <v>84025499550</v>
      </c>
      <c r="B6192" s="3">
        <v>250</v>
      </c>
      <c r="C6192" s="32">
        <v>49341</v>
      </c>
      <c r="D6192" s="32" t="s">
        <v>87</v>
      </c>
      <c r="E6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3" spans="1:6" x14ac:dyDescent="0.35">
      <c r="A6193" s="3">
        <v>27419898799</v>
      </c>
      <c r="B6193" s="3">
        <v>239</v>
      </c>
      <c r="C6193" s="32">
        <v>49341</v>
      </c>
      <c r="D6193" s="32" t="s">
        <v>87</v>
      </c>
      <c r="E6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4" spans="1:6" x14ac:dyDescent="0.35">
      <c r="A6194" s="3">
        <v>76243576063</v>
      </c>
      <c r="B6194" s="3">
        <v>294</v>
      </c>
      <c r="C6194" s="32">
        <v>49341</v>
      </c>
      <c r="D6194" s="32" t="s">
        <v>87</v>
      </c>
      <c r="E6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5" spans="1:6" x14ac:dyDescent="0.35">
      <c r="A6195" s="3">
        <v>57754509206</v>
      </c>
      <c r="B6195" s="3">
        <v>63</v>
      </c>
      <c r="C6195" s="32">
        <v>49341</v>
      </c>
      <c r="D6195" s="32"/>
      <c r="E6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6" spans="1:6" x14ac:dyDescent="0.35">
      <c r="A6196" s="3">
        <v>28014932384</v>
      </c>
      <c r="B6196" s="3">
        <v>139</v>
      </c>
      <c r="C6196" s="32">
        <v>49341</v>
      </c>
      <c r="D6196" s="32"/>
      <c r="E6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7" spans="1:6" x14ac:dyDescent="0.35">
      <c r="A6197" s="3">
        <v>42931957786</v>
      </c>
      <c r="B6197" s="3">
        <v>79</v>
      </c>
      <c r="C6197" s="32">
        <v>49341</v>
      </c>
      <c r="D6197" s="32" t="s">
        <v>87</v>
      </c>
      <c r="E6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8" spans="1:6" x14ac:dyDescent="0.35">
      <c r="A6198" s="3">
        <v>85855446991</v>
      </c>
      <c r="B6198" s="3">
        <v>236</v>
      </c>
      <c r="C6198" s="32">
        <v>49341</v>
      </c>
      <c r="D6198" s="32" t="s">
        <v>87</v>
      </c>
      <c r="E6198" s="33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8" s="34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</sheetData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3CD04-D3AC-46A0-B5A2-21C61F124AF6}">
  <dimension ref="A1:L7006"/>
  <sheetViews>
    <sheetView workbookViewId="0">
      <selection activeCell="K5" sqref="K5"/>
    </sheetView>
  </sheetViews>
  <sheetFormatPr defaultRowHeight="14.5" x14ac:dyDescent="0.35"/>
  <cols>
    <col min="1" max="1" width="11.81640625" bestFit="1" customWidth="1"/>
    <col min="2" max="2" width="8.81640625" customWidth="1"/>
    <col min="3" max="3" width="18.7265625" customWidth="1"/>
    <col min="4" max="4" width="13.453125" customWidth="1"/>
    <col min="5" max="5" width="22.26953125" customWidth="1"/>
    <col min="6" max="6" width="17" customWidth="1"/>
    <col min="8" max="8" width="28.6328125" bestFit="1" customWidth="1"/>
    <col min="9" max="9" width="9.7265625" bestFit="1" customWidth="1"/>
    <col min="11" max="11" width="26.90625" bestFit="1" customWidth="1"/>
    <col min="12" max="12" width="9.7265625" bestFit="1" customWidth="1"/>
  </cols>
  <sheetData>
    <row r="1" spans="1:12" x14ac:dyDescent="0.35">
      <c r="A1" s="3" t="s">
        <v>85</v>
      </c>
      <c r="B1" s="3" t="s">
        <v>86</v>
      </c>
      <c r="C1" s="3" t="s">
        <v>84</v>
      </c>
      <c r="D1" s="32" t="s">
        <v>82</v>
      </c>
      <c r="E1" s="37" t="s">
        <v>88</v>
      </c>
      <c r="F1" s="30" t="s">
        <v>89</v>
      </c>
      <c r="H1" s="29" t="s">
        <v>88</v>
      </c>
      <c r="I1" t="s">
        <v>100</v>
      </c>
      <c r="K1" s="29" t="s">
        <v>89</v>
      </c>
      <c r="L1" t="s">
        <v>100</v>
      </c>
    </row>
    <row r="2" spans="1:12" x14ac:dyDescent="0.35">
      <c r="A2" s="3">
        <v>19797464187</v>
      </c>
      <c r="B2" s="3">
        <v>9</v>
      </c>
      <c r="C2" s="32">
        <v>49096</v>
      </c>
      <c r="D2" s="32" t="s">
        <v>87</v>
      </c>
      <c r="E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" spans="1:12" x14ac:dyDescent="0.35">
      <c r="A3" s="3">
        <v>54808625754</v>
      </c>
      <c r="B3" s="3">
        <v>10</v>
      </c>
      <c r="C3" s="32">
        <v>49096</v>
      </c>
      <c r="D3" s="32" t="s">
        <v>87</v>
      </c>
      <c r="E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  <c r="H3" t="s">
        <v>83</v>
      </c>
      <c r="K3" t="s">
        <v>91</v>
      </c>
    </row>
    <row r="4" spans="1:12" x14ac:dyDescent="0.35">
      <c r="A4" s="3">
        <v>61978720710</v>
      </c>
      <c r="B4" s="3">
        <v>37</v>
      </c>
      <c r="C4" s="32">
        <v>49096</v>
      </c>
      <c r="D4" s="32" t="s">
        <v>87</v>
      </c>
      <c r="E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  <c r="H4">
        <v>839</v>
      </c>
      <c r="K4">
        <v>171</v>
      </c>
      <c r="L4" s="41">
        <f>K4/H4</f>
        <v>0.20381406436233612</v>
      </c>
    </row>
    <row r="5" spans="1:12" x14ac:dyDescent="0.35">
      <c r="A5" s="3">
        <v>28403151297</v>
      </c>
      <c r="B5" s="3">
        <v>43</v>
      </c>
      <c r="C5" s="32">
        <v>49096</v>
      </c>
      <c r="D5" s="32" t="s">
        <v>87</v>
      </c>
      <c r="E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" spans="1:12" x14ac:dyDescent="0.35">
      <c r="A6" s="3">
        <v>51475771178</v>
      </c>
      <c r="B6" s="3">
        <v>49</v>
      </c>
      <c r="C6" s="32">
        <v>49096</v>
      </c>
      <c r="D6" s="32"/>
      <c r="E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" spans="1:12" x14ac:dyDescent="0.35">
      <c r="A7" s="3">
        <v>58526540691</v>
      </c>
      <c r="B7" s="3">
        <v>54</v>
      </c>
      <c r="C7" s="32">
        <v>49096</v>
      </c>
      <c r="D7" s="32" t="s">
        <v>87</v>
      </c>
      <c r="E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" spans="1:12" x14ac:dyDescent="0.35">
      <c r="A8" s="3">
        <v>75179825599</v>
      </c>
      <c r="B8" s="3">
        <v>63</v>
      </c>
      <c r="C8" s="32">
        <v>49096</v>
      </c>
      <c r="D8" s="32" t="s">
        <v>87</v>
      </c>
      <c r="E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" spans="1:12" x14ac:dyDescent="0.35">
      <c r="A9" s="3">
        <v>79575596607</v>
      </c>
      <c r="B9" s="3">
        <v>66</v>
      </c>
      <c r="C9" s="32">
        <v>49096</v>
      </c>
      <c r="D9" s="32"/>
      <c r="E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" spans="1:12" x14ac:dyDescent="0.35">
      <c r="A10" s="3">
        <v>94593467641</v>
      </c>
      <c r="B10" s="3">
        <v>67</v>
      </c>
      <c r="C10" s="32">
        <v>49096</v>
      </c>
      <c r="D10" s="32" t="s">
        <v>87</v>
      </c>
      <c r="E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" spans="1:12" x14ac:dyDescent="0.35">
      <c r="A11" s="3">
        <v>85706999212</v>
      </c>
      <c r="B11" s="3">
        <v>92</v>
      </c>
      <c r="C11" s="32">
        <v>49096</v>
      </c>
      <c r="D11" s="32"/>
      <c r="E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" spans="1:12" x14ac:dyDescent="0.35">
      <c r="A12" s="3">
        <v>68622980113</v>
      </c>
      <c r="B12" s="3">
        <v>132</v>
      </c>
      <c r="C12" s="32">
        <v>49096</v>
      </c>
      <c r="D12" s="32" t="s">
        <v>87</v>
      </c>
      <c r="E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" spans="1:12" x14ac:dyDescent="0.35">
      <c r="A13" s="3">
        <v>80253330439</v>
      </c>
      <c r="B13" s="3">
        <v>139</v>
      </c>
      <c r="C13" s="32">
        <v>49096</v>
      </c>
      <c r="D13" s="32" t="s">
        <v>87</v>
      </c>
      <c r="E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" spans="1:12" x14ac:dyDescent="0.35">
      <c r="A14" s="3">
        <v>55485643970</v>
      </c>
      <c r="B14" s="3">
        <v>163</v>
      </c>
      <c r="C14" s="32">
        <v>49096</v>
      </c>
      <c r="D14" s="32"/>
      <c r="E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" spans="1:12" x14ac:dyDescent="0.35">
      <c r="A15" s="3">
        <v>64500920291</v>
      </c>
      <c r="B15" s="3">
        <v>174</v>
      </c>
      <c r="C15" s="32">
        <v>49096</v>
      </c>
      <c r="D15" s="32">
        <v>49111</v>
      </c>
      <c r="E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16" spans="1:12" x14ac:dyDescent="0.35">
      <c r="A16" s="3">
        <v>72912456724</v>
      </c>
      <c r="B16" s="3">
        <v>179</v>
      </c>
      <c r="C16" s="32">
        <v>49096</v>
      </c>
      <c r="D16" s="32" t="s">
        <v>87</v>
      </c>
      <c r="E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" spans="1:6" x14ac:dyDescent="0.35">
      <c r="A17" s="3">
        <v>65667728917</v>
      </c>
      <c r="B17" s="3">
        <v>192</v>
      </c>
      <c r="C17" s="32">
        <v>49096</v>
      </c>
      <c r="D17" s="32" t="s">
        <v>87</v>
      </c>
      <c r="E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" spans="1:6" x14ac:dyDescent="0.35">
      <c r="A18" s="3">
        <v>29498829985</v>
      </c>
      <c r="B18" s="3">
        <v>207</v>
      </c>
      <c r="C18" s="32">
        <v>49096</v>
      </c>
      <c r="D18" s="32">
        <v>49117</v>
      </c>
      <c r="E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19" spans="1:6" x14ac:dyDescent="0.35">
      <c r="A19" s="3">
        <v>99947995195</v>
      </c>
      <c r="B19" s="3">
        <v>220</v>
      </c>
      <c r="C19" s="32">
        <v>49096</v>
      </c>
      <c r="D19" s="32"/>
      <c r="E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" spans="1:6" x14ac:dyDescent="0.35">
      <c r="A20" s="3">
        <v>75048331084</v>
      </c>
      <c r="B20" s="3">
        <v>233</v>
      </c>
      <c r="C20" s="32">
        <v>49096</v>
      </c>
      <c r="D20" s="32" t="s">
        <v>87</v>
      </c>
      <c r="E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" spans="1:6" x14ac:dyDescent="0.35">
      <c r="A21" s="3">
        <v>22030167053</v>
      </c>
      <c r="B21" s="3">
        <v>244</v>
      </c>
      <c r="C21" s="32">
        <v>49096</v>
      </c>
      <c r="D21" s="32" t="s">
        <v>87</v>
      </c>
      <c r="E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" spans="1:6" x14ac:dyDescent="0.35">
      <c r="A22" s="3">
        <v>97313214546</v>
      </c>
      <c r="B22" s="3">
        <v>257</v>
      </c>
      <c r="C22" s="32">
        <v>49096</v>
      </c>
      <c r="D22" s="32" t="s">
        <v>87</v>
      </c>
      <c r="E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" spans="1:6" x14ac:dyDescent="0.35">
      <c r="A23" s="3">
        <v>62808703889</v>
      </c>
      <c r="B23" s="3">
        <v>269</v>
      </c>
      <c r="C23" s="32">
        <v>49096</v>
      </c>
      <c r="D23" s="32">
        <v>49108</v>
      </c>
      <c r="E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24" spans="1:6" x14ac:dyDescent="0.35">
      <c r="A24" s="3">
        <v>16738043104</v>
      </c>
      <c r="B24" s="3">
        <v>276</v>
      </c>
      <c r="C24" s="32">
        <v>49096</v>
      </c>
      <c r="D24" s="32" t="s">
        <v>87</v>
      </c>
      <c r="E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" spans="1:6" x14ac:dyDescent="0.35">
      <c r="A25" s="3">
        <v>83595093631</v>
      </c>
      <c r="B25" s="3">
        <v>313</v>
      </c>
      <c r="C25" s="32">
        <v>49096</v>
      </c>
      <c r="D25" s="32" t="s">
        <v>87</v>
      </c>
      <c r="E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" spans="1:6" x14ac:dyDescent="0.35">
      <c r="A26" s="3">
        <v>78385067201</v>
      </c>
      <c r="B26" s="3">
        <v>317</v>
      </c>
      <c r="C26" s="32">
        <v>49096</v>
      </c>
      <c r="D26" s="32" t="s">
        <v>87</v>
      </c>
      <c r="E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" spans="1:6" x14ac:dyDescent="0.35">
      <c r="A27" s="3">
        <v>44306405916</v>
      </c>
      <c r="B27" s="3">
        <v>3</v>
      </c>
      <c r="C27" s="32">
        <v>49097</v>
      </c>
      <c r="D27" s="32"/>
      <c r="E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" spans="1:6" x14ac:dyDescent="0.35">
      <c r="A28" s="3">
        <v>97553312828</v>
      </c>
      <c r="B28" s="3">
        <v>20</v>
      </c>
      <c r="C28" s="32">
        <v>49097</v>
      </c>
      <c r="D28" s="32" t="s">
        <v>87</v>
      </c>
      <c r="E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" spans="1:6" x14ac:dyDescent="0.35">
      <c r="A29" s="3">
        <v>63312272052</v>
      </c>
      <c r="B29" s="3">
        <v>21</v>
      </c>
      <c r="C29" s="32">
        <v>49097</v>
      </c>
      <c r="D29" s="32" t="s">
        <v>87</v>
      </c>
      <c r="E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" spans="1:6" x14ac:dyDescent="0.35">
      <c r="A30" s="3">
        <v>84675285827</v>
      </c>
      <c r="B30" s="3">
        <v>24</v>
      </c>
      <c r="C30" s="32">
        <v>49097</v>
      </c>
      <c r="D30" s="32" t="s">
        <v>87</v>
      </c>
      <c r="E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" spans="1:6" x14ac:dyDescent="0.35">
      <c r="A31" s="3">
        <v>89067755842</v>
      </c>
      <c r="B31" s="3">
        <v>38</v>
      </c>
      <c r="C31" s="32">
        <v>49097</v>
      </c>
      <c r="D31" s="32"/>
      <c r="E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" spans="1:6" x14ac:dyDescent="0.35">
      <c r="A32" s="3">
        <v>97661729319</v>
      </c>
      <c r="B32" s="3">
        <v>79</v>
      </c>
      <c r="C32" s="32">
        <v>49097</v>
      </c>
      <c r="D32" s="32" t="s">
        <v>87</v>
      </c>
      <c r="E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" spans="1:6" x14ac:dyDescent="0.35">
      <c r="A33" s="3">
        <v>71078196504</v>
      </c>
      <c r="B33" s="3">
        <v>80</v>
      </c>
      <c r="C33" s="32">
        <v>49097</v>
      </c>
      <c r="D33" s="32">
        <v>49137</v>
      </c>
      <c r="E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4" spans="1:6" x14ac:dyDescent="0.35">
      <c r="A34" s="3">
        <v>68859493800</v>
      </c>
      <c r="B34" s="3">
        <v>103</v>
      </c>
      <c r="C34" s="32">
        <v>49097</v>
      </c>
      <c r="D34" s="32" t="s">
        <v>87</v>
      </c>
      <c r="E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" spans="1:6" x14ac:dyDescent="0.35">
      <c r="A35" s="3">
        <v>51310937610</v>
      </c>
      <c r="B35" s="3">
        <v>113</v>
      </c>
      <c r="C35" s="32">
        <v>49097</v>
      </c>
      <c r="D35" s="32" t="s">
        <v>87</v>
      </c>
      <c r="E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" spans="1:6" x14ac:dyDescent="0.35">
      <c r="A36" s="3">
        <v>17985992575</v>
      </c>
      <c r="B36" s="3">
        <v>149</v>
      </c>
      <c r="C36" s="32">
        <v>49097</v>
      </c>
      <c r="D36" s="32">
        <v>49147</v>
      </c>
      <c r="E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7" spans="1:6" x14ac:dyDescent="0.35">
      <c r="A37" s="3">
        <v>92344335927</v>
      </c>
      <c r="B37" s="3">
        <v>175</v>
      </c>
      <c r="C37" s="32">
        <v>49097</v>
      </c>
      <c r="D37" s="32" t="s">
        <v>87</v>
      </c>
      <c r="E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" spans="1:6" x14ac:dyDescent="0.35">
      <c r="A38" s="3">
        <v>40151593663</v>
      </c>
      <c r="B38" s="3">
        <v>180</v>
      </c>
      <c r="C38" s="32">
        <v>49097</v>
      </c>
      <c r="D38" s="32" t="s">
        <v>87</v>
      </c>
      <c r="E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" spans="1:6" x14ac:dyDescent="0.35">
      <c r="A39" s="3">
        <v>38720666306</v>
      </c>
      <c r="B39" s="3">
        <v>185</v>
      </c>
      <c r="C39" s="32">
        <v>49097</v>
      </c>
      <c r="D39" s="32" t="s">
        <v>87</v>
      </c>
      <c r="E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" spans="1:6" x14ac:dyDescent="0.35">
      <c r="A40" s="3">
        <v>48231569074</v>
      </c>
      <c r="B40" s="3">
        <v>196</v>
      </c>
      <c r="C40" s="32">
        <v>49097</v>
      </c>
      <c r="D40" s="32" t="s">
        <v>87</v>
      </c>
      <c r="E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" spans="1:6" x14ac:dyDescent="0.35">
      <c r="A41" s="3">
        <v>24684376290</v>
      </c>
      <c r="B41" s="3">
        <v>204</v>
      </c>
      <c r="C41" s="32">
        <v>49097</v>
      </c>
      <c r="D41" s="32">
        <v>49216</v>
      </c>
      <c r="E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42" spans="1:6" x14ac:dyDescent="0.35">
      <c r="A42" s="3">
        <v>25864935346</v>
      </c>
      <c r="B42" s="3">
        <v>206</v>
      </c>
      <c r="C42" s="32">
        <v>49097</v>
      </c>
      <c r="D42" s="32">
        <v>49132</v>
      </c>
      <c r="E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43" spans="1:6" x14ac:dyDescent="0.35">
      <c r="A43" s="3">
        <v>33817417258</v>
      </c>
      <c r="B43" s="3">
        <v>212</v>
      </c>
      <c r="C43" s="32">
        <v>49097</v>
      </c>
      <c r="D43" s="32" t="s">
        <v>87</v>
      </c>
      <c r="E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" spans="1:6" x14ac:dyDescent="0.35">
      <c r="A44" s="3">
        <v>52148869418</v>
      </c>
      <c r="B44" s="3">
        <v>220</v>
      </c>
      <c r="C44" s="32">
        <v>49097</v>
      </c>
      <c r="D44" s="32"/>
      <c r="E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" spans="1:6" x14ac:dyDescent="0.35">
      <c r="A45" s="3">
        <v>25693723998</v>
      </c>
      <c r="B45" s="3">
        <v>226</v>
      </c>
      <c r="C45" s="32">
        <v>49097</v>
      </c>
      <c r="D45" s="32"/>
      <c r="E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" spans="1:6" x14ac:dyDescent="0.35">
      <c r="A46" s="3">
        <v>68518364725</v>
      </c>
      <c r="B46" s="3">
        <v>229</v>
      </c>
      <c r="C46" s="32">
        <v>49097</v>
      </c>
      <c r="D46" s="32" t="s">
        <v>87</v>
      </c>
      <c r="E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" spans="1:6" x14ac:dyDescent="0.35">
      <c r="A47" s="3">
        <v>41121975012</v>
      </c>
      <c r="B47" s="3">
        <v>237</v>
      </c>
      <c r="C47" s="32">
        <v>49097</v>
      </c>
      <c r="D47" s="32" t="s">
        <v>87</v>
      </c>
      <c r="E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" spans="1:6" x14ac:dyDescent="0.35">
      <c r="A48" s="3">
        <v>67666228453</v>
      </c>
      <c r="B48" s="3">
        <v>256</v>
      </c>
      <c r="C48" s="32">
        <v>49097</v>
      </c>
      <c r="D48" s="32" t="s">
        <v>87</v>
      </c>
      <c r="E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" spans="1:6" x14ac:dyDescent="0.35">
      <c r="A49" s="3">
        <v>53285055591</v>
      </c>
      <c r="B49" s="3">
        <v>288</v>
      </c>
      <c r="C49" s="32">
        <v>49097</v>
      </c>
      <c r="D49" s="32" t="s">
        <v>87</v>
      </c>
      <c r="E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" spans="1:6" x14ac:dyDescent="0.35">
      <c r="A50" s="3">
        <v>13563146093</v>
      </c>
      <c r="B50" s="3">
        <v>300</v>
      </c>
      <c r="C50" s="32">
        <v>49097</v>
      </c>
      <c r="D50" s="32"/>
      <c r="E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" spans="1:6" x14ac:dyDescent="0.35">
      <c r="A51" s="3">
        <v>54332366001</v>
      </c>
      <c r="B51" s="3">
        <v>335</v>
      </c>
      <c r="C51" s="32">
        <v>49097</v>
      </c>
      <c r="D51" s="32" t="s">
        <v>87</v>
      </c>
      <c r="E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" spans="1:6" x14ac:dyDescent="0.35">
      <c r="A52" s="3">
        <v>62461148056</v>
      </c>
      <c r="B52" s="3">
        <v>336</v>
      </c>
      <c r="C52" s="32">
        <v>49097</v>
      </c>
      <c r="D52" s="32" t="s">
        <v>87</v>
      </c>
      <c r="E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" spans="1:6" x14ac:dyDescent="0.35">
      <c r="A53" s="3">
        <v>14298161081</v>
      </c>
      <c r="B53" s="3">
        <v>7</v>
      </c>
      <c r="C53" s="32">
        <v>49098</v>
      </c>
      <c r="D53" s="32"/>
      <c r="E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" spans="1:6" x14ac:dyDescent="0.35">
      <c r="A54" s="3">
        <v>98317258880</v>
      </c>
      <c r="B54" s="3">
        <v>25</v>
      </c>
      <c r="C54" s="32">
        <v>49098</v>
      </c>
      <c r="D54" s="32" t="s">
        <v>87</v>
      </c>
      <c r="E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" spans="1:6" x14ac:dyDescent="0.35">
      <c r="A55" s="3">
        <v>34650918733</v>
      </c>
      <c r="B55" s="3">
        <v>27</v>
      </c>
      <c r="C55" s="32">
        <v>49098</v>
      </c>
      <c r="D55" s="32">
        <v>49175</v>
      </c>
      <c r="E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6" spans="1:6" x14ac:dyDescent="0.35">
      <c r="A56" s="3">
        <v>48937844432</v>
      </c>
      <c r="B56" s="3">
        <v>31</v>
      </c>
      <c r="C56" s="32">
        <v>49098</v>
      </c>
      <c r="D56" s="32" t="s">
        <v>87</v>
      </c>
      <c r="E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" spans="1:6" x14ac:dyDescent="0.35">
      <c r="A57" s="3">
        <v>84099720954</v>
      </c>
      <c r="B57" s="3">
        <v>37</v>
      </c>
      <c r="C57" s="32">
        <v>49098</v>
      </c>
      <c r="D57" s="32"/>
      <c r="E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" spans="1:6" x14ac:dyDescent="0.35">
      <c r="A58" s="3">
        <v>23523628914</v>
      </c>
      <c r="B58" s="3">
        <v>70</v>
      </c>
      <c r="C58" s="32">
        <v>49098</v>
      </c>
      <c r="D58" s="32" t="s">
        <v>87</v>
      </c>
      <c r="E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" spans="1:6" x14ac:dyDescent="0.35">
      <c r="A59" s="3">
        <v>93089735190</v>
      </c>
      <c r="B59" s="3">
        <v>76</v>
      </c>
      <c r="C59" s="32">
        <v>49098</v>
      </c>
      <c r="D59" s="32" t="s">
        <v>87</v>
      </c>
      <c r="E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" spans="1:6" x14ac:dyDescent="0.35">
      <c r="A60" s="3">
        <v>83496259240</v>
      </c>
      <c r="B60" s="3">
        <v>84</v>
      </c>
      <c r="C60" s="32">
        <v>49098</v>
      </c>
      <c r="D60" s="32">
        <v>49157</v>
      </c>
      <c r="E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61" spans="1:6" x14ac:dyDescent="0.35">
      <c r="A61" s="3">
        <v>81452980476</v>
      </c>
      <c r="B61" s="3">
        <v>113</v>
      </c>
      <c r="C61" s="32">
        <v>49098</v>
      </c>
      <c r="D61" s="32">
        <v>49138</v>
      </c>
      <c r="E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62" spans="1:6" x14ac:dyDescent="0.35">
      <c r="A62" s="3">
        <v>44433988919</v>
      </c>
      <c r="B62" s="3">
        <v>132</v>
      </c>
      <c r="C62" s="32">
        <v>49098</v>
      </c>
      <c r="D62" s="32"/>
      <c r="E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" spans="1:6" x14ac:dyDescent="0.35">
      <c r="A63" s="3">
        <v>14657560532</v>
      </c>
      <c r="B63" s="3">
        <v>149</v>
      </c>
      <c r="C63" s="32">
        <v>49098</v>
      </c>
      <c r="D63" s="32" t="s">
        <v>87</v>
      </c>
      <c r="E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" spans="1:6" x14ac:dyDescent="0.35">
      <c r="A64" s="3">
        <v>25782504693</v>
      </c>
      <c r="B64" s="3">
        <v>149</v>
      </c>
      <c r="C64" s="32">
        <v>49098</v>
      </c>
      <c r="D64" s="32"/>
      <c r="E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" spans="1:6" x14ac:dyDescent="0.35">
      <c r="A65" s="3">
        <v>45552920259</v>
      </c>
      <c r="B65" s="3">
        <v>160</v>
      </c>
      <c r="C65" s="32">
        <v>49098</v>
      </c>
      <c r="D65" s="32" t="s">
        <v>87</v>
      </c>
      <c r="E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" spans="1:6" x14ac:dyDescent="0.35">
      <c r="A66" s="3">
        <v>63073437128</v>
      </c>
      <c r="B66" s="3">
        <v>163</v>
      </c>
      <c r="C66" s="32">
        <v>49098</v>
      </c>
      <c r="D66" s="32"/>
      <c r="E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" spans="1:6" x14ac:dyDescent="0.35">
      <c r="A67" s="3">
        <v>98371504645</v>
      </c>
      <c r="B67" s="3">
        <v>173</v>
      </c>
      <c r="C67" s="32">
        <v>49098</v>
      </c>
      <c r="D67" s="32" t="s">
        <v>87</v>
      </c>
      <c r="E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" spans="1:6" x14ac:dyDescent="0.35">
      <c r="A68" s="3">
        <v>92833192216</v>
      </c>
      <c r="B68" s="3">
        <v>178</v>
      </c>
      <c r="C68" s="32">
        <v>49098</v>
      </c>
      <c r="D68" s="32"/>
      <c r="E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" spans="1:6" x14ac:dyDescent="0.35">
      <c r="A69" s="3">
        <v>83773601754</v>
      </c>
      <c r="B69" s="3">
        <v>195</v>
      </c>
      <c r="C69" s="32">
        <v>49098</v>
      </c>
      <c r="D69" s="32" t="s">
        <v>87</v>
      </c>
      <c r="E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" spans="1:6" x14ac:dyDescent="0.35">
      <c r="A70" s="3">
        <v>16532160760</v>
      </c>
      <c r="B70" s="3">
        <v>197</v>
      </c>
      <c r="C70" s="32">
        <v>49098</v>
      </c>
      <c r="D70" s="32" t="s">
        <v>87</v>
      </c>
      <c r="E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" spans="1:6" x14ac:dyDescent="0.35">
      <c r="A71" s="3">
        <v>91925411950</v>
      </c>
      <c r="B71" s="3">
        <v>197</v>
      </c>
      <c r="C71" s="32">
        <v>49098</v>
      </c>
      <c r="D71" s="32"/>
      <c r="E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" spans="1:6" x14ac:dyDescent="0.35">
      <c r="A72" s="3">
        <v>61727785217</v>
      </c>
      <c r="B72" s="3">
        <v>211</v>
      </c>
      <c r="C72" s="32">
        <v>49098</v>
      </c>
      <c r="D72" s="32" t="s">
        <v>87</v>
      </c>
      <c r="E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" spans="1:6" x14ac:dyDescent="0.35">
      <c r="A73" s="3">
        <v>51877094484</v>
      </c>
      <c r="B73" s="3">
        <v>237</v>
      </c>
      <c r="C73" s="32">
        <v>49098</v>
      </c>
      <c r="D73" s="32">
        <v>49122</v>
      </c>
      <c r="E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74" spans="1:6" x14ac:dyDescent="0.35">
      <c r="A74" s="3">
        <v>23445980733</v>
      </c>
      <c r="B74" s="3">
        <v>243</v>
      </c>
      <c r="C74" s="32">
        <v>49098</v>
      </c>
      <c r="D74" s="32">
        <v>49124</v>
      </c>
      <c r="E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75" spans="1:6" x14ac:dyDescent="0.35">
      <c r="A75" s="3">
        <v>20736724237</v>
      </c>
      <c r="B75" s="3">
        <v>262</v>
      </c>
      <c r="C75" s="32">
        <v>49098</v>
      </c>
      <c r="D75" s="32" t="s">
        <v>87</v>
      </c>
      <c r="E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" spans="1:6" x14ac:dyDescent="0.35">
      <c r="A76" s="3">
        <v>66401252331</v>
      </c>
      <c r="B76" s="3">
        <v>271</v>
      </c>
      <c r="C76" s="32">
        <v>49098</v>
      </c>
      <c r="D76" s="32" t="s">
        <v>87</v>
      </c>
      <c r="E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" spans="1:6" x14ac:dyDescent="0.35">
      <c r="A77" s="3">
        <v>67929085408</v>
      </c>
      <c r="B77" s="3">
        <v>286</v>
      </c>
      <c r="C77" s="32">
        <v>49098</v>
      </c>
      <c r="D77" s="32">
        <v>49129</v>
      </c>
      <c r="E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78" spans="1:6" x14ac:dyDescent="0.35">
      <c r="A78" s="3">
        <v>61167481842</v>
      </c>
      <c r="B78" s="3">
        <v>292</v>
      </c>
      <c r="C78" s="32">
        <v>49098</v>
      </c>
      <c r="D78" s="32" t="s">
        <v>87</v>
      </c>
      <c r="E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" spans="1:6" x14ac:dyDescent="0.35">
      <c r="A79" s="3">
        <v>94171582845</v>
      </c>
      <c r="B79" s="3">
        <v>304</v>
      </c>
      <c r="C79" s="32">
        <v>49098</v>
      </c>
      <c r="D79" s="32" t="s">
        <v>87</v>
      </c>
      <c r="E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" spans="1:6" x14ac:dyDescent="0.35">
      <c r="A80" s="3">
        <v>62817224430</v>
      </c>
      <c r="B80" s="3">
        <v>327</v>
      </c>
      <c r="C80" s="32">
        <v>49098</v>
      </c>
      <c r="D80" s="32">
        <v>49137</v>
      </c>
      <c r="E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81" spans="1:6" x14ac:dyDescent="0.35">
      <c r="A81" s="3">
        <v>76777025578</v>
      </c>
      <c r="B81" s="3">
        <v>17</v>
      </c>
      <c r="C81" s="32">
        <v>49099</v>
      </c>
      <c r="D81" s="32" t="s">
        <v>87</v>
      </c>
      <c r="E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" spans="1:6" x14ac:dyDescent="0.35">
      <c r="A82" s="3">
        <v>87829283804</v>
      </c>
      <c r="B82" s="3">
        <v>29</v>
      </c>
      <c r="C82" s="32">
        <v>49099</v>
      </c>
      <c r="D82" s="32">
        <v>49106</v>
      </c>
      <c r="E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83" spans="1:6" x14ac:dyDescent="0.35">
      <c r="A83" s="3">
        <v>36811208391</v>
      </c>
      <c r="B83" s="3">
        <v>35</v>
      </c>
      <c r="C83" s="32">
        <v>49099</v>
      </c>
      <c r="D83" s="32" t="s">
        <v>87</v>
      </c>
      <c r="E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" spans="1:6" x14ac:dyDescent="0.35">
      <c r="A84" s="3">
        <v>11440065075</v>
      </c>
      <c r="B84" s="3">
        <v>45</v>
      </c>
      <c r="C84" s="32">
        <v>49099</v>
      </c>
      <c r="D84" s="32" t="s">
        <v>87</v>
      </c>
      <c r="E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" spans="1:6" x14ac:dyDescent="0.35">
      <c r="A85" s="3">
        <v>11447295009</v>
      </c>
      <c r="B85" s="3">
        <v>47</v>
      </c>
      <c r="C85" s="32">
        <v>49099</v>
      </c>
      <c r="D85" s="32" t="s">
        <v>87</v>
      </c>
      <c r="E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" spans="1:6" x14ac:dyDescent="0.35">
      <c r="A86" s="3">
        <v>65695665079</v>
      </c>
      <c r="B86" s="3">
        <v>53</v>
      </c>
      <c r="C86" s="32">
        <v>49099</v>
      </c>
      <c r="D86" s="32" t="s">
        <v>87</v>
      </c>
      <c r="E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" spans="1:6" x14ac:dyDescent="0.35">
      <c r="A87" s="3">
        <v>17861885355</v>
      </c>
      <c r="B87" s="3">
        <v>55</v>
      </c>
      <c r="C87" s="32">
        <v>49099</v>
      </c>
      <c r="D87" s="32" t="s">
        <v>87</v>
      </c>
      <c r="E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" spans="1:6" x14ac:dyDescent="0.35">
      <c r="A88" s="3">
        <v>32710064720</v>
      </c>
      <c r="B88" s="3">
        <v>56</v>
      </c>
      <c r="C88" s="32">
        <v>49099</v>
      </c>
      <c r="D88" s="32" t="s">
        <v>87</v>
      </c>
      <c r="E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" spans="1:6" x14ac:dyDescent="0.35">
      <c r="A89" s="3">
        <v>18099518603</v>
      </c>
      <c r="B89" s="3">
        <v>64</v>
      </c>
      <c r="C89" s="32">
        <v>49099</v>
      </c>
      <c r="D89" s="32" t="s">
        <v>87</v>
      </c>
      <c r="E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" spans="1:6" x14ac:dyDescent="0.35">
      <c r="A90" s="3">
        <v>80467421792</v>
      </c>
      <c r="B90" s="3">
        <v>73</v>
      </c>
      <c r="C90" s="32">
        <v>49099</v>
      </c>
      <c r="D90" s="32">
        <v>49218</v>
      </c>
      <c r="E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1" spans="1:6" x14ac:dyDescent="0.35">
      <c r="A91" s="3">
        <v>91970535678</v>
      </c>
      <c r="B91" s="3">
        <v>96</v>
      </c>
      <c r="C91" s="32">
        <v>49099</v>
      </c>
      <c r="D91" s="32"/>
      <c r="E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" spans="1:6" x14ac:dyDescent="0.35">
      <c r="A92" s="3">
        <v>83470857628</v>
      </c>
      <c r="B92" s="3">
        <v>105</v>
      </c>
      <c r="C92" s="32">
        <v>49099</v>
      </c>
      <c r="D92" s="32" t="s">
        <v>87</v>
      </c>
      <c r="E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" spans="1:6" x14ac:dyDescent="0.35">
      <c r="A93" s="3">
        <v>68344179710</v>
      </c>
      <c r="B93" s="3">
        <v>148</v>
      </c>
      <c r="C93" s="32">
        <v>49099</v>
      </c>
      <c r="D93" s="32" t="s">
        <v>87</v>
      </c>
      <c r="E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" spans="1:6" x14ac:dyDescent="0.35">
      <c r="A94" s="3">
        <v>84562390951</v>
      </c>
      <c r="B94" s="3">
        <v>177</v>
      </c>
      <c r="C94" s="32">
        <v>49099</v>
      </c>
      <c r="D94" s="32" t="s">
        <v>87</v>
      </c>
      <c r="E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" spans="1:6" x14ac:dyDescent="0.35">
      <c r="A95" s="3">
        <v>11139592028</v>
      </c>
      <c r="B95" s="3">
        <v>189</v>
      </c>
      <c r="C95" s="32">
        <v>49099</v>
      </c>
      <c r="D95" s="32" t="s">
        <v>87</v>
      </c>
      <c r="E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" spans="1:6" x14ac:dyDescent="0.35">
      <c r="A96" s="3">
        <v>30282900450</v>
      </c>
      <c r="B96" s="3">
        <v>195</v>
      </c>
      <c r="C96" s="32">
        <v>49099</v>
      </c>
      <c r="D96" s="32">
        <v>49190</v>
      </c>
      <c r="E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97" spans="1:6" x14ac:dyDescent="0.35">
      <c r="A97" s="3">
        <v>59335004798</v>
      </c>
      <c r="B97" s="3">
        <v>206</v>
      </c>
      <c r="C97" s="32">
        <v>49099</v>
      </c>
      <c r="D97" s="32" t="s">
        <v>87</v>
      </c>
      <c r="E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" spans="1:6" x14ac:dyDescent="0.35">
      <c r="A98" s="3">
        <v>61958741227</v>
      </c>
      <c r="B98" s="3">
        <v>208</v>
      </c>
      <c r="C98" s="32">
        <v>49099</v>
      </c>
      <c r="D98" s="32">
        <v>49139</v>
      </c>
      <c r="E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9" spans="1:6" x14ac:dyDescent="0.35">
      <c r="A99" s="3">
        <v>37278200645</v>
      </c>
      <c r="B99" s="3">
        <v>220</v>
      </c>
      <c r="C99" s="32">
        <v>49099</v>
      </c>
      <c r="D99" s="32" t="s">
        <v>87</v>
      </c>
      <c r="E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" spans="1:6" x14ac:dyDescent="0.35">
      <c r="A100" s="3">
        <v>11539782471</v>
      </c>
      <c r="B100" s="3">
        <v>225</v>
      </c>
      <c r="C100" s="32">
        <v>49099</v>
      </c>
      <c r="D100" s="32" t="s">
        <v>87</v>
      </c>
      <c r="E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" spans="1:6" x14ac:dyDescent="0.35">
      <c r="A101" s="3">
        <v>17570785395</v>
      </c>
      <c r="B101" s="3">
        <v>236</v>
      </c>
      <c r="C101" s="32">
        <v>49099</v>
      </c>
      <c r="D101" s="32">
        <v>49216</v>
      </c>
      <c r="E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02" spans="1:6" x14ac:dyDescent="0.35">
      <c r="A102" s="3">
        <v>27500417384</v>
      </c>
      <c r="B102" s="3">
        <v>236</v>
      </c>
      <c r="C102" s="32">
        <v>49099</v>
      </c>
      <c r="D102" s="32" t="s">
        <v>87</v>
      </c>
      <c r="E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" spans="1:6" x14ac:dyDescent="0.35">
      <c r="A103" s="3">
        <v>30681810272</v>
      </c>
      <c r="B103" s="3">
        <v>256</v>
      </c>
      <c r="C103" s="32">
        <v>49099</v>
      </c>
      <c r="D103" s="32"/>
      <c r="E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" spans="1:6" x14ac:dyDescent="0.35">
      <c r="A104" s="3">
        <v>87748308974</v>
      </c>
      <c r="B104" s="3">
        <v>259</v>
      </c>
      <c r="C104" s="32">
        <v>49099</v>
      </c>
      <c r="D104" s="32"/>
      <c r="E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" spans="1:6" x14ac:dyDescent="0.35">
      <c r="A105" s="3">
        <v>37660936317</v>
      </c>
      <c r="B105" s="3">
        <v>273</v>
      </c>
      <c r="C105" s="32">
        <v>49099</v>
      </c>
      <c r="D105" s="32" t="s">
        <v>87</v>
      </c>
      <c r="E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" spans="1:6" x14ac:dyDescent="0.35">
      <c r="A106" s="3">
        <v>80913597524</v>
      </c>
      <c r="B106" s="3">
        <v>283</v>
      </c>
      <c r="C106" s="32">
        <v>49099</v>
      </c>
      <c r="D106" s="32" t="s">
        <v>87</v>
      </c>
      <c r="E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" spans="1:6" x14ac:dyDescent="0.35">
      <c r="A107" s="3">
        <v>33493522229</v>
      </c>
      <c r="B107" s="3">
        <v>285</v>
      </c>
      <c r="C107" s="32">
        <v>49099</v>
      </c>
      <c r="D107" s="32" t="s">
        <v>87</v>
      </c>
      <c r="E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" spans="1:6" x14ac:dyDescent="0.35">
      <c r="A108" s="3">
        <v>89588647459</v>
      </c>
      <c r="B108" s="3">
        <v>312</v>
      </c>
      <c r="C108" s="32">
        <v>49099</v>
      </c>
      <c r="D108" s="32" t="s">
        <v>87</v>
      </c>
      <c r="E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" spans="1:6" x14ac:dyDescent="0.35">
      <c r="A109" s="3">
        <v>47102724651</v>
      </c>
      <c r="B109" s="3">
        <v>319</v>
      </c>
      <c r="C109" s="32">
        <v>49099</v>
      </c>
      <c r="D109" s="32">
        <v>49129</v>
      </c>
      <c r="E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10" spans="1:6" x14ac:dyDescent="0.35">
      <c r="A110" s="3">
        <v>85494213717</v>
      </c>
      <c r="B110" s="3">
        <v>328</v>
      </c>
      <c r="C110" s="32">
        <v>49099</v>
      </c>
      <c r="D110" s="32" t="s">
        <v>87</v>
      </c>
      <c r="E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" spans="1:6" x14ac:dyDescent="0.35">
      <c r="A111" s="3">
        <v>42518879407</v>
      </c>
      <c r="B111" s="3">
        <v>331</v>
      </c>
      <c r="C111" s="32">
        <v>49099</v>
      </c>
      <c r="D111" s="32" t="s">
        <v>87</v>
      </c>
      <c r="E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" spans="1:6" x14ac:dyDescent="0.35">
      <c r="A112" s="3">
        <v>13658254445</v>
      </c>
      <c r="B112" s="3">
        <v>336</v>
      </c>
      <c r="C112" s="32">
        <v>49099</v>
      </c>
      <c r="D112" s="32" t="s">
        <v>87</v>
      </c>
      <c r="E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" spans="1:6" x14ac:dyDescent="0.35">
      <c r="A113" s="3">
        <v>24098776063</v>
      </c>
      <c r="B113" s="3">
        <v>337</v>
      </c>
      <c r="C113" s="32">
        <v>49099</v>
      </c>
      <c r="D113" s="32">
        <v>49213</v>
      </c>
      <c r="E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4" spans="1:6" x14ac:dyDescent="0.35">
      <c r="A114" s="3">
        <v>45480594740</v>
      </c>
      <c r="B114" s="3">
        <v>19</v>
      </c>
      <c r="C114" s="32">
        <v>49100</v>
      </c>
      <c r="D114" s="32"/>
      <c r="E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" spans="1:6" x14ac:dyDescent="0.35">
      <c r="A115" s="3">
        <v>56389259269</v>
      </c>
      <c r="B115" s="3">
        <v>44</v>
      </c>
      <c r="C115" s="32">
        <v>49100</v>
      </c>
      <c r="D115" s="32" t="s">
        <v>87</v>
      </c>
      <c r="E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" spans="1:6" x14ac:dyDescent="0.35">
      <c r="A116" s="3">
        <v>54044939110</v>
      </c>
      <c r="B116" s="3">
        <v>62</v>
      </c>
      <c r="C116" s="32">
        <v>49100</v>
      </c>
      <c r="D116" s="32" t="s">
        <v>87</v>
      </c>
      <c r="E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" spans="1:6" x14ac:dyDescent="0.35">
      <c r="A117" s="3">
        <v>74413770691</v>
      </c>
      <c r="B117" s="3">
        <v>66</v>
      </c>
      <c r="C117" s="32">
        <v>49100</v>
      </c>
      <c r="D117" s="32">
        <v>49187</v>
      </c>
      <c r="E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8" spans="1:6" x14ac:dyDescent="0.35">
      <c r="A118" s="3">
        <v>52349663305</v>
      </c>
      <c r="B118" s="3">
        <v>100</v>
      </c>
      <c r="C118" s="32">
        <v>49100</v>
      </c>
      <c r="D118" s="32"/>
      <c r="E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" spans="1:6" x14ac:dyDescent="0.35">
      <c r="A119" s="3">
        <v>82737217828</v>
      </c>
      <c r="B119" s="3">
        <v>119</v>
      </c>
      <c r="C119" s="32">
        <v>49100</v>
      </c>
      <c r="D119" s="32">
        <v>49142</v>
      </c>
      <c r="E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20" spans="1:6" x14ac:dyDescent="0.35">
      <c r="A120" s="3">
        <v>81894593644</v>
      </c>
      <c r="B120" s="3">
        <v>123</v>
      </c>
      <c r="C120" s="32">
        <v>49100</v>
      </c>
      <c r="D120" s="32" t="s">
        <v>87</v>
      </c>
      <c r="E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" spans="1:6" x14ac:dyDescent="0.35">
      <c r="A121" s="3">
        <v>68663986578</v>
      </c>
      <c r="B121" s="3">
        <v>131</v>
      </c>
      <c r="C121" s="32">
        <v>49100</v>
      </c>
      <c r="D121" s="32" t="s">
        <v>87</v>
      </c>
      <c r="E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" spans="1:6" x14ac:dyDescent="0.35">
      <c r="A122" s="3">
        <v>96603048332</v>
      </c>
      <c r="B122" s="3">
        <v>161</v>
      </c>
      <c r="C122" s="32">
        <v>49100</v>
      </c>
      <c r="D122" s="32" t="s">
        <v>87</v>
      </c>
      <c r="E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" spans="1:6" x14ac:dyDescent="0.35">
      <c r="A123" s="3">
        <v>68442251362</v>
      </c>
      <c r="B123" s="3">
        <v>175</v>
      </c>
      <c r="C123" s="32">
        <v>49100</v>
      </c>
      <c r="D123" s="32" t="s">
        <v>87</v>
      </c>
      <c r="E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" spans="1:6" x14ac:dyDescent="0.35">
      <c r="A124" s="3">
        <v>31403660181</v>
      </c>
      <c r="B124" s="3">
        <v>198</v>
      </c>
      <c r="C124" s="32">
        <v>49100</v>
      </c>
      <c r="D124" s="32">
        <v>49216</v>
      </c>
      <c r="E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5" spans="1:6" x14ac:dyDescent="0.35">
      <c r="A125" s="3">
        <v>30408027907</v>
      </c>
      <c r="B125" s="3">
        <v>244</v>
      </c>
      <c r="C125" s="32">
        <v>49100</v>
      </c>
      <c r="D125" s="32">
        <v>49182</v>
      </c>
      <c r="E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26" spans="1:6" x14ac:dyDescent="0.35">
      <c r="A126" s="3">
        <v>40262893439</v>
      </c>
      <c r="B126" s="3">
        <v>245</v>
      </c>
      <c r="C126" s="32">
        <v>49100</v>
      </c>
      <c r="D126" s="32" t="s">
        <v>87</v>
      </c>
      <c r="E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" spans="1:6" x14ac:dyDescent="0.35">
      <c r="A127" s="3">
        <v>49000195592</v>
      </c>
      <c r="B127" s="3">
        <v>255</v>
      </c>
      <c r="C127" s="32">
        <v>49100</v>
      </c>
      <c r="D127" s="32" t="s">
        <v>87</v>
      </c>
      <c r="E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" spans="1:6" x14ac:dyDescent="0.35">
      <c r="A128" s="3">
        <v>52940949514</v>
      </c>
      <c r="B128" s="3">
        <v>264</v>
      </c>
      <c r="C128" s="32">
        <v>49100</v>
      </c>
      <c r="D128" s="32" t="s">
        <v>87</v>
      </c>
      <c r="E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" spans="1:6" x14ac:dyDescent="0.35">
      <c r="A129" s="3">
        <v>92198983293</v>
      </c>
      <c r="B129" s="3">
        <v>267</v>
      </c>
      <c r="C129" s="32">
        <v>49100</v>
      </c>
      <c r="D129" s="32"/>
      <c r="E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" spans="1:6" x14ac:dyDescent="0.35">
      <c r="A130" s="3">
        <v>54220913514</v>
      </c>
      <c r="B130" s="3">
        <v>292</v>
      </c>
      <c r="C130" s="32">
        <v>49100</v>
      </c>
      <c r="D130" s="32"/>
      <c r="E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" spans="1:6" x14ac:dyDescent="0.35">
      <c r="A131" s="3">
        <v>79159356875</v>
      </c>
      <c r="B131" s="3">
        <v>303</v>
      </c>
      <c r="C131" s="32">
        <v>49100</v>
      </c>
      <c r="D131" s="32" t="s">
        <v>87</v>
      </c>
      <c r="E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" spans="1:6" x14ac:dyDescent="0.35">
      <c r="A132" s="3">
        <v>89002165412</v>
      </c>
      <c r="B132" s="3">
        <v>305</v>
      </c>
      <c r="C132" s="32">
        <v>49100</v>
      </c>
      <c r="D132" s="32">
        <v>49181</v>
      </c>
      <c r="E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33" spans="1:6" x14ac:dyDescent="0.35">
      <c r="A133" s="3">
        <v>52193465909</v>
      </c>
      <c r="B133" s="3">
        <v>316</v>
      </c>
      <c r="C133" s="32">
        <v>49100</v>
      </c>
      <c r="D133" s="32">
        <v>49137</v>
      </c>
      <c r="E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34" spans="1:6" x14ac:dyDescent="0.35">
      <c r="A134" s="3">
        <v>29638421062</v>
      </c>
      <c r="B134" s="3">
        <v>321</v>
      </c>
      <c r="C134" s="32">
        <v>49100</v>
      </c>
      <c r="D134" s="32"/>
      <c r="E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" spans="1:6" x14ac:dyDescent="0.35">
      <c r="A135" s="3">
        <v>54415848313</v>
      </c>
      <c r="B135" s="3">
        <v>321</v>
      </c>
      <c r="C135" s="32">
        <v>49100</v>
      </c>
      <c r="D135" s="32" t="s">
        <v>87</v>
      </c>
      <c r="E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" spans="1:6" x14ac:dyDescent="0.35">
      <c r="A136" s="3">
        <v>30452376622</v>
      </c>
      <c r="B136" s="3">
        <v>0</v>
      </c>
      <c r="C136" s="32">
        <v>49101</v>
      </c>
      <c r="D136" s="32" t="s">
        <v>87</v>
      </c>
      <c r="E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7" spans="1:6" x14ac:dyDescent="0.35">
      <c r="A137" s="3">
        <v>49602868371</v>
      </c>
      <c r="B137" s="3">
        <v>12</v>
      </c>
      <c r="C137" s="32">
        <v>49101</v>
      </c>
      <c r="D137" s="32">
        <v>49172</v>
      </c>
      <c r="E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38" spans="1:6" x14ac:dyDescent="0.35">
      <c r="A138" s="3">
        <v>68981738704</v>
      </c>
      <c r="B138" s="3">
        <v>32</v>
      </c>
      <c r="C138" s="32">
        <v>49101</v>
      </c>
      <c r="D138" s="32" t="s">
        <v>87</v>
      </c>
      <c r="E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" spans="1:6" x14ac:dyDescent="0.35">
      <c r="A139" s="3">
        <v>28505290381</v>
      </c>
      <c r="B139" s="3">
        <v>36</v>
      </c>
      <c r="C139" s="32">
        <v>49101</v>
      </c>
      <c r="D139" s="32" t="s">
        <v>87</v>
      </c>
      <c r="E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" spans="1:6" x14ac:dyDescent="0.35">
      <c r="A140" s="3">
        <v>22595611907</v>
      </c>
      <c r="B140" s="3">
        <v>53</v>
      </c>
      <c r="C140" s="32">
        <v>49101</v>
      </c>
      <c r="D140" s="32">
        <v>49131</v>
      </c>
      <c r="E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41" spans="1:6" x14ac:dyDescent="0.35">
      <c r="A141" s="3">
        <v>33489958569</v>
      </c>
      <c r="B141" s="3">
        <v>80</v>
      </c>
      <c r="C141" s="32">
        <v>49101</v>
      </c>
      <c r="D141" s="32" t="s">
        <v>87</v>
      </c>
      <c r="E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" spans="1:6" x14ac:dyDescent="0.35">
      <c r="A142" s="3">
        <v>64424388113</v>
      </c>
      <c r="B142" s="3">
        <v>80</v>
      </c>
      <c r="C142" s="32">
        <v>49101</v>
      </c>
      <c r="D142" s="32" t="s">
        <v>87</v>
      </c>
      <c r="E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" spans="1:6" x14ac:dyDescent="0.35">
      <c r="A143" s="3">
        <v>25692838458</v>
      </c>
      <c r="B143" s="3">
        <v>82</v>
      </c>
      <c r="C143" s="32">
        <v>49101</v>
      </c>
      <c r="D143" s="32" t="s">
        <v>87</v>
      </c>
      <c r="E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" spans="1:6" x14ac:dyDescent="0.35">
      <c r="A144" s="3">
        <v>19130622628</v>
      </c>
      <c r="B144" s="3">
        <v>91</v>
      </c>
      <c r="C144" s="32">
        <v>49101</v>
      </c>
      <c r="D144" s="32">
        <v>49116</v>
      </c>
      <c r="E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145" spans="1:6" x14ac:dyDescent="0.35">
      <c r="A145" s="3">
        <v>73786944731</v>
      </c>
      <c r="B145" s="3">
        <v>100</v>
      </c>
      <c r="C145" s="32">
        <v>49101</v>
      </c>
      <c r="D145" s="32" t="s">
        <v>87</v>
      </c>
      <c r="E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" spans="1:6" x14ac:dyDescent="0.35">
      <c r="A146" s="3">
        <v>45608462359</v>
      </c>
      <c r="B146" s="3">
        <v>104</v>
      </c>
      <c r="C146" s="32">
        <v>49101</v>
      </c>
      <c r="D146" s="32" t="s">
        <v>87</v>
      </c>
      <c r="E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" spans="1:6" x14ac:dyDescent="0.35">
      <c r="A147" s="3">
        <v>73872394443</v>
      </c>
      <c r="B147" s="3">
        <v>108</v>
      </c>
      <c r="C147" s="32">
        <v>49101</v>
      </c>
      <c r="D147" s="32">
        <v>49209</v>
      </c>
      <c r="E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48" spans="1:6" x14ac:dyDescent="0.35">
      <c r="A148" s="3">
        <v>48119834370</v>
      </c>
      <c r="B148" s="3">
        <v>159</v>
      </c>
      <c r="C148" s="32">
        <v>49101</v>
      </c>
      <c r="D148" s="32" t="s">
        <v>87</v>
      </c>
      <c r="E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" spans="1:6" x14ac:dyDescent="0.35">
      <c r="A149" s="3">
        <v>12083000103</v>
      </c>
      <c r="B149" s="3">
        <v>162</v>
      </c>
      <c r="C149" s="32">
        <v>49101</v>
      </c>
      <c r="D149" s="32" t="s">
        <v>87</v>
      </c>
      <c r="E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0" spans="1:6" x14ac:dyDescent="0.35">
      <c r="A150" s="3">
        <v>57812898537</v>
      </c>
      <c r="B150" s="3">
        <v>169</v>
      </c>
      <c r="C150" s="32">
        <v>49101</v>
      </c>
      <c r="D150" s="32" t="s">
        <v>87</v>
      </c>
      <c r="E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" spans="1:6" x14ac:dyDescent="0.35">
      <c r="A151" s="3">
        <v>96574786861</v>
      </c>
      <c r="B151" s="3">
        <v>184</v>
      </c>
      <c r="C151" s="32">
        <v>49101</v>
      </c>
      <c r="D151" s="32" t="s">
        <v>87</v>
      </c>
      <c r="E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" spans="1:6" x14ac:dyDescent="0.35">
      <c r="A152" s="3">
        <v>90352683215</v>
      </c>
      <c r="B152" s="3">
        <v>185</v>
      </c>
      <c r="C152" s="32">
        <v>49101</v>
      </c>
      <c r="D152" s="32"/>
      <c r="E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" spans="1:6" x14ac:dyDescent="0.35">
      <c r="A153" s="3">
        <v>67390836972</v>
      </c>
      <c r="B153" s="3">
        <v>185</v>
      </c>
      <c r="C153" s="32">
        <v>49101</v>
      </c>
      <c r="D153" s="32"/>
      <c r="E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" spans="1:6" x14ac:dyDescent="0.35">
      <c r="A154" s="3">
        <v>23856397500</v>
      </c>
      <c r="B154" s="3">
        <v>190</v>
      </c>
      <c r="C154" s="32">
        <v>49101</v>
      </c>
      <c r="D154" s="32" t="s">
        <v>87</v>
      </c>
      <c r="E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" spans="1:6" x14ac:dyDescent="0.35">
      <c r="A155" s="3">
        <v>98900253453</v>
      </c>
      <c r="B155" s="3">
        <v>217</v>
      </c>
      <c r="C155" s="32">
        <v>49101</v>
      </c>
      <c r="D155" s="32">
        <v>49115</v>
      </c>
      <c r="E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156" spans="1:6" x14ac:dyDescent="0.35">
      <c r="A156" s="3">
        <v>89518193257</v>
      </c>
      <c r="B156" s="3">
        <v>263</v>
      </c>
      <c r="C156" s="32">
        <v>49101</v>
      </c>
      <c r="D156" s="32">
        <v>49170</v>
      </c>
      <c r="E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57" spans="1:6" x14ac:dyDescent="0.35">
      <c r="A157" s="3">
        <v>75824928246</v>
      </c>
      <c r="B157" s="3">
        <v>269</v>
      </c>
      <c r="C157" s="32">
        <v>49101</v>
      </c>
      <c r="D157" s="32" t="s">
        <v>87</v>
      </c>
      <c r="E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" spans="1:6" x14ac:dyDescent="0.35">
      <c r="A158" s="3">
        <v>49977649326</v>
      </c>
      <c r="B158" s="3">
        <v>287</v>
      </c>
      <c r="C158" s="32">
        <v>49101</v>
      </c>
      <c r="D158" s="32" t="s">
        <v>87</v>
      </c>
      <c r="E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" spans="1:6" x14ac:dyDescent="0.35">
      <c r="A159" s="3">
        <v>21705381983</v>
      </c>
      <c r="B159" s="3">
        <v>295</v>
      </c>
      <c r="C159" s="32">
        <v>49101</v>
      </c>
      <c r="D159" s="32" t="s">
        <v>87</v>
      </c>
      <c r="E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" spans="1:6" x14ac:dyDescent="0.35">
      <c r="A160" s="3">
        <v>68124840363</v>
      </c>
      <c r="B160" s="3">
        <v>308</v>
      </c>
      <c r="C160" s="32">
        <v>49101</v>
      </c>
      <c r="D160" s="32"/>
      <c r="E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" spans="1:6" x14ac:dyDescent="0.35">
      <c r="A161" s="3">
        <v>95503056289</v>
      </c>
      <c r="B161" s="3">
        <v>330</v>
      </c>
      <c r="C161" s="32">
        <v>49101</v>
      </c>
      <c r="D161" s="32" t="s">
        <v>87</v>
      </c>
      <c r="E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" spans="1:6" x14ac:dyDescent="0.35">
      <c r="A162" s="3">
        <v>26355558319</v>
      </c>
      <c r="B162" s="3">
        <v>340</v>
      </c>
      <c r="C162" s="32">
        <v>49101</v>
      </c>
      <c r="D162" s="32">
        <v>49190</v>
      </c>
      <c r="E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63" spans="1:6" x14ac:dyDescent="0.35">
      <c r="A163" s="3">
        <v>49061723505</v>
      </c>
      <c r="B163" s="3">
        <v>4</v>
      </c>
      <c r="C163" s="32">
        <v>49102</v>
      </c>
      <c r="D163" s="32">
        <v>49196</v>
      </c>
      <c r="E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64" spans="1:6" x14ac:dyDescent="0.35">
      <c r="A164" s="3">
        <v>53546490102</v>
      </c>
      <c r="B164" s="3">
        <v>11</v>
      </c>
      <c r="C164" s="32">
        <v>49102</v>
      </c>
      <c r="D164" s="32" t="s">
        <v>87</v>
      </c>
      <c r="E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" spans="1:6" x14ac:dyDescent="0.35">
      <c r="A165" s="3">
        <v>87157023141</v>
      </c>
      <c r="B165" s="3">
        <v>40</v>
      </c>
      <c r="C165" s="32">
        <v>49102</v>
      </c>
      <c r="D165" s="32" t="s">
        <v>87</v>
      </c>
      <c r="E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" spans="1:6" x14ac:dyDescent="0.35">
      <c r="A166" s="3">
        <v>90969142315</v>
      </c>
      <c r="B166" s="3">
        <v>41</v>
      </c>
      <c r="C166" s="32">
        <v>49102</v>
      </c>
      <c r="D166" s="32" t="s">
        <v>87</v>
      </c>
      <c r="E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" spans="1:6" x14ac:dyDescent="0.35">
      <c r="A167" s="3">
        <v>56817868837</v>
      </c>
      <c r="B167" s="3">
        <v>41</v>
      </c>
      <c r="C167" s="32">
        <v>49102</v>
      </c>
      <c r="D167" s="32" t="s">
        <v>87</v>
      </c>
      <c r="E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" spans="1:6" x14ac:dyDescent="0.35">
      <c r="A168" s="3">
        <v>99410324373</v>
      </c>
      <c r="B168" s="3">
        <v>66</v>
      </c>
      <c r="C168" s="32">
        <v>49102</v>
      </c>
      <c r="D168" s="32">
        <v>49106</v>
      </c>
      <c r="E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169" spans="1:6" x14ac:dyDescent="0.35">
      <c r="A169" s="3">
        <v>35716934981</v>
      </c>
      <c r="B169" s="3">
        <v>78</v>
      </c>
      <c r="C169" s="32">
        <v>49102</v>
      </c>
      <c r="D169" s="32" t="s">
        <v>87</v>
      </c>
      <c r="E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" spans="1:6" x14ac:dyDescent="0.35">
      <c r="A170" s="3">
        <v>56804120393</v>
      </c>
      <c r="B170" s="3">
        <v>104</v>
      </c>
      <c r="C170" s="32">
        <v>49102</v>
      </c>
      <c r="D170" s="32" t="s">
        <v>87</v>
      </c>
      <c r="E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" spans="1:6" x14ac:dyDescent="0.35">
      <c r="A171" s="3">
        <v>50727772213</v>
      </c>
      <c r="B171" s="3">
        <v>105</v>
      </c>
      <c r="C171" s="32">
        <v>49102</v>
      </c>
      <c r="D171" s="32" t="s">
        <v>87</v>
      </c>
      <c r="E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" spans="1:6" x14ac:dyDescent="0.35">
      <c r="A172" s="3">
        <v>89874883804</v>
      </c>
      <c r="B172" s="3">
        <v>109</v>
      </c>
      <c r="C172" s="32">
        <v>49102</v>
      </c>
      <c r="D172" s="32" t="s">
        <v>87</v>
      </c>
      <c r="E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" spans="1:6" x14ac:dyDescent="0.35">
      <c r="A173" s="3">
        <v>30526619105</v>
      </c>
      <c r="B173" s="3">
        <v>113</v>
      </c>
      <c r="C173" s="32">
        <v>49102</v>
      </c>
      <c r="D173" s="32"/>
      <c r="E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" spans="1:6" x14ac:dyDescent="0.35">
      <c r="A174" s="3">
        <v>39757848097</v>
      </c>
      <c r="B174" s="3">
        <v>138</v>
      </c>
      <c r="C174" s="32">
        <v>49102</v>
      </c>
      <c r="D174" s="32" t="s">
        <v>87</v>
      </c>
      <c r="E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" spans="1:6" x14ac:dyDescent="0.35">
      <c r="A175" s="3">
        <v>39714125450</v>
      </c>
      <c r="B175" s="3">
        <v>141</v>
      </c>
      <c r="C175" s="32">
        <v>49102</v>
      </c>
      <c r="D175" s="32" t="s">
        <v>87</v>
      </c>
      <c r="E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" spans="1:6" x14ac:dyDescent="0.35">
      <c r="A176" s="3">
        <v>40288599322</v>
      </c>
      <c r="B176" s="3">
        <v>143</v>
      </c>
      <c r="C176" s="32">
        <v>49102</v>
      </c>
      <c r="D176" s="32" t="s">
        <v>87</v>
      </c>
      <c r="E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" spans="1:6" x14ac:dyDescent="0.35">
      <c r="A177" s="3">
        <v>30780679395</v>
      </c>
      <c r="B177" s="3">
        <v>164</v>
      </c>
      <c r="C177" s="32">
        <v>49102</v>
      </c>
      <c r="D177" s="32" t="s">
        <v>87</v>
      </c>
      <c r="E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" spans="1:6" x14ac:dyDescent="0.35">
      <c r="A178" s="3">
        <v>51525174613</v>
      </c>
      <c r="B178" s="3">
        <v>172</v>
      </c>
      <c r="C178" s="32">
        <v>49102</v>
      </c>
      <c r="D178" s="32">
        <v>49162</v>
      </c>
      <c r="E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79" spans="1:6" x14ac:dyDescent="0.35">
      <c r="A179" s="3">
        <v>28168515100</v>
      </c>
      <c r="B179" s="3">
        <v>180</v>
      </c>
      <c r="C179" s="32">
        <v>49102</v>
      </c>
      <c r="D179" s="32"/>
      <c r="E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" spans="1:6" x14ac:dyDescent="0.35">
      <c r="A180" s="3">
        <v>97899299443</v>
      </c>
      <c r="B180" s="3">
        <v>189</v>
      </c>
      <c r="C180" s="32">
        <v>49102</v>
      </c>
      <c r="D180" s="32" t="s">
        <v>87</v>
      </c>
      <c r="E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" spans="1:6" x14ac:dyDescent="0.35">
      <c r="A181" s="3">
        <v>39149675165</v>
      </c>
      <c r="B181" s="3">
        <v>236</v>
      </c>
      <c r="C181" s="32">
        <v>49102</v>
      </c>
      <c r="D181" s="32" t="s">
        <v>87</v>
      </c>
      <c r="E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2" spans="1:6" x14ac:dyDescent="0.35">
      <c r="A182" s="3">
        <v>12283340089</v>
      </c>
      <c r="B182" s="3">
        <v>253</v>
      </c>
      <c r="C182" s="32">
        <v>49102</v>
      </c>
      <c r="D182" s="32" t="s">
        <v>87</v>
      </c>
      <c r="E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" spans="1:6" x14ac:dyDescent="0.35">
      <c r="A183" s="3">
        <v>69004613131</v>
      </c>
      <c r="B183" s="3">
        <v>257</v>
      </c>
      <c r="C183" s="32">
        <v>49102</v>
      </c>
      <c r="D183" s="32">
        <v>49180</v>
      </c>
      <c r="E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4" spans="1:6" x14ac:dyDescent="0.35">
      <c r="A184" s="3">
        <v>65566296177</v>
      </c>
      <c r="B184" s="3">
        <v>262</v>
      </c>
      <c r="C184" s="32">
        <v>49102</v>
      </c>
      <c r="D184" s="32"/>
      <c r="E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" spans="1:6" x14ac:dyDescent="0.35">
      <c r="A185" s="3">
        <v>28733099641</v>
      </c>
      <c r="B185" s="3">
        <v>269</v>
      </c>
      <c r="C185" s="32">
        <v>49102</v>
      </c>
      <c r="D185" s="32" t="s">
        <v>87</v>
      </c>
      <c r="E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" spans="1:6" x14ac:dyDescent="0.35">
      <c r="A186" s="3">
        <v>51978844204</v>
      </c>
      <c r="B186" s="3">
        <v>295</v>
      </c>
      <c r="C186" s="32">
        <v>49102</v>
      </c>
      <c r="D186" s="32" t="s">
        <v>87</v>
      </c>
      <c r="E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" spans="1:6" x14ac:dyDescent="0.35">
      <c r="A187" s="3">
        <v>64103501680</v>
      </c>
      <c r="B187" s="3">
        <v>317</v>
      </c>
      <c r="C187" s="32">
        <v>49102</v>
      </c>
      <c r="D187" s="32">
        <v>49153</v>
      </c>
      <c r="E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88" spans="1:6" x14ac:dyDescent="0.35">
      <c r="A188" s="3">
        <v>60895409923</v>
      </c>
      <c r="B188" s="3">
        <v>332</v>
      </c>
      <c r="C188" s="32">
        <v>49102</v>
      </c>
      <c r="D188" s="32">
        <v>49119</v>
      </c>
      <c r="E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189" spans="1:6" x14ac:dyDescent="0.35">
      <c r="A189" s="3">
        <v>86036356620</v>
      </c>
      <c r="B189" s="3">
        <v>335</v>
      </c>
      <c r="C189" s="32">
        <v>49102</v>
      </c>
      <c r="D189" s="32" t="s">
        <v>87</v>
      </c>
      <c r="E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" spans="1:6" x14ac:dyDescent="0.35">
      <c r="A190" s="3">
        <v>42326882307</v>
      </c>
      <c r="B190" s="3">
        <v>4</v>
      </c>
      <c r="C190" s="32">
        <v>49103</v>
      </c>
      <c r="D190" s="32">
        <v>49202</v>
      </c>
      <c r="E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91" spans="1:6" x14ac:dyDescent="0.35">
      <c r="A191" s="3">
        <v>52600355957</v>
      </c>
      <c r="B191" s="3">
        <v>8</v>
      </c>
      <c r="C191" s="32">
        <v>49103</v>
      </c>
      <c r="D191" s="32" t="s">
        <v>87</v>
      </c>
      <c r="E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" spans="1:6" x14ac:dyDescent="0.35">
      <c r="A192" s="3">
        <v>44408803140</v>
      </c>
      <c r="B192" s="3">
        <v>22</v>
      </c>
      <c r="C192" s="32">
        <v>49103</v>
      </c>
      <c r="D192" s="32" t="s">
        <v>87</v>
      </c>
      <c r="E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" spans="1:6" x14ac:dyDescent="0.35">
      <c r="A193" s="3">
        <v>86997567522</v>
      </c>
      <c r="B193" s="3">
        <v>23</v>
      </c>
      <c r="C193" s="32">
        <v>49103</v>
      </c>
      <c r="D193" s="32" t="s">
        <v>87</v>
      </c>
      <c r="E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" spans="1:6" x14ac:dyDescent="0.35">
      <c r="A194" s="3">
        <v>48962964851</v>
      </c>
      <c r="B194" s="3">
        <v>31</v>
      </c>
      <c r="C194" s="32">
        <v>49103</v>
      </c>
      <c r="D194" s="32" t="s">
        <v>87</v>
      </c>
      <c r="E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" spans="1:6" x14ac:dyDescent="0.35">
      <c r="A195" s="3">
        <v>83760591201</v>
      </c>
      <c r="B195" s="3">
        <v>35</v>
      </c>
      <c r="C195" s="32">
        <v>49103</v>
      </c>
      <c r="D195" s="32" t="s">
        <v>87</v>
      </c>
      <c r="E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" spans="1:6" x14ac:dyDescent="0.35">
      <c r="A196" s="3">
        <v>79918640037</v>
      </c>
      <c r="B196" s="3">
        <v>58</v>
      </c>
      <c r="C196" s="32">
        <v>49103</v>
      </c>
      <c r="D196" s="32">
        <v>49128</v>
      </c>
      <c r="E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97" spans="1:6" x14ac:dyDescent="0.35">
      <c r="A197" s="3">
        <v>12017329141</v>
      </c>
      <c r="B197" s="3">
        <v>75</v>
      </c>
      <c r="C197" s="32">
        <v>49103</v>
      </c>
      <c r="D197" s="32" t="s">
        <v>87</v>
      </c>
      <c r="E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" spans="1:6" x14ac:dyDescent="0.35">
      <c r="A198" s="3">
        <v>29950026033</v>
      </c>
      <c r="B198" s="3">
        <v>103</v>
      </c>
      <c r="C198" s="32">
        <v>49103</v>
      </c>
      <c r="D198" s="32"/>
      <c r="E1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" spans="1:6" x14ac:dyDescent="0.35">
      <c r="A199" s="3">
        <v>72611004481</v>
      </c>
      <c r="B199" s="3">
        <v>113</v>
      </c>
      <c r="C199" s="32">
        <v>49103</v>
      </c>
      <c r="D199" s="32" t="s">
        <v>87</v>
      </c>
      <c r="E1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" spans="1:6" x14ac:dyDescent="0.35">
      <c r="A200" s="3">
        <v>88822766623</v>
      </c>
      <c r="B200" s="3">
        <v>120</v>
      </c>
      <c r="C200" s="32">
        <v>49103</v>
      </c>
      <c r="D200" s="32" t="s">
        <v>87</v>
      </c>
      <c r="E2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" spans="1:6" x14ac:dyDescent="0.35">
      <c r="A201" s="3">
        <v>58982870897</v>
      </c>
      <c r="B201" s="3">
        <v>135</v>
      </c>
      <c r="C201" s="32">
        <v>49103</v>
      </c>
      <c r="D201" s="32">
        <v>49219</v>
      </c>
      <c r="E2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2" spans="1:6" x14ac:dyDescent="0.35">
      <c r="A202" s="3">
        <v>72595637444</v>
      </c>
      <c r="B202" s="3">
        <v>144</v>
      </c>
      <c r="C202" s="32">
        <v>49103</v>
      </c>
      <c r="D202" s="32"/>
      <c r="E2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" spans="1:6" x14ac:dyDescent="0.35">
      <c r="A203" s="3">
        <v>74479231337</v>
      </c>
      <c r="B203" s="3">
        <v>179</v>
      </c>
      <c r="C203" s="32">
        <v>49103</v>
      </c>
      <c r="D203" s="32" t="s">
        <v>87</v>
      </c>
      <c r="E2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" spans="1:6" x14ac:dyDescent="0.35">
      <c r="A204" s="3">
        <v>20291302859</v>
      </c>
      <c r="B204" s="3">
        <v>182</v>
      </c>
      <c r="C204" s="32">
        <v>49103</v>
      </c>
      <c r="D204" s="32" t="s">
        <v>87</v>
      </c>
      <c r="E2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5" spans="1:6" x14ac:dyDescent="0.35">
      <c r="A205" s="3">
        <v>66486145377</v>
      </c>
      <c r="B205" s="3">
        <v>183</v>
      </c>
      <c r="C205" s="32">
        <v>49103</v>
      </c>
      <c r="D205" s="32">
        <v>49212</v>
      </c>
      <c r="E2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6" spans="1:6" x14ac:dyDescent="0.35">
      <c r="A206" s="3">
        <v>90500713123</v>
      </c>
      <c r="B206" s="3">
        <v>203</v>
      </c>
      <c r="C206" s="32">
        <v>49103</v>
      </c>
      <c r="D206" s="32" t="s">
        <v>87</v>
      </c>
      <c r="E2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" spans="1:6" x14ac:dyDescent="0.35">
      <c r="A207" s="3">
        <v>70635010707</v>
      </c>
      <c r="B207" s="3">
        <v>212</v>
      </c>
      <c r="C207" s="32">
        <v>49103</v>
      </c>
      <c r="D207" s="32"/>
      <c r="E2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" spans="1:6" x14ac:dyDescent="0.35">
      <c r="A208" s="3">
        <v>11397739114</v>
      </c>
      <c r="B208" s="3">
        <v>224</v>
      </c>
      <c r="C208" s="32">
        <v>49103</v>
      </c>
      <c r="D208" s="32">
        <v>49220</v>
      </c>
      <c r="E2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9" spans="1:6" x14ac:dyDescent="0.35">
      <c r="A209" s="3">
        <v>52759008905</v>
      </c>
      <c r="B209" s="3">
        <v>227</v>
      </c>
      <c r="C209" s="32">
        <v>49103</v>
      </c>
      <c r="D209" s="32" t="s">
        <v>87</v>
      </c>
      <c r="E2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0" spans="1:6" x14ac:dyDescent="0.35">
      <c r="A210" s="3">
        <v>37827348854</v>
      </c>
      <c r="B210" s="3">
        <v>282</v>
      </c>
      <c r="C210" s="32">
        <v>49103</v>
      </c>
      <c r="D210" s="32">
        <v>49166</v>
      </c>
      <c r="E2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11" spans="1:6" x14ac:dyDescent="0.35">
      <c r="A211" s="3">
        <v>97933346811</v>
      </c>
      <c r="B211" s="3">
        <v>287</v>
      </c>
      <c r="C211" s="32">
        <v>49103</v>
      </c>
      <c r="D211" s="32"/>
      <c r="E2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" spans="1:6" x14ac:dyDescent="0.35">
      <c r="A212" s="3">
        <v>16339287787</v>
      </c>
      <c r="B212" s="3">
        <v>291</v>
      </c>
      <c r="C212" s="32">
        <v>49103</v>
      </c>
      <c r="D212" s="32" t="s">
        <v>87</v>
      </c>
      <c r="E2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" spans="1:6" x14ac:dyDescent="0.35">
      <c r="A213" s="3">
        <v>21456037287</v>
      </c>
      <c r="B213" s="3">
        <v>296</v>
      </c>
      <c r="C213" s="32">
        <v>49103</v>
      </c>
      <c r="D213" s="32">
        <v>49220</v>
      </c>
      <c r="E2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14" spans="1:6" x14ac:dyDescent="0.35">
      <c r="A214" s="3">
        <v>89396160996</v>
      </c>
      <c r="B214" s="3">
        <v>303</v>
      </c>
      <c r="C214" s="32">
        <v>49103</v>
      </c>
      <c r="D214" s="32" t="s">
        <v>87</v>
      </c>
      <c r="E2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" spans="1:6" x14ac:dyDescent="0.35">
      <c r="A215" s="3">
        <v>47739418607</v>
      </c>
      <c r="B215" s="3">
        <v>313</v>
      </c>
      <c r="C215" s="32">
        <v>49103</v>
      </c>
      <c r="D215" s="32"/>
      <c r="E2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" spans="1:6" x14ac:dyDescent="0.35">
      <c r="A216" s="3">
        <v>91831207751</v>
      </c>
      <c r="B216" s="3">
        <v>340</v>
      </c>
      <c r="C216" s="32">
        <v>49103</v>
      </c>
      <c r="D216" s="32" t="s">
        <v>87</v>
      </c>
      <c r="E2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" spans="1:6" x14ac:dyDescent="0.35">
      <c r="A217" s="3">
        <v>56724322673</v>
      </c>
      <c r="B217" s="3">
        <v>88</v>
      </c>
      <c r="C217" s="32">
        <v>49104</v>
      </c>
      <c r="D217" s="32"/>
      <c r="E2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" spans="1:6" x14ac:dyDescent="0.35">
      <c r="A218" s="3">
        <v>57102947971</v>
      </c>
      <c r="B218" s="3">
        <v>99</v>
      </c>
      <c r="C218" s="32">
        <v>49104</v>
      </c>
      <c r="D218" s="32"/>
      <c r="E2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" spans="1:6" x14ac:dyDescent="0.35">
      <c r="A219" s="3">
        <v>64086056554</v>
      </c>
      <c r="B219" s="3">
        <v>109</v>
      </c>
      <c r="C219" s="32">
        <v>49104</v>
      </c>
      <c r="D219" s="32" t="s">
        <v>87</v>
      </c>
      <c r="E2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" spans="1:6" x14ac:dyDescent="0.35">
      <c r="A220" s="3">
        <v>90783347673</v>
      </c>
      <c r="B220" s="3">
        <v>117</v>
      </c>
      <c r="C220" s="32">
        <v>49104</v>
      </c>
      <c r="D220" s="32" t="s">
        <v>87</v>
      </c>
      <c r="E2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" spans="1:6" x14ac:dyDescent="0.35">
      <c r="A221" s="3">
        <v>91398539092</v>
      </c>
      <c r="B221" s="3">
        <v>129</v>
      </c>
      <c r="C221" s="32">
        <v>49104</v>
      </c>
      <c r="D221" s="32"/>
      <c r="E2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" spans="1:6" x14ac:dyDescent="0.35">
      <c r="A222" s="3">
        <v>51401320452</v>
      </c>
      <c r="B222" s="3">
        <v>134</v>
      </c>
      <c r="C222" s="32">
        <v>49104</v>
      </c>
      <c r="D222" s="32"/>
      <c r="E2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" spans="1:6" x14ac:dyDescent="0.35">
      <c r="A223" s="3">
        <v>51888848323</v>
      </c>
      <c r="B223" s="3">
        <v>147</v>
      </c>
      <c r="C223" s="32">
        <v>49104</v>
      </c>
      <c r="D223" s="32" t="s">
        <v>87</v>
      </c>
      <c r="E2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" spans="1:6" x14ac:dyDescent="0.35">
      <c r="A224" s="3">
        <v>86375490438</v>
      </c>
      <c r="B224" s="3">
        <v>168</v>
      </c>
      <c r="C224" s="32">
        <v>49104</v>
      </c>
      <c r="D224" s="32" t="s">
        <v>87</v>
      </c>
      <c r="E2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" spans="1:6" x14ac:dyDescent="0.35">
      <c r="A225" s="3">
        <v>97298033943</v>
      </c>
      <c r="B225" s="3">
        <v>185</v>
      </c>
      <c r="C225" s="32">
        <v>49104</v>
      </c>
      <c r="D225" s="32" t="s">
        <v>87</v>
      </c>
      <c r="E2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" spans="1:6" x14ac:dyDescent="0.35">
      <c r="A226" s="3">
        <v>32086957056</v>
      </c>
      <c r="B226" s="3">
        <v>208</v>
      </c>
      <c r="C226" s="32">
        <v>49104</v>
      </c>
      <c r="D226" s="32" t="s">
        <v>87</v>
      </c>
      <c r="E2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7" spans="1:6" x14ac:dyDescent="0.35">
      <c r="A227" s="3">
        <v>98609012350</v>
      </c>
      <c r="B227" s="3">
        <v>221</v>
      </c>
      <c r="C227" s="32">
        <v>49104</v>
      </c>
      <c r="D227" s="32">
        <v>49142</v>
      </c>
      <c r="E2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228" spans="1:6" x14ac:dyDescent="0.35">
      <c r="A228" s="3">
        <v>60571799869</v>
      </c>
      <c r="B228" s="3">
        <v>265</v>
      </c>
      <c r="C228" s="32">
        <v>49104</v>
      </c>
      <c r="D228" s="32"/>
      <c r="E2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" spans="1:6" x14ac:dyDescent="0.35">
      <c r="A229" s="3">
        <v>97070945189</v>
      </c>
      <c r="B229" s="3">
        <v>290</v>
      </c>
      <c r="C229" s="32">
        <v>49104</v>
      </c>
      <c r="D229" s="32" t="s">
        <v>87</v>
      </c>
      <c r="E2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" spans="1:6" x14ac:dyDescent="0.35">
      <c r="A230" s="3">
        <v>53740076255</v>
      </c>
      <c r="B230" s="3">
        <v>295</v>
      </c>
      <c r="C230" s="32">
        <v>49104</v>
      </c>
      <c r="D230" s="32" t="s">
        <v>87</v>
      </c>
      <c r="E2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" spans="1:6" x14ac:dyDescent="0.35">
      <c r="A231" s="3">
        <v>81445821967</v>
      </c>
      <c r="B231" s="3">
        <v>295</v>
      </c>
      <c r="C231" s="32">
        <v>49104</v>
      </c>
      <c r="D231" s="32" t="s">
        <v>87</v>
      </c>
      <c r="E2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" spans="1:6" x14ac:dyDescent="0.35">
      <c r="A232" s="3">
        <v>50334320844</v>
      </c>
      <c r="B232" s="3">
        <v>309</v>
      </c>
      <c r="C232" s="32">
        <v>49104</v>
      </c>
      <c r="D232" s="32">
        <v>49190</v>
      </c>
      <c r="E2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33" spans="1:6" x14ac:dyDescent="0.35">
      <c r="A233" s="3">
        <v>92912775291</v>
      </c>
      <c r="B233" s="3">
        <v>332</v>
      </c>
      <c r="C233" s="32">
        <v>49104</v>
      </c>
      <c r="D233" s="32" t="s">
        <v>87</v>
      </c>
      <c r="E2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" spans="1:6" x14ac:dyDescent="0.35">
      <c r="A234" s="3">
        <v>42730388755</v>
      </c>
      <c r="B234" s="3">
        <v>336</v>
      </c>
      <c r="C234" s="32">
        <v>49104</v>
      </c>
      <c r="D234" s="32" t="s">
        <v>87</v>
      </c>
      <c r="E2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" spans="1:6" x14ac:dyDescent="0.35">
      <c r="A235" s="3">
        <v>48439991630</v>
      </c>
      <c r="B235" s="3">
        <v>22</v>
      </c>
      <c r="C235" s="32">
        <v>49105</v>
      </c>
      <c r="D235" s="32"/>
      <c r="E2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" spans="1:6" x14ac:dyDescent="0.35">
      <c r="A236" s="3">
        <v>62025203193</v>
      </c>
      <c r="B236" s="3">
        <v>33</v>
      </c>
      <c r="C236" s="32">
        <v>49105</v>
      </c>
      <c r="D236" s="32" t="s">
        <v>87</v>
      </c>
      <c r="E2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" spans="1:6" x14ac:dyDescent="0.35">
      <c r="A237" s="3">
        <v>35771925753</v>
      </c>
      <c r="B237" s="3">
        <v>35</v>
      </c>
      <c r="C237" s="32">
        <v>49105</v>
      </c>
      <c r="D237" s="32" t="s">
        <v>87</v>
      </c>
      <c r="E2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" spans="1:6" x14ac:dyDescent="0.35">
      <c r="A238" s="3">
        <v>33925931179</v>
      </c>
      <c r="B238" s="3">
        <v>42</v>
      </c>
      <c r="C238" s="32">
        <v>49105</v>
      </c>
      <c r="D238" s="32" t="s">
        <v>87</v>
      </c>
      <c r="E2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" spans="1:6" x14ac:dyDescent="0.35">
      <c r="A239" s="3">
        <v>54432237912</v>
      </c>
      <c r="B239" s="3">
        <v>75</v>
      </c>
      <c r="C239" s="32">
        <v>49105</v>
      </c>
      <c r="D239" s="32"/>
      <c r="E2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" spans="1:6" x14ac:dyDescent="0.35">
      <c r="A240" s="3">
        <v>51946754709</v>
      </c>
      <c r="B240" s="3">
        <v>90</v>
      </c>
      <c r="C240" s="32">
        <v>49105</v>
      </c>
      <c r="D240" s="32">
        <v>49138</v>
      </c>
      <c r="E2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241" spans="1:6" x14ac:dyDescent="0.35">
      <c r="A241" s="3">
        <v>97100992462</v>
      </c>
      <c r="B241" s="3">
        <v>97</v>
      </c>
      <c r="C241" s="32">
        <v>49105</v>
      </c>
      <c r="D241" s="32"/>
      <c r="E2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2" spans="1:6" x14ac:dyDescent="0.35">
      <c r="A242" s="3">
        <v>45927201699</v>
      </c>
      <c r="B242" s="3">
        <v>129</v>
      </c>
      <c r="C242" s="32">
        <v>49105</v>
      </c>
      <c r="D242" s="32">
        <v>49130</v>
      </c>
      <c r="E2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243" spans="1:6" x14ac:dyDescent="0.35">
      <c r="A243" s="3">
        <v>40876987569</v>
      </c>
      <c r="B243" s="3">
        <v>134</v>
      </c>
      <c r="C243" s="32">
        <v>49105</v>
      </c>
      <c r="D243" s="32" t="s">
        <v>87</v>
      </c>
      <c r="E2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" spans="1:6" x14ac:dyDescent="0.35">
      <c r="A244" s="3">
        <v>36629457271</v>
      </c>
      <c r="B244" s="3">
        <v>160</v>
      </c>
      <c r="C244" s="32">
        <v>49105</v>
      </c>
      <c r="D244" s="32" t="s">
        <v>87</v>
      </c>
      <c r="E2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" spans="1:6" x14ac:dyDescent="0.35">
      <c r="A245" s="3">
        <v>74043418930</v>
      </c>
      <c r="B245" s="3">
        <v>182</v>
      </c>
      <c r="C245" s="32">
        <v>49105</v>
      </c>
      <c r="D245" s="32" t="s">
        <v>87</v>
      </c>
      <c r="E2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" spans="1:6" x14ac:dyDescent="0.35">
      <c r="A246" s="3">
        <v>82450210670</v>
      </c>
      <c r="B246" s="3">
        <v>200</v>
      </c>
      <c r="C246" s="32">
        <v>49105</v>
      </c>
      <c r="D246" s="32">
        <v>49189</v>
      </c>
      <c r="E2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47" spans="1:6" x14ac:dyDescent="0.35">
      <c r="A247" s="3">
        <v>91044587618</v>
      </c>
      <c r="B247" s="3">
        <v>224</v>
      </c>
      <c r="C247" s="32">
        <v>49105</v>
      </c>
      <c r="D247" s="32" t="s">
        <v>87</v>
      </c>
      <c r="E2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" spans="1:6" x14ac:dyDescent="0.35">
      <c r="A248" s="3">
        <v>72116914058</v>
      </c>
      <c r="B248" s="3">
        <v>229</v>
      </c>
      <c r="C248" s="32">
        <v>49105</v>
      </c>
      <c r="D248" s="32" t="s">
        <v>87</v>
      </c>
      <c r="E2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" spans="1:6" x14ac:dyDescent="0.35">
      <c r="A249" s="3">
        <v>55048652983</v>
      </c>
      <c r="B249" s="3">
        <v>237</v>
      </c>
      <c r="C249" s="32">
        <v>49105</v>
      </c>
      <c r="D249" s="32">
        <v>49129</v>
      </c>
      <c r="E2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250" spans="1:6" x14ac:dyDescent="0.35">
      <c r="A250" s="3">
        <v>95716476838</v>
      </c>
      <c r="B250" s="3">
        <v>242</v>
      </c>
      <c r="C250" s="32">
        <v>49105</v>
      </c>
      <c r="D250" s="32" t="s">
        <v>87</v>
      </c>
      <c r="E2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" spans="1:6" x14ac:dyDescent="0.35">
      <c r="A251" s="3">
        <v>49947679400</v>
      </c>
      <c r="B251" s="3">
        <v>243</v>
      </c>
      <c r="C251" s="32">
        <v>49105</v>
      </c>
      <c r="D251" s="32" t="s">
        <v>87</v>
      </c>
      <c r="E2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" spans="1:6" x14ac:dyDescent="0.35">
      <c r="A252" s="3">
        <v>47936913634</v>
      </c>
      <c r="B252" s="3">
        <v>255</v>
      </c>
      <c r="C252" s="32">
        <v>49105</v>
      </c>
      <c r="D252" s="32" t="s">
        <v>87</v>
      </c>
      <c r="E2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" spans="1:6" x14ac:dyDescent="0.35">
      <c r="A253" s="3">
        <v>15795772622</v>
      </c>
      <c r="B253" s="3">
        <v>262</v>
      </c>
      <c r="C253" s="32">
        <v>49105</v>
      </c>
      <c r="D253" s="32" t="s">
        <v>87</v>
      </c>
      <c r="E2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" spans="1:6" x14ac:dyDescent="0.35">
      <c r="A254" s="3">
        <v>47887251756</v>
      </c>
      <c r="B254" s="3">
        <v>266</v>
      </c>
      <c r="C254" s="32">
        <v>49105</v>
      </c>
      <c r="D254" s="32" t="s">
        <v>87</v>
      </c>
      <c r="E2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5" spans="1:6" x14ac:dyDescent="0.35">
      <c r="A255" s="3">
        <v>95408740402</v>
      </c>
      <c r="B255" s="3">
        <v>285</v>
      </c>
      <c r="C255" s="32">
        <v>49105</v>
      </c>
      <c r="D255" s="32"/>
      <c r="E2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" spans="1:6" x14ac:dyDescent="0.35">
      <c r="A256" s="3">
        <v>73122446750</v>
      </c>
      <c r="B256" s="3">
        <v>312</v>
      </c>
      <c r="C256" s="32">
        <v>49105</v>
      </c>
      <c r="D256" s="32" t="s">
        <v>87</v>
      </c>
      <c r="E2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" spans="1:6" x14ac:dyDescent="0.35">
      <c r="A257" s="3">
        <v>16564247599</v>
      </c>
      <c r="B257" s="3">
        <v>10</v>
      </c>
      <c r="C257" s="32">
        <v>49106</v>
      </c>
      <c r="D257" s="32" t="s">
        <v>87</v>
      </c>
      <c r="E2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" spans="1:6" x14ac:dyDescent="0.35">
      <c r="A258" s="3">
        <v>79294948101</v>
      </c>
      <c r="B258" s="3">
        <v>26</v>
      </c>
      <c r="C258" s="32">
        <v>49106</v>
      </c>
      <c r="D258" s="32"/>
      <c r="E2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" spans="1:6" x14ac:dyDescent="0.35">
      <c r="A259" s="3">
        <v>57130124164</v>
      </c>
      <c r="B259" s="3">
        <v>34</v>
      </c>
      <c r="C259" s="32">
        <v>49106</v>
      </c>
      <c r="D259" s="32">
        <v>49111</v>
      </c>
      <c r="E2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260" spans="1:6" x14ac:dyDescent="0.35">
      <c r="A260" s="3">
        <v>12507516163</v>
      </c>
      <c r="B260" s="3">
        <v>39</v>
      </c>
      <c r="C260" s="32">
        <v>49106</v>
      </c>
      <c r="D260" s="32" t="s">
        <v>87</v>
      </c>
      <c r="E2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" spans="1:6" x14ac:dyDescent="0.35">
      <c r="A261" s="3">
        <v>62119762787</v>
      </c>
      <c r="B261" s="3">
        <v>57</v>
      </c>
      <c r="C261" s="32">
        <v>49106</v>
      </c>
      <c r="D261" s="32">
        <v>49123</v>
      </c>
      <c r="E2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262" spans="1:6" x14ac:dyDescent="0.35">
      <c r="A262" s="3">
        <v>51929060073</v>
      </c>
      <c r="B262" s="3">
        <v>81</v>
      </c>
      <c r="C262" s="32">
        <v>49106</v>
      </c>
      <c r="D262" s="32"/>
      <c r="E2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" spans="1:6" x14ac:dyDescent="0.35">
      <c r="A263" s="3">
        <v>62302915341</v>
      </c>
      <c r="B263" s="3">
        <v>112</v>
      </c>
      <c r="C263" s="32">
        <v>49106</v>
      </c>
      <c r="D263" s="32" t="s">
        <v>87</v>
      </c>
      <c r="E2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" spans="1:6" x14ac:dyDescent="0.35">
      <c r="A264" s="3">
        <v>68532993017</v>
      </c>
      <c r="B264" s="3">
        <v>139</v>
      </c>
      <c r="C264" s="32">
        <v>49106</v>
      </c>
      <c r="D264" s="32"/>
      <c r="E2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" spans="1:6" x14ac:dyDescent="0.35">
      <c r="A265" s="3">
        <v>31808204510</v>
      </c>
      <c r="B265" s="3">
        <v>148</v>
      </c>
      <c r="C265" s="32">
        <v>49106</v>
      </c>
      <c r="D265" s="32"/>
      <c r="E2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" spans="1:6" x14ac:dyDescent="0.35">
      <c r="A266" s="3">
        <v>20299178851</v>
      </c>
      <c r="B266" s="3">
        <v>164</v>
      </c>
      <c r="C266" s="32">
        <v>49106</v>
      </c>
      <c r="D266" s="32">
        <v>49111</v>
      </c>
      <c r="E2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267" spans="1:6" x14ac:dyDescent="0.35">
      <c r="A267" s="3">
        <v>78475663404</v>
      </c>
      <c r="B267" s="3">
        <v>165</v>
      </c>
      <c r="C267" s="32">
        <v>49106</v>
      </c>
      <c r="D267" s="32" t="s">
        <v>87</v>
      </c>
      <c r="E2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" spans="1:6" x14ac:dyDescent="0.35">
      <c r="A268" s="3">
        <v>71650831543</v>
      </c>
      <c r="B268" s="3">
        <v>185</v>
      </c>
      <c r="C268" s="32">
        <v>49106</v>
      </c>
      <c r="D268" s="32">
        <v>49214</v>
      </c>
      <c r="E2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69" spans="1:6" x14ac:dyDescent="0.35">
      <c r="A269" s="3">
        <v>25522572738</v>
      </c>
      <c r="B269" s="3">
        <v>187</v>
      </c>
      <c r="C269" s="32">
        <v>49106</v>
      </c>
      <c r="D269" s="32" t="s">
        <v>87</v>
      </c>
      <c r="E2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" spans="1:6" x14ac:dyDescent="0.35">
      <c r="A270" s="3">
        <v>64339211163</v>
      </c>
      <c r="B270" s="3">
        <v>198</v>
      </c>
      <c r="C270" s="32">
        <v>49106</v>
      </c>
      <c r="D270" s="32"/>
      <c r="E2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" spans="1:6" x14ac:dyDescent="0.35">
      <c r="A271" s="3">
        <v>54384481287</v>
      </c>
      <c r="B271" s="3">
        <v>228</v>
      </c>
      <c r="C271" s="32">
        <v>49106</v>
      </c>
      <c r="D271" s="32" t="s">
        <v>87</v>
      </c>
      <c r="E2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" spans="1:6" x14ac:dyDescent="0.35">
      <c r="A272" s="3">
        <v>11875592074</v>
      </c>
      <c r="B272" s="3">
        <v>230</v>
      </c>
      <c r="C272" s="32">
        <v>49106</v>
      </c>
      <c r="D272" s="32" t="s">
        <v>87</v>
      </c>
      <c r="E2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3" spans="1:6" x14ac:dyDescent="0.35">
      <c r="A273" s="3">
        <v>18696150076</v>
      </c>
      <c r="B273" s="3">
        <v>234</v>
      </c>
      <c r="C273" s="32">
        <v>49106</v>
      </c>
      <c r="D273" s="32" t="s">
        <v>87</v>
      </c>
      <c r="E2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" spans="1:6" x14ac:dyDescent="0.35">
      <c r="A274" s="3">
        <v>29987371915</v>
      </c>
      <c r="B274" s="3">
        <v>238</v>
      </c>
      <c r="C274" s="32">
        <v>49106</v>
      </c>
      <c r="D274" s="32" t="s">
        <v>87</v>
      </c>
      <c r="E2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" spans="1:6" x14ac:dyDescent="0.35">
      <c r="A275" s="3">
        <v>60107041099</v>
      </c>
      <c r="B275" s="3">
        <v>248</v>
      </c>
      <c r="C275" s="32">
        <v>49106</v>
      </c>
      <c r="D275" s="32"/>
      <c r="E2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" spans="1:6" x14ac:dyDescent="0.35">
      <c r="A276" s="3">
        <v>54901049151</v>
      </c>
      <c r="B276" s="3">
        <v>255</v>
      </c>
      <c r="C276" s="32">
        <v>49106</v>
      </c>
      <c r="D276" s="32" t="s">
        <v>87</v>
      </c>
      <c r="E2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" spans="1:6" x14ac:dyDescent="0.35">
      <c r="A277" s="3">
        <v>87504251864</v>
      </c>
      <c r="B277" s="3">
        <v>255</v>
      </c>
      <c r="C277" s="32">
        <v>49106</v>
      </c>
      <c r="D277" s="32" t="s">
        <v>87</v>
      </c>
      <c r="E2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" spans="1:6" x14ac:dyDescent="0.35">
      <c r="A278" s="3">
        <v>52744432224</v>
      </c>
      <c r="B278" s="3">
        <v>258</v>
      </c>
      <c r="C278" s="32">
        <v>49106</v>
      </c>
      <c r="D278" s="32">
        <v>49174</v>
      </c>
      <c r="E2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79" spans="1:6" x14ac:dyDescent="0.35">
      <c r="A279" s="3">
        <v>23827158582</v>
      </c>
      <c r="B279" s="3">
        <v>264</v>
      </c>
      <c r="C279" s="32">
        <v>49106</v>
      </c>
      <c r="D279" s="32" t="s">
        <v>87</v>
      </c>
      <c r="E2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" spans="1:6" x14ac:dyDescent="0.35">
      <c r="A280" s="3">
        <v>42986304076</v>
      </c>
      <c r="B280" s="3">
        <v>264</v>
      </c>
      <c r="C280" s="32">
        <v>49106</v>
      </c>
      <c r="D280" s="32" t="s">
        <v>87</v>
      </c>
      <c r="E2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" spans="1:6" x14ac:dyDescent="0.35">
      <c r="A281" s="3">
        <v>50706529576</v>
      </c>
      <c r="B281" s="3">
        <v>266</v>
      </c>
      <c r="C281" s="32">
        <v>49106</v>
      </c>
      <c r="D281" s="32">
        <v>49182</v>
      </c>
      <c r="E2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82" spans="1:6" x14ac:dyDescent="0.35">
      <c r="A282" s="3">
        <v>63651035533</v>
      </c>
      <c r="B282" s="3">
        <v>273</v>
      </c>
      <c r="C282" s="32">
        <v>49106</v>
      </c>
      <c r="D282" s="32"/>
      <c r="E2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" spans="1:6" x14ac:dyDescent="0.35">
      <c r="A283" s="3">
        <v>21441655286</v>
      </c>
      <c r="B283" s="3">
        <v>274</v>
      </c>
      <c r="C283" s="32">
        <v>49106</v>
      </c>
      <c r="D283" s="32" t="s">
        <v>87</v>
      </c>
      <c r="E2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" spans="1:6" x14ac:dyDescent="0.35">
      <c r="A284" s="3">
        <v>64793623057</v>
      </c>
      <c r="B284" s="3">
        <v>284</v>
      </c>
      <c r="C284" s="32">
        <v>49106</v>
      </c>
      <c r="D284" s="32" t="s">
        <v>87</v>
      </c>
      <c r="E2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" spans="1:6" x14ac:dyDescent="0.35">
      <c r="A285" s="3">
        <v>20444974273</v>
      </c>
      <c r="B285" s="3">
        <v>287</v>
      </c>
      <c r="C285" s="32">
        <v>49106</v>
      </c>
      <c r="D285" s="32" t="s">
        <v>87</v>
      </c>
      <c r="E2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" spans="1:6" x14ac:dyDescent="0.35">
      <c r="A286" s="3">
        <v>22396256593</v>
      </c>
      <c r="B286" s="3">
        <v>294</v>
      </c>
      <c r="C286" s="32">
        <v>49106</v>
      </c>
      <c r="D286" s="32" t="s">
        <v>87</v>
      </c>
      <c r="E2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" spans="1:6" x14ac:dyDescent="0.35">
      <c r="A287" s="3">
        <v>72670921426</v>
      </c>
      <c r="B287" s="3">
        <v>309</v>
      </c>
      <c r="C287" s="32">
        <v>49106</v>
      </c>
      <c r="D287" s="32"/>
      <c r="E2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" spans="1:6" x14ac:dyDescent="0.35">
      <c r="A288" s="3">
        <v>23130222873</v>
      </c>
      <c r="B288" s="3">
        <v>313</v>
      </c>
      <c r="C288" s="32">
        <v>49106</v>
      </c>
      <c r="D288" s="32">
        <v>49204</v>
      </c>
      <c r="E2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89" spans="1:6" x14ac:dyDescent="0.35">
      <c r="A289" s="3">
        <v>89753082790</v>
      </c>
      <c r="B289" s="3">
        <v>324</v>
      </c>
      <c r="C289" s="32">
        <v>49106</v>
      </c>
      <c r="D289" s="32" t="s">
        <v>87</v>
      </c>
      <c r="E2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" spans="1:6" x14ac:dyDescent="0.35">
      <c r="A290" s="3">
        <v>13779621960</v>
      </c>
      <c r="B290" s="3">
        <v>327</v>
      </c>
      <c r="C290" s="32">
        <v>49106</v>
      </c>
      <c r="D290" s="32" t="s">
        <v>87</v>
      </c>
      <c r="E2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" spans="1:6" x14ac:dyDescent="0.35">
      <c r="A291" s="3">
        <v>74929221210</v>
      </c>
      <c r="B291" s="3">
        <v>331</v>
      </c>
      <c r="C291" s="32">
        <v>49106</v>
      </c>
      <c r="D291" s="32" t="s">
        <v>87</v>
      </c>
      <c r="E2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" spans="1:6" x14ac:dyDescent="0.35">
      <c r="A292" s="3">
        <v>71379982756</v>
      </c>
      <c r="B292" s="3">
        <v>333</v>
      </c>
      <c r="C292" s="32">
        <v>49106</v>
      </c>
      <c r="D292" s="32"/>
      <c r="E2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" spans="1:6" x14ac:dyDescent="0.35">
      <c r="A293" s="3">
        <v>54012934457</v>
      </c>
      <c r="B293" s="3">
        <v>334</v>
      </c>
      <c r="C293" s="32">
        <v>49106</v>
      </c>
      <c r="D293" s="32" t="s">
        <v>87</v>
      </c>
      <c r="E2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" spans="1:6" x14ac:dyDescent="0.35">
      <c r="A294" s="3">
        <v>71248709513</v>
      </c>
      <c r="B294" s="3">
        <v>9</v>
      </c>
      <c r="C294" s="32">
        <v>49107</v>
      </c>
      <c r="D294" s="32">
        <v>49177</v>
      </c>
      <c r="E2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95" spans="1:6" x14ac:dyDescent="0.35">
      <c r="A295" s="3">
        <v>80053456136</v>
      </c>
      <c r="B295" s="3">
        <v>19</v>
      </c>
      <c r="C295" s="32">
        <v>49107</v>
      </c>
      <c r="D295" s="32">
        <v>49147</v>
      </c>
      <c r="E2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296" spans="1:6" x14ac:dyDescent="0.35">
      <c r="A296" s="3">
        <v>23528450909</v>
      </c>
      <c r="B296" s="3">
        <v>25</v>
      </c>
      <c r="C296" s="32">
        <v>49107</v>
      </c>
      <c r="D296" s="32">
        <v>49193</v>
      </c>
      <c r="E2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97" spans="1:6" x14ac:dyDescent="0.35">
      <c r="A297" s="3">
        <v>86370204609</v>
      </c>
      <c r="B297" s="3">
        <v>37</v>
      </c>
      <c r="C297" s="32">
        <v>49107</v>
      </c>
      <c r="D297" s="32" t="s">
        <v>87</v>
      </c>
      <c r="E2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" spans="1:6" x14ac:dyDescent="0.35">
      <c r="A298" s="3">
        <v>68809070776</v>
      </c>
      <c r="B298" s="3">
        <v>41</v>
      </c>
      <c r="C298" s="32">
        <v>49107</v>
      </c>
      <c r="D298" s="32" t="s">
        <v>87</v>
      </c>
      <c r="E2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" spans="1:6" x14ac:dyDescent="0.35">
      <c r="A299" s="3">
        <v>14724004635</v>
      </c>
      <c r="B299" s="3">
        <v>51</v>
      </c>
      <c r="C299" s="32">
        <v>49107</v>
      </c>
      <c r="D299" s="32" t="s">
        <v>87</v>
      </c>
      <c r="E2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" spans="1:6" x14ac:dyDescent="0.35">
      <c r="A300" s="3">
        <v>29627021626</v>
      </c>
      <c r="B300" s="3">
        <v>65</v>
      </c>
      <c r="C300" s="32">
        <v>49107</v>
      </c>
      <c r="D300" s="32"/>
      <c r="E3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" spans="1:6" x14ac:dyDescent="0.35">
      <c r="A301" s="3">
        <v>63003892022</v>
      </c>
      <c r="B301" s="3">
        <v>73</v>
      </c>
      <c r="C301" s="32">
        <v>49107</v>
      </c>
      <c r="D301" s="32"/>
      <c r="E3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2" spans="1:6" x14ac:dyDescent="0.35">
      <c r="A302" s="3">
        <v>61187601147</v>
      </c>
      <c r="B302" s="3">
        <v>99</v>
      </c>
      <c r="C302" s="32">
        <v>49107</v>
      </c>
      <c r="D302" s="32" t="s">
        <v>87</v>
      </c>
      <c r="E3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" spans="1:6" x14ac:dyDescent="0.35">
      <c r="A303" s="3">
        <v>29289358803</v>
      </c>
      <c r="B303" s="3">
        <v>109</v>
      </c>
      <c r="C303" s="32">
        <v>49107</v>
      </c>
      <c r="D303" s="32"/>
      <c r="E3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" spans="1:6" x14ac:dyDescent="0.35">
      <c r="A304" s="3">
        <v>92879270225</v>
      </c>
      <c r="B304" s="3">
        <v>114</v>
      </c>
      <c r="C304" s="32">
        <v>49107</v>
      </c>
      <c r="D304" s="32" t="s">
        <v>87</v>
      </c>
      <c r="E3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" spans="1:6" x14ac:dyDescent="0.35">
      <c r="A305" s="3">
        <v>76887312493</v>
      </c>
      <c r="B305" s="3">
        <v>116</v>
      </c>
      <c r="C305" s="32">
        <v>49107</v>
      </c>
      <c r="D305" s="32" t="s">
        <v>87</v>
      </c>
      <c r="E3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" spans="1:6" x14ac:dyDescent="0.35">
      <c r="A306" s="3">
        <v>96374996541</v>
      </c>
      <c r="B306" s="3">
        <v>126</v>
      </c>
      <c r="C306" s="32">
        <v>49107</v>
      </c>
      <c r="D306" s="32" t="s">
        <v>87</v>
      </c>
      <c r="E3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" spans="1:6" x14ac:dyDescent="0.35">
      <c r="A307" s="3">
        <v>89295718128</v>
      </c>
      <c r="B307" s="3">
        <v>127</v>
      </c>
      <c r="C307" s="32">
        <v>49107</v>
      </c>
      <c r="D307" s="32"/>
      <c r="E3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" spans="1:6" x14ac:dyDescent="0.35">
      <c r="A308" s="3">
        <v>47668846734</v>
      </c>
      <c r="B308" s="3">
        <v>144</v>
      </c>
      <c r="C308" s="32">
        <v>49107</v>
      </c>
      <c r="D308" s="32" t="s">
        <v>87</v>
      </c>
      <c r="E3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" spans="1:6" x14ac:dyDescent="0.35">
      <c r="A309" s="3">
        <v>23408438681</v>
      </c>
      <c r="B309" s="3">
        <v>150</v>
      </c>
      <c r="C309" s="32">
        <v>49107</v>
      </c>
      <c r="D309" s="32" t="s">
        <v>87</v>
      </c>
      <c r="E3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0" spans="1:6" x14ac:dyDescent="0.35">
      <c r="A310" s="3">
        <v>61855864468</v>
      </c>
      <c r="B310" s="3">
        <v>153</v>
      </c>
      <c r="C310" s="32">
        <v>49107</v>
      </c>
      <c r="D310" s="32" t="s">
        <v>87</v>
      </c>
      <c r="E3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" spans="1:6" x14ac:dyDescent="0.35">
      <c r="A311" s="3">
        <v>44102314047</v>
      </c>
      <c r="B311" s="3">
        <v>169</v>
      </c>
      <c r="C311" s="32">
        <v>49107</v>
      </c>
      <c r="D311" s="32">
        <v>49169</v>
      </c>
      <c r="E3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12" spans="1:6" x14ac:dyDescent="0.35">
      <c r="A312" s="3">
        <v>55212951693</v>
      </c>
      <c r="B312" s="3">
        <v>194</v>
      </c>
      <c r="C312" s="32">
        <v>49107</v>
      </c>
      <c r="D312" s="32" t="s">
        <v>87</v>
      </c>
      <c r="E3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" spans="1:6" x14ac:dyDescent="0.35">
      <c r="A313" s="3">
        <v>80604742850</v>
      </c>
      <c r="B313" s="3">
        <v>203</v>
      </c>
      <c r="C313" s="32">
        <v>49107</v>
      </c>
      <c r="D313" s="32" t="s">
        <v>87</v>
      </c>
      <c r="E3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" spans="1:6" x14ac:dyDescent="0.35">
      <c r="A314" s="3">
        <v>85754299905</v>
      </c>
      <c r="B314" s="3">
        <v>203</v>
      </c>
      <c r="C314" s="32">
        <v>49107</v>
      </c>
      <c r="D314" s="32" t="s">
        <v>87</v>
      </c>
      <c r="E3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" spans="1:6" x14ac:dyDescent="0.35">
      <c r="A315" s="3">
        <v>44156032294</v>
      </c>
      <c r="B315" s="3">
        <v>206</v>
      </c>
      <c r="C315" s="32">
        <v>49107</v>
      </c>
      <c r="D315" s="32" t="s">
        <v>87</v>
      </c>
      <c r="E3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" spans="1:6" x14ac:dyDescent="0.35">
      <c r="A316" s="3">
        <v>37909125073</v>
      </c>
      <c r="B316" s="3">
        <v>223</v>
      </c>
      <c r="C316" s="32">
        <v>49107</v>
      </c>
      <c r="D316" s="32">
        <v>49127</v>
      </c>
      <c r="E3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17" spans="1:6" x14ac:dyDescent="0.35">
      <c r="A317" s="3">
        <v>50037942469</v>
      </c>
      <c r="B317" s="3">
        <v>233</v>
      </c>
      <c r="C317" s="32">
        <v>49107</v>
      </c>
      <c r="D317" s="32">
        <v>49176</v>
      </c>
      <c r="E3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18" spans="1:6" x14ac:dyDescent="0.35">
      <c r="A318" s="3">
        <v>99319862523</v>
      </c>
      <c r="B318" s="3">
        <v>238</v>
      </c>
      <c r="C318" s="32">
        <v>49107</v>
      </c>
      <c r="D318" s="32">
        <v>49153</v>
      </c>
      <c r="E3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19" spans="1:6" x14ac:dyDescent="0.35">
      <c r="A319" s="3">
        <v>36205925517</v>
      </c>
      <c r="B319" s="3">
        <v>244</v>
      </c>
      <c r="C319" s="32">
        <v>49107</v>
      </c>
      <c r="D319" s="32" t="s">
        <v>87</v>
      </c>
      <c r="E3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" spans="1:6" x14ac:dyDescent="0.35">
      <c r="A320" s="3">
        <v>90061200054</v>
      </c>
      <c r="B320" s="3">
        <v>272</v>
      </c>
      <c r="C320" s="32">
        <v>49107</v>
      </c>
      <c r="D320" s="32" t="s">
        <v>87</v>
      </c>
      <c r="E3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" spans="1:6" x14ac:dyDescent="0.35">
      <c r="A321" s="3">
        <v>46435354222</v>
      </c>
      <c r="B321" s="3">
        <v>293</v>
      </c>
      <c r="C321" s="32">
        <v>49107</v>
      </c>
      <c r="D321" s="32" t="s">
        <v>87</v>
      </c>
      <c r="E3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" spans="1:6" x14ac:dyDescent="0.35">
      <c r="A322" s="3">
        <v>54735404832</v>
      </c>
      <c r="B322" s="3">
        <v>321</v>
      </c>
      <c r="C322" s="32">
        <v>49107</v>
      </c>
      <c r="D322" s="32" t="s">
        <v>87</v>
      </c>
      <c r="E3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" spans="1:6" x14ac:dyDescent="0.35">
      <c r="A323" s="3">
        <v>99434737070</v>
      </c>
      <c r="B323" s="3">
        <v>2</v>
      </c>
      <c r="C323" s="32">
        <v>49108</v>
      </c>
      <c r="D323" s="32" t="s">
        <v>87</v>
      </c>
      <c r="E3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" spans="1:6" x14ac:dyDescent="0.35">
      <c r="A324" s="3">
        <v>56199743596</v>
      </c>
      <c r="B324" s="3">
        <v>4</v>
      </c>
      <c r="C324" s="32">
        <v>49108</v>
      </c>
      <c r="D324" s="32"/>
      <c r="E3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" spans="1:6" x14ac:dyDescent="0.35">
      <c r="A325" s="3">
        <v>14652678590</v>
      </c>
      <c r="B325" s="3">
        <v>9</v>
      </c>
      <c r="C325" s="32">
        <v>49108</v>
      </c>
      <c r="D325" s="32" t="s">
        <v>87</v>
      </c>
      <c r="E3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" spans="1:6" x14ac:dyDescent="0.35">
      <c r="A326" s="3">
        <v>69663441531</v>
      </c>
      <c r="B326" s="3">
        <v>16</v>
      </c>
      <c r="C326" s="32">
        <v>49108</v>
      </c>
      <c r="D326" s="32">
        <v>49146</v>
      </c>
      <c r="E3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27" spans="1:6" x14ac:dyDescent="0.35">
      <c r="A327" s="3">
        <v>63241550524</v>
      </c>
      <c r="B327" s="3">
        <v>27</v>
      </c>
      <c r="C327" s="32">
        <v>49108</v>
      </c>
      <c r="D327" s="32">
        <v>49209</v>
      </c>
      <c r="E3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328" spans="1:6" x14ac:dyDescent="0.35">
      <c r="A328" s="3">
        <v>12645608327</v>
      </c>
      <c r="B328" s="3">
        <v>29</v>
      </c>
      <c r="C328" s="32">
        <v>49108</v>
      </c>
      <c r="D328" s="32" t="s">
        <v>87</v>
      </c>
      <c r="E3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" spans="1:6" x14ac:dyDescent="0.35">
      <c r="A329" s="3">
        <v>74191410219</v>
      </c>
      <c r="B329" s="3">
        <v>39</v>
      </c>
      <c r="C329" s="32">
        <v>49108</v>
      </c>
      <c r="D329" s="32" t="s">
        <v>87</v>
      </c>
      <c r="E3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" spans="1:6" x14ac:dyDescent="0.35">
      <c r="A330" s="3">
        <v>79308144066</v>
      </c>
      <c r="B330" s="3">
        <v>42</v>
      </c>
      <c r="C330" s="32">
        <v>49108</v>
      </c>
      <c r="D330" s="32">
        <v>49108</v>
      </c>
      <c r="E3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331" spans="1:6" x14ac:dyDescent="0.35">
      <c r="A331" s="3">
        <v>51502044299</v>
      </c>
      <c r="B331" s="3">
        <v>43</v>
      </c>
      <c r="C331" s="32">
        <v>49108</v>
      </c>
      <c r="D331" s="32" t="s">
        <v>87</v>
      </c>
      <c r="E3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" spans="1:6" x14ac:dyDescent="0.35">
      <c r="A332" s="3">
        <v>35974939224</v>
      </c>
      <c r="B332" s="3">
        <v>43</v>
      </c>
      <c r="C332" s="32">
        <v>49108</v>
      </c>
      <c r="D332" s="32" t="s">
        <v>87</v>
      </c>
      <c r="E3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" spans="1:6" x14ac:dyDescent="0.35">
      <c r="A333" s="3">
        <v>23375685091</v>
      </c>
      <c r="B333" s="3">
        <v>48</v>
      </c>
      <c r="C333" s="32">
        <v>49108</v>
      </c>
      <c r="D333" s="32">
        <v>49110</v>
      </c>
      <c r="E3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334" spans="1:6" x14ac:dyDescent="0.35">
      <c r="A334" s="3">
        <v>55798151606</v>
      </c>
      <c r="B334" s="3">
        <v>68</v>
      </c>
      <c r="C334" s="32">
        <v>49108</v>
      </c>
      <c r="D334" s="32">
        <v>49224</v>
      </c>
      <c r="E3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35" spans="1:6" x14ac:dyDescent="0.35">
      <c r="A335" s="3">
        <v>23595702622</v>
      </c>
      <c r="B335" s="3">
        <v>71</v>
      </c>
      <c r="C335" s="32">
        <v>49108</v>
      </c>
      <c r="D335" s="32"/>
      <c r="E3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" spans="1:6" x14ac:dyDescent="0.35">
      <c r="A336" s="3">
        <v>31876912454</v>
      </c>
      <c r="B336" s="3">
        <v>74</v>
      </c>
      <c r="C336" s="32">
        <v>49108</v>
      </c>
      <c r="D336" s="32"/>
      <c r="E3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" spans="1:6" x14ac:dyDescent="0.35">
      <c r="A337" s="3">
        <v>23648505513</v>
      </c>
      <c r="B337" s="3">
        <v>77</v>
      </c>
      <c r="C337" s="32">
        <v>49108</v>
      </c>
      <c r="D337" s="32" t="s">
        <v>87</v>
      </c>
      <c r="E3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" spans="1:6" x14ac:dyDescent="0.35">
      <c r="A338" s="3">
        <v>56984563106</v>
      </c>
      <c r="B338" s="3">
        <v>104</v>
      </c>
      <c r="C338" s="32">
        <v>49108</v>
      </c>
      <c r="D338" s="32">
        <v>49187</v>
      </c>
      <c r="E3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39" spans="1:6" x14ac:dyDescent="0.35">
      <c r="A339" s="3">
        <v>25743018934</v>
      </c>
      <c r="B339" s="3">
        <v>139</v>
      </c>
      <c r="C339" s="32">
        <v>49108</v>
      </c>
      <c r="D339" s="32" t="s">
        <v>87</v>
      </c>
      <c r="E3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" spans="1:6" x14ac:dyDescent="0.35">
      <c r="A340" s="3">
        <v>44424098610</v>
      </c>
      <c r="B340" s="3">
        <v>194</v>
      </c>
      <c r="C340" s="32">
        <v>49108</v>
      </c>
      <c r="D340" s="32"/>
      <c r="E3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" spans="1:6" x14ac:dyDescent="0.35">
      <c r="A341" s="3">
        <v>79701537110</v>
      </c>
      <c r="B341" s="3">
        <v>210</v>
      </c>
      <c r="C341" s="32">
        <v>49108</v>
      </c>
      <c r="D341" s="32"/>
      <c r="E3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" spans="1:6" x14ac:dyDescent="0.35">
      <c r="A342" s="3">
        <v>62247581713</v>
      </c>
      <c r="B342" s="3">
        <v>211</v>
      </c>
      <c r="C342" s="32">
        <v>49108</v>
      </c>
      <c r="D342" s="32"/>
      <c r="E3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" spans="1:6" x14ac:dyDescent="0.35">
      <c r="A343" s="3">
        <v>77528382923</v>
      </c>
      <c r="B343" s="3">
        <v>221</v>
      </c>
      <c r="C343" s="32">
        <v>49108</v>
      </c>
      <c r="D343" s="32" t="s">
        <v>87</v>
      </c>
      <c r="E3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" spans="1:6" x14ac:dyDescent="0.35">
      <c r="A344" s="3">
        <v>89674575384</v>
      </c>
      <c r="B344" s="3">
        <v>225</v>
      </c>
      <c r="C344" s="32">
        <v>49108</v>
      </c>
      <c r="D344" s="32">
        <v>49211</v>
      </c>
      <c r="E3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345" spans="1:6" x14ac:dyDescent="0.35">
      <c r="A345" s="3">
        <v>74014145400</v>
      </c>
      <c r="B345" s="3">
        <v>256</v>
      </c>
      <c r="C345" s="32">
        <v>49108</v>
      </c>
      <c r="D345" s="32" t="s">
        <v>87</v>
      </c>
      <c r="E3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" spans="1:6" x14ac:dyDescent="0.35">
      <c r="A346" s="3">
        <v>13388823949</v>
      </c>
      <c r="B346" s="3">
        <v>266</v>
      </c>
      <c r="C346" s="32">
        <v>49108</v>
      </c>
      <c r="D346" s="32" t="s">
        <v>87</v>
      </c>
      <c r="E3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" spans="1:6" x14ac:dyDescent="0.35">
      <c r="A347" s="3">
        <v>97174943406</v>
      </c>
      <c r="B347" s="3">
        <v>280</v>
      </c>
      <c r="C347" s="32">
        <v>49108</v>
      </c>
      <c r="D347" s="32" t="s">
        <v>87</v>
      </c>
      <c r="E3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" spans="1:6" x14ac:dyDescent="0.35">
      <c r="A348" s="3">
        <v>28210188923</v>
      </c>
      <c r="B348" s="3">
        <v>282</v>
      </c>
      <c r="C348" s="32">
        <v>49108</v>
      </c>
      <c r="D348" s="32">
        <v>49159</v>
      </c>
      <c r="E3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49" spans="1:6" x14ac:dyDescent="0.35">
      <c r="A349" s="3">
        <v>49217432457</v>
      </c>
      <c r="B349" s="3">
        <v>287</v>
      </c>
      <c r="C349" s="32">
        <v>49108</v>
      </c>
      <c r="D349" s="32" t="s">
        <v>87</v>
      </c>
      <c r="E3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" spans="1:6" x14ac:dyDescent="0.35">
      <c r="A350" s="3">
        <v>64432348990</v>
      </c>
      <c r="B350" s="3">
        <v>290</v>
      </c>
      <c r="C350" s="32">
        <v>49108</v>
      </c>
      <c r="D350" s="32">
        <v>49157</v>
      </c>
      <c r="E3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51" spans="1:6" x14ac:dyDescent="0.35">
      <c r="A351" s="3">
        <v>55985341230</v>
      </c>
      <c r="B351" s="3">
        <v>291</v>
      </c>
      <c r="C351" s="32">
        <v>49108</v>
      </c>
      <c r="D351" s="32" t="s">
        <v>87</v>
      </c>
      <c r="E3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" spans="1:6" x14ac:dyDescent="0.35">
      <c r="A352" s="3">
        <v>85658632145</v>
      </c>
      <c r="B352" s="3">
        <v>307</v>
      </c>
      <c r="C352" s="32">
        <v>49108</v>
      </c>
      <c r="D352" s="32">
        <v>49173</v>
      </c>
      <c r="E3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53" spans="1:6" x14ac:dyDescent="0.35">
      <c r="A353" s="3">
        <v>73542394783</v>
      </c>
      <c r="B353" s="3">
        <v>308</v>
      </c>
      <c r="C353" s="32">
        <v>49108</v>
      </c>
      <c r="D353" s="32" t="s">
        <v>87</v>
      </c>
      <c r="E3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" spans="1:6" x14ac:dyDescent="0.35">
      <c r="A354" s="3">
        <v>96618384212</v>
      </c>
      <c r="B354" s="3">
        <v>311</v>
      </c>
      <c r="C354" s="32">
        <v>49108</v>
      </c>
      <c r="D354" s="32">
        <v>49177</v>
      </c>
      <c r="E3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55" spans="1:6" x14ac:dyDescent="0.35">
      <c r="A355" s="3">
        <v>95816975387</v>
      </c>
      <c r="B355" s="3">
        <v>327</v>
      </c>
      <c r="C355" s="32">
        <v>49108</v>
      </c>
      <c r="D355" s="32">
        <v>49129</v>
      </c>
      <c r="E3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56" spans="1:6" x14ac:dyDescent="0.35">
      <c r="A356" s="3">
        <v>21995673548</v>
      </c>
      <c r="B356" s="3">
        <v>330</v>
      </c>
      <c r="C356" s="32">
        <v>49108</v>
      </c>
      <c r="D356" s="32" t="s">
        <v>87</v>
      </c>
      <c r="E3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" spans="1:6" x14ac:dyDescent="0.35">
      <c r="A357" s="3">
        <v>23049620330</v>
      </c>
      <c r="B357" s="3">
        <v>333</v>
      </c>
      <c r="C357" s="32">
        <v>49108</v>
      </c>
      <c r="D357" s="32">
        <v>49158</v>
      </c>
      <c r="E3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58" spans="1:6" x14ac:dyDescent="0.35">
      <c r="A358" s="3">
        <v>59177031739</v>
      </c>
      <c r="B358" s="3">
        <v>337</v>
      </c>
      <c r="C358" s="32">
        <v>49108</v>
      </c>
      <c r="D358" s="32"/>
      <c r="E3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9" spans="1:6" x14ac:dyDescent="0.35">
      <c r="A359" s="3">
        <v>37463165377</v>
      </c>
      <c r="B359" s="3">
        <v>338</v>
      </c>
      <c r="C359" s="32">
        <v>49108</v>
      </c>
      <c r="D359" s="32" t="s">
        <v>87</v>
      </c>
      <c r="E3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" spans="1:6" x14ac:dyDescent="0.35">
      <c r="A360" s="3">
        <v>46977566214</v>
      </c>
      <c r="B360" s="3">
        <v>4</v>
      </c>
      <c r="C360" s="32">
        <v>49109</v>
      </c>
      <c r="D360" s="32" t="s">
        <v>87</v>
      </c>
      <c r="E3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" spans="1:6" x14ac:dyDescent="0.35">
      <c r="A361" s="3">
        <v>77214004957</v>
      </c>
      <c r="B361" s="3">
        <v>9</v>
      </c>
      <c r="C361" s="32">
        <v>49109</v>
      </c>
      <c r="D361" s="32">
        <v>49110</v>
      </c>
      <c r="E3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362" spans="1:6" x14ac:dyDescent="0.35">
      <c r="A362" s="3">
        <v>56731754552</v>
      </c>
      <c r="B362" s="3">
        <v>10</v>
      </c>
      <c r="C362" s="32">
        <v>49109</v>
      </c>
      <c r="D362" s="32">
        <v>49187</v>
      </c>
      <c r="E3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63" spans="1:6" x14ac:dyDescent="0.35">
      <c r="A363" s="3">
        <v>17349583026</v>
      </c>
      <c r="B363" s="3">
        <v>17</v>
      </c>
      <c r="C363" s="32">
        <v>49109</v>
      </c>
      <c r="D363" s="32"/>
      <c r="E3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" spans="1:6" x14ac:dyDescent="0.35">
      <c r="A364" s="3">
        <v>13005534210</v>
      </c>
      <c r="B364" s="3">
        <v>39</v>
      </c>
      <c r="C364" s="32">
        <v>49109</v>
      </c>
      <c r="D364" s="32" t="s">
        <v>87</v>
      </c>
      <c r="E3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" spans="1:6" x14ac:dyDescent="0.35">
      <c r="A365" s="3">
        <v>95067966187</v>
      </c>
      <c r="B365" s="3">
        <v>73</v>
      </c>
      <c r="C365" s="32">
        <v>49109</v>
      </c>
      <c r="D365" s="32" t="s">
        <v>87</v>
      </c>
      <c r="E3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" spans="1:6" x14ac:dyDescent="0.35">
      <c r="A366" s="3">
        <v>54934918776</v>
      </c>
      <c r="B366" s="3">
        <v>85</v>
      </c>
      <c r="C366" s="32">
        <v>49109</v>
      </c>
      <c r="D366" s="32">
        <v>49155</v>
      </c>
      <c r="E3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67" spans="1:6" x14ac:dyDescent="0.35">
      <c r="A367" s="3">
        <v>74265856160</v>
      </c>
      <c r="B367" s="3">
        <v>89</v>
      </c>
      <c r="C367" s="32">
        <v>49109</v>
      </c>
      <c r="D367" s="32" t="s">
        <v>87</v>
      </c>
      <c r="E3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" spans="1:6" x14ac:dyDescent="0.35">
      <c r="A368" s="3">
        <v>26800396801</v>
      </c>
      <c r="B368" s="3">
        <v>90</v>
      </c>
      <c r="C368" s="32">
        <v>49109</v>
      </c>
      <c r="D368" s="32" t="s">
        <v>87</v>
      </c>
      <c r="E3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" spans="1:6" x14ac:dyDescent="0.35">
      <c r="A369" s="3">
        <v>53254240436</v>
      </c>
      <c r="B369" s="3">
        <v>92</v>
      </c>
      <c r="C369" s="32">
        <v>49109</v>
      </c>
      <c r="D369" s="32" t="s">
        <v>87</v>
      </c>
      <c r="E3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" spans="1:6" x14ac:dyDescent="0.35">
      <c r="A370" s="3">
        <v>66482380537</v>
      </c>
      <c r="B370" s="3">
        <v>104</v>
      </c>
      <c r="C370" s="32">
        <v>49109</v>
      </c>
      <c r="D370" s="32">
        <v>49213</v>
      </c>
      <c r="E3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371" spans="1:6" x14ac:dyDescent="0.35">
      <c r="A371" s="3">
        <v>41700883500</v>
      </c>
      <c r="B371" s="3">
        <v>119</v>
      </c>
      <c r="C371" s="32">
        <v>49109</v>
      </c>
      <c r="D371" s="32" t="s">
        <v>87</v>
      </c>
      <c r="E3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" spans="1:6" x14ac:dyDescent="0.35">
      <c r="A372" s="3">
        <v>43000911141</v>
      </c>
      <c r="B372" s="3">
        <v>123</v>
      </c>
      <c r="C372" s="32">
        <v>49109</v>
      </c>
      <c r="D372" s="32" t="s">
        <v>87</v>
      </c>
      <c r="E3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" spans="1:6" x14ac:dyDescent="0.35">
      <c r="A373" s="3">
        <v>71538271240</v>
      </c>
      <c r="B373" s="3">
        <v>126</v>
      </c>
      <c r="C373" s="32">
        <v>49109</v>
      </c>
      <c r="D373" s="32">
        <v>49196</v>
      </c>
      <c r="E3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374" spans="1:6" x14ac:dyDescent="0.35">
      <c r="A374" s="3">
        <v>45492605380</v>
      </c>
      <c r="B374" s="3">
        <v>143</v>
      </c>
      <c r="C374" s="32">
        <v>49109</v>
      </c>
      <c r="D374" s="32">
        <v>49155</v>
      </c>
      <c r="E3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75" spans="1:6" x14ac:dyDescent="0.35">
      <c r="A375" s="3">
        <v>14510996826</v>
      </c>
      <c r="B375" s="3">
        <v>152</v>
      </c>
      <c r="C375" s="32">
        <v>49109</v>
      </c>
      <c r="D375" s="32" t="s">
        <v>87</v>
      </c>
      <c r="E3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" spans="1:6" x14ac:dyDescent="0.35">
      <c r="A376" s="3">
        <v>26545423302</v>
      </c>
      <c r="B376" s="3">
        <v>153</v>
      </c>
      <c r="C376" s="32">
        <v>49109</v>
      </c>
      <c r="D376" s="32">
        <v>49214</v>
      </c>
      <c r="E3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377" spans="1:6" x14ac:dyDescent="0.35">
      <c r="A377" s="3">
        <v>27940418301</v>
      </c>
      <c r="B377" s="3">
        <v>154</v>
      </c>
      <c r="C377" s="32">
        <v>49109</v>
      </c>
      <c r="D377" s="32" t="s">
        <v>87</v>
      </c>
      <c r="E3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" spans="1:6" x14ac:dyDescent="0.35">
      <c r="A378" s="3">
        <v>61881076924</v>
      </c>
      <c r="B378" s="3">
        <v>175</v>
      </c>
      <c r="C378" s="32">
        <v>49109</v>
      </c>
      <c r="D378" s="32" t="s">
        <v>87</v>
      </c>
      <c r="E3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" spans="1:6" x14ac:dyDescent="0.35">
      <c r="A379" s="3">
        <v>44981582888</v>
      </c>
      <c r="B379" s="3">
        <v>179</v>
      </c>
      <c r="C379" s="32">
        <v>49109</v>
      </c>
      <c r="D379" s="32" t="s">
        <v>87</v>
      </c>
      <c r="E3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" spans="1:6" x14ac:dyDescent="0.35">
      <c r="A380" s="3">
        <v>82336399318</v>
      </c>
      <c r="B380" s="3">
        <v>199</v>
      </c>
      <c r="C380" s="32">
        <v>49109</v>
      </c>
      <c r="D380" s="32" t="s">
        <v>87</v>
      </c>
      <c r="E3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" spans="1:6" x14ac:dyDescent="0.35">
      <c r="A381" s="3">
        <v>20571376693</v>
      </c>
      <c r="B381" s="3">
        <v>222</v>
      </c>
      <c r="C381" s="32">
        <v>49109</v>
      </c>
      <c r="D381" s="32" t="s">
        <v>87</v>
      </c>
      <c r="E3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" spans="1:6" x14ac:dyDescent="0.35">
      <c r="A382" s="3">
        <v>20207529693</v>
      </c>
      <c r="B382" s="3">
        <v>244</v>
      </c>
      <c r="C382" s="32">
        <v>49109</v>
      </c>
      <c r="D382" s="32" t="s">
        <v>87</v>
      </c>
      <c r="E3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" spans="1:6" x14ac:dyDescent="0.35">
      <c r="A383" s="3">
        <v>24034384134</v>
      </c>
      <c r="B383" s="3">
        <v>251</v>
      </c>
      <c r="C383" s="32">
        <v>49109</v>
      </c>
      <c r="D383" s="32" t="s">
        <v>87</v>
      </c>
      <c r="E3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" spans="1:6" x14ac:dyDescent="0.35">
      <c r="A384" s="3">
        <v>80261510585</v>
      </c>
      <c r="B384" s="3">
        <v>269</v>
      </c>
      <c r="C384" s="32">
        <v>49109</v>
      </c>
      <c r="D384" s="32" t="s">
        <v>87</v>
      </c>
      <c r="E3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" spans="1:6" x14ac:dyDescent="0.35">
      <c r="A385" s="3">
        <v>83001100691</v>
      </c>
      <c r="B385" s="3">
        <v>277</v>
      </c>
      <c r="C385" s="32">
        <v>49109</v>
      </c>
      <c r="D385" s="32" t="s">
        <v>87</v>
      </c>
      <c r="E3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" spans="1:6" x14ac:dyDescent="0.35">
      <c r="A386" s="3">
        <v>55564130029</v>
      </c>
      <c r="B386" s="3">
        <v>296</v>
      </c>
      <c r="C386" s="32">
        <v>49109</v>
      </c>
      <c r="D386" s="32">
        <v>49178</v>
      </c>
      <c r="E3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87" spans="1:6" x14ac:dyDescent="0.35">
      <c r="A387" s="3">
        <v>96282111210</v>
      </c>
      <c r="B387" s="3">
        <v>307</v>
      </c>
      <c r="C387" s="32">
        <v>49109</v>
      </c>
      <c r="D387" s="32" t="s">
        <v>87</v>
      </c>
      <c r="E3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" spans="1:6" x14ac:dyDescent="0.35">
      <c r="A388" s="3">
        <v>25691686090</v>
      </c>
      <c r="B388" s="3">
        <v>331</v>
      </c>
      <c r="C388" s="32">
        <v>49109</v>
      </c>
      <c r="D388" s="32" t="s">
        <v>87</v>
      </c>
      <c r="E3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" spans="1:6" x14ac:dyDescent="0.35">
      <c r="A389" s="3">
        <v>78909491626</v>
      </c>
      <c r="B389" s="3">
        <v>15</v>
      </c>
      <c r="C389" s="32">
        <v>49110</v>
      </c>
      <c r="D389" s="32">
        <v>49172</v>
      </c>
      <c r="E3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90" spans="1:6" x14ac:dyDescent="0.35">
      <c r="A390" s="3">
        <v>91531659593</v>
      </c>
      <c r="B390" s="3">
        <v>16</v>
      </c>
      <c r="C390" s="32">
        <v>49110</v>
      </c>
      <c r="D390" s="32" t="s">
        <v>87</v>
      </c>
      <c r="E3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" spans="1:6" x14ac:dyDescent="0.35">
      <c r="A391" s="3">
        <v>68094302684</v>
      </c>
      <c r="B391" s="3">
        <v>18</v>
      </c>
      <c r="C391" s="32">
        <v>49110</v>
      </c>
      <c r="D391" s="32" t="s">
        <v>87</v>
      </c>
      <c r="E3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" spans="1:6" x14ac:dyDescent="0.35">
      <c r="A392" s="3">
        <v>79240853865</v>
      </c>
      <c r="B392" s="3">
        <v>20</v>
      </c>
      <c r="C392" s="32">
        <v>49110</v>
      </c>
      <c r="D392" s="32"/>
      <c r="E3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" spans="1:6" x14ac:dyDescent="0.35">
      <c r="A393" s="3">
        <v>93041615697</v>
      </c>
      <c r="B393" s="3">
        <v>24</v>
      </c>
      <c r="C393" s="32">
        <v>49110</v>
      </c>
      <c r="D393" s="32" t="s">
        <v>87</v>
      </c>
      <c r="E3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" spans="1:6" x14ac:dyDescent="0.35">
      <c r="A394" s="3">
        <v>54983901861</v>
      </c>
      <c r="B394" s="3">
        <v>38</v>
      </c>
      <c r="C394" s="32">
        <v>49110</v>
      </c>
      <c r="D394" s="32"/>
      <c r="E3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" spans="1:6" x14ac:dyDescent="0.35">
      <c r="A395" s="3">
        <v>65583645786</v>
      </c>
      <c r="B395" s="3">
        <v>45</v>
      </c>
      <c r="C395" s="32">
        <v>49110</v>
      </c>
      <c r="D395" s="32" t="s">
        <v>87</v>
      </c>
      <c r="E3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" spans="1:6" x14ac:dyDescent="0.35">
      <c r="A396" s="3">
        <v>11332500827</v>
      </c>
      <c r="B396" s="3">
        <v>54</v>
      </c>
      <c r="C396" s="32">
        <v>49110</v>
      </c>
      <c r="D396" s="32">
        <v>49138</v>
      </c>
      <c r="E3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97" spans="1:6" x14ac:dyDescent="0.35">
      <c r="A397" s="3">
        <v>91226465058</v>
      </c>
      <c r="B397" s="3">
        <v>54</v>
      </c>
      <c r="C397" s="32">
        <v>49110</v>
      </c>
      <c r="D397" s="32" t="s">
        <v>87</v>
      </c>
      <c r="E3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" spans="1:6" x14ac:dyDescent="0.35">
      <c r="A398" s="3">
        <v>44492911862</v>
      </c>
      <c r="B398" s="3">
        <v>81</v>
      </c>
      <c r="C398" s="32">
        <v>49110</v>
      </c>
      <c r="D398" s="32" t="s">
        <v>87</v>
      </c>
      <c r="E3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" spans="1:6" x14ac:dyDescent="0.35">
      <c r="A399" s="3">
        <v>78938622655</v>
      </c>
      <c r="B399" s="3">
        <v>112</v>
      </c>
      <c r="C399" s="32">
        <v>49110</v>
      </c>
      <c r="D399" s="32" t="s">
        <v>87</v>
      </c>
      <c r="E3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" spans="1:6" x14ac:dyDescent="0.35">
      <c r="A400" s="3">
        <v>37215243064</v>
      </c>
      <c r="B400" s="3">
        <v>116</v>
      </c>
      <c r="C400" s="32">
        <v>49110</v>
      </c>
      <c r="D400" s="32"/>
      <c r="E4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" spans="1:6" x14ac:dyDescent="0.35">
      <c r="A401" s="3">
        <v>94831446933</v>
      </c>
      <c r="B401" s="3">
        <v>136</v>
      </c>
      <c r="C401" s="32">
        <v>49110</v>
      </c>
      <c r="D401" s="32" t="s">
        <v>87</v>
      </c>
      <c r="E4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" spans="1:6" x14ac:dyDescent="0.35">
      <c r="A402" s="3">
        <v>47836579701</v>
      </c>
      <c r="B402" s="3">
        <v>144</v>
      </c>
      <c r="C402" s="32">
        <v>49110</v>
      </c>
      <c r="D402" s="32"/>
      <c r="E4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" spans="1:6" x14ac:dyDescent="0.35">
      <c r="A403" s="3">
        <v>14631487643</v>
      </c>
      <c r="B403" s="3">
        <v>191</v>
      </c>
      <c r="C403" s="32">
        <v>49110</v>
      </c>
      <c r="D403" s="32" t="s">
        <v>87</v>
      </c>
      <c r="E4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" spans="1:6" x14ac:dyDescent="0.35">
      <c r="A404" s="3">
        <v>30470294987</v>
      </c>
      <c r="B404" s="3">
        <v>205</v>
      </c>
      <c r="C404" s="32">
        <v>49110</v>
      </c>
      <c r="D404" s="32" t="s">
        <v>87</v>
      </c>
      <c r="E4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" spans="1:6" x14ac:dyDescent="0.35">
      <c r="A405" s="3">
        <v>39045300938</v>
      </c>
      <c r="B405" s="3">
        <v>210</v>
      </c>
      <c r="C405" s="32">
        <v>49110</v>
      </c>
      <c r="D405" s="32" t="s">
        <v>87</v>
      </c>
      <c r="E4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" spans="1:6" x14ac:dyDescent="0.35">
      <c r="A406" s="3">
        <v>90043903556</v>
      </c>
      <c r="B406" s="3">
        <v>214</v>
      </c>
      <c r="C406" s="32">
        <v>49110</v>
      </c>
      <c r="D406" s="32">
        <v>49171</v>
      </c>
      <c r="E4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407" spans="1:6" x14ac:dyDescent="0.35">
      <c r="A407" s="3">
        <v>46652462939</v>
      </c>
      <c r="B407" s="3">
        <v>217</v>
      </c>
      <c r="C407" s="32">
        <v>49110</v>
      </c>
      <c r="D407" s="32" t="s">
        <v>87</v>
      </c>
      <c r="E4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" spans="1:6" x14ac:dyDescent="0.35">
      <c r="A408" s="3">
        <v>76860732303</v>
      </c>
      <c r="B408" s="3">
        <v>223</v>
      </c>
      <c r="C408" s="32">
        <v>49110</v>
      </c>
      <c r="D408" s="32"/>
      <c r="E4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" spans="1:6" x14ac:dyDescent="0.35">
      <c r="A409" s="3">
        <v>31167769367</v>
      </c>
      <c r="B409" s="3">
        <v>223</v>
      </c>
      <c r="C409" s="32">
        <v>49110</v>
      </c>
      <c r="D409" s="32">
        <v>49158</v>
      </c>
      <c r="E4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410" spans="1:6" x14ac:dyDescent="0.35">
      <c r="A410" s="3">
        <v>73960456202</v>
      </c>
      <c r="B410" s="3">
        <v>238</v>
      </c>
      <c r="C410" s="32">
        <v>49110</v>
      </c>
      <c r="D410" s="32" t="s">
        <v>87</v>
      </c>
      <c r="E4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" spans="1:6" x14ac:dyDescent="0.35">
      <c r="A411" s="3">
        <v>19435287831</v>
      </c>
      <c r="B411" s="3">
        <v>248</v>
      </c>
      <c r="C411" s="32">
        <v>49110</v>
      </c>
      <c r="D411" s="32">
        <v>49181</v>
      </c>
      <c r="E4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412" spans="1:6" x14ac:dyDescent="0.35">
      <c r="A412" s="3">
        <v>25637261358</v>
      </c>
      <c r="B412" s="3">
        <v>251</v>
      </c>
      <c r="C412" s="32">
        <v>49110</v>
      </c>
      <c r="D412" s="32"/>
      <c r="E4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" spans="1:6" x14ac:dyDescent="0.35">
      <c r="A413" s="3">
        <v>43367328675</v>
      </c>
      <c r="B413" s="3">
        <v>258</v>
      </c>
      <c r="C413" s="32">
        <v>49110</v>
      </c>
      <c r="D413" s="32" t="s">
        <v>87</v>
      </c>
      <c r="E4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" spans="1:6" x14ac:dyDescent="0.35">
      <c r="A414" s="3">
        <v>40528961571</v>
      </c>
      <c r="B414" s="3">
        <v>264</v>
      </c>
      <c r="C414" s="32">
        <v>49110</v>
      </c>
      <c r="D414" s="32" t="s">
        <v>87</v>
      </c>
      <c r="E4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" spans="1:6" x14ac:dyDescent="0.35">
      <c r="A415" s="3">
        <v>42698807077</v>
      </c>
      <c r="B415" s="3">
        <v>266</v>
      </c>
      <c r="C415" s="32">
        <v>49110</v>
      </c>
      <c r="D415" s="32">
        <v>49117</v>
      </c>
      <c r="E4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416" spans="1:6" x14ac:dyDescent="0.35">
      <c r="A416" s="3">
        <v>45577878463</v>
      </c>
      <c r="B416" s="3">
        <v>281</v>
      </c>
      <c r="C416" s="32">
        <v>49110</v>
      </c>
      <c r="D416" s="32" t="s">
        <v>87</v>
      </c>
      <c r="E4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7" spans="1:6" x14ac:dyDescent="0.35">
      <c r="A417" s="3">
        <v>88573831822</v>
      </c>
      <c r="B417" s="3">
        <v>288</v>
      </c>
      <c r="C417" s="32">
        <v>49110</v>
      </c>
      <c r="D417" s="32" t="s">
        <v>87</v>
      </c>
      <c r="E4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" spans="1:6" x14ac:dyDescent="0.35">
      <c r="A418" s="3">
        <v>76401997823</v>
      </c>
      <c r="B418" s="3">
        <v>294</v>
      </c>
      <c r="C418" s="32">
        <v>49110</v>
      </c>
      <c r="D418" s="32" t="s">
        <v>87</v>
      </c>
      <c r="E4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" spans="1:6" x14ac:dyDescent="0.35">
      <c r="A419" s="3">
        <v>71800294026</v>
      </c>
      <c r="B419" s="3">
        <v>296</v>
      </c>
      <c r="C419" s="32">
        <v>49110</v>
      </c>
      <c r="D419" s="32" t="s">
        <v>87</v>
      </c>
      <c r="E4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" spans="1:6" x14ac:dyDescent="0.35">
      <c r="A420" s="3">
        <v>38232664367</v>
      </c>
      <c r="B420" s="3">
        <v>302</v>
      </c>
      <c r="C420" s="32">
        <v>49110</v>
      </c>
      <c r="D420" s="32" t="s">
        <v>87</v>
      </c>
      <c r="E4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" spans="1:6" x14ac:dyDescent="0.35">
      <c r="A421" s="3">
        <v>28245004359</v>
      </c>
      <c r="B421" s="3">
        <v>309</v>
      </c>
      <c r="C421" s="32">
        <v>49110</v>
      </c>
      <c r="D421" s="32">
        <v>49114</v>
      </c>
      <c r="E4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422" spans="1:6" x14ac:dyDescent="0.35">
      <c r="A422" s="3">
        <v>94582652645</v>
      </c>
      <c r="B422" s="3">
        <v>312</v>
      </c>
      <c r="C422" s="32">
        <v>49110</v>
      </c>
      <c r="D422" s="32" t="s">
        <v>87</v>
      </c>
      <c r="E4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" spans="1:6" x14ac:dyDescent="0.35">
      <c r="A423" s="3">
        <v>90594514381</v>
      </c>
      <c r="B423" s="3">
        <v>329</v>
      </c>
      <c r="C423" s="32">
        <v>49110</v>
      </c>
      <c r="D423" s="32" t="s">
        <v>87</v>
      </c>
      <c r="E4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" spans="1:6" x14ac:dyDescent="0.35">
      <c r="A424" s="3">
        <v>42177960497</v>
      </c>
      <c r="B424" s="3">
        <v>0</v>
      </c>
      <c r="C424" s="32">
        <v>49111</v>
      </c>
      <c r="D424" s="32" t="s">
        <v>87</v>
      </c>
      <c r="E4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" spans="1:6" x14ac:dyDescent="0.35">
      <c r="A425" s="3">
        <v>90172708129</v>
      </c>
      <c r="B425" s="3">
        <v>1</v>
      </c>
      <c r="C425" s="32">
        <v>49111</v>
      </c>
      <c r="D425" s="32" t="s">
        <v>87</v>
      </c>
      <c r="E4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" spans="1:6" x14ac:dyDescent="0.35">
      <c r="A426" s="3">
        <v>82823223669</v>
      </c>
      <c r="B426" s="3">
        <v>14</v>
      </c>
      <c r="C426" s="32">
        <v>49111</v>
      </c>
      <c r="D426" s="32" t="s">
        <v>87</v>
      </c>
      <c r="E4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" spans="1:6" x14ac:dyDescent="0.35">
      <c r="A427" s="3">
        <v>91635176733</v>
      </c>
      <c r="B427" s="3">
        <v>17</v>
      </c>
      <c r="C427" s="32">
        <v>49111</v>
      </c>
      <c r="D427" s="32">
        <v>49226</v>
      </c>
      <c r="E4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428" spans="1:6" x14ac:dyDescent="0.35">
      <c r="A428" s="3">
        <v>59578824729</v>
      </c>
      <c r="B428" s="3">
        <v>27</v>
      </c>
      <c r="C428" s="32">
        <v>49111</v>
      </c>
      <c r="D428" s="32">
        <v>49114</v>
      </c>
      <c r="E4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429" spans="1:6" x14ac:dyDescent="0.35">
      <c r="A429" s="3">
        <v>72844856800</v>
      </c>
      <c r="B429" s="3">
        <v>31</v>
      </c>
      <c r="C429" s="32">
        <v>49111</v>
      </c>
      <c r="D429" s="32" t="s">
        <v>87</v>
      </c>
      <c r="E4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" spans="1:6" x14ac:dyDescent="0.35">
      <c r="A430" s="3">
        <v>33374171050</v>
      </c>
      <c r="B430" s="3">
        <v>38</v>
      </c>
      <c r="C430" s="32">
        <v>49111</v>
      </c>
      <c r="D430" s="32" t="s">
        <v>87</v>
      </c>
      <c r="E4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" spans="1:6" x14ac:dyDescent="0.35">
      <c r="A431" s="3">
        <v>92609295034</v>
      </c>
      <c r="B431" s="3">
        <v>59</v>
      </c>
      <c r="C431" s="32">
        <v>49111</v>
      </c>
      <c r="D431" s="32"/>
      <c r="E4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" spans="1:6" x14ac:dyDescent="0.35">
      <c r="A432" s="3">
        <v>71637818176</v>
      </c>
      <c r="B432" s="3">
        <v>82</v>
      </c>
      <c r="C432" s="32">
        <v>49111</v>
      </c>
      <c r="D432" s="32">
        <v>49153</v>
      </c>
      <c r="E4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433" spans="1:6" x14ac:dyDescent="0.35">
      <c r="A433" s="3">
        <v>55516996293</v>
      </c>
      <c r="B433" s="3">
        <v>85</v>
      </c>
      <c r="C433" s="32">
        <v>49111</v>
      </c>
      <c r="D433" s="32" t="s">
        <v>87</v>
      </c>
      <c r="E4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" spans="1:6" x14ac:dyDescent="0.35">
      <c r="A434" s="3">
        <v>68357200302</v>
      </c>
      <c r="B434" s="3">
        <v>93</v>
      </c>
      <c r="C434" s="32">
        <v>49111</v>
      </c>
      <c r="D434" s="32" t="s">
        <v>87</v>
      </c>
      <c r="E4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" spans="1:6" x14ac:dyDescent="0.35">
      <c r="A435" s="3">
        <v>45877587505</v>
      </c>
      <c r="B435" s="3">
        <v>97</v>
      </c>
      <c r="C435" s="32">
        <v>49111</v>
      </c>
      <c r="D435" s="32" t="s">
        <v>87</v>
      </c>
      <c r="E4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" spans="1:6" x14ac:dyDescent="0.35">
      <c r="A436" s="3">
        <v>40373828439</v>
      </c>
      <c r="B436" s="3">
        <v>100</v>
      </c>
      <c r="C436" s="32">
        <v>49111</v>
      </c>
      <c r="D436" s="32" t="s">
        <v>87</v>
      </c>
      <c r="E4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" spans="1:6" x14ac:dyDescent="0.35">
      <c r="A437" s="3">
        <v>43313905300</v>
      </c>
      <c r="B437" s="3">
        <v>101</v>
      </c>
      <c r="C437" s="32">
        <v>49111</v>
      </c>
      <c r="D437" s="32" t="s">
        <v>87</v>
      </c>
      <c r="E4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8" spans="1:6" x14ac:dyDescent="0.35">
      <c r="A438" s="3">
        <v>30261884560</v>
      </c>
      <c r="B438" s="3">
        <v>112</v>
      </c>
      <c r="C438" s="32">
        <v>49111</v>
      </c>
      <c r="D438" s="32" t="s">
        <v>87</v>
      </c>
      <c r="E4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" spans="1:6" x14ac:dyDescent="0.35">
      <c r="A439" s="3">
        <v>28228148696</v>
      </c>
      <c r="B439" s="3">
        <v>117</v>
      </c>
      <c r="C439" s="32">
        <v>49111</v>
      </c>
      <c r="D439" s="32" t="s">
        <v>87</v>
      </c>
      <c r="E4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" spans="1:6" x14ac:dyDescent="0.35">
      <c r="A440" s="3">
        <v>70914499125</v>
      </c>
      <c r="B440" s="3">
        <v>123</v>
      </c>
      <c r="C440" s="32">
        <v>49111</v>
      </c>
      <c r="D440" s="32"/>
      <c r="E4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" spans="1:6" x14ac:dyDescent="0.35">
      <c r="A441" s="3">
        <v>13837900546</v>
      </c>
      <c r="B441" s="3">
        <v>145</v>
      </c>
      <c r="C441" s="32">
        <v>49111</v>
      </c>
      <c r="D441" s="32"/>
      <c r="E4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" spans="1:6" x14ac:dyDescent="0.35">
      <c r="A442" s="3">
        <v>67861617550</v>
      </c>
      <c r="B442" s="3">
        <v>163</v>
      </c>
      <c r="C442" s="32">
        <v>49111</v>
      </c>
      <c r="D442" s="32"/>
      <c r="E4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" spans="1:6" x14ac:dyDescent="0.35">
      <c r="A443" s="3">
        <v>20617472291</v>
      </c>
      <c r="B443" s="3">
        <v>170</v>
      </c>
      <c r="C443" s="32">
        <v>49111</v>
      </c>
      <c r="D443" s="32"/>
      <c r="E4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" spans="1:6" x14ac:dyDescent="0.35">
      <c r="A444" s="3">
        <v>98904237154</v>
      </c>
      <c r="B444" s="3">
        <v>171</v>
      </c>
      <c r="C444" s="32">
        <v>49111</v>
      </c>
      <c r="D444" s="32" t="s">
        <v>87</v>
      </c>
      <c r="E4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" spans="1:6" x14ac:dyDescent="0.35">
      <c r="A445" s="3">
        <v>15147549330</v>
      </c>
      <c r="B445" s="3">
        <v>182</v>
      </c>
      <c r="C445" s="32">
        <v>49111</v>
      </c>
      <c r="D445" s="32" t="s">
        <v>87</v>
      </c>
      <c r="E4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" spans="1:6" x14ac:dyDescent="0.35">
      <c r="A446" s="3">
        <v>82677957921</v>
      </c>
      <c r="B446" s="3">
        <v>188</v>
      </c>
      <c r="C446" s="32">
        <v>49111</v>
      </c>
      <c r="D446" s="32">
        <v>49146</v>
      </c>
      <c r="E4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447" spans="1:6" x14ac:dyDescent="0.35">
      <c r="A447" s="3">
        <v>48392889827</v>
      </c>
      <c r="B447" s="3">
        <v>211</v>
      </c>
      <c r="C447" s="32">
        <v>49111</v>
      </c>
      <c r="D447" s="32" t="s">
        <v>87</v>
      </c>
      <c r="E4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" spans="1:6" x14ac:dyDescent="0.35">
      <c r="A448" s="3">
        <v>60367710787</v>
      </c>
      <c r="B448" s="3">
        <v>216</v>
      </c>
      <c r="C448" s="32">
        <v>49111</v>
      </c>
      <c r="D448" s="32" t="s">
        <v>87</v>
      </c>
      <c r="E4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" spans="1:6" x14ac:dyDescent="0.35">
      <c r="A449" s="3">
        <v>84564344704</v>
      </c>
      <c r="B449" s="3">
        <v>227</v>
      </c>
      <c r="C449" s="32">
        <v>49111</v>
      </c>
      <c r="D449" s="32" t="s">
        <v>87</v>
      </c>
      <c r="E4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" spans="1:6" x14ac:dyDescent="0.35">
      <c r="A450" s="3">
        <v>56534338989</v>
      </c>
      <c r="B450" s="3">
        <v>234</v>
      </c>
      <c r="C450" s="32">
        <v>49111</v>
      </c>
      <c r="D450" s="32">
        <v>49216</v>
      </c>
      <c r="E4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451" spans="1:6" x14ac:dyDescent="0.35">
      <c r="A451" s="3">
        <v>33895669976</v>
      </c>
      <c r="B451" s="3">
        <v>260</v>
      </c>
      <c r="C451" s="32">
        <v>49111</v>
      </c>
      <c r="D451" s="32">
        <v>49118</v>
      </c>
      <c r="E4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452" spans="1:6" x14ac:dyDescent="0.35">
      <c r="A452" s="3">
        <v>99259593938</v>
      </c>
      <c r="B452" s="3">
        <v>283</v>
      </c>
      <c r="C452" s="32">
        <v>49111</v>
      </c>
      <c r="D452" s="32" t="s">
        <v>87</v>
      </c>
      <c r="E4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" spans="1:6" x14ac:dyDescent="0.35">
      <c r="A453" s="3">
        <v>14886303279</v>
      </c>
      <c r="B453" s="3">
        <v>288</v>
      </c>
      <c r="C453" s="32">
        <v>49111</v>
      </c>
      <c r="D453" s="32" t="s">
        <v>87</v>
      </c>
      <c r="E4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" spans="1:6" x14ac:dyDescent="0.35">
      <c r="A454" s="3">
        <v>25868700504</v>
      </c>
      <c r="B454" s="3">
        <v>289</v>
      </c>
      <c r="C454" s="32">
        <v>49111</v>
      </c>
      <c r="D454" s="32" t="s">
        <v>87</v>
      </c>
      <c r="E4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" spans="1:6" x14ac:dyDescent="0.35">
      <c r="A455" s="3">
        <v>96741561672</v>
      </c>
      <c r="B455" s="3">
        <v>293</v>
      </c>
      <c r="C455" s="32">
        <v>49111</v>
      </c>
      <c r="D455" s="32" t="s">
        <v>87</v>
      </c>
      <c r="E4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" spans="1:6" x14ac:dyDescent="0.35">
      <c r="A456" s="3">
        <v>76015109882</v>
      </c>
      <c r="B456" s="3">
        <v>302</v>
      </c>
      <c r="C456" s="32">
        <v>49111</v>
      </c>
      <c r="D456" s="32" t="s">
        <v>87</v>
      </c>
      <c r="E4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" spans="1:6" x14ac:dyDescent="0.35">
      <c r="A457" s="3">
        <v>32896332847</v>
      </c>
      <c r="B457" s="3">
        <v>314</v>
      </c>
      <c r="C457" s="32">
        <v>49111</v>
      </c>
      <c r="D457" s="32" t="s">
        <v>87</v>
      </c>
      <c r="E4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" spans="1:6" x14ac:dyDescent="0.35">
      <c r="A458" s="3">
        <v>22287226570</v>
      </c>
      <c r="B458" s="3">
        <v>319</v>
      </c>
      <c r="C458" s="32">
        <v>49111</v>
      </c>
      <c r="D458" s="32" t="s">
        <v>87</v>
      </c>
      <c r="E4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" spans="1:6" x14ac:dyDescent="0.35">
      <c r="A459" s="3">
        <v>55805365270</v>
      </c>
      <c r="B459" s="3">
        <v>336</v>
      </c>
      <c r="C459" s="32">
        <v>49111</v>
      </c>
      <c r="D459" s="32" t="s">
        <v>87</v>
      </c>
      <c r="E4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" spans="1:6" x14ac:dyDescent="0.35">
      <c r="A460" s="3">
        <v>29053710284</v>
      </c>
      <c r="B460" s="3">
        <v>2</v>
      </c>
      <c r="C460" s="32">
        <v>49112</v>
      </c>
      <c r="D460" s="32">
        <v>49143</v>
      </c>
      <c r="E4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461" spans="1:6" x14ac:dyDescent="0.35">
      <c r="A461" s="3">
        <v>26937759469</v>
      </c>
      <c r="B461" s="3">
        <v>19</v>
      </c>
      <c r="C461" s="32">
        <v>49112</v>
      </c>
      <c r="D461" s="32" t="s">
        <v>87</v>
      </c>
      <c r="E4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" spans="1:6" x14ac:dyDescent="0.35">
      <c r="A462" s="3">
        <v>80666822686</v>
      </c>
      <c r="B462" s="3">
        <v>46</v>
      </c>
      <c r="C462" s="32">
        <v>49112</v>
      </c>
      <c r="D462" s="32" t="s">
        <v>87</v>
      </c>
      <c r="E4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" spans="1:6" x14ac:dyDescent="0.35">
      <c r="A463" s="3">
        <v>79951220624</v>
      </c>
      <c r="B463" s="3">
        <v>59</v>
      </c>
      <c r="C463" s="32">
        <v>49112</v>
      </c>
      <c r="D463" s="32" t="s">
        <v>87</v>
      </c>
      <c r="E4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" spans="1:6" x14ac:dyDescent="0.35">
      <c r="A464" s="3">
        <v>79518651477</v>
      </c>
      <c r="B464" s="3">
        <v>68</v>
      </c>
      <c r="C464" s="32">
        <v>49112</v>
      </c>
      <c r="D464" s="32">
        <v>49159</v>
      </c>
      <c r="E4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465" spans="1:6" x14ac:dyDescent="0.35">
      <c r="A465" s="3">
        <v>39063667492</v>
      </c>
      <c r="B465" s="3">
        <v>72</v>
      </c>
      <c r="C465" s="32">
        <v>49112</v>
      </c>
      <c r="D465" s="32" t="s">
        <v>87</v>
      </c>
      <c r="E4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" spans="1:6" x14ac:dyDescent="0.35">
      <c r="A466" s="3">
        <v>96408294656</v>
      </c>
      <c r="B466" s="3">
        <v>75</v>
      </c>
      <c r="C466" s="32">
        <v>49112</v>
      </c>
      <c r="D466" s="32" t="s">
        <v>87</v>
      </c>
      <c r="E4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" spans="1:6" x14ac:dyDescent="0.35">
      <c r="A467" s="3">
        <v>26541229834</v>
      </c>
      <c r="B467" s="3">
        <v>78</v>
      </c>
      <c r="C467" s="32">
        <v>49112</v>
      </c>
      <c r="D467" s="32" t="s">
        <v>87</v>
      </c>
      <c r="E4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" spans="1:6" x14ac:dyDescent="0.35">
      <c r="A468" s="3">
        <v>64342206206</v>
      </c>
      <c r="B468" s="3">
        <v>99</v>
      </c>
      <c r="C468" s="32">
        <v>49112</v>
      </c>
      <c r="D468" s="32" t="s">
        <v>87</v>
      </c>
      <c r="E4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" spans="1:6" x14ac:dyDescent="0.35">
      <c r="A469" s="3">
        <v>19457902114</v>
      </c>
      <c r="B469" s="3">
        <v>101</v>
      </c>
      <c r="C469" s="32">
        <v>49112</v>
      </c>
      <c r="D469" s="32" t="s">
        <v>87</v>
      </c>
      <c r="E4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" spans="1:6" x14ac:dyDescent="0.35">
      <c r="A470" s="3">
        <v>19709471953</v>
      </c>
      <c r="B470" s="3">
        <v>115</v>
      </c>
      <c r="C470" s="32">
        <v>49112</v>
      </c>
      <c r="D470" s="32">
        <v>49194</v>
      </c>
      <c r="E4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471" spans="1:6" x14ac:dyDescent="0.35">
      <c r="A471" s="3">
        <v>95384100713</v>
      </c>
      <c r="B471" s="3">
        <v>117</v>
      </c>
      <c r="C471" s="32">
        <v>49112</v>
      </c>
      <c r="D471" s="32">
        <v>49176</v>
      </c>
      <c r="E4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472" spans="1:6" x14ac:dyDescent="0.35">
      <c r="A472" s="3">
        <v>60562837550</v>
      </c>
      <c r="B472" s="3">
        <v>126</v>
      </c>
      <c r="C472" s="32">
        <v>49112</v>
      </c>
      <c r="D472" s="32" t="s">
        <v>87</v>
      </c>
      <c r="E4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" spans="1:6" x14ac:dyDescent="0.35">
      <c r="A473" s="3">
        <v>98328218258</v>
      </c>
      <c r="B473" s="3">
        <v>133</v>
      </c>
      <c r="C473" s="32">
        <v>49112</v>
      </c>
      <c r="D473" s="32" t="s">
        <v>87</v>
      </c>
      <c r="E4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" spans="1:6" x14ac:dyDescent="0.35">
      <c r="A474" s="3">
        <v>20391415814</v>
      </c>
      <c r="B474" s="3">
        <v>164</v>
      </c>
      <c r="C474" s="32">
        <v>49112</v>
      </c>
      <c r="D474" s="32" t="s">
        <v>87</v>
      </c>
      <c r="E4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" spans="1:6" x14ac:dyDescent="0.35">
      <c r="A475" s="3">
        <v>57811364146</v>
      </c>
      <c r="B475" s="3">
        <v>166</v>
      </c>
      <c r="C475" s="32">
        <v>49112</v>
      </c>
      <c r="D475" s="32" t="s">
        <v>87</v>
      </c>
      <c r="E4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" spans="1:6" x14ac:dyDescent="0.35">
      <c r="A476" s="3">
        <v>15584073123</v>
      </c>
      <c r="B476" s="3">
        <v>167</v>
      </c>
      <c r="C476" s="32">
        <v>49112</v>
      </c>
      <c r="D476" s="32">
        <v>49194</v>
      </c>
      <c r="E4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477" spans="1:6" x14ac:dyDescent="0.35">
      <c r="A477" s="3">
        <v>71790035042</v>
      </c>
      <c r="B477" s="3">
        <v>182</v>
      </c>
      <c r="C477" s="32">
        <v>49112</v>
      </c>
      <c r="D477" s="32">
        <v>49197</v>
      </c>
      <c r="E4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478" spans="1:6" x14ac:dyDescent="0.35">
      <c r="A478" s="3">
        <v>14496157112</v>
      </c>
      <c r="B478" s="3">
        <v>212</v>
      </c>
      <c r="C478" s="32">
        <v>49112</v>
      </c>
      <c r="D478" s="32" t="s">
        <v>87</v>
      </c>
      <c r="E4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" spans="1:6" x14ac:dyDescent="0.35">
      <c r="A479" s="3">
        <v>82375358875</v>
      </c>
      <c r="B479" s="3">
        <v>242</v>
      </c>
      <c r="C479" s="32">
        <v>49112</v>
      </c>
      <c r="D479" s="32"/>
      <c r="E4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" spans="1:6" x14ac:dyDescent="0.35">
      <c r="A480" s="3">
        <v>37615059784</v>
      </c>
      <c r="B480" s="3">
        <v>254</v>
      </c>
      <c r="C480" s="32">
        <v>49112</v>
      </c>
      <c r="D480" s="32" t="s">
        <v>87</v>
      </c>
      <c r="E4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" spans="1:6" x14ac:dyDescent="0.35">
      <c r="A481" s="3">
        <v>50111933896</v>
      </c>
      <c r="B481" s="3">
        <v>261</v>
      </c>
      <c r="C481" s="32">
        <v>49112</v>
      </c>
      <c r="D481" s="32" t="s">
        <v>87</v>
      </c>
      <c r="E4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" spans="1:6" x14ac:dyDescent="0.35">
      <c r="A482" s="3">
        <v>89659478147</v>
      </c>
      <c r="B482" s="3">
        <v>263</v>
      </c>
      <c r="C482" s="32">
        <v>49112</v>
      </c>
      <c r="D482" s="32" t="s">
        <v>87</v>
      </c>
      <c r="E4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" spans="1:6" x14ac:dyDescent="0.35">
      <c r="A483" s="3">
        <v>57478701962</v>
      </c>
      <c r="B483" s="3">
        <v>267</v>
      </c>
      <c r="C483" s="32">
        <v>49112</v>
      </c>
      <c r="D483" s="32" t="s">
        <v>87</v>
      </c>
      <c r="E4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" spans="1:6" x14ac:dyDescent="0.35">
      <c r="A484" s="3">
        <v>33924049001</v>
      </c>
      <c r="B484" s="3">
        <v>287</v>
      </c>
      <c r="C484" s="32">
        <v>49112</v>
      </c>
      <c r="D484" s="32" t="s">
        <v>87</v>
      </c>
      <c r="E4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" spans="1:6" x14ac:dyDescent="0.35">
      <c r="A485" s="3">
        <v>79890296508</v>
      </c>
      <c r="B485" s="3">
        <v>318</v>
      </c>
      <c r="C485" s="32">
        <v>49112</v>
      </c>
      <c r="D485" s="32"/>
      <c r="E4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" spans="1:6" x14ac:dyDescent="0.35">
      <c r="A486" s="3">
        <v>66637127658</v>
      </c>
      <c r="B486" s="3">
        <v>323</v>
      </c>
      <c r="C486" s="32">
        <v>49112</v>
      </c>
      <c r="D486" s="32" t="s">
        <v>87</v>
      </c>
      <c r="E4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" spans="1:6" x14ac:dyDescent="0.35">
      <c r="A487" s="3">
        <v>55744140421</v>
      </c>
      <c r="B487" s="3">
        <v>336</v>
      </c>
      <c r="C487" s="32">
        <v>49112</v>
      </c>
      <c r="D487" s="32">
        <v>49145</v>
      </c>
      <c r="E4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488" spans="1:6" x14ac:dyDescent="0.35">
      <c r="A488" s="3">
        <v>32186038644</v>
      </c>
      <c r="B488" s="3">
        <v>338</v>
      </c>
      <c r="C488" s="32">
        <v>49112</v>
      </c>
      <c r="D488" s="32" t="s">
        <v>87</v>
      </c>
      <c r="E4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" spans="1:6" x14ac:dyDescent="0.35">
      <c r="A489" s="3">
        <v>51571927888</v>
      </c>
      <c r="B489" s="3">
        <v>6</v>
      </c>
      <c r="C489" s="32">
        <v>49113</v>
      </c>
      <c r="D489" s="32" t="s">
        <v>87</v>
      </c>
      <c r="E4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" spans="1:6" x14ac:dyDescent="0.35">
      <c r="A490" s="3">
        <v>54943287429</v>
      </c>
      <c r="B490" s="3">
        <v>6</v>
      </c>
      <c r="C490" s="32">
        <v>49113</v>
      </c>
      <c r="D490" s="32" t="s">
        <v>87</v>
      </c>
      <c r="E4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" spans="1:6" x14ac:dyDescent="0.35">
      <c r="A491" s="3">
        <v>26076092469</v>
      </c>
      <c r="B491" s="3">
        <v>12</v>
      </c>
      <c r="C491" s="32">
        <v>49113</v>
      </c>
      <c r="D491" s="32" t="s">
        <v>87</v>
      </c>
      <c r="E4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" spans="1:6" x14ac:dyDescent="0.35">
      <c r="A492" s="3">
        <v>27319559740</v>
      </c>
      <c r="B492" s="3">
        <v>25</v>
      </c>
      <c r="C492" s="32">
        <v>49113</v>
      </c>
      <c r="D492" s="32" t="s">
        <v>87</v>
      </c>
      <c r="E4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" spans="1:6" x14ac:dyDescent="0.35">
      <c r="A493" s="3">
        <v>53972951404</v>
      </c>
      <c r="B493" s="3">
        <v>32</v>
      </c>
      <c r="C493" s="32">
        <v>49113</v>
      </c>
      <c r="D493" s="32" t="s">
        <v>87</v>
      </c>
      <c r="E4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" spans="1:6" x14ac:dyDescent="0.35">
      <c r="A494" s="3">
        <v>59313825847</v>
      </c>
      <c r="B494" s="3">
        <v>34</v>
      </c>
      <c r="C494" s="32">
        <v>49113</v>
      </c>
      <c r="D494" s="32">
        <v>49226</v>
      </c>
      <c r="E4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495" spans="1:6" x14ac:dyDescent="0.35">
      <c r="A495" s="3">
        <v>16310796902</v>
      </c>
      <c r="B495" s="3">
        <v>37</v>
      </c>
      <c r="C495" s="32">
        <v>49113</v>
      </c>
      <c r="D495" s="32" t="s">
        <v>87</v>
      </c>
      <c r="E4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" spans="1:6" x14ac:dyDescent="0.35">
      <c r="A496" s="3">
        <v>31133701444</v>
      </c>
      <c r="B496" s="3">
        <v>41</v>
      </c>
      <c r="C496" s="32">
        <v>49113</v>
      </c>
      <c r="D496" s="32" t="s">
        <v>87</v>
      </c>
      <c r="E4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" spans="1:6" x14ac:dyDescent="0.35">
      <c r="A497" s="3">
        <v>92939296722</v>
      </c>
      <c r="B497" s="3">
        <v>49</v>
      </c>
      <c r="C497" s="32">
        <v>49113</v>
      </c>
      <c r="D497" s="32" t="s">
        <v>87</v>
      </c>
      <c r="E4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" spans="1:6" x14ac:dyDescent="0.35">
      <c r="A498" s="3">
        <v>93570663098</v>
      </c>
      <c r="B498" s="3">
        <v>66</v>
      </c>
      <c r="C498" s="32">
        <v>49113</v>
      </c>
      <c r="D498" s="32">
        <v>49202</v>
      </c>
      <c r="E4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499" spans="1:6" x14ac:dyDescent="0.35">
      <c r="A499" s="3">
        <v>27012250743</v>
      </c>
      <c r="B499" s="3">
        <v>70</v>
      </c>
      <c r="C499" s="32">
        <v>49113</v>
      </c>
      <c r="D499" s="32" t="s">
        <v>87</v>
      </c>
      <c r="E4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" spans="1:6" x14ac:dyDescent="0.35">
      <c r="A500" s="3">
        <v>68579618516</v>
      </c>
      <c r="B500" s="3">
        <v>74</v>
      </c>
      <c r="C500" s="32">
        <v>49113</v>
      </c>
      <c r="D500" s="32" t="s">
        <v>87</v>
      </c>
      <c r="E5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" spans="1:6" x14ac:dyDescent="0.35">
      <c r="A501" s="3">
        <v>41270542524</v>
      </c>
      <c r="B501" s="3">
        <v>82</v>
      </c>
      <c r="C501" s="32">
        <v>49113</v>
      </c>
      <c r="D501" s="32">
        <v>49117</v>
      </c>
      <c r="E5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502" spans="1:6" x14ac:dyDescent="0.35">
      <c r="A502" s="3">
        <v>57522391455</v>
      </c>
      <c r="B502" s="3">
        <v>111</v>
      </c>
      <c r="C502" s="32">
        <v>49113</v>
      </c>
      <c r="D502" s="32" t="s">
        <v>87</v>
      </c>
      <c r="E5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" spans="1:6" x14ac:dyDescent="0.35">
      <c r="A503" s="3">
        <v>19552202403</v>
      </c>
      <c r="B503" s="3">
        <v>115</v>
      </c>
      <c r="C503" s="32">
        <v>49113</v>
      </c>
      <c r="D503" s="32" t="s">
        <v>87</v>
      </c>
      <c r="E5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" spans="1:6" x14ac:dyDescent="0.35">
      <c r="A504" s="3">
        <v>54958394059</v>
      </c>
      <c r="B504" s="3">
        <v>119</v>
      </c>
      <c r="C504" s="32">
        <v>49113</v>
      </c>
      <c r="D504" s="32" t="s">
        <v>87</v>
      </c>
      <c r="E5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" spans="1:6" x14ac:dyDescent="0.35">
      <c r="A505" s="3">
        <v>47422543382</v>
      </c>
      <c r="B505" s="3">
        <v>136</v>
      </c>
      <c r="C505" s="32">
        <v>49113</v>
      </c>
      <c r="D505" s="32" t="s">
        <v>87</v>
      </c>
      <c r="E5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" spans="1:6" x14ac:dyDescent="0.35">
      <c r="A506" s="3">
        <v>17330372728</v>
      </c>
      <c r="B506" s="3">
        <v>139</v>
      </c>
      <c r="C506" s="32">
        <v>49113</v>
      </c>
      <c r="D506" s="32"/>
      <c r="E5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" spans="1:6" x14ac:dyDescent="0.35">
      <c r="A507" s="3">
        <v>26364072676</v>
      </c>
      <c r="B507" s="3">
        <v>152</v>
      </c>
      <c r="C507" s="32">
        <v>49113</v>
      </c>
      <c r="D507" s="32">
        <v>49115</v>
      </c>
      <c r="E5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508" spans="1:6" x14ac:dyDescent="0.35">
      <c r="A508" s="3">
        <v>97453667148</v>
      </c>
      <c r="B508" s="3">
        <v>160</v>
      </c>
      <c r="C508" s="32">
        <v>49113</v>
      </c>
      <c r="D508" s="32">
        <v>49161</v>
      </c>
      <c r="E5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09" spans="1:6" x14ac:dyDescent="0.35">
      <c r="A509" s="3">
        <v>52156239337</v>
      </c>
      <c r="B509" s="3">
        <v>172</v>
      </c>
      <c r="C509" s="32">
        <v>49113</v>
      </c>
      <c r="D509" s="32"/>
      <c r="E5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" spans="1:6" x14ac:dyDescent="0.35">
      <c r="A510" s="3">
        <v>94172228074</v>
      </c>
      <c r="B510" s="3">
        <v>175</v>
      </c>
      <c r="C510" s="32">
        <v>49113</v>
      </c>
      <c r="D510" s="32" t="s">
        <v>87</v>
      </c>
      <c r="E5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" spans="1:6" x14ac:dyDescent="0.35">
      <c r="A511" s="3">
        <v>70422717645</v>
      </c>
      <c r="B511" s="3">
        <v>182</v>
      </c>
      <c r="C511" s="32">
        <v>49113</v>
      </c>
      <c r="D511" s="32" t="s">
        <v>87</v>
      </c>
      <c r="E5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" spans="1:6" x14ac:dyDescent="0.35">
      <c r="A512" s="3">
        <v>82975611764</v>
      </c>
      <c r="B512" s="3">
        <v>184</v>
      </c>
      <c r="C512" s="32">
        <v>49113</v>
      </c>
      <c r="D512" s="32">
        <v>49175</v>
      </c>
      <c r="E5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13" spans="1:6" x14ac:dyDescent="0.35">
      <c r="A513" s="3">
        <v>84420140412</v>
      </c>
      <c r="B513" s="3">
        <v>201</v>
      </c>
      <c r="C513" s="32">
        <v>49113</v>
      </c>
      <c r="D513" s="32"/>
      <c r="E5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" spans="1:6" x14ac:dyDescent="0.35">
      <c r="A514" s="3">
        <v>46686471524</v>
      </c>
      <c r="B514" s="3">
        <v>205</v>
      </c>
      <c r="C514" s="32">
        <v>49113</v>
      </c>
      <c r="D514" s="32" t="s">
        <v>87</v>
      </c>
      <c r="E5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" spans="1:6" x14ac:dyDescent="0.35">
      <c r="A515" s="3">
        <v>89788551641</v>
      </c>
      <c r="B515" s="3">
        <v>211</v>
      </c>
      <c r="C515" s="32">
        <v>49113</v>
      </c>
      <c r="D515" s="32">
        <v>49228</v>
      </c>
      <c r="E5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516" spans="1:6" x14ac:dyDescent="0.35">
      <c r="A516" s="3">
        <v>55717030250</v>
      </c>
      <c r="B516" s="3">
        <v>242</v>
      </c>
      <c r="C516" s="32">
        <v>49113</v>
      </c>
      <c r="D516" s="32" t="s">
        <v>87</v>
      </c>
      <c r="E5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" spans="1:6" x14ac:dyDescent="0.35">
      <c r="A517" s="3">
        <v>18131363500</v>
      </c>
      <c r="B517" s="3">
        <v>253</v>
      </c>
      <c r="C517" s="32">
        <v>49113</v>
      </c>
      <c r="D517" s="32" t="s">
        <v>87</v>
      </c>
      <c r="E5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" spans="1:6" x14ac:dyDescent="0.35">
      <c r="A518" s="3">
        <v>32529627066</v>
      </c>
      <c r="B518" s="3">
        <v>315</v>
      </c>
      <c r="C518" s="32">
        <v>49113</v>
      </c>
      <c r="D518" s="32">
        <v>49188</v>
      </c>
      <c r="E5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19" spans="1:6" x14ac:dyDescent="0.35">
      <c r="A519" s="3">
        <v>45475720449</v>
      </c>
      <c r="B519" s="3">
        <v>315</v>
      </c>
      <c r="C519" s="32">
        <v>49113</v>
      </c>
      <c r="D519" s="32"/>
      <c r="E5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" spans="1:6" x14ac:dyDescent="0.35">
      <c r="A520" s="3">
        <v>99946487496</v>
      </c>
      <c r="B520" s="3">
        <v>326</v>
      </c>
      <c r="C520" s="32">
        <v>49113</v>
      </c>
      <c r="D520" s="32" t="s">
        <v>87</v>
      </c>
      <c r="E5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" spans="1:6" x14ac:dyDescent="0.35">
      <c r="A521" s="3">
        <v>81791155637</v>
      </c>
      <c r="B521" s="3">
        <v>334</v>
      </c>
      <c r="C521" s="32">
        <v>49113</v>
      </c>
      <c r="D521" s="32" t="s">
        <v>87</v>
      </c>
      <c r="E5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" spans="1:6" x14ac:dyDescent="0.35">
      <c r="A522" s="3">
        <v>32537063791</v>
      </c>
      <c r="B522" s="3">
        <v>339</v>
      </c>
      <c r="C522" s="32">
        <v>49113</v>
      </c>
      <c r="D522" s="32" t="s">
        <v>87</v>
      </c>
      <c r="E5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" spans="1:6" x14ac:dyDescent="0.35">
      <c r="A523" s="3">
        <v>96334428002</v>
      </c>
      <c r="B523" s="3">
        <v>26</v>
      </c>
      <c r="C523" s="32">
        <v>49114</v>
      </c>
      <c r="D523" s="32" t="s">
        <v>87</v>
      </c>
      <c r="E5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4" spans="1:6" x14ac:dyDescent="0.35">
      <c r="A524" s="3">
        <v>52641553572</v>
      </c>
      <c r="B524" s="3">
        <v>30</v>
      </c>
      <c r="C524" s="32">
        <v>49114</v>
      </c>
      <c r="D524" s="32" t="s">
        <v>87</v>
      </c>
      <c r="E5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" spans="1:6" x14ac:dyDescent="0.35">
      <c r="A525" s="3">
        <v>18606397329</v>
      </c>
      <c r="B525" s="3">
        <v>39</v>
      </c>
      <c r="C525" s="32">
        <v>49114</v>
      </c>
      <c r="D525" s="32"/>
      <c r="E5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" spans="1:6" x14ac:dyDescent="0.35">
      <c r="A526" s="3">
        <v>65724771311</v>
      </c>
      <c r="B526" s="3">
        <v>56</v>
      </c>
      <c r="C526" s="32">
        <v>49114</v>
      </c>
      <c r="D526" s="32">
        <v>49205</v>
      </c>
      <c r="E5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27" spans="1:6" x14ac:dyDescent="0.35">
      <c r="A527" s="3">
        <v>81993628410</v>
      </c>
      <c r="B527" s="3">
        <v>89</v>
      </c>
      <c r="C527" s="32">
        <v>49114</v>
      </c>
      <c r="D527" s="32" t="s">
        <v>87</v>
      </c>
      <c r="E5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" spans="1:6" x14ac:dyDescent="0.35">
      <c r="A528" s="3">
        <v>72580366602</v>
      </c>
      <c r="B528" s="3">
        <v>91</v>
      </c>
      <c r="C528" s="32">
        <v>49114</v>
      </c>
      <c r="D528" s="32"/>
      <c r="E5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" spans="1:6" x14ac:dyDescent="0.35">
      <c r="A529" s="3">
        <v>62731185872</v>
      </c>
      <c r="B529" s="3">
        <v>94</v>
      </c>
      <c r="C529" s="32">
        <v>49114</v>
      </c>
      <c r="D529" s="32">
        <v>49197</v>
      </c>
      <c r="E5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30" spans="1:6" x14ac:dyDescent="0.35">
      <c r="A530" s="3">
        <v>17255612685</v>
      </c>
      <c r="B530" s="3">
        <v>95</v>
      </c>
      <c r="C530" s="32">
        <v>49114</v>
      </c>
      <c r="D530" s="32">
        <v>49120</v>
      </c>
      <c r="E5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531" spans="1:6" x14ac:dyDescent="0.35">
      <c r="A531" s="3">
        <v>42338124468</v>
      </c>
      <c r="B531" s="3">
        <v>105</v>
      </c>
      <c r="C531" s="32">
        <v>49114</v>
      </c>
      <c r="D531" s="32"/>
      <c r="E5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" spans="1:6" x14ac:dyDescent="0.35">
      <c r="A532" s="3">
        <v>56800821837</v>
      </c>
      <c r="B532" s="3">
        <v>106</v>
      </c>
      <c r="C532" s="32">
        <v>49114</v>
      </c>
      <c r="D532" s="32" t="s">
        <v>87</v>
      </c>
      <c r="E5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" spans="1:6" x14ac:dyDescent="0.35">
      <c r="A533" s="3">
        <v>51668627840</v>
      </c>
      <c r="B533" s="3">
        <v>107</v>
      </c>
      <c r="C533" s="32">
        <v>49114</v>
      </c>
      <c r="D533" s="32" t="s">
        <v>87</v>
      </c>
      <c r="E5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" spans="1:6" x14ac:dyDescent="0.35">
      <c r="A534" s="3">
        <v>11566683365</v>
      </c>
      <c r="B534" s="3">
        <v>113</v>
      </c>
      <c r="C534" s="32">
        <v>49114</v>
      </c>
      <c r="D534" s="32">
        <v>49133</v>
      </c>
      <c r="E5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535" spans="1:6" x14ac:dyDescent="0.35">
      <c r="A535" s="3">
        <v>80614638749</v>
      </c>
      <c r="B535" s="3">
        <v>115</v>
      </c>
      <c r="C535" s="32">
        <v>49114</v>
      </c>
      <c r="D535" s="32" t="s">
        <v>87</v>
      </c>
      <c r="E5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" spans="1:6" x14ac:dyDescent="0.35">
      <c r="A536" s="3">
        <v>47030316689</v>
      </c>
      <c r="B536" s="3">
        <v>128</v>
      </c>
      <c r="C536" s="32">
        <v>49114</v>
      </c>
      <c r="D536" s="32" t="s">
        <v>87</v>
      </c>
      <c r="E5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" spans="1:6" x14ac:dyDescent="0.35">
      <c r="A537" s="3">
        <v>40762659999</v>
      </c>
      <c r="B537" s="3">
        <v>136</v>
      </c>
      <c r="C537" s="32">
        <v>49114</v>
      </c>
      <c r="D537" s="32">
        <v>49210</v>
      </c>
      <c r="E5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38" spans="1:6" x14ac:dyDescent="0.35">
      <c r="A538" s="3">
        <v>30462124470</v>
      </c>
      <c r="B538" s="3">
        <v>168</v>
      </c>
      <c r="C538" s="32">
        <v>49114</v>
      </c>
      <c r="D538" s="32" t="s">
        <v>87</v>
      </c>
      <c r="E5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" spans="1:6" x14ac:dyDescent="0.35">
      <c r="A539" s="3">
        <v>76901500760</v>
      </c>
      <c r="B539" s="3">
        <v>170</v>
      </c>
      <c r="C539" s="32">
        <v>49114</v>
      </c>
      <c r="D539" s="32">
        <v>49183</v>
      </c>
      <c r="E5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40" spans="1:6" x14ac:dyDescent="0.35">
      <c r="A540" s="3">
        <v>28981326032</v>
      </c>
      <c r="B540" s="3">
        <v>178</v>
      </c>
      <c r="C540" s="32">
        <v>49114</v>
      </c>
      <c r="D540" s="32">
        <v>49202</v>
      </c>
      <c r="E5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41" spans="1:6" x14ac:dyDescent="0.35">
      <c r="A541" s="3">
        <v>36287905745</v>
      </c>
      <c r="B541" s="3">
        <v>202</v>
      </c>
      <c r="C541" s="32">
        <v>49114</v>
      </c>
      <c r="D541" s="32" t="s">
        <v>87</v>
      </c>
      <c r="E5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" spans="1:6" x14ac:dyDescent="0.35">
      <c r="A542" s="3">
        <v>47569024479</v>
      </c>
      <c r="B542" s="3">
        <v>218</v>
      </c>
      <c r="C542" s="32">
        <v>49114</v>
      </c>
      <c r="D542" s="32" t="s">
        <v>87</v>
      </c>
      <c r="E5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" spans="1:6" x14ac:dyDescent="0.35">
      <c r="A543" s="3">
        <v>28959069513</v>
      </c>
      <c r="B543" s="3">
        <v>229</v>
      </c>
      <c r="C543" s="32">
        <v>49114</v>
      </c>
      <c r="D543" s="32">
        <v>49150</v>
      </c>
      <c r="E5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544" spans="1:6" x14ac:dyDescent="0.35">
      <c r="A544" s="3">
        <v>18816690077</v>
      </c>
      <c r="B544" s="3">
        <v>235</v>
      </c>
      <c r="C544" s="32">
        <v>49114</v>
      </c>
      <c r="D544" s="32" t="s">
        <v>87</v>
      </c>
      <c r="E5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" spans="1:6" x14ac:dyDescent="0.35">
      <c r="A545" s="3">
        <v>38798644576</v>
      </c>
      <c r="B545" s="3">
        <v>246</v>
      </c>
      <c r="C545" s="32">
        <v>49114</v>
      </c>
      <c r="D545" s="32" t="s">
        <v>87</v>
      </c>
      <c r="E5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" spans="1:6" x14ac:dyDescent="0.35">
      <c r="A546" s="3">
        <v>53400804477</v>
      </c>
      <c r="B546" s="3">
        <v>266</v>
      </c>
      <c r="C546" s="32">
        <v>49114</v>
      </c>
      <c r="D546" s="32" t="s">
        <v>87</v>
      </c>
      <c r="E5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" spans="1:6" x14ac:dyDescent="0.35">
      <c r="A547" s="3">
        <v>36591959460</v>
      </c>
      <c r="B547" s="3">
        <v>267</v>
      </c>
      <c r="C547" s="32">
        <v>49114</v>
      </c>
      <c r="D547" s="32" t="s">
        <v>87</v>
      </c>
      <c r="E5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" spans="1:6" x14ac:dyDescent="0.35">
      <c r="A548" s="3">
        <v>88235747253</v>
      </c>
      <c r="B548" s="3">
        <v>283</v>
      </c>
      <c r="C548" s="32">
        <v>49114</v>
      </c>
      <c r="D548" s="32"/>
      <c r="E5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" spans="1:6" x14ac:dyDescent="0.35">
      <c r="A549" s="3">
        <v>87658544110</v>
      </c>
      <c r="B549" s="3">
        <v>292</v>
      </c>
      <c r="C549" s="32">
        <v>49114</v>
      </c>
      <c r="D549" s="32" t="s">
        <v>87</v>
      </c>
      <c r="E5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" spans="1:6" x14ac:dyDescent="0.35">
      <c r="A550" s="3">
        <v>70866150095</v>
      </c>
      <c r="B550" s="3">
        <v>310</v>
      </c>
      <c r="C550" s="32">
        <v>49114</v>
      </c>
      <c r="D550" s="32" t="s">
        <v>87</v>
      </c>
      <c r="E5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" spans="1:6" x14ac:dyDescent="0.35">
      <c r="A551" s="3">
        <v>39947883773</v>
      </c>
      <c r="B551" s="3">
        <v>314</v>
      </c>
      <c r="C551" s="32">
        <v>49114</v>
      </c>
      <c r="D551" s="32" t="s">
        <v>87</v>
      </c>
      <c r="E5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" spans="1:6" x14ac:dyDescent="0.35">
      <c r="A552" s="3">
        <v>66639587660</v>
      </c>
      <c r="B552" s="3">
        <v>324</v>
      </c>
      <c r="C552" s="32">
        <v>49114</v>
      </c>
      <c r="D552" s="32">
        <v>49212</v>
      </c>
      <c r="E5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53" spans="1:6" x14ac:dyDescent="0.35">
      <c r="A553" s="3">
        <v>86085918906</v>
      </c>
      <c r="B553" s="3">
        <v>337</v>
      </c>
      <c r="C553" s="32">
        <v>49114</v>
      </c>
      <c r="D553" s="32">
        <v>49161</v>
      </c>
      <c r="E5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54" spans="1:6" x14ac:dyDescent="0.35">
      <c r="A554" s="3">
        <v>85337613206</v>
      </c>
      <c r="B554" s="3">
        <v>7</v>
      </c>
      <c r="C554" s="32">
        <v>49115</v>
      </c>
      <c r="D554" s="32">
        <v>49221</v>
      </c>
      <c r="E5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555" spans="1:6" x14ac:dyDescent="0.35">
      <c r="A555" s="3">
        <v>52856554284</v>
      </c>
      <c r="B555" s="3">
        <v>12</v>
      </c>
      <c r="C555" s="32">
        <v>49115</v>
      </c>
      <c r="D555" s="32" t="s">
        <v>87</v>
      </c>
      <c r="E5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" spans="1:6" x14ac:dyDescent="0.35">
      <c r="A556" s="3">
        <v>11142816321</v>
      </c>
      <c r="B556" s="3">
        <v>13</v>
      </c>
      <c r="C556" s="32">
        <v>49115</v>
      </c>
      <c r="D556" s="32">
        <v>49121</v>
      </c>
      <c r="E5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557" spans="1:6" x14ac:dyDescent="0.35">
      <c r="A557" s="3">
        <v>46323510362</v>
      </c>
      <c r="B557" s="3">
        <v>24</v>
      </c>
      <c r="C557" s="32">
        <v>49115</v>
      </c>
      <c r="D557" s="32" t="s">
        <v>87</v>
      </c>
      <c r="E5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" spans="1:6" x14ac:dyDescent="0.35">
      <c r="A558" s="3">
        <v>12071908303</v>
      </c>
      <c r="B558" s="3">
        <v>28</v>
      </c>
      <c r="C558" s="32">
        <v>49115</v>
      </c>
      <c r="D558" s="32">
        <v>49172</v>
      </c>
      <c r="E5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59" spans="1:6" x14ac:dyDescent="0.35">
      <c r="A559" s="3">
        <v>78991489127</v>
      </c>
      <c r="B559" s="3">
        <v>38</v>
      </c>
      <c r="C559" s="32">
        <v>49115</v>
      </c>
      <c r="D559" s="32" t="s">
        <v>87</v>
      </c>
      <c r="E5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" spans="1:6" x14ac:dyDescent="0.35">
      <c r="A560" s="3">
        <v>34121521151</v>
      </c>
      <c r="B560" s="3">
        <v>47</v>
      </c>
      <c r="C560" s="32">
        <v>49115</v>
      </c>
      <c r="D560" s="32" t="s">
        <v>87</v>
      </c>
      <c r="E5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" spans="1:6" x14ac:dyDescent="0.35">
      <c r="A561" s="3">
        <v>64584641256</v>
      </c>
      <c r="B561" s="3">
        <v>48</v>
      </c>
      <c r="C561" s="32">
        <v>49115</v>
      </c>
      <c r="D561" s="32">
        <v>49136</v>
      </c>
      <c r="E5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562" spans="1:6" x14ac:dyDescent="0.35">
      <c r="A562" s="3">
        <v>30774026730</v>
      </c>
      <c r="B562" s="3">
        <v>51</v>
      </c>
      <c r="C562" s="32">
        <v>49115</v>
      </c>
      <c r="D562" s="32">
        <v>49131</v>
      </c>
      <c r="E5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563" spans="1:6" x14ac:dyDescent="0.35">
      <c r="A563" s="3">
        <v>31351325437</v>
      </c>
      <c r="B563" s="3">
        <v>77</v>
      </c>
      <c r="C563" s="32">
        <v>49115</v>
      </c>
      <c r="D563" s="32" t="s">
        <v>87</v>
      </c>
      <c r="E5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" spans="1:6" x14ac:dyDescent="0.35">
      <c r="A564" s="3">
        <v>49421511530</v>
      </c>
      <c r="B564" s="3">
        <v>82</v>
      </c>
      <c r="C564" s="32">
        <v>49115</v>
      </c>
      <c r="D564" s="32">
        <v>49193</v>
      </c>
      <c r="E5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65" spans="1:6" x14ac:dyDescent="0.35">
      <c r="A565" s="3">
        <v>64125500138</v>
      </c>
      <c r="B565" s="3">
        <v>89</v>
      </c>
      <c r="C565" s="32">
        <v>49115</v>
      </c>
      <c r="D565" s="32">
        <v>49121</v>
      </c>
      <c r="E5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566" spans="1:6" x14ac:dyDescent="0.35">
      <c r="A566" s="3">
        <v>16914923484</v>
      </c>
      <c r="B566" s="3">
        <v>97</v>
      </c>
      <c r="C566" s="32">
        <v>49115</v>
      </c>
      <c r="D566" s="32" t="s">
        <v>87</v>
      </c>
      <c r="E5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" spans="1:6" x14ac:dyDescent="0.35">
      <c r="A567" s="3">
        <v>75911092481</v>
      </c>
      <c r="B567" s="3">
        <v>102</v>
      </c>
      <c r="C567" s="32">
        <v>49115</v>
      </c>
      <c r="D567" s="32" t="s">
        <v>87</v>
      </c>
      <c r="E5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" spans="1:6" x14ac:dyDescent="0.35">
      <c r="A568" s="3">
        <v>27684302130</v>
      </c>
      <c r="B568" s="3">
        <v>116</v>
      </c>
      <c r="C568" s="32">
        <v>49115</v>
      </c>
      <c r="D568" s="32" t="s">
        <v>87</v>
      </c>
      <c r="E5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" spans="1:6" x14ac:dyDescent="0.35">
      <c r="A569" s="3">
        <v>68634812540</v>
      </c>
      <c r="B569" s="3">
        <v>141</v>
      </c>
      <c r="C569" s="32">
        <v>49115</v>
      </c>
      <c r="D569" s="32" t="s">
        <v>87</v>
      </c>
      <c r="E5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" spans="1:6" x14ac:dyDescent="0.35">
      <c r="A570" s="3">
        <v>72694318739</v>
      </c>
      <c r="B570" s="3">
        <v>153</v>
      </c>
      <c r="C570" s="32">
        <v>49115</v>
      </c>
      <c r="D570" s="32" t="s">
        <v>87</v>
      </c>
      <c r="E5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" spans="1:6" x14ac:dyDescent="0.35">
      <c r="A571" s="3">
        <v>62212263512</v>
      </c>
      <c r="B571" s="3">
        <v>153</v>
      </c>
      <c r="C571" s="32">
        <v>49115</v>
      </c>
      <c r="D571" s="32" t="s">
        <v>87</v>
      </c>
      <c r="E5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" spans="1:6" x14ac:dyDescent="0.35">
      <c r="A572" s="3">
        <v>95249480560</v>
      </c>
      <c r="B572" s="3">
        <v>159</v>
      </c>
      <c r="C572" s="32">
        <v>49115</v>
      </c>
      <c r="D572" s="32">
        <v>49129</v>
      </c>
      <c r="E5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573" spans="1:6" x14ac:dyDescent="0.35">
      <c r="A573" s="3">
        <v>89613149274</v>
      </c>
      <c r="B573" s="3">
        <v>163</v>
      </c>
      <c r="C573" s="32">
        <v>49115</v>
      </c>
      <c r="D573" s="32" t="s">
        <v>87</v>
      </c>
      <c r="E5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" spans="1:6" x14ac:dyDescent="0.35">
      <c r="A574" s="3">
        <v>49408922679</v>
      </c>
      <c r="B574" s="3">
        <v>170</v>
      </c>
      <c r="C574" s="32">
        <v>49115</v>
      </c>
      <c r="D574" s="32" t="s">
        <v>87</v>
      </c>
      <c r="E5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" spans="1:6" x14ac:dyDescent="0.35">
      <c r="A575" s="3">
        <v>99506373294</v>
      </c>
      <c r="B575" s="3">
        <v>174</v>
      </c>
      <c r="C575" s="32">
        <v>49115</v>
      </c>
      <c r="D575" s="32" t="s">
        <v>87</v>
      </c>
      <c r="E5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" spans="1:6" x14ac:dyDescent="0.35">
      <c r="A576" s="3">
        <v>71520203627</v>
      </c>
      <c r="B576" s="3">
        <v>177</v>
      </c>
      <c r="C576" s="32">
        <v>49115</v>
      </c>
      <c r="D576" s="32">
        <v>49199</v>
      </c>
      <c r="E5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77" spans="1:6" x14ac:dyDescent="0.35">
      <c r="A577" s="3">
        <v>92293197080</v>
      </c>
      <c r="B577" s="3">
        <v>182</v>
      </c>
      <c r="C577" s="32">
        <v>49115</v>
      </c>
      <c r="D577" s="32" t="s">
        <v>87</v>
      </c>
      <c r="E5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" spans="1:6" x14ac:dyDescent="0.35">
      <c r="A578" s="3">
        <v>21604756572</v>
      </c>
      <c r="B578" s="3">
        <v>188</v>
      </c>
      <c r="C578" s="32">
        <v>49115</v>
      </c>
      <c r="D578" s="32" t="s">
        <v>87</v>
      </c>
      <c r="E5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" spans="1:6" x14ac:dyDescent="0.35">
      <c r="A579" s="3">
        <v>82512947308</v>
      </c>
      <c r="B579" s="3">
        <v>195</v>
      </c>
      <c r="C579" s="32">
        <v>49115</v>
      </c>
      <c r="D579" s="32">
        <v>49219</v>
      </c>
      <c r="E5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580" spans="1:6" x14ac:dyDescent="0.35">
      <c r="A580" s="3">
        <v>67726237221</v>
      </c>
      <c r="B580" s="3">
        <v>202</v>
      </c>
      <c r="C580" s="32">
        <v>49115</v>
      </c>
      <c r="D580" s="32" t="s">
        <v>87</v>
      </c>
      <c r="E5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" spans="1:6" x14ac:dyDescent="0.35">
      <c r="A581" s="3">
        <v>11420464250</v>
      </c>
      <c r="B581" s="3">
        <v>216</v>
      </c>
      <c r="C581" s="32">
        <v>49115</v>
      </c>
      <c r="D581" s="32">
        <v>49121</v>
      </c>
      <c r="E5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582" spans="1:6" x14ac:dyDescent="0.35">
      <c r="A582" s="3">
        <v>78737983933</v>
      </c>
      <c r="B582" s="3">
        <v>222</v>
      </c>
      <c r="C582" s="32">
        <v>49115</v>
      </c>
      <c r="D582" s="32" t="s">
        <v>87</v>
      </c>
      <c r="E5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" spans="1:6" x14ac:dyDescent="0.35">
      <c r="A583" s="3">
        <v>99768877460</v>
      </c>
      <c r="B583" s="3">
        <v>238</v>
      </c>
      <c r="C583" s="32">
        <v>49115</v>
      </c>
      <c r="D583" s="32"/>
      <c r="E5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" spans="1:6" x14ac:dyDescent="0.35">
      <c r="A584" s="3">
        <v>71718883524</v>
      </c>
      <c r="B584" s="3">
        <v>251</v>
      </c>
      <c r="C584" s="32">
        <v>49115</v>
      </c>
      <c r="D584" s="32" t="s">
        <v>87</v>
      </c>
      <c r="E5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" spans="1:6" x14ac:dyDescent="0.35">
      <c r="A585" s="3">
        <v>89989440154</v>
      </c>
      <c r="B585" s="3">
        <v>287</v>
      </c>
      <c r="C585" s="32">
        <v>49115</v>
      </c>
      <c r="D585" s="32"/>
      <c r="E5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" spans="1:6" x14ac:dyDescent="0.35">
      <c r="A586" s="3">
        <v>67743901880</v>
      </c>
      <c r="B586" s="3">
        <v>293</v>
      </c>
      <c r="C586" s="32">
        <v>49115</v>
      </c>
      <c r="D586" s="32">
        <v>49226</v>
      </c>
      <c r="E5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587" spans="1:6" x14ac:dyDescent="0.35">
      <c r="A587" s="3">
        <v>12861010424</v>
      </c>
      <c r="B587" s="3">
        <v>297</v>
      </c>
      <c r="C587" s="32">
        <v>49115</v>
      </c>
      <c r="D587" s="32" t="s">
        <v>87</v>
      </c>
      <c r="E5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" spans="1:6" x14ac:dyDescent="0.35">
      <c r="A588" s="3">
        <v>68642315941</v>
      </c>
      <c r="B588" s="3">
        <v>298</v>
      </c>
      <c r="C588" s="32">
        <v>49115</v>
      </c>
      <c r="D588" s="32" t="s">
        <v>87</v>
      </c>
      <c r="E5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" spans="1:6" x14ac:dyDescent="0.35">
      <c r="A589" s="3">
        <v>14343386135</v>
      </c>
      <c r="B589" s="3">
        <v>28</v>
      </c>
      <c r="C589" s="32">
        <v>49116</v>
      </c>
      <c r="D589" s="32" t="s">
        <v>87</v>
      </c>
      <c r="E5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" spans="1:6" x14ac:dyDescent="0.35">
      <c r="A590" s="3">
        <v>49145493045</v>
      </c>
      <c r="B590" s="3">
        <v>28</v>
      </c>
      <c r="C590" s="32">
        <v>49116</v>
      </c>
      <c r="D590" s="32" t="s">
        <v>87</v>
      </c>
      <c r="E5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" spans="1:6" x14ac:dyDescent="0.35">
      <c r="A591" s="3">
        <v>21045497400</v>
      </c>
      <c r="B591" s="3">
        <v>43</v>
      </c>
      <c r="C591" s="32">
        <v>49116</v>
      </c>
      <c r="D591" s="32" t="s">
        <v>87</v>
      </c>
      <c r="E5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" spans="1:6" x14ac:dyDescent="0.35">
      <c r="A592" s="3">
        <v>78564476950</v>
      </c>
      <c r="B592" s="3">
        <v>69</v>
      </c>
      <c r="C592" s="32">
        <v>49116</v>
      </c>
      <c r="D592" s="32" t="s">
        <v>87</v>
      </c>
      <c r="E5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" spans="1:6" x14ac:dyDescent="0.35">
      <c r="A593" s="3">
        <v>42454454681</v>
      </c>
      <c r="B593" s="3">
        <v>87</v>
      </c>
      <c r="C593" s="32">
        <v>49116</v>
      </c>
      <c r="D593" s="32" t="s">
        <v>87</v>
      </c>
      <c r="E5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" spans="1:6" x14ac:dyDescent="0.35">
      <c r="A594" s="3">
        <v>88773722932</v>
      </c>
      <c r="B594" s="3">
        <v>110</v>
      </c>
      <c r="C594" s="32">
        <v>49116</v>
      </c>
      <c r="D594" s="32" t="s">
        <v>87</v>
      </c>
      <c r="E5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" spans="1:6" x14ac:dyDescent="0.35">
      <c r="A595" s="3">
        <v>36278216957</v>
      </c>
      <c r="B595" s="3">
        <v>119</v>
      </c>
      <c r="C595" s="32">
        <v>49116</v>
      </c>
      <c r="D595" s="32" t="s">
        <v>87</v>
      </c>
      <c r="E5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" spans="1:6" x14ac:dyDescent="0.35">
      <c r="A596" s="3">
        <v>75083743224</v>
      </c>
      <c r="B596" s="3">
        <v>132</v>
      </c>
      <c r="C596" s="32">
        <v>49116</v>
      </c>
      <c r="D596" s="32">
        <v>49171</v>
      </c>
      <c r="E5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97" spans="1:6" x14ac:dyDescent="0.35">
      <c r="A597" s="3">
        <v>51523930309</v>
      </c>
      <c r="B597" s="3">
        <v>137</v>
      </c>
      <c r="C597" s="32">
        <v>49116</v>
      </c>
      <c r="D597" s="32">
        <v>49151</v>
      </c>
      <c r="E5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598" spans="1:6" x14ac:dyDescent="0.35">
      <c r="A598" s="3">
        <v>45525747369</v>
      </c>
      <c r="B598" s="3">
        <v>149</v>
      </c>
      <c r="C598" s="32">
        <v>49116</v>
      </c>
      <c r="D598" s="32"/>
      <c r="E5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" spans="1:6" x14ac:dyDescent="0.35">
      <c r="A599" s="3">
        <v>29910895242</v>
      </c>
      <c r="B599" s="3">
        <v>154</v>
      </c>
      <c r="C599" s="32">
        <v>49116</v>
      </c>
      <c r="D599" s="32" t="s">
        <v>87</v>
      </c>
      <c r="E5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" spans="1:6" x14ac:dyDescent="0.35">
      <c r="A600" s="3">
        <v>62498982726</v>
      </c>
      <c r="B600" s="3">
        <v>155</v>
      </c>
      <c r="C600" s="32">
        <v>49116</v>
      </c>
      <c r="D600" s="32" t="s">
        <v>87</v>
      </c>
      <c r="E6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" spans="1:6" x14ac:dyDescent="0.35">
      <c r="A601" s="3">
        <v>89114890366</v>
      </c>
      <c r="B601" s="3">
        <v>156</v>
      </c>
      <c r="C601" s="32">
        <v>49116</v>
      </c>
      <c r="D601" s="32"/>
      <c r="E6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" spans="1:6" x14ac:dyDescent="0.35">
      <c r="A602" s="3">
        <v>60775003858</v>
      </c>
      <c r="B602" s="3">
        <v>170</v>
      </c>
      <c r="C602" s="32">
        <v>49116</v>
      </c>
      <c r="D602" s="32"/>
      <c r="E6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" spans="1:6" x14ac:dyDescent="0.35">
      <c r="A603" s="3">
        <v>66330386371</v>
      </c>
      <c r="B603" s="3">
        <v>220</v>
      </c>
      <c r="C603" s="32">
        <v>49116</v>
      </c>
      <c r="D603" s="32"/>
      <c r="E6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" spans="1:6" x14ac:dyDescent="0.35">
      <c r="A604" s="3">
        <v>88833096912</v>
      </c>
      <c r="B604" s="3">
        <v>254</v>
      </c>
      <c r="C604" s="32">
        <v>49116</v>
      </c>
      <c r="D604" s="32" t="s">
        <v>87</v>
      </c>
      <c r="E6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" spans="1:6" x14ac:dyDescent="0.35">
      <c r="A605" s="3">
        <v>89781336327</v>
      </c>
      <c r="B605" s="3">
        <v>263</v>
      </c>
      <c r="C605" s="32">
        <v>49116</v>
      </c>
      <c r="D605" s="32"/>
      <c r="E6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" spans="1:6" x14ac:dyDescent="0.35">
      <c r="A606" s="3">
        <v>26912080818</v>
      </c>
      <c r="B606" s="3">
        <v>263</v>
      </c>
      <c r="C606" s="32">
        <v>49116</v>
      </c>
      <c r="D606" s="32" t="s">
        <v>87</v>
      </c>
      <c r="E6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" spans="1:6" x14ac:dyDescent="0.35">
      <c r="A607" s="3">
        <v>68471959274</v>
      </c>
      <c r="B607" s="3">
        <v>298</v>
      </c>
      <c r="C607" s="32">
        <v>49116</v>
      </c>
      <c r="D607" s="32">
        <v>49134</v>
      </c>
      <c r="E6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608" spans="1:6" x14ac:dyDescent="0.35">
      <c r="A608" s="3">
        <v>22712987119</v>
      </c>
      <c r="B608" s="3">
        <v>308</v>
      </c>
      <c r="C608" s="32">
        <v>49116</v>
      </c>
      <c r="D608" s="32">
        <v>49120</v>
      </c>
      <c r="E6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609" spans="1:6" x14ac:dyDescent="0.35">
      <c r="A609" s="3">
        <v>24313203890</v>
      </c>
      <c r="B609" s="3">
        <v>311</v>
      </c>
      <c r="C609" s="32">
        <v>49116</v>
      </c>
      <c r="D609" s="32" t="s">
        <v>87</v>
      </c>
      <c r="E6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" spans="1:6" x14ac:dyDescent="0.35">
      <c r="A610" s="3">
        <v>99514845211</v>
      </c>
      <c r="B610" s="3">
        <v>320</v>
      </c>
      <c r="C610" s="32">
        <v>49116</v>
      </c>
      <c r="D610" s="32"/>
      <c r="E6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" spans="1:6" x14ac:dyDescent="0.35">
      <c r="A611" s="3">
        <v>76816895285</v>
      </c>
      <c r="B611" s="3">
        <v>321</v>
      </c>
      <c r="C611" s="32">
        <v>49116</v>
      </c>
      <c r="D611" s="32" t="s">
        <v>87</v>
      </c>
      <c r="E6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" spans="1:6" x14ac:dyDescent="0.35">
      <c r="A612" s="3">
        <v>87600971847</v>
      </c>
      <c r="B612" s="3">
        <v>327</v>
      </c>
      <c r="C612" s="32">
        <v>49116</v>
      </c>
      <c r="D612" s="32" t="s">
        <v>87</v>
      </c>
      <c r="E6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" spans="1:6" x14ac:dyDescent="0.35">
      <c r="A613" s="3">
        <v>30877105272</v>
      </c>
      <c r="B613" s="3">
        <v>335</v>
      </c>
      <c r="C613" s="32">
        <v>49116</v>
      </c>
      <c r="D613" s="32" t="s">
        <v>87</v>
      </c>
      <c r="E6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" spans="1:6" x14ac:dyDescent="0.35">
      <c r="A614" s="3">
        <v>84427127702</v>
      </c>
      <c r="B614" s="3">
        <v>340</v>
      </c>
      <c r="C614" s="32">
        <v>49116</v>
      </c>
      <c r="D614" s="32" t="s">
        <v>87</v>
      </c>
      <c r="E6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" spans="1:6" x14ac:dyDescent="0.35">
      <c r="A615" s="3">
        <v>46434112476</v>
      </c>
      <c r="B615" s="3">
        <v>10</v>
      </c>
      <c r="C615" s="32">
        <v>49117</v>
      </c>
      <c r="D615" s="32" t="s">
        <v>87</v>
      </c>
      <c r="E6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" spans="1:6" x14ac:dyDescent="0.35">
      <c r="A616" s="3">
        <v>47755595174</v>
      </c>
      <c r="B616" s="3">
        <v>43</v>
      </c>
      <c r="C616" s="32">
        <v>49117</v>
      </c>
      <c r="D616" s="32" t="s">
        <v>87</v>
      </c>
      <c r="E6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" spans="1:6" x14ac:dyDescent="0.35">
      <c r="A617" s="3">
        <v>76862096653</v>
      </c>
      <c r="B617" s="3">
        <v>63</v>
      </c>
      <c r="C617" s="32">
        <v>49117</v>
      </c>
      <c r="D617" s="32" t="s">
        <v>87</v>
      </c>
      <c r="E6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" spans="1:6" x14ac:dyDescent="0.35">
      <c r="A618" s="3">
        <v>99449830056</v>
      </c>
      <c r="B618" s="3">
        <v>77</v>
      </c>
      <c r="C618" s="32">
        <v>49117</v>
      </c>
      <c r="D618" s="32" t="s">
        <v>87</v>
      </c>
      <c r="E6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" spans="1:6" x14ac:dyDescent="0.35">
      <c r="A619" s="3">
        <v>30521065395</v>
      </c>
      <c r="B619" s="3">
        <v>86</v>
      </c>
      <c r="C619" s="32">
        <v>49117</v>
      </c>
      <c r="D619" s="32" t="s">
        <v>87</v>
      </c>
      <c r="E6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" spans="1:6" x14ac:dyDescent="0.35">
      <c r="A620" s="3">
        <v>73077704740</v>
      </c>
      <c r="B620" s="3">
        <v>94</v>
      </c>
      <c r="C620" s="32">
        <v>49117</v>
      </c>
      <c r="D620" s="32"/>
      <c r="E6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" spans="1:6" x14ac:dyDescent="0.35">
      <c r="A621" s="3">
        <v>24213589086</v>
      </c>
      <c r="B621" s="3">
        <v>108</v>
      </c>
      <c r="C621" s="32">
        <v>49117</v>
      </c>
      <c r="D621" s="32"/>
      <c r="E6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" spans="1:6" x14ac:dyDescent="0.35">
      <c r="A622" s="3">
        <v>98214939779</v>
      </c>
      <c r="B622" s="3">
        <v>132</v>
      </c>
      <c r="C622" s="32">
        <v>49117</v>
      </c>
      <c r="D622" s="32" t="s">
        <v>87</v>
      </c>
      <c r="E6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" spans="1:6" x14ac:dyDescent="0.35">
      <c r="A623" s="3">
        <v>89599258784</v>
      </c>
      <c r="B623" s="3">
        <v>140</v>
      </c>
      <c r="C623" s="32">
        <v>49117</v>
      </c>
      <c r="D623" s="32">
        <v>49214</v>
      </c>
      <c r="E6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624" spans="1:6" x14ac:dyDescent="0.35">
      <c r="A624" s="3">
        <v>37296258557</v>
      </c>
      <c r="B624" s="3">
        <v>143</v>
      </c>
      <c r="C624" s="32">
        <v>49117</v>
      </c>
      <c r="D624" s="32" t="s">
        <v>87</v>
      </c>
      <c r="E6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" spans="1:6" x14ac:dyDescent="0.35">
      <c r="A625" s="3">
        <v>50424887906</v>
      </c>
      <c r="B625" s="3">
        <v>148</v>
      </c>
      <c r="C625" s="32">
        <v>49117</v>
      </c>
      <c r="D625" s="32" t="s">
        <v>87</v>
      </c>
      <c r="E6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" spans="1:6" x14ac:dyDescent="0.35">
      <c r="A626" s="3">
        <v>22308672622</v>
      </c>
      <c r="B626" s="3">
        <v>152</v>
      </c>
      <c r="C626" s="32">
        <v>49117</v>
      </c>
      <c r="D626" s="32" t="s">
        <v>87</v>
      </c>
      <c r="E6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" spans="1:6" x14ac:dyDescent="0.35">
      <c r="A627" s="3">
        <v>33659269406</v>
      </c>
      <c r="B627" s="3">
        <v>156</v>
      </c>
      <c r="C627" s="32">
        <v>49117</v>
      </c>
      <c r="D627" s="32" t="s">
        <v>87</v>
      </c>
      <c r="E6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" spans="1:6" x14ac:dyDescent="0.35">
      <c r="A628" s="3">
        <v>42592269239</v>
      </c>
      <c r="B628" s="3">
        <v>163</v>
      </c>
      <c r="C628" s="32">
        <v>49117</v>
      </c>
      <c r="D628" s="32"/>
      <c r="E6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" spans="1:6" x14ac:dyDescent="0.35">
      <c r="A629" s="3">
        <v>29832085295</v>
      </c>
      <c r="B629" s="3">
        <v>182</v>
      </c>
      <c r="C629" s="32">
        <v>49117</v>
      </c>
      <c r="D629" s="32">
        <v>49228</v>
      </c>
      <c r="E6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630" spans="1:6" x14ac:dyDescent="0.35">
      <c r="A630" s="3">
        <v>72820664733</v>
      </c>
      <c r="B630" s="3">
        <v>188</v>
      </c>
      <c r="C630" s="32">
        <v>49117</v>
      </c>
      <c r="D630" s="32" t="s">
        <v>87</v>
      </c>
      <c r="E6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" spans="1:6" x14ac:dyDescent="0.35">
      <c r="A631" s="3">
        <v>77073468873</v>
      </c>
      <c r="B631" s="3">
        <v>192</v>
      </c>
      <c r="C631" s="32">
        <v>49117</v>
      </c>
      <c r="D631" s="32" t="s">
        <v>87</v>
      </c>
      <c r="E6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" spans="1:6" x14ac:dyDescent="0.35">
      <c r="A632" s="3">
        <v>31353927368</v>
      </c>
      <c r="B632" s="3">
        <v>196</v>
      </c>
      <c r="C632" s="32">
        <v>49117</v>
      </c>
      <c r="D632" s="32" t="s">
        <v>87</v>
      </c>
      <c r="E6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" spans="1:6" x14ac:dyDescent="0.35">
      <c r="A633" s="3">
        <v>96321883066</v>
      </c>
      <c r="B633" s="3">
        <v>198</v>
      </c>
      <c r="C633" s="32">
        <v>49117</v>
      </c>
      <c r="D633" s="32" t="s">
        <v>87</v>
      </c>
      <c r="E6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" spans="1:6" x14ac:dyDescent="0.35">
      <c r="A634" s="3">
        <v>48497190026</v>
      </c>
      <c r="B634" s="3">
        <v>208</v>
      </c>
      <c r="C634" s="32">
        <v>49117</v>
      </c>
      <c r="D634" s="32">
        <v>49215</v>
      </c>
      <c r="E6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635" spans="1:6" x14ac:dyDescent="0.35">
      <c r="A635" s="3">
        <v>98215622961</v>
      </c>
      <c r="B635" s="3">
        <v>215</v>
      </c>
      <c r="C635" s="32">
        <v>49117</v>
      </c>
      <c r="D635" s="32" t="s">
        <v>87</v>
      </c>
      <c r="E6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" spans="1:6" x14ac:dyDescent="0.35">
      <c r="A636" s="3">
        <v>39575027006</v>
      </c>
      <c r="B636" s="3">
        <v>217</v>
      </c>
      <c r="C636" s="32">
        <v>49117</v>
      </c>
      <c r="D636" s="32" t="s">
        <v>87</v>
      </c>
      <c r="E6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" spans="1:6" x14ac:dyDescent="0.35">
      <c r="A637" s="3">
        <v>51425792346</v>
      </c>
      <c r="B637" s="3">
        <v>217</v>
      </c>
      <c r="C637" s="32">
        <v>49117</v>
      </c>
      <c r="D637" s="32">
        <v>49141</v>
      </c>
      <c r="E6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638" spans="1:6" x14ac:dyDescent="0.35">
      <c r="A638" s="3">
        <v>80221538036</v>
      </c>
      <c r="B638" s="3">
        <v>222</v>
      </c>
      <c r="C638" s="32">
        <v>49117</v>
      </c>
      <c r="D638" s="32" t="s">
        <v>87</v>
      </c>
      <c r="E6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" spans="1:6" x14ac:dyDescent="0.35">
      <c r="A639" s="3">
        <v>28293372655</v>
      </c>
      <c r="B639" s="3">
        <v>248</v>
      </c>
      <c r="C639" s="32">
        <v>49117</v>
      </c>
      <c r="D639" s="32" t="s">
        <v>87</v>
      </c>
      <c r="E6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" spans="1:6" x14ac:dyDescent="0.35">
      <c r="A640" s="3">
        <v>56026837863</v>
      </c>
      <c r="B640" s="3">
        <v>269</v>
      </c>
      <c r="C640" s="32">
        <v>49117</v>
      </c>
      <c r="D640" s="32" t="s">
        <v>87</v>
      </c>
      <c r="E6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" spans="1:6" x14ac:dyDescent="0.35">
      <c r="A641" s="3">
        <v>85168319185</v>
      </c>
      <c r="B641" s="3">
        <v>314</v>
      </c>
      <c r="C641" s="32">
        <v>49117</v>
      </c>
      <c r="D641" s="32" t="s">
        <v>87</v>
      </c>
      <c r="E6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" spans="1:6" x14ac:dyDescent="0.35">
      <c r="A642" s="3">
        <v>85089520717</v>
      </c>
      <c r="B642" s="3">
        <v>315</v>
      </c>
      <c r="C642" s="32">
        <v>49117</v>
      </c>
      <c r="D642" s="32"/>
      <c r="E6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" spans="1:6" x14ac:dyDescent="0.35">
      <c r="A643" s="3">
        <v>80997651016</v>
      </c>
      <c r="B643" s="3">
        <v>319</v>
      </c>
      <c r="C643" s="32">
        <v>49117</v>
      </c>
      <c r="D643" s="32" t="s">
        <v>87</v>
      </c>
      <c r="E6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" spans="1:6" x14ac:dyDescent="0.35">
      <c r="A644" s="3">
        <v>49344286814</v>
      </c>
      <c r="B644" s="3">
        <v>331</v>
      </c>
      <c r="C644" s="32">
        <v>49117</v>
      </c>
      <c r="D644" s="32"/>
      <c r="E6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" spans="1:6" x14ac:dyDescent="0.35">
      <c r="A645" s="3">
        <v>94653395468</v>
      </c>
      <c r="B645" s="3">
        <v>9</v>
      </c>
      <c r="C645" s="32">
        <v>49118</v>
      </c>
      <c r="D645" s="32" t="s">
        <v>87</v>
      </c>
      <c r="E6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" spans="1:6" x14ac:dyDescent="0.35">
      <c r="A646" s="3">
        <v>48736025960</v>
      </c>
      <c r="B646" s="3">
        <v>9</v>
      </c>
      <c r="C646" s="32">
        <v>49118</v>
      </c>
      <c r="D646" s="32"/>
      <c r="E6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" spans="1:6" x14ac:dyDescent="0.35">
      <c r="A647" s="3">
        <v>23328446864</v>
      </c>
      <c r="B647" s="3">
        <v>12</v>
      </c>
      <c r="C647" s="32">
        <v>49118</v>
      </c>
      <c r="D647" s="32" t="s">
        <v>87</v>
      </c>
      <c r="E6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" spans="1:6" x14ac:dyDescent="0.35">
      <c r="A648" s="3">
        <v>58160735927</v>
      </c>
      <c r="B648" s="3">
        <v>21</v>
      </c>
      <c r="C648" s="32">
        <v>49118</v>
      </c>
      <c r="D648" s="32" t="s">
        <v>87</v>
      </c>
      <c r="E6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" spans="1:6" x14ac:dyDescent="0.35">
      <c r="A649" s="3">
        <v>41766472122</v>
      </c>
      <c r="B649" s="3">
        <v>24</v>
      </c>
      <c r="C649" s="32">
        <v>49118</v>
      </c>
      <c r="D649" s="32"/>
      <c r="E6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" spans="1:6" x14ac:dyDescent="0.35">
      <c r="A650" s="3">
        <v>99957451170</v>
      </c>
      <c r="B650" s="3">
        <v>35</v>
      </c>
      <c r="C650" s="32">
        <v>49118</v>
      </c>
      <c r="D650" s="32" t="s">
        <v>87</v>
      </c>
      <c r="E6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" spans="1:6" x14ac:dyDescent="0.35">
      <c r="A651" s="3">
        <v>31270787993</v>
      </c>
      <c r="B651" s="3">
        <v>38</v>
      </c>
      <c r="C651" s="32">
        <v>49118</v>
      </c>
      <c r="D651" s="32" t="s">
        <v>87</v>
      </c>
      <c r="E6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" spans="1:6" x14ac:dyDescent="0.35">
      <c r="A652" s="3">
        <v>67931877588</v>
      </c>
      <c r="B652" s="3">
        <v>38</v>
      </c>
      <c r="C652" s="32">
        <v>49118</v>
      </c>
      <c r="D652" s="32" t="s">
        <v>87</v>
      </c>
      <c r="E6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" spans="1:6" x14ac:dyDescent="0.35">
      <c r="A653" s="3">
        <v>74558848345</v>
      </c>
      <c r="B653" s="3">
        <v>38</v>
      </c>
      <c r="C653" s="32">
        <v>49118</v>
      </c>
      <c r="D653" s="32" t="s">
        <v>87</v>
      </c>
      <c r="E6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" spans="1:6" x14ac:dyDescent="0.35">
      <c r="A654" s="3">
        <v>41309531750</v>
      </c>
      <c r="B654" s="3">
        <v>51</v>
      </c>
      <c r="C654" s="32">
        <v>49118</v>
      </c>
      <c r="D654" s="32" t="s">
        <v>87</v>
      </c>
      <c r="E6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" spans="1:6" x14ac:dyDescent="0.35">
      <c r="A655" s="3">
        <v>34978879554</v>
      </c>
      <c r="B655" s="3">
        <v>58</v>
      </c>
      <c r="C655" s="32">
        <v>49118</v>
      </c>
      <c r="D655" s="32" t="s">
        <v>87</v>
      </c>
      <c r="E6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" spans="1:6" x14ac:dyDescent="0.35">
      <c r="A656" s="3">
        <v>95814467719</v>
      </c>
      <c r="B656" s="3">
        <v>91</v>
      </c>
      <c r="C656" s="32">
        <v>49118</v>
      </c>
      <c r="D656" s="32"/>
      <c r="E6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" spans="1:6" x14ac:dyDescent="0.35">
      <c r="A657" s="3">
        <v>87314472981</v>
      </c>
      <c r="B657" s="3">
        <v>107</v>
      </c>
      <c r="C657" s="32">
        <v>49118</v>
      </c>
      <c r="D657" s="32" t="s">
        <v>87</v>
      </c>
      <c r="E6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" spans="1:6" x14ac:dyDescent="0.35">
      <c r="A658" s="3">
        <v>42273895445</v>
      </c>
      <c r="B658" s="3">
        <v>108</v>
      </c>
      <c r="C658" s="32">
        <v>49118</v>
      </c>
      <c r="D658" s="32"/>
      <c r="E6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" spans="1:6" x14ac:dyDescent="0.35">
      <c r="A659" s="3">
        <v>63250797404</v>
      </c>
      <c r="B659" s="3">
        <v>111</v>
      </c>
      <c r="C659" s="32">
        <v>49118</v>
      </c>
      <c r="D659" s="32" t="s">
        <v>87</v>
      </c>
      <c r="E6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" spans="1:6" x14ac:dyDescent="0.35">
      <c r="A660" s="3">
        <v>73388622688</v>
      </c>
      <c r="B660" s="3">
        <v>126</v>
      </c>
      <c r="C660" s="32">
        <v>49118</v>
      </c>
      <c r="D660" s="32" t="s">
        <v>87</v>
      </c>
      <c r="E6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" spans="1:6" x14ac:dyDescent="0.35">
      <c r="A661" s="3">
        <v>25429853324</v>
      </c>
      <c r="B661" s="3">
        <v>148</v>
      </c>
      <c r="C661" s="32">
        <v>49118</v>
      </c>
      <c r="D661" s="32" t="s">
        <v>87</v>
      </c>
      <c r="E6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" spans="1:6" x14ac:dyDescent="0.35">
      <c r="A662" s="3">
        <v>71920956504</v>
      </c>
      <c r="B662" s="3">
        <v>155</v>
      </c>
      <c r="C662" s="32">
        <v>49118</v>
      </c>
      <c r="D662" s="32" t="s">
        <v>87</v>
      </c>
      <c r="E6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" spans="1:6" x14ac:dyDescent="0.35">
      <c r="A663" s="3">
        <v>35002577285</v>
      </c>
      <c r="B663" s="3">
        <v>187</v>
      </c>
      <c r="C663" s="32">
        <v>49118</v>
      </c>
      <c r="D663" s="32">
        <v>49154</v>
      </c>
      <c r="E6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664" spans="1:6" x14ac:dyDescent="0.35">
      <c r="A664" s="3">
        <v>60029401074</v>
      </c>
      <c r="B664" s="3">
        <v>208</v>
      </c>
      <c r="C664" s="32">
        <v>49118</v>
      </c>
      <c r="D664" s="32" t="s">
        <v>87</v>
      </c>
      <c r="E6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" spans="1:6" x14ac:dyDescent="0.35">
      <c r="A665" s="3">
        <v>42464936292</v>
      </c>
      <c r="B665" s="3">
        <v>242</v>
      </c>
      <c r="C665" s="32">
        <v>49118</v>
      </c>
      <c r="D665" s="32" t="s">
        <v>87</v>
      </c>
      <c r="E6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" spans="1:6" x14ac:dyDescent="0.35">
      <c r="A666" s="3">
        <v>69286287719</v>
      </c>
      <c r="B666" s="3">
        <v>244</v>
      </c>
      <c r="C666" s="32">
        <v>49118</v>
      </c>
      <c r="D666" s="32"/>
      <c r="E6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" spans="1:6" x14ac:dyDescent="0.35">
      <c r="A667" s="3">
        <v>54067931243</v>
      </c>
      <c r="B667" s="3">
        <v>258</v>
      </c>
      <c r="C667" s="32">
        <v>49118</v>
      </c>
      <c r="D667" s="32"/>
      <c r="E6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" spans="1:6" x14ac:dyDescent="0.35">
      <c r="A668" s="3">
        <v>42749943635</v>
      </c>
      <c r="B668" s="3">
        <v>308</v>
      </c>
      <c r="C668" s="32">
        <v>49118</v>
      </c>
      <c r="D668" s="32"/>
      <c r="E6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" spans="1:6" x14ac:dyDescent="0.35">
      <c r="A669" s="3">
        <v>45144142743</v>
      </c>
      <c r="B669" s="3">
        <v>314</v>
      </c>
      <c r="C669" s="32">
        <v>49118</v>
      </c>
      <c r="D669" s="32" t="s">
        <v>87</v>
      </c>
      <c r="E6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" spans="1:6" x14ac:dyDescent="0.35">
      <c r="A670" s="3">
        <v>25309721332</v>
      </c>
      <c r="B670" s="3">
        <v>333</v>
      </c>
      <c r="C670" s="32">
        <v>49118</v>
      </c>
      <c r="D670" s="32" t="s">
        <v>87</v>
      </c>
      <c r="E6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" spans="1:6" x14ac:dyDescent="0.35">
      <c r="A671" s="3">
        <v>16361497688</v>
      </c>
      <c r="B671" s="3">
        <v>8</v>
      </c>
      <c r="C671" s="32">
        <v>49119</v>
      </c>
      <c r="D671" s="32" t="s">
        <v>87</v>
      </c>
      <c r="E6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" spans="1:6" x14ac:dyDescent="0.35">
      <c r="A672" s="3">
        <v>30034189700</v>
      </c>
      <c r="B672" s="3">
        <v>23</v>
      </c>
      <c r="C672" s="32">
        <v>49119</v>
      </c>
      <c r="D672" s="32"/>
      <c r="E6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" spans="1:6" x14ac:dyDescent="0.35">
      <c r="A673" s="3">
        <v>74318531486</v>
      </c>
      <c r="B673" s="3">
        <v>26</v>
      </c>
      <c r="C673" s="32">
        <v>49119</v>
      </c>
      <c r="D673" s="32" t="s">
        <v>87</v>
      </c>
      <c r="E6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" spans="1:6" x14ac:dyDescent="0.35">
      <c r="A674" s="3">
        <v>41938184580</v>
      </c>
      <c r="B674" s="3">
        <v>41</v>
      </c>
      <c r="C674" s="32">
        <v>49119</v>
      </c>
      <c r="D674" s="32"/>
      <c r="E6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" spans="1:6" x14ac:dyDescent="0.35">
      <c r="A675" s="3">
        <v>88732019715</v>
      </c>
      <c r="B675" s="3">
        <v>43</v>
      </c>
      <c r="C675" s="32">
        <v>49119</v>
      </c>
      <c r="D675" s="32" t="s">
        <v>87</v>
      </c>
      <c r="E6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" spans="1:6" x14ac:dyDescent="0.35">
      <c r="A676" s="3">
        <v>19525675770</v>
      </c>
      <c r="B676" s="3">
        <v>65</v>
      </c>
      <c r="C676" s="32">
        <v>49119</v>
      </c>
      <c r="D676" s="32" t="s">
        <v>87</v>
      </c>
      <c r="E6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" spans="1:6" x14ac:dyDescent="0.35">
      <c r="A677" s="3">
        <v>52941894383</v>
      </c>
      <c r="B677" s="3">
        <v>76</v>
      </c>
      <c r="C677" s="32">
        <v>49119</v>
      </c>
      <c r="D677" s="32" t="s">
        <v>87</v>
      </c>
      <c r="E6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" spans="1:6" x14ac:dyDescent="0.35">
      <c r="A678" s="3">
        <v>42321415990</v>
      </c>
      <c r="B678" s="3">
        <v>78</v>
      </c>
      <c r="C678" s="32">
        <v>49119</v>
      </c>
      <c r="D678" s="32" t="s">
        <v>87</v>
      </c>
      <c r="E6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" spans="1:6" x14ac:dyDescent="0.35">
      <c r="A679" s="3">
        <v>12065646048</v>
      </c>
      <c r="B679" s="3">
        <v>80</v>
      </c>
      <c r="C679" s="32">
        <v>49119</v>
      </c>
      <c r="D679" s="32"/>
      <c r="E6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" spans="1:6" x14ac:dyDescent="0.35">
      <c r="A680" s="3">
        <v>76559094489</v>
      </c>
      <c r="B680" s="3">
        <v>105</v>
      </c>
      <c r="C680" s="32">
        <v>49119</v>
      </c>
      <c r="D680" s="32"/>
      <c r="E6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" spans="1:6" x14ac:dyDescent="0.35">
      <c r="A681" s="3">
        <v>13210988579</v>
      </c>
      <c r="B681" s="3">
        <v>107</v>
      </c>
      <c r="C681" s="32">
        <v>49119</v>
      </c>
      <c r="D681" s="32" t="s">
        <v>87</v>
      </c>
      <c r="E6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" spans="1:6" x14ac:dyDescent="0.35">
      <c r="A682" s="3">
        <v>73267379211</v>
      </c>
      <c r="B682" s="3">
        <v>121</v>
      </c>
      <c r="C682" s="32">
        <v>49119</v>
      </c>
      <c r="D682" s="32" t="s">
        <v>87</v>
      </c>
      <c r="E6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" spans="1:6" x14ac:dyDescent="0.35">
      <c r="A683" s="3">
        <v>64618713469</v>
      </c>
      <c r="B683" s="3">
        <v>131</v>
      </c>
      <c r="C683" s="32">
        <v>49119</v>
      </c>
      <c r="D683" s="32" t="s">
        <v>87</v>
      </c>
      <c r="E6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" spans="1:6" x14ac:dyDescent="0.35">
      <c r="A684" s="3">
        <v>32389305260</v>
      </c>
      <c r="B684" s="3">
        <v>147</v>
      </c>
      <c r="C684" s="32">
        <v>49119</v>
      </c>
      <c r="D684" s="32" t="s">
        <v>87</v>
      </c>
      <c r="E6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" spans="1:6" x14ac:dyDescent="0.35">
      <c r="A685" s="3">
        <v>66739952156</v>
      </c>
      <c r="B685" s="3">
        <v>172</v>
      </c>
      <c r="C685" s="32">
        <v>49119</v>
      </c>
      <c r="D685" s="32">
        <v>49226</v>
      </c>
      <c r="E6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686" spans="1:6" x14ac:dyDescent="0.35">
      <c r="A686" s="3">
        <v>34101970722</v>
      </c>
      <c r="B686" s="3">
        <v>202</v>
      </c>
      <c r="C686" s="32">
        <v>49119</v>
      </c>
      <c r="D686" s="32" t="s">
        <v>87</v>
      </c>
      <c r="E6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" spans="1:6" x14ac:dyDescent="0.35">
      <c r="A687" s="3">
        <v>82877382576</v>
      </c>
      <c r="B687" s="3">
        <v>206</v>
      </c>
      <c r="C687" s="32">
        <v>49119</v>
      </c>
      <c r="D687" s="32" t="s">
        <v>87</v>
      </c>
      <c r="E6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" spans="1:6" x14ac:dyDescent="0.35">
      <c r="A688" s="3">
        <v>25430753940</v>
      </c>
      <c r="B688" s="3">
        <v>206</v>
      </c>
      <c r="C688" s="32">
        <v>49119</v>
      </c>
      <c r="D688" s="32">
        <v>49180</v>
      </c>
      <c r="E6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689" spans="1:6" x14ac:dyDescent="0.35">
      <c r="A689" s="3">
        <v>82565916808</v>
      </c>
      <c r="B689" s="3">
        <v>212</v>
      </c>
      <c r="C689" s="32">
        <v>49119</v>
      </c>
      <c r="D689" s="32"/>
      <c r="E6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" spans="1:6" x14ac:dyDescent="0.35">
      <c r="A690" s="3">
        <v>27561695060</v>
      </c>
      <c r="B690" s="3">
        <v>220</v>
      </c>
      <c r="C690" s="32">
        <v>49119</v>
      </c>
      <c r="D690" s="32" t="s">
        <v>87</v>
      </c>
      <c r="E6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" spans="1:6" x14ac:dyDescent="0.35">
      <c r="A691" s="3">
        <v>83071441370</v>
      </c>
      <c r="B691" s="3">
        <v>230</v>
      </c>
      <c r="C691" s="32">
        <v>49119</v>
      </c>
      <c r="D691" s="32" t="s">
        <v>87</v>
      </c>
      <c r="E6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" spans="1:6" x14ac:dyDescent="0.35">
      <c r="A692" s="3">
        <v>68913181997</v>
      </c>
      <c r="B692" s="3">
        <v>241</v>
      </c>
      <c r="C692" s="32">
        <v>49119</v>
      </c>
      <c r="D692" s="32" t="s">
        <v>87</v>
      </c>
      <c r="E6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" spans="1:6" x14ac:dyDescent="0.35">
      <c r="A693" s="3">
        <v>93881537658</v>
      </c>
      <c r="B693" s="3">
        <v>243</v>
      </c>
      <c r="C693" s="32">
        <v>49119</v>
      </c>
      <c r="D693" s="32" t="s">
        <v>87</v>
      </c>
      <c r="E6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" spans="1:6" x14ac:dyDescent="0.35">
      <c r="A694" s="3">
        <v>11686497228</v>
      </c>
      <c r="B694" s="3">
        <v>253</v>
      </c>
      <c r="C694" s="32">
        <v>49119</v>
      </c>
      <c r="D694" s="32">
        <v>49140</v>
      </c>
      <c r="E6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695" spans="1:6" x14ac:dyDescent="0.35">
      <c r="A695" s="3">
        <v>50724858788</v>
      </c>
      <c r="B695" s="3">
        <v>255</v>
      </c>
      <c r="C695" s="32">
        <v>49119</v>
      </c>
      <c r="D695" s="32" t="s">
        <v>87</v>
      </c>
      <c r="E6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" spans="1:6" x14ac:dyDescent="0.35">
      <c r="A696" s="3">
        <v>13240826394</v>
      </c>
      <c r="B696" s="3">
        <v>257</v>
      </c>
      <c r="C696" s="32">
        <v>49119</v>
      </c>
      <c r="D696" s="32">
        <v>49222</v>
      </c>
      <c r="E6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697" spans="1:6" x14ac:dyDescent="0.35">
      <c r="A697" s="3">
        <v>32963137068</v>
      </c>
      <c r="B697" s="3">
        <v>271</v>
      </c>
      <c r="C697" s="32">
        <v>49119</v>
      </c>
      <c r="D697" s="32"/>
      <c r="E6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" spans="1:6" x14ac:dyDescent="0.35">
      <c r="A698" s="3">
        <v>43936653484</v>
      </c>
      <c r="B698" s="3">
        <v>274</v>
      </c>
      <c r="C698" s="32">
        <v>49119</v>
      </c>
      <c r="D698" s="32">
        <v>49143</v>
      </c>
      <c r="E6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699" spans="1:6" x14ac:dyDescent="0.35">
      <c r="A699" s="3">
        <v>84945659161</v>
      </c>
      <c r="B699" s="3">
        <v>277</v>
      </c>
      <c r="C699" s="32">
        <v>49119</v>
      </c>
      <c r="D699" s="32" t="s">
        <v>87</v>
      </c>
      <c r="E6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" spans="1:6" x14ac:dyDescent="0.35">
      <c r="A700" s="3">
        <v>43548639626</v>
      </c>
      <c r="B700" s="3">
        <v>300</v>
      </c>
      <c r="C700" s="32">
        <v>49119</v>
      </c>
      <c r="D700" s="32"/>
      <c r="E7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1" spans="1:6" x14ac:dyDescent="0.35">
      <c r="A701" s="3">
        <v>99962298514</v>
      </c>
      <c r="B701" s="3">
        <v>304</v>
      </c>
      <c r="C701" s="32">
        <v>49119</v>
      </c>
      <c r="D701" s="32" t="s">
        <v>87</v>
      </c>
      <c r="E7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2" spans="1:6" x14ac:dyDescent="0.35">
      <c r="A702" s="3">
        <v>69615886139</v>
      </c>
      <c r="B702" s="3">
        <v>314</v>
      </c>
      <c r="C702" s="32">
        <v>49119</v>
      </c>
      <c r="D702" s="32" t="s">
        <v>87</v>
      </c>
      <c r="E7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3" spans="1:6" x14ac:dyDescent="0.35">
      <c r="A703" s="3">
        <v>39773169370</v>
      </c>
      <c r="B703" s="3">
        <v>322</v>
      </c>
      <c r="C703" s="32">
        <v>49119</v>
      </c>
      <c r="D703" s="32" t="s">
        <v>87</v>
      </c>
      <c r="E7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4" spans="1:6" x14ac:dyDescent="0.35">
      <c r="A704" s="3">
        <v>98521990045</v>
      </c>
      <c r="B704" s="3">
        <v>10</v>
      </c>
      <c r="C704" s="32">
        <v>49120</v>
      </c>
      <c r="D704" s="32"/>
      <c r="E7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5" spans="1:6" x14ac:dyDescent="0.35">
      <c r="A705" s="3">
        <v>70368318300</v>
      </c>
      <c r="B705" s="3">
        <v>35</v>
      </c>
      <c r="C705" s="32">
        <v>49120</v>
      </c>
      <c r="D705" s="32" t="s">
        <v>87</v>
      </c>
      <c r="E7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6" spans="1:6" x14ac:dyDescent="0.35">
      <c r="A706" s="3">
        <v>40037850256</v>
      </c>
      <c r="B706" s="3">
        <v>36</v>
      </c>
      <c r="C706" s="32">
        <v>49120</v>
      </c>
      <c r="D706" s="32"/>
      <c r="E7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7" spans="1:6" x14ac:dyDescent="0.35">
      <c r="A707" s="3">
        <v>66819335113</v>
      </c>
      <c r="B707" s="3">
        <v>74</v>
      </c>
      <c r="C707" s="32">
        <v>49120</v>
      </c>
      <c r="D707" s="32" t="s">
        <v>87</v>
      </c>
      <c r="E7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8" spans="1:6" x14ac:dyDescent="0.35">
      <c r="A708" s="3">
        <v>92135679735</v>
      </c>
      <c r="B708" s="3">
        <v>84</v>
      </c>
      <c r="C708" s="32">
        <v>49120</v>
      </c>
      <c r="D708" s="32">
        <v>49175</v>
      </c>
      <c r="E7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709" spans="1:6" x14ac:dyDescent="0.35">
      <c r="A709" s="3">
        <v>56258163125</v>
      </c>
      <c r="B709" s="3">
        <v>84</v>
      </c>
      <c r="C709" s="32">
        <v>49120</v>
      </c>
      <c r="D709" s="32" t="s">
        <v>87</v>
      </c>
      <c r="E7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0" spans="1:6" x14ac:dyDescent="0.35">
      <c r="A710" s="3">
        <v>99718226466</v>
      </c>
      <c r="B710" s="3">
        <v>93</v>
      </c>
      <c r="C710" s="32">
        <v>49120</v>
      </c>
      <c r="D710" s="32"/>
      <c r="E7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1" spans="1:6" x14ac:dyDescent="0.35">
      <c r="A711" s="3">
        <v>33483290206</v>
      </c>
      <c r="B711" s="3">
        <v>98</v>
      </c>
      <c r="C711" s="32">
        <v>49120</v>
      </c>
      <c r="D711" s="32" t="s">
        <v>87</v>
      </c>
      <c r="E7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2" spans="1:6" x14ac:dyDescent="0.35">
      <c r="A712" s="3">
        <v>93199434455</v>
      </c>
      <c r="B712" s="3">
        <v>103</v>
      </c>
      <c r="C712" s="32">
        <v>49120</v>
      </c>
      <c r="D712" s="32"/>
      <c r="E7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3" spans="1:6" x14ac:dyDescent="0.35">
      <c r="A713" s="3">
        <v>58107069339</v>
      </c>
      <c r="B713" s="3">
        <v>136</v>
      </c>
      <c r="C713" s="32">
        <v>49120</v>
      </c>
      <c r="D713" s="32" t="s">
        <v>87</v>
      </c>
      <c r="E7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4" spans="1:6" x14ac:dyDescent="0.35">
      <c r="A714" s="3">
        <v>84259711458</v>
      </c>
      <c r="B714" s="3">
        <v>137</v>
      </c>
      <c r="C714" s="32">
        <v>49120</v>
      </c>
      <c r="D714" s="32"/>
      <c r="E7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5" spans="1:6" x14ac:dyDescent="0.35">
      <c r="A715" s="3">
        <v>68216442714</v>
      </c>
      <c r="B715" s="3">
        <v>140</v>
      </c>
      <c r="C715" s="32">
        <v>49120</v>
      </c>
      <c r="D715" s="32">
        <v>49121</v>
      </c>
      <c r="E7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716" spans="1:6" x14ac:dyDescent="0.35">
      <c r="A716" s="3">
        <v>46815094050</v>
      </c>
      <c r="B716" s="3">
        <v>165</v>
      </c>
      <c r="C716" s="32">
        <v>49120</v>
      </c>
      <c r="D716" s="32" t="s">
        <v>87</v>
      </c>
      <c r="E7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7" spans="1:6" x14ac:dyDescent="0.35">
      <c r="A717" s="3">
        <v>14635710714</v>
      </c>
      <c r="B717" s="3">
        <v>176</v>
      </c>
      <c r="C717" s="32">
        <v>49120</v>
      </c>
      <c r="D717" s="32">
        <v>49127</v>
      </c>
      <c r="E7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718" spans="1:6" x14ac:dyDescent="0.35">
      <c r="A718" s="3">
        <v>58174807191</v>
      </c>
      <c r="B718" s="3">
        <v>193</v>
      </c>
      <c r="C718" s="32">
        <v>49120</v>
      </c>
      <c r="D718" s="32">
        <v>49215</v>
      </c>
      <c r="E7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19" spans="1:6" x14ac:dyDescent="0.35">
      <c r="A719" s="3">
        <v>20787693597</v>
      </c>
      <c r="B719" s="3">
        <v>199</v>
      </c>
      <c r="C719" s="32">
        <v>49120</v>
      </c>
      <c r="D719" s="32" t="s">
        <v>87</v>
      </c>
      <c r="E7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0" spans="1:6" x14ac:dyDescent="0.35">
      <c r="A720" s="3">
        <v>11885609273</v>
      </c>
      <c r="B720" s="3">
        <v>232</v>
      </c>
      <c r="C720" s="32">
        <v>49120</v>
      </c>
      <c r="D720" s="32" t="s">
        <v>87</v>
      </c>
      <c r="E7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1" spans="1:6" x14ac:dyDescent="0.35">
      <c r="A721" s="3">
        <v>69966644391</v>
      </c>
      <c r="B721" s="3">
        <v>240</v>
      </c>
      <c r="C721" s="32">
        <v>49120</v>
      </c>
      <c r="D721" s="32" t="s">
        <v>87</v>
      </c>
      <c r="E7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2" spans="1:6" x14ac:dyDescent="0.35">
      <c r="A722" s="3">
        <v>60974202230</v>
      </c>
      <c r="B722" s="3">
        <v>241</v>
      </c>
      <c r="C722" s="32">
        <v>49120</v>
      </c>
      <c r="D722" s="32" t="s">
        <v>87</v>
      </c>
      <c r="E7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3" spans="1:6" x14ac:dyDescent="0.35">
      <c r="A723" s="3">
        <v>55001368140</v>
      </c>
      <c r="B723" s="3">
        <v>246</v>
      </c>
      <c r="C723" s="32">
        <v>49120</v>
      </c>
      <c r="D723" s="32" t="s">
        <v>87</v>
      </c>
      <c r="E7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4" spans="1:6" x14ac:dyDescent="0.35">
      <c r="A724" s="3">
        <v>66457957384</v>
      </c>
      <c r="B724" s="3">
        <v>247</v>
      </c>
      <c r="C724" s="32">
        <v>49120</v>
      </c>
      <c r="D724" s="32" t="s">
        <v>87</v>
      </c>
      <c r="E7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5" spans="1:6" x14ac:dyDescent="0.35">
      <c r="A725" s="3">
        <v>59547522286</v>
      </c>
      <c r="B725" s="3">
        <v>268</v>
      </c>
      <c r="C725" s="32">
        <v>49120</v>
      </c>
      <c r="D725" s="32"/>
      <c r="E7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6" spans="1:6" x14ac:dyDescent="0.35">
      <c r="A726" s="3">
        <v>71758383126</v>
      </c>
      <c r="B726" s="3">
        <v>273</v>
      </c>
      <c r="C726" s="32">
        <v>49120</v>
      </c>
      <c r="D726" s="32" t="s">
        <v>87</v>
      </c>
      <c r="E7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7" spans="1:6" x14ac:dyDescent="0.35">
      <c r="A727" s="3">
        <v>48466343173</v>
      </c>
      <c r="B727" s="3">
        <v>320</v>
      </c>
      <c r="C727" s="32">
        <v>49120</v>
      </c>
      <c r="D727" s="32" t="s">
        <v>87</v>
      </c>
      <c r="E7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8" spans="1:6" x14ac:dyDescent="0.35">
      <c r="A728" s="3">
        <v>95441523261</v>
      </c>
      <c r="B728" s="3">
        <v>34</v>
      </c>
      <c r="C728" s="32">
        <v>49121</v>
      </c>
      <c r="D728" s="32" t="s">
        <v>87</v>
      </c>
      <c r="E7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9" spans="1:6" x14ac:dyDescent="0.35">
      <c r="A729" s="3">
        <v>42949245134</v>
      </c>
      <c r="B729" s="3">
        <v>34</v>
      </c>
      <c r="C729" s="32">
        <v>49121</v>
      </c>
      <c r="D729" s="32" t="s">
        <v>87</v>
      </c>
      <c r="E7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0" spans="1:6" x14ac:dyDescent="0.35">
      <c r="A730" s="3">
        <v>81159111037</v>
      </c>
      <c r="B730" s="3">
        <v>50</v>
      </c>
      <c r="C730" s="32">
        <v>49121</v>
      </c>
      <c r="D730" s="32">
        <v>49220</v>
      </c>
      <c r="E7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731" spans="1:6" x14ac:dyDescent="0.35">
      <c r="A731" s="3">
        <v>86546372920</v>
      </c>
      <c r="B731" s="3">
        <v>53</v>
      </c>
      <c r="C731" s="32">
        <v>49121</v>
      </c>
      <c r="D731" s="32" t="s">
        <v>87</v>
      </c>
      <c r="E7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2" spans="1:6" x14ac:dyDescent="0.35">
      <c r="A732" s="3">
        <v>18144477384</v>
      </c>
      <c r="B732" s="3">
        <v>84</v>
      </c>
      <c r="C732" s="32">
        <v>49121</v>
      </c>
      <c r="D732" s="32">
        <v>49192</v>
      </c>
      <c r="E7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33" spans="1:6" x14ac:dyDescent="0.35">
      <c r="A733" s="3">
        <v>62331595011</v>
      </c>
      <c r="B733" s="3">
        <v>98</v>
      </c>
      <c r="C733" s="32">
        <v>49121</v>
      </c>
      <c r="D733" s="32">
        <v>49204</v>
      </c>
      <c r="E7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34" spans="1:6" x14ac:dyDescent="0.35">
      <c r="A734" s="3">
        <v>38736908132</v>
      </c>
      <c r="B734" s="3">
        <v>105</v>
      </c>
      <c r="C734" s="32">
        <v>49121</v>
      </c>
      <c r="D734" s="32"/>
      <c r="E7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5" spans="1:6" x14ac:dyDescent="0.35">
      <c r="A735" s="3">
        <v>87354219247</v>
      </c>
      <c r="B735" s="3">
        <v>113</v>
      </c>
      <c r="C735" s="32">
        <v>49121</v>
      </c>
      <c r="D735" s="32" t="s">
        <v>87</v>
      </c>
      <c r="E7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6" spans="1:6" x14ac:dyDescent="0.35">
      <c r="A736" s="3">
        <v>34609547704</v>
      </c>
      <c r="B736" s="3">
        <v>124</v>
      </c>
      <c r="C736" s="32">
        <v>49121</v>
      </c>
      <c r="D736" s="32">
        <v>49220</v>
      </c>
      <c r="E7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737" spans="1:6" x14ac:dyDescent="0.35">
      <c r="A737" s="3">
        <v>65793398297</v>
      </c>
      <c r="B737" s="3">
        <v>132</v>
      </c>
      <c r="C737" s="32">
        <v>49121</v>
      </c>
      <c r="D737" s="32" t="s">
        <v>87</v>
      </c>
      <c r="E7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8" spans="1:6" x14ac:dyDescent="0.35">
      <c r="A738" s="3">
        <v>95587144776</v>
      </c>
      <c r="B738" s="3">
        <v>136</v>
      </c>
      <c r="C738" s="32">
        <v>49121</v>
      </c>
      <c r="D738" s="32" t="s">
        <v>87</v>
      </c>
      <c r="E7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9" spans="1:6" x14ac:dyDescent="0.35">
      <c r="A739" s="3">
        <v>63173321861</v>
      </c>
      <c r="B739" s="3">
        <v>142</v>
      </c>
      <c r="C739" s="32">
        <v>49121</v>
      </c>
      <c r="D739" s="32" t="s">
        <v>87</v>
      </c>
      <c r="E7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0" spans="1:6" x14ac:dyDescent="0.35">
      <c r="A740" s="3">
        <v>82115273741</v>
      </c>
      <c r="B740" s="3">
        <v>169</v>
      </c>
      <c r="C740" s="32">
        <v>49121</v>
      </c>
      <c r="D740" s="32" t="s">
        <v>87</v>
      </c>
      <c r="E7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1" spans="1:6" x14ac:dyDescent="0.35">
      <c r="A741" s="3">
        <v>11590486350</v>
      </c>
      <c r="B741" s="3">
        <v>174</v>
      </c>
      <c r="C741" s="32">
        <v>49121</v>
      </c>
      <c r="D741" s="32">
        <v>49194</v>
      </c>
      <c r="E7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42" spans="1:6" x14ac:dyDescent="0.35">
      <c r="A742" s="3">
        <v>84910823894</v>
      </c>
      <c r="B742" s="3">
        <v>185</v>
      </c>
      <c r="C742" s="32">
        <v>49121</v>
      </c>
      <c r="D742" s="32">
        <v>49232</v>
      </c>
      <c r="E7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743" spans="1:6" x14ac:dyDescent="0.35">
      <c r="A743" s="3">
        <v>92981096369</v>
      </c>
      <c r="B743" s="3">
        <v>202</v>
      </c>
      <c r="C743" s="32">
        <v>49121</v>
      </c>
      <c r="D743" s="32">
        <v>49152</v>
      </c>
      <c r="E7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744" spans="1:6" x14ac:dyDescent="0.35">
      <c r="A744" s="3">
        <v>39793931625</v>
      </c>
      <c r="B744" s="3">
        <v>206</v>
      </c>
      <c r="C744" s="32">
        <v>49121</v>
      </c>
      <c r="D744" s="32" t="s">
        <v>87</v>
      </c>
      <c r="E7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5" spans="1:6" x14ac:dyDescent="0.35">
      <c r="A745" s="3">
        <v>94169318658</v>
      </c>
      <c r="B745" s="3">
        <v>210</v>
      </c>
      <c r="C745" s="32">
        <v>49121</v>
      </c>
      <c r="D745" s="32" t="s">
        <v>87</v>
      </c>
      <c r="E7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6" spans="1:6" x14ac:dyDescent="0.35">
      <c r="A746" s="3">
        <v>47476874820</v>
      </c>
      <c r="B746" s="3">
        <v>223</v>
      </c>
      <c r="C746" s="32">
        <v>49121</v>
      </c>
      <c r="D746" s="32" t="s">
        <v>87</v>
      </c>
      <c r="E7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7" spans="1:6" x14ac:dyDescent="0.35">
      <c r="A747" s="3">
        <v>56247334117</v>
      </c>
      <c r="B747" s="3">
        <v>237</v>
      </c>
      <c r="C747" s="32">
        <v>49121</v>
      </c>
      <c r="D747" s="32" t="s">
        <v>87</v>
      </c>
      <c r="E7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8" spans="1:6" x14ac:dyDescent="0.35">
      <c r="A748" s="3">
        <v>24957627792</v>
      </c>
      <c r="B748" s="3">
        <v>277</v>
      </c>
      <c r="C748" s="32">
        <v>49121</v>
      </c>
      <c r="D748" s="32"/>
      <c r="E7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9" spans="1:6" x14ac:dyDescent="0.35">
      <c r="A749" s="3">
        <v>20535771562</v>
      </c>
      <c r="B749" s="3">
        <v>283</v>
      </c>
      <c r="C749" s="32">
        <v>49121</v>
      </c>
      <c r="D749" s="32" t="s">
        <v>87</v>
      </c>
      <c r="E7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0" spans="1:6" x14ac:dyDescent="0.35">
      <c r="A750" s="3">
        <v>73280621696</v>
      </c>
      <c r="B750" s="3">
        <v>293</v>
      </c>
      <c r="C750" s="32">
        <v>49121</v>
      </c>
      <c r="D750" s="32" t="s">
        <v>87</v>
      </c>
      <c r="E7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1" spans="1:6" x14ac:dyDescent="0.35">
      <c r="A751" s="3">
        <v>99913725386</v>
      </c>
      <c r="B751" s="3">
        <v>303</v>
      </c>
      <c r="C751" s="32">
        <v>49121</v>
      </c>
      <c r="D751" s="32" t="s">
        <v>87</v>
      </c>
      <c r="E7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2" spans="1:6" x14ac:dyDescent="0.35">
      <c r="A752" s="3">
        <v>57415942424</v>
      </c>
      <c r="B752" s="3">
        <v>304</v>
      </c>
      <c r="C752" s="32">
        <v>49121</v>
      </c>
      <c r="D752" s="32" t="s">
        <v>87</v>
      </c>
      <c r="E7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3" spans="1:6" x14ac:dyDescent="0.35">
      <c r="A753" s="3">
        <v>43047990447</v>
      </c>
      <c r="B753" s="3">
        <v>322</v>
      </c>
      <c r="C753" s="32">
        <v>49121</v>
      </c>
      <c r="D753" s="32" t="s">
        <v>87</v>
      </c>
      <c r="E7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4" spans="1:6" x14ac:dyDescent="0.35">
      <c r="A754" s="3">
        <v>47699480470</v>
      </c>
      <c r="B754" s="3">
        <v>14</v>
      </c>
      <c r="C754" s="32">
        <v>49122</v>
      </c>
      <c r="D754" s="32">
        <v>49154</v>
      </c>
      <c r="E7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755" spans="1:6" x14ac:dyDescent="0.35">
      <c r="A755" s="3">
        <v>79054538341</v>
      </c>
      <c r="B755" s="3">
        <v>14</v>
      </c>
      <c r="C755" s="32">
        <v>49122</v>
      </c>
      <c r="D755" s="32">
        <v>49219</v>
      </c>
      <c r="E7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756" spans="1:6" x14ac:dyDescent="0.35">
      <c r="A756" s="3">
        <v>70616557469</v>
      </c>
      <c r="B756" s="3">
        <v>19</v>
      </c>
      <c r="C756" s="32">
        <v>49122</v>
      </c>
      <c r="D756" s="32" t="s">
        <v>87</v>
      </c>
      <c r="E7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7" spans="1:6" x14ac:dyDescent="0.35">
      <c r="A757" s="3">
        <v>44404908329</v>
      </c>
      <c r="B757" s="3">
        <v>26</v>
      </c>
      <c r="C757" s="32">
        <v>49122</v>
      </c>
      <c r="D757" s="32" t="s">
        <v>87</v>
      </c>
      <c r="E7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8" spans="1:6" x14ac:dyDescent="0.35">
      <c r="A758" s="3">
        <v>53356730104</v>
      </c>
      <c r="B758" s="3">
        <v>27</v>
      </c>
      <c r="C758" s="32">
        <v>49122</v>
      </c>
      <c r="D758" s="32" t="s">
        <v>87</v>
      </c>
      <c r="E7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9" spans="1:6" x14ac:dyDescent="0.35">
      <c r="A759" s="3">
        <v>45539195308</v>
      </c>
      <c r="B759" s="3">
        <v>55</v>
      </c>
      <c r="C759" s="32">
        <v>49122</v>
      </c>
      <c r="D759" s="32" t="s">
        <v>87</v>
      </c>
      <c r="E7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0" spans="1:6" x14ac:dyDescent="0.35">
      <c r="A760" s="3">
        <v>27812806974</v>
      </c>
      <c r="B760" s="3">
        <v>58</v>
      </c>
      <c r="C760" s="32">
        <v>49122</v>
      </c>
      <c r="D760" s="32" t="s">
        <v>87</v>
      </c>
      <c r="E7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1" spans="1:6" x14ac:dyDescent="0.35">
      <c r="A761" s="3">
        <v>98403130680</v>
      </c>
      <c r="B761" s="3">
        <v>75</v>
      </c>
      <c r="C761" s="32">
        <v>49122</v>
      </c>
      <c r="D761" s="32">
        <v>49197</v>
      </c>
      <c r="E7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62" spans="1:6" x14ac:dyDescent="0.35">
      <c r="A762" s="3">
        <v>81838135784</v>
      </c>
      <c r="B762" s="3">
        <v>81</v>
      </c>
      <c r="C762" s="32">
        <v>49122</v>
      </c>
      <c r="D762" s="32">
        <v>49227</v>
      </c>
      <c r="E7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763" spans="1:6" x14ac:dyDescent="0.35">
      <c r="A763" s="3">
        <v>33325467724</v>
      </c>
      <c r="B763" s="3">
        <v>87</v>
      </c>
      <c r="C763" s="32">
        <v>49122</v>
      </c>
      <c r="D763" s="32" t="s">
        <v>87</v>
      </c>
      <c r="E7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4" spans="1:6" x14ac:dyDescent="0.35">
      <c r="A764" s="3">
        <v>16132224538</v>
      </c>
      <c r="B764" s="3">
        <v>99</v>
      </c>
      <c r="C764" s="32">
        <v>49122</v>
      </c>
      <c r="D764" s="32" t="s">
        <v>87</v>
      </c>
      <c r="E7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5" spans="1:6" x14ac:dyDescent="0.35">
      <c r="A765" s="3">
        <v>80604899826</v>
      </c>
      <c r="B765" s="3">
        <v>124</v>
      </c>
      <c r="C765" s="32">
        <v>49122</v>
      </c>
      <c r="D765" s="32" t="s">
        <v>87</v>
      </c>
      <c r="E7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6" spans="1:6" x14ac:dyDescent="0.35">
      <c r="A766" s="3">
        <v>53433268697</v>
      </c>
      <c r="B766" s="3">
        <v>133</v>
      </c>
      <c r="C766" s="32">
        <v>49122</v>
      </c>
      <c r="D766" s="32">
        <v>49199</v>
      </c>
      <c r="E7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67" spans="1:6" x14ac:dyDescent="0.35">
      <c r="A767" s="3">
        <v>77687226541</v>
      </c>
      <c r="B767" s="3">
        <v>155</v>
      </c>
      <c r="C767" s="32">
        <v>49122</v>
      </c>
      <c r="D767" s="32" t="s">
        <v>87</v>
      </c>
      <c r="E7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8" spans="1:6" x14ac:dyDescent="0.35">
      <c r="A768" s="3">
        <v>26513159795</v>
      </c>
      <c r="B768" s="3">
        <v>162</v>
      </c>
      <c r="C768" s="32">
        <v>49122</v>
      </c>
      <c r="D768" s="32" t="s">
        <v>87</v>
      </c>
      <c r="E7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9" spans="1:6" x14ac:dyDescent="0.35">
      <c r="A769" s="3">
        <v>48724441539</v>
      </c>
      <c r="B769" s="3">
        <v>163</v>
      </c>
      <c r="C769" s="32">
        <v>49122</v>
      </c>
      <c r="D769" s="32" t="s">
        <v>87</v>
      </c>
      <c r="E7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0" spans="1:6" x14ac:dyDescent="0.35">
      <c r="A770" s="3">
        <v>34399707292</v>
      </c>
      <c r="B770" s="3">
        <v>164</v>
      </c>
      <c r="C770" s="32">
        <v>49122</v>
      </c>
      <c r="D770" s="32" t="s">
        <v>87</v>
      </c>
      <c r="E7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1" spans="1:6" x14ac:dyDescent="0.35">
      <c r="A771" s="3">
        <v>11443957938</v>
      </c>
      <c r="B771" s="3">
        <v>164</v>
      </c>
      <c r="C771" s="32">
        <v>49122</v>
      </c>
      <c r="D771" s="32" t="s">
        <v>87</v>
      </c>
      <c r="E7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2" spans="1:6" x14ac:dyDescent="0.35">
      <c r="A772" s="3">
        <v>32079262178</v>
      </c>
      <c r="B772" s="3">
        <v>177</v>
      </c>
      <c r="C772" s="32">
        <v>49122</v>
      </c>
      <c r="D772" s="32" t="s">
        <v>87</v>
      </c>
      <c r="E7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3" spans="1:6" x14ac:dyDescent="0.35">
      <c r="A773" s="3">
        <v>36034081109</v>
      </c>
      <c r="B773" s="3">
        <v>177</v>
      </c>
      <c r="C773" s="32">
        <v>49122</v>
      </c>
      <c r="D773" s="32"/>
      <c r="E7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4" spans="1:6" x14ac:dyDescent="0.35">
      <c r="A774" s="3">
        <v>54121901961</v>
      </c>
      <c r="B774" s="3">
        <v>187</v>
      </c>
      <c r="C774" s="32">
        <v>49122</v>
      </c>
      <c r="D774" s="32">
        <v>49200</v>
      </c>
      <c r="E7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75" spans="1:6" x14ac:dyDescent="0.35">
      <c r="A775" s="3">
        <v>42469886221</v>
      </c>
      <c r="B775" s="3">
        <v>216</v>
      </c>
      <c r="C775" s="32">
        <v>49122</v>
      </c>
      <c r="D775" s="32"/>
      <c r="E7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6" spans="1:6" x14ac:dyDescent="0.35">
      <c r="A776" s="3">
        <v>39417898936</v>
      </c>
      <c r="B776" s="3">
        <v>218</v>
      </c>
      <c r="C776" s="32">
        <v>49122</v>
      </c>
      <c r="D776" s="32">
        <v>49183</v>
      </c>
      <c r="E7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777" spans="1:6" x14ac:dyDescent="0.35">
      <c r="A777" s="3">
        <v>39970754683</v>
      </c>
      <c r="B777" s="3">
        <v>273</v>
      </c>
      <c r="C777" s="32">
        <v>49122</v>
      </c>
      <c r="D777" s="32" t="s">
        <v>87</v>
      </c>
      <c r="E7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8" spans="1:6" x14ac:dyDescent="0.35">
      <c r="A778" s="3">
        <v>46600302138</v>
      </c>
      <c r="B778" s="3">
        <v>275</v>
      </c>
      <c r="C778" s="32">
        <v>49122</v>
      </c>
      <c r="D778" s="32" t="s">
        <v>87</v>
      </c>
      <c r="E7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9" spans="1:6" x14ac:dyDescent="0.35">
      <c r="A779" s="3">
        <v>38875344270</v>
      </c>
      <c r="B779" s="3">
        <v>277</v>
      </c>
      <c r="C779" s="32">
        <v>49122</v>
      </c>
      <c r="D779" s="32" t="s">
        <v>87</v>
      </c>
      <c r="E7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0" spans="1:6" x14ac:dyDescent="0.35">
      <c r="A780" s="3">
        <v>90104868272</v>
      </c>
      <c r="B780" s="3">
        <v>278</v>
      </c>
      <c r="C780" s="32">
        <v>49122</v>
      </c>
      <c r="D780" s="32" t="s">
        <v>87</v>
      </c>
      <c r="E7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1" spans="1:6" x14ac:dyDescent="0.35">
      <c r="A781" s="3">
        <v>47881138746</v>
      </c>
      <c r="B781" s="3">
        <v>307</v>
      </c>
      <c r="C781" s="32">
        <v>49122</v>
      </c>
      <c r="D781" s="32" t="s">
        <v>87</v>
      </c>
      <c r="E7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2" spans="1:6" x14ac:dyDescent="0.35">
      <c r="A782" s="3">
        <v>61065302537</v>
      </c>
      <c r="B782" s="3">
        <v>322</v>
      </c>
      <c r="C782" s="32">
        <v>49122</v>
      </c>
      <c r="D782" s="32" t="s">
        <v>87</v>
      </c>
      <c r="E7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3" spans="1:6" x14ac:dyDescent="0.35">
      <c r="A783" s="3">
        <v>42828927693</v>
      </c>
      <c r="B783" s="3">
        <v>325</v>
      </c>
      <c r="C783" s="32">
        <v>49122</v>
      </c>
      <c r="D783" s="32">
        <v>49168</v>
      </c>
      <c r="E7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784" spans="1:6" x14ac:dyDescent="0.35">
      <c r="A784" s="3">
        <v>81924306760</v>
      </c>
      <c r="B784" s="3">
        <v>34</v>
      </c>
      <c r="C784" s="32">
        <v>49123</v>
      </c>
      <c r="D784" s="32" t="s">
        <v>87</v>
      </c>
      <c r="E7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5" spans="1:6" x14ac:dyDescent="0.35">
      <c r="A785" s="3">
        <v>58116034858</v>
      </c>
      <c r="B785" s="3">
        <v>38</v>
      </c>
      <c r="C785" s="32">
        <v>49123</v>
      </c>
      <c r="D785" s="32">
        <v>49183</v>
      </c>
      <c r="E7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786" spans="1:6" x14ac:dyDescent="0.35">
      <c r="A786" s="3">
        <v>92562281322</v>
      </c>
      <c r="B786" s="3">
        <v>41</v>
      </c>
      <c r="C786" s="32">
        <v>49123</v>
      </c>
      <c r="D786" s="32" t="s">
        <v>87</v>
      </c>
      <c r="E7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7" spans="1:6" x14ac:dyDescent="0.35">
      <c r="A787" s="3">
        <v>45536164253</v>
      </c>
      <c r="B787" s="3">
        <v>49</v>
      </c>
      <c r="C787" s="32">
        <v>49123</v>
      </c>
      <c r="D787" s="32" t="s">
        <v>87</v>
      </c>
      <c r="E7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8" spans="1:6" x14ac:dyDescent="0.35">
      <c r="A788" s="3">
        <v>48706504819</v>
      </c>
      <c r="B788" s="3">
        <v>65</v>
      </c>
      <c r="C788" s="32">
        <v>49123</v>
      </c>
      <c r="D788" s="32"/>
      <c r="E7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9" spans="1:6" x14ac:dyDescent="0.35">
      <c r="A789" s="3">
        <v>74309087993</v>
      </c>
      <c r="B789" s="3">
        <v>79</v>
      </c>
      <c r="C789" s="32">
        <v>49123</v>
      </c>
      <c r="D789" s="32">
        <v>49151</v>
      </c>
      <c r="E7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790" spans="1:6" x14ac:dyDescent="0.35">
      <c r="A790" s="3">
        <v>46553557203</v>
      </c>
      <c r="B790" s="3">
        <v>81</v>
      </c>
      <c r="C790" s="32">
        <v>49123</v>
      </c>
      <c r="D790" s="32" t="s">
        <v>87</v>
      </c>
      <c r="E7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1" spans="1:6" x14ac:dyDescent="0.35">
      <c r="A791" s="3">
        <v>32924117087</v>
      </c>
      <c r="B791" s="3">
        <v>85</v>
      </c>
      <c r="C791" s="32">
        <v>49123</v>
      </c>
      <c r="D791" s="32"/>
      <c r="E7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2" spans="1:6" x14ac:dyDescent="0.35">
      <c r="A792" s="3">
        <v>21711116675</v>
      </c>
      <c r="B792" s="3">
        <v>87</v>
      </c>
      <c r="C792" s="32">
        <v>49123</v>
      </c>
      <c r="D792" s="32"/>
      <c r="E7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3" spans="1:6" x14ac:dyDescent="0.35">
      <c r="A793" s="3">
        <v>45770135809</v>
      </c>
      <c r="B793" s="3">
        <v>127</v>
      </c>
      <c r="C793" s="32">
        <v>49123</v>
      </c>
      <c r="D793" s="32" t="s">
        <v>87</v>
      </c>
      <c r="E7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4" spans="1:6" x14ac:dyDescent="0.35">
      <c r="A794" s="3">
        <v>89149096085</v>
      </c>
      <c r="B794" s="3">
        <v>211</v>
      </c>
      <c r="C794" s="32">
        <v>49123</v>
      </c>
      <c r="D794" s="32">
        <v>49159</v>
      </c>
      <c r="E7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795" spans="1:6" x14ac:dyDescent="0.35">
      <c r="A795" s="3">
        <v>12865599957</v>
      </c>
      <c r="B795" s="3">
        <v>213</v>
      </c>
      <c r="C795" s="32">
        <v>49123</v>
      </c>
      <c r="D795" s="32">
        <v>49131</v>
      </c>
      <c r="E7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796" spans="1:6" x14ac:dyDescent="0.35">
      <c r="A796" s="3">
        <v>48399733342</v>
      </c>
      <c r="B796" s="3">
        <v>224</v>
      </c>
      <c r="C796" s="32">
        <v>49123</v>
      </c>
      <c r="D796" s="32"/>
      <c r="E7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7" spans="1:6" x14ac:dyDescent="0.35">
      <c r="A797" s="3">
        <v>67247070705</v>
      </c>
      <c r="B797" s="3">
        <v>241</v>
      </c>
      <c r="C797" s="32">
        <v>49123</v>
      </c>
      <c r="D797" s="32"/>
      <c r="E7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8" spans="1:6" x14ac:dyDescent="0.35">
      <c r="A798" s="3">
        <v>14547197633</v>
      </c>
      <c r="B798" s="3">
        <v>253</v>
      </c>
      <c r="C798" s="32">
        <v>49123</v>
      </c>
      <c r="D798" s="32"/>
      <c r="E7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9" spans="1:6" x14ac:dyDescent="0.35">
      <c r="A799" s="3">
        <v>48403463231</v>
      </c>
      <c r="B799" s="3">
        <v>257</v>
      </c>
      <c r="C799" s="32">
        <v>49123</v>
      </c>
      <c r="D799" s="32" t="s">
        <v>87</v>
      </c>
      <c r="E7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0" spans="1:6" x14ac:dyDescent="0.35">
      <c r="A800" s="3">
        <v>83272360691</v>
      </c>
      <c r="B800" s="3">
        <v>270</v>
      </c>
      <c r="C800" s="32">
        <v>49123</v>
      </c>
      <c r="D800" s="32"/>
      <c r="E8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1" spans="1:6" x14ac:dyDescent="0.35">
      <c r="A801" s="3">
        <v>33154790361</v>
      </c>
      <c r="B801" s="3">
        <v>299</v>
      </c>
      <c r="C801" s="32">
        <v>49123</v>
      </c>
      <c r="D801" s="32" t="s">
        <v>87</v>
      </c>
      <c r="E8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2" spans="1:6" x14ac:dyDescent="0.35">
      <c r="A802" s="3">
        <v>23971017017</v>
      </c>
      <c r="B802" s="3">
        <v>301</v>
      </c>
      <c r="C802" s="32">
        <v>49123</v>
      </c>
      <c r="D802" s="32" t="s">
        <v>87</v>
      </c>
      <c r="E8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3" spans="1:6" x14ac:dyDescent="0.35">
      <c r="A803" s="3">
        <v>66139149065</v>
      </c>
      <c r="B803" s="3">
        <v>321</v>
      </c>
      <c r="C803" s="32">
        <v>49123</v>
      </c>
      <c r="D803" s="32"/>
      <c r="E8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4" spans="1:6" x14ac:dyDescent="0.35">
      <c r="A804" s="3">
        <v>56811261634</v>
      </c>
      <c r="B804" s="3">
        <v>324</v>
      </c>
      <c r="C804" s="32">
        <v>49123</v>
      </c>
      <c r="D804" s="32"/>
      <c r="E8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5" spans="1:6" x14ac:dyDescent="0.35">
      <c r="A805" s="3">
        <v>91557912533</v>
      </c>
      <c r="B805" s="3">
        <v>326</v>
      </c>
      <c r="C805" s="32">
        <v>49123</v>
      </c>
      <c r="D805" s="32" t="s">
        <v>87</v>
      </c>
      <c r="E8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6" spans="1:6" x14ac:dyDescent="0.35">
      <c r="A806" s="3">
        <v>63741923021</v>
      </c>
      <c r="B806" s="3">
        <v>333</v>
      </c>
      <c r="C806" s="32">
        <v>49123</v>
      </c>
      <c r="D806" s="32"/>
      <c r="E8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7" spans="1:6" x14ac:dyDescent="0.35">
      <c r="A807" s="3">
        <v>87504700820</v>
      </c>
      <c r="B807" s="3">
        <v>5</v>
      </c>
      <c r="C807" s="32">
        <v>49124</v>
      </c>
      <c r="D807" s="32"/>
      <c r="E8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8" spans="1:6" x14ac:dyDescent="0.35">
      <c r="A808" s="3">
        <v>61973555842</v>
      </c>
      <c r="B808" s="3">
        <v>31</v>
      </c>
      <c r="C808" s="32">
        <v>49124</v>
      </c>
      <c r="D808" s="32">
        <v>49189</v>
      </c>
      <c r="E8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09" spans="1:6" x14ac:dyDescent="0.35">
      <c r="A809" s="3">
        <v>93944570468</v>
      </c>
      <c r="B809" s="3">
        <v>46</v>
      </c>
      <c r="C809" s="32">
        <v>49124</v>
      </c>
      <c r="D809" s="32" t="s">
        <v>87</v>
      </c>
      <c r="E8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0" spans="1:6" x14ac:dyDescent="0.35">
      <c r="A810" s="3">
        <v>81419666440</v>
      </c>
      <c r="B810" s="3">
        <v>54</v>
      </c>
      <c r="C810" s="32">
        <v>49124</v>
      </c>
      <c r="D810" s="32" t="s">
        <v>87</v>
      </c>
      <c r="E8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1" spans="1:6" x14ac:dyDescent="0.35">
      <c r="A811" s="3">
        <v>29436738076</v>
      </c>
      <c r="B811" s="3">
        <v>63</v>
      </c>
      <c r="C811" s="32">
        <v>49124</v>
      </c>
      <c r="D811" s="32"/>
      <c r="E8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2" spans="1:6" x14ac:dyDescent="0.35">
      <c r="A812" s="3">
        <v>27060404735</v>
      </c>
      <c r="B812" s="3">
        <v>67</v>
      </c>
      <c r="C812" s="32">
        <v>49124</v>
      </c>
      <c r="D812" s="32" t="s">
        <v>87</v>
      </c>
      <c r="E8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3" spans="1:6" x14ac:dyDescent="0.35">
      <c r="A813" s="3">
        <v>45884479832</v>
      </c>
      <c r="B813" s="3">
        <v>74</v>
      </c>
      <c r="C813" s="32">
        <v>49124</v>
      </c>
      <c r="D813" s="32" t="s">
        <v>87</v>
      </c>
      <c r="E8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4" spans="1:6" x14ac:dyDescent="0.35">
      <c r="A814" s="3">
        <v>88232186588</v>
      </c>
      <c r="B814" s="3">
        <v>76</v>
      </c>
      <c r="C814" s="32">
        <v>49124</v>
      </c>
      <c r="D814" s="32" t="s">
        <v>87</v>
      </c>
      <c r="E8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5" spans="1:6" x14ac:dyDescent="0.35">
      <c r="A815" s="3">
        <v>27137406885</v>
      </c>
      <c r="B815" s="3">
        <v>80</v>
      </c>
      <c r="C815" s="32">
        <v>49124</v>
      </c>
      <c r="D815" s="32"/>
      <c r="E8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6" spans="1:6" x14ac:dyDescent="0.35">
      <c r="A816" s="3">
        <v>18735526676</v>
      </c>
      <c r="B816" s="3">
        <v>106</v>
      </c>
      <c r="C816" s="32">
        <v>49124</v>
      </c>
      <c r="D816" s="32" t="s">
        <v>87</v>
      </c>
      <c r="E8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7" spans="1:6" x14ac:dyDescent="0.35">
      <c r="A817" s="3">
        <v>18389132051</v>
      </c>
      <c r="B817" s="3">
        <v>131</v>
      </c>
      <c r="C817" s="32">
        <v>49124</v>
      </c>
      <c r="D817" s="32" t="s">
        <v>87</v>
      </c>
      <c r="E8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8" spans="1:6" x14ac:dyDescent="0.35">
      <c r="A818" s="3">
        <v>26675958214</v>
      </c>
      <c r="B818" s="3">
        <v>132</v>
      </c>
      <c r="C818" s="32">
        <v>49124</v>
      </c>
      <c r="D818" s="32"/>
      <c r="E8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9" spans="1:6" x14ac:dyDescent="0.35">
      <c r="A819" s="3">
        <v>53207430505</v>
      </c>
      <c r="B819" s="3">
        <v>156</v>
      </c>
      <c r="C819" s="32">
        <v>49124</v>
      </c>
      <c r="D819" s="32">
        <v>49206</v>
      </c>
      <c r="E8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20" spans="1:6" x14ac:dyDescent="0.35">
      <c r="A820" s="3">
        <v>58164715539</v>
      </c>
      <c r="B820" s="3">
        <v>167</v>
      </c>
      <c r="C820" s="32">
        <v>49124</v>
      </c>
      <c r="D820" s="32" t="s">
        <v>87</v>
      </c>
      <c r="E8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1" spans="1:6" x14ac:dyDescent="0.35">
      <c r="A821" s="3">
        <v>82939861040</v>
      </c>
      <c r="B821" s="3">
        <v>170</v>
      </c>
      <c r="C821" s="32">
        <v>49124</v>
      </c>
      <c r="D821" s="32" t="s">
        <v>87</v>
      </c>
      <c r="E8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2" spans="1:6" x14ac:dyDescent="0.35">
      <c r="A822" s="3">
        <v>43144680688</v>
      </c>
      <c r="B822" s="3">
        <v>172</v>
      </c>
      <c r="C822" s="32">
        <v>49124</v>
      </c>
      <c r="D822" s="32" t="s">
        <v>87</v>
      </c>
      <c r="E8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3" spans="1:6" x14ac:dyDescent="0.35">
      <c r="A823" s="3">
        <v>79517428260</v>
      </c>
      <c r="B823" s="3">
        <v>172</v>
      </c>
      <c r="C823" s="32">
        <v>49124</v>
      </c>
      <c r="D823" s="32" t="s">
        <v>87</v>
      </c>
      <c r="E8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4" spans="1:6" x14ac:dyDescent="0.35">
      <c r="A824" s="3">
        <v>37667378140</v>
      </c>
      <c r="B824" s="3">
        <v>173</v>
      </c>
      <c r="C824" s="32">
        <v>49124</v>
      </c>
      <c r="D824" s="32" t="s">
        <v>87</v>
      </c>
      <c r="E8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5" spans="1:6" x14ac:dyDescent="0.35">
      <c r="A825" s="3">
        <v>78137937475</v>
      </c>
      <c r="B825" s="3">
        <v>210</v>
      </c>
      <c r="C825" s="32">
        <v>49124</v>
      </c>
      <c r="D825" s="32" t="s">
        <v>87</v>
      </c>
      <c r="E8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6" spans="1:6" x14ac:dyDescent="0.35">
      <c r="A826" s="3">
        <v>77326099748</v>
      </c>
      <c r="B826" s="3">
        <v>235</v>
      </c>
      <c r="C826" s="32">
        <v>49124</v>
      </c>
      <c r="D826" s="32" t="s">
        <v>87</v>
      </c>
      <c r="E8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7" spans="1:6" x14ac:dyDescent="0.35">
      <c r="A827" s="3">
        <v>56328586999</v>
      </c>
      <c r="B827" s="3">
        <v>258</v>
      </c>
      <c r="C827" s="32">
        <v>49124</v>
      </c>
      <c r="D827" s="32" t="s">
        <v>87</v>
      </c>
      <c r="E8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8" spans="1:6" x14ac:dyDescent="0.35">
      <c r="A828" s="3">
        <v>35531491430</v>
      </c>
      <c r="B828" s="3">
        <v>284</v>
      </c>
      <c r="C828" s="32">
        <v>49124</v>
      </c>
      <c r="D828" s="32" t="s">
        <v>87</v>
      </c>
      <c r="E8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9" spans="1:6" x14ac:dyDescent="0.35">
      <c r="A829" s="3">
        <v>53288734842</v>
      </c>
      <c r="B829" s="3">
        <v>304</v>
      </c>
      <c r="C829" s="32">
        <v>49124</v>
      </c>
      <c r="D829" s="32"/>
      <c r="E8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0" spans="1:6" x14ac:dyDescent="0.35">
      <c r="A830" s="3">
        <v>88584283836</v>
      </c>
      <c r="B830" s="3">
        <v>331</v>
      </c>
      <c r="C830" s="32">
        <v>49124</v>
      </c>
      <c r="D830" s="32">
        <v>49205</v>
      </c>
      <c r="E8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31" spans="1:6" x14ac:dyDescent="0.35">
      <c r="A831" s="3">
        <v>28750443238</v>
      </c>
      <c r="B831" s="3">
        <v>3</v>
      </c>
      <c r="C831" s="32">
        <v>49125</v>
      </c>
      <c r="D831" s="32"/>
      <c r="E8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2" spans="1:6" x14ac:dyDescent="0.35">
      <c r="A832" s="3">
        <v>76041601855</v>
      </c>
      <c r="B832" s="3">
        <v>20</v>
      </c>
      <c r="C832" s="32">
        <v>49125</v>
      </c>
      <c r="D832" s="32">
        <v>49203</v>
      </c>
      <c r="E8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33" spans="1:6" x14ac:dyDescent="0.35">
      <c r="A833" s="3">
        <v>82754263583</v>
      </c>
      <c r="B833" s="3">
        <v>30</v>
      </c>
      <c r="C833" s="32">
        <v>49125</v>
      </c>
      <c r="D833" s="32">
        <v>49186</v>
      </c>
      <c r="E8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834" spans="1:6" x14ac:dyDescent="0.35">
      <c r="A834" s="3">
        <v>58616609092</v>
      </c>
      <c r="B834" s="3">
        <v>32</v>
      </c>
      <c r="C834" s="32">
        <v>49125</v>
      </c>
      <c r="D834" s="32" t="s">
        <v>87</v>
      </c>
      <c r="E8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5" spans="1:6" x14ac:dyDescent="0.35">
      <c r="A835" s="3">
        <v>52784225667</v>
      </c>
      <c r="B835" s="3">
        <v>43</v>
      </c>
      <c r="C835" s="32">
        <v>49125</v>
      </c>
      <c r="D835" s="32" t="s">
        <v>87</v>
      </c>
      <c r="E8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6" spans="1:6" x14ac:dyDescent="0.35">
      <c r="A836" s="3">
        <v>73538942801</v>
      </c>
      <c r="B836" s="3">
        <v>58</v>
      </c>
      <c r="C836" s="32">
        <v>49125</v>
      </c>
      <c r="D836" s="32"/>
      <c r="E8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7" spans="1:6" x14ac:dyDescent="0.35">
      <c r="A837" s="3">
        <v>98289925565</v>
      </c>
      <c r="B837" s="3">
        <v>80</v>
      </c>
      <c r="C837" s="32">
        <v>49125</v>
      </c>
      <c r="D837" s="32"/>
      <c r="E8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8" spans="1:6" x14ac:dyDescent="0.35">
      <c r="A838" s="3">
        <v>11988368769</v>
      </c>
      <c r="B838" s="3">
        <v>110</v>
      </c>
      <c r="C838" s="32">
        <v>49125</v>
      </c>
      <c r="D838" s="32" t="s">
        <v>87</v>
      </c>
      <c r="E8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9" spans="1:6" x14ac:dyDescent="0.35">
      <c r="A839" s="3">
        <v>56187951936</v>
      </c>
      <c r="B839" s="3">
        <v>112</v>
      </c>
      <c r="C839" s="32">
        <v>49125</v>
      </c>
      <c r="D839" s="32">
        <v>49152</v>
      </c>
      <c r="E8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840" spans="1:6" x14ac:dyDescent="0.35">
      <c r="A840" s="3">
        <v>73528405165</v>
      </c>
      <c r="B840" s="3">
        <v>119</v>
      </c>
      <c r="C840" s="32">
        <v>49125</v>
      </c>
      <c r="D840" s="32">
        <v>49126</v>
      </c>
      <c r="E8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841" spans="1:6" x14ac:dyDescent="0.35">
      <c r="A841" s="3">
        <v>24076084288</v>
      </c>
      <c r="B841" s="3">
        <v>124</v>
      </c>
      <c r="C841" s="32">
        <v>49125</v>
      </c>
      <c r="D841" s="32">
        <v>49178</v>
      </c>
      <c r="E8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842" spans="1:6" x14ac:dyDescent="0.35">
      <c r="A842" s="3">
        <v>45140495647</v>
      </c>
      <c r="B842" s="3">
        <v>139</v>
      </c>
      <c r="C842" s="32">
        <v>49125</v>
      </c>
      <c r="D842" s="32"/>
      <c r="E8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3" spans="1:6" x14ac:dyDescent="0.35">
      <c r="A843" s="3">
        <v>77059291140</v>
      </c>
      <c r="B843" s="3">
        <v>152</v>
      </c>
      <c r="C843" s="32">
        <v>49125</v>
      </c>
      <c r="D843" s="32" t="s">
        <v>87</v>
      </c>
      <c r="E8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4" spans="1:6" x14ac:dyDescent="0.35">
      <c r="A844" s="3">
        <v>66866342994</v>
      </c>
      <c r="B844" s="3">
        <v>184</v>
      </c>
      <c r="C844" s="32">
        <v>49125</v>
      </c>
      <c r="D844" s="32" t="s">
        <v>87</v>
      </c>
      <c r="E8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5" spans="1:6" x14ac:dyDescent="0.35">
      <c r="A845" s="3">
        <v>67602448349</v>
      </c>
      <c r="B845" s="3">
        <v>191</v>
      </c>
      <c r="C845" s="32">
        <v>49125</v>
      </c>
      <c r="D845" s="32" t="s">
        <v>87</v>
      </c>
      <c r="E8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6" spans="1:6" x14ac:dyDescent="0.35">
      <c r="A846" s="3">
        <v>80253047093</v>
      </c>
      <c r="B846" s="3">
        <v>236</v>
      </c>
      <c r="C846" s="32">
        <v>49125</v>
      </c>
      <c r="D846" s="32" t="s">
        <v>87</v>
      </c>
      <c r="E8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7" spans="1:6" x14ac:dyDescent="0.35">
      <c r="A847" s="3">
        <v>38471034630</v>
      </c>
      <c r="B847" s="3">
        <v>263</v>
      </c>
      <c r="C847" s="32">
        <v>49125</v>
      </c>
      <c r="D847" s="32"/>
      <c r="E8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8" spans="1:6" x14ac:dyDescent="0.35">
      <c r="A848" s="3">
        <v>88730976583</v>
      </c>
      <c r="B848" s="3">
        <v>287</v>
      </c>
      <c r="C848" s="32">
        <v>49125</v>
      </c>
      <c r="D848" s="32" t="s">
        <v>87</v>
      </c>
      <c r="E8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9" spans="1:6" x14ac:dyDescent="0.35">
      <c r="A849" s="3">
        <v>39942173399</v>
      </c>
      <c r="B849" s="3">
        <v>291</v>
      </c>
      <c r="C849" s="32">
        <v>49125</v>
      </c>
      <c r="D849" s="32" t="s">
        <v>87</v>
      </c>
      <c r="E8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0" spans="1:6" x14ac:dyDescent="0.35">
      <c r="A850" s="3">
        <v>81658649032</v>
      </c>
      <c r="B850" s="3">
        <v>292</v>
      </c>
      <c r="C850" s="32">
        <v>49125</v>
      </c>
      <c r="D850" s="32"/>
      <c r="E8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1" spans="1:6" x14ac:dyDescent="0.35">
      <c r="A851" s="3">
        <v>35660727677</v>
      </c>
      <c r="B851" s="3">
        <v>311</v>
      </c>
      <c r="C851" s="32">
        <v>49125</v>
      </c>
      <c r="D851" s="32" t="s">
        <v>87</v>
      </c>
      <c r="E8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2" spans="1:6" x14ac:dyDescent="0.35">
      <c r="A852" s="3">
        <v>51248643688</v>
      </c>
      <c r="B852" s="3">
        <v>312</v>
      </c>
      <c r="C852" s="32">
        <v>49125</v>
      </c>
      <c r="D852" s="32" t="s">
        <v>87</v>
      </c>
      <c r="E8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3" spans="1:6" x14ac:dyDescent="0.35">
      <c r="A853" s="3">
        <v>85597588840</v>
      </c>
      <c r="B853" s="3">
        <v>2</v>
      </c>
      <c r="C853" s="32">
        <v>49126</v>
      </c>
      <c r="D853" s="32" t="s">
        <v>87</v>
      </c>
      <c r="E8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4" spans="1:6" x14ac:dyDescent="0.35">
      <c r="A854" s="3">
        <v>92481886532</v>
      </c>
      <c r="B854" s="3">
        <v>23</v>
      </c>
      <c r="C854" s="32">
        <v>49126</v>
      </c>
      <c r="D854" s="32"/>
      <c r="E8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5" spans="1:6" x14ac:dyDescent="0.35">
      <c r="A855" s="3">
        <v>67383012930</v>
      </c>
      <c r="B855" s="3">
        <v>39</v>
      </c>
      <c r="C855" s="32">
        <v>49126</v>
      </c>
      <c r="D855" s="32" t="s">
        <v>87</v>
      </c>
      <c r="E8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6" spans="1:6" x14ac:dyDescent="0.35">
      <c r="A856" s="3">
        <v>60974686343</v>
      </c>
      <c r="B856" s="3">
        <v>40</v>
      </c>
      <c r="C856" s="32">
        <v>49126</v>
      </c>
      <c r="D856" s="32" t="s">
        <v>87</v>
      </c>
      <c r="E8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7" spans="1:6" x14ac:dyDescent="0.35">
      <c r="A857" s="3">
        <v>86370576590</v>
      </c>
      <c r="B857" s="3">
        <v>46</v>
      </c>
      <c r="C857" s="32">
        <v>49126</v>
      </c>
      <c r="D857" s="32" t="s">
        <v>87</v>
      </c>
      <c r="E8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8" spans="1:6" x14ac:dyDescent="0.35">
      <c r="A858" s="3">
        <v>91809130622</v>
      </c>
      <c r="B858" s="3">
        <v>87</v>
      </c>
      <c r="C858" s="32">
        <v>49126</v>
      </c>
      <c r="D858" s="32">
        <v>49152</v>
      </c>
      <c r="E8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859" spans="1:6" x14ac:dyDescent="0.35">
      <c r="A859" s="3">
        <v>98051540035</v>
      </c>
      <c r="B859" s="3">
        <v>96</v>
      </c>
      <c r="C859" s="32">
        <v>49126</v>
      </c>
      <c r="D859" s="32">
        <v>49241</v>
      </c>
      <c r="E8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860" spans="1:6" x14ac:dyDescent="0.35">
      <c r="A860" s="3">
        <v>13637592571</v>
      </c>
      <c r="B860" s="3">
        <v>96</v>
      </c>
      <c r="C860" s="32">
        <v>49126</v>
      </c>
      <c r="D860" s="32" t="s">
        <v>87</v>
      </c>
      <c r="E8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1" spans="1:6" x14ac:dyDescent="0.35">
      <c r="A861" s="3">
        <v>20685575326</v>
      </c>
      <c r="B861" s="3">
        <v>112</v>
      </c>
      <c r="C861" s="32">
        <v>49126</v>
      </c>
      <c r="D861" s="32" t="s">
        <v>87</v>
      </c>
      <c r="E8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2" spans="1:6" x14ac:dyDescent="0.35">
      <c r="A862" s="3">
        <v>59373563851</v>
      </c>
      <c r="B862" s="3">
        <v>120</v>
      </c>
      <c r="C862" s="32">
        <v>49126</v>
      </c>
      <c r="D862" s="32" t="s">
        <v>87</v>
      </c>
      <c r="E8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3" spans="1:6" x14ac:dyDescent="0.35">
      <c r="A863" s="3">
        <v>92336037120</v>
      </c>
      <c r="B863" s="3">
        <v>161</v>
      </c>
      <c r="C863" s="32">
        <v>49126</v>
      </c>
      <c r="D863" s="32" t="s">
        <v>87</v>
      </c>
      <c r="E8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4" spans="1:6" x14ac:dyDescent="0.35">
      <c r="A864" s="3">
        <v>37355318107</v>
      </c>
      <c r="B864" s="3">
        <v>172</v>
      </c>
      <c r="C864" s="32">
        <v>49126</v>
      </c>
      <c r="D864" s="32">
        <v>49197</v>
      </c>
      <c r="E8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65" spans="1:6" x14ac:dyDescent="0.35">
      <c r="A865" s="3">
        <v>30487113130</v>
      </c>
      <c r="B865" s="3">
        <v>175</v>
      </c>
      <c r="C865" s="32">
        <v>49126</v>
      </c>
      <c r="D865" s="32">
        <v>49129</v>
      </c>
      <c r="E8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866" spans="1:6" x14ac:dyDescent="0.35">
      <c r="A866" s="3">
        <v>96454120029</v>
      </c>
      <c r="B866" s="3">
        <v>180</v>
      </c>
      <c r="C866" s="32">
        <v>49126</v>
      </c>
      <c r="D866" s="32" t="s">
        <v>87</v>
      </c>
      <c r="E8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7" spans="1:6" x14ac:dyDescent="0.35">
      <c r="A867" s="3">
        <v>73547296448</v>
      </c>
      <c r="B867" s="3">
        <v>184</v>
      </c>
      <c r="C867" s="32">
        <v>49126</v>
      </c>
      <c r="D867" s="32" t="s">
        <v>87</v>
      </c>
      <c r="E8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8" spans="1:6" x14ac:dyDescent="0.35">
      <c r="A868" s="3">
        <v>91122993858</v>
      </c>
      <c r="B868" s="3">
        <v>190</v>
      </c>
      <c r="C868" s="32">
        <v>49126</v>
      </c>
      <c r="D868" s="32">
        <v>49196</v>
      </c>
      <c r="E8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69" spans="1:6" x14ac:dyDescent="0.35">
      <c r="A869" s="3">
        <v>82438682711</v>
      </c>
      <c r="B869" s="3">
        <v>190</v>
      </c>
      <c r="C869" s="32">
        <v>49126</v>
      </c>
      <c r="D869" s="32" t="s">
        <v>87</v>
      </c>
      <c r="E8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0" spans="1:6" x14ac:dyDescent="0.35">
      <c r="A870" s="3">
        <v>92193766367</v>
      </c>
      <c r="B870" s="3">
        <v>196</v>
      </c>
      <c r="C870" s="32">
        <v>49126</v>
      </c>
      <c r="D870" s="32" t="s">
        <v>87</v>
      </c>
      <c r="E8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1" spans="1:6" x14ac:dyDescent="0.35">
      <c r="A871" s="3">
        <v>58089163987</v>
      </c>
      <c r="B871" s="3">
        <v>220</v>
      </c>
      <c r="C871" s="32">
        <v>49126</v>
      </c>
      <c r="D871" s="32" t="s">
        <v>87</v>
      </c>
      <c r="E8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2" spans="1:6" x14ac:dyDescent="0.35">
      <c r="A872" s="3">
        <v>33861321904</v>
      </c>
      <c r="B872" s="3">
        <v>232</v>
      </c>
      <c r="C872" s="32">
        <v>49126</v>
      </c>
      <c r="D872" s="32" t="s">
        <v>87</v>
      </c>
      <c r="E8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3" spans="1:6" x14ac:dyDescent="0.35">
      <c r="A873" s="3">
        <v>76058655338</v>
      </c>
      <c r="B873" s="3">
        <v>238</v>
      </c>
      <c r="C873" s="32">
        <v>49126</v>
      </c>
      <c r="D873" s="32"/>
      <c r="E8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4" spans="1:6" x14ac:dyDescent="0.35">
      <c r="A874" s="3">
        <v>91836022701</v>
      </c>
      <c r="B874" s="3">
        <v>245</v>
      </c>
      <c r="C874" s="32">
        <v>49126</v>
      </c>
      <c r="D874" s="32" t="s">
        <v>87</v>
      </c>
      <c r="E8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5" spans="1:6" x14ac:dyDescent="0.35">
      <c r="A875" s="3">
        <v>21376510085</v>
      </c>
      <c r="B875" s="3">
        <v>260</v>
      </c>
      <c r="C875" s="32">
        <v>49126</v>
      </c>
      <c r="D875" s="32" t="s">
        <v>87</v>
      </c>
      <c r="E8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6" spans="1:6" x14ac:dyDescent="0.35">
      <c r="A876" s="3">
        <v>25148112272</v>
      </c>
      <c r="B876" s="3">
        <v>261</v>
      </c>
      <c r="C876" s="32">
        <v>49126</v>
      </c>
      <c r="D876" s="32" t="s">
        <v>87</v>
      </c>
      <c r="E8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7" spans="1:6" x14ac:dyDescent="0.35">
      <c r="A877" s="3">
        <v>35233435278</v>
      </c>
      <c r="B877" s="3">
        <v>268</v>
      </c>
      <c r="C877" s="32">
        <v>49126</v>
      </c>
      <c r="D877" s="32" t="s">
        <v>87</v>
      </c>
      <c r="E8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8" spans="1:6" x14ac:dyDescent="0.35">
      <c r="A878" s="3">
        <v>26257771630</v>
      </c>
      <c r="B878" s="3">
        <v>274</v>
      </c>
      <c r="C878" s="32">
        <v>49126</v>
      </c>
      <c r="D878" s="32"/>
      <c r="E8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9" spans="1:6" x14ac:dyDescent="0.35">
      <c r="A879" s="3">
        <v>21842597103</v>
      </c>
      <c r="B879" s="3">
        <v>289</v>
      </c>
      <c r="C879" s="32">
        <v>49126</v>
      </c>
      <c r="D879" s="32" t="s">
        <v>87</v>
      </c>
      <c r="E8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0" spans="1:6" x14ac:dyDescent="0.35">
      <c r="A880" s="3">
        <v>61148579356</v>
      </c>
      <c r="B880" s="3">
        <v>289</v>
      </c>
      <c r="C880" s="32">
        <v>49126</v>
      </c>
      <c r="D880" s="32" t="s">
        <v>87</v>
      </c>
      <c r="E8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1" spans="1:6" x14ac:dyDescent="0.35">
      <c r="A881" s="3">
        <v>69195622129</v>
      </c>
      <c r="B881" s="3">
        <v>312</v>
      </c>
      <c r="C881" s="32">
        <v>49126</v>
      </c>
      <c r="D881" s="32" t="s">
        <v>87</v>
      </c>
      <c r="E8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2" spans="1:6" x14ac:dyDescent="0.35">
      <c r="A882" s="3">
        <v>38155186358</v>
      </c>
      <c r="B882" s="3">
        <v>332</v>
      </c>
      <c r="C882" s="32">
        <v>49126</v>
      </c>
      <c r="D882" s="32" t="s">
        <v>87</v>
      </c>
      <c r="E8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3" spans="1:6" x14ac:dyDescent="0.35">
      <c r="A883" s="3">
        <v>14162203218</v>
      </c>
      <c r="B883" s="3">
        <v>336</v>
      </c>
      <c r="C883" s="32">
        <v>49126</v>
      </c>
      <c r="D883" s="32" t="s">
        <v>87</v>
      </c>
      <c r="E8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4" spans="1:6" x14ac:dyDescent="0.35">
      <c r="A884" s="3">
        <v>14506369237</v>
      </c>
      <c r="B884" s="3">
        <v>1</v>
      </c>
      <c r="C884" s="32">
        <v>49127</v>
      </c>
      <c r="D884" s="32">
        <v>49231</v>
      </c>
      <c r="E8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885" spans="1:6" x14ac:dyDescent="0.35">
      <c r="A885" s="3">
        <v>75278138310</v>
      </c>
      <c r="B885" s="3">
        <v>5</v>
      </c>
      <c r="C885" s="32">
        <v>49127</v>
      </c>
      <c r="D885" s="32">
        <v>49234</v>
      </c>
      <c r="E8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886" spans="1:6" x14ac:dyDescent="0.35">
      <c r="A886" s="3">
        <v>33055692727</v>
      </c>
      <c r="B886" s="3">
        <v>17</v>
      </c>
      <c r="C886" s="32">
        <v>49127</v>
      </c>
      <c r="D886" s="32" t="s">
        <v>87</v>
      </c>
      <c r="E8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7" spans="1:6" x14ac:dyDescent="0.35">
      <c r="A887" s="3">
        <v>55651533536</v>
      </c>
      <c r="B887" s="3">
        <v>39</v>
      </c>
      <c r="C887" s="32">
        <v>49127</v>
      </c>
      <c r="D887" s="32"/>
      <c r="E8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8" spans="1:6" x14ac:dyDescent="0.35">
      <c r="A888" s="3">
        <v>73482366047</v>
      </c>
      <c r="B888" s="3">
        <v>43</v>
      </c>
      <c r="C888" s="32">
        <v>49127</v>
      </c>
      <c r="D888" s="32" t="s">
        <v>87</v>
      </c>
      <c r="E8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9" spans="1:6" x14ac:dyDescent="0.35">
      <c r="A889" s="3">
        <v>95890894836</v>
      </c>
      <c r="B889" s="3">
        <v>47</v>
      </c>
      <c r="C889" s="32">
        <v>49127</v>
      </c>
      <c r="D889" s="32" t="s">
        <v>87</v>
      </c>
      <c r="E8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0" spans="1:6" x14ac:dyDescent="0.35">
      <c r="A890" s="3">
        <v>48698908159</v>
      </c>
      <c r="B890" s="3">
        <v>49</v>
      </c>
      <c r="C890" s="32">
        <v>49127</v>
      </c>
      <c r="D890" s="32" t="s">
        <v>87</v>
      </c>
      <c r="E8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1" spans="1:6" x14ac:dyDescent="0.35">
      <c r="A891" s="3">
        <v>68199923393</v>
      </c>
      <c r="B891" s="3">
        <v>53</v>
      </c>
      <c r="C891" s="32">
        <v>49127</v>
      </c>
      <c r="D891" s="32" t="s">
        <v>87</v>
      </c>
      <c r="E8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2" spans="1:6" x14ac:dyDescent="0.35">
      <c r="A892" s="3">
        <v>29465609449</v>
      </c>
      <c r="B892" s="3">
        <v>57</v>
      </c>
      <c r="C892" s="32">
        <v>49127</v>
      </c>
      <c r="D892" s="32"/>
      <c r="E8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3" spans="1:6" x14ac:dyDescent="0.35">
      <c r="A893" s="3">
        <v>31183270027</v>
      </c>
      <c r="B893" s="3">
        <v>96</v>
      </c>
      <c r="C893" s="32">
        <v>49127</v>
      </c>
      <c r="D893" s="32"/>
      <c r="E8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4" spans="1:6" x14ac:dyDescent="0.35">
      <c r="A894" s="3">
        <v>82209764401</v>
      </c>
      <c r="B894" s="3">
        <v>130</v>
      </c>
      <c r="C894" s="32">
        <v>49127</v>
      </c>
      <c r="D894" s="32" t="s">
        <v>87</v>
      </c>
      <c r="E8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5" spans="1:6" x14ac:dyDescent="0.35">
      <c r="A895" s="3">
        <v>24331051008</v>
      </c>
      <c r="B895" s="3">
        <v>136</v>
      </c>
      <c r="C895" s="32">
        <v>49127</v>
      </c>
      <c r="D895" s="32" t="s">
        <v>87</v>
      </c>
      <c r="E8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6" spans="1:6" x14ac:dyDescent="0.35">
      <c r="A896" s="3">
        <v>11898312281</v>
      </c>
      <c r="B896" s="3">
        <v>137</v>
      </c>
      <c r="C896" s="32">
        <v>49127</v>
      </c>
      <c r="D896" s="32">
        <v>49190</v>
      </c>
      <c r="E8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97" spans="1:6" x14ac:dyDescent="0.35">
      <c r="A897" s="3">
        <v>87078594163</v>
      </c>
      <c r="B897" s="3">
        <v>156</v>
      </c>
      <c r="C897" s="32">
        <v>49127</v>
      </c>
      <c r="D897" s="32">
        <v>49218</v>
      </c>
      <c r="E8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898" spans="1:6" x14ac:dyDescent="0.35">
      <c r="A898" s="3">
        <v>55898908290</v>
      </c>
      <c r="B898" s="3">
        <v>164</v>
      </c>
      <c r="C898" s="32">
        <v>49127</v>
      </c>
      <c r="D898" s="32" t="s">
        <v>87</v>
      </c>
      <c r="E8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9" spans="1:6" x14ac:dyDescent="0.35">
      <c r="A899" s="3">
        <v>30932071097</v>
      </c>
      <c r="B899" s="3">
        <v>195</v>
      </c>
      <c r="C899" s="32">
        <v>49127</v>
      </c>
      <c r="D899" s="32" t="s">
        <v>87</v>
      </c>
      <c r="E8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0" spans="1:6" x14ac:dyDescent="0.35">
      <c r="A900" s="3">
        <v>76676708268</v>
      </c>
      <c r="B900" s="3">
        <v>199</v>
      </c>
      <c r="C900" s="32">
        <v>49127</v>
      </c>
      <c r="D900" s="32" t="s">
        <v>87</v>
      </c>
      <c r="E9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1" spans="1:6" x14ac:dyDescent="0.35">
      <c r="A901" s="3">
        <v>88583341190</v>
      </c>
      <c r="B901" s="3">
        <v>200</v>
      </c>
      <c r="C901" s="32">
        <v>49127</v>
      </c>
      <c r="D901" s="32" t="s">
        <v>87</v>
      </c>
      <c r="E9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2" spans="1:6" x14ac:dyDescent="0.35">
      <c r="A902" s="3">
        <v>14278083367</v>
      </c>
      <c r="B902" s="3">
        <v>253</v>
      </c>
      <c r="C902" s="32">
        <v>49127</v>
      </c>
      <c r="D902" s="32"/>
      <c r="E9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3" spans="1:6" x14ac:dyDescent="0.35">
      <c r="A903" s="3">
        <v>44728123168</v>
      </c>
      <c r="B903" s="3">
        <v>272</v>
      </c>
      <c r="C903" s="32">
        <v>49127</v>
      </c>
      <c r="D903" s="32">
        <v>49245</v>
      </c>
      <c r="E9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04" spans="1:6" x14ac:dyDescent="0.35">
      <c r="A904" s="3">
        <v>36571233624</v>
      </c>
      <c r="B904" s="3">
        <v>280</v>
      </c>
      <c r="C904" s="32">
        <v>49127</v>
      </c>
      <c r="D904" s="32"/>
      <c r="E9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5" spans="1:6" x14ac:dyDescent="0.35">
      <c r="A905" s="3">
        <v>17294567116</v>
      </c>
      <c r="B905" s="3">
        <v>286</v>
      </c>
      <c r="C905" s="32">
        <v>49127</v>
      </c>
      <c r="D905" s="32">
        <v>49134</v>
      </c>
      <c r="E9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06" spans="1:6" x14ac:dyDescent="0.35">
      <c r="A906" s="3">
        <v>62715446958</v>
      </c>
      <c r="B906" s="3">
        <v>329</v>
      </c>
      <c r="C906" s="32">
        <v>49127</v>
      </c>
      <c r="D906" s="32"/>
      <c r="E9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7" spans="1:6" x14ac:dyDescent="0.35">
      <c r="A907" s="3">
        <v>21152426434</v>
      </c>
      <c r="B907" s="3">
        <v>335</v>
      </c>
      <c r="C907" s="32">
        <v>49127</v>
      </c>
      <c r="D907" s="32" t="s">
        <v>87</v>
      </c>
      <c r="E9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8" spans="1:6" x14ac:dyDescent="0.35">
      <c r="A908" s="3">
        <v>71051588983</v>
      </c>
      <c r="B908" s="3">
        <v>22</v>
      </c>
      <c r="C908" s="32">
        <v>49128</v>
      </c>
      <c r="D908" s="32">
        <v>49228</v>
      </c>
      <c r="E9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09" spans="1:6" x14ac:dyDescent="0.35">
      <c r="A909" s="3">
        <v>63866622804</v>
      </c>
      <c r="B909" s="3">
        <v>27</v>
      </c>
      <c r="C909" s="32">
        <v>49128</v>
      </c>
      <c r="D909" s="32">
        <v>49166</v>
      </c>
      <c r="E9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910" spans="1:6" x14ac:dyDescent="0.35">
      <c r="A910" s="3">
        <v>80684223971</v>
      </c>
      <c r="B910" s="3">
        <v>28</v>
      </c>
      <c r="C910" s="32">
        <v>49128</v>
      </c>
      <c r="D910" s="32"/>
      <c r="E9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1" spans="1:6" x14ac:dyDescent="0.35">
      <c r="A911" s="3">
        <v>87648209992</v>
      </c>
      <c r="B911" s="3">
        <v>42</v>
      </c>
      <c r="C911" s="32">
        <v>49128</v>
      </c>
      <c r="D911" s="32" t="s">
        <v>87</v>
      </c>
      <c r="E9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2" spans="1:6" x14ac:dyDescent="0.35">
      <c r="A912" s="3">
        <v>13317253263</v>
      </c>
      <c r="B912" s="3">
        <v>50</v>
      </c>
      <c r="C912" s="32">
        <v>49128</v>
      </c>
      <c r="D912" s="32" t="s">
        <v>87</v>
      </c>
      <c r="E9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3" spans="1:6" x14ac:dyDescent="0.35">
      <c r="A913" s="3">
        <v>99978378492</v>
      </c>
      <c r="B913" s="3">
        <v>50</v>
      </c>
      <c r="C913" s="32">
        <v>49128</v>
      </c>
      <c r="D913" s="32"/>
      <c r="E9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4" spans="1:6" x14ac:dyDescent="0.35">
      <c r="A914" s="3">
        <v>82427963656</v>
      </c>
      <c r="B914" s="3">
        <v>52</v>
      </c>
      <c r="C914" s="32">
        <v>49128</v>
      </c>
      <c r="D914" s="32" t="s">
        <v>87</v>
      </c>
      <c r="E9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5" spans="1:6" x14ac:dyDescent="0.35">
      <c r="A915" s="3">
        <v>84435766652</v>
      </c>
      <c r="B915" s="3">
        <v>96</v>
      </c>
      <c r="C915" s="32">
        <v>49128</v>
      </c>
      <c r="D915" s="32">
        <v>49239</v>
      </c>
      <c r="E9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16" spans="1:6" x14ac:dyDescent="0.35">
      <c r="A916" s="3">
        <v>35427365921</v>
      </c>
      <c r="B916" s="3">
        <v>106</v>
      </c>
      <c r="C916" s="32">
        <v>49128</v>
      </c>
      <c r="D916" s="32" t="s">
        <v>87</v>
      </c>
      <c r="E9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7" spans="1:6" x14ac:dyDescent="0.35">
      <c r="A917" s="3">
        <v>19748476661</v>
      </c>
      <c r="B917" s="3">
        <v>131</v>
      </c>
      <c r="C917" s="32">
        <v>49128</v>
      </c>
      <c r="D917" s="32">
        <v>49193</v>
      </c>
      <c r="E9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918" spans="1:6" x14ac:dyDescent="0.35">
      <c r="A918" s="3">
        <v>75773453186</v>
      </c>
      <c r="B918" s="3">
        <v>139</v>
      </c>
      <c r="C918" s="32">
        <v>49128</v>
      </c>
      <c r="D918" s="32" t="s">
        <v>87</v>
      </c>
      <c r="E9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9" spans="1:6" x14ac:dyDescent="0.35">
      <c r="A919" s="3">
        <v>20793290391</v>
      </c>
      <c r="B919" s="3">
        <v>141</v>
      </c>
      <c r="C919" s="32">
        <v>49128</v>
      </c>
      <c r="D919" s="32">
        <v>49175</v>
      </c>
      <c r="E9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920" spans="1:6" x14ac:dyDescent="0.35">
      <c r="A920" s="3">
        <v>60035900277</v>
      </c>
      <c r="B920" s="3">
        <v>144</v>
      </c>
      <c r="C920" s="32">
        <v>49128</v>
      </c>
      <c r="D920" s="32" t="s">
        <v>87</v>
      </c>
      <c r="E9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1" spans="1:6" x14ac:dyDescent="0.35">
      <c r="A921" s="3">
        <v>38262429586</v>
      </c>
      <c r="B921" s="3">
        <v>156</v>
      </c>
      <c r="C921" s="32">
        <v>49128</v>
      </c>
      <c r="D921" s="32" t="s">
        <v>87</v>
      </c>
      <c r="E9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2" spans="1:6" x14ac:dyDescent="0.35">
      <c r="A922" s="3">
        <v>40807810151</v>
      </c>
      <c r="B922" s="3">
        <v>181</v>
      </c>
      <c r="C922" s="32">
        <v>49128</v>
      </c>
      <c r="D922" s="32" t="s">
        <v>87</v>
      </c>
      <c r="E9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3" spans="1:6" x14ac:dyDescent="0.35">
      <c r="A923" s="3">
        <v>81690402837</v>
      </c>
      <c r="B923" s="3">
        <v>199</v>
      </c>
      <c r="C923" s="32">
        <v>49128</v>
      </c>
      <c r="D923" s="32">
        <v>49239</v>
      </c>
      <c r="E9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24" spans="1:6" x14ac:dyDescent="0.35">
      <c r="A924" s="3">
        <v>87707724896</v>
      </c>
      <c r="B924" s="3">
        <v>237</v>
      </c>
      <c r="C924" s="32">
        <v>49128</v>
      </c>
      <c r="D924" s="32" t="s">
        <v>87</v>
      </c>
      <c r="E9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5" spans="1:6" x14ac:dyDescent="0.35">
      <c r="A925" s="3">
        <v>57781674671</v>
      </c>
      <c r="B925" s="3">
        <v>246</v>
      </c>
      <c r="C925" s="32">
        <v>49128</v>
      </c>
      <c r="D925" s="32">
        <v>49133</v>
      </c>
      <c r="E9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26" spans="1:6" x14ac:dyDescent="0.35">
      <c r="A926" s="3">
        <v>22204674324</v>
      </c>
      <c r="B926" s="3">
        <v>277</v>
      </c>
      <c r="C926" s="32">
        <v>49128</v>
      </c>
      <c r="D926" s="32" t="s">
        <v>87</v>
      </c>
      <c r="E9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7" spans="1:6" x14ac:dyDescent="0.35">
      <c r="A927" s="3">
        <v>39382682676</v>
      </c>
      <c r="B927" s="3">
        <v>283</v>
      </c>
      <c r="C927" s="32">
        <v>49128</v>
      </c>
      <c r="D927" s="32"/>
      <c r="E9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8" spans="1:6" x14ac:dyDescent="0.35">
      <c r="A928" s="3">
        <v>49939236227</v>
      </c>
      <c r="B928" s="3">
        <v>288</v>
      </c>
      <c r="C928" s="32">
        <v>49128</v>
      </c>
      <c r="D928" s="32" t="s">
        <v>87</v>
      </c>
      <c r="E9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9" spans="1:6" x14ac:dyDescent="0.35">
      <c r="A929" s="3">
        <v>33727478211</v>
      </c>
      <c r="B929" s="3">
        <v>296</v>
      </c>
      <c r="C929" s="32">
        <v>49128</v>
      </c>
      <c r="D929" s="32" t="s">
        <v>87</v>
      </c>
      <c r="E9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0" spans="1:6" x14ac:dyDescent="0.35">
      <c r="A930" s="3">
        <v>18570918924</v>
      </c>
      <c r="B930" s="3">
        <v>305</v>
      </c>
      <c r="C930" s="32">
        <v>49128</v>
      </c>
      <c r="D930" s="32">
        <v>49193</v>
      </c>
      <c r="E9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931" spans="1:6" x14ac:dyDescent="0.35">
      <c r="A931" s="3">
        <v>94339233802</v>
      </c>
      <c r="B931" s="3">
        <v>313</v>
      </c>
      <c r="C931" s="32">
        <v>49128</v>
      </c>
      <c r="D931" s="32">
        <v>49131</v>
      </c>
      <c r="E9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32" spans="1:6" x14ac:dyDescent="0.35">
      <c r="A932" s="3">
        <v>58119032587</v>
      </c>
      <c r="B932" s="3">
        <v>320</v>
      </c>
      <c r="C932" s="32">
        <v>49128</v>
      </c>
      <c r="D932" s="32" t="s">
        <v>87</v>
      </c>
      <c r="E9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3" spans="1:6" x14ac:dyDescent="0.35">
      <c r="A933" s="3">
        <v>64102121145</v>
      </c>
      <c r="B933" s="3">
        <v>335</v>
      </c>
      <c r="C933" s="32">
        <v>49128</v>
      </c>
      <c r="D933" s="32" t="s">
        <v>87</v>
      </c>
      <c r="E9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4" spans="1:6" x14ac:dyDescent="0.35">
      <c r="A934" s="3">
        <v>22001153346</v>
      </c>
      <c r="B934" s="3">
        <v>11</v>
      </c>
      <c r="C934" s="32">
        <v>49129</v>
      </c>
      <c r="D934" s="32" t="s">
        <v>87</v>
      </c>
      <c r="E9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5" spans="1:6" x14ac:dyDescent="0.35">
      <c r="A935" s="3">
        <v>15233929936</v>
      </c>
      <c r="B935" s="3">
        <v>25</v>
      </c>
      <c r="C935" s="32">
        <v>49129</v>
      </c>
      <c r="D935" s="32">
        <v>49229</v>
      </c>
      <c r="E9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36" spans="1:6" x14ac:dyDescent="0.35">
      <c r="A936" s="3">
        <v>36360576085</v>
      </c>
      <c r="B936" s="3">
        <v>48</v>
      </c>
      <c r="C936" s="32">
        <v>49129</v>
      </c>
      <c r="D936" s="32" t="s">
        <v>87</v>
      </c>
      <c r="E9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7" spans="1:6" x14ac:dyDescent="0.35">
      <c r="A937" s="3">
        <v>94880719426</v>
      </c>
      <c r="B937" s="3">
        <v>54</v>
      </c>
      <c r="C937" s="32">
        <v>49129</v>
      </c>
      <c r="D937" s="32" t="s">
        <v>87</v>
      </c>
      <c r="E9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8" spans="1:6" x14ac:dyDescent="0.35">
      <c r="A938" s="3">
        <v>54620706745</v>
      </c>
      <c r="B938" s="3">
        <v>55</v>
      </c>
      <c r="C938" s="32">
        <v>49129</v>
      </c>
      <c r="D938" s="32" t="s">
        <v>87</v>
      </c>
      <c r="E9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9" spans="1:6" x14ac:dyDescent="0.35">
      <c r="A939" s="3">
        <v>15335905269</v>
      </c>
      <c r="B939" s="3">
        <v>85</v>
      </c>
      <c r="C939" s="32">
        <v>49129</v>
      </c>
      <c r="D939" s="32"/>
      <c r="E9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0" spans="1:6" x14ac:dyDescent="0.35">
      <c r="A940" s="3">
        <v>48725289104</v>
      </c>
      <c r="B940" s="3">
        <v>88</v>
      </c>
      <c r="C940" s="32">
        <v>49129</v>
      </c>
      <c r="D940" s="32" t="s">
        <v>87</v>
      </c>
      <c r="E9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1" spans="1:6" x14ac:dyDescent="0.35">
      <c r="A941" s="3">
        <v>94864439735</v>
      </c>
      <c r="B941" s="3">
        <v>102</v>
      </c>
      <c r="C941" s="32">
        <v>49129</v>
      </c>
      <c r="D941" s="32">
        <v>49200</v>
      </c>
      <c r="E9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942" spans="1:6" x14ac:dyDescent="0.35">
      <c r="A942" s="3">
        <v>63931672081</v>
      </c>
      <c r="B942" s="3">
        <v>103</v>
      </c>
      <c r="C942" s="32">
        <v>49129</v>
      </c>
      <c r="D942" s="32">
        <v>49175</v>
      </c>
      <c r="E9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943" spans="1:6" x14ac:dyDescent="0.35">
      <c r="A943" s="3">
        <v>90471655199</v>
      </c>
      <c r="B943" s="3">
        <v>105</v>
      </c>
      <c r="C943" s="32">
        <v>49129</v>
      </c>
      <c r="D943" s="32" t="s">
        <v>87</v>
      </c>
      <c r="E9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4" spans="1:6" x14ac:dyDescent="0.35">
      <c r="A944" s="3">
        <v>36591141070</v>
      </c>
      <c r="B944" s="3">
        <v>115</v>
      </c>
      <c r="C944" s="32">
        <v>49129</v>
      </c>
      <c r="D944" s="32">
        <v>49207</v>
      </c>
      <c r="E9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945" spans="1:6" x14ac:dyDescent="0.35">
      <c r="A945" s="3">
        <v>24965621616</v>
      </c>
      <c r="B945" s="3">
        <v>142</v>
      </c>
      <c r="C945" s="32">
        <v>49129</v>
      </c>
      <c r="D945" s="32" t="s">
        <v>87</v>
      </c>
      <c r="E9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6" spans="1:6" x14ac:dyDescent="0.35">
      <c r="A946" s="3">
        <v>85202821059</v>
      </c>
      <c r="B946" s="3">
        <v>157</v>
      </c>
      <c r="C946" s="32">
        <v>49129</v>
      </c>
      <c r="D946" s="32">
        <v>49130</v>
      </c>
      <c r="E9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47" spans="1:6" x14ac:dyDescent="0.35">
      <c r="A947" s="3">
        <v>63743097516</v>
      </c>
      <c r="B947" s="3">
        <v>163</v>
      </c>
      <c r="C947" s="32">
        <v>49129</v>
      </c>
      <c r="D947" s="32"/>
      <c r="E9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8" spans="1:6" x14ac:dyDescent="0.35">
      <c r="A948" s="3">
        <v>61676886514</v>
      </c>
      <c r="B948" s="3">
        <v>163</v>
      </c>
      <c r="C948" s="32">
        <v>49129</v>
      </c>
      <c r="D948" s="32" t="s">
        <v>87</v>
      </c>
      <c r="E9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9" spans="1:6" x14ac:dyDescent="0.35">
      <c r="A949" s="3">
        <v>69588527557</v>
      </c>
      <c r="B949" s="3">
        <v>171</v>
      </c>
      <c r="C949" s="32">
        <v>49129</v>
      </c>
      <c r="D949" s="32"/>
      <c r="E9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0" spans="1:6" x14ac:dyDescent="0.35">
      <c r="A950" s="3">
        <v>97186100003</v>
      </c>
      <c r="B950" s="3">
        <v>173</v>
      </c>
      <c r="C950" s="32">
        <v>49129</v>
      </c>
      <c r="D950" s="32"/>
      <c r="E9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1" spans="1:6" x14ac:dyDescent="0.35">
      <c r="A951" s="3">
        <v>31475179914</v>
      </c>
      <c r="B951" s="3">
        <v>180</v>
      </c>
      <c r="C951" s="32">
        <v>49129</v>
      </c>
      <c r="D951" s="32" t="s">
        <v>87</v>
      </c>
      <c r="E9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2" spans="1:6" x14ac:dyDescent="0.35">
      <c r="A952" s="3">
        <v>40596272278</v>
      </c>
      <c r="B952" s="3">
        <v>180</v>
      </c>
      <c r="C952" s="32">
        <v>49129</v>
      </c>
      <c r="D952" s="32"/>
      <c r="E9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3" spans="1:6" x14ac:dyDescent="0.35">
      <c r="A953" s="3">
        <v>99027420975</v>
      </c>
      <c r="B953" s="3">
        <v>216</v>
      </c>
      <c r="C953" s="32">
        <v>49129</v>
      </c>
      <c r="D953" s="32"/>
      <c r="E9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4" spans="1:6" x14ac:dyDescent="0.35">
      <c r="A954" s="3">
        <v>53465157692</v>
      </c>
      <c r="B954" s="3">
        <v>227</v>
      </c>
      <c r="C954" s="32">
        <v>49129</v>
      </c>
      <c r="D954" s="32" t="s">
        <v>87</v>
      </c>
      <c r="E9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5" spans="1:6" x14ac:dyDescent="0.35">
      <c r="A955" s="3">
        <v>38677598171</v>
      </c>
      <c r="B955" s="3">
        <v>232</v>
      </c>
      <c r="C955" s="32">
        <v>49129</v>
      </c>
      <c r="D955" s="32" t="s">
        <v>87</v>
      </c>
      <c r="E9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6" spans="1:6" x14ac:dyDescent="0.35">
      <c r="A956" s="3">
        <v>22357882899</v>
      </c>
      <c r="B956" s="3">
        <v>245</v>
      </c>
      <c r="C956" s="32">
        <v>49129</v>
      </c>
      <c r="D956" s="32" t="s">
        <v>87</v>
      </c>
      <c r="E9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7" spans="1:6" x14ac:dyDescent="0.35">
      <c r="A957" s="3">
        <v>60093542683</v>
      </c>
      <c r="B957" s="3">
        <v>246</v>
      </c>
      <c r="C957" s="32">
        <v>49129</v>
      </c>
      <c r="D957" s="32"/>
      <c r="E9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8" spans="1:6" x14ac:dyDescent="0.35">
      <c r="A958" s="3">
        <v>76674842828</v>
      </c>
      <c r="B958" s="3">
        <v>248</v>
      </c>
      <c r="C958" s="32">
        <v>49129</v>
      </c>
      <c r="D958" s="32"/>
      <c r="E9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9" spans="1:6" x14ac:dyDescent="0.35">
      <c r="A959" s="3">
        <v>44103956387</v>
      </c>
      <c r="B959" s="3">
        <v>251</v>
      </c>
      <c r="C959" s="32">
        <v>49129</v>
      </c>
      <c r="D959" s="32">
        <v>49198</v>
      </c>
      <c r="E9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960" spans="1:6" x14ac:dyDescent="0.35">
      <c r="A960" s="3">
        <v>31056433940</v>
      </c>
      <c r="B960" s="3">
        <v>272</v>
      </c>
      <c r="C960" s="32">
        <v>49129</v>
      </c>
      <c r="D960" s="32" t="s">
        <v>87</v>
      </c>
      <c r="E9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1" spans="1:6" x14ac:dyDescent="0.35">
      <c r="A961" s="3">
        <v>97138491934</v>
      </c>
      <c r="B961" s="3">
        <v>280</v>
      </c>
      <c r="C961" s="32">
        <v>49129</v>
      </c>
      <c r="D961" s="32"/>
      <c r="E9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2" spans="1:6" x14ac:dyDescent="0.35">
      <c r="A962" s="3">
        <v>70142518678</v>
      </c>
      <c r="B962" s="3">
        <v>308</v>
      </c>
      <c r="C962" s="32">
        <v>49129</v>
      </c>
      <c r="D962" s="32"/>
      <c r="E9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3" spans="1:6" x14ac:dyDescent="0.35">
      <c r="A963" s="3">
        <v>48379156255</v>
      </c>
      <c r="B963" s="3">
        <v>308</v>
      </c>
      <c r="C963" s="32">
        <v>49129</v>
      </c>
      <c r="D963" s="32" t="s">
        <v>87</v>
      </c>
      <c r="E9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4" spans="1:6" x14ac:dyDescent="0.35">
      <c r="A964" s="3">
        <v>94436566573</v>
      </c>
      <c r="B964" s="3">
        <v>327</v>
      </c>
      <c r="C964" s="32">
        <v>49129</v>
      </c>
      <c r="D964" s="32" t="s">
        <v>87</v>
      </c>
      <c r="E9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5" spans="1:6" x14ac:dyDescent="0.35">
      <c r="A965" s="3">
        <v>28155667999</v>
      </c>
      <c r="B965" s="3">
        <v>335</v>
      </c>
      <c r="C965" s="32">
        <v>49129</v>
      </c>
      <c r="D965" s="32" t="s">
        <v>87</v>
      </c>
      <c r="E9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6" spans="1:6" x14ac:dyDescent="0.35">
      <c r="A966" s="3">
        <v>24526886618</v>
      </c>
      <c r="B966" s="3">
        <v>336</v>
      </c>
      <c r="C966" s="32">
        <v>49129</v>
      </c>
      <c r="D966" s="32">
        <v>49138</v>
      </c>
      <c r="E9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67" spans="1:6" x14ac:dyDescent="0.35">
      <c r="A967" s="3">
        <v>82666800824</v>
      </c>
      <c r="B967" s="3">
        <v>29</v>
      </c>
      <c r="C967" s="32">
        <v>49130</v>
      </c>
      <c r="D967" s="32" t="s">
        <v>87</v>
      </c>
      <c r="E9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8" spans="1:6" x14ac:dyDescent="0.35">
      <c r="A968" s="3">
        <v>23036646766</v>
      </c>
      <c r="B968" s="3">
        <v>41</v>
      </c>
      <c r="C968" s="32">
        <v>49130</v>
      </c>
      <c r="D968" s="32" t="s">
        <v>87</v>
      </c>
      <c r="E9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9" spans="1:6" x14ac:dyDescent="0.35">
      <c r="A969" s="3">
        <v>65668948194</v>
      </c>
      <c r="B969" s="3">
        <v>41</v>
      </c>
      <c r="C969" s="32">
        <v>49130</v>
      </c>
      <c r="D969" s="32">
        <v>49245</v>
      </c>
      <c r="E9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70" spans="1:6" x14ac:dyDescent="0.35">
      <c r="A970" s="3">
        <v>18964842667</v>
      </c>
      <c r="B970" s="3">
        <v>53</v>
      </c>
      <c r="C970" s="32">
        <v>49130</v>
      </c>
      <c r="D970" s="32" t="s">
        <v>87</v>
      </c>
      <c r="E9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1" spans="1:6" x14ac:dyDescent="0.35">
      <c r="A971" s="3">
        <v>61045719788</v>
      </c>
      <c r="B971" s="3">
        <v>63</v>
      </c>
      <c r="C971" s="32">
        <v>49130</v>
      </c>
      <c r="D971" s="32" t="s">
        <v>87</v>
      </c>
      <c r="E9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2" spans="1:6" x14ac:dyDescent="0.35">
      <c r="A972" s="3">
        <v>99698481153</v>
      </c>
      <c r="B972" s="3">
        <v>71</v>
      </c>
      <c r="C972" s="32">
        <v>49130</v>
      </c>
      <c r="D972" s="32"/>
      <c r="E9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3" spans="1:6" x14ac:dyDescent="0.35">
      <c r="A973" s="3">
        <v>22332102375</v>
      </c>
      <c r="B973" s="3">
        <v>71</v>
      </c>
      <c r="C973" s="32">
        <v>49130</v>
      </c>
      <c r="D973" s="32" t="s">
        <v>87</v>
      </c>
      <c r="E9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4" spans="1:6" x14ac:dyDescent="0.35">
      <c r="A974" s="3">
        <v>33390716518</v>
      </c>
      <c r="B974" s="3">
        <v>87</v>
      </c>
      <c r="C974" s="32">
        <v>49130</v>
      </c>
      <c r="D974" s="32" t="s">
        <v>87</v>
      </c>
      <c r="E9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5" spans="1:6" x14ac:dyDescent="0.35">
      <c r="A975" s="3">
        <v>94683463154</v>
      </c>
      <c r="B975" s="3">
        <v>93</v>
      </c>
      <c r="C975" s="32">
        <v>49130</v>
      </c>
      <c r="D975" s="32"/>
      <c r="E9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6" spans="1:6" x14ac:dyDescent="0.35">
      <c r="A976" s="3">
        <v>45476578092</v>
      </c>
      <c r="B976" s="3">
        <v>111</v>
      </c>
      <c r="C976" s="32">
        <v>49130</v>
      </c>
      <c r="D976" s="32" t="s">
        <v>87</v>
      </c>
      <c r="E9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7" spans="1:6" x14ac:dyDescent="0.35">
      <c r="A977" s="3">
        <v>68059835764</v>
      </c>
      <c r="B977" s="3">
        <v>112</v>
      </c>
      <c r="C977" s="32">
        <v>49130</v>
      </c>
      <c r="D977" s="32"/>
      <c r="E9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8" spans="1:6" x14ac:dyDescent="0.35">
      <c r="A978" s="3">
        <v>56420121290</v>
      </c>
      <c r="B978" s="3">
        <v>129</v>
      </c>
      <c r="C978" s="32">
        <v>49130</v>
      </c>
      <c r="D978" s="32" t="s">
        <v>87</v>
      </c>
      <c r="E9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9" spans="1:6" x14ac:dyDescent="0.35">
      <c r="A979" s="3">
        <v>89791861202</v>
      </c>
      <c r="B979" s="3">
        <v>146</v>
      </c>
      <c r="C979" s="32">
        <v>49130</v>
      </c>
      <c r="D979" s="32" t="s">
        <v>87</v>
      </c>
      <c r="E9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0" spans="1:6" x14ac:dyDescent="0.35">
      <c r="A980" s="3">
        <v>16567254715</v>
      </c>
      <c r="B980" s="3">
        <v>164</v>
      </c>
      <c r="C980" s="32">
        <v>49130</v>
      </c>
      <c r="D980" s="32">
        <v>49181</v>
      </c>
      <c r="E9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981" spans="1:6" x14ac:dyDescent="0.35">
      <c r="A981" s="3">
        <v>62722648617</v>
      </c>
      <c r="B981" s="3">
        <v>190</v>
      </c>
      <c r="C981" s="32">
        <v>49130</v>
      </c>
      <c r="D981" s="32" t="s">
        <v>87</v>
      </c>
      <c r="E9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2" spans="1:6" x14ac:dyDescent="0.35">
      <c r="A982" s="3">
        <v>11159722480</v>
      </c>
      <c r="B982" s="3">
        <v>196</v>
      </c>
      <c r="C982" s="32">
        <v>49130</v>
      </c>
      <c r="D982" s="32">
        <v>49154</v>
      </c>
      <c r="E9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83" spans="1:6" x14ac:dyDescent="0.35">
      <c r="A983" s="3">
        <v>21141488862</v>
      </c>
      <c r="B983" s="3">
        <v>213</v>
      </c>
      <c r="C983" s="32">
        <v>49130</v>
      </c>
      <c r="D983" s="32" t="s">
        <v>87</v>
      </c>
      <c r="E9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4" spans="1:6" x14ac:dyDescent="0.35">
      <c r="A984" s="3">
        <v>21698082799</v>
      </c>
      <c r="B984" s="3">
        <v>218</v>
      </c>
      <c r="C984" s="32">
        <v>49130</v>
      </c>
      <c r="D984" s="32" t="s">
        <v>87</v>
      </c>
      <c r="E9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5" spans="1:6" x14ac:dyDescent="0.35">
      <c r="A985" s="3">
        <v>52470133794</v>
      </c>
      <c r="B985" s="3">
        <v>224</v>
      </c>
      <c r="C985" s="32">
        <v>49130</v>
      </c>
      <c r="D985" s="32" t="s">
        <v>87</v>
      </c>
      <c r="E9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6" spans="1:6" x14ac:dyDescent="0.35">
      <c r="A986" s="3">
        <v>90535474327</v>
      </c>
      <c r="B986" s="3">
        <v>245</v>
      </c>
      <c r="C986" s="32">
        <v>49130</v>
      </c>
      <c r="D986" s="32">
        <v>49247</v>
      </c>
      <c r="E9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87" spans="1:6" x14ac:dyDescent="0.35">
      <c r="A987" s="3">
        <v>90729927642</v>
      </c>
      <c r="B987" s="3">
        <v>303</v>
      </c>
      <c r="C987" s="32">
        <v>49130</v>
      </c>
      <c r="D987" s="32" t="s">
        <v>87</v>
      </c>
      <c r="E9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8" spans="1:6" x14ac:dyDescent="0.35">
      <c r="A988" s="3">
        <v>52487021382</v>
      </c>
      <c r="B988" s="3">
        <v>305</v>
      </c>
      <c r="C988" s="32">
        <v>49130</v>
      </c>
      <c r="D988" s="32" t="s">
        <v>87</v>
      </c>
      <c r="E9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9" spans="1:6" x14ac:dyDescent="0.35">
      <c r="A989" s="3">
        <v>34862733445</v>
      </c>
      <c r="B989" s="3">
        <v>308</v>
      </c>
      <c r="C989" s="32">
        <v>49130</v>
      </c>
      <c r="D989" s="32" t="s">
        <v>87</v>
      </c>
      <c r="E9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0" spans="1:6" x14ac:dyDescent="0.35">
      <c r="A990" s="3">
        <v>31650006791</v>
      </c>
      <c r="B990" s="3">
        <v>322</v>
      </c>
      <c r="C990" s="32">
        <v>49130</v>
      </c>
      <c r="D990" s="32" t="s">
        <v>87</v>
      </c>
      <c r="E9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1" spans="1:6" x14ac:dyDescent="0.35">
      <c r="A991" s="3">
        <v>18309119852</v>
      </c>
      <c r="B991" s="3">
        <v>2</v>
      </c>
      <c r="C991" s="32">
        <v>49131</v>
      </c>
      <c r="D991" s="32"/>
      <c r="E9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2" spans="1:6" x14ac:dyDescent="0.35">
      <c r="A992" s="3">
        <v>48555402208</v>
      </c>
      <c r="B992" s="3">
        <v>21</v>
      </c>
      <c r="C992" s="32">
        <v>49131</v>
      </c>
      <c r="D992" s="32" t="s">
        <v>87</v>
      </c>
      <c r="E9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3" spans="1:6" x14ac:dyDescent="0.35">
      <c r="A993" s="3">
        <v>42097405825</v>
      </c>
      <c r="B993" s="3">
        <v>31</v>
      </c>
      <c r="C993" s="32">
        <v>49131</v>
      </c>
      <c r="D993" s="32" t="s">
        <v>87</v>
      </c>
      <c r="E9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4" spans="1:6" x14ac:dyDescent="0.35">
      <c r="A994" s="3">
        <v>66110010656</v>
      </c>
      <c r="B994" s="3">
        <v>62</v>
      </c>
      <c r="C994" s="32">
        <v>49131</v>
      </c>
      <c r="D994" s="32">
        <v>49153</v>
      </c>
      <c r="E9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95" spans="1:6" x14ac:dyDescent="0.35">
      <c r="A995" s="3">
        <v>31729892548</v>
      </c>
      <c r="B995" s="3">
        <v>64</v>
      </c>
      <c r="C995" s="32">
        <v>49131</v>
      </c>
      <c r="D995" s="32"/>
      <c r="E9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6" spans="1:6" x14ac:dyDescent="0.35">
      <c r="A996" s="3">
        <v>68638272032</v>
      </c>
      <c r="B996" s="3">
        <v>70</v>
      </c>
      <c r="C996" s="32">
        <v>49131</v>
      </c>
      <c r="D996" s="32">
        <v>49151</v>
      </c>
      <c r="E9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97" spans="1:6" x14ac:dyDescent="0.35">
      <c r="A997" s="3">
        <v>77613531944</v>
      </c>
      <c r="B997" s="3">
        <v>83</v>
      </c>
      <c r="C997" s="32">
        <v>49131</v>
      </c>
      <c r="D997" s="32" t="s">
        <v>87</v>
      </c>
      <c r="E9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8" spans="1:6" x14ac:dyDescent="0.35">
      <c r="A998" s="3">
        <v>57037112020</v>
      </c>
      <c r="B998" s="3">
        <v>85</v>
      </c>
      <c r="C998" s="32">
        <v>49131</v>
      </c>
      <c r="D998" s="32"/>
      <c r="E9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9" spans="1:6" x14ac:dyDescent="0.35">
      <c r="A999" s="3">
        <v>62417887438</v>
      </c>
      <c r="B999" s="3">
        <v>88</v>
      </c>
      <c r="C999" s="32">
        <v>49131</v>
      </c>
      <c r="D999" s="32">
        <v>49173</v>
      </c>
      <c r="E9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000" spans="1:6" x14ac:dyDescent="0.35">
      <c r="A1000" s="3">
        <v>22129529237</v>
      </c>
      <c r="B1000" s="3">
        <v>103</v>
      </c>
      <c r="C1000" s="32">
        <v>49131</v>
      </c>
      <c r="D1000" s="32" t="s">
        <v>87</v>
      </c>
      <c r="E10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1" spans="1:6" x14ac:dyDescent="0.35">
      <c r="A1001" s="3">
        <v>21958648234</v>
      </c>
      <c r="B1001" s="3">
        <v>120</v>
      </c>
      <c r="C1001" s="32">
        <v>49131</v>
      </c>
      <c r="D1001" s="32" t="s">
        <v>87</v>
      </c>
      <c r="E10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2" spans="1:6" x14ac:dyDescent="0.35">
      <c r="A1002" s="3">
        <v>85619274560</v>
      </c>
      <c r="B1002" s="3">
        <v>125</v>
      </c>
      <c r="C1002" s="32">
        <v>49131</v>
      </c>
      <c r="D1002" s="32" t="s">
        <v>87</v>
      </c>
      <c r="E10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3" spans="1:6" x14ac:dyDescent="0.35">
      <c r="A1003" s="3">
        <v>81195357353</v>
      </c>
      <c r="B1003" s="3">
        <v>128</v>
      </c>
      <c r="C1003" s="32">
        <v>49131</v>
      </c>
      <c r="D1003" s="32" t="s">
        <v>87</v>
      </c>
      <c r="E10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4" spans="1:6" x14ac:dyDescent="0.35">
      <c r="A1004" s="3">
        <v>45720043231</v>
      </c>
      <c r="B1004" s="3">
        <v>175</v>
      </c>
      <c r="C1004" s="32">
        <v>49131</v>
      </c>
      <c r="D1004" s="32" t="s">
        <v>87</v>
      </c>
      <c r="E10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5" spans="1:6" x14ac:dyDescent="0.35">
      <c r="A1005" s="3">
        <v>88073394775</v>
      </c>
      <c r="B1005" s="3">
        <v>189</v>
      </c>
      <c r="C1005" s="32">
        <v>49131</v>
      </c>
      <c r="D1005" s="32"/>
      <c r="E10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6" spans="1:6" x14ac:dyDescent="0.35">
      <c r="A1006" s="3">
        <v>85290612906</v>
      </c>
      <c r="B1006" s="3">
        <v>193</v>
      </c>
      <c r="C1006" s="32">
        <v>49131</v>
      </c>
      <c r="D1006" s="32" t="s">
        <v>87</v>
      </c>
      <c r="E10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7" spans="1:6" x14ac:dyDescent="0.35">
      <c r="A1007" s="3">
        <v>46173520385</v>
      </c>
      <c r="B1007" s="3">
        <v>195</v>
      </c>
      <c r="C1007" s="32">
        <v>49131</v>
      </c>
      <c r="D1007" s="32" t="s">
        <v>87</v>
      </c>
      <c r="E10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8" spans="1:6" x14ac:dyDescent="0.35">
      <c r="A1008" s="3">
        <v>12975982717</v>
      </c>
      <c r="B1008" s="3">
        <v>213</v>
      </c>
      <c r="C1008" s="32">
        <v>49131</v>
      </c>
      <c r="D1008" s="32" t="s">
        <v>87</v>
      </c>
      <c r="E10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9" spans="1:6" x14ac:dyDescent="0.35">
      <c r="A1009" s="3">
        <v>86578442466</v>
      </c>
      <c r="B1009" s="3">
        <v>230</v>
      </c>
      <c r="C1009" s="32">
        <v>49131</v>
      </c>
      <c r="D1009" s="32">
        <v>49208</v>
      </c>
      <c r="E10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010" spans="1:6" x14ac:dyDescent="0.35">
      <c r="A1010" s="3">
        <v>22003807183</v>
      </c>
      <c r="B1010" s="3">
        <v>233</v>
      </c>
      <c r="C1010" s="32">
        <v>49131</v>
      </c>
      <c r="D1010" s="32" t="s">
        <v>87</v>
      </c>
      <c r="E10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1" spans="1:6" x14ac:dyDescent="0.35">
      <c r="A1011" s="3">
        <v>47138136788</v>
      </c>
      <c r="B1011" s="3">
        <v>242</v>
      </c>
      <c r="C1011" s="32">
        <v>49131</v>
      </c>
      <c r="D1011" s="32" t="s">
        <v>87</v>
      </c>
      <c r="E10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2" spans="1:6" x14ac:dyDescent="0.35">
      <c r="A1012" s="3">
        <v>75696909250</v>
      </c>
      <c r="B1012" s="3">
        <v>247</v>
      </c>
      <c r="C1012" s="32">
        <v>49131</v>
      </c>
      <c r="D1012" s="32" t="s">
        <v>87</v>
      </c>
      <c r="E10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3" spans="1:6" x14ac:dyDescent="0.35">
      <c r="A1013" s="3">
        <v>60783752189</v>
      </c>
      <c r="B1013" s="3">
        <v>259</v>
      </c>
      <c r="C1013" s="32">
        <v>49131</v>
      </c>
      <c r="D1013" s="32" t="s">
        <v>87</v>
      </c>
      <c r="E10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4" spans="1:6" x14ac:dyDescent="0.35">
      <c r="A1014" s="3">
        <v>24605368133</v>
      </c>
      <c r="B1014" s="3">
        <v>265</v>
      </c>
      <c r="C1014" s="32">
        <v>49131</v>
      </c>
      <c r="D1014" s="32" t="s">
        <v>87</v>
      </c>
      <c r="E10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5" spans="1:6" x14ac:dyDescent="0.35">
      <c r="A1015" s="3">
        <v>16344182084</v>
      </c>
      <c r="B1015" s="3">
        <v>288</v>
      </c>
      <c r="C1015" s="32">
        <v>49131</v>
      </c>
      <c r="D1015" s="32" t="s">
        <v>87</v>
      </c>
      <c r="E10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6" spans="1:6" x14ac:dyDescent="0.35">
      <c r="A1016" s="3">
        <v>78223769377</v>
      </c>
      <c r="B1016" s="3">
        <v>291</v>
      </c>
      <c r="C1016" s="32">
        <v>49131</v>
      </c>
      <c r="D1016" s="32"/>
      <c r="E10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7" spans="1:6" x14ac:dyDescent="0.35">
      <c r="A1017" s="3">
        <v>21028790392</v>
      </c>
      <c r="B1017" s="3">
        <v>306</v>
      </c>
      <c r="C1017" s="32">
        <v>49131</v>
      </c>
      <c r="D1017" s="32" t="s">
        <v>87</v>
      </c>
      <c r="E10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8" spans="1:6" x14ac:dyDescent="0.35">
      <c r="A1018" s="3">
        <v>23669274576</v>
      </c>
      <c r="B1018" s="3">
        <v>43</v>
      </c>
      <c r="C1018" s="32">
        <v>49132</v>
      </c>
      <c r="D1018" s="32" t="s">
        <v>87</v>
      </c>
      <c r="E10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9" spans="1:6" x14ac:dyDescent="0.35">
      <c r="A1019" s="3">
        <v>22271397748</v>
      </c>
      <c r="B1019" s="3">
        <v>55</v>
      </c>
      <c r="C1019" s="32">
        <v>49132</v>
      </c>
      <c r="D1019" s="32" t="s">
        <v>87</v>
      </c>
      <c r="E10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0" spans="1:6" x14ac:dyDescent="0.35">
      <c r="A1020" s="3">
        <v>61531224712</v>
      </c>
      <c r="B1020" s="3">
        <v>57</v>
      </c>
      <c r="C1020" s="32">
        <v>49132</v>
      </c>
      <c r="D1020" s="32" t="s">
        <v>87</v>
      </c>
      <c r="E10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1" spans="1:6" x14ac:dyDescent="0.35">
      <c r="A1021" s="3">
        <v>49498180410</v>
      </c>
      <c r="B1021" s="3">
        <v>86</v>
      </c>
      <c r="C1021" s="32">
        <v>49132</v>
      </c>
      <c r="D1021" s="32">
        <v>49157</v>
      </c>
      <c r="E10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022" spans="1:6" x14ac:dyDescent="0.35">
      <c r="A1022" s="3">
        <v>20176583884</v>
      </c>
      <c r="B1022" s="3">
        <v>104</v>
      </c>
      <c r="C1022" s="32">
        <v>49132</v>
      </c>
      <c r="D1022" s="32"/>
      <c r="E10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3" spans="1:6" x14ac:dyDescent="0.35">
      <c r="A1023" s="3">
        <v>22905130306</v>
      </c>
      <c r="B1023" s="3">
        <v>115</v>
      </c>
      <c r="C1023" s="32">
        <v>49132</v>
      </c>
      <c r="D1023" s="32" t="s">
        <v>87</v>
      </c>
      <c r="E10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4" spans="1:6" x14ac:dyDescent="0.35">
      <c r="A1024" s="3">
        <v>85036881962</v>
      </c>
      <c r="B1024" s="3">
        <v>133</v>
      </c>
      <c r="C1024" s="32">
        <v>49132</v>
      </c>
      <c r="D1024" s="32" t="s">
        <v>87</v>
      </c>
      <c r="E10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5" spans="1:6" x14ac:dyDescent="0.35">
      <c r="A1025" s="3">
        <v>27699207440</v>
      </c>
      <c r="B1025" s="3">
        <v>151</v>
      </c>
      <c r="C1025" s="32">
        <v>49132</v>
      </c>
      <c r="D1025" s="32" t="s">
        <v>87</v>
      </c>
      <c r="E10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6" spans="1:6" x14ac:dyDescent="0.35">
      <c r="A1026" s="3">
        <v>58673124694</v>
      </c>
      <c r="B1026" s="3">
        <v>176</v>
      </c>
      <c r="C1026" s="32">
        <v>49132</v>
      </c>
      <c r="D1026" s="32" t="s">
        <v>87</v>
      </c>
      <c r="E10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7" spans="1:6" x14ac:dyDescent="0.35">
      <c r="A1027" s="3">
        <v>68636625831</v>
      </c>
      <c r="B1027" s="3">
        <v>194</v>
      </c>
      <c r="C1027" s="32">
        <v>49132</v>
      </c>
      <c r="D1027" s="32" t="s">
        <v>87</v>
      </c>
      <c r="E10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8" spans="1:6" x14ac:dyDescent="0.35">
      <c r="A1028" s="3">
        <v>59019403496</v>
      </c>
      <c r="B1028" s="3">
        <v>224</v>
      </c>
      <c r="C1028" s="32">
        <v>49132</v>
      </c>
      <c r="D1028" s="32" t="s">
        <v>87</v>
      </c>
      <c r="E10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9" spans="1:6" x14ac:dyDescent="0.35">
      <c r="A1029" s="3">
        <v>87082985068</v>
      </c>
      <c r="B1029" s="3">
        <v>254</v>
      </c>
      <c r="C1029" s="32">
        <v>49132</v>
      </c>
      <c r="D1029" s="32" t="s">
        <v>87</v>
      </c>
      <c r="E10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0" spans="1:6" x14ac:dyDescent="0.35">
      <c r="A1030" s="3">
        <v>82306968127</v>
      </c>
      <c r="B1030" s="3">
        <v>263</v>
      </c>
      <c r="C1030" s="32">
        <v>49132</v>
      </c>
      <c r="D1030" s="32" t="s">
        <v>87</v>
      </c>
      <c r="E10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1" spans="1:6" x14ac:dyDescent="0.35">
      <c r="A1031" s="3">
        <v>50436319128</v>
      </c>
      <c r="B1031" s="3">
        <v>274</v>
      </c>
      <c r="C1031" s="32">
        <v>49132</v>
      </c>
      <c r="D1031" s="32" t="s">
        <v>87</v>
      </c>
      <c r="E10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2" spans="1:6" x14ac:dyDescent="0.35">
      <c r="A1032" s="3">
        <v>30828925618</v>
      </c>
      <c r="B1032" s="3">
        <v>277</v>
      </c>
      <c r="C1032" s="32">
        <v>49132</v>
      </c>
      <c r="D1032" s="32"/>
      <c r="E10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3" spans="1:6" x14ac:dyDescent="0.35">
      <c r="A1033" s="3">
        <v>42724275731</v>
      </c>
      <c r="B1033" s="3">
        <v>292</v>
      </c>
      <c r="C1033" s="32">
        <v>49132</v>
      </c>
      <c r="D1033" s="32">
        <v>49178</v>
      </c>
      <c r="E10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034" spans="1:6" x14ac:dyDescent="0.35">
      <c r="A1034" s="3">
        <v>40333280688</v>
      </c>
      <c r="B1034" s="3">
        <v>322</v>
      </c>
      <c r="C1034" s="32">
        <v>49132</v>
      </c>
      <c r="D1034" s="32" t="s">
        <v>87</v>
      </c>
      <c r="E10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5" spans="1:6" x14ac:dyDescent="0.35">
      <c r="A1035" s="3">
        <v>84483655090</v>
      </c>
      <c r="B1035" s="3">
        <v>329</v>
      </c>
      <c r="C1035" s="32">
        <v>49132</v>
      </c>
      <c r="D1035" s="32" t="s">
        <v>87</v>
      </c>
      <c r="E10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6" spans="1:6" x14ac:dyDescent="0.35">
      <c r="A1036" s="3">
        <v>62183462776</v>
      </c>
      <c r="B1036" s="3">
        <v>335</v>
      </c>
      <c r="C1036" s="32">
        <v>49132</v>
      </c>
      <c r="D1036" s="32">
        <v>49142</v>
      </c>
      <c r="E10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037" spans="1:6" x14ac:dyDescent="0.35">
      <c r="A1037" s="3">
        <v>62262752475</v>
      </c>
      <c r="B1037" s="3">
        <v>0</v>
      </c>
      <c r="C1037" s="32">
        <v>49133</v>
      </c>
      <c r="D1037" s="32"/>
      <c r="E10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8" spans="1:6" x14ac:dyDescent="0.35">
      <c r="A1038" s="3">
        <v>16926845395</v>
      </c>
      <c r="B1038" s="3">
        <v>2</v>
      </c>
      <c r="C1038" s="32">
        <v>49133</v>
      </c>
      <c r="D1038" s="32">
        <v>49140</v>
      </c>
      <c r="E10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039" spans="1:6" x14ac:dyDescent="0.35">
      <c r="A1039" s="3">
        <v>44594633412</v>
      </c>
      <c r="B1039" s="3">
        <v>16</v>
      </c>
      <c r="C1039" s="32">
        <v>49133</v>
      </c>
      <c r="D1039" s="32"/>
      <c r="E10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0" spans="1:6" x14ac:dyDescent="0.35">
      <c r="A1040" s="3">
        <v>54575637391</v>
      </c>
      <c r="B1040" s="3">
        <v>29</v>
      </c>
      <c r="C1040" s="32">
        <v>49133</v>
      </c>
      <c r="D1040" s="32" t="s">
        <v>87</v>
      </c>
      <c r="E10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1" spans="1:6" x14ac:dyDescent="0.35">
      <c r="A1041" s="3">
        <v>62150858125</v>
      </c>
      <c r="B1041" s="3">
        <v>34</v>
      </c>
      <c r="C1041" s="32">
        <v>49133</v>
      </c>
      <c r="D1041" s="32" t="s">
        <v>87</v>
      </c>
      <c r="E10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2" spans="1:6" x14ac:dyDescent="0.35">
      <c r="A1042" s="3">
        <v>22090934788</v>
      </c>
      <c r="B1042" s="3">
        <v>55</v>
      </c>
      <c r="C1042" s="32">
        <v>49133</v>
      </c>
      <c r="D1042" s="32" t="s">
        <v>87</v>
      </c>
      <c r="E10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3" spans="1:6" x14ac:dyDescent="0.35">
      <c r="A1043" s="3">
        <v>55042282942</v>
      </c>
      <c r="B1043" s="3">
        <v>78</v>
      </c>
      <c r="C1043" s="32">
        <v>49133</v>
      </c>
      <c r="D1043" s="32"/>
      <c r="E10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4" spans="1:6" x14ac:dyDescent="0.35">
      <c r="A1044" s="3">
        <v>78847698496</v>
      </c>
      <c r="B1044" s="3">
        <v>80</v>
      </c>
      <c r="C1044" s="32">
        <v>49133</v>
      </c>
      <c r="D1044" s="32"/>
      <c r="E10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5" spans="1:6" x14ac:dyDescent="0.35">
      <c r="A1045" s="3">
        <v>86699548216</v>
      </c>
      <c r="B1045" s="3">
        <v>94</v>
      </c>
      <c r="C1045" s="32">
        <v>49133</v>
      </c>
      <c r="D1045" s="32" t="s">
        <v>87</v>
      </c>
      <c r="E10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6" spans="1:6" x14ac:dyDescent="0.35">
      <c r="A1046" s="3">
        <v>77920343068</v>
      </c>
      <c r="B1046" s="3">
        <v>101</v>
      </c>
      <c r="C1046" s="32">
        <v>49133</v>
      </c>
      <c r="D1046" s="32" t="s">
        <v>87</v>
      </c>
      <c r="E10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7" spans="1:6" x14ac:dyDescent="0.35">
      <c r="A1047" s="3">
        <v>58972175437</v>
      </c>
      <c r="B1047" s="3">
        <v>105</v>
      </c>
      <c r="C1047" s="32">
        <v>49133</v>
      </c>
      <c r="D1047" s="32">
        <v>49178</v>
      </c>
      <c r="E10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048" spans="1:6" x14ac:dyDescent="0.35">
      <c r="A1048" s="3">
        <v>81138136040</v>
      </c>
      <c r="B1048" s="3">
        <v>119</v>
      </c>
      <c r="C1048" s="32">
        <v>49133</v>
      </c>
      <c r="D1048" s="32">
        <v>49219</v>
      </c>
      <c r="E10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049" spans="1:6" x14ac:dyDescent="0.35">
      <c r="A1049" s="3">
        <v>50637120097</v>
      </c>
      <c r="B1049" s="3">
        <v>128</v>
      </c>
      <c r="C1049" s="32">
        <v>49133</v>
      </c>
      <c r="D1049" s="32">
        <v>49223</v>
      </c>
      <c r="E10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050" spans="1:6" x14ac:dyDescent="0.35">
      <c r="A1050" s="3">
        <v>71757309240</v>
      </c>
      <c r="B1050" s="3">
        <v>134</v>
      </c>
      <c r="C1050" s="32">
        <v>49133</v>
      </c>
      <c r="D1050" s="32">
        <v>49202</v>
      </c>
      <c r="E10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051" spans="1:6" x14ac:dyDescent="0.35">
      <c r="A1051" s="3">
        <v>52383226822</v>
      </c>
      <c r="B1051" s="3">
        <v>147</v>
      </c>
      <c r="C1051" s="32">
        <v>49133</v>
      </c>
      <c r="D1051" s="32" t="s">
        <v>87</v>
      </c>
      <c r="E10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2" spans="1:6" x14ac:dyDescent="0.35">
      <c r="A1052" s="3">
        <v>16260923814</v>
      </c>
      <c r="B1052" s="3">
        <v>148</v>
      </c>
      <c r="C1052" s="32">
        <v>49133</v>
      </c>
      <c r="D1052" s="32">
        <v>49189</v>
      </c>
      <c r="E10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053" spans="1:6" x14ac:dyDescent="0.35">
      <c r="A1053" s="3">
        <v>91607117949</v>
      </c>
      <c r="B1053" s="3">
        <v>171</v>
      </c>
      <c r="C1053" s="32">
        <v>49133</v>
      </c>
      <c r="D1053" s="32" t="s">
        <v>87</v>
      </c>
      <c r="E10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4" spans="1:6" x14ac:dyDescent="0.35">
      <c r="A1054" s="3">
        <v>22827388681</v>
      </c>
      <c r="B1054" s="3">
        <v>175</v>
      </c>
      <c r="C1054" s="32">
        <v>49133</v>
      </c>
      <c r="D1054" s="32" t="s">
        <v>87</v>
      </c>
      <c r="E10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5" spans="1:6" x14ac:dyDescent="0.35">
      <c r="A1055" s="3">
        <v>49227941318</v>
      </c>
      <c r="B1055" s="3">
        <v>175</v>
      </c>
      <c r="C1055" s="32">
        <v>49133</v>
      </c>
      <c r="D1055" s="32" t="s">
        <v>87</v>
      </c>
      <c r="E10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6" spans="1:6" x14ac:dyDescent="0.35">
      <c r="A1056" s="3">
        <v>52174283643</v>
      </c>
      <c r="B1056" s="3">
        <v>197</v>
      </c>
      <c r="C1056" s="32">
        <v>49133</v>
      </c>
      <c r="D1056" s="32" t="s">
        <v>87</v>
      </c>
      <c r="E10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7" spans="1:6" x14ac:dyDescent="0.35">
      <c r="A1057" s="3">
        <v>44995671139</v>
      </c>
      <c r="B1057" s="3">
        <v>199</v>
      </c>
      <c r="C1057" s="32">
        <v>49133</v>
      </c>
      <c r="D1057" s="32" t="s">
        <v>87</v>
      </c>
      <c r="E10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8" spans="1:6" x14ac:dyDescent="0.35">
      <c r="A1058" s="3">
        <v>83769435455</v>
      </c>
      <c r="B1058" s="3">
        <v>222</v>
      </c>
      <c r="C1058" s="32">
        <v>49133</v>
      </c>
      <c r="D1058" s="32" t="s">
        <v>87</v>
      </c>
      <c r="E10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9" spans="1:6" x14ac:dyDescent="0.35">
      <c r="A1059" s="3">
        <v>45424381867</v>
      </c>
      <c r="B1059" s="3">
        <v>225</v>
      </c>
      <c r="C1059" s="32">
        <v>49133</v>
      </c>
      <c r="D1059" s="32" t="s">
        <v>87</v>
      </c>
      <c r="E10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0" spans="1:6" x14ac:dyDescent="0.35">
      <c r="A1060" s="3">
        <v>13838408173</v>
      </c>
      <c r="B1060" s="3">
        <v>246</v>
      </c>
      <c r="C1060" s="32">
        <v>49133</v>
      </c>
      <c r="D1060" s="32" t="s">
        <v>87</v>
      </c>
      <c r="E10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1" spans="1:6" x14ac:dyDescent="0.35">
      <c r="A1061" s="3">
        <v>82960452603</v>
      </c>
      <c r="B1061" s="3">
        <v>251</v>
      </c>
      <c r="C1061" s="32">
        <v>49133</v>
      </c>
      <c r="D1061" s="32" t="s">
        <v>87</v>
      </c>
      <c r="E10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2" spans="1:6" x14ac:dyDescent="0.35">
      <c r="A1062" s="3">
        <v>91286865856</v>
      </c>
      <c r="B1062" s="3">
        <v>272</v>
      </c>
      <c r="C1062" s="32">
        <v>49133</v>
      </c>
      <c r="D1062" s="32"/>
      <c r="E10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3" spans="1:6" x14ac:dyDescent="0.35">
      <c r="A1063" s="3">
        <v>88517856199</v>
      </c>
      <c r="B1063" s="3">
        <v>287</v>
      </c>
      <c r="C1063" s="32">
        <v>49133</v>
      </c>
      <c r="D1063" s="32" t="s">
        <v>87</v>
      </c>
      <c r="E10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4" spans="1:6" x14ac:dyDescent="0.35">
      <c r="A1064" s="3">
        <v>41103930963</v>
      </c>
      <c r="B1064" s="3">
        <v>309</v>
      </c>
      <c r="C1064" s="32">
        <v>49133</v>
      </c>
      <c r="D1064" s="32" t="s">
        <v>87</v>
      </c>
      <c r="E10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5" spans="1:6" x14ac:dyDescent="0.35">
      <c r="A1065" s="3">
        <v>13875750654</v>
      </c>
      <c r="B1065" s="3">
        <v>312</v>
      </c>
      <c r="C1065" s="32">
        <v>49133</v>
      </c>
      <c r="D1065" s="32" t="s">
        <v>87</v>
      </c>
      <c r="E10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6" spans="1:6" x14ac:dyDescent="0.35">
      <c r="A1066" s="3">
        <v>24802891281</v>
      </c>
      <c r="B1066" s="3">
        <v>312</v>
      </c>
      <c r="C1066" s="32">
        <v>49133</v>
      </c>
      <c r="D1066" s="32" t="s">
        <v>87</v>
      </c>
      <c r="E10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7" spans="1:6" x14ac:dyDescent="0.35">
      <c r="A1067" s="3">
        <v>18623904439</v>
      </c>
      <c r="B1067" s="3">
        <v>314</v>
      </c>
      <c r="C1067" s="32">
        <v>49133</v>
      </c>
      <c r="D1067" s="32" t="s">
        <v>87</v>
      </c>
      <c r="E10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8" spans="1:6" x14ac:dyDescent="0.35">
      <c r="A1068" s="3">
        <v>37591518620</v>
      </c>
      <c r="B1068" s="3">
        <v>7</v>
      </c>
      <c r="C1068" s="32">
        <v>49134</v>
      </c>
      <c r="D1068" s="32" t="s">
        <v>87</v>
      </c>
      <c r="E10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9" spans="1:6" x14ac:dyDescent="0.35">
      <c r="A1069" s="3">
        <v>34476751574</v>
      </c>
      <c r="B1069" s="3">
        <v>9</v>
      </c>
      <c r="C1069" s="32">
        <v>49134</v>
      </c>
      <c r="D1069" s="32" t="s">
        <v>87</v>
      </c>
      <c r="E10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0" spans="1:6" x14ac:dyDescent="0.35">
      <c r="A1070" s="3">
        <v>44468146119</v>
      </c>
      <c r="B1070" s="3">
        <v>21</v>
      </c>
      <c r="C1070" s="32">
        <v>49134</v>
      </c>
      <c r="D1070" s="32" t="s">
        <v>87</v>
      </c>
      <c r="E10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1" spans="1:6" x14ac:dyDescent="0.35">
      <c r="A1071" s="3">
        <v>56255613067</v>
      </c>
      <c r="B1071" s="3">
        <v>33</v>
      </c>
      <c r="C1071" s="32">
        <v>49134</v>
      </c>
      <c r="D1071" s="32" t="s">
        <v>87</v>
      </c>
      <c r="E10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2" spans="1:6" x14ac:dyDescent="0.35">
      <c r="A1072" s="3">
        <v>42454624438</v>
      </c>
      <c r="B1072" s="3">
        <v>59</v>
      </c>
      <c r="C1072" s="32">
        <v>49134</v>
      </c>
      <c r="D1072" s="32">
        <v>49238</v>
      </c>
      <c r="E10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073" spans="1:6" x14ac:dyDescent="0.35">
      <c r="A1073" s="3">
        <v>32144073033</v>
      </c>
      <c r="B1073" s="3">
        <v>72</v>
      </c>
      <c r="C1073" s="32">
        <v>49134</v>
      </c>
      <c r="D1073" s="32" t="s">
        <v>87</v>
      </c>
      <c r="E10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4" spans="1:6" x14ac:dyDescent="0.35">
      <c r="A1074" s="3">
        <v>40417023839</v>
      </c>
      <c r="B1074" s="3">
        <v>84</v>
      </c>
      <c r="C1074" s="32">
        <v>49134</v>
      </c>
      <c r="D1074" s="32" t="s">
        <v>87</v>
      </c>
      <c r="E10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5" spans="1:6" x14ac:dyDescent="0.35">
      <c r="A1075" s="3">
        <v>72163524340</v>
      </c>
      <c r="B1075" s="3">
        <v>87</v>
      </c>
      <c r="C1075" s="32">
        <v>49134</v>
      </c>
      <c r="D1075" s="32">
        <v>49170</v>
      </c>
      <c r="E10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076" spans="1:6" x14ac:dyDescent="0.35">
      <c r="A1076" s="3">
        <v>75108870050</v>
      </c>
      <c r="B1076" s="3">
        <v>94</v>
      </c>
      <c r="C1076" s="32">
        <v>49134</v>
      </c>
      <c r="D1076" s="32">
        <v>49153</v>
      </c>
      <c r="E10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077" spans="1:6" x14ac:dyDescent="0.35">
      <c r="A1077" s="3">
        <v>66198245667</v>
      </c>
      <c r="B1077" s="3">
        <v>112</v>
      </c>
      <c r="C1077" s="32">
        <v>49134</v>
      </c>
      <c r="D1077" s="32"/>
      <c r="E10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8" spans="1:6" x14ac:dyDescent="0.35">
      <c r="A1078" s="3">
        <v>34072182090</v>
      </c>
      <c r="B1078" s="3">
        <v>123</v>
      </c>
      <c r="C1078" s="32">
        <v>49134</v>
      </c>
      <c r="D1078" s="32" t="s">
        <v>87</v>
      </c>
      <c r="E10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9" spans="1:6" x14ac:dyDescent="0.35">
      <c r="A1079" s="3">
        <v>76659416746</v>
      </c>
      <c r="B1079" s="3">
        <v>128</v>
      </c>
      <c r="C1079" s="32">
        <v>49134</v>
      </c>
      <c r="D1079" s="32" t="s">
        <v>87</v>
      </c>
      <c r="E10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0" spans="1:6" x14ac:dyDescent="0.35">
      <c r="A1080" s="3">
        <v>16991618458</v>
      </c>
      <c r="B1080" s="3">
        <v>134</v>
      </c>
      <c r="C1080" s="32">
        <v>49134</v>
      </c>
      <c r="D1080" s="32"/>
      <c r="E10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1" spans="1:6" x14ac:dyDescent="0.35">
      <c r="A1081" s="3">
        <v>31012749168</v>
      </c>
      <c r="B1081" s="3">
        <v>176</v>
      </c>
      <c r="C1081" s="32">
        <v>49134</v>
      </c>
      <c r="D1081" s="32">
        <v>49168</v>
      </c>
      <c r="E10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082" spans="1:6" x14ac:dyDescent="0.35">
      <c r="A1082" s="3">
        <v>64020627936</v>
      </c>
      <c r="B1082" s="3">
        <v>183</v>
      </c>
      <c r="C1082" s="32">
        <v>49134</v>
      </c>
      <c r="D1082" s="32"/>
      <c r="E10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3" spans="1:6" x14ac:dyDescent="0.35">
      <c r="A1083" s="3">
        <v>26717890557</v>
      </c>
      <c r="B1083" s="3">
        <v>199</v>
      </c>
      <c r="C1083" s="32">
        <v>49134</v>
      </c>
      <c r="D1083" s="32" t="s">
        <v>87</v>
      </c>
      <c r="E10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4" spans="1:6" x14ac:dyDescent="0.35">
      <c r="A1084" s="3">
        <v>19910644693</v>
      </c>
      <c r="B1084" s="3">
        <v>223</v>
      </c>
      <c r="C1084" s="32">
        <v>49134</v>
      </c>
      <c r="D1084" s="32" t="s">
        <v>87</v>
      </c>
      <c r="E10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5" spans="1:6" x14ac:dyDescent="0.35">
      <c r="A1085" s="3">
        <v>32163862809</v>
      </c>
      <c r="B1085" s="3">
        <v>227</v>
      </c>
      <c r="C1085" s="32">
        <v>49134</v>
      </c>
      <c r="D1085" s="32" t="s">
        <v>87</v>
      </c>
      <c r="E10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6" spans="1:6" x14ac:dyDescent="0.35">
      <c r="A1086" s="3">
        <v>59813379210</v>
      </c>
      <c r="B1086" s="3">
        <v>252</v>
      </c>
      <c r="C1086" s="32">
        <v>49134</v>
      </c>
      <c r="D1086" s="32">
        <v>49156</v>
      </c>
      <c r="E10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087" spans="1:6" x14ac:dyDescent="0.35">
      <c r="A1087" s="3">
        <v>63171219880</v>
      </c>
      <c r="B1087" s="3">
        <v>272</v>
      </c>
      <c r="C1087" s="32">
        <v>49134</v>
      </c>
      <c r="D1087" s="32"/>
      <c r="E10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8" spans="1:6" x14ac:dyDescent="0.35">
      <c r="A1088" s="3">
        <v>37360204114</v>
      </c>
      <c r="B1088" s="3">
        <v>309</v>
      </c>
      <c r="C1088" s="32">
        <v>49134</v>
      </c>
      <c r="D1088" s="32"/>
      <c r="E10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9" spans="1:6" x14ac:dyDescent="0.35">
      <c r="A1089" s="3">
        <v>65124752809</v>
      </c>
      <c r="B1089" s="3">
        <v>320</v>
      </c>
      <c r="C1089" s="32">
        <v>49134</v>
      </c>
      <c r="D1089" s="32" t="s">
        <v>87</v>
      </c>
      <c r="E10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0" spans="1:6" x14ac:dyDescent="0.35">
      <c r="A1090" s="3">
        <v>83052916050</v>
      </c>
      <c r="B1090" s="3">
        <v>330</v>
      </c>
      <c r="C1090" s="32">
        <v>49134</v>
      </c>
      <c r="D1090" s="32" t="s">
        <v>87</v>
      </c>
      <c r="E10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1" spans="1:6" x14ac:dyDescent="0.35">
      <c r="A1091" s="3">
        <v>87080665474</v>
      </c>
      <c r="B1091" s="3">
        <v>11</v>
      </c>
      <c r="C1091" s="32">
        <v>49135</v>
      </c>
      <c r="D1091" s="32" t="s">
        <v>87</v>
      </c>
      <c r="E10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2" spans="1:6" x14ac:dyDescent="0.35">
      <c r="A1092" s="3">
        <v>88012195650</v>
      </c>
      <c r="B1092" s="3">
        <v>12</v>
      </c>
      <c r="C1092" s="32">
        <v>49135</v>
      </c>
      <c r="D1092" s="32" t="s">
        <v>87</v>
      </c>
      <c r="E10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3" spans="1:6" x14ac:dyDescent="0.35">
      <c r="A1093" s="3">
        <v>57323006821</v>
      </c>
      <c r="B1093" s="3">
        <v>14</v>
      </c>
      <c r="C1093" s="32">
        <v>49135</v>
      </c>
      <c r="D1093" s="32" t="s">
        <v>87</v>
      </c>
      <c r="E10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4" spans="1:6" x14ac:dyDescent="0.35">
      <c r="A1094" s="3">
        <v>93063582676</v>
      </c>
      <c r="B1094" s="3">
        <v>23</v>
      </c>
      <c r="C1094" s="32">
        <v>49135</v>
      </c>
      <c r="D1094" s="32" t="s">
        <v>87</v>
      </c>
      <c r="E10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5" spans="1:6" x14ac:dyDescent="0.35">
      <c r="A1095" s="3">
        <v>28552881712</v>
      </c>
      <c r="B1095" s="3">
        <v>24</v>
      </c>
      <c r="C1095" s="32">
        <v>49135</v>
      </c>
      <c r="D1095" s="32" t="s">
        <v>87</v>
      </c>
      <c r="E10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6" spans="1:6" x14ac:dyDescent="0.35">
      <c r="A1096" s="3">
        <v>40370179477</v>
      </c>
      <c r="B1096" s="3">
        <v>25</v>
      </c>
      <c r="C1096" s="32">
        <v>49135</v>
      </c>
      <c r="D1096" s="32"/>
      <c r="E10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7" spans="1:6" x14ac:dyDescent="0.35">
      <c r="A1097" s="3">
        <v>60075197162</v>
      </c>
      <c r="B1097" s="3">
        <v>36</v>
      </c>
      <c r="C1097" s="32">
        <v>49135</v>
      </c>
      <c r="D1097" s="32">
        <v>49219</v>
      </c>
      <c r="E10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098" spans="1:6" x14ac:dyDescent="0.35">
      <c r="A1098" s="3">
        <v>11980143407</v>
      </c>
      <c r="B1098" s="3">
        <v>45</v>
      </c>
      <c r="C1098" s="32">
        <v>49135</v>
      </c>
      <c r="D1098" s="32">
        <v>49141</v>
      </c>
      <c r="E10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099" spans="1:6" x14ac:dyDescent="0.35">
      <c r="A1099" s="3">
        <v>84381747810</v>
      </c>
      <c r="B1099" s="3">
        <v>53</v>
      </c>
      <c r="C1099" s="32">
        <v>49135</v>
      </c>
      <c r="D1099" s="32">
        <v>49193</v>
      </c>
      <c r="E10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00" spans="1:6" x14ac:dyDescent="0.35">
      <c r="A1100" s="3">
        <v>72485336065</v>
      </c>
      <c r="B1100" s="3">
        <v>66</v>
      </c>
      <c r="C1100" s="32">
        <v>49135</v>
      </c>
      <c r="D1100" s="32" t="s">
        <v>87</v>
      </c>
      <c r="E1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1" spans="1:6" x14ac:dyDescent="0.35">
      <c r="A1101" s="3">
        <v>87903203875</v>
      </c>
      <c r="B1101" s="3">
        <v>68</v>
      </c>
      <c r="C1101" s="32">
        <v>49135</v>
      </c>
      <c r="D1101" s="32" t="s">
        <v>87</v>
      </c>
      <c r="E1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2" spans="1:6" x14ac:dyDescent="0.35">
      <c r="A1102" s="3">
        <v>48556706223</v>
      </c>
      <c r="B1102" s="3">
        <v>72</v>
      </c>
      <c r="C1102" s="32">
        <v>49135</v>
      </c>
      <c r="D1102" s="32"/>
      <c r="E1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3" spans="1:6" x14ac:dyDescent="0.35">
      <c r="A1103" s="3">
        <v>89792875823</v>
      </c>
      <c r="B1103" s="3">
        <v>74</v>
      </c>
      <c r="C1103" s="32">
        <v>49135</v>
      </c>
      <c r="D1103" s="32" t="s">
        <v>87</v>
      </c>
      <c r="E1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4" spans="1:6" x14ac:dyDescent="0.35">
      <c r="A1104" s="3">
        <v>83001707157</v>
      </c>
      <c r="B1104" s="3">
        <v>79</v>
      </c>
      <c r="C1104" s="32">
        <v>49135</v>
      </c>
      <c r="D1104" s="32" t="s">
        <v>87</v>
      </c>
      <c r="E1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5" spans="1:6" x14ac:dyDescent="0.35">
      <c r="A1105" s="3">
        <v>48448930905</v>
      </c>
      <c r="B1105" s="3">
        <v>107</v>
      </c>
      <c r="C1105" s="32">
        <v>49135</v>
      </c>
      <c r="D1105" s="32"/>
      <c r="E1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6" spans="1:6" x14ac:dyDescent="0.35">
      <c r="A1106" s="3">
        <v>34042896504</v>
      </c>
      <c r="B1106" s="3">
        <v>113</v>
      </c>
      <c r="C1106" s="32">
        <v>49135</v>
      </c>
      <c r="D1106" s="32" t="s">
        <v>87</v>
      </c>
      <c r="E1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7" spans="1:6" x14ac:dyDescent="0.35">
      <c r="A1107" s="3">
        <v>78522345818</v>
      </c>
      <c r="B1107" s="3">
        <v>128</v>
      </c>
      <c r="C1107" s="32">
        <v>49135</v>
      </c>
      <c r="D1107" s="32" t="s">
        <v>87</v>
      </c>
      <c r="E1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8" spans="1:6" x14ac:dyDescent="0.35">
      <c r="A1108" s="3">
        <v>35138320951</v>
      </c>
      <c r="B1108" s="3">
        <v>136</v>
      </c>
      <c r="C1108" s="32">
        <v>49135</v>
      </c>
      <c r="D1108" s="32" t="s">
        <v>87</v>
      </c>
      <c r="E1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9" spans="1:6" x14ac:dyDescent="0.35">
      <c r="A1109" s="3">
        <v>14672851719</v>
      </c>
      <c r="B1109" s="3">
        <v>138</v>
      </c>
      <c r="C1109" s="32">
        <v>49135</v>
      </c>
      <c r="D1109" s="32" t="s">
        <v>87</v>
      </c>
      <c r="E1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0" spans="1:6" x14ac:dyDescent="0.35">
      <c r="A1110" s="3">
        <v>65755303158</v>
      </c>
      <c r="B1110" s="3">
        <v>156</v>
      </c>
      <c r="C1110" s="32">
        <v>49135</v>
      </c>
      <c r="D1110" s="32" t="s">
        <v>87</v>
      </c>
      <c r="E1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1" spans="1:6" x14ac:dyDescent="0.35">
      <c r="A1111" s="3">
        <v>59797869205</v>
      </c>
      <c r="B1111" s="3">
        <v>157</v>
      </c>
      <c r="C1111" s="32">
        <v>49135</v>
      </c>
      <c r="D1111" s="32" t="s">
        <v>87</v>
      </c>
      <c r="E1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2" spans="1:6" x14ac:dyDescent="0.35">
      <c r="A1112" s="3">
        <v>48915576454</v>
      </c>
      <c r="B1112" s="3">
        <v>180</v>
      </c>
      <c r="C1112" s="32">
        <v>49135</v>
      </c>
      <c r="D1112" s="32" t="s">
        <v>87</v>
      </c>
      <c r="E1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3" spans="1:6" x14ac:dyDescent="0.35">
      <c r="A1113" s="3">
        <v>13246139023</v>
      </c>
      <c r="B1113" s="3">
        <v>184</v>
      </c>
      <c r="C1113" s="32">
        <v>49135</v>
      </c>
      <c r="D1113" s="32"/>
      <c r="E1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4" spans="1:6" x14ac:dyDescent="0.35">
      <c r="A1114" s="3">
        <v>72131776398</v>
      </c>
      <c r="B1114" s="3">
        <v>195</v>
      </c>
      <c r="C1114" s="32">
        <v>49135</v>
      </c>
      <c r="D1114" s="32">
        <v>49202</v>
      </c>
      <c r="E1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15" spans="1:6" x14ac:dyDescent="0.35">
      <c r="A1115" s="3">
        <v>95610002309</v>
      </c>
      <c r="B1115" s="3">
        <v>198</v>
      </c>
      <c r="C1115" s="32">
        <v>49135</v>
      </c>
      <c r="D1115" s="32" t="s">
        <v>87</v>
      </c>
      <c r="E1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6" spans="1:6" x14ac:dyDescent="0.35">
      <c r="A1116" s="3">
        <v>84675239459</v>
      </c>
      <c r="B1116" s="3">
        <v>215</v>
      </c>
      <c r="C1116" s="32">
        <v>49135</v>
      </c>
      <c r="D1116" s="32" t="s">
        <v>87</v>
      </c>
      <c r="E1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7" spans="1:6" x14ac:dyDescent="0.35">
      <c r="A1117" s="3">
        <v>46620050714</v>
      </c>
      <c r="B1117" s="3">
        <v>216</v>
      </c>
      <c r="C1117" s="32">
        <v>49135</v>
      </c>
      <c r="D1117" s="32" t="s">
        <v>87</v>
      </c>
      <c r="E1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8" spans="1:6" x14ac:dyDescent="0.35">
      <c r="A1118" s="3">
        <v>26572627436</v>
      </c>
      <c r="B1118" s="3">
        <v>242</v>
      </c>
      <c r="C1118" s="32">
        <v>49135</v>
      </c>
      <c r="D1118" s="32" t="s">
        <v>87</v>
      </c>
      <c r="E1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9" spans="1:6" x14ac:dyDescent="0.35">
      <c r="A1119" s="3">
        <v>54657718696</v>
      </c>
      <c r="B1119" s="3">
        <v>249</v>
      </c>
      <c r="C1119" s="32">
        <v>49135</v>
      </c>
      <c r="D1119" s="32" t="s">
        <v>87</v>
      </c>
      <c r="E1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0" spans="1:6" x14ac:dyDescent="0.35">
      <c r="A1120" s="3">
        <v>25315104992</v>
      </c>
      <c r="B1120" s="3">
        <v>255</v>
      </c>
      <c r="C1120" s="32">
        <v>49135</v>
      </c>
      <c r="D1120" s="32"/>
      <c r="E1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1" spans="1:6" x14ac:dyDescent="0.35">
      <c r="A1121" s="3">
        <v>18780883885</v>
      </c>
      <c r="B1121" s="3">
        <v>259</v>
      </c>
      <c r="C1121" s="32">
        <v>49135</v>
      </c>
      <c r="D1121" s="32" t="s">
        <v>87</v>
      </c>
      <c r="E1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2" spans="1:6" x14ac:dyDescent="0.35">
      <c r="A1122" s="3">
        <v>23984338823</v>
      </c>
      <c r="B1122" s="3">
        <v>269</v>
      </c>
      <c r="C1122" s="32">
        <v>49135</v>
      </c>
      <c r="D1122" s="32" t="s">
        <v>87</v>
      </c>
      <c r="E1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3" spans="1:6" x14ac:dyDescent="0.35">
      <c r="A1123" s="3">
        <v>93796056517</v>
      </c>
      <c r="B1123" s="3">
        <v>285</v>
      </c>
      <c r="C1123" s="32">
        <v>49135</v>
      </c>
      <c r="D1123" s="32">
        <v>49205</v>
      </c>
      <c r="E1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24" spans="1:6" x14ac:dyDescent="0.35">
      <c r="A1124" s="3">
        <v>24979610495</v>
      </c>
      <c r="B1124" s="3">
        <v>291</v>
      </c>
      <c r="C1124" s="32">
        <v>49135</v>
      </c>
      <c r="D1124" s="32">
        <v>49230</v>
      </c>
      <c r="E1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125" spans="1:6" x14ac:dyDescent="0.35">
      <c r="A1125" s="3">
        <v>95517205808</v>
      </c>
      <c r="B1125" s="3">
        <v>300</v>
      </c>
      <c r="C1125" s="32">
        <v>49135</v>
      </c>
      <c r="D1125" s="32" t="s">
        <v>87</v>
      </c>
      <c r="E1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6" spans="1:6" x14ac:dyDescent="0.35">
      <c r="A1126" s="3">
        <v>20117876658</v>
      </c>
      <c r="B1126" s="3">
        <v>305</v>
      </c>
      <c r="C1126" s="32">
        <v>49135</v>
      </c>
      <c r="D1126" s="32" t="s">
        <v>87</v>
      </c>
      <c r="E1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7" spans="1:6" x14ac:dyDescent="0.35">
      <c r="A1127" s="3">
        <v>69961058149</v>
      </c>
      <c r="B1127" s="3">
        <v>306</v>
      </c>
      <c r="C1127" s="32">
        <v>49135</v>
      </c>
      <c r="D1127" s="32">
        <v>49177</v>
      </c>
      <c r="E1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28" spans="1:6" x14ac:dyDescent="0.35">
      <c r="A1128" s="3">
        <v>59553935654</v>
      </c>
      <c r="B1128" s="3">
        <v>306</v>
      </c>
      <c r="C1128" s="32">
        <v>49135</v>
      </c>
      <c r="D1128" s="32" t="s">
        <v>87</v>
      </c>
      <c r="E1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9" spans="1:6" x14ac:dyDescent="0.35">
      <c r="A1129" s="3">
        <v>58707168576</v>
      </c>
      <c r="B1129" s="3">
        <v>318</v>
      </c>
      <c r="C1129" s="32">
        <v>49135</v>
      </c>
      <c r="D1129" s="32" t="s">
        <v>87</v>
      </c>
      <c r="E1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0" spans="1:6" x14ac:dyDescent="0.35">
      <c r="A1130" s="3">
        <v>23112289245</v>
      </c>
      <c r="B1130" s="3">
        <v>333</v>
      </c>
      <c r="C1130" s="32">
        <v>49135</v>
      </c>
      <c r="D1130" s="32">
        <v>49197</v>
      </c>
      <c r="E1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31" spans="1:6" x14ac:dyDescent="0.35">
      <c r="A1131" s="3">
        <v>70730692444</v>
      </c>
      <c r="B1131" s="3">
        <v>6</v>
      </c>
      <c r="C1131" s="32">
        <v>49136</v>
      </c>
      <c r="D1131" s="32" t="s">
        <v>87</v>
      </c>
      <c r="E1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2" spans="1:6" x14ac:dyDescent="0.35">
      <c r="A1132" s="3">
        <v>51941436149</v>
      </c>
      <c r="B1132" s="3">
        <v>15</v>
      </c>
      <c r="C1132" s="32">
        <v>49136</v>
      </c>
      <c r="D1132" s="32" t="s">
        <v>87</v>
      </c>
      <c r="E1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3" spans="1:6" x14ac:dyDescent="0.35">
      <c r="A1133" s="3">
        <v>43867666363</v>
      </c>
      <c r="B1133" s="3">
        <v>25</v>
      </c>
      <c r="C1133" s="32">
        <v>49136</v>
      </c>
      <c r="D1133" s="32" t="s">
        <v>87</v>
      </c>
      <c r="E1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4" spans="1:6" x14ac:dyDescent="0.35">
      <c r="A1134" s="3">
        <v>13968201913</v>
      </c>
      <c r="B1134" s="3">
        <v>47</v>
      </c>
      <c r="C1134" s="32">
        <v>49136</v>
      </c>
      <c r="D1134" s="32">
        <v>49138</v>
      </c>
      <c r="E1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135" spans="1:6" x14ac:dyDescent="0.35">
      <c r="A1135" s="3">
        <v>88546765967</v>
      </c>
      <c r="B1135" s="3">
        <v>55</v>
      </c>
      <c r="C1135" s="32">
        <v>49136</v>
      </c>
      <c r="D1135" s="32" t="s">
        <v>87</v>
      </c>
      <c r="E1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6" spans="1:6" x14ac:dyDescent="0.35">
      <c r="A1136" s="3">
        <v>11248075650</v>
      </c>
      <c r="B1136" s="3">
        <v>59</v>
      </c>
      <c r="C1136" s="32">
        <v>49136</v>
      </c>
      <c r="D1136" s="32"/>
      <c r="E1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7" spans="1:6" x14ac:dyDescent="0.35">
      <c r="A1137" s="3">
        <v>15007957644</v>
      </c>
      <c r="B1137" s="3">
        <v>69</v>
      </c>
      <c r="C1137" s="32">
        <v>49136</v>
      </c>
      <c r="D1137" s="32" t="s">
        <v>87</v>
      </c>
      <c r="E1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8" spans="1:6" x14ac:dyDescent="0.35">
      <c r="A1138" s="3">
        <v>26951281581</v>
      </c>
      <c r="B1138" s="3">
        <v>71</v>
      </c>
      <c r="C1138" s="32">
        <v>49136</v>
      </c>
      <c r="D1138" s="32">
        <v>49252</v>
      </c>
      <c r="E1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139" spans="1:6" x14ac:dyDescent="0.35">
      <c r="A1139" s="3">
        <v>14627174114</v>
      </c>
      <c r="B1139" s="3">
        <v>74</v>
      </c>
      <c r="C1139" s="32">
        <v>49136</v>
      </c>
      <c r="D1139" s="32" t="s">
        <v>87</v>
      </c>
      <c r="E1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0" spans="1:6" x14ac:dyDescent="0.35">
      <c r="A1140" s="3">
        <v>26810711389</v>
      </c>
      <c r="B1140" s="3">
        <v>74</v>
      </c>
      <c r="C1140" s="32">
        <v>49136</v>
      </c>
      <c r="D1140" s="32" t="s">
        <v>87</v>
      </c>
      <c r="E1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1" spans="1:6" x14ac:dyDescent="0.35">
      <c r="A1141" s="3">
        <v>60316369542</v>
      </c>
      <c r="B1141" s="3">
        <v>74</v>
      </c>
      <c r="C1141" s="32">
        <v>49136</v>
      </c>
      <c r="D1141" s="32" t="s">
        <v>87</v>
      </c>
      <c r="E1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2" spans="1:6" x14ac:dyDescent="0.35">
      <c r="A1142" s="3">
        <v>60352478421</v>
      </c>
      <c r="B1142" s="3">
        <v>82</v>
      </c>
      <c r="C1142" s="32">
        <v>49136</v>
      </c>
      <c r="D1142" s="32"/>
      <c r="E1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3" spans="1:6" x14ac:dyDescent="0.35">
      <c r="A1143" s="3">
        <v>47314041034</v>
      </c>
      <c r="B1143" s="3">
        <v>91</v>
      </c>
      <c r="C1143" s="32">
        <v>49136</v>
      </c>
      <c r="D1143" s="32" t="s">
        <v>87</v>
      </c>
      <c r="E1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4" spans="1:6" x14ac:dyDescent="0.35">
      <c r="A1144" s="3">
        <v>79424739746</v>
      </c>
      <c r="B1144" s="3">
        <v>98</v>
      </c>
      <c r="C1144" s="32">
        <v>49136</v>
      </c>
      <c r="D1144" s="32" t="s">
        <v>87</v>
      </c>
      <c r="E1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5" spans="1:6" x14ac:dyDescent="0.35">
      <c r="A1145" s="3">
        <v>14256185166</v>
      </c>
      <c r="B1145" s="3">
        <v>123</v>
      </c>
      <c r="C1145" s="32">
        <v>49136</v>
      </c>
      <c r="D1145" s="32">
        <v>49226</v>
      </c>
      <c r="E1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146" spans="1:6" x14ac:dyDescent="0.35">
      <c r="A1146" s="3">
        <v>60266834925</v>
      </c>
      <c r="B1146" s="3">
        <v>125</v>
      </c>
      <c r="C1146" s="32">
        <v>49136</v>
      </c>
      <c r="D1146" s="32">
        <v>49216</v>
      </c>
      <c r="E1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47" spans="1:6" x14ac:dyDescent="0.35">
      <c r="A1147" s="3">
        <v>18761583681</v>
      </c>
      <c r="B1147" s="3">
        <v>130</v>
      </c>
      <c r="C1147" s="32">
        <v>49136</v>
      </c>
      <c r="D1147" s="32"/>
      <c r="E1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8" spans="1:6" x14ac:dyDescent="0.35">
      <c r="A1148" s="3">
        <v>97018959655</v>
      </c>
      <c r="B1148" s="3">
        <v>133</v>
      </c>
      <c r="C1148" s="32">
        <v>49136</v>
      </c>
      <c r="D1148" s="32">
        <v>49183</v>
      </c>
      <c r="E1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49" spans="1:6" x14ac:dyDescent="0.35">
      <c r="A1149" s="3">
        <v>83057201811</v>
      </c>
      <c r="B1149" s="3">
        <v>140</v>
      </c>
      <c r="C1149" s="32">
        <v>49136</v>
      </c>
      <c r="D1149" s="32">
        <v>49186</v>
      </c>
      <c r="E1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50" spans="1:6" x14ac:dyDescent="0.35">
      <c r="A1150" s="3">
        <v>78894468515</v>
      </c>
      <c r="B1150" s="3">
        <v>147</v>
      </c>
      <c r="C1150" s="32">
        <v>49136</v>
      </c>
      <c r="D1150" s="32" t="s">
        <v>87</v>
      </c>
      <c r="E1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1" spans="1:6" x14ac:dyDescent="0.35">
      <c r="A1151" s="3">
        <v>33286256015</v>
      </c>
      <c r="B1151" s="3">
        <v>154</v>
      </c>
      <c r="C1151" s="32">
        <v>49136</v>
      </c>
      <c r="D1151" s="32"/>
      <c r="E1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2" spans="1:6" x14ac:dyDescent="0.35">
      <c r="A1152" s="3">
        <v>67085925516</v>
      </c>
      <c r="B1152" s="3">
        <v>193</v>
      </c>
      <c r="C1152" s="32">
        <v>49136</v>
      </c>
      <c r="D1152" s="32" t="s">
        <v>87</v>
      </c>
      <c r="E1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3" spans="1:6" x14ac:dyDescent="0.35">
      <c r="A1153" s="3">
        <v>24618484138</v>
      </c>
      <c r="B1153" s="3">
        <v>199</v>
      </c>
      <c r="C1153" s="32">
        <v>49136</v>
      </c>
      <c r="D1153" s="32" t="s">
        <v>87</v>
      </c>
      <c r="E1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4" spans="1:6" x14ac:dyDescent="0.35">
      <c r="A1154" s="3">
        <v>70141577788</v>
      </c>
      <c r="B1154" s="3">
        <v>203</v>
      </c>
      <c r="C1154" s="32">
        <v>49136</v>
      </c>
      <c r="D1154" s="32" t="s">
        <v>87</v>
      </c>
      <c r="E1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5" spans="1:6" x14ac:dyDescent="0.35">
      <c r="A1155" s="3">
        <v>59491007445</v>
      </c>
      <c r="B1155" s="3">
        <v>214</v>
      </c>
      <c r="C1155" s="32">
        <v>49136</v>
      </c>
      <c r="D1155" s="32">
        <v>49176</v>
      </c>
      <c r="E1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56" spans="1:6" x14ac:dyDescent="0.35">
      <c r="A1156" s="3">
        <v>37545853067</v>
      </c>
      <c r="B1156" s="3">
        <v>224</v>
      </c>
      <c r="C1156" s="32">
        <v>49136</v>
      </c>
      <c r="D1156" s="32" t="s">
        <v>87</v>
      </c>
      <c r="E1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7" spans="1:6" x14ac:dyDescent="0.35">
      <c r="A1157" s="3">
        <v>39247218528</v>
      </c>
      <c r="B1157" s="3">
        <v>240</v>
      </c>
      <c r="C1157" s="32">
        <v>49136</v>
      </c>
      <c r="D1157" s="32" t="s">
        <v>87</v>
      </c>
      <c r="E1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8" spans="1:6" x14ac:dyDescent="0.35">
      <c r="A1158" s="3">
        <v>23139658474</v>
      </c>
      <c r="B1158" s="3">
        <v>241</v>
      </c>
      <c r="C1158" s="32">
        <v>49136</v>
      </c>
      <c r="D1158" s="32" t="s">
        <v>87</v>
      </c>
      <c r="E1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9" spans="1:6" x14ac:dyDescent="0.35">
      <c r="A1159" s="3">
        <v>80316056267</v>
      </c>
      <c r="B1159" s="3">
        <v>249</v>
      </c>
      <c r="C1159" s="32">
        <v>49136</v>
      </c>
      <c r="D1159" s="32" t="s">
        <v>87</v>
      </c>
      <c r="E1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0" spans="1:6" x14ac:dyDescent="0.35">
      <c r="A1160" s="3">
        <v>48433728433</v>
      </c>
      <c r="B1160" s="3">
        <v>296</v>
      </c>
      <c r="C1160" s="32">
        <v>49136</v>
      </c>
      <c r="D1160" s="32">
        <v>49150</v>
      </c>
      <c r="E1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161" spans="1:6" x14ac:dyDescent="0.35">
      <c r="A1161" s="3">
        <v>32241820591</v>
      </c>
      <c r="B1161" s="3">
        <v>302</v>
      </c>
      <c r="C1161" s="32">
        <v>49136</v>
      </c>
      <c r="D1161" s="32" t="s">
        <v>87</v>
      </c>
      <c r="E1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2" spans="1:6" x14ac:dyDescent="0.35">
      <c r="A1162" s="3">
        <v>44783012488</v>
      </c>
      <c r="B1162" s="3">
        <v>310</v>
      </c>
      <c r="C1162" s="32">
        <v>49136</v>
      </c>
      <c r="D1162" s="32" t="s">
        <v>87</v>
      </c>
      <c r="E1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3" spans="1:6" x14ac:dyDescent="0.35">
      <c r="A1163" s="3">
        <v>11595234929</v>
      </c>
      <c r="B1163" s="3">
        <v>328</v>
      </c>
      <c r="C1163" s="32">
        <v>49136</v>
      </c>
      <c r="D1163" s="32" t="s">
        <v>87</v>
      </c>
      <c r="E1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4" spans="1:6" x14ac:dyDescent="0.35">
      <c r="A1164" s="3">
        <v>25645809151</v>
      </c>
      <c r="B1164" s="3">
        <v>4</v>
      </c>
      <c r="C1164" s="32">
        <v>49137</v>
      </c>
      <c r="D1164" s="32" t="s">
        <v>87</v>
      </c>
      <c r="E1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5" spans="1:6" x14ac:dyDescent="0.35">
      <c r="A1165" s="3">
        <v>86648289589</v>
      </c>
      <c r="B1165" s="3">
        <v>8</v>
      </c>
      <c r="C1165" s="32">
        <v>49137</v>
      </c>
      <c r="D1165" s="32" t="s">
        <v>87</v>
      </c>
      <c r="E1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6" spans="1:6" x14ac:dyDescent="0.35">
      <c r="A1166" s="3">
        <v>28194385980</v>
      </c>
      <c r="B1166" s="3">
        <v>11</v>
      </c>
      <c r="C1166" s="32">
        <v>49137</v>
      </c>
      <c r="D1166" s="32" t="s">
        <v>87</v>
      </c>
      <c r="E1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7" spans="1:6" x14ac:dyDescent="0.35">
      <c r="A1167" s="3">
        <v>65501609538</v>
      </c>
      <c r="B1167" s="3">
        <v>14</v>
      </c>
      <c r="C1167" s="32">
        <v>49137</v>
      </c>
      <c r="D1167" s="32" t="s">
        <v>87</v>
      </c>
      <c r="E1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8" spans="1:6" x14ac:dyDescent="0.35">
      <c r="A1168" s="3">
        <v>63660981762</v>
      </c>
      <c r="B1168" s="3">
        <v>54</v>
      </c>
      <c r="C1168" s="32">
        <v>49137</v>
      </c>
      <c r="D1168" s="32">
        <v>49236</v>
      </c>
      <c r="E1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169" spans="1:6" x14ac:dyDescent="0.35">
      <c r="A1169" s="3">
        <v>20326204269</v>
      </c>
      <c r="B1169" s="3">
        <v>81</v>
      </c>
      <c r="C1169" s="32">
        <v>49137</v>
      </c>
      <c r="D1169" s="32">
        <v>49173</v>
      </c>
      <c r="E1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70" spans="1:6" x14ac:dyDescent="0.35">
      <c r="A1170" s="3">
        <v>33469621915</v>
      </c>
      <c r="B1170" s="3">
        <v>101</v>
      </c>
      <c r="C1170" s="32">
        <v>49137</v>
      </c>
      <c r="D1170" s="32" t="s">
        <v>87</v>
      </c>
      <c r="E1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1" spans="1:6" x14ac:dyDescent="0.35">
      <c r="A1171" s="3">
        <v>82186420348</v>
      </c>
      <c r="B1171" s="3">
        <v>126</v>
      </c>
      <c r="C1171" s="32">
        <v>49137</v>
      </c>
      <c r="D1171" s="32"/>
      <c r="E1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2" spans="1:6" x14ac:dyDescent="0.35">
      <c r="A1172" s="3">
        <v>37942198183</v>
      </c>
      <c r="B1172" s="3">
        <v>149</v>
      </c>
      <c r="C1172" s="32">
        <v>49137</v>
      </c>
      <c r="D1172" s="32" t="s">
        <v>87</v>
      </c>
      <c r="E1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3" spans="1:6" x14ac:dyDescent="0.35">
      <c r="A1173" s="3">
        <v>49534039674</v>
      </c>
      <c r="B1173" s="3">
        <v>163</v>
      </c>
      <c r="C1173" s="32">
        <v>49137</v>
      </c>
      <c r="D1173" s="32" t="s">
        <v>87</v>
      </c>
      <c r="E1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4" spans="1:6" x14ac:dyDescent="0.35">
      <c r="A1174" s="3">
        <v>43090428248</v>
      </c>
      <c r="B1174" s="3">
        <v>169</v>
      </c>
      <c r="C1174" s="32">
        <v>49137</v>
      </c>
      <c r="D1174" s="32" t="s">
        <v>87</v>
      </c>
      <c r="E1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5" spans="1:6" x14ac:dyDescent="0.35">
      <c r="A1175" s="3">
        <v>99905380883</v>
      </c>
      <c r="B1175" s="3">
        <v>175</v>
      </c>
      <c r="C1175" s="32">
        <v>49137</v>
      </c>
      <c r="D1175" s="32">
        <v>49257</v>
      </c>
      <c r="E1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176" spans="1:6" x14ac:dyDescent="0.35">
      <c r="A1176" s="3">
        <v>26337687448</v>
      </c>
      <c r="B1176" s="3">
        <v>182</v>
      </c>
      <c r="C1176" s="32">
        <v>49137</v>
      </c>
      <c r="D1176" s="32">
        <v>49202</v>
      </c>
      <c r="E1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77" spans="1:6" x14ac:dyDescent="0.35">
      <c r="A1177" s="3">
        <v>22057594435</v>
      </c>
      <c r="B1177" s="3">
        <v>187</v>
      </c>
      <c r="C1177" s="32">
        <v>49137</v>
      </c>
      <c r="D1177" s="32" t="s">
        <v>87</v>
      </c>
      <c r="E1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8" spans="1:6" x14ac:dyDescent="0.35">
      <c r="A1178" s="3">
        <v>78109183660</v>
      </c>
      <c r="B1178" s="3">
        <v>203</v>
      </c>
      <c r="C1178" s="32">
        <v>49137</v>
      </c>
      <c r="D1178" s="32">
        <v>49145</v>
      </c>
      <c r="E1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179" spans="1:6" x14ac:dyDescent="0.35">
      <c r="A1179" s="3">
        <v>49824519645</v>
      </c>
      <c r="B1179" s="3">
        <v>220</v>
      </c>
      <c r="C1179" s="32">
        <v>49137</v>
      </c>
      <c r="D1179" s="32">
        <v>49232</v>
      </c>
      <c r="E1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180" spans="1:6" x14ac:dyDescent="0.35">
      <c r="A1180" s="3">
        <v>41023751976</v>
      </c>
      <c r="B1180" s="3">
        <v>263</v>
      </c>
      <c r="C1180" s="32">
        <v>49137</v>
      </c>
      <c r="D1180" s="32">
        <v>49251</v>
      </c>
      <c r="E1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181" spans="1:6" x14ac:dyDescent="0.35">
      <c r="A1181" s="3">
        <v>48892846770</v>
      </c>
      <c r="B1181" s="3">
        <v>275</v>
      </c>
      <c r="C1181" s="32">
        <v>49137</v>
      </c>
      <c r="D1181" s="32">
        <v>49155</v>
      </c>
      <c r="E1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182" spans="1:6" x14ac:dyDescent="0.35">
      <c r="A1182" s="3">
        <v>59048018032</v>
      </c>
      <c r="B1182" s="3">
        <v>277</v>
      </c>
      <c r="C1182" s="32">
        <v>49137</v>
      </c>
      <c r="D1182" s="32">
        <v>49211</v>
      </c>
      <c r="E1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83" spans="1:6" x14ac:dyDescent="0.35">
      <c r="A1183" s="3">
        <v>44096878950</v>
      </c>
      <c r="B1183" s="3">
        <v>290</v>
      </c>
      <c r="C1183" s="32">
        <v>49137</v>
      </c>
      <c r="D1183" s="32"/>
      <c r="E1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84" spans="1:6" x14ac:dyDescent="0.35">
      <c r="A1184" s="3">
        <v>23746024566</v>
      </c>
      <c r="B1184" s="3">
        <v>300</v>
      </c>
      <c r="C1184" s="32">
        <v>49137</v>
      </c>
      <c r="D1184" s="32"/>
      <c r="E1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85" spans="1:6" x14ac:dyDescent="0.35">
      <c r="A1185" s="3">
        <v>64745071151</v>
      </c>
      <c r="B1185" s="3">
        <v>305</v>
      </c>
      <c r="C1185" s="32">
        <v>49137</v>
      </c>
      <c r="D1185" s="32"/>
      <c r="E1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86" spans="1:6" x14ac:dyDescent="0.35">
      <c r="A1186" s="3">
        <v>95852057690</v>
      </c>
      <c r="B1186" s="3">
        <v>309</v>
      </c>
      <c r="C1186" s="32">
        <v>49137</v>
      </c>
      <c r="D1186" s="32" t="s">
        <v>87</v>
      </c>
      <c r="E1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87" spans="1:6" x14ac:dyDescent="0.35">
      <c r="A1187" s="3">
        <v>98622328984</v>
      </c>
      <c r="B1187" s="3">
        <v>323</v>
      </c>
      <c r="C1187" s="32">
        <v>49137</v>
      </c>
      <c r="D1187" s="32" t="s">
        <v>87</v>
      </c>
      <c r="E1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88" spans="1:6" x14ac:dyDescent="0.35">
      <c r="A1188" s="3">
        <v>33918368800</v>
      </c>
      <c r="B1188" s="3">
        <v>0</v>
      </c>
      <c r="C1188" s="32">
        <v>49138</v>
      </c>
      <c r="D1188" s="32" t="s">
        <v>87</v>
      </c>
      <c r="E1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89" spans="1:6" x14ac:dyDescent="0.35">
      <c r="A1189" s="3">
        <v>19244668817</v>
      </c>
      <c r="B1189" s="3">
        <v>10</v>
      </c>
      <c r="C1189" s="32">
        <v>49138</v>
      </c>
      <c r="D1189" s="32">
        <v>49249</v>
      </c>
      <c r="E1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190" spans="1:6" x14ac:dyDescent="0.35">
      <c r="A1190" s="3">
        <v>48718455651</v>
      </c>
      <c r="B1190" s="3">
        <v>11</v>
      </c>
      <c r="C1190" s="32">
        <v>49138</v>
      </c>
      <c r="D1190" s="32"/>
      <c r="E1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1" spans="1:6" x14ac:dyDescent="0.35">
      <c r="A1191" s="3">
        <v>23740748270</v>
      </c>
      <c r="B1191" s="3">
        <v>11</v>
      </c>
      <c r="C1191" s="32">
        <v>49138</v>
      </c>
      <c r="D1191" s="32"/>
      <c r="E1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2" spans="1:6" x14ac:dyDescent="0.35">
      <c r="A1192" s="3">
        <v>50556398438</v>
      </c>
      <c r="B1192" s="3">
        <v>19</v>
      </c>
      <c r="C1192" s="32">
        <v>49138</v>
      </c>
      <c r="D1192" s="32">
        <v>49247</v>
      </c>
      <c r="E1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193" spans="1:6" x14ac:dyDescent="0.35">
      <c r="A1193" s="3">
        <v>30207722157</v>
      </c>
      <c r="B1193" s="3">
        <v>21</v>
      </c>
      <c r="C1193" s="32">
        <v>49138</v>
      </c>
      <c r="D1193" s="32" t="s">
        <v>87</v>
      </c>
      <c r="E1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4" spans="1:6" x14ac:dyDescent="0.35">
      <c r="A1194" s="3">
        <v>46098534373</v>
      </c>
      <c r="B1194" s="3">
        <v>23</v>
      </c>
      <c r="C1194" s="32">
        <v>49138</v>
      </c>
      <c r="D1194" s="32" t="s">
        <v>87</v>
      </c>
      <c r="E1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5" spans="1:6" x14ac:dyDescent="0.35">
      <c r="A1195" s="3">
        <v>91767966589</v>
      </c>
      <c r="B1195" s="3">
        <v>44</v>
      </c>
      <c r="C1195" s="32">
        <v>49138</v>
      </c>
      <c r="D1195" s="32" t="s">
        <v>87</v>
      </c>
      <c r="E1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6" spans="1:6" x14ac:dyDescent="0.35">
      <c r="A1196" s="3">
        <v>32773491528</v>
      </c>
      <c r="B1196" s="3">
        <v>114</v>
      </c>
      <c r="C1196" s="32">
        <v>49138</v>
      </c>
      <c r="D1196" s="32">
        <v>49157</v>
      </c>
      <c r="E1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97" spans="1:6" x14ac:dyDescent="0.35">
      <c r="A1197" s="3">
        <v>87699070762</v>
      </c>
      <c r="B1197" s="3">
        <v>129</v>
      </c>
      <c r="C1197" s="32">
        <v>49138</v>
      </c>
      <c r="D1197" s="32" t="s">
        <v>87</v>
      </c>
      <c r="E1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8" spans="1:6" x14ac:dyDescent="0.35">
      <c r="A1198" s="3">
        <v>99388514355</v>
      </c>
      <c r="B1198" s="3">
        <v>147</v>
      </c>
      <c r="C1198" s="32">
        <v>49138</v>
      </c>
      <c r="D1198" s="32"/>
      <c r="E11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9" spans="1:6" x14ac:dyDescent="0.35">
      <c r="A1199" s="3">
        <v>92067624597</v>
      </c>
      <c r="B1199" s="3">
        <v>149</v>
      </c>
      <c r="C1199" s="32">
        <v>49138</v>
      </c>
      <c r="D1199" s="32" t="s">
        <v>87</v>
      </c>
      <c r="E11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0" spans="1:6" x14ac:dyDescent="0.35">
      <c r="A1200" s="3">
        <v>80507228799</v>
      </c>
      <c r="B1200" s="3">
        <v>154</v>
      </c>
      <c r="C1200" s="32">
        <v>49138</v>
      </c>
      <c r="D1200" s="32" t="s">
        <v>87</v>
      </c>
      <c r="E12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1" spans="1:6" x14ac:dyDescent="0.35">
      <c r="A1201" s="3">
        <v>47182300718</v>
      </c>
      <c r="B1201" s="3">
        <v>159</v>
      </c>
      <c r="C1201" s="32">
        <v>49138</v>
      </c>
      <c r="D1201" s="32"/>
      <c r="E12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2" spans="1:6" x14ac:dyDescent="0.35">
      <c r="A1202" s="3">
        <v>99563380288</v>
      </c>
      <c r="B1202" s="3">
        <v>191</v>
      </c>
      <c r="C1202" s="32">
        <v>49138</v>
      </c>
      <c r="D1202" s="32" t="s">
        <v>87</v>
      </c>
      <c r="E12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3" spans="1:6" x14ac:dyDescent="0.35">
      <c r="A1203" s="3">
        <v>55687455763</v>
      </c>
      <c r="B1203" s="3">
        <v>204</v>
      </c>
      <c r="C1203" s="32">
        <v>49138</v>
      </c>
      <c r="D1203" s="32" t="s">
        <v>87</v>
      </c>
      <c r="E12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4" spans="1:6" x14ac:dyDescent="0.35">
      <c r="A1204" s="3">
        <v>56848451832</v>
      </c>
      <c r="B1204" s="3">
        <v>222</v>
      </c>
      <c r="C1204" s="32">
        <v>49138</v>
      </c>
      <c r="D1204" s="32">
        <v>49187</v>
      </c>
      <c r="E12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205" spans="1:6" x14ac:dyDescent="0.35">
      <c r="A1205" s="3">
        <v>78063973885</v>
      </c>
      <c r="B1205" s="3">
        <v>228</v>
      </c>
      <c r="C1205" s="32">
        <v>49138</v>
      </c>
      <c r="D1205" s="32" t="s">
        <v>87</v>
      </c>
      <c r="E12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6" spans="1:6" x14ac:dyDescent="0.35">
      <c r="A1206" s="3">
        <v>36397590668</v>
      </c>
      <c r="B1206" s="3">
        <v>256</v>
      </c>
      <c r="C1206" s="32">
        <v>49138</v>
      </c>
      <c r="D1206" s="32">
        <v>49174</v>
      </c>
      <c r="E12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207" spans="1:6" x14ac:dyDescent="0.35">
      <c r="A1207" s="3">
        <v>41031825787</v>
      </c>
      <c r="B1207" s="3">
        <v>264</v>
      </c>
      <c r="C1207" s="32">
        <v>49138</v>
      </c>
      <c r="D1207" s="32" t="s">
        <v>87</v>
      </c>
      <c r="E12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8" spans="1:6" x14ac:dyDescent="0.35">
      <c r="A1208" s="3">
        <v>23404051452</v>
      </c>
      <c r="B1208" s="3">
        <v>268</v>
      </c>
      <c r="C1208" s="32">
        <v>49138</v>
      </c>
      <c r="D1208" s="32"/>
      <c r="E12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9" spans="1:6" x14ac:dyDescent="0.35">
      <c r="A1209" s="3">
        <v>30262953212</v>
      </c>
      <c r="B1209" s="3">
        <v>284</v>
      </c>
      <c r="C1209" s="32">
        <v>49138</v>
      </c>
      <c r="D1209" s="32"/>
      <c r="E12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0" spans="1:6" x14ac:dyDescent="0.35">
      <c r="A1210" s="3">
        <v>87238853788</v>
      </c>
      <c r="B1210" s="3">
        <v>43</v>
      </c>
      <c r="C1210" s="32">
        <v>49139</v>
      </c>
      <c r="D1210" s="32" t="s">
        <v>87</v>
      </c>
      <c r="E12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1" spans="1:6" x14ac:dyDescent="0.35">
      <c r="A1211" s="3">
        <v>15152467408</v>
      </c>
      <c r="B1211" s="3">
        <v>43</v>
      </c>
      <c r="C1211" s="32">
        <v>49139</v>
      </c>
      <c r="D1211" s="32" t="s">
        <v>87</v>
      </c>
      <c r="E12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2" spans="1:6" x14ac:dyDescent="0.35">
      <c r="A1212" s="3">
        <v>74206201903</v>
      </c>
      <c r="B1212" s="3">
        <v>57</v>
      </c>
      <c r="C1212" s="32">
        <v>49139</v>
      </c>
      <c r="D1212" s="32" t="s">
        <v>87</v>
      </c>
      <c r="E12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3" spans="1:6" x14ac:dyDescent="0.35">
      <c r="A1213" s="3">
        <v>99404335018</v>
      </c>
      <c r="B1213" s="3">
        <v>58</v>
      </c>
      <c r="C1213" s="32">
        <v>49139</v>
      </c>
      <c r="D1213" s="32" t="s">
        <v>87</v>
      </c>
      <c r="E12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4" spans="1:6" x14ac:dyDescent="0.35">
      <c r="A1214" s="3">
        <v>32889615625</v>
      </c>
      <c r="B1214" s="3">
        <v>92</v>
      </c>
      <c r="C1214" s="32">
        <v>49139</v>
      </c>
      <c r="D1214" s="32" t="s">
        <v>87</v>
      </c>
      <c r="E12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5" spans="1:6" x14ac:dyDescent="0.35">
      <c r="A1215" s="3">
        <v>24585006657</v>
      </c>
      <c r="B1215" s="3">
        <v>101</v>
      </c>
      <c r="C1215" s="32">
        <v>49139</v>
      </c>
      <c r="D1215" s="32" t="s">
        <v>87</v>
      </c>
      <c r="E12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6" spans="1:6" x14ac:dyDescent="0.35">
      <c r="A1216" s="3">
        <v>55822806203</v>
      </c>
      <c r="B1216" s="3">
        <v>116</v>
      </c>
      <c r="C1216" s="32">
        <v>49139</v>
      </c>
      <c r="D1216" s="32" t="s">
        <v>87</v>
      </c>
      <c r="E12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7" spans="1:6" x14ac:dyDescent="0.35">
      <c r="A1217" s="3">
        <v>20676225210</v>
      </c>
      <c r="B1217" s="3">
        <v>118</v>
      </c>
      <c r="C1217" s="32">
        <v>49139</v>
      </c>
      <c r="D1217" s="32" t="s">
        <v>87</v>
      </c>
      <c r="E12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8" spans="1:6" x14ac:dyDescent="0.35">
      <c r="A1218" s="3">
        <v>84920602697</v>
      </c>
      <c r="B1218" s="3">
        <v>128</v>
      </c>
      <c r="C1218" s="32">
        <v>49139</v>
      </c>
      <c r="D1218" s="32"/>
      <c r="E12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9" spans="1:6" x14ac:dyDescent="0.35">
      <c r="A1219" s="3">
        <v>34978500144</v>
      </c>
      <c r="B1219" s="3">
        <v>139</v>
      </c>
      <c r="C1219" s="32">
        <v>49139</v>
      </c>
      <c r="D1219" s="32" t="s">
        <v>87</v>
      </c>
      <c r="E12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0" spans="1:6" x14ac:dyDescent="0.35">
      <c r="A1220" s="3">
        <v>80507755554</v>
      </c>
      <c r="B1220" s="3">
        <v>142</v>
      </c>
      <c r="C1220" s="32">
        <v>49139</v>
      </c>
      <c r="D1220" s="32">
        <v>49217</v>
      </c>
      <c r="E12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21" spans="1:6" x14ac:dyDescent="0.35">
      <c r="A1221" s="3">
        <v>57695134194</v>
      </c>
      <c r="B1221" s="3">
        <v>171</v>
      </c>
      <c r="C1221" s="32">
        <v>49139</v>
      </c>
      <c r="D1221" s="32"/>
      <c r="E12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2" spans="1:6" x14ac:dyDescent="0.35">
      <c r="A1222" s="3">
        <v>63932830491</v>
      </c>
      <c r="B1222" s="3">
        <v>180</v>
      </c>
      <c r="C1222" s="32">
        <v>49139</v>
      </c>
      <c r="D1222" s="32" t="s">
        <v>87</v>
      </c>
      <c r="E12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3" spans="1:6" x14ac:dyDescent="0.35">
      <c r="A1223" s="3">
        <v>39096817197</v>
      </c>
      <c r="B1223" s="3">
        <v>222</v>
      </c>
      <c r="C1223" s="32">
        <v>49139</v>
      </c>
      <c r="D1223" s="32" t="s">
        <v>87</v>
      </c>
      <c r="E12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4" spans="1:6" x14ac:dyDescent="0.35">
      <c r="A1224" s="3">
        <v>80305691069</v>
      </c>
      <c r="B1224" s="3">
        <v>227</v>
      </c>
      <c r="C1224" s="32">
        <v>49139</v>
      </c>
      <c r="D1224" s="32" t="s">
        <v>87</v>
      </c>
      <c r="E12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5" spans="1:6" x14ac:dyDescent="0.35">
      <c r="A1225" s="3">
        <v>40227431114</v>
      </c>
      <c r="B1225" s="3">
        <v>234</v>
      </c>
      <c r="C1225" s="32">
        <v>49139</v>
      </c>
      <c r="D1225" s="32" t="s">
        <v>87</v>
      </c>
      <c r="E12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6" spans="1:6" x14ac:dyDescent="0.35">
      <c r="A1226" s="3">
        <v>17626365760</v>
      </c>
      <c r="B1226" s="3">
        <v>241</v>
      </c>
      <c r="C1226" s="32">
        <v>49139</v>
      </c>
      <c r="D1226" s="32" t="s">
        <v>87</v>
      </c>
      <c r="E12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7" spans="1:6" x14ac:dyDescent="0.35">
      <c r="A1227" s="3">
        <v>72844953989</v>
      </c>
      <c r="B1227" s="3">
        <v>245</v>
      </c>
      <c r="C1227" s="32">
        <v>49139</v>
      </c>
      <c r="D1227" s="32" t="s">
        <v>87</v>
      </c>
      <c r="E12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8" spans="1:6" x14ac:dyDescent="0.35">
      <c r="A1228" s="3">
        <v>22782407817</v>
      </c>
      <c r="B1228" s="3">
        <v>253</v>
      </c>
      <c r="C1228" s="32">
        <v>49139</v>
      </c>
      <c r="D1228" s="32" t="s">
        <v>87</v>
      </c>
      <c r="E12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9" spans="1:6" x14ac:dyDescent="0.35">
      <c r="A1229" s="3">
        <v>49507996609</v>
      </c>
      <c r="B1229" s="3">
        <v>278</v>
      </c>
      <c r="C1229" s="32">
        <v>49139</v>
      </c>
      <c r="D1229" s="32" t="s">
        <v>87</v>
      </c>
      <c r="E12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0" spans="1:6" x14ac:dyDescent="0.35">
      <c r="A1230" s="3">
        <v>89335413200</v>
      </c>
      <c r="B1230" s="3">
        <v>299</v>
      </c>
      <c r="C1230" s="32">
        <v>49139</v>
      </c>
      <c r="D1230" s="32" t="s">
        <v>87</v>
      </c>
      <c r="E12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1" spans="1:6" x14ac:dyDescent="0.35">
      <c r="A1231" s="3">
        <v>65415617313</v>
      </c>
      <c r="B1231" s="3">
        <v>320</v>
      </c>
      <c r="C1231" s="32">
        <v>49139</v>
      </c>
      <c r="D1231" s="32" t="s">
        <v>87</v>
      </c>
      <c r="E12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2" spans="1:6" x14ac:dyDescent="0.35">
      <c r="A1232" s="3">
        <v>21532015388</v>
      </c>
      <c r="B1232" s="3">
        <v>6</v>
      </c>
      <c r="C1232" s="32">
        <v>49140</v>
      </c>
      <c r="D1232" s="32">
        <v>49218</v>
      </c>
      <c r="E12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233" spans="1:6" x14ac:dyDescent="0.35">
      <c r="A1233" s="3">
        <v>96257260880</v>
      </c>
      <c r="B1233" s="3">
        <v>17</v>
      </c>
      <c r="C1233" s="32">
        <v>49140</v>
      </c>
      <c r="D1233" s="32">
        <v>49210</v>
      </c>
      <c r="E12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34" spans="1:6" x14ac:dyDescent="0.35">
      <c r="A1234" s="3">
        <v>83050794368</v>
      </c>
      <c r="B1234" s="3">
        <v>40</v>
      </c>
      <c r="C1234" s="32">
        <v>49140</v>
      </c>
      <c r="D1234" s="32" t="s">
        <v>87</v>
      </c>
      <c r="E12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5" spans="1:6" x14ac:dyDescent="0.35">
      <c r="A1235" s="3">
        <v>90485595579</v>
      </c>
      <c r="B1235" s="3">
        <v>40</v>
      </c>
      <c r="C1235" s="32">
        <v>49140</v>
      </c>
      <c r="D1235" s="32">
        <v>49198</v>
      </c>
      <c r="E12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36" spans="1:6" x14ac:dyDescent="0.35">
      <c r="A1236" s="3">
        <v>62556653783</v>
      </c>
      <c r="B1236" s="3">
        <v>56</v>
      </c>
      <c r="C1236" s="32">
        <v>49140</v>
      </c>
      <c r="D1236" s="32"/>
      <c r="E12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7" spans="1:6" x14ac:dyDescent="0.35">
      <c r="A1237" s="3">
        <v>45532981311</v>
      </c>
      <c r="B1237" s="3">
        <v>74</v>
      </c>
      <c r="C1237" s="32">
        <v>49140</v>
      </c>
      <c r="D1237" s="32" t="s">
        <v>87</v>
      </c>
      <c r="E12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8" spans="1:6" x14ac:dyDescent="0.35">
      <c r="A1238" s="3">
        <v>31296810837</v>
      </c>
      <c r="B1238" s="3">
        <v>98</v>
      </c>
      <c r="C1238" s="32">
        <v>49140</v>
      </c>
      <c r="D1238" s="32" t="s">
        <v>87</v>
      </c>
      <c r="E12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9" spans="1:6" x14ac:dyDescent="0.35">
      <c r="A1239" s="3">
        <v>33540266131</v>
      </c>
      <c r="B1239" s="3">
        <v>110</v>
      </c>
      <c r="C1239" s="32">
        <v>49140</v>
      </c>
      <c r="D1239" s="32" t="s">
        <v>87</v>
      </c>
      <c r="E12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0" spans="1:6" x14ac:dyDescent="0.35">
      <c r="A1240" s="3">
        <v>27353863560</v>
      </c>
      <c r="B1240" s="3">
        <v>118</v>
      </c>
      <c r="C1240" s="32">
        <v>49140</v>
      </c>
      <c r="D1240" s="32" t="s">
        <v>87</v>
      </c>
      <c r="E12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1" spans="1:6" x14ac:dyDescent="0.35">
      <c r="A1241" s="3">
        <v>39343133426</v>
      </c>
      <c r="B1241" s="3">
        <v>158</v>
      </c>
      <c r="C1241" s="32">
        <v>49140</v>
      </c>
      <c r="D1241" s="32" t="s">
        <v>87</v>
      </c>
      <c r="E12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2" spans="1:6" x14ac:dyDescent="0.35">
      <c r="A1242" s="3">
        <v>97866428304</v>
      </c>
      <c r="B1242" s="3">
        <v>160</v>
      </c>
      <c r="C1242" s="32">
        <v>49140</v>
      </c>
      <c r="D1242" s="32">
        <v>49226</v>
      </c>
      <c r="E12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243" spans="1:6" x14ac:dyDescent="0.35">
      <c r="A1243" s="3">
        <v>34074858218</v>
      </c>
      <c r="B1243" s="3">
        <v>182</v>
      </c>
      <c r="C1243" s="32">
        <v>49140</v>
      </c>
      <c r="D1243" s="32">
        <v>49230</v>
      </c>
      <c r="E12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244" spans="1:6" x14ac:dyDescent="0.35">
      <c r="A1244" s="3">
        <v>19651343968</v>
      </c>
      <c r="B1244" s="3">
        <v>208</v>
      </c>
      <c r="C1244" s="32">
        <v>49140</v>
      </c>
      <c r="D1244" s="32" t="s">
        <v>87</v>
      </c>
      <c r="E12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5" spans="1:6" x14ac:dyDescent="0.35">
      <c r="A1245" s="3">
        <v>76972268872</v>
      </c>
      <c r="B1245" s="3">
        <v>220</v>
      </c>
      <c r="C1245" s="32">
        <v>49140</v>
      </c>
      <c r="D1245" s="32">
        <v>49182</v>
      </c>
      <c r="E12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246" spans="1:6" x14ac:dyDescent="0.35">
      <c r="A1246" s="3">
        <v>41780044781</v>
      </c>
      <c r="B1246" s="3">
        <v>237</v>
      </c>
      <c r="C1246" s="32">
        <v>49140</v>
      </c>
      <c r="D1246" s="32"/>
      <c r="E12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7" spans="1:6" x14ac:dyDescent="0.35">
      <c r="A1247" s="3">
        <v>59926104611</v>
      </c>
      <c r="B1247" s="3">
        <v>239</v>
      </c>
      <c r="C1247" s="32">
        <v>49140</v>
      </c>
      <c r="D1247" s="32"/>
      <c r="E12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8" spans="1:6" x14ac:dyDescent="0.35">
      <c r="A1248" s="3">
        <v>67136855235</v>
      </c>
      <c r="B1248" s="3">
        <v>243</v>
      </c>
      <c r="C1248" s="32">
        <v>49140</v>
      </c>
      <c r="D1248" s="32" t="s">
        <v>87</v>
      </c>
      <c r="E12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9" spans="1:6" x14ac:dyDescent="0.35">
      <c r="A1249" s="3">
        <v>93392742986</v>
      </c>
      <c r="B1249" s="3">
        <v>260</v>
      </c>
      <c r="C1249" s="32">
        <v>49140</v>
      </c>
      <c r="D1249" s="32" t="s">
        <v>87</v>
      </c>
      <c r="E12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0" spans="1:6" x14ac:dyDescent="0.35">
      <c r="A1250" s="3">
        <v>86731980137</v>
      </c>
      <c r="B1250" s="3">
        <v>261</v>
      </c>
      <c r="C1250" s="32">
        <v>49140</v>
      </c>
      <c r="D1250" s="32" t="s">
        <v>87</v>
      </c>
      <c r="E12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1" spans="1:6" x14ac:dyDescent="0.35">
      <c r="A1251" s="3">
        <v>68876487019</v>
      </c>
      <c r="B1251" s="3">
        <v>277</v>
      </c>
      <c r="C1251" s="32">
        <v>49140</v>
      </c>
      <c r="D1251" s="32" t="s">
        <v>87</v>
      </c>
      <c r="E12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2" spans="1:6" x14ac:dyDescent="0.35">
      <c r="A1252" s="3">
        <v>23866123351</v>
      </c>
      <c r="B1252" s="3">
        <v>281</v>
      </c>
      <c r="C1252" s="32">
        <v>49140</v>
      </c>
      <c r="D1252" s="32">
        <v>49250</v>
      </c>
      <c r="E12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253" spans="1:6" x14ac:dyDescent="0.35">
      <c r="A1253" s="3">
        <v>76327385799</v>
      </c>
      <c r="B1253" s="3">
        <v>284</v>
      </c>
      <c r="C1253" s="32">
        <v>49140</v>
      </c>
      <c r="D1253" s="32" t="s">
        <v>87</v>
      </c>
      <c r="E12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4" spans="1:6" x14ac:dyDescent="0.35">
      <c r="A1254" s="3">
        <v>78298287198</v>
      </c>
      <c r="B1254" s="3">
        <v>284</v>
      </c>
      <c r="C1254" s="32">
        <v>49140</v>
      </c>
      <c r="D1254" s="32" t="s">
        <v>87</v>
      </c>
      <c r="E12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5" spans="1:6" x14ac:dyDescent="0.35">
      <c r="A1255" s="3">
        <v>75511643545</v>
      </c>
      <c r="B1255" s="3">
        <v>297</v>
      </c>
      <c r="C1255" s="32">
        <v>49140</v>
      </c>
      <c r="D1255" s="32" t="s">
        <v>87</v>
      </c>
      <c r="E12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6" spans="1:6" x14ac:dyDescent="0.35">
      <c r="A1256" s="3">
        <v>36155346799</v>
      </c>
      <c r="B1256" s="3">
        <v>306</v>
      </c>
      <c r="C1256" s="32">
        <v>49140</v>
      </c>
      <c r="D1256" s="32" t="s">
        <v>87</v>
      </c>
      <c r="E12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7" spans="1:6" x14ac:dyDescent="0.35">
      <c r="A1257" s="3">
        <v>86914069128</v>
      </c>
      <c r="B1257" s="3">
        <v>316</v>
      </c>
      <c r="C1257" s="32">
        <v>49140</v>
      </c>
      <c r="D1257" s="32" t="s">
        <v>87</v>
      </c>
      <c r="E12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8" spans="1:6" x14ac:dyDescent="0.35">
      <c r="A1258" s="3">
        <v>37797819762</v>
      </c>
      <c r="B1258" s="3">
        <v>321</v>
      </c>
      <c r="C1258" s="32">
        <v>49140</v>
      </c>
      <c r="D1258" s="32">
        <v>49228</v>
      </c>
      <c r="E12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259" spans="1:6" x14ac:dyDescent="0.35">
      <c r="A1259" s="3">
        <v>91763568997</v>
      </c>
      <c r="B1259" s="3">
        <v>324</v>
      </c>
      <c r="C1259" s="32">
        <v>49140</v>
      </c>
      <c r="D1259" s="32" t="s">
        <v>87</v>
      </c>
      <c r="E12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0" spans="1:6" x14ac:dyDescent="0.35">
      <c r="A1260" s="3">
        <v>13251507138</v>
      </c>
      <c r="B1260" s="3">
        <v>328</v>
      </c>
      <c r="C1260" s="32">
        <v>49140</v>
      </c>
      <c r="D1260" s="32"/>
      <c r="E12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1" spans="1:6" x14ac:dyDescent="0.35">
      <c r="A1261" s="3">
        <v>59679660356</v>
      </c>
      <c r="B1261" s="3">
        <v>10</v>
      </c>
      <c r="C1261" s="32">
        <v>49141</v>
      </c>
      <c r="D1261" s="32">
        <v>49204</v>
      </c>
      <c r="E12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62" spans="1:6" x14ac:dyDescent="0.35">
      <c r="A1262" s="3">
        <v>77098245858</v>
      </c>
      <c r="B1262" s="3">
        <v>11</v>
      </c>
      <c r="C1262" s="32">
        <v>49141</v>
      </c>
      <c r="D1262" s="32" t="s">
        <v>87</v>
      </c>
      <c r="E12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3" spans="1:6" x14ac:dyDescent="0.35">
      <c r="A1263" s="3">
        <v>51868754408</v>
      </c>
      <c r="B1263" s="3">
        <v>56</v>
      </c>
      <c r="C1263" s="32">
        <v>49141</v>
      </c>
      <c r="D1263" s="32" t="s">
        <v>87</v>
      </c>
      <c r="E12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4" spans="1:6" x14ac:dyDescent="0.35">
      <c r="A1264" s="3">
        <v>43960292501</v>
      </c>
      <c r="B1264" s="3">
        <v>60</v>
      </c>
      <c r="C1264" s="32">
        <v>49141</v>
      </c>
      <c r="D1264" s="32" t="s">
        <v>87</v>
      </c>
      <c r="E12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5" spans="1:6" x14ac:dyDescent="0.35">
      <c r="A1265" s="3">
        <v>37297082805</v>
      </c>
      <c r="B1265" s="3">
        <v>64</v>
      </c>
      <c r="C1265" s="32">
        <v>49141</v>
      </c>
      <c r="D1265" s="32" t="s">
        <v>87</v>
      </c>
      <c r="E12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6" spans="1:6" x14ac:dyDescent="0.35">
      <c r="A1266" s="3">
        <v>52967193206</v>
      </c>
      <c r="B1266" s="3">
        <v>87</v>
      </c>
      <c r="C1266" s="32">
        <v>49141</v>
      </c>
      <c r="D1266" s="32" t="s">
        <v>87</v>
      </c>
      <c r="E12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7" spans="1:6" x14ac:dyDescent="0.35">
      <c r="A1267" s="3">
        <v>27868433723</v>
      </c>
      <c r="B1267" s="3">
        <v>95</v>
      </c>
      <c r="C1267" s="32">
        <v>49141</v>
      </c>
      <c r="D1267" s="32" t="s">
        <v>87</v>
      </c>
      <c r="E12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8" spans="1:6" x14ac:dyDescent="0.35">
      <c r="A1268" s="3">
        <v>29294769958</v>
      </c>
      <c r="B1268" s="3">
        <v>101</v>
      </c>
      <c r="C1268" s="32">
        <v>49141</v>
      </c>
      <c r="D1268" s="32"/>
      <c r="E12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9" spans="1:6" x14ac:dyDescent="0.35">
      <c r="A1269" s="3">
        <v>31339743208</v>
      </c>
      <c r="B1269" s="3">
        <v>119</v>
      </c>
      <c r="C1269" s="32">
        <v>49141</v>
      </c>
      <c r="D1269" s="32"/>
      <c r="E12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0" spans="1:6" x14ac:dyDescent="0.35">
      <c r="A1270" s="3">
        <v>96629488227</v>
      </c>
      <c r="B1270" s="3">
        <v>154</v>
      </c>
      <c r="C1270" s="32">
        <v>49141</v>
      </c>
      <c r="D1270" s="32" t="s">
        <v>87</v>
      </c>
      <c r="E12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1" spans="1:6" x14ac:dyDescent="0.35">
      <c r="A1271" s="3">
        <v>23087911259</v>
      </c>
      <c r="B1271" s="3">
        <v>155</v>
      </c>
      <c r="C1271" s="32">
        <v>49141</v>
      </c>
      <c r="D1271" s="32">
        <v>49141</v>
      </c>
      <c r="E12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272" spans="1:6" x14ac:dyDescent="0.35">
      <c r="A1272" s="3">
        <v>79916678114</v>
      </c>
      <c r="B1272" s="3">
        <v>193</v>
      </c>
      <c r="C1272" s="32">
        <v>49141</v>
      </c>
      <c r="D1272" s="32" t="s">
        <v>87</v>
      </c>
      <c r="E12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3" spans="1:6" x14ac:dyDescent="0.35">
      <c r="A1273" s="3">
        <v>49736387177</v>
      </c>
      <c r="B1273" s="3">
        <v>238</v>
      </c>
      <c r="C1273" s="32">
        <v>49141</v>
      </c>
      <c r="D1273" s="32" t="s">
        <v>87</v>
      </c>
      <c r="E12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4" spans="1:6" x14ac:dyDescent="0.35">
      <c r="A1274" s="3">
        <v>69240000846</v>
      </c>
      <c r="B1274" s="3">
        <v>246</v>
      </c>
      <c r="C1274" s="32">
        <v>49141</v>
      </c>
      <c r="D1274" s="32" t="s">
        <v>87</v>
      </c>
      <c r="E12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5" spans="1:6" x14ac:dyDescent="0.35">
      <c r="A1275" s="3">
        <v>87566302748</v>
      </c>
      <c r="B1275" s="3">
        <v>256</v>
      </c>
      <c r="C1275" s="32">
        <v>49141</v>
      </c>
      <c r="D1275" s="32"/>
      <c r="E12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6" spans="1:6" x14ac:dyDescent="0.35">
      <c r="A1276" s="3">
        <v>65836938941</v>
      </c>
      <c r="B1276" s="3">
        <v>258</v>
      </c>
      <c r="C1276" s="32">
        <v>49141</v>
      </c>
      <c r="D1276" s="32" t="s">
        <v>87</v>
      </c>
      <c r="E12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7" spans="1:6" x14ac:dyDescent="0.35">
      <c r="A1277" s="3">
        <v>41627495299</v>
      </c>
      <c r="B1277" s="3">
        <v>276</v>
      </c>
      <c r="C1277" s="32">
        <v>49141</v>
      </c>
      <c r="D1277" s="32" t="s">
        <v>87</v>
      </c>
      <c r="E12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8" spans="1:6" x14ac:dyDescent="0.35">
      <c r="A1278" s="3">
        <v>12226974826</v>
      </c>
      <c r="B1278" s="3">
        <v>276</v>
      </c>
      <c r="C1278" s="32">
        <v>49141</v>
      </c>
      <c r="D1278" s="32" t="s">
        <v>87</v>
      </c>
      <c r="E12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9" spans="1:6" x14ac:dyDescent="0.35">
      <c r="A1279" s="3">
        <v>81390419388</v>
      </c>
      <c r="B1279" s="3">
        <v>280</v>
      </c>
      <c r="C1279" s="32">
        <v>49141</v>
      </c>
      <c r="D1279" s="32" t="s">
        <v>87</v>
      </c>
      <c r="E12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0" spans="1:6" x14ac:dyDescent="0.35">
      <c r="A1280" s="3">
        <v>93641081019</v>
      </c>
      <c r="B1280" s="3">
        <v>320</v>
      </c>
      <c r="C1280" s="32">
        <v>49141</v>
      </c>
      <c r="D1280" s="32" t="s">
        <v>87</v>
      </c>
      <c r="E12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1" spans="1:6" x14ac:dyDescent="0.35">
      <c r="A1281" s="3">
        <v>27070429593</v>
      </c>
      <c r="B1281" s="3">
        <v>336</v>
      </c>
      <c r="C1281" s="32">
        <v>49141</v>
      </c>
      <c r="D1281" s="32">
        <v>49234</v>
      </c>
      <c r="E12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282" spans="1:6" x14ac:dyDescent="0.35">
      <c r="A1282" s="3">
        <v>91402114623</v>
      </c>
      <c r="B1282" s="3">
        <v>339</v>
      </c>
      <c r="C1282" s="32">
        <v>49141</v>
      </c>
      <c r="D1282" s="32">
        <v>49185</v>
      </c>
      <c r="E12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283" spans="1:6" x14ac:dyDescent="0.35">
      <c r="A1283" s="3">
        <v>77775797473</v>
      </c>
      <c r="B1283" s="3">
        <v>340</v>
      </c>
      <c r="C1283" s="32">
        <v>49141</v>
      </c>
      <c r="D1283" s="32">
        <v>49148</v>
      </c>
      <c r="E12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284" spans="1:6" x14ac:dyDescent="0.35">
      <c r="A1284" s="3">
        <v>89948959945</v>
      </c>
      <c r="B1284" s="3">
        <v>4</v>
      </c>
      <c r="C1284" s="32">
        <v>49142</v>
      </c>
      <c r="D1284" s="32"/>
      <c r="E12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5" spans="1:6" x14ac:dyDescent="0.35">
      <c r="A1285" s="3">
        <v>18419780593</v>
      </c>
      <c r="B1285" s="3">
        <v>5</v>
      </c>
      <c r="C1285" s="32">
        <v>49142</v>
      </c>
      <c r="D1285" s="32" t="s">
        <v>87</v>
      </c>
      <c r="E12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6" spans="1:6" x14ac:dyDescent="0.35">
      <c r="A1286" s="3">
        <v>78556523873</v>
      </c>
      <c r="B1286" s="3">
        <v>16</v>
      </c>
      <c r="C1286" s="32">
        <v>49142</v>
      </c>
      <c r="D1286" s="32" t="s">
        <v>87</v>
      </c>
      <c r="E12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7" spans="1:6" x14ac:dyDescent="0.35">
      <c r="A1287" s="3">
        <v>86491534434</v>
      </c>
      <c r="B1287" s="3">
        <v>17</v>
      </c>
      <c r="C1287" s="32">
        <v>49142</v>
      </c>
      <c r="D1287" s="32"/>
      <c r="E12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8" spans="1:6" x14ac:dyDescent="0.35">
      <c r="A1288" s="3">
        <v>68849619365</v>
      </c>
      <c r="B1288" s="3">
        <v>29</v>
      </c>
      <c r="C1288" s="32">
        <v>49142</v>
      </c>
      <c r="D1288" s="32" t="s">
        <v>87</v>
      </c>
      <c r="E12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9" spans="1:6" x14ac:dyDescent="0.35">
      <c r="A1289" s="3">
        <v>35773615334</v>
      </c>
      <c r="B1289" s="3">
        <v>37</v>
      </c>
      <c r="C1289" s="32">
        <v>49142</v>
      </c>
      <c r="D1289" s="32"/>
      <c r="E12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0" spans="1:6" x14ac:dyDescent="0.35">
      <c r="A1290" s="3">
        <v>66095559872</v>
      </c>
      <c r="B1290" s="3">
        <v>44</v>
      </c>
      <c r="C1290" s="32">
        <v>49142</v>
      </c>
      <c r="D1290" s="32">
        <v>49215</v>
      </c>
      <c r="E12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91" spans="1:6" x14ac:dyDescent="0.35">
      <c r="A1291" s="3">
        <v>64402787526</v>
      </c>
      <c r="B1291" s="3">
        <v>55</v>
      </c>
      <c r="C1291" s="32">
        <v>49142</v>
      </c>
      <c r="D1291" s="32" t="s">
        <v>87</v>
      </c>
      <c r="E12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2" spans="1:6" x14ac:dyDescent="0.35">
      <c r="A1292" s="3">
        <v>18118120652</v>
      </c>
      <c r="B1292" s="3">
        <v>79</v>
      </c>
      <c r="C1292" s="32">
        <v>49142</v>
      </c>
      <c r="D1292" s="32" t="s">
        <v>87</v>
      </c>
      <c r="E12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3" spans="1:6" x14ac:dyDescent="0.35">
      <c r="A1293" s="3">
        <v>18818370414</v>
      </c>
      <c r="B1293" s="3">
        <v>104</v>
      </c>
      <c r="C1293" s="32">
        <v>49142</v>
      </c>
      <c r="D1293" s="32">
        <v>49217</v>
      </c>
      <c r="E12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94" spans="1:6" x14ac:dyDescent="0.35">
      <c r="A1294" s="3">
        <v>24895543311</v>
      </c>
      <c r="B1294" s="3">
        <v>158</v>
      </c>
      <c r="C1294" s="32">
        <v>49142</v>
      </c>
      <c r="D1294" s="32" t="s">
        <v>87</v>
      </c>
      <c r="E12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5" spans="1:6" x14ac:dyDescent="0.35">
      <c r="A1295" s="3">
        <v>67145834979</v>
      </c>
      <c r="B1295" s="3">
        <v>161</v>
      </c>
      <c r="C1295" s="32">
        <v>49142</v>
      </c>
      <c r="D1295" s="32"/>
      <c r="E12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6" spans="1:6" x14ac:dyDescent="0.35">
      <c r="A1296" s="3">
        <v>97598088690</v>
      </c>
      <c r="B1296" s="3">
        <v>166</v>
      </c>
      <c r="C1296" s="32">
        <v>49142</v>
      </c>
      <c r="D1296" s="32"/>
      <c r="E12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7" spans="1:6" x14ac:dyDescent="0.35">
      <c r="A1297" s="3">
        <v>41730712328</v>
      </c>
      <c r="B1297" s="3">
        <v>168</v>
      </c>
      <c r="C1297" s="32">
        <v>49142</v>
      </c>
      <c r="D1297" s="32" t="s">
        <v>87</v>
      </c>
      <c r="E12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8" spans="1:6" x14ac:dyDescent="0.35">
      <c r="A1298" s="3">
        <v>41566118487</v>
      </c>
      <c r="B1298" s="3">
        <v>204</v>
      </c>
      <c r="C1298" s="32">
        <v>49142</v>
      </c>
      <c r="D1298" s="32" t="s">
        <v>87</v>
      </c>
      <c r="E12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9" spans="1:6" x14ac:dyDescent="0.35">
      <c r="A1299" s="3">
        <v>54127669903</v>
      </c>
      <c r="B1299" s="3">
        <v>206</v>
      </c>
      <c r="C1299" s="32">
        <v>49142</v>
      </c>
      <c r="D1299" s="32">
        <v>49179</v>
      </c>
      <c r="E12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300" spans="1:6" x14ac:dyDescent="0.35">
      <c r="A1300" s="3">
        <v>54823011639</v>
      </c>
      <c r="B1300" s="3">
        <v>238</v>
      </c>
      <c r="C1300" s="32">
        <v>49142</v>
      </c>
      <c r="D1300" s="32"/>
      <c r="E13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1" spans="1:6" x14ac:dyDescent="0.35">
      <c r="A1301" s="3">
        <v>11332647580</v>
      </c>
      <c r="B1301" s="3">
        <v>246</v>
      </c>
      <c r="C1301" s="32">
        <v>49142</v>
      </c>
      <c r="D1301" s="32" t="s">
        <v>87</v>
      </c>
      <c r="E13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2" spans="1:6" x14ac:dyDescent="0.35">
      <c r="A1302" s="3">
        <v>92897131872</v>
      </c>
      <c r="B1302" s="3">
        <v>325</v>
      </c>
      <c r="C1302" s="32">
        <v>49142</v>
      </c>
      <c r="D1302" s="32" t="s">
        <v>87</v>
      </c>
      <c r="E13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3" spans="1:6" x14ac:dyDescent="0.35">
      <c r="A1303" s="3">
        <v>41492926595</v>
      </c>
      <c r="B1303" s="3">
        <v>9</v>
      </c>
      <c r="C1303" s="32">
        <v>49143</v>
      </c>
      <c r="D1303" s="32" t="s">
        <v>87</v>
      </c>
      <c r="E13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4" spans="1:6" x14ac:dyDescent="0.35">
      <c r="A1304" s="3">
        <v>25987726536</v>
      </c>
      <c r="B1304" s="3">
        <v>23</v>
      </c>
      <c r="C1304" s="32">
        <v>49143</v>
      </c>
      <c r="D1304" s="32" t="s">
        <v>87</v>
      </c>
      <c r="E13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5" spans="1:6" x14ac:dyDescent="0.35">
      <c r="A1305" s="3">
        <v>91381772114</v>
      </c>
      <c r="B1305" s="3">
        <v>39</v>
      </c>
      <c r="C1305" s="32">
        <v>49143</v>
      </c>
      <c r="D1305" s="32" t="s">
        <v>87</v>
      </c>
      <c r="E13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6" spans="1:6" x14ac:dyDescent="0.35">
      <c r="A1306" s="3">
        <v>84862140722</v>
      </c>
      <c r="B1306" s="3">
        <v>59</v>
      </c>
      <c r="C1306" s="32">
        <v>49143</v>
      </c>
      <c r="D1306" s="32" t="s">
        <v>87</v>
      </c>
      <c r="E13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7" spans="1:6" x14ac:dyDescent="0.35">
      <c r="A1307" s="3">
        <v>74523023374</v>
      </c>
      <c r="B1307" s="3">
        <v>64</v>
      </c>
      <c r="C1307" s="32">
        <v>49143</v>
      </c>
      <c r="D1307" s="32" t="s">
        <v>87</v>
      </c>
      <c r="E13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8" spans="1:6" x14ac:dyDescent="0.35">
      <c r="A1308" s="3">
        <v>67178614084</v>
      </c>
      <c r="B1308" s="3">
        <v>78</v>
      </c>
      <c r="C1308" s="32">
        <v>49143</v>
      </c>
      <c r="D1308" s="32" t="s">
        <v>87</v>
      </c>
      <c r="E13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9" spans="1:6" x14ac:dyDescent="0.35">
      <c r="A1309" s="3">
        <v>20107921325</v>
      </c>
      <c r="B1309" s="3">
        <v>89</v>
      </c>
      <c r="C1309" s="32">
        <v>49143</v>
      </c>
      <c r="D1309" s="32">
        <v>49216</v>
      </c>
      <c r="E13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10" spans="1:6" x14ac:dyDescent="0.35">
      <c r="A1310" s="3">
        <v>49636765561</v>
      </c>
      <c r="B1310" s="3">
        <v>112</v>
      </c>
      <c r="C1310" s="32">
        <v>49143</v>
      </c>
      <c r="D1310" s="32"/>
      <c r="E13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1" spans="1:6" x14ac:dyDescent="0.35">
      <c r="A1311" s="3">
        <v>34866835999</v>
      </c>
      <c r="B1311" s="3">
        <v>126</v>
      </c>
      <c r="C1311" s="32">
        <v>49143</v>
      </c>
      <c r="D1311" s="32"/>
      <c r="E13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2" spans="1:6" x14ac:dyDescent="0.35">
      <c r="A1312" s="3">
        <v>14741907808</v>
      </c>
      <c r="B1312" s="3">
        <v>159</v>
      </c>
      <c r="C1312" s="32">
        <v>49143</v>
      </c>
      <c r="D1312" s="32" t="s">
        <v>87</v>
      </c>
      <c r="E13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3" spans="1:6" x14ac:dyDescent="0.35">
      <c r="A1313" s="3">
        <v>15642272260</v>
      </c>
      <c r="B1313" s="3">
        <v>161</v>
      </c>
      <c r="C1313" s="32">
        <v>49143</v>
      </c>
      <c r="D1313" s="32" t="s">
        <v>87</v>
      </c>
      <c r="E13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4" spans="1:6" x14ac:dyDescent="0.35">
      <c r="A1314" s="3">
        <v>45952913351</v>
      </c>
      <c r="B1314" s="3">
        <v>163</v>
      </c>
      <c r="C1314" s="32">
        <v>49143</v>
      </c>
      <c r="D1314" s="32" t="s">
        <v>87</v>
      </c>
      <c r="E13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5" spans="1:6" x14ac:dyDescent="0.35">
      <c r="A1315" s="3">
        <v>43667098795</v>
      </c>
      <c r="B1315" s="3">
        <v>189</v>
      </c>
      <c r="C1315" s="32">
        <v>49143</v>
      </c>
      <c r="D1315" s="32" t="s">
        <v>87</v>
      </c>
      <c r="E13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6" spans="1:6" x14ac:dyDescent="0.35">
      <c r="A1316" s="3">
        <v>69803614849</v>
      </c>
      <c r="B1316" s="3">
        <v>202</v>
      </c>
      <c r="C1316" s="32">
        <v>49143</v>
      </c>
      <c r="D1316" s="32" t="s">
        <v>87</v>
      </c>
      <c r="E13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7" spans="1:6" x14ac:dyDescent="0.35">
      <c r="A1317" s="3">
        <v>43308705381</v>
      </c>
      <c r="B1317" s="3">
        <v>215</v>
      </c>
      <c r="C1317" s="32">
        <v>49143</v>
      </c>
      <c r="D1317" s="32">
        <v>49233</v>
      </c>
      <c r="E13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318" spans="1:6" x14ac:dyDescent="0.35">
      <c r="A1318" s="3">
        <v>19023878318</v>
      </c>
      <c r="B1318" s="3">
        <v>230</v>
      </c>
      <c r="C1318" s="32">
        <v>49143</v>
      </c>
      <c r="D1318" s="32">
        <v>49198</v>
      </c>
      <c r="E13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19" spans="1:6" x14ac:dyDescent="0.35">
      <c r="A1319" s="3">
        <v>72359450513</v>
      </c>
      <c r="B1319" s="3">
        <v>233</v>
      </c>
      <c r="C1319" s="32">
        <v>49143</v>
      </c>
      <c r="D1319" s="32" t="s">
        <v>87</v>
      </c>
      <c r="E13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0" spans="1:6" x14ac:dyDescent="0.35">
      <c r="A1320" s="3">
        <v>13288697228</v>
      </c>
      <c r="B1320" s="3">
        <v>244</v>
      </c>
      <c r="C1320" s="32">
        <v>49143</v>
      </c>
      <c r="D1320" s="32" t="s">
        <v>87</v>
      </c>
      <c r="E13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1" spans="1:6" x14ac:dyDescent="0.35">
      <c r="A1321" s="3">
        <v>70341557676</v>
      </c>
      <c r="B1321" s="3">
        <v>245</v>
      </c>
      <c r="C1321" s="32">
        <v>49143</v>
      </c>
      <c r="D1321" s="32" t="s">
        <v>87</v>
      </c>
      <c r="E13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2" spans="1:6" x14ac:dyDescent="0.35">
      <c r="A1322" s="3">
        <v>13249654769</v>
      </c>
      <c r="B1322" s="3">
        <v>248</v>
      </c>
      <c r="C1322" s="32">
        <v>49143</v>
      </c>
      <c r="D1322" s="32" t="s">
        <v>87</v>
      </c>
      <c r="E13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3" spans="1:6" x14ac:dyDescent="0.35">
      <c r="A1323" s="3">
        <v>33446849377</v>
      </c>
      <c r="B1323" s="3">
        <v>255</v>
      </c>
      <c r="C1323" s="32">
        <v>49143</v>
      </c>
      <c r="D1323" s="32" t="s">
        <v>87</v>
      </c>
      <c r="E13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4" spans="1:6" x14ac:dyDescent="0.35">
      <c r="A1324" s="3">
        <v>93119955349</v>
      </c>
      <c r="B1324" s="3">
        <v>273</v>
      </c>
      <c r="C1324" s="32">
        <v>49143</v>
      </c>
      <c r="D1324" s="32" t="s">
        <v>87</v>
      </c>
      <c r="E13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5" spans="1:6" x14ac:dyDescent="0.35">
      <c r="A1325" s="3">
        <v>65126626404</v>
      </c>
      <c r="B1325" s="3">
        <v>302</v>
      </c>
      <c r="C1325" s="32">
        <v>49143</v>
      </c>
      <c r="D1325" s="32" t="s">
        <v>87</v>
      </c>
      <c r="E13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6" spans="1:6" x14ac:dyDescent="0.35">
      <c r="A1326" s="3">
        <v>31946707156</v>
      </c>
      <c r="B1326" s="3">
        <v>303</v>
      </c>
      <c r="C1326" s="32">
        <v>49143</v>
      </c>
      <c r="D1326" s="32" t="s">
        <v>87</v>
      </c>
      <c r="E13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7" spans="1:6" x14ac:dyDescent="0.35">
      <c r="A1327" s="3">
        <v>46958649124</v>
      </c>
      <c r="B1327" s="3">
        <v>314</v>
      </c>
      <c r="C1327" s="32">
        <v>49143</v>
      </c>
      <c r="D1327" s="32" t="s">
        <v>87</v>
      </c>
      <c r="E13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8" spans="1:6" x14ac:dyDescent="0.35">
      <c r="A1328" s="3">
        <v>71388120390</v>
      </c>
      <c r="B1328" s="3">
        <v>340</v>
      </c>
      <c r="C1328" s="32">
        <v>49143</v>
      </c>
      <c r="D1328" s="32" t="s">
        <v>87</v>
      </c>
      <c r="E13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9" spans="1:6" x14ac:dyDescent="0.35">
      <c r="A1329" s="3">
        <v>78597313905</v>
      </c>
      <c r="B1329" s="3">
        <v>27</v>
      </c>
      <c r="C1329" s="32">
        <v>49144</v>
      </c>
      <c r="D1329" s="32" t="s">
        <v>87</v>
      </c>
      <c r="E13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0" spans="1:6" x14ac:dyDescent="0.35">
      <c r="A1330" s="3">
        <v>46077662104</v>
      </c>
      <c r="B1330" s="3">
        <v>34</v>
      </c>
      <c r="C1330" s="32">
        <v>49144</v>
      </c>
      <c r="D1330" s="32" t="s">
        <v>87</v>
      </c>
      <c r="E13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1" spans="1:6" x14ac:dyDescent="0.35">
      <c r="A1331" s="3">
        <v>50085905188</v>
      </c>
      <c r="B1331" s="3">
        <v>38</v>
      </c>
      <c r="C1331" s="32">
        <v>49144</v>
      </c>
      <c r="D1331" s="32" t="s">
        <v>87</v>
      </c>
      <c r="E13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2" spans="1:6" x14ac:dyDescent="0.35">
      <c r="A1332" s="3">
        <v>32659350184</v>
      </c>
      <c r="B1332" s="3">
        <v>70</v>
      </c>
      <c r="C1332" s="32">
        <v>49144</v>
      </c>
      <c r="D1332" s="32"/>
      <c r="E13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3" spans="1:6" x14ac:dyDescent="0.35">
      <c r="A1333" s="3">
        <v>42249078819</v>
      </c>
      <c r="B1333" s="3">
        <v>71</v>
      </c>
      <c r="C1333" s="32">
        <v>49144</v>
      </c>
      <c r="D1333" s="32">
        <v>49247</v>
      </c>
      <c r="E13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334" spans="1:6" x14ac:dyDescent="0.35">
      <c r="A1334" s="3">
        <v>63514927072</v>
      </c>
      <c r="B1334" s="3">
        <v>75</v>
      </c>
      <c r="C1334" s="32">
        <v>49144</v>
      </c>
      <c r="D1334" s="32" t="s">
        <v>87</v>
      </c>
      <c r="E13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5" spans="1:6" x14ac:dyDescent="0.35">
      <c r="A1335" s="3">
        <v>43909521820</v>
      </c>
      <c r="B1335" s="3">
        <v>77</v>
      </c>
      <c r="C1335" s="32">
        <v>49144</v>
      </c>
      <c r="D1335" s="32" t="s">
        <v>87</v>
      </c>
      <c r="E13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6" spans="1:6" x14ac:dyDescent="0.35">
      <c r="A1336" s="3">
        <v>90466578841</v>
      </c>
      <c r="B1336" s="3">
        <v>79</v>
      </c>
      <c r="C1336" s="32">
        <v>49144</v>
      </c>
      <c r="D1336" s="32" t="s">
        <v>87</v>
      </c>
      <c r="E13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7" spans="1:6" x14ac:dyDescent="0.35">
      <c r="A1337" s="3">
        <v>35177226759</v>
      </c>
      <c r="B1337" s="3">
        <v>88</v>
      </c>
      <c r="C1337" s="32">
        <v>49144</v>
      </c>
      <c r="D1337" s="32" t="s">
        <v>87</v>
      </c>
      <c r="E13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8" spans="1:6" x14ac:dyDescent="0.35">
      <c r="A1338" s="3">
        <v>39769600586</v>
      </c>
      <c r="B1338" s="3">
        <v>102</v>
      </c>
      <c r="C1338" s="32">
        <v>49144</v>
      </c>
      <c r="D1338" s="32" t="s">
        <v>87</v>
      </c>
      <c r="E13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9" spans="1:6" x14ac:dyDescent="0.35">
      <c r="A1339" s="3">
        <v>62112399635</v>
      </c>
      <c r="B1339" s="3">
        <v>105</v>
      </c>
      <c r="C1339" s="32">
        <v>49144</v>
      </c>
      <c r="D1339" s="32" t="s">
        <v>87</v>
      </c>
      <c r="E13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0" spans="1:6" x14ac:dyDescent="0.35">
      <c r="A1340" s="3">
        <v>72206450704</v>
      </c>
      <c r="B1340" s="3">
        <v>114</v>
      </c>
      <c r="C1340" s="32">
        <v>49144</v>
      </c>
      <c r="D1340" s="32" t="s">
        <v>87</v>
      </c>
      <c r="E13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1" spans="1:6" x14ac:dyDescent="0.35">
      <c r="A1341" s="3">
        <v>64798255688</v>
      </c>
      <c r="B1341" s="3">
        <v>149</v>
      </c>
      <c r="C1341" s="32">
        <v>49144</v>
      </c>
      <c r="D1341" s="32" t="s">
        <v>87</v>
      </c>
      <c r="E13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2" spans="1:6" x14ac:dyDescent="0.35">
      <c r="A1342" s="3">
        <v>49576180245</v>
      </c>
      <c r="B1342" s="3">
        <v>152</v>
      </c>
      <c r="C1342" s="32">
        <v>49144</v>
      </c>
      <c r="D1342" s="32" t="s">
        <v>87</v>
      </c>
      <c r="E13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3" spans="1:6" x14ac:dyDescent="0.35">
      <c r="A1343" s="3">
        <v>59543190928</v>
      </c>
      <c r="B1343" s="3">
        <v>180</v>
      </c>
      <c r="C1343" s="32">
        <v>49144</v>
      </c>
      <c r="D1343" s="32" t="s">
        <v>87</v>
      </c>
      <c r="E13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4" spans="1:6" x14ac:dyDescent="0.35">
      <c r="A1344" s="3">
        <v>25003479827</v>
      </c>
      <c r="B1344" s="3">
        <v>182</v>
      </c>
      <c r="C1344" s="32">
        <v>49144</v>
      </c>
      <c r="D1344" s="32" t="s">
        <v>87</v>
      </c>
      <c r="E13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5" spans="1:6" x14ac:dyDescent="0.35">
      <c r="A1345" s="3">
        <v>37167189675</v>
      </c>
      <c r="B1345" s="3">
        <v>199</v>
      </c>
      <c r="C1345" s="32">
        <v>49144</v>
      </c>
      <c r="D1345" s="32">
        <v>49147</v>
      </c>
      <c r="E13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346" spans="1:6" x14ac:dyDescent="0.35">
      <c r="A1346" s="3">
        <v>23172936946</v>
      </c>
      <c r="B1346" s="3">
        <v>209</v>
      </c>
      <c r="C1346" s="32">
        <v>49144</v>
      </c>
      <c r="D1346" s="32" t="s">
        <v>87</v>
      </c>
      <c r="E13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7" spans="1:6" x14ac:dyDescent="0.35">
      <c r="A1347" s="3">
        <v>47193934838</v>
      </c>
      <c r="B1347" s="3">
        <v>234</v>
      </c>
      <c r="C1347" s="32">
        <v>49144</v>
      </c>
      <c r="D1347" s="32">
        <v>49188</v>
      </c>
      <c r="E13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48" spans="1:6" x14ac:dyDescent="0.35">
      <c r="A1348" s="3">
        <v>70497562333</v>
      </c>
      <c r="B1348" s="3">
        <v>245</v>
      </c>
      <c r="C1348" s="32">
        <v>49144</v>
      </c>
      <c r="D1348" s="32" t="s">
        <v>87</v>
      </c>
      <c r="E13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9" spans="1:6" x14ac:dyDescent="0.35">
      <c r="A1349" s="3">
        <v>46890136415</v>
      </c>
      <c r="B1349" s="3">
        <v>278</v>
      </c>
      <c r="C1349" s="32">
        <v>49144</v>
      </c>
      <c r="D1349" s="32" t="s">
        <v>87</v>
      </c>
      <c r="E13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0" spans="1:6" x14ac:dyDescent="0.35">
      <c r="A1350" s="3">
        <v>43463529276</v>
      </c>
      <c r="B1350" s="3">
        <v>300</v>
      </c>
      <c r="C1350" s="32">
        <v>49144</v>
      </c>
      <c r="D1350" s="32" t="s">
        <v>87</v>
      </c>
      <c r="E13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1" spans="1:6" x14ac:dyDescent="0.35">
      <c r="A1351" s="3">
        <v>91552388118</v>
      </c>
      <c r="B1351" s="3">
        <v>306</v>
      </c>
      <c r="C1351" s="32">
        <v>49144</v>
      </c>
      <c r="D1351" s="32" t="s">
        <v>87</v>
      </c>
      <c r="E13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2" spans="1:6" x14ac:dyDescent="0.35">
      <c r="A1352" s="3">
        <v>88325077574</v>
      </c>
      <c r="B1352" s="3">
        <v>309</v>
      </c>
      <c r="C1352" s="32">
        <v>49144</v>
      </c>
      <c r="D1352" s="32" t="s">
        <v>87</v>
      </c>
      <c r="E13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3" spans="1:6" x14ac:dyDescent="0.35">
      <c r="A1353" s="3">
        <v>21192999281</v>
      </c>
      <c r="B1353" s="3">
        <v>31</v>
      </c>
      <c r="C1353" s="32">
        <v>49145</v>
      </c>
      <c r="D1353" s="32" t="s">
        <v>87</v>
      </c>
      <c r="E13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4" spans="1:6" x14ac:dyDescent="0.35">
      <c r="A1354" s="3">
        <v>13686592624</v>
      </c>
      <c r="B1354" s="3">
        <v>32</v>
      </c>
      <c r="C1354" s="32">
        <v>49145</v>
      </c>
      <c r="D1354" s="32" t="s">
        <v>87</v>
      </c>
      <c r="E13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5" spans="1:6" x14ac:dyDescent="0.35">
      <c r="A1355" s="3">
        <v>85608824489</v>
      </c>
      <c r="B1355" s="3">
        <v>39</v>
      </c>
      <c r="C1355" s="32">
        <v>49145</v>
      </c>
      <c r="D1355" s="32">
        <v>49164</v>
      </c>
      <c r="E13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356" spans="1:6" x14ac:dyDescent="0.35">
      <c r="A1356" s="3">
        <v>78578072457</v>
      </c>
      <c r="B1356" s="3">
        <v>54</v>
      </c>
      <c r="C1356" s="32">
        <v>49145</v>
      </c>
      <c r="D1356" s="32" t="s">
        <v>87</v>
      </c>
      <c r="E13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7" spans="1:6" x14ac:dyDescent="0.35">
      <c r="A1357" s="3">
        <v>33338200390</v>
      </c>
      <c r="B1357" s="3">
        <v>88</v>
      </c>
      <c r="C1357" s="32">
        <v>49145</v>
      </c>
      <c r="D1357" s="32" t="s">
        <v>87</v>
      </c>
      <c r="E13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8" spans="1:6" x14ac:dyDescent="0.35">
      <c r="A1358" s="3">
        <v>42464261977</v>
      </c>
      <c r="B1358" s="3">
        <v>99</v>
      </c>
      <c r="C1358" s="32">
        <v>49145</v>
      </c>
      <c r="D1358" s="32" t="s">
        <v>87</v>
      </c>
      <c r="E13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9" spans="1:6" x14ac:dyDescent="0.35">
      <c r="A1359" s="3">
        <v>42428271915</v>
      </c>
      <c r="B1359" s="3">
        <v>99</v>
      </c>
      <c r="C1359" s="32">
        <v>49145</v>
      </c>
      <c r="D1359" s="32"/>
      <c r="E13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0" spans="1:6" x14ac:dyDescent="0.35">
      <c r="A1360" s="3">
        <v>62679548257</v>
      </c>
      <c r="B1360" s="3">
        <v>106</v>
      </c>
      <c r="C1360" s="32">
        <v>49145</v>
      </c>
      <c r="D1360" s="32" t="s">
        <v>87</v>
      </c>
      <c r="E13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1" spans="1:6" x14ac:dyDescent="0.35">
      <c r="A1361" s="3">
        <v>17285419358</v>
      </c>
      <c r="B1361" s="3">
        <v>109</v>
      </c>
      <c r="C1361" s="32">
        <v>49145</v>
      </c>
      <c r="D1361" s="32" t="s">
        <v>87</v>
      </c>
      <c r="E13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2" spans="1:6" x14ac:dyDescent="0.35">
      <c r="A1362" s="3">
        <v>53101769965</v>
      </c>
      <c r="B1362" s="3">
        <v>113</v>
      </c>
      <c r="C1362" s="32">
        <v>49145</v>
      </c>
      <c r="D1362" s="32" t="s">
        <v>87</v>
      </c>
      <c r="E13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3" spans="1:6" x14ac:dyDescent="0.35">
      <c r="A1363" s="3">
        <v>59240322277</v>
      </c>
      <c r="B1363" s="3">
        <v>121</v>
      </c>
      <c r="C1363" s="32">
        <v>49145</v>
      </c>
      <c r="D1363" s="32">
        <v>49234</v>
      </c>
      <c r="E13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364" spans="1:6" x14ac:dyDescent="0.35">
      <c r="A1364" s="3">
        <v>99916712821</v>
      </c>
      <c r="B1364" s="3">
        <v>195</v>
      </c>
      <c r="C1364" s="32">
        <v>49145</v>
      </c>
      <c r="D1364" s="32" t="s">
        <v>87</v>
      </c>
      <c r="E13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5" spans="1:6" x14ac:dyDescent="0.35">
      <c r="A1365" s="3">
        <v>82780660927</v>
      </c>
      <c r="B1365" s="3">
        <v>210</v>
      </c>
      <c r="C1365" s="32">
        <v>49145</v>
      </c>
      <c r="D1365" s="32" t="s">
        <v>87</v>
      </c>
      <c r="E13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6" spans="1:6" x14ac:dyDescent="0.35">
      <c r="A1366" s="3">
        <v>65086436020</v>
      </c>
      <c r="B1366" s="3">
        <v>225</v>
      </c>
      <c r="C1366" s="32">
        <v>49145</v>
      </c>
      <c r="D1366" s="32"/>
      <c r="E13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7" spans="1:6" x14ac:dyDescent="0.35">
      <c r="A1367" s="3">
        <v>42911039475</v>
      </c>
      <c r="B1367" s="3">
        <v>225</v>
      </c>
      <c r="C1367" s="32">
        <v>49145</v>
      </c>
      <c r="D1367" s="32" t="s">
        <v>87</v>
      </c>
      <c r="E13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8" spans="1:6" x14ac:dyDescent="0.35">
      <c r="A1368" s="3">
        <v>72091008370</v>
      </c>
      <c r="B1368" s="3">
        <v>237</v>
      </c>
      <c r="C1368" s="32">
        <v>49145</v>
      </c>
      <c r="D1368" s="32">
        <v>49223</v>
      </c>
      <c r="E13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369" spans="1:6" x14ac:dyDescent="0.35">
      <c r="A1369" s="3">
        <v>93681802394</v>
      </c>
      <c r="B1369" s="3">
        <v>249</v>
      </c>
      <c r="C1369" s="32">
        <v>49145</v>
      </c>
      <c r="D1369" s="32">
        <v>49176</v>
      </c>
      <c r="E13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370" spans="1:6" x14ac:dyDescent="0.35">
      <c r="A1370" s="3">
        <v>66556230264</v>
      </c>
      <c r="B1370" s="3">
        <v>259</v>
      </c>
      <c r="C1370" s="32">
        <v>49145</v>
      </c>
      <c r="D1370" s="32"/>
      <c r="E13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71" spans="1:6" x14ac:dyDescent="0.35">
      <c r="A1371" s="3">
        <v>30555691339</v>
      </c>
      <c r="B1371" s="3">
        <v>266</v>
      </c>
      <c r="C1371" s="32">
        <v>49145</v>
      </c>
      <c r="D1371" s="32">
        <v>49146</v>
      </c>
      <c r="E13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372" spans="1:6" x14ac:dyDescent="0.35">
      <c r="A1372" s="3">
        <v>84542160902</v>
      </c>
      <c r="B1372" s="3">
        <v>309</v>
      </c>
      <c r="C1372" s="32">
        <v>49145</v>
      </c>
      <c r="D1372" s="32" t="s">
        <v>87</v>
      </c>
      <c r="E13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73" spans="1:6" x14ac:dyDescent="0.35">
      <c r="A1373" s="3">
        <v>71737191330</v>
      </c>
      <c r="B1373" s="3">
        <v>313</v>
      </c>
      <c r="C1373" s="32">
        <v>49145</v>
      </c>
      <c r="D1373" s="32">
        <v>49202</v>
      </c>
      <c r="E13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74" spans="1:6" x14ac:dyDescent="0.35">
      <c r="A1374" s="3">
        <v>18741199026</v>
      </c>
      <c r="B1374" s="3">
        <v>329</v>
      </c>
      <c r="C1374" s="32">
        <v>49145</v>
      </c>
      <c r="D1374" s="32" t="s">
        <v>87</v>
      </c>
      <c r="E13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75" spans="1:6" x14ac:dyDescent="0.35">
      <c r="A1375" s="3">
        <v>20028830289</v>
      </c>
      <c r="B1375" s="3">
        <v>334</v>
      </c>
      <c r="C1375" s="32">
        <v>49145</v>
      </c>
      <c r="D1375" s="32">
        <v>49242</v>
      </c>
      <c r="E13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376" spans="1:6" x14ac:dyDescent="0.35">
      <c r="A1376" s="3">
        <v>16624300321</v>
      </c>
      <c r="B1376" s="3">
        <v>9</v>
      </c>
      <c r="C1376" s="32">
        <v>49146</v>
      </c>
      <c r="D1376" s="32">
        <v>49215</v>
      </c>
      <c r="E13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77" spans="1:6" x14ac:dyDescent="0.35">
      <c r="A1377" s="3">
        <v>76733036336</v>
      </c>
      <c r="B1377" s="3">
        <v>29</v>
      </c>
      <c r="C1377" s="32">
        <v>49146</v>
      </c>
      <c r="D1377" s="32" t="s">
        <v>87</v>
      </c>
      <c r="E13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78" spans="1:6" x14ac:dyDescent="0.35">
      <c r="A1378" s="3">
        <v>16492810003</v>
      </c>
      <c r="B1378" s="3">
        <v>31</v>
      </c>
      <c r="C1378" s="32">
        <v>49146</v>
      </c>
      <c r="D1378" s="32">
        <v>49195</v>
      </c>
      <c r="E13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79" spans="1:6" x14ac:dyDescent="0.35">
      <c r="A1379" s="3">
        <v>33706397325</v>
      </c>
      <c r="B1379" s="3">
        <v>49</v>
      </c>
      <c r="C1379" s="32">
        <v>49146</v>
      </c>
      <c r="D1379" s="32" t="s">
        <v>87</v>
      </c>
      <c r="E13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0" spans="1:6" x14ac:dyDescent="0.35">
      <c r="A1380" s="3">
        <v>22994798050</v>
      </c>
      <c r="B1380" s="3">
        <v>50</v>
      </c>
      <c r="C1380" s="32">
        <v>49146</v>
      </c>
      <c r="D1380" s="32" t="s">
        <v>87</v>
      </c>
      <c r="E13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1" spans="1:6" x14ac:dyDescent="0.35">
      <c r="A1381" s="3">
        <v>28485171147</v>
      </c>
      <c r="B1381" s="3">
        <v>65</v>
      </c>
      <c r="C1381" s="32">
        <v>49146</v>
      </c>
      <c r="D1381" s="32" t="s">
        <v>87</v>
      </c>
      <c r="E13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2" spans="1:6" x14ac:dyDescent="0.35">
      <c r="A1382" s="3">
        <v>54277106114</v>
      </c>
      <c r="B1382" s="3">
        <v>68</v>
      </c>
      <c r="C1382" s="32">
        <v>49146</v>
      </c>
      <c r="D1382" s="32" t="s">
        <v>87</v>
      </c>
      <c r="E13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3" spans="1:6" x14ac:dyDescent="0.35">
      <c r="A1383" s="3">
        <v>80092376340</v>
      </c>
      <c r="B1383" s="3">
        <v>75</v>
      </c>
      <c r="C1383" s="32">
        <v>49146</v>
      </c>
      <c r="D1383" s="32" t="s">
        <v>87</v>
      </c>
      <c r="E13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4" spans="1:6" x14ac:dyDescent="0.35">
      <c r="A1384" s="3">
        <v>53114851651</v>
      </c>
      <c r="B1384" s="3">
        <v>145</v>
      </c>
      <c r="C1384" s="32">
        <v>49146</v>
      </c>
      <c r="D1384" s="32">
        <v>49254</v>
      </c>
      <c r="E13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385" spans="1:6" x14ac:dyDescent="0.35">
      <c r="A1385" s="3">
        <v>16130163146</v>
      </c>
      <c r="B1385" s="3">
        <v>152</v>
      </c>
      <c r="C1385" s="32">
        <v>49146</v>
      </c>
      <c r="D1385" s="32"/>
      <c r="E13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6" spans="1:6" x14ac:dyDescent="0.35">
      <c r="A1386" s="3">
        <v>22271486716</v>
      </c>
      <c r="B1386" s="3">
        <v>157</v>
      </c>
      <c r="C1386" s="32">
        <v>49146</v>
      </c>
      <c r="D1386" s="32" t="s">
        <v>87</v>
      </c>
      <c r="E13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7" spans="1:6" x14ac:dyDescent="0.35">
      <c r="A1387" s="3">
        <v>99982715860</v>
      </c>
      <c r="B1387" s="3">
        <v>157</v>
      </c>
      <c r="C1387" s="32">
        <v>49146</v>
      </c>
      <c r="D1387" s="32" t="s">
        <v>87</v>
      </c>
      <c r="E13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8" spans="1:6" x14ac:dyDescent="0.35">
      <c r="A1388" s="3">
        <v>80377129868</v>
      </c>
      <c r="B1388" s="3">
        <v>173</v>
      </c>
      <c r="C1388" s="32">
        <v>49146</v>
      </c>
      <c r="D1388" s="32" t="s">
        <v>87</v>
      </c>
      <c r="E13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9" spans="1:6" x14ac:dyDescent="0.35">
      <c r="A1389" s="3">
        <v>55524292153</v>
      </c>
      <c r="B1389" s="3">
        <v>175</v>
      </c>
      <c r="C1389" s="32">
        <v>49146</v>
      </c>
      <c r="D1389" s="32">
        <v>49246</v>
      </c>
      <c r="E13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390" spans="1:6" x14ac:dyDescent="0.35">
      <c r="A1390" s="3">
        <v>87192739071</v>
      </c>
      <c r="B1390" s="3">
        <v>210</v>
      </c>
      <c r="C1390" s="32">
        <v>49146</v>
      </c>
      <c r="D1390" s="32" t="s">
        <v>87</v>
      </c>
      <c r="E13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1" spans="1:6" x14ac:dyDescent="0.35">
      <c r="A1391" s="3">
        <v>37328669481</v>
      </c>
      <c r="B1391" s="3">
        <v>226</v>
      </c>
      <c r="C1391" s="32">
        <v>49146</v>
      </c>
      <c r="D1391" s="32" t="s">
        <v>87</v>
      </c>
      <c r="E13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2" spans="1:6" x14ac:dyDescent="0.35">
      <c r="A1392" s="3">
        <v>33968540993</v>
      </c>
      <c r="B1392" s="3">
        <v>230</v>
      </c>
      <c r="C1392" s="32">
        <v>49146</v>
      </c>
      <c r="D1392" s="32">
        <v>49199</v>
      </c>
      <c r="E13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93" spans="1:6" x14ac:dyDescent="0.35">
      <c r="A1393" s="3">
        <v>94755187190</v>
      </c>
      <c r="B1393" s="3">
        <v>250</v>
      </c>
      <c r="C1393" s="32">
        <v>49146</v>
      </c>
      <c r="D1393" s="32" t="s">
        <v>87</v>
      </c>
      <c r="E13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4" spans="1:6" x14ac:dyDescent="0.35">
      <c r="A1394" s="3">
        <v>74938670905</v>
      </c>
      <c r="B1394" s="3">
        <v>275</v>
      </c>
      <c r="C1394" s="32">
        <v>49146</v>
      </c>
      <c r="D1394" s="32"/>
      <c r="E13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5" spans="1:6" x14ac:dyDescent="0.35">
      <c r="A1395" s="3">
        <v>78807434967</v>
      </c>
      <c r="B1395" s="3">
        <v>308</v>
      </c>
      <c r="C1395" s="32">
        <v>49146</v>
      </c>
      <c r="D1395" s="32">
        <v>49217</v>
      </c>
      <c r="E13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96" spans="1:6" x14ac:dyDescent="0.35">
      <c r="A1396" s="3">
        <v>27347704398</v>
      </c>
      <c r="B1396" s="3">
        <v>339</v>
      </c>
      <c r="C1396" s="32">
        <v>49146</v>
      </c>
      <c r="D1396" s="32">
        <v>49148</v>
      </c>
      <c r="E13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397" spans="1:6" x14ac:dyDescent="0.35">
      <c r="A1397" s="3">
        <v>51309608438</v>
      </c>
      <c r="B1397" s="3">
        <v>7</v>
      </c>
      <c r="C1397" s="32">
        <v>49147</v>
      </c>
      <c r="D1397" s="32" t="s">
        <v>87</v>
      </c>
      <c r="E13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8" spans="1:6" x14ac:dyDescent="0.35">
      <c r="A1398" s="3">
        <v>92178756143</v>
      </c>
      <c r="B1398" s="3">
        <v>16</v>
      </c>
      <c r="C1398" s="32">
        <v>49147</v>
      </c>
      <c r="D1398" s="32" t="s">
        <v>87</v>
      </c>
      <c r="E13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9" spans="1:6" x14ac:dyDescent="0.35">
      <c r="A1399" s="3">
        <v>35097139790</v>
      </c>
      <c r="B1399" s="3">
        <v>18</v>
      </c>
      <c r="C1399" s="32">
        <v>49147</v>
      </c>
      <c r="D1399" s="32" t="s">
        <v>87</v>
      </c>
      <c r="E13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0" spans="1:6" x14ac:dyDescent="0.35">
      <c r="A1400" s="3">
        <v>73001107690</v>
      </c>
      <c r="B1400" s="3">
        <v>28</v>
      </c>
      <c r="C1400" s="32">
        <v>49147</v>
      </c>
      <c r="D1400" s="32"/>
      <c r="E14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1" spans="1:6" x14ac:dyDescent="0.35">
      <c r="A1401" s="3">
        <v>73738876888</v>
      </c>
      <c r="B1401" s="3">
        <v>54</v>
      </c>
      <c r="C1401" s="32">
        <v>49147</v>
      </c>
      <c r="D1401" s="32" t="s">
        <v>87</v>
      </c>
      <c r="E14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2" spans="1:6" x14ac:dyDescent="0.35">
      <c r="A1402" s="3">
        <v>16652801829</v>
      </c>
      <c r="B1402" s="3">
        <v>64</v>
      </c>
      <c r="C1402" s="32">
        <v>49147</v>
      </c>
      <c r="D1402" s="32" t="s">
        <v>87</v>
      </c>
      <c r="E14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3" spans="1:6" x14ac:dyDescent="0.35">
      <c r="A1403" s="3">
        <v>89716530950</v>
      </c>
      <c r="B1403" s="3">
        <v>80</v>
      </c>
      <c r="C1403" s="32">
        <v>49147</v>
      </c>
      <c r="D1403" s="32"/>
      <c r="E14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4" spans="1:6" x14ac:dyDescent="0.35">
      <c r="A1404" s="3">
        <v>18058327390</v>
      </c>
      <c r="B1404" s="3">
        <v>83</v>
      </c>
      <c r="C1404" s="32">
        <v>49147</v>
      </c>
      <c r="D1404" s="32" t="s">
        <v>87</v>
      </c>
      <c r="E14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5" spans="1:6" x14ac:dyDescent="0.35">
      <c r="A1405" s="3">
        <v>16415270889</v>
      </c>
      <c r="B1405" s="3">
        <v>85</v>
      </c>
      <c r="C1405" s="32">
        <v>49147</v>
      </c>
      <c r="D1405" s="32"/>
      <c r="E14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6" spans="1:6" x14ac:dyDescent="0.35">
      <c r="A1406" s="3">
        <v>90386509125</v>
      </c>
      <c r="B1406" s="3">
        <v>90</v>
      </c>
      <c r="C1406" s="32">
        <v>49147</v>
      </c>
      <c r="D1406" s="32"/>
      <c r="E14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7" spans="1:6" x14ac:dyDescent="0.35">
      <c r="A1407" s="3">
        <v>35112058659</v>
      </c>
      <c r="B1407" s="3">
        <v>90</v>
      </c>
      <c r="C1407" s="32">
        <v>49147</v>
      </c>
      <c r="D1407" s="32">
        <v>49262</v>
      </c>
      <c r="E14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408" spans="1:6" x14ac:dyDescent="0.35">
      <c r="A1408" s="3">
        <v>80663110373</v>
      </c>
      <c r="B1408" s="3">
        <v>90</v>
      </c>
      <c r="C1408" s="32">
        <v>49147</v>
      </c>
      <c r="D1408" s="32">
        <v>49185</v>
      </c>
      <c r="E14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409" spans="1:6" x14ac:dyDescent="0.35">
      <c r="A1409" s="3">
        <v>47994806538</v>
      </c>
      <c r="B1409" s="3">
        <v>96</v>
      </c>
      <c r="C1409" s="32">
        <v>49147</v>
      </c>
      <c r="D1409" s="32" t="s">
        <v>87</v>
      </c>
      <c r="E14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0" spans="1:6" x14ac:dyDescent="0.35">
      <c r="A1410" s="3">
        <v>73979608841</v>
      </c>
      <c r="B1410" s="3">
        <v>127</v>
      </c>
      <c r="C1410" s="32">
        <v>49147</v>
      </c>
      <c r="D1410" s="32" t="s">
        <v>87</v>
      </c>
      <c r="E14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1" spans="1:6" x14ac:dyDescent="0.35">
      <c r="A1411" s="3">
        <v>48235671216</v>
      </c>
      <c r="B1411" s="3">
        <v>134</v>
      </c>
      <c r="C1411" s="32">
        <v>49147</v>
      </c>
      <c r="D1411" s="32" t="s">
        <v>87</v>
      </c>
      <c r="E14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2" spans="1:6" x14ac:dyDescent="0.35">
      <c r="A1412" s="3">
        <v>93301598481</v>
      </c>
      <c r="B1412" s="3">
        <v>136</v>
      </c>
      <c r="C1412" s="32">
        <v>49147</v>
      </c>
      <c r="D1412" s="32"/>
      <c r="E14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3" spans="1:6" x14ac:dyDescent="0.35">
      <c r="A1413" s="3">
        <v>71308708279</v>
      </c>
      <c r="B1413" s="3">
        <v>138</v>
      </c>
      <c r="C1413" s="32">
        <v>49147</v>
      </c>
      <c r="D1413" s="32" t="s">
        <v>87</v>
      </c>
      <c r="E14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4" spans="1:6" x14ac:dyDescent="0.35">
      <c r="A1414" s="3">
        <v>56389127610</v>
      </c>
      <c r="B1414" s="3">
        <v>140</v>
      </c>
      <c r="C1414" s="32">
        <v>49147</v>
      </c>
      <c r="D1414" s="32" t="s">
        <v>87</v>
      </c>
      <c r="E14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5" spans="1:6" x14ac:dyDescent="0.35">
      <c r="A1415" s="3">
        <v>37179472991</v>
      </c>
      <c r="B1415" s="3">
        <v>150</v>
      </c>
      <c r="C1415" s="32">
        <v>49147</v>
      </c>
      <c r="D1415" s="32" t="s">
        <v>87</v>
      </c>
      <c r="E14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6" spans="1:6" x14ac:dyDescent="0.35">
      <c r="A1416" s="3">
        <v>36432127278</v>
      </c>
      <c r="B1416" s="3">
        <v>161</v>
      </c>
      <c r="C1416" s="32">
        <v>49147</v>
      </c>
      <c r="D1416" s="32" t="s">
        <v>87</v>
      </c>
      <c r="E14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7" spans="1:6" x14ac:dyDescent="0.35">
      <c r="A1417" s="3">
        <v>56326728863</v>
      </c>
      <c r="B1417" s="3">
        <v>161</v>
      </c>
      <c r="C1417" s="32">
        <v>49147</v>
      </c>
      <c r="D1417" s="32">
        <v>49175</v>
      </c>
      <c r="E14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418" spans="1:6" x14ac:dyDescent="0.35">
      <c r="A1418" s="3">
        <v>75292296223</v>
      </c>
      <c r="B1418" s="3">
        <v>175</v>
      </c>
      <c r="C1418" s="32">
        <v>49147</v>
      </c>
      <c r="D1418" s="32" t="s">
        <v>87</v>
      </c>
      <c r="E14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9" spans="1:6" x14ac:dyDescent="0.35">
      <c r="A1419" s="3">
        <v>91915196884</v>
      </c>
      <c r="B1419" s="3">
        <v>181</v>
      </c>
      <c r="C1419" s="32">
        <v>49147</v>
      </c>
      <c r="D1419" s="32" t="s">
        <v>87</v>
      </c>
      <c r="E14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0" spans="1:6" x14ac:dyDescent="0.35">
      <c r="A1420" s="3">
        <v>94514821042</v>
      </c>
      <c r="B1420" s="3">
        <v>188</v>
      </c>
      <c r="C1420" s="32">
        <v>49147</v>
      </c>
      <c r="D1420" s="32" t="s">
        <v>87</v>
      </c>
      <c r="E14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1" spans="1:6" x14ac:dyDescent="0.35">
      <c r="A1421" s="3">
        <v>26696884386</v>
      </c>
      <c r="B1421" s="3">
        <v>189</v>
      </c>
      <c r="C1421" s="32">
        <v>49147</v>
      </c>
      <c r="D1421" s="32" t="s">
        <v>87</v>
      </c>
      <c r="E14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2" spans="1:6" x14ac:dyDescent="0.35">
      <c r="A1422" s="3">
        <v>88440823910</v>
      </c>
      <c r="B1422" s="3">
        <v>204</v>
      </c>
      <c r="C1422" s="32">
        <v>49147</v>
      </c>
      <c r="D1422" s="32"/>
      <c r="E14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3" spans="1:6" x14ac:dyDescent="0.35">
      <c r="A1423" s="3">
        <v>69144087696</v>
      </c>
      <c r="B1423" s="3">
        <v>227</v>
      </c>
      <c r="C1423" s="32">
        <v>49147</v>
      </c>
      <c r="D1423" s="32">
        <v>49180</v>
      </c>
      <c r="E14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424" spans="1:6" x14ac:dyDescent="0.35">
      <c r="A1424" s="3">
        <v>83500253673</v>
      </c>
      <c r="B1424" s="3">
        <v>227</v>
      </c>
      <c r="C1424" s="32">
        <v>49147</v>
      </c>
      <c r="D1424" s="32">
        <v>49261</v>
      </c>
      <c r="E14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425" spans="1:6" x14ac:dyDescent="0.35">
      <c r="A1425" s="3">
        <v>25631260966</v>
      </c>
      <c r="B1425" s="3">
        <v>233</v>
      </c>
      <c r="C1425" s="32">
        <v>49147</v>
      </c>
      <c r="D1425" s="32" t="s">
        <v>87</v>
      </c>
      <c r="E14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6" spans="1:6" x14ac:dyDescent="0.35">
      <c r="A1426" s="3">
        <v>69890825470</v>
      </c>
      <c r="B1426" s="3">
        <v>234</v>
      </c>
      <c r="C1426" s="32">
        <v>49147</v>
      </c>
      <c r="D1426" s="32"/>
      <c r="E14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7" spans="1:6" x14ac:dyDescent="0.35">
      <c r="A1427" s="3">
        <v>12852029948</v>
      </c>
      <c r="B1427" s="3">
        <v>243</v>
      </c>
      <c r="C1427" s="32">
        <v>49147</v>
      </c>
      <c r="D1427" s="32" t="s">
        <v>87</v>
      </c>
      <c r="E14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8" spans="1:6" x14ac:dyDescent="0.35">
      <c r="A1428" s="3">
        <v>40395532921</v>
      </c>
      <c r="B1428" s="3">
        <v>247</v>
      </c>
      <c r="C1428" s="32">
        <v>49147</v>
      </c>
      <c r="D1428" s="32" t="s">
        <v>87</v>
      </c>
      <c r="E14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9" spans="1:6" x14ac:dyDescent="0.35">
      <c r="A1429" s="3">
        <v>97403464333</v>
      </c>
      <c r="B1429" s="3">
        <v>267</v>
      </c>
      <c r="C1429" s="32">
        <v>49147</v>
      </c>
      <c r="D1429" s="32" t="s">
        <v>87</v>
      </c>
      <c r="E14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0" spans="1:6" x14ac:dyDescent="0.35">
      <c r="A1430" s="3">
        <v>86156959572</v>
      </c>
      <c r="B1430" s="3">
        <v>270</v>
      </c>
      <c r="C1430" s="32">
        <v>49147</v>
      </c>
      <c r="D1430" s="32" t="s">
        <v>87</v>
      </c>
      <c r="E14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1" spans="1:6" x14ac:dyDescent="0.35">
      <c r="A1431" s="3">
        <v>53095634532</v>
      </c>
      <c r="B1431" s="3">
        <v>282</v>
      </c>
      <c r="C1431" s="32">
        <v>49147</v>
      </c>
      <c r="D1431" s="32" t="s">
        <v>87</v>
      </c>
      <c r="E14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2" spans="1:6" x14ac:dyDescent="0.35">
      <c r="A1432" s="3">
        <v>23546741465</v>
      </c>
      <c r="B1432" s="3">
        <v>284</v>
      </c>
      <c r="C1432" s="32">
        <v>49147</v>
      </c>
      <c r="D1432" s="32" t="s">
        <v>87</v>
      </c>
      <c r="E14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3" spans="1:6" x14ac:dyDescent="0.35">
      <c r="A1433" s="3">
        <v>62121124301</v>
      </c>
      <c r="B1433" s="3">
        <v>296</v>
      </c>
      <c r="C1433" s="32">
        <v>49147</v>
      </c>
      <c r="D1433" s="32">
        <v>49256</v>
      </c>
      <c r="E14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434" spans="1:6" x14ac:dyDescent="0.35">
      <c r="A1434" s="3">
        <v>17688942312</v>
      </c>
      <c r="B1434" s="3">
        <v>301</v>
      </c>
      <c r="C1434" s="32">
        <v>49147</v>
      </c>
      <c r="D1434" s="32"/>
      <c r="E14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5" spans="1:6" x14ac:dyDescent="0.35">
      <c r="A1435" s="3">
        <v>81554517588</v>
      </c>
      <c r="B1435" s="3">
        <v>330</v>
      </c>
      <c r="C1435" s="32">
        <v>49147</v>
      </c>
      <c r="D1435" s="32" t="s">
        <v>87</v>
      </c>
      <c r="E14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6" spans="1:6" x14ac:dyDescent="0.35">
      <c r="A1436" s="3">
        <v>82307037207</v>
      </c>
      <c r="B1436" s="3">
        <v>29</v>
      </c>
      <c r="C1436" s="32">
        <v>49148</v>
      </c>
      <c r="D1436" s="32" t="s">
        <v>87</v>
      </c>
      <c r="E14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7" spans="1:6" x14ac:dyDescent="0.35">
      <c r="A1437" s="3">
        <v>43748541462</v>
      </c>
      <c r="B1437" s="3">
        <v>41</v>
      </c>
      <c r="C1437" s="32">
        <v>49148</v>
      </c>
      <c r="D1437" s="32" t="s">
        <v>87</v>
      </c>
      <c r="E14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8" spans="1:6" x14ac:dyDescent="0.35">
      <c r="A1438" s="3">
        <v>75697725997</v>
      </c>
      <c r="B1438" s="3">
        <v>62</v>
      </c>
      <c r="C1438" s="32">
        <v>49148</v>
      </c>
      <c r="D1438" s="32" t="s">
        <v>87</v>
      </c>
      <c r="E14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9" spans="1:6" x14ac:dyDescent="0.35">
      <c r="A1439" s="3">
        <v>90057741508</v>
      </c>
      <c r="B1439" s="3">
        <v>73</v>
      </c>
      <c r="C1439" s="32">
        <v>49148</v>
      </c>
      <c r="D1439" s="32" t="s">
        <v>87</v>
      </c>
      <c r="E14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0" spans="1:6" x14ac:dyDescent="0.35">
      <c r="A1440" s="3">
        <v>95126954019</v>
      </c>
      <c r="B1440" s="3">
        <v>102</v>
      </c>
      <c r="C1440" s="32">
        <v>49148</v>
      </c>
      <c r="D1440" s="32">
        <v>49218</v>
      </c>
      <c r="E14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441" spans="1:6" x14ac:dyDescent="0.35">
      <c r="A1441" s="3">
        <v>27407722662</v>
      </c>
      <c r="B1441" s="3">
        <v>103</v>
      </c>
      <c r="C1441" s="32">
        <v>49148</v>
      </c>
      <c r="D1441" s="32" t="s">
        <v>87</v>
      </c>
      <c r="E14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2" spans="1:6" x14ac:dyDescent="0.35">
      <c r="A1442" s="3">
        <v>88744250446</v>
      </c>
      <c r="B1442" s="3">
        <v>116</v>
      </c>
      <c r="C1442" s="32">
        <v>49148</v>
      </c>
      <c r="D1442" s="32" t="s">
        <v>87</v>
      </c>
      <c r="E14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3" spans="1:6" x14ac:dyDescent="0.35">
      <c r="A1443" s="3">
        <v>19039660491</v>
      </c>
      <c r="B1443" s="3">
        <v>122</v>
      </c>
      <c r="C1443" s="32">
        <v>49148</v>
      </c>
      <c r="D1443" s="32" t="s">
        <v>87</v>
      </c>
      <c r="E14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4" spans="1:6" x14ac:dyDescent="0.35">
      <c r="A1444" s="3">
        <v>54100765165</v>
      </c>
      <c r="B1444" s="3">
        <v>126</v>
      </c>
      <c r="C1444" s="32">
        <v>49148</v>
      </c>
      <c r="D1444" s="32" t="s">
        <v>87</v>
      </c>
      <c r="E14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5" spans="1:6" x14ac:dyDescent="0.35">
      <c r="A1445" s="3">
        <v>48557101362</v>
      </c>
      <c r="B1445" s="3">
        <v>133</v>
      </c>
      <c r="C1445" s="32">
        <v>49148</v>
      </c>
      <c r="D1445" s="32" t="s">
        <v>87</v>
      </c>
      <c r="E14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6" spans="1:6" x14ac:dyDescent="0.35">
      <c r="A1446" s="3">
        <v>47529978253</v>
      </c>
      <c r="B1446" s="3">
        <v>134</v>
      </c>
      <c r="C1446" s="32">
        <v>49148</v>
      </c>
      <c r="D1446" s="32" t="s">
        <v>87</v>
      </c>
      <c r="E14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7" spans="1:6" x14ac:dyDescent="0.35">
      <c r="A1447" s="3">
        <v>11749188620</v>
      </c>
      <c r="B1447" s="3">
        <v>141</v>
      </c>
      <c r="C1447" s="32">
        <v>49148</v>
      </c>
      <c r="D1447" s="32">
        <v>49229</v>
      </c>
      <c r="E14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448" spans="1:6" x14ac:dyDescent="0.35">
      <c r="A1448" s="3">
        <v>30213117318</v>
      </c>
      <c r="B1448" s="3">
        <v>143</v>
      </c>
      <c r="C1448" s="32">
        <v>49148</v>
      </c>
      <c r="D1448" s="32" t="s">
        <v>87</v>
      </c>
      <c r="E14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9" spans="1:6" x14ac:dyDescent="0.35">
      <c r="A1449" s="3">
        <v>89269709439</v>
      </c>
      <c r="B1449" s="3">
        <v>154</v>
      </c>
      <c r="C1449" s="32">
        <v>49148</v>
      </c>
      <c r="D1449" s="32">
        <v>49262</v>
      </c>
      <c r="E14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450" spans="1:6" x14ac:dyDescent="0.35">
      <c r="A1450" s="3">
        <v>72856271710</v>
      </c>
      <c r="B1450" s="3">
        <v>165</v>
      </c>
      <c r="C1450" s="32">
        <v>49148</v>
      </c>
      <c r="D1450" s="32" t="s">
        <v>87</v>
      </c>
      <c r="E14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51" spans="1:6" x14ac:dyDescent="0.35">
      <c r="A1451" s="3">
        <v>15925444994</v>
      </c>
      <c r="B1451" s="3">
        <v>172</v>
      </c>
      <c r="C1451" s="32">
        <v>49148</v>
      </c>
      <c r="D1451" s="32" t="s">
        <v>87</v>
      </c>
      <c r="E14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52" spans="1:6" x14ac:dyDescent="0.35">
      <c r="A1452" s="3">
        <v>20942396884</v>
      </c>
      <c r="B1452" s="3">
        <v>224</v>
      </c>
      <c r="C1452" s="32">
        <v>49148</v>
      </c>
      <c r="D1452" s="32">
        <v>49246</v>
      </c>
      <c r="E14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453" spans="1:6" x14ac:dyDescent="0.35">
      <c r="A1453" s="3">
        <v>84605026196</v>
      </c>
      <c r="B1453" s="3">
        <v>226</v>
      </c>
      <c r="C1453" s="32">
        <v>49148</v>
      </c>
      <c r="D1453" s="32" t="s">
        <v>87</v>
      </c>
      <c r="E14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54" spans="1:6" x14ac:dyDescent="0.35">
      <c r="A1454" s="3">
        <v>18604515997</v>
      </c>
      <c r="B1454" s="3">
        <v>226</v>
      </c>
      <c r="C1454" s="32">
        <v>49148</v>
      </c>
      <c r="D1454" s="32">
        <v>49188</v>
      </c>
      <c r="E14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455" spans="1:6" x14ac:dyDescent="0.35">
      <c r="A1455" s="3">
        <v>32049312109</v>
      </c>
      <c r="B1455" s="3">
        <v>233</v>
      </c>
      <c r="C1455" s="32">
        <v>49148</v>
      </c>
      <c r="D1455" s="32" t="s">
        <v>87</v>
      </c>
      <c r="E14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56" spans="1:6" x14ac:dyDescent="0.35">
      <c r="A1456" s="3">
        <v>61141295438</v>
      </c>
      <c r="B1456" s="3">
        <v>234</v>
      </c>
      <c r="C1456" s="32">
        <v>49148</v>
      </c>
      <c r="D1456" s="32">
        <v>49170</v>
      </c>
      <c r="E14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457" spans="1:6" x14ac:dyDescent="0.35">
      <c r="A1457" s="3">
        <v>33668961560</v>
      </c>
      <c r="B1457" s="3">
        <v>252</v>
      </c>
      <c r="C1457" s="32">
        <v>49148</v>
      </c>
      <c r="D1457" s="32" t="s">
        <v>87</v>
      </c>
      <c r="E14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58" spans="1:6" x14ac:dyDescent="0.35">
      <c r="A1458" s="3">
        <v>81504317654</v>
      </c>
      <c r="B1458" s="3">
        <v>258</v>
      </c>
      <c r="C1458" s="32">
        <v>49148</v>
      </c>
      <c r="D1458" s="32" t="s">
        <v>87</v>
      </c>
      <c r="E14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59" spans="1:6" x14ac:dyDescent="0.35">
      <c r="A1459" s="3">
        <v>42430518373</v>
      </c>
      <c r="B1459" s="3">
        <v>285</v>
      </c>
      <c r="C1459" s="32">
        <v>49148</v>
      </c>
      <c r="D1459" s="32" t="s">
        <v>87</v>
      </c>
      <c r="E14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0" spans="1:6" x14ac:dyDescent="0.35">
      <c r="A1460" s="3">
        <v>13972357320</v>
      </c>
      <c r="B1460" s="3">
        <v>314</v>
      </c>
      <c r="C1460" s="32">
        <v>49148</v>
      </c>
      <c r="D1460" s="32"/>
      <c r="E14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1" spans="1:6" x14ac:dyDescent="0.35">
      <c r="A1461" s="3">
        <v>30854413636</v>
      </c>
      <c r="B1461" s="3">
        <v>314</v>
      </c>
      <c r="C1461" s="32">
        <v>49148</v>
      </c>
      <c r="D1461" s="32" t="s">
        <v>87</v>
      </c>
      <c r="E14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2" spans="1:6" x14ac:dyDescent="0.35">
      <c r="A1462" s="3">
        <v>26242094959</v>
      </c>
      <c r="B1462" s="3">
        <v>325</v>
      </c>
      <c r="C1462" s="32">
        <v>49148</v>
      </c>
      <c r="D1462" s="32" t="s">
        <v>87</v>
      </c>
      <c r="E14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3" spans="1:6" x14ac:dyDescent="0.35">
      <c r="A1463" s="3">
        <v>53597709966</v>
      </c>
      <c r="B1463" s="3">
        <v>329</v>
      </c>
      <c r="C1463" s="32">
        <v>49148</v>
      </c>
      <c r="D1463" s="32" t="s">
        <v>87</v>
      </c>
      <c r="E14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4" spans="1:6" x14ac:dyDescent="0.35">
      <c r="A1464" s="3">
        <v>27449624091</v>
      </c>
      <c r="B1464" s="3">
        <v>29</v>
      </c>
      <c r="C1464" s="32">
        <v>49149</v>
      </c>
      <c r="D1464" s="32">
        <v>49257</v>
      </c>
      <c r="E14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465" spans="1:6" x14ac:dyDescent="0.35">
      <c r="A1465" s="3">
        <v>27686145305</v>
      </c>
      <c r="B1465" s="3">
        <v>53</v>
      </c>
      <c r="C1465" s="32">
        <v>49149</v>
      </c>
      <c r="D1465" s="32" t="s">
        <v>87</v>
      </c>
      <c r="E14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6" spans="1:6" x14ac:dyDescent="0.35">
      <c r="A1466" s="3">
        <v>39869900688</v>
      </c>
      <c r="B1466" s="3">
        <v>62</v>
      </c>
      <c r="C1466" s="32">
        <v>49149</v>
      </c>
      <c r="D1466" s="32" t="s">
        <v>87</v>
      </c>
      <c r="E14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7" spans="1:6" x14ac:dyDescent="0.35">
      <c r="A1467" s="3">
        <v>68713075111</v>
      </c>
      <c r="B1467" s="3">
        <v>65</v>
      </c>
      <c r="C1467" s="32">
        <v>49149</v>
      </c>
      <c r="D1467" s="32"/>
      <c r="E14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8" spans="1:6" x14ac:dyDescent="0.35">
      <c r="A1468" s="3">
        <v>17364429284</v>
      </c>
      <c r="B1468" s="3">
        <v>77</v>
      </c>
      <c r="C1468" s="32">
        <v>49149</v>
      </c>
      <c r="D1468" s="32" t="s">
        <v>87</v>
      </c>
      <c r="E14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9" spans="1:6" x14ac:dyDescent="0.35">
      <c r="A1469" s="3">
        <v>25026134456</v>
      </c>
      <c r="B1469" s="3">
        <v>97</v>
      </c>
      <c r="C1469" s="32">
        <v>49149</v>
      </c>
      <c r="D1469" s="32">
        <v>49245</v>
      </c>
      <c r="E14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470" spans="1:6" x14ac:dyDescent="0.35">
      <c r="A1470" s="3">
        <v>79656394698</v>
      </c>
      <c r="B1470" s="3">
        <v>110</v>
      </c>
      <c r="C1470" s="32">
        <v>49149</v>
      </c>
      <c r="D1470" s="32" t="s">
        <v>87</v>
      </c>
      <c r="E14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1" spans="1:6" x14ac:dyDescent="0.35">
      <c r="A1471" s="3">
        <v>75071504995</v>
      </c>
      <c r="B1471" s="3">
        <v>111</v>
      </c>
      <c r="C1471" s="32">
        <v>49149</v>
      </c>
      <c r="D1471" s="32" t="s">
        <v>87</v>
      </c>
      <c r="E14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2" spans="1:6" x14ac:dyDescent="0.35">
      <c r="A1472" s="3">
        <v>96621222477</v>
      </c>
      <c r="B1472" s="3">
        <v>123</v>
      </c>
      <c r="C1472" s="32">
        <v>49149</v>
      </c>
      <c r="D1472" s="32"/>
      <c r="E14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3" spans="1:6" x14ac:dyDescent="0.35">
      <c r="A1473" s="3">
        <v>37240814245</v>
      </c>
      <c r="B1473" s="3">
        <v>135</v>
      </c>
      <c r="C1473" s="32">
        <v>49149</v>
      </c>
      <c r="D1473" s="32">
        <v>49171</v>
      </c>
      <c r="E14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474" spans="1:6" x14ac:dyDescent="0.35">
      <c r="A1474" s="3">
        <v>18806267350</v>
      </c>
      <c r="B1474" s="3">
        <v>182</v>
      </c>
      <c r="C1474" s="32">
        <v>49149</v>
      </c>
      <c r="D1474" s="32">
        <v>49193</v>
      </c>
      <c r="E14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475" spans="1:6" x14ac:dyDescent="0.35">
      <c r="A1475" s="3">
        <v>45029187971</v>
      </c>
      <c r="B1475" s="3">
        <v>197</v>
      </c>
      <c r="C1475" s="32">
        <v>49149</v>
      </c>
      <c r="D1475" s="32">
        <v>49263</v>
      </c>
      <c r="E14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476" spans="1:6" x14ac:dyDescent="0.35">
      <c r="A1476" s="3">
        <v>15262334252</v>
      </c>
      <c r="B1476" s="3">
        <v>216</v>
      </c>
      <c r="C1476" s="32">
        <v>49149</v>
      </c>
      <c r="D1476" s="32" t="s">
        <v>87</v>
      </c>
      <c r="E14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7" spans="1:6" x14ac:dyDescent="0.35">
      <c r="A1477" s="3">
        <v>31406060429</v>
      </c>
      <c r="B1477" s="3">
        <v>221</v>
      </c>
      <c r="C1477" s="32">
        <v>49149</v>
      </c>
      <c r="D1477" s="32" t="s">
        <v>87</v>
      </c>
      <c r="E14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8" spans="1:6" x14ac:dyDescent="0.35">
      <c r="A1478" s="3">
        <v>68299709383</v>
      </c>
      <c r="B1478" s="3">
        <v>222</v>
      </c>
      <c r="C1478" s="32">
        <v>49149</v>
      </c>
      <c r="D1478" s="32" t="s">
        <v>87</v>
      </c>
      <c r="E14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9" spans="1:6" x14ac:dyDescent="0.35">
      <c r="A1479" s="3">
        <v>46704653403</v>
      </c>
      <c r="B1479" s="3">
        <v>223</v>
      </c>
      <c r="C1479" s="32">
        <v>49149</v>
      </c>
      <c r="D1479" s="32" t="s">
        <v>87</v>
      </c>
      <c r="E14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0" spans="1:6" x14ac:dyDescent="0.35">
      <c r="A1480" s="3">
        <v>55183202243</v>
      </c>
      <c r="B1480" s="3">
        <v>228</v>
      </c>
      <c r="C1480" s="32">
        <v>49149</v>
      </c>
      <c r="D1480" s="32" t="s">
        <v>87</v>
      </c>
      <c r="E14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1" spans="1:6" x14ac:dyDescent="0.35">
      <c r="A1481" s="3">
        <v>74378708199</v>
      </c>
      <c r="B1481" s="3">
        <v>239</v>
      </c>
      <c r="C1481" s="32">
        <v>49149</v>
      </c>
      <c r="D1481" s="32" t="s">
        <v>87</v>
      </c>
      <c r="E14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2" spans="1:6" x14ac:dyDescent="0.35">
      <c r="A1482" s="3">
        <v>20755901426</v>
      </c>
      <c r="B1482" s="3">
        <v>250</v>
      </c>
      <c r="C1482" s="32">
        <v>49149</v>
      </c>
      <c r="D1482" s="32" t="s">
        <v>87</v>
      </c>
      <c r="E14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3" spans="1:6" x14ac:dyDescent="0.35">
      <c r="A1483" s="3">
        <v>43082318039</v>
      </c>
      <c r="B1483" s="3">
        <v>255</v>
      </c>
      <c r="C1483" s="32">
        <v>49149</v>
      </c>
      <c r="D1483" s="32" t="s">
        <v>87</v>
      </c>
      <c r="E14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4" spans="1:6" x14ac:dyDescent="0.35">
      <c r="A1484" s="3">
        <v>33183534556</v>
      </c>
      <c r="B1484" s="3">
        <v>276</v>
      </c>
      <c r="C1484" s="32">
        <v>49149</v>
      </c>
      <c r="D1484" s="32"/>
      <c r="E14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5" spans="1:6" x14ac:dyDescent="0.35">
      <c r="A1485" s="3">
        <v>38686685007</v>
      </c>
      <c r="B1485" s="3">
        <v>281</v>
      </c>
      <c r="C1485" s="32">
        <v>49149</v>
      </c>
      <c r="D1485" s="32">
        <v>49226</v>
      </c>
      <c r="E14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486" spans="1:6" x14ac:dyDescent="0.35">
      <c r="A1486" s="3">
        <v>81939517481</v>
      </c>
      <c r="B1486" s="3">
        <v>283</v>
      </c>
      <c r="C1486" s="32">
        <v>49149</v>
      </c>
      <c r="D1486" s="32" t="s">
        <v>87</v>
      </c>
      <c r="E14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7" spans="1:6" x14ac:dyDescent="0.35">
      <c r="A1487" s="3">
        <v>18375363806</v>
      </c>
      <c r="B1487" s="3">
        <v>302</v>
      </c>
      <c r="C1487" s="32">
        <v>49149</v>
      </c>
      <c r="D1487" s="32" t="s">
        <v>87</v>
      </c>
      <c r="E14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8" spans="1:6" x14ac:dyDescent="0.35">
      <c r="A1488" s="3">
        <v>94688507234</v>
      </c>
      <c r="B1488" s="3">
        <v>324</v>
      </c>
      <c r="C1488" s="32">
        <v>49149</v>
      </c>
      <c r="D1488" s="32" t="s">
        <v>87</v>
      </c>
      <c r="E14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9" spans="1:6" x14ac:dyDescent="0.35">
      <c r="A1489" s="3">
        <v>54663320752</v>
      </c>
      <c r="B1489" s="3">
        <v>325</v>
      </c>
      <c r="C1489" s="32">
        <v>49149</v>
      </c>
      <c r="D1489" s="32">
        <v>49213</v>
      </c>
      <c r="E14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490" spans="1:6" x14ac:dyDescent="0.35">
      <c r="A1490" s="3">
        <v>85141384408</v>
      </c>
      <c r="B1490" s="3">
        <v>325</v>
      </c>
      <c r="C1490" s="32">
        <v>49149</v>
      </c>
      <c r="D1490" s="32" t="s">
        <v>87</v>
      </c>
      <c r="E14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1" spans="1:6" x14ac:dyDescent="0.35">
      <c r="A1491" s="3">
        <v>76422012279</v>
      </c>
      <c r="B1491" s="3">
        <v>334</v>
      </c>
      <c r="C1491" s="32">
        <v>49149</v>
      </c>
      <c r="D1491" s="32"/>
      <c r="E14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2" spans="1:6" x14ac:dyDescent="0.35">
      <c r="A1492" s="3">
        <v>90346727738</v>
      </c>
      <c r="B1492" s="3">
        <v>6</v>
      </c>
      <c r="C1492" s="32">
        <v>49150</v>
      </c>
      <c r="D1492" s="32" t="s">
        <v>87</v>
      </c>
      <c r="E14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3" spans="1:6" x14ac:dyDescent="0.35">
      <c r="A1493" s="3">
        <v>48307526178</v>
      </c>
      <c r="B1493" s="3">
        <v>25</v>
      </c>
      <c r="C1493" s="32">
        <v>49150</v>
      </c>
      <c r="D1493" s="32" t="s">
        <v>87</v>
      </c>
      <c r="E14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4" spans="1:6" x14ac:dyDescent="0.35">
      <c r="A1494" s="3">
        <v>74672651744</v>
      </c>
      <c r="B1494" s="3">
        <v>33</v>
      </c>
      <c r="C1494" s="32">
        <v>49150</v>
      </c>
      <c r="D1494" s="32" t="s">
        <v>87</v>
      </c>
      <c r="E14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5" spans="1:6" x14ac:dyDescent="0.35">
      <c r="A1495" s="3">
        <v>31716402145</v>
      </c>
      <c r="B1495" s="3">
        <v>53</v>
      </c>
      <c r="C1495" s="32">
        <v>49150</v>
      </c>
      <c r="D1495" s="32" t="s">
        <v>87</v>
      </c>
      <c r="E14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6" spans="1:6" x14ac:dyDescent="0.35">
      <c r="A1496" s="3">
        <v>50768594952</v>
      </c>
      <c r="B1496" s="3">
        <v>143</v>
      </c>
      <c r="C1496" s="32">
        <v>49150</v>
      </c>
      <c r="D1496" s="32" t="s">
        <v>87</v>
      </c>
      <c r="E14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7" spans="1:6" x14ac:dyDescent="0.35">
      <c r="A1497" s="3">
        <v>51668786516</v>
      </c>
      <c r="B1497" s="3">
        <v>193</v>
      </c>
      <c r="C1497" s="32">
        <v>49150</v>
      </c>
      <c r="D1497" s="32" t="s">
        <v>87</v>
      </c>
      <c r="E14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8" spans="1:6" x14ac:dyDescent="0.35">
      <c r="A1498" s="3">
        <v>20146178178</v>
      </c>
      <c r="B1498" s="3">
        <v>242</v>
      </c>
      <c r="C1498" s="32">
        <v>49150</v>
      </c>
      <c r="D1498" s="32"/>
      <c r="E14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9" spans="1:6" x14ac:dyDescent="0.35">
      <c r="A1499" s="3">
        <v>32763747467</v>
      </c>
      <c r="B1499" s="3">
        <v>253</v>
      </c>
      <c r="C1499" s="32">
        <v>49150</v>
      </c>
      <c r="D1499" s="32" t="s">
        <v>87</v>
      </c>
      <c r="E14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00" spans="1:6" x14ac:dyDescent="0.35">
      <c r="A1500" s="3">
        <v>30556930716</v>
      </c>
      <c r="B1500" s="3">
        <v>255</v>
      </c>
      <c r="C1500" s="32">
        <v>49150</v>
      </c>
      <c r="D1500" s="32">
        <v>49258</v>
      </c>
      <c r="E15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501" spans="1:6" x14ac:dyDescent="0.35">
      <c r="A1501" s="3">
        <v>43709876690</v>
      </c>
      <c r="B1501" s="3">
        <v>267</v>
      </c>
      <c r="C1501" s="32">
        <v>49150</v>
      </c>
      <c r="D1501" s="32" t="s">
        <v>87</v>
      </c>
      <c r="E15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02" spans="1:6" x14ac:dyDescent="0.35">
      <c r="A1502" s="3">
        <v>68346514069</v>
      </c>
      <c r="B1502" s="3">
        <v>288</v>
      </c>
      <c r="C1502" s="32">
        <v>49150</v>
      </c>
      <c r="D1502" s="32" t="s">
        <v>87</v>
      </c>
      <c r="E15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03" spans="1:6" x14ac:dyDescent="0.35">
      <c r="A1503" s="3">
        <v>78028431714</v>
      </c>
      <c r="B1503" s="3">
        <v>294</v>
      </c>
      <c r="C1503" s="32">
        <v>49150</v>
      </c>
      <c r="D1503" s="32">
        <v>49154</v>
      </c>
      <c r="E15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504" spans="1:6" x14ac:dyDescent="0.35">
      <c r="A1504" s="3">
        <v>61170329314</v>
      </c>
      <c r="B1504" s="3">
        <v>301</v>
      </c>
      <c r="C1504" s="32">
        <v>49150</v>
      </c>
      <c r="D1504" s="32">
        <v>49190</v>
      </c>
      <c r="E15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05" spans="1:6" x14ac:dyDescent="0.35">
      <c r="A1505" s="3">
        <v>80842132142</v>
      </c>
      <c r="B1505" s="3">
        <v>306</v>
      </c>
      <c r="C1505" s="32">
        <v>49150</v>
      </c>
      <c r="D1505" s="32">
        <v>49156</v>
      </c>
      <c r="E15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506" spans="1:6" x14ac:dyDescent="0.35">
      <c r="A1506" s="3">
        <v>25355679963</v>
      </c>
      <c r="B1506" s="3">
        <v>316</v>
      </c>
      <c r="C1506" s="32">
        <v>49150</v>
      </c>
      <c r="D1506" s="32" t="s">
        <v>87</v>
      </c>
      <c r="E15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07" spans="1:6" x14ac:dyDescent="0.35">
      <c r="A1507" s="3">
        <v>40926331260</v>
      </c>
      <c r="B1507" s="3">
        <v>318</v>
      </c>
      <c r="C1507" s="32">
        <v>49150</v>
      </c>
      <c r="D1507" s="32">
        <v>49236</v>
      </c>
      <c r="E15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508" spans="1:6" x14ac:dyDescent="0.35">
      <c r="A1508" s="3">
        <v>59047152206</v>
      </c>
      <c r="B1508" s="3">
        <v>321</v>
      </c>
      <c r="C1508" s="32">
        <v>49150</v>
      </c>
      <c r="D1508" s="32"/>
      <c r="E15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09" spans="1:6" x14ac:dyDescent="0.35">
      <c r="A1509" s="3">
        <v>19254583742</v>
      </c>
      <c r="B1509" s="3">
        <v>327</v>
      </c>
      <c r="C1509" s="32">
        <v>49150</v>
      </c>
      <c r="D1509" s="32" t="s">
        <v>87</v>
      </c>
      <c r="E15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0" spans="1:6" x14ac:dyDescent="0.35">
      <c r="A1510" s="3">
        <v>27836596635</v>
      </c>
      <c r="B1510" s="3">
        <v>327</v>
      </c>
      <c r="C1510" s="32">
        <v>49150</v>
      </c>
      <c r="D1510" s="32" t="s">
        <v>87</v>
      </c>
      <c r="E15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1" spans="1:6" x14ac:dyDescent="0.35">
      <c r="A1511" s="3">
        <v>70463821980</v>
      </c>
      <c r="B1511" s="3">
        <v>330</v>
      </c>
      <c r="C1511" s="32">
        <v>49150</v>
      </c>
      <c r="D1511" s="32" t="s">
        <v>87</v>
      </c>
      <c r="E15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2" spans="1:6" x14ac:dyDescent="0.35">
      <c r="A1512" s="3">
        <v>44570631272</v>
      </c>
      <c r="B1512" s="3">
        <v>338</v>
      </c>
      <c r="C1512" s="32">
        <v>49150</v>
      </c>
      <c r="D1512" s="32" t="s">
        <v>87</v>
      </c>
      <c r="E15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3" spans="1:6" x14ac:dyDescent="0.35">
      <c r="A1513" s="3">
        <v>56507333045</v>
      </c>
      <c r="B1513" s="3">
        <v>0</v>
      </c>
      <c r="C1513" s="32">
        <v>49151</v>
      </c>
      <c r="D1513" s="32" t="s">
        <v>87</v>
      </c>
      <c r="E15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4" spans="1:6" x14ac:dyDescent="0.35">
      <c r="A1514" s="3">
        <v>76325960832</v>
      </c>
      <c r="B1514" s="3">
        <v>1</v>
      </c>
      <c r="C1514" s="32">
        <v>49151</v>
      </c>
      <c r="D1514" s="32" t="s">
        <v>87</v>
      </c>
      <c r="E15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5" spans="1:6" x14ac:dyDescent="0.35">
      <c r="A1515" s="3">
        <v>39534055766</v>
      </c>
      <c r="B1515" s="3">
        <v>14</v>
      </c>
      <c r="C1515" s="32">
        <v>49151</v>
      </c>
      <c r="D1515" s="32"/>
      <c r="E15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6" spans="1:6" x14ac:dyDescent="0.35">
      <c r="A1516" s="3">
        <v>31931873004</v>
      </c>
      <c r="B1516" s="3">
        <v>18</v>
      </c>
      <c r="C1516" s="32">
        <v>49151</v>
      </c>
      <c r="D1516" s="32"/>
      <c r="E15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7" spans="1:6" x14ac:dyDescent="0.35">
      <c r="A1517" s="3">
        <v>70159402948</v>
      </c>
      <c r="B1517" s="3">
        <v>57</v>
      </c>
      <c r="C1517" s="32">
        <v>49151</v>
      </c>
      <c r="D1517" s="32" t="s">
        <v>87</v>
      </c>
      <c r="E15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8" spans="1:6" x14ac:dyDescent="0.35">
      <c r="A1518" s="3">
        <v>25182580259</v>
      </c>
      <c r="B1518" s="3">
        <v>59</v>
      </c>
      <c r="C1518" s="32">
        <v>49151</v>
      </c>
      <c r="D1518" s="32" t="s">
        <v>87</v>
      </c>
      <c r="E15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9" spans="1:6" x14ac:dyDescent="0.35">
      <c r="A1519" s="3">
        <v>68000264345</v>
      </c>
      <c r="B1519" s="3">
        <v>87</v>
      </c>
      <c r="C1519" s="32">
        <v>49151</v>
      </c>
      <c r="D1519" s="32" t="s">
        <v>87</v>
      </c>
      <c r="E15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0" spans="1:6" x14ac:dyDescent="0.35">
      <c r="A1520" s="3">
        <v>73520238747</v>
      </c>
      <c r="B1520" s="3">
        <v>114</v>
      </c>
      <c r="C1520" s="32">
        <v>49151</v>
      </c>
      <c r="D1520" s="32" t="s">
        <v>87</v>
      </c>
      <c r="E15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1" spans="1:6" x14ac:dyDescent="0.35">
      <c r="A1521" s="3">
        <v>96332781395</v>
      </c>
      <c r="B1521" s="3">
        <v>114</v>
      </c>
      <c r="C1521" s="32">
        <v>49151</v>
      </c>
      <c r="D1521" s="32">
        <v>49198</v>
      </c>
      <c r="E15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22" spans="1:6" x14ac:dyDescent="0.35">
      <c r="A1522" s="3">
        <v>33500406123</v>
      </c>
      <c r="B1522" s="3">
        <v>135</v>
      </c>
      <c r="C1522" s="32">
        <v>49151</v>
      </c>
      <c r="D1522" s="32" t="s">
        <v>87</v>
      </c>
      <c r="E15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3" spans="1:6" x14ac:dyDescent="0.35">
      <c r="A1523" s="3">
        <v>73554912833</v>
      </c>
      <c r="B1523" s="3">
        <v>150</v>
      </c>
      <c r="C1523" s="32">
        <v>49151</v>
      </c>
      <c r="D1523" s="32" t="s">
        <v>87</v>
      </c>
      <c r="E15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4" spans="1:6" x14ac:dyDescent="0.35">
      <c r="A1524" s="3">
        <v>37412270909</v>
      </c>
      <c r="B1524" s="3">
        <v>170</v>
      </c>
      <c r="C1524" s="32">
        <v>49151</v>
      </c>
      <c r="D1524" s="32">
        <v>49216</v>
      </c>
      <c r="E15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25" spans="1:6" x14ac:dyDescent="0.35">
      <c r="A1525" s="3">
        <v>43253555439</v>
      </c>
      <c r="B1525" s="3">
        <v>181</v>
      </c>
      <c r="C1525" s="32">
        <v>49151</v>
      </c>
      <c r="D1525" s="32" t="s">
        <v>87</v>
      </c>
      <c r="E15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6" spans="1:6" x14ac:dyDescent="0.35">
      <c r="A1526" s="3">
        <v>95701555869</v>
      </c>
      <c r="B1526" s="3">
        <v>182</v>
      </c>
      <c r="C1526" s="32">
        <v>49151</v>
      </c>
      <c r="D1526" s="32" t="s">
        <v>87</v>
      </c>
      <c r="E15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7" spans="1:6" x14ac:dyDescent="0.35">
      <c r="A1527" s="3">
        <v>92691948202</v>
      </c>
      <c r="B1527" s="3">
        <v>187</v>
      </c>
      <c r="C1527" s="32">
        <v>49151</v>
      </c>
      <c r="D1527" s="32" t="s">
        <v>87</v>
      </c>
      <c r="E15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8" spans="1:6" x14ac:dyDescent="0.35">
      <c r="A1528" s="3">
        <v>17004125842</v>
      </c>
      <c r="B1528" s="3">
        <v>197</v>
      </c>
      <c r="C1528" s="32">
        <v>49151</v>
      </c>
      <c r="D1528" s="32" t="s">
        <v>87</v>
      </c>
      <c r="E15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9" spans="1:6" x14ac:dyDescent="0.35">
      <c r="A1529" s="3">
        <v>79548649538</v>
      </c>
      <c r="B1529" s="3">
        <v>204</v>
      </c>
      <c r="C1529" s="32">
        <v>49151</v>
      </c>
      <c r="D1529" s="32" t="s">
        <v>87</v>
      </c>
      <c r="E15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0" spans="1:6" x14ac:dyDescent="0.35">
      <c r="A1530" s="3">
        <v>20392999566</v>
      </c>
      <c r="B1530" s="3">
        <v>233</v>
      </c>
      <c r="C1530" s="32">
        <v>49151</v>
      </c>
      <c r="D1530" s="32" t="s">
        <v>87</v>
      </c>
      <c r="E15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1" spans="1:6" x14ac:dyDescent="0.35">
      <c r="A1531" s="3">
        <v>92113887398</v>
      </c>
      <c r="B1531" s="3">
        <v>257</v>
      </c>
      <c r="C1531" s="32">
        <v>49151</v>
      </c>
      <c r="D1531" s="32" t="s">
        <v>87</v>
      </c>
      <c r="E15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2" spans="1:6" x14ac:dyDescent="0.35">
      <c r="A1532" s="3">
        <v>98483436903</v>
      </c>
      <c r="B1532" s="3">
        <v>258</v>
      </c>
      <c r="C1532" s="32">
        <v>49151</v>
      </c>
      <c r="D1532" s="32" t="s">
        <v>87</v>
      </c>
      <c r="E15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3" spans="1:6" x14ac:dyDescent="0.35">
      <c r="A1533" s="3">
        <v>81850099882</v>
      </c>
      <c r="B1533" s="3">
        <v>260</v>
      </c>
      <c r="C1533" s="32">
        <v>49151</v>
      </c>
      <c r="D1533" s="32">
        <v>49181</v>
      </c>
      <c r="E15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534" spans="1:6" x14ac:dyDescent="0.35">
      <c r="A1534" s="3">
        <v>67803947589</v>
      </c>
      <c r="B1534" s="3">
        <v>261</v>
      </c>
      <c r="C1534" s="32">
        <v>49151</v>
      </c>
      <c r="D1534" s="32"/>
      <c r="E15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5" spans="1:6" x14ac:dyDescent="0.35">
      <c r="A1535" s="3">
        <v>28853062942</v>
      </c>
      <c r="B1535" s="3">
        <v>262</v>
      </c>
      <c r="C1535" s="32">
        <v>49151</v>
      </c>
      <c r="D1535" s="32"/>
      <c r="E15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6" spans="1:6" x14ac:dyDescent="0.35">
      <c r="A1536" s="3">
        <v>53877932750</v>
      </c>
      <c r="B1536" s="3">
        <v>274</v>
      </c>
      <c r="C1536" s="32">
        <v>49151</v>
      </c>
      <c r="D1536" s="32" t="s">
        <v>87</v>
      </c>
      <c r="E15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7" spans="1:6" x14ac:dyDescent="0.35">
      <c r="A1537" s="3">
        <v>29055297950</v>
      </c>
      <c r="B1537" s="3">
        <v>286</v>
      </c>
      <c r="C1537" s="32">
        <v>49151</v>
      </c>
      <c r="D1537" s="32" t="s">
        <v>87</v>
      </c>
      <c r="E15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8" spans="1:6" x14ac:dyDescent="0.35">
      <c r="A1538" s="3">
        <v>89304439557</v>
      </c>
      <c r="B1538" s="3">
        <v>305</v>
      </c>
      <c r="C1538" s="32">
        <v>49151</v>
      </c>
      <c r="D1538" s="32">
        <v>49158</v>
      </c>
      <c r="E15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539" spans="1:6" x14ac:dyDescent="0.35">
      <c r="A1539" s="3">
        <v>71760851511</v>
      </c>
      <c r="B1539" s="3">
        <v>3</v>
      </c>
      <c r="C1539" s="32">
        <v>49152</v>
      </c>
      <c r="D1539" s="32" t="s">
        <v>87</v>
      </c>
      <c r="E15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0" spans="1:6" x14ac:dyDescent="0.35">
      <c r="A1540" s="3">
        <v>92299181151</v>
      </c>
      <c r="B1540" s="3">
        <v>3</v>
      </c>
      <c r="C1540" s="32">
        <v>49152</v>
      </c>
      <c r="D1540" s="32" t="s">
        <v>87</v>
      </c>
      <c r="E15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1" spans="1:6" x14ac:dyDescent="0.35">
      <c r="A1541" s="3">
        <v>72873090382</v>
      </c>
      <c r="B1541" s="3">
        <v>11</v>
      </c>
      <c r="C1541" s="32">
        <v>49152</v>
      </c>
      <c r="D1541" s="32" t="s">
        <v>87</v>
      </c>
      <c r="E15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2" spans="1:6" x14ac:dyDescent="0.35">
      <c r="A1542" s="3">
        <v>48490259137</v>
      </c>
      <c r="B1542" s="3">
        <v>38</v>
      </c>
      <c r="C1542" s="32">
        <v>49152</v>
      </c>
      <c r="D1542" s="32" t="s">
        <v>87</v>
      </c>
      <c r="E15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3" spans="1:6" x14ac:dyDescent="0.35">
      <c r="A1543" s="3">
        <v>68502028178</v>
      </c>
      <c r="B1543" s="3">
        <v>49</v>
      </c>
      <c r="C1543" s="32">
        <v>49152</v>
      </c>
      <c r="D1543" s="32" t="s">
        <v>87</v>
      </c>
      <c r="E15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4" spans="1:6" x14ac:dyDescent="0.35">
      <c r="A1544" s="3">
        <v>57447131140</v>
      </c>
      <c r="B1544" s="3">
        <v>79</v>
      </c>
      <c r="C1544" s="32">
        <v>49152</v>
      </c>
      <c r="D1544" s="32" t="s">
        <v>87</v>
      </c>
      <c r="E15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5" spans="1:6" x14ac:dyDescent="0.35">
      <c r="A1545" s="3">
        <v>87421355345</v>
      </c>
      <c r="B1545" s="3">
        <v>100</v>
      </c>
      <c r="C1545" s="32">
        <v>49152</v>
      </c>
      <c r="D1545" s="32" t="s">
        <v>87</v>
      </c>
      <c r="E15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6" spans="1:6" x14ac:dyDescent="0.35">
      <c r="A1546" s="3">
        <v>15150488071</v>
      </c>
      <c r="B1546" s="3">
        <v>106</v>
      </c>
      <c r="C1546" s="32">
        <v>49152</v>
      </c>
      <c r="D1546" s="32" t="s">
        <v>87</v>
      </c>
      <c r="E15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7" spans="1:6" x14ac:dyDescent="0.35">
      <c r="A1547" s="3">
        <v>69736160592</v>
      </c>
      <c r="B1547" s="3">
        <v>124</v>
      </c>
      <c r="C1547" s="32">
        <v>49152</v>
      </c>
      <c r="D1547" s="32">
        <v>49195</v>
      </c>
      <c r="E15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48" spans="1:6" x14ac:dyDescent="0.35">
      <c r="A1548" s="3">
        <v>36547662483</v>
      </c>
      <c r="B1548" s="3">
        <v>132</v>
      </c>
      <c r="C1548" s="32">
        <v>49152</v>
      </c>
      <c r="D1548" s="32" t="s">
        <v>87</v>
      </c>
      <c r="E15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9" spans="1:6" x14ac:dyDescent="0.35">
      <c r="A1549" s="3">
        <v>82149169114</v>
      </c>
      <c r="B1549" s="3">
        <v>202</v>
      </c>
      <c r="C1549" s="32">
        <v>49152</v>
      </c>
      <c r="D1549" s="32" t="s">
        <v>87</v>
      </c>
      <c r="E15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0" spans="1:6" x14ac:dyDescent="0.35">
      <c r="A1550" s="3">
        <v>77883328755</v>
      </c>
      <c r="B1550" s="3">
        <v>206</v>
      </c>
      <c r="C1550" s="32">
        <v>49152</v>
      </c>
      <c r="D1550" s="32" t="s">
        <v>87</v>
      </c>
      <c r="E15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1" spans="1:6" x14ac:dyDescent="0.35">
      <c r="A1551" s="3">
        <v>77367227565</v>
      </c>
      <c r="B1551" s="3">
        <v>210</v>
      </c>
      <c r="C1551" s="32">
        <v>49152</v>
      </c>
      <c r="D1551" s="32" t="s">
        <v>87</v>
      </c>
      <c r="E15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2" spans="1:6" x14ac:dyDescent="0.35">
      <c r="A1552" s="3">
        <v>21601358812</v>
      </c>
      <c r="B1552" s="3">
        <v>221</v>
      </c>
      <c r="C1552" s="32">
        <v>49152</v>
      </c>
      <c r="D1552" s="32">
        <v>49232</v>
      </c>
      <c r="E15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553" spans="1:6" x14ac:dyDescent="0.35">
      <c r="A1553" s="3">
        <v>54116953352</v>
      </c>
      <c r="B1553" s="3">
        <v>239</v>
      </c>
      <c r="C1553" s="32">
        <v>49152</v>
      </c>
      <c r="D1553" s="32" t="s">
        <v>87</v>
      </c>
      <c r="E15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4" spans="1:6" x14ac:dyDescent="0.35">
      <c r="A1554" s="3">
        <v>31286431130</v>
      </c>
      <c r="B1554" s="3">
        <v>261</v>
      </c>
      <c r="C1554" s="32">
        <v>49152</v>
      </c>
      <c r="D1554" s="32">
        <v>49239</v>
      </c>
      <c r="E15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555" spans="1:6" x14ac:dyDescent="0.35">
      <c r="A1555" s="3">
        <v>88065975581</v>
      </c>
      <c r="B1555" s="3">
        <v>263</v>
      </c>
      <c r="C1555" s="32">
        <v>49152</v>
      </c>
      <c r="D1555" s="32" t="s">
        <v>87</v>
      </c>
      <c r="E15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6" spans="1:6" x14ac:dyDescent="0.35">
      <c r="A1556" s="3">
        <v>91812190016</v>
      </c>
      <c r="B1556" s="3">
        <v>270</v>
      </c>
      <c r="C1556" s="32">
        <v>49152</v>
      </c>
      <c r="D1556" s="32" t="s">
        <v>87</v>
      </c>
      <c r="E15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7" spans="1:6" x14ac:dyDescent="0.35">
      <c r="A1557" s="3">
        <v>45013193736</v>
      </c>
      <c r="B1557" s="3">
        <v>272</v>
      </c>
      <c r="C1557" s="32">
        <v>49152</v>
      </c>
      <c r="D1557" s="32">
        <v>49231</v>
      </c>
      <c r="E15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558" spans="1:6" x14ac:dyDescent="0.35">
      <c r="A1558" s="3">
        <v>50569658047</v>
      </c>
      <c r="B1558" s="3">
        <v>275</v>
      </c>
      <c r="C1558" s="32">
        <v>49152</v>
      </c>
      <c r="D1558" s="32"/>
      <c r="E15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9" spans="1:6" x14ac:dyDescent="0.35">
      <c r="A1559" s="3">
        <v>31434509926</v>
      </c>
      <c r="B1559" s="3">
        <v>279</v>
      </c>
      <c r="C1559" s="32">
        <v>49152</v>
      </c>
      <c r="D1559" s="32">
        <v>49162</v>
      </c>
      <c r="E15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560" spans="1:6" x14ac:dyDescent="0.35">
      <c r="A1560" s="3">
        <v>51787062082</v>
      </c>
      <c r="B1560" s="3">
        <v>279</v>
      </c>
      <c r="C1560" s="32">
        <v>49152</v>
      </c>
      <c r="D1560" s="32">
        <v>49182</v>
      </c>
      <c r="E15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561" spans="1:6" x14ac:dyDescent="0.35">
      <c r="A1561" s="3">
        <v>73975156091</v>
      </c>
      <c r="B1561" s="3">
        <v>280</v>
      </c>
      <c r="C1561" s="32">
        <v>49152</v>
      </c>
      <c r="D1561" s="32" t="s">
        <v>87</v>
      </c>
      <c r="E15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62" spans="1:6" x14ac:dyDescent="0.35">
      <c r="A1562" s="3">
        <v>88571070556</v>
      </c>
      <c r="B1562" s="3">
        <v>286</v>
      </c>
      <c r="C1562" s="32">
        <v>49152</v>
      </c>
      <c r="D1562" s="32"/>
      <c r="E15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63" spans="1:6" x14ac:dyDescent="0.35">
      <c r="A1563" s="3">
        <v>68624430508</v>
      </c>
      <c r="B1563" s="3">
        <v>305</v>
      </c>
      <c r="C1563" s="32">
        <v>49152</v>
      </c>
      <c r="D1563" s="32">
        <v>49154</v>
      </c>
      <c r="E15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564" spans="1:6" x14ac:dyDescent="0.35">
      <c r="A1564" s="3">
        <v>47371871800</v>
      </c>
      <c r="B1564" s="3">
        <v>309</v>
      </c>
      <c r="C1564" s="32">
        <v>49152</v>
      </c>
      <c r="D1564" s="32" t="s">
        <v>87</v>
      </c>
      <c r="E15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65" spans="1:6" x14ac:dyDescent="0.35">
      <c r="A1565" s="3">
        <v>23597519048</v>
      </c>
      <c r="B1565" s="3">
        <v>312</v>
      </c>
      <c r="C1565" s="32">
        <v>49152</v>
      </c>
      <c r="D1565" s="32"/>
      <c r="E15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66" spans="1:6" x14ac:dyDescent="0.35">
      <c r="A1566" s="3">
        <v>60124945204</v>
      </c>
      <c r="B1566" s="3">
        <v>318</v>
      </c>
      <c r="C1566" s="32">
        <v>49152</v>
      </c>
      <c r="D1566" s="32">
        <v>49190</v>
      </c>
      <c r="E15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67" spans="1:6" x14ac:dyDescent="0.35">
      <c r="A1567" s="3">
        <v>80545923586</v>
      </c>
      <c r="B1567" s="3">
        <v>332</v>
      </c>
      <c r="C1567" s="32">
        <v>49152</v>
      </c>
      <c r="D1567" s="32" t="s">
        <v>87</v>
      </c>
      <c r="E15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68" spans="1:6" x14ac:dyDescent="0.35">
      <c r="A1568" s="3">
        <v>46260782883</v>
      </c>
      <c r="B1568" s="3">
        <v>3</v>
      </c>
      <c r="C1568" s="32">
        <v>49153</v>
      </c>
      <c r="D1568" s="32">
        <v>49181</v>
      </c>
      <c r="E15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569" spans="1:6" x14ac:dyDescent="0.35">
      <c r="A1569" s="3">
        <v>83457948269</v>
      </c>
      <c r="B1569" s="3">
        <v>12</v>
      </c>
      <c r="C1569" s="32">
        <v>49153</v>
      </c>
      <c r="D1569" s="32">
        <v>49237</v>
      </c>
      <c r="E15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570" spans="1:6" x14ac:dyDescent="0.35">
      <c r="A1570" s="3">
        <v>65197318559</v>
      </c>
      <c r="B1570" s="3">
        <v>80</v>
      </c>
      <c r="C1570" s="32">
        <v>49153</v>
      </c>
      <c r="D1570" s="32"/>
      <c r="E15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1" spans="1:6" x14ac:dyDescent="0.35">
      <c r="A1571" s="3">
        <v>61461131882</v>
      </c>
      <c r="B1571" s="3">
        <v>87</v>
      </c>
      <c r="C1571" s="32">
        <v>49153</v>
      </c>
      <c r="D1571" s="32" t="s">
        <v>87</v>
      </c>
      <c r="E15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2" spans="1:6" x14ac:dyDescent="0.35">
      <c r="A1572" s="3">
        <v>45816102610</v>
      </c>
      <c r="B1572" s="3">
        <v>89</v>
      </c>
      <c r="C1572" s="32">
        <v>49153</v>
      </c>
      <c r="D1572" s="32" t="s">
        <v>87</v>
      </c>
      <c r="E15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3" spans="1:6" x14ac:dyDescent="0.35">
      <c r="A1573" s="3">
        <v>36221990164</v>
      </c>
      <c r="B1573" s="3">
        <v>97</v>
      </c>
      <c r="C1573" s="32">
        <v>49153</v>
      </c>
      <c r="D1573" s="32" t="s">
        <v>87</v>
      </c>
      <c r="E15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4" spans="1:6" x14ac:dyDescent="0.35">
      <c r="A1574" s="3">
        <v>31870015594</v>
      </c>
      <c r="B1574" s="3">
        <v>110</v>
      </c>
      <c r="C1574" s="32">
        <v>49153</v>
      </c>
      <c r="D1574" s="32" t="s">
        <v>87</v>
      </c>
      <c r="E15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5" spans="1:6" x14ac:dyDescent="0.35">
      <c r="A1575" s="3">
        <v>34197861129</v>
      </c>
      <c r="B1575" s="3">
        <v>115</v>
      </c>
      <c r="C1575" s="32">
        <v>49153</v>
      </c>
      <c r="D1575" s="32" t="s">
        <v>87</v>
      </c>
      <c r="E15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6" spans="1:6" x14ac:dyDescent="0.35">
      <c r="A1576" s="3">
        <v>60575924002</v>
      </c>
      <c r="B1576" s="3">
        <v>136</v>
      </c>
      <c r="C1576" s="32">
        <v>49153</v>
      </c>
      <c r="D1576" s="32" t="s">
        <v>87</v>
      </c>
      <c r="E15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7" spans="1:6" x14ac:dyDescent="0.35">
      <c r="A1577" s="3">
        <v>24739371952</v>
      </c>
      <c r="B1577" s="3">
        <v>141</v>
      </c>
      <c r="C1577" s="32">
        <v>49153</v>
      </c>
      <c r="D1577" s="32" t="s">
        <v>87</v>
      </c>
      <c r="E15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8" spans="1:6" x14ac:dyDescent="0.35">
      <c r="A1578" s="3">
        <v>88400990419</v>
      </c>
      <c r="B1578" s="3">
        <v>155</v>
      </c>
      <c r="C1578" s="32">
        <v>49153</v>
      </c>
      <c r="D1578" s="32">
        <v>49226</v>
      </c>
      <c r="E15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579" spans="1:6" x14ac:dyDescent="0.35">
      <c r="A1579" s="3">
        <v>96154970314</v>
      </c>
      <c r="B1579" s="3">
        <v>161</v>
      </c>
      <c r="C1579" s="32">
        <v>49153</v>
      </c>
      <c r="D1579" s="32" t="s">
        <v>87</v>
      </c>
      <c r="E15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0" spans="1:6" x14ac:dyDescent="0.35">
      <c r="A1580" s="3">
        <v>28555975129</v>
      </c>
      <c r="B1580" s="3">
        <v>175</v>
      </c>
      <c r="C1580" s="32">
        <v>49153</v>
      </c>
      <c r="D1580" s="32">
        <v>49262</v>
      </c>
      <c r="E15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581" spans="1:6" x14ac:dyDescent="0.35">
      <c r="A1581" s="3">
        <v>86544074154</v>
      </c>
      <c r="B1581" s="3">
        <v>176</v>
      </c>
      <c r="C1581" s="32">
        <v>49153</v>
      </c>
      <c r="D1581" s="32" t="s">
        <v>87</v>
      </c>
      <c r="E15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2" spans="1:6" x14ac:dyDescent="0.35">
      <c r="A1582" s="3">
        <v>78091932993</v>
      </c>
      <c r="B1582" s="3">
        <v>208</v>
      </c>
      <c r="C1582" s="32">
        <v>49153</v>
      </c>
      <c r="D1582" s="32" t="s">
        <v>87</v>
      </c>
      <c r="E15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3" spans="1:6" x14ac:dyDescent="0.35">
      <c r="A1583" s="3">
        <v>39024335094</v>
      </c>
      <c r="B1583" s="3">
        <v>215</v>
      </c>
      <c r="C1583" s="32">
        <v>49153</v>
      </c>
      <c r="D1583" s="32" t="s">
        <v>87</v>
      </c>
      <c r="E15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4" spans="1:6" x14ac:dyDescent="0.35">
      <c r="A1584" s="3">
        <v>48996578978</v>
      </c>
      <c r="B1584" s="3">
        <v>216</v>
      </c>
      <c r="C1584" s="32">
        <v>49153</v>
      </c>
      <c r="D1584" s="32"/>
      <c r="E15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5" spans="1:6" x14ac:dyDescent="0.35">
      <c r="A1585" s="3">
        <v>96269664193</v>
      </c>
      <c r="B1585" s="3">
        <v>224</v>
      </c>
      <c r="C1585" s="32">
        <v>49153</v>
      </c>
      <c r="D1585" s="32"/>
      <c r="E15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6" spans="1:6" x14ac:dyDescent="0.35">
      <c r="A1586" s="3">
        <v>40623421723</v>
      </c>
      <c r="B1586" s="3">
        <v>252</v>
      </c>
      <c r="C1586" s="32">
        <v>49153</v>
      </c>
      <c r="D1586" s="32" t="s">
        <v>87</v>
      </c>
      <c r="E15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7" spans="1:6" x14ac:dyDescent="0.35">
      <c r="A1587" s="3">
        <v>62392965661</v>
      </c>
      <c r="B1587" s="3">
        <v>316</v>
      </c>
      <c r="C1587" s="32">
        <v>49153</v>
      </c>
      <c r="D1587" s="32">
        <v>49193</v>
      </c>
      <c r="E15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88" spans="1:6" x14ac:dyDescent="0.35">
      <c r="A1588" s="3">
        <v>22335020051</v>
      </c>
      <c r="B1588" s="3">
        <v>326</v>
      </c>
      <c r="C1588" s="32">
        <v>49153</v>
      </c>
      <c r="D1588" s="32" t="s">
        <v>87</v>
      </c>
      <c r="E15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9" spans="1:6" x14ac:dyDescent="0.35">
      <c r="A1589" s="3">
        <v>30116213306</v>
      </c>
      <c r="B1589" s="3">
        <v>333</v>
      </c>
      <c r="C1589" s="32">
        <v>49153</v>
      </c>
      <c r="D1589" s="32" t="s">
        <v>87</v>
      </c>
      <c r="E15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0" spans="1:6" x14ac:dyDescent="0.35">
      <c r="A1590" s="3">
        <v>29740736829</v>
      </c>
      <c r="B1590" s="3">
        <v>335</v>
      </c>
      <c r="C1590" s="32">
        <v>49153</v>
      </c>
      <c r="D1590" s="32"/>
      <c r="E15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1" spans="1:6" x14ac:dyDescent="0.35">
      <c r="A1591" s="3">
        <v>93406206179</v>
      </c>
      <c r="B1591" s="3">
        <v>340</v>
      </c>
      <c r="C1591" s="32">
        <v>49153</v>
      </c>
      <c r="D1591" s="32" t="s">
        <v>87</v>
      </c>
      <c r="E15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2" spans="1:6" x14ac:dyDescent="0.35">
      <c r="A1592" s="3">
        <v>60689463958</v>
      </c>
      <c r="B1592" s="3">
        <v>1</v>
      </c>
      <c r="C1592" s="32">
        <v>49154</v>
      </c>
      <c r="D1592" s="32" t="s">
        <v>87</v>
      </c>
      <c r="E15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3" spans="1:6" x14ac:dyDescent="0.35">
      <c r="A1593" s="3">
        <v>95227982688</v>
      </c>
      <c r="B1593" s="3">
        <v>22</v>
      </c>
      <c r="C1593" s="32">
        <v>49154</v>
      </c>
      <c r="D1593" s="32">
        <v>49215</v>
      </c>
      <c r="E15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94" spans="1:6" x14ac:dyDescent="0.35">
      <c r="A1594" s="3">
        <v>51622529885</v>
      </c>
      <c r="B1594" s="3">
        <v>27</v>
      </c>
      <c r="C1594" s="32">
        <v>49154</v>
      </c>
      <c r="D1594" s="32" t="s">
        <v>87</v>
      </c>
      <c r="E15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5" spans="1:6" x14ac:dyDescent="0.35">
      <c r="A1595" s="3">
        <v>43428230947</v>
      </c>
      <c r="B1595" s="3">
        <v>37</v>
      </c>
      <c r="C1595" s="32">
        <v>49154</v>
      </c>
      <c r="D1595" s="32" t="s">
        <v>87</v>
      </c>
      <c r="E15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6" spans="1:6" x14ac:dyDescent="0.35">
      <c r="A1596" s="3">
        <v>43355369425</v>
      </c>
      <c r="B1596" s="3">
        <v>40</v>
      </c>
      <c r="C1596" s="32">
        <v>49154</v>
      </c>
      <c r="D1596" s="32" t="s">
        <v>87</v>
      </c>
      <c r="E15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7" spans="1:6" x14ac:dyDescent="0.35">
      <c r="A1597" s="3">
        <v>81883306705</v>
      </c>
      <c r="B1597" s="3">
        <v>50</v>
      </c>
      <c r="C1597" s="32">
        <v>49154</v>
      </c>
      <c r="D1597" s="32" t="s">
        <v>87</v>
      </c>
      <c r="E15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8" spans="1:6" x14ac:dyDescent="0.35">
      <c r="A1598" s="3">
        <v>46046461150</v>
      </c>
      <c r="B1598" s="3">
        <v>58</v>
      </c>
      <c r="C1598" s="32">
        <v>49154</v>
      </c>
      <c r="D1598" s="32" t="s">
        <v>87</v>
      </c>
      <c r="E15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9" spans="1:6" x14ac:dyDescent="0.35">
      <c r="A1599" s="3">
        <v>52076802524</v>
      </c>
      <c r="B1599" s="3">
        <v>60</v>
      </c>
      <c r="C1599" s="32">
        <v>49154</v>
      </c>
      <c r="D1599" s="32">
        <v>49273</v>
      </c>
      <c r="E15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00" spans="1:6" x14ac:dyDescent="0.35">
      <c r="A1600" s="3">
        <v>74049775593</v>
      </c>
      <c r="B1600" s="3">
        <v>101</v>
      </c>
      <c r="C1600" s="32">
        <v>49154</v>
      </c>
      <c r="D1600" s="32">
        <v>49239</v>
      </c>
      <c r="E16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601" spans="1:6" x14ac:dyDescent="0.35">
      <c r="A1601" s="3">
        <v>36130064274</v>
      </c>
      <c r="B1601" s="3">
        <v>105</v>
      </c>
      <c r="C1601" s="32">
        <v>49154</v>
      </c>
      <c r="D1601" s="32" t="s">
        <v>87</v>
      </c>
      <c r="E16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2" spans="1:6" x14ac:dyDescent="0.35">
      <c r="A1602" s="3">
        <v>26080908600</v>
      </c>
      <c r="B1602" s="3">
        <v>109</v>
      </c>
      <c r="C1602" s="32">
        <v>49154</v>
      </c>
      <c r="D1602" s="32" t="s">
        <v>87</v>
      </c>
      <c r="E16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3" spans="1:6" x14ac:dyDescent="0.35">
      <c r="A1603" s="3">
        <v>85844017157</v>
      </c>
      <c r="B1603" s="3">
        <v>110</v>
      </c>
      <c r="C1603" s="32">
        <v>49154</v>
      </c>
      <c r="D1603" s="32">
        <v>49197</v>
      </c>
      <c r="E16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604" spans="1:6" x14ac:dyDescent="0.35">
      <c r="A1604" s="3">
        <v>57012757879</v>
      </c>
      <c r="B1604" s="3">
        <v>124</v>
      </c>
      <c r="C1604" s="32">
        <v>49154</v>
      </c>
      <c r="D1604" s="32" t="s">
        <v>87</v>
      </c>
      <c r="E16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5" spans="1:6" x14ac:dyDescent="0.35">
      <c r="A1605" s="3">
        <v>17616568557</v>
      </c>
      <c r="B1605" s="3">
        <v>132</v>
      </c>
      <c r="C1605" s="32">
        <v>49154</v>
      </c>
      <c r="D1605" s="32" t="s">
        <v>87</v>
      </c>
      <c r="E16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6" spans="1:6" x14ac:dyDescent="0.35">
      <c r="A1606" s="3">
        <v>16124985022</v>
      </c>
      <c r="B1606" s="3">
        <v>138</v>
      </c>
      <c r="C1606" s="32">
        <v>49154</v>
      </c>
      <c r="D1606" s="32"/>
      <c r="E16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7" spans="1:6" x14ac:dyDescent="0.35">
      <c r="A1607" s="3">
        <v>69010426298</v>
      </c>
      <c r="B1607" s="3">
        <v>144</v>
      </c>
      <c r="C1607" s="32">
        <v>49154</v>
      </c>
      <c r="D1607" s="32" t="s">
        <v>87</v>
      </c>
      <c r="E16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8" spans="1:6" x14ac:dyDescent="0.35">
      <c r="A1608" s="3">
        <v>22200150323</v>
      </c>
      <c r="B1608" s="3">
        <v>187</v>
      </c>
      <c r="C1608" s="32">
        <v>49154</v>
      </c>
      <c r="D1608" s="32"/>
      <c r="E16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9" spans="1:6" x14ac:dyDescent="0.35">
      <c r="A1609" s="3">
        <v>18338440086</v>
      </c>
      <c r="B1609" s="3">
        <v>187</v>
      </c>
      <c r="C1609" s="32">
        <v>49154</v>
      </c>
      <c r="D1609" s="32" t="s">
        <v>87</v>
      </c>
      <c r="E16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0" spans="1:6" x14ac:dyDescent="0.35">
      <c r="A1610" s="3">
        <v>94704139121</v>
      </c>
      <c r="B1610" s="3">
        <v>191</v>
      </c>
      <c r="C1610" s="32">
        <v>49154</v>
      </c>
      <c r="D1610" s="32" t="s">
        <v>87</v>
      </c>
      <c r="E16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1" spans="1:6" x14ac:dyDescent="0.35">
      <c r="A1611" s="3">
        <v>54945623738</v>
      </c>
      <c r="B1611" s="3">
        <v>205</v>
      </c>
      <c r="C1611" s="32">
        <v>49154</v>
      </c>
      <c r="D1611" s="32" t="s">
        <v>87</v>
      </c>
      <c r="E16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2" spans="1:6" x14ac:dyDescent="0.35">
      <c r="A1612" s="3">
        <v>95621650154</v>
      </c>
      <c r="B1612" s="3">
        <v>216</v>
      </c>
      <c r="C1612" s="32">
        <v>49154</v>
      </c>
      <c r="D1612" s="32" t="s">
        <v>87</v>
      </c>
      <c r="E16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3" spans="1:6" x14ac:dyDescent="0.35">
      <c r="A1613" s="3">
        <v>72763503987</v>
      </c>
      <c r="B1613" s="3">
        <v>218</v>
      </c>
      <c r="C1613" s="32">
        <v>49154</v>
      </c>
      <c r="D1613" s="32">
        <v>49271</v>
      </c>
      <c r="E16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14" spans="1:6" x14ac:dyDescent="0.35">
      <c r="A1614" s="3">
        <v>97349254090</v>
      </c>
      <c r="B1614" s="3">
        <v>223</v>
      </c>
      <c r="C1614" s="32">
        <v>49154</v>
      </c>
      <c r="D1614" s="32">
        <v>49158</v>
      </c>
      <c r="E16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15" spans="1:6" x14ac:dyDescent="0.35">
      <c r="A1615" s="3">
        <v>34788371146</v>
      </c>
      <c r="B1615" s="3">
        <v>234</v>
      </c>
      <c r="C1615" s="32">
        <v>49154</v>
      </c>
      <c r="D1615" s="32"/>
      <c r="E16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6" spans="1:6" x14ac:dyDescent="0.35">
      <c r="A1616" s="3">
        <v>21234984388</v>
      </c>
      <c r="B1616" s="3">
        <v>248</v>
      </c>
      <c r="C1616" s="32">
        <v>49154</v>
      </c>
      <c r="D1616" s="32">
        <v>49268</v>
      </c>
      <c r="E16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17" spans="1:6" x14ac:dyDescent="0.35">
      <c r="A1617" s="3">
        <v>84979617447</v>
      </c>
      <c r="B1617" s="3">
        <v>287</v>
      </c>
      <c r="C1617" s="32">
        <v>49154</v>
      </c>
      <c r="D1617" s="32">
        <v>49184</v>
      </c>
      <c r="E16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18" spans="1:6" x14ac:dyDescent="0.35">
      <c r="A1618" s="3">
        <v>45126996875</v>
      </c>
      <c r="B1618" s="3">
        <v>324</v>
      </c>
      <c r="C1618" s="32">
        <v>49154</v>
      </c>
      <c r="D1618" s="32" t="s">
        <v>87</v>
      </c>
      <c r="E16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9" spans="1:6" x14ac:dyDescent="0.35">
      <c r="A1619" s="3">
        <v>54501452176</v>
      </c>
      <c r="B1619" s="3">
        <v>325</v>
      </c>
      <c r="C1619" s="32">
        <v>49154</v>
      </c>
      <c r="D1619" s="32" t="s">
        <v>87</v>
      </c>
      <c r="E16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0" spans="1:6" x14ac:dyDescent="0.35">
      <c r="A1620" s="3">
        <v>42188556436</v>
      </c>
      <c r="B1620" s="3">
        <v>328</v>
      </c>
      <c r="C1620" s="32">
        <v>49154</v>
      </c>
      <c r="D1620" s="32" t="s">
        <v>87</v>
      </c>
      <c r="E16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1" spans="1:6" x14ac:dyDescent="0.35">
      <c r="A1621" s="3">
        <v>59217896373</v>
      </c>
      <c r="B1621" s="3">
        <v>2</v>
      </c>
      <c r="C1621" s="32">
        <v>49155</v>
      </c>
      <c r="D1621" s="32"/>
      <c r="E16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2" spans="1:6" x14ac:dyDescent="0.35">
      <c r="A1622" s="3">
        <v>90813532436</v>
      </c>
      <c r="B1622" s="3">
        <v>3</v>
      </c>
      <c r="C1622" s="32">
        <v>49155</v>
      </c>
      <c r="D1622" s="32"/>
      <c r="E16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3" spans="1:6" x14ac:dyDescent="0.35">
      <c r="A1623" s="3">
        <v>87618999023</v>
      </c>
      <c r="B1623" s="3">
        <v>31</v>
      </c>
      <c r="C1623" s="32">
        <v>49155</v>
      </c>
      <c r="D1623" s="32">
        <v>49264</v>
      </c>
      <c r="E16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24" spans="1:6" x14ac:dyDescent="0.35">
      <c r="A1624" s="3">
        <v>78486044470</v>
      </c>
      <c r="B1624" s="3">
        <v>40</v>
      </c>
      <c r="C1624" s="32">
        <v>49155</v>
      </c>
      <c r="D1624" s="32" t="s">
        <v>87</v>
      </c>
      <c r="E16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5" spans="1:6" x14ac:dyDescent="0.35">
      <c r="A1625" s="3">
        <v>34020676674</v>
      </c>
      <c r="B1625" s="3">
        <v>44</v>
      </c>
      <c r="C1625" s="32">
        <v>49155</v>
      </c>
      <c r="D1625" s="32" t="s">
        <v>87</v>
      </c>
      <c r="E16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6" spans="1:6" x14ac:dyDescent="0.35">
      <c r="A1626" s="3">
        <v>75777634915</v>
      </c>
      <c r="B1626" s="3">
        <v>59</v>
      </c>
      <c r="C1626" s="32">
        <v>49155</v>
      </c>
      <c r="D1626" s="32" t="s">
        <v>87</v>
      </c>
      <c r="E16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7" spans="1:6" x14ac:dyDescent="0.35">
      <c r="A1627" s="3">
        <v>86814388679</v>
      </c>
      <c r="B1627" s="3">
        <v>75</v>
      </c>
      <c r="C1627" s="32">
        <v>49155</v>
      </c>
      <c r="D1627" s="32"/>
      <c r="E16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8" spans="1:6" x14ac:dyDescent="0.35">
      <c r="A1628" s="3">
        <v>95098323030</v>
      </c>
      <c r="B1628" s="3">
        <v>84</v>
      </c>
      <c r="C1628" s="32">
        <v>49155</v>
      </c>
      <c r="D1628" s="32" t="s">
        <v>87</v>
      </c>
      <c r="E16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9" spans="1:6" x14ac:dyDescent="0.35">
      <c r="A1629" s="3">
        <v>55056282087</v>
      </c>
      <c r="B1629" s="3">
        <v>110</v>
      </c>
      <c r="C1629" s="32">
        <v>49155</v>
      </c>
      <c r="D1629" s="32"/>
      <c r="E16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30" spans="1:6" x14ac:dyDescent="0.35">
      <c r="A1630" s="3">
        <v>61124179180</v>
      </c>
      <c r="B1630" s="3">
        <v>121</v>
      </c>
      <c r="C1630" s="32">
        <v>49155</v>
      </c>
      <c r="D1630" s="32" t="s">
        <v>87</v>
      </c>
      <c r="E16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31" spans="1:6" x14ac:dyDescent="0.35">
      <c r="A1631" s="3">
        <v>16866542600</v>
      </c>
      <c r="B1631" s="3">
        <v>127</v>
      </c>
      <c r="C1631" s="32">
        <v>49155</v>
      </c>
      <c r="D1631" s="32"/>
      <c r="E16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32" spans="1:6" x14ac:dyDescent="0.35">
      <c r="A1632" s="3">
        <v>56508422179</v>
      </c>
      <c r="B1632" s="3">
        <v>144</v>
      </c>
      <c r="C1632" s="32">
        <v>49155</v>
      </c>
      <c r="D1632" s="32">
        <v>49248</v>
      </c>
      <c r="E16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633" spans="1:6" x14ac:dyDescent="0.35">
      <c r="A1633" s="3">
        <v>12358386817</v>
      </c>
      <c r="B1633" s="3">
        <v>146</v>
      </c>
      <c r="C1633" s="32">
        <v>49155</v>
      </c>
      <c r="D1633" s="32" t="s">
        <v>87</v>
      </c>
      <c r="E16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34" spans="1:6" x14ac:dyDescent="0.35">
      <c r="A1634" s="3">
        <v>96303426211</v>
      </c>
      <c r="B1634" s="3">
        <v>149</v>
      </c>
      <c r="C1634" s="32">
        <v>49155</v>
      </c>
      <c r="D1634" s="32">
        <v>49229</v>
      </c>
      <c r="E16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635" spans="1:6" x14ac:dyDescent="0.35">
      <c r="A1635" s="3">
        <v>59531967148</v>
      </c>
      <c r="B1635" s="3">
        <v>151</v>
      </c>
      <c r="C1635" s="32">
        <v>49155</v>
      </c>
      <c r="D1635" s="32">
        <v>49158</v>
      </c>
      <c r="E16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36" spans="1:6" x14ac:dyDescent="0.35">
      <c r="A1636" s="3">
        <v>34106657166</v>
      </c>
      <c r="B1636" s="3">
        <v>159</v>
      </c>
      <c r="C1636" s="32">
        <v>49155</v>
      </c>
      <c r="D1636" s="32" t="s">
        <v>87</v>
      </c>
      <c r="E16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37" spans="1:6" x14ac:dyDescent="0.35">
      <c r="A1637" s="3">
        <v>88474919767</v>
      </c>
      <c r="B1637" s="3">
        <v>173</v>
      </c>
      <c r="C1637" s="32">
        <v>49155</v>
      </c>
      <c r="D1637" s="32">
        <v>49249</v>
      </c>
      <c r="E16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38" spans="1:6" x14ac:dyDescent="0.35">
      <c r="A1638" s="3">
        <v>76717973116</v>
      </c>
      <c r="B1638" s="3">
        <v>184</v>
      </c>
      <c r="C1638" s="32">
        <v>49155</v>
      </c>
      <c r="D1638" s="32">
        <v>49157</v>
      </c>
      <c r="E16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39" spans="1:6" x14ac:dyDescent="0.35">
      <c r="A1639" s="3">
        <v>12141451894</v>
      </c>
      <c r="B1639" s="3">
        <v>186</v>
      </c>
      <c r="C1639" s="32">
        <v>49155</v>
      </c>
      <c r="D1639" s="32">
        <v>49185</v>
      </c>
      <c r="E16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40" spans="1:6" x14ac:dyDescent="0.35">
      <c r="A1640" s="3">
        <v>28091160060</v>
      </c>
      <c r="B1640" s="3">
        <v>207</v>
      </c>
      <c r="C1640" s="32">
        <v>49155</v>
      </c>
      <c r="D1640" s="32" t="s">
        <v>87</v>
      </c>
      <c r="E16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1" spans="1:6" x14ac:dyDescent="0.35">
      <c r="A1641" s="3">
        <v>38210578453</v>
      </c>
      <c r="B1641" s="3">
        <v>208</v>
      </c>
      <c r="C1641" s="32">
        <v>49155</v>
      </c>
      <c r="D1641" s="32" t="s">
        <v>87</v>
      </c>
      <c r="E16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2" spans="1:6" x14ac:dyDescent="0.35">
      <c r="A1642" s="3">
        <v>97920451787</v>
      </c>
      <c r="B1642" s="3">
        <v>225</v>
      </c>
      <c r="C1642" s="32">
        <v>49155</v>
      </c>
      <c r="D1642" s="32">
        <v>49251</v>
      </c>
      <c r="E16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43" spans="1:6" x14ac:dyDescent="0.35">
      <c r="A1643" s="3">
        <v>81156179282</v>
      </c>
      <c r="B1643" s="3">
        <v>239</v>
      </c>
      <c r="C1643" s="32">
        <v>49155</v>
      </c>
      <c r="D1643" s="32" t="s">
        <v>87</v>
      </c>
      <c r="E16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4" spans="1:6" x14ac:dyDescent="0.35">
      <c r="A1644" s="3">
        <v>19056804870</v>
      </c>
      <c r="B1644" s="3">
        <v>239</v>
      </c>
      <c r="C1644" s="32">
        <v>49155</v>
      </c>
      <c r="D1644" s="32"/>
      <c r="E16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5" spans="1:6" x14ac:dyDescent="0.35">
      <c r="A1645" s="3">
        <v>31091243591</v>
      </c>
      <c r="B1645" s="3">
        <v>255</v>
      </c>
      <c r="C1645" s="32">
        <v>49155</v>
      </c>
      <c r="D1645" s="32" t="s">
        <v>87</v>
      </c>
      <c r="E16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6" spans="1:6" x14ac:dyDescent="0.35">
      <c r="A1646" s="3">
        <v>69256075199</v>
      </c>
      <c r="B1646" s="3">
        <v>270</v>
      </c>
      <c r="C1646" s="32">
        <v>49155</v>
      </c>
      <c r="D1646" s="32">
        <v>49271</v>
      </c>
      <c r="E16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47" spans="1:6" x14ac:dyDescent="0.35">
      <c r="A1647" s="3">
        <v>66727925965</v>
      </c>
      <c r="B1647" s="3">
        <v>286</v>
      </c>
      <c r="C1647" s="32">
        <v>49155</v>
      </c>
      <c r="D1647" s="32" t="s">
        <v>87</v>
      </c>
      <c r="E16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8" spans="1:6" x14ac:dyDescent="0.35">
      <c r="A1648" s="3">
        <v>66218745929</v>
      </c>
      <c r="B1648" s="3">
        <v>298</v>
      </c>
      <c r="C1648" s="32">
        <v>49155</v>
      </c>
      <c r="D1648" s="32" t="s">
        <v>87</v>
      </c>
      <c r="E16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9" spans="1:6" x14ac:dyDescent="0.35">
      <c r="A1649" s="3">
        <v>64463957419</v>
      </c>
      <c r="B1649" s="3">
        <v>301</v>
      </c>
      <c r="C1649" s="32">
        <v>49155</v>
      </c>
      <c r="D1649" s="32" t="s">
        <v>87</v>
      </c>
      <c r="E16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0" spans="1:6" x14ac:dyDescent="0.35">
      <c r="A1650" s="3">
        <v>52367310654</v>
      </c>
      <c r="B1650" s="3">
        <v>302</v>
      </c>
      <c r="C1650" s="32">
        <v>49155</v>
      </c>
      <c r="D1650" s="32"/>
      <c r="E16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1" spans="1:6" x14ac:dyDescent="0.35">
      <c r="A1651" s="3">
        <v>93296187700</v>
      </c>
      <c r="B1651" s="3">
        <v>317</v>
      </c>
      <c r="C1651" s="32">
        <v>49155</v>
      </c>
      <c r="D1651" s="32">
        <v>49172</v>
      </c>
      <c r="E16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52" spans="1:6" x14ac:dyDescent="0.35">
      <c r="A1652" s="3">
        <v>65496378824</v>
      </c>
      <c r="B1652" s="3">
        <v>322</v>
      </c>
      <c r="C1652" s="32">
        <v>49155</v>
      </c>
      <c r="D1652" s="32" t="s">
        <v>87</v>
      </c>
      <c r="E16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3" spans="1:6" x14ac:dyDescent="0.35">
      <c r="A1653" s="3">
        <v>38476929211</v>
      </c>
      <c r="B1653" s="3">
        <v>328</v>
      </c>
      <c r="C1653" s="32">
        <v>49155</v>
      </c>
      <c r="D1653" s="32" t="s">
        <v>87</v>
      </c>
      <c r="E16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4" spans="1:6" x14ac:dyDescent="0.35">
      <c r="A1654" s="3">
        <v>74662333996</v>
      </c>
      <c r="B1654" s="3">
        <v>334</v>
      </c>
      <c r="C1654" s="32">
        <v>49155</v>
      </c>
      <c r="D1654" s="32"/>
      <c r="E16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5" spans="1:6" x14ac:dyDescent="0.35">
      <c r="A1655" s="3">
        <v>21738621719</v>
      </c>
      <c r="B1655" s="3">
        <v>57</v>
      </c>
      <c r="C1655" s="32">
        <v>49156</v>
      </c>
      <c r="D1655" s="32" t="s">
        <v>87</v>
      </c>
      <c r="E16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6" spans="1:6" x14ac:dyDescent="0.35">
      <c r="A1656" s="3">
        <v>87673567845</v>
      </c>
      <c r="B1656" s="3">
        <v>57</v>
      </c>
      <c r="C1656" s="32">
        <v>49156</v>
      </c>
      <c r="D1656" s="32" t="s">
        <v>87</v>
      </c>
      <c r="E16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7" spans="1:6" x14ac:dyDescent="0.35">
      <c r="A1657" s="3">
        <v>13884787596</v>
      </c>
      <c r="B1657" s="3">
        <v>59</v>
      </c>
      <c r="C1657" s="32">
        <v>49156</v>
      </c>
      <c r="D1657" s="32" t="s">
        <v>87</v>
      </c>
      <c r="E16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8" spans="1:6" x14ac:dyDescent="0.35">
      <c r="A1658" s="3">
        <v>90900836845</v>
      </c>
      <c r="B1658" s="3">
        <v>84</v>
      </c>
      <c r="C1658" s="32">
        <v>49156</v>
      </c>
      <c r="D1658" s="32" t="s">
        <v>87</v>
      </c>
      <c r="E16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9" spans="1:6" x14ac:dyDescent="0.35">
      <c r="A1659" s="3">
        <v>29588699548</v>
      </c>
      <c r="B1659" s="3">
        <v>86</v>
      </c>
      <c r="C1659" s="32">
        <v>49156</v>
      </c>
      <c r="D1659" s="32">
        <v>49185</v>
      </c>
      <c r="E16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60" spans="1:6" x14ac:dyDescent="0.35">
      <c r="A1660" s="3">
        <v>38913046091</v>
      </c>
      <c r="B1660" s="3">
        <v>89</v>
      </c>
      <c r="C1660" s="32">
        <v>49156</v>
      </c>
      <c r="D1660" s="32" t="s">
        <v>87</v>
      </c>
      <c r="E16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1" spans="1:6" x14ac:dyDescent="0.35">
      <c r="A1661" s="3">
        <v>44307932403</v>
      </c>
      <c r="B1661" s="3">
        <v>116</v>
      </c>
      <c r="C1661" s="32">
        <v>49156</v>
      </c>
      <c r="D1661" s="32" t="s">
        <v>87</v>
      </c>
      <c r="E16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2" spans="1:6" x14ac:dyDescent="0.35">
      <c r="A1662" s="3">
        <v>55080891550</v>
      </c>
      <c r="B1662" s="3">
        <v>121</v>
      </c>
      <c r="C1662" s="32">
        <v>49156</v>
      </c>
      <c r="D1662" s="32" t="s">
        <v>87</v>
      </c>
      <c r="E16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3" spans="1:6" x14ac:dyDescent="0.35">
      <c r="A1663" s="3">
        <v>80314378521</v>
      </c>
      <c r="B1663" s="3">
        <v>140</v>
      </c>
      <c r="C1663" s="32">
        <v>49156</v>
      </c>
      <c r="D1663" s="32"/>
      <c r="E16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4" spans="1:6" x14ac:dyDescent="0.35">
      <c r="A1664" s="3">
        <v>58369926643</v>
      </c>
      <c r="B1664" s="3">
        <v>141</v>
      </c>
      <c r="C1664" s="32">
        <v>49156</v>
      </c>
      <c r="D1664" s="32" t="s">
        <v>87</v>
      </c>
      <c r="E16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5" spans="1:6" x14ac:dyDescent="0.35">
      <c r="A1665" s="3">
        <v>77760270552</v>
      </c>
      <c r="B1665" s="3">
        <v>178</v>
      </c>
      <c r="C1665" s="32">
        <v>49156</v>
      </c>
      <c r="D1665" s="32" t="s">
        <v>87</v>
      </c>
      <c r="E16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6" spans="1:6" x14ac:dyDescent="0.35">
      <c r="A1666" s="3">
        <v>48958589886</v>
      </c>
      <c r="B1666" s="3">
        <v>185</v>
      </c>
      <c r="C1666" s="32">
        <v>49156</v>
      </c>
      <c r="D1666" s="32" t="s">
        <v>87</v>
      </c>
      <c r="E16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7" spans="1:6" x14ac:dyDescent="0.35">
      <c r="A1667" s="3">
        <v>55765092648</v>
      </c>
      <c r="B1667" s="3">
        <v>187</v>
      </c>
      <c r="C1667" s="32">
        <v>49156</v>
      </c>
      <c r="D1667" s="32" t="s">
        <v>87</v>
      </c>
      <c r="E16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8" spans="1:6" x14ac:dyDescent="0.35">
      <c r="A1668" s="3">
        <v>60495428572</v>
      </c>
      <c r="B1668" s="3">
        <v>225</v>
      </c>
      <c r="C1668" s="32">
        <v>49156</v>
      </c>
      <c r="D1668" s="32" t="s">
        <v>87</v>
      </c>
      <c r="E16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9" spans="1:6" x14ac:dyDescent="0.35">
      <c r="A1669" s="3">
        <v>36276835926</v>
      </c>
      <c r="B1669" s="3">
        <v>247</v>
      </c>
      <c r="C1669" s="32">
        <v>49156</v>
      </c>
      <c r="D1669" s="32"/>
      <c r="E16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0" spans="1:6" x14ac:dyDescent="0.35">
      <c r="A1670" s="3">
        <v>11429735254</v>
      </c>
      <c r="B1670" s="3">
        <v>269</v>
      </c>
      <c r="C1670" s="32">
        <v>49156</v>
      </c>
      <c r="D1670" s="32" t="s">
        <v>87</v>
      </c>
      <c r="E16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1" spans="1:6" x14ac:dyDescent="0.35">
      <c r="A1671" s="3">
        <v>71538551671</v>
      </c>
      <c r="B1671" s="3">
        <v>314</v>
      </c>
      <c r="C1671" s="32">
        <v>49156</v>
      </c>
      <c r="D1671" s="32" t="s">
        <v>87</v>
      </c>
      <c r="E16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2" spans="1:6" x14ac:dyDescent="0.35">
      <c r="A1672" s="3">
        <v>11235423687</v>
      </c>
      <c r="B1672" s="3">
        <v>319</v>
      </c>
      <c r="C1672" s="32">
        <v>49156</v>
      </c>
      <c r="D1672" s="32">
        <v>49236</v>
      </c>
      <c r="E16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673" spans="1:6" x14ac:dyDescent="0.35">
      <c r="A1673" s="3">
        <v>92361561981</v>
      </c>
      <c r="B1673" s="3">
        <v>13</v>
      </c>
      <c r="C1673" s="32">
        <v>49157</v>
      </c>
      <c r="D1673" s="32" t="s">
        <v>87</v>
      </c>
      <c r="E16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4" spans="1:6" x14ac:dyDescent="0.35">
      <c r="A1674" s="3">
        <v>59816584428</v>
      </c>
      <c r="B1674" s="3">
        <v>13</v>
      </c>
      <c r="C1674" s="32">
        <v>49157</v>
      </c>
      <c r="D1674" s="32" t="s">
        <v>87</v>
      </c>
      <c r="E16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5" spans="1:6" x14ac:dyDescent="0.35">
      <c r="A1675" s="3">
        <v>91843653151</v>
      </c>
      <c r="B1675" s="3">
        <v>14</v>
      </c>
      <c r="C1675" s="32">
        <v>49157</v>
      </c>
      <c r="D1675" s="32">
        <v>49203</v>
      </c>
      <c r="E16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676" spans="1:6" x14ac:dyDescent="0.35">
      <c r="A1676" s="3">
        <v>84528103773</v>
      </c>
      <c r="B1676" s="3">
        <v>21</v>
      </c>
      <c r="C1676" s="32">
        <v>49157</v>
      </c>
      <c r="D1676" s="32" t="s">
        <v>87</v>
      </c>
      <c r="E16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7" spans="1:6" x14ac:dyDescent="0.35">
      <c r="A1677" s="3">
        <v>68158996217</v>
      </c>
      <c r="B1677" s="3">
        <v>22</v>
      </c>
      <c r="C1677" s="32">
        <v>49157</v>
      </c>
      <c r="D1677" s="32"/>
      <c r="E16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8" spans="1:6" x14ac:dyDescent="0.35">
      <c r="A1678" s="3">
        <v>43478194132</v>
      </c>
      <c r="B1678" s="3">
        <v>46</v>
      </c>
      <c r="C1678" s="32">
        <v>49157</v>
      </c>
      <c r="D1678" s="32"/>
      <c r="E16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9" spans="1:6" x14ac:dyDescent="0.35">
      <c r="A1679" s="3">
        <v>26431203700</v>
      </c>
      <c r="B1679" s="3">
        <v>81</v>
      </c>
      <c r="C1679" s="32">
        <v>49157</v>
      </c>
      <c r="D1679" s="32" t="s">
        <v>87</v>
      </c>
      <c r="E16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0" spans="1:6" x14ac:dyDescent="0.35">
      <c r="A1680" s="3">
        <v>45778448155</v>
      </c>
      <c r="B1680" s="3">
        <v>97</v>
      </c>
      <c r="C1680" s="32">
        <v>49157</v>
      </c>
      <c r="D1680" s="32" t="s">
        <v>87</v>
      </c>
      <c r="E16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1" spans="1:6" x14ac:dyDescent="0.35">
      <c r="A1681" s="3">
        <v>90153575083</v>
      </c>
      <c r="B1681" s="3">
        <v>113</v>
      </c>
      <c r="C1681" s="32">
        <v>49157</v>
      </c>
      <c r="D1681" s="32" t="s">
        <v>87</v>
      </c>
      <c r="E16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2" spans="1:6" x14ac:dyDescent="0.35">
      <c r="A1682" s="3">
        <v>49113905900</v>
      </c>
      <c r="B1682" s="3">
        <v>127</v>
      </c>
      <c r="C1682" s="32">
        <v>49157</v>
      </c>
      <c r="D1682" s="32">
        <v>49235</v>
      </c>
      <c r="E16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683" spans="1:6" x14ac:dyDescent="0.35">
      <c r="A1683" s="3">
        <v>76151003408</v>
      </c>
      <c r="B1683" s="3">
        <v>138</v>
      </c>
      <c r="C1683" s="32">
        <v>49157</v>
      </c>
      <c r="D1683" s="32" t="s">
        <v>87</v>
      </c>
      <c r="E16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4" spans="1:6" x14ac:dyDescent="0.35">
      <c r="A1684" s="3">
        <v>33793212157</v>
      </c>
      <c r="B1684" s="3">
        <v>155</v>
      </c>
      <c r="C1684" s="32">
        <v>49157</v>
      </c>
      <c r="D1684" s="32" t="s">
        <v>87</v>
      </c>
      <c r="E16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5" spans="1:6" x14ac:dyDescent="0.35">
      <c r="A1685" s="3">
        <v>35147123943</v>
      </c>
      <c r="B1685" s="3">
        <v>157</v>
      </c>
      <c r="C1685" s="32">
        <v>49157</v>
      </c>
      <c r="D1685" s="32" t="s">
        <v>87</v>
      </c>
      <c r="E16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6" spans="1:6" x14ac:dyDescent="0.35">
      <c r="A1686" s="3">
        <v>99079995200</v>
      </c>
      <c r="B1686" s="3">
        <v>166</v>
      </c>
      <c r="C1686" s="32">
        <v>49157</v>
      </c>
      <c r="D1686" s="32"/>
      <c r="E16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7" spans="1:6" x14ac:dyDescent="0.35">
      <c r="A1687" s="3">
        <v>27760122881</v>
      </c>
      <c r="B1687" s="3">
        <v>173</v>
      </c>
      <c r="C1687" s="32">
        <v>49157</v>
      </c>
      <c r="D1687" s="32" t="s">
        <v>87</v>
      </c>
      <c r="E16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8" spans="1:6" x14ac:dyDescent="0.35">
      <c r="A1688" s="3">
        <v>42409794017</v>
      </c>
      <c r="B1688" s="3">
        <v>190</v>
      </c>
      <c r="C1688" s="32">
        <v>49157</v>
      </c>
      <c r="D1688" s="32" t="s">
        <v>87</v>
      </c>
      <c r="E16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9" spans="1:6" x14ac:dyDescent="0.35">
      <c r="A1689" s="3">
        <v>84675849237</v>
      </c>
      <c r="B1689" s="3">
        <v>199</v>
      </c>
      <c r="C1689" s="32">
        <v>49157</v>
      </c>
      <c r="D1689" s="32" t="s">
        <v>87</v>
      </c>
      <c r="E16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0" spans="1:6" x14ac:dyDescent="0.35">
      <c r="A1690" s="3">
        <v>44982428786</v>
      </c>
      <c r="B1690" s="3">
        <v>218</v>
      </c>
      <c r="C1690" s="32">
        <v>49157</v>
      </c>
      <c r="D1690" s="32" t="s">
        <v>87</v>
      </c>
      <c r="E16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1" spans="1:6" x14ac:dyDescent="0.35">
      <c r="A1691" s="3">
        <v>28797944464</v>
      </c>
      <c r="B1691" s="3">
        <v>222</v>
      </c>
      <c r="C1691" s="32">
        <v>49157</v>
      </c>
      <c r="D1691" s="32" t="s">
        <v>87</v>
      </c>
      <c r="E16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2" spans="1:6" x14ac:dyDescent="0.35">
      <c r="A1692" s="3">
        <v>93928028240</v>
      </c>
      <c r="B1692" s="3">
        <v>232</v>
      </c>
      <c r="C1692" s="32">
        <v>49157</v>
      </c>
      <c r="D1692" s="32" t="s">
        <v>87</v>
      </c>
      <c r="E16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3" spans="1:6" x14ac:dyDescent="0.35">
      <c r="A1693" s="3">
        <v>92117815769</v>
      </c>
      <c r="B1693" s="3">
        <v>249</v>
      </c>
      <c r="C1693" s="32">
        <v>49157</v>
      </c>
      <c r="D1693" s="32" t="s">
        <v>87</v>
      </c>
      <c r="E16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4" spans="1:6" x14ac:dyDescent="0.35">
      <c r="A1694" s="3">
        <v>50503541348</v>
      </c>
      <c r="B1694" s="3">
        <v>256</v>
      </c>
      <c r="C1694" s="32">
        <v>49157</v>
      </c>
      <c r="D1694" s="32" t="s">
        <v>87</v>
      </c>
      <c r="E16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5" spans="1:6" x14ac:dyDescent="0.35">
      <c r="A1695" s="3">
        <v>32723448286</v>
      </c>
      <c r="B1695" s="3">
        <v>256</v>
      </c>
      <c r="C1695" s="32">
        <v>49157</v>
      </c>
      <c r="D1695" s="32">
        <v>49159</v>
      </c>
      <c r="E16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96" spans="1:6" x14ac:dyDescent="0.35">
      <c r="A1696" s="3">
        <v>11320705218</v>
      </c>
      <c r="B1696" s="3">
        <v>257</v>
      </c>
      <c r="C1696" s="32">
        <v>49157</v>
      </c>
      <c r="D1696" s="32" t="s">
        <v>87</v>
      </c>
      <c r="E16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7" spans="1:6" x14ac:dyDescent="0.35">
      <c r="A1697" s="3">
        <v>68917008783</v>
      </c>
      <c r="B1697" s="3">
        <v>259</v>
      </c>
      <c r="C1697" s="32">
        <v>49157</v>
      </c>
      <c r="D1697" s="32" t="s">
        <v>87</v>
      </c>
      <c r="E16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8" spans="1:6" x14ac:dyDescent="0.35">
      <c r="A1698" s="3">
        <v>44825446005</v>
      </c>
      <c r="B1698" s="3">
        <v>263</v>
      </c>
      <c r="C1698" s="32">
        <v>49157</v>
      </c>
      <c r="D1698" s="32" t="s">
        <v>87</v>
      </c>
      <c r="E16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9" spans="1:6" x14ac:dyDescent="0.35">
      <c r="A1699" s="3">
        <v>40816200883</v>
      </c>
      <c r="B1699" s="3">
        <v>286</v>
      </c>
      <c r="C1699" s="32">
        <v>49157</v>
      </c>
      <c r="D1699" s="32">
        <v>49229</v>
      </c>
      <c r="E16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00" spans="1:6" x14ac:dyDescent="0.35">
      <c r="A1700" s="3">
        <v>71360708177</v>
      </c>
      <c r="B1700" s="3">
        <v>289</v>
      </c>
      <c r="C1700" s="32">
        <v>49157</v>
      </c>
      <c r="D1700" s="32" t="s">
        <v>87</v>
      </c>
      <c r="E17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1" spans="1:6" x14ac:dyDescent="0.35">
      <c r="A1701" s="3">
        <v>73707685036</v>
      </c>
      <c r="B1701" s="3">
        <v>294</v>
      </c>
      <c r="C1701" s="32">
        <v>49157</v>
      </c>
      <c r="D1701" s="32" t="s">
        <v>87</v>
      </c>
      <c r="E17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2" spans="1:6" x14ac:dyDescent="0.35">
      <c r="A1702" s="3">
        <v>38403060769</v>
      </c>
      <c r="B1702" s="3">
        <v>304</v>
      </c>
      <c r="C1702" s="32">
        <v>49157</v>
      </c>
      <c r="D1702" s="32">
        <v>49184</v>
      </c>
      <c r="E17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703" spans="1:6" x14ac:dyDescent="0.35">
      <c r="A1703" s="3">
        <v>84318595830</v>
      </c>
      <c r="B1703" s="3">
        <v>336</v>
      </c>
      <c r="C1703" s="32">
        <v>49157</v>
      </c>
      <c r="D1703" s="32" t="s">
        <v>87</v>
      </c>
      <c r="E17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4" spans="1:6" x14ac:dyDescent="0.35">
      <c r="A1704" s="3">
        <v>21554017919</v>
      </c>
      <c r="B1704" s="3">
        <v>12</v>
      </c>
      <c r="C1704" s="32">
        <v>49158</v>
      </c>
      <c r="D1704" s="32"/>
      <c r="E17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5" spans="1:6" x14ac:dyDescent="0.35">
      <c r="A1705" s="3">
        <v>58546927512</v>
      </c>
      <c r="B1705" s="3">
        <v>15</v>
      </c>
      <c r="C1705" s="32">
        <v>49158</v>
      </c>
      <c r="D1705" s="32" t="s">
        <v>87</v>
      </c>
      <c r="E17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6" spans="1:6" x14ac:dyDescent="0.35">
      <c r="A1706" s="3">
        <v>45966083166</v>
      </c>
      <c r="B1706" s="3">
        <v>33</v>
      </c>
      <c r="C1706" s="32">
        <v>49158</v>
      </c>
      <c r="D1706" s="32" t="s">
        <v>87</v>
      </c>
      <c r="E17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7" spans="1:6" x14ac:dyDescent="0.35">
      <c r="A1707" s="3">
        <v>54248234642</v>
      </c>
      <c r="B1707" s="3">
        <v>40</v>
      </c>
      <c r="C1707" s="32">
        <v>49158</v>
      </c>
      <c r="D1707" s="32">
        <v>49189</v>
      </c>
      <c r="E17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708" spans="1:6" x14ac:dyDescent="0.35">
      <c r="A1708" s="3">
        <v>43002880400</v>
      </c>
      <c r="B1708" s="3">
        <v>56</v>
      </c>
      <c r="C1708" s="32">
        <v>49158</v>
      </c>
      <c r="D1708" s="32" t="s">
        <v>87</v>
      </c>
      <c r="E17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9" spans="1:6" x14ac:dyDescent="0.35">
      <c r="A1709" s="3">
        <v>66068127427</v>
      </c>
      <c r="B1709" s="3">
        <v>126</v>
      </c>
      <c r="C1709" s="32">
        <v>49158</v>
      </c>
      <c r="D1709" s="32" t="s">
        <v>87</v>
      </c>
      <c r="E17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0" spans="1:6" x14ac:dyDescent="0.35">
      <c r="A1710" s="3">
        <v>61019924283</v>
      </c>
      <c r="B1710" s="3">
        <v>128</v>
      </c>
      <c r="C1710" s="32">
        <v>49158</v>
      </c>
      <c r="D1710" s="32" t="s">
        <v>87</v>
      </c>
      <c r="E17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1" spans="1:6" x14ac:dyDescent="0.35">
      <c r="A1711" s="3">
        <v>32480144448</v>
      </c>
      <c r="B1711" s="3">
        <v>144</v>
      </c>
      <c r="C1711" s="32">
        <v>49158</v>
      </c>
      <c r="D1711" s="32"/>
      <c r="E17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2" spans="1:6" x14ac:dyDescent="0.35">
      <c r="A1712" s="3">
        <v>54159685297</v>
      </c>
      <c r="B1712" s="3">
        <v>152</v>
      </c>
      <c r="C1712" s="32">
        <v>49158</v>
      </c>
      <c r="D1712" s="32"/>
      <c r="E17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3" spans="1:6" x14ac:dyDescent="0.35">
      <c r="A1713" s="3">
        <v>62939475692</v>
      </c>
      <c r="B1713" s="3">
        <v>160</v>
      </c>
      <c r="C1713" s="32">
        <v>49158</v>
      </c>
      <c r="D1713" s="32"/>
      <c r="E17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4" spans="1:6" x14ac:dyDescent="0.35">
      <c r="A1714" s="3">
        <v>51174044261</v>
      </c>
      <c r="B1714" s="3">
        <v>164</v>
      </c>
      <c r="C1714" s="32">
        <v>49158</v>
      </c>
      <c r="D1714" s="32">
        <v>49210</v>
      </c>
      <c r="E17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715" spans="1:6" x14ac:dyDescent="0.35">
      <c r="A1715" s="3">
        <v>79470127798</v>
      </c>
      <c r="B1715" s="3">
        <v>190</v>
      </c>
      <c r="C1715" s="32">
        <v>49158</v>
      </c>
      <c r="D1715" s="32" t="s">
        <v>87</v>
      </c>
      <c r="E17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6" spans="1:6" x14ac:dyDescent="0.35">
      <c r="A1716" s="3">
        <v>71394839565</v>
      </c>
      <c r="B1716" s="3">
        <v>206</v>
      </c>
      <c r="C1716" s="32">
        <v>49158</v>
      </c>
      <c r="D1716" s="32" t="s">
        <v>87</v>
      </c>
      <c r="E17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7" spans="1:6" x14ac:dyDescent="0.35">
      <c r="A1717" s="3">
        <v>43360995493</v>
      </c>
      <c r="B1717" s="3">
        <v>212</v>
      </c>
      <c r="C1717" s="32">
        <v>49158</v>
      </c>
      <c r="D1717" s="32">
        <v>49239</v>
      </c>
      <c r="E17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18" spans="1:6" x14ac:dyDescent="0.35">
      <c r="A1718" s="3">
        <v>43270935845</v>
      </c>
      <c r="B1718" s="3">
        <v>246</v>
      </c>
      <c r="C1718" s="32">
        <v>49158</v>
      </c>
      <c r="D1718" s="32" t="s">
        <v>87</v>
      </c>
      <c r="E17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9" spans="1:6" x14ac:dyDescent="0.35">
      <c r="A1719" s="3">
        <v>83454855229</v>
      </c>
      <c r="B1719" s="3">
        <v>271</v>
      </c>
      <c r="C1719" s="32">
        <v>49158</v>
      </c>
      <c r="D1719" s="32"/>
      <c r="E17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0" spans="1:6" x14ac:dyDescent="0.35">
      <c r="A1720" s="3">
        <v>88122814968</v>
      </c>
      <c r="B1720" s="3">
        <v>274</v>
      </c>
      <c r="C1720" s="32">
        <v>49158</v>
      </c>
      <c r="D1720" s="32" t="s">
        <v>87</v>
      </c>
      <c r="E17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1" spans="1:6" x14ac:dyDescent="0.35">
      <c r="A1721" s="3">
        <v>59054273136</v>
      </c>
      <c r="B1721" s="3">
        <v>323</v>
      </c>
      <c r="C1721" s="32">
        <v>49158</v>
      </c>
      <c r="D1721" s="32" t="s">
        <v>87</v>
      </c>
      <c r="E17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2" spans="1:6" x14ac:dyDescent="0.35">
      <c r="A1722" s="3">
        <v>56051707355</v>
      </c>
      <c r="B1722" s="3">
        <v>329</v>
      </c>
      <c r="C1722" s="32">
        <v>49158</v>
      </c>
      <c r="D1722" s="32">
        <v>49232</v>
      </c>
      <c r="E17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23" spans="1:6" x14ac:dyDescent="0.35">
      <c r="A1723" s="3">
        <v>34603176662</v>
      </c>
      <c r="B1723" s="3">
        <v>34</v>
      </c>
      <c r="C1723" s="32">
        <v>49159</v>
      </c>
      <c r="D1723" s="32"/>
      <c r="E17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4" spans="1:6" x14ac:dyDescent="0.35">
      <c r="A1724" s="3">
        <v>98637002009</v>
      </c>
      <c r="B1724" s="3">
        <v>47</v>
      </c>
      <c r="C1724" s="32">
        <v>49159</v>
      </c>
      <c r="D1724" s="32" t="s">
        <v>87</v>
      </c>
      <c r="E17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5" spans="1:6" x14ac:dyDescent="0.35">
      <c r="A1725" s="3">
        <v>78133245588</v>
      </c>
      <c r="B1725" s="3">
        <v>86</v>
      </c>
      <c r="C1725" s="32">
        <v>49159</v>
      </c>
      <c r="D1725" s="32"/>
      <c r="E17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6" spans="1:6" x14ac:dyDescent="0.35">
      <c r="A1726" s="3">
        <v>58501923477</v>
      </c>
      <c r="B1726" s="3">
        <v>144</v>
      </c>
      <c r="C1726" s="32">
        <v>49159</v>
      </c>
      <c r="D1726" s="32"/>
      <c r="E17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7" spans="1:6" x14ac:dyDescent="0.35">
      <c r="A1727" s="3">
        <v>63381973497</v>
      </c>
      <c r="B1727" s="3">
        <v>146</v>
      </c>
      <c r="C1727" s="32">
        <v>49159</v>
      </c>
      <c r="D1727" s="32" t="s">
        <v>87</v>
      </c>
      <c r="E17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8" spans="1:6" x14ac:dyDescent="0.35">
      <c r="A1728" s="3">
        <v>16919450947</v>
      </c>
      <c r="B1728" s="3">
        <v>148</v>
      </c>
      <c r="C1728" s="32">
        <v>49159</v>
      </c>
      <c r="D1728" s="32" t="s">
        <v>87</v>
      </c>
      <c r="E17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9" spans="1:6" x14ac:dyDescent="0.35">
      <c r="A1729" s="3">
        <v>94205400465</v>
      </c>
      <c r="B1729" s="3">
        <v>195</v>
      </c>
      <c r="C1729" s="32">
        <v>49159</v>
      </c>
      <c r="D1729" s="32" t="s">
        <v>87</v>
      </c>
      <c r="E17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0" spans="1:6" x14ac:dyDescent="0.35">
      <c r="A1730" s="3">
        <v>60451512602</v>
      </c>
      <c r="B1730" s="3">
        <v>205</v>
      </c>
      <c r="C1730" s="32">
        <v>49159</v>
      </c>
      <c r="D1730" s="32" t="s">
        <v>87</v>
      </c>
      <c r="E17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1" spans="1:6" x14ac:dyDescent="0.35">
      <c r="A1731" s="3">
        <v>35060471236</v>
      </c>
      <c r="B1731" s="3">
        <v>244</v>
      </c>
      <c r="C1731" s="32">
        <v>49159</v>
      </c>
      <c r="D1731" s="32">
        <v>49240</v>
      </c>
      <c r="E17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32" spans="1:6" x14ac:dyDescent="0.35">
      <c r="A1732" s="3">
        <v>29409607753</v>
      </c>
      <c r="B1732" s="3">
        <v>254</v>
      </c>
      <c r="C1732" s="32">
        <v>49159</v>
      </c>
      <c r="D1732" s="32" t="s">
        <v>87</v>
      </c>
      <c r="E17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3" spans="1:6" x14ac:dyDescent="0.35">
      <c r="A1733" s="3">
        <v>42928515875</v>
      </c>
      <c r="B1733" s="3">
        <v>276</v>
      </c>
      <c r="C1733" s="32">
        <v>49159</v>
      </c>
      <c r="D1733" s="32" t="s">
        <v>87</v>
      </c>
      <c r="E17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4" spans="1:6" x14ac:dyDescent="0.35">
      <c r="A1734" s="3">
        <v>32242793034</v>
      </c>
      <c r="B1734" s="3">
        <v>288</v>
      </c>
      <c r="C1734" s="32">
        <v>49159</v>
      </c>
      <c r="D1734" s="32" t="s">
        <v>87</v>
      </c>
      <c r="E17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5" spans="1:6" x14ac:dyDescent="0.35">
      <c r="A1735" s="3">
        <v>33033794001</v>
      </c>
      <c r="B1735" s="3">
        <v>304</v>
      </c>
      <c r="C1735" s="32">
        <v>49159</v>
      </c>
      <c r="D1735" s="32">
        <v>49230</v>
      </c>
      <c r="E17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36" spans="1:6" x14ac:dyDescent="0.35">
      <c r="A1736" s="3">
        <v>24098734101</v>
      </c>
      <c r="B1736" s="3">
        <v>316</v>
      </c>
      <c r="C1736" s="32">
        <v>49159</v>
      </c>
      <c r="D1736" s="32" t="s">
        <v>87</v>
      </c>
      <c r="E17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7" spans="1:6" x14ac:dyDescent="0.35">
      <c r="A1737" s="3">
        <v>31321233839</v>
      </c>
      <c r="B1737" s="3">
        <v>331</v>
      </c>
      <c r="C1737" s="32">
        <v>49159</v>
      </c>
      <c r="D1737" s="32" t="s">
        <v>87</v>
      </c>
      <c r="E17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8" spans="1:6" x14ac:dyDescent="0.35">
      <c r="A1738" s="3">
        <v>78739435644</v>
      </c>
      <c r="B1738" s="3">
        <v>333</v>
      </c>
      <c r="C1738" s="32">
        <v>49159</v>
      </c>
      <c r="D1738" s="32" t="s">
        <v>87</v>
      </c>
      <c r="E17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9" spans="1:6" x14ac:dyDescent="0.35">
      <c r="A1739" s="3">
        <v>36489193175</v>
      </c>
      <c r="B1739" s="3">
        <v>33</v>
      </c>
      <c r="C1739" s="32">
        <v>49160</v>
      </c>
      <c r="D1739" s="32" t="s">
        <v>87</v>
      </c>
      <c r="E17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0" spans="1:6" x14ac:dyDescent="0.35">
      <c r="A1740" s="3">
        <v>83120095945</v>
      </c>
      <c r="B1740" s="3">
        <v>47</v>
      </c>
      <c r="C1740" s="32">
        <v>49160</v>
      </c>
      <c r="D1740" s="32"/>
      <c r="E17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1" spans="1:6" x14ac:dyDescent="0.35">
      <c r="A1741" s="3">
        <v>97612597558</v>
      </c>
      <c r="B1741" s="3">
        <v>62</v>
      </c>
      <c r="C1741" s="32">
        <v>49160</v>
      </c>
      <c r="D1741" s="32"/>
      <c r="E17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2" spans="1:6" x14ac:dyDescent="0.35">
      <c r="A1742" s="3">
        <v>96165690155</v>
      </c>
      <c r="B1742" s="3">
        <v>107</v>
      </c>
      <c r="C1742" s="32">
        <v>49160</v>
      </c>
      <c r="D1742" s="32" t="s">
        <v>87</v>
      </c>
      <c r="E17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3" spans="1:6" x14ac:dyDescent="0.35">
      <c r="A1743" s="3">
        <v>70055981916</v>
      </c>
      <c r="B1743" s="3">
        <v>131</v>
      </c>
      <c r="C1743" s="32">
        <v>49160</v>
      </c>
      <c r="D1743" s="32" t="s">
        <v>87</v>
      </c>
      <c r="E17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4" spans="1:6" x14ac:dyDescent="0.35">
      <c r="A1744" s="3">
        <v>80288337566</v>
      </c>
      <c r="B1744" s="3">
        <v>152</v>
      </c>
      <c r="C1744" s="32">
        <v>49160</v>
      </c>
      <c r="D1744" s="32">
        <v>49264</v>
      </c>
      <c r="E17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745" spans="1:6" x14ac:dyDescent="0.35">
      <c r="A1745" s="3">
        <v>29932728051</v>
      </c>
      <c r="B1745" s="3">
        <v>158</v>
      </c>
      <c r="C1745" s="32">
        <v>49160</v>
      </c>
      <c r="D1745" s="32"/>
      <c r="E17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6" spans="1:6" x14ac:dyDescent="0.35">
      <c r="A1746" s="3">
        <v>70622756239</v>
      </c>
      <c r="B1746" s="3">
        <v>202</v>
      </c>
      <c r="C1746" s="32">
        <v>49160</v>
      </c>
      <c r="D1746" s="32" t="s">
        <v>87</v>
      </c>
      <c r="E17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7" spans="1:6" x14ac:dyDescent="0.35">
      <c r="A1747" s="3">
        <v>77185146588</v>
      </c>
      <c r="B1747" s="3">
        <v>207</v>
      </c>
      <c r="C1747" s="32">
        <v>49160</v>
      </c>
      <c r="D1747" s="32" t="s">
        <v>87</v>
      </c>
      <c r="E17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8" spans="1:6" x14ac:dyDescent="0.35">
      <c r="A1748" s="3">
        <v>65707000952</v>
      </c>
      <c r="B1748" s="3">
        <v>208</v>
      </c>
      <c r="C1748" s="32">
        <v>49160</v>
      </c>
      <c r="D1748" s="32" t="s">
        <v>87</v>
      </c>
      <c r="E17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9" spans="1:6" x14ac:dyDescent="0.35">
      <c r="A1749" s="3">
        <v>94075834088</v>
      </c>
      <c r="B1749" s="3">
        <v>230</v>
      </c>
      <c r="C1749" s="32">
        <v>49160</v>
      </c>
      <c r="D1749" s="32" t="s">
        <v>87</v>
      </c>
      <c r="E17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0" spans="1:6" x14ac:dyDescent="0.35">
      <c r="A1750" s="3">
        <v>81292396193</v>
      </c>
      <c r="B1750" s="3">
        <v>240</v>
      </c>
      <c r="C1750" s="32">
        <v>49160</v>
      </c>
      <c r="D1750" s="32" t="s">
        <v>87</v>
      </c>
      <c r="E17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1" spans="1:6" x14ac:dyDescent="0.35">
      <c r="A1751" s="3">
        <v>89850406464</v>
      </c>
      <c r="B1751" s="3">
        <v>242</v>
      </c>
      <c r="C1751" s="32">
        <v>49160</v>
      </c>
      <c r="D1751" s="32">
        <v>49280</v>
      </c>
      <c r="E17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752" spans="1:6" x14ac:dyDescent="0.35">
      <c r="A1752" s="3">
        <v>90626995973</v>
      </c>
      <c r="B1752" s="3">
        <v>316</v>
      </c>
      <c r="C1752" s="32">
        <v>49160</v>
      </c>
      <c r="D1752" s="32" t="s">
        <v>87</v>
      </c>
      <c r="E17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3" spans="1:6" x14ac:dyDescent="0.35">
      <c r="A1753" s="3">
        <v>60219641224</v>
      </c>
      <c r="B1753" s="3">
        <v>14</v>
      </c>
      <c r="C1753" s="32">
        <v>49161</v>
      </c>
      <c r="D1753" s="32">
        <v>49214</v>
      </c>
      <c r="E17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754" spans="1:6" x14ac:dyDescent="0.35">
      <c r="A1754" s="3">
        <v>37001072094</v>
      </c>
      <c r="B1754" s="3">
        <v>17</v>
      </c>
      <c r="C1754" s="32">
        <v>49161</v>
      </c>
      <c r="D1754" s="32" t="s">
        <v>87</v>
      </c>
      <c r="E17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5" spans="1:6" x14ac:dyDescent="0.35">
      <c r="A1755" s="3">
        <v>54005198397</v>
      </c>
      <c r="B1755" s="3">
        <v>38</v>
      </c>
      <c r="C1755" s="32">
        <v>49161</v>
      </c>
      <c r="D1755" s="32" t="s">
        <v>87</v>
      </c>
      <c r="E17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6" spans="1:6" x14ac:dyDescent="0.35">
      <c r="A1756" s="3">
        <v>51068080788</v>
      </c>
      <c r="B1756" s="3">
        <v>41</v>
      </c>
      <c r="C1756" s="32">
        <v>49161</v>
      </c>
      <c r="D1756" s="32" t="s">
        <v>87</v>
      </c>
      <c r="E17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7" spans="1:6" x14ac:dyDescent="0.35">
      <c r="A1757" s="3">
        <v>50610107072</v>
      </c>
      <c r="B1757" s="3">
        <v>58</v>
      </c>
      <c r="C1757" s="32">
        <v>49161</v>
      </c>
      <c r="D1757" s="32" t="s">
        <v>87</v>
      </c>
      <c r="E17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8" spans="1:6" x14ac:dyDescent="0.35">
      <c r="A1758" s="3">
        <v>42886351727</v>
      </c>
      <c r="B1758" s="3">
        <v>64</v>
      </c>
      <c r="C1758" s="32">
        <v>49161</v>
      </c>
      <c r="D1758" s="32" t="s">
        <v>87</v>
      </c>
      <c r="E17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9" spans="1:6" x14ac:dyDescent="0.35">
      <c r="A1759" s="3">
        <v>16933277417</v>
      </c>
      <c r="B1759" s="3">
        <v>64</v>
      </c>
      <c r="C1759" s="32">
        <v>49161</v>
      </c>
      <c r="D1759" s="32" t="s">
        <v>87</v>
      </c>
      <c r="E17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0" spans="1:6" x14ac:dyDescent="0.35">
      <c r="A1760" s="3">
        <v>20789536931</v>
      </c>
      <c r="B1760" s="3">
        <v>69</v>
      </c>
      <c r="C1760" s="32">
        <v>49161</v>
      </c>
      <c r="D1760" s="32">
        <v>49162</v>
      </c>
      <c r="E17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761" spans="1:6" x14ac:dyDescent="0.35">
      <c r="A1761" s="3">
        <v>76599422903</v>
      </c>
      <c r="B1761" s="3">
        <v>84</v>
      </c>
      <c r="C1761" s="32">
        <v>49161</v>
      </c>
      <c r="D1761" s="32"/>
      <c r="E17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2" spans="1:6" x14ac:dyDescent="0.35">
      <c r="A1762" s="3">
        <v>87413795240</v>
      </c>
      <c r="B1762" s="3">
        <v>118</v>
      </c>
      <c r="C1762" s="32">
        <v>49161</v>
      </c>
      <c r="D1762" s="32"/>
      <c r="E17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3" spans="1:6" x14ac:dyDescent="0.35">
      <c r="A1763" s="3">
        <v>20270821641</v>
      </c>
      <c r="B1763" s="3">
        <v>149</v>
      </c>
      <c r="C1763" s="32">
        <v>49161</v>
      </c>
      <c r="D1763" s="32">
        <v>49198</v>
      </c>
      <c r="E17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764" spans="1:6" x14ac:dyDescent="0.35">
      <c r="A1764" s="3">
        <v>76743173510</v>
      </c>
      <c r="B1764" s="3">
        <v>165</v>
      </c>
      <c r="C1764" s="32">
        <v>49161</v>
      </c>
      <c r="D1764" s="32" t="s">
        <v>87</v>
      </c>
      <c r="E17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5" spans="1:6" x14ac:dyDescent="0.35">
      <c r="A1765" s="3">
        <v>84296347950</v>
      </c>
      <c r="B1765" s="3">
        <v>190</v>
      </c>
      <c r="C1765" s="32">
        <v>49161</v>
      </c>
      <c r="D1765" s="32" t="s">
        <v>87</v>
      </c>
      <c r="E17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6" spans="1:6" x14ac:dyDescent="0.35">
      <c r="A1766" s="3">
        <v>94491093736</v>
      </c>
      <c r="B1766" s="3">
        <v>200</v>
      </c>
      <c r="C1766" s="32">
        <v>49161</v>
      </c>
      <c r="D1766" s="32" t="s">
        <v>87</v>
      </c>
      <c r="E17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7" spans="1:6" x14ac:dyDescent="0.35">
      <c r="A1767" s="3">
        <v>56799038383</v>
      </c>
      <c r="B1767" s="3">
        <v>200</v>
      </c>
      <c r="C1767" s="32">
        <v>49161</v>
      </c>
      <c r="D1767" s="32"/>
      <c r="E17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8" spans="1:6" x14ac:dyDescent="0.35">
      <c r="A1768" s="3">
        <v>39230156270</v>
      </c>
      <c r="B1768" s="3">
        <v>201</v>
      </c>
      <c r="C1768" s="32">
        <v>49161</v>
      </c>
      <c r="D1768" s="32" t="s">
        <v>87</v>
      </c>
      <c r="E17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9" spans="1:6" x14ac:dyDescent="0.35">
      <c r="A1769" s="3">
        <v>43020745504</v>
      </c>
      <c r="B1769" s="3">
        <v>205</v>
      </c>
      <c r="C1769" s="32">
        <v>49161</v>
      </c>
      <c r="D1769" s="32" t="s">
        <v>87</v>
      </c>
      <c r="E17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0" spans="1:6" x14ac:dyDescent="0.35">
      <c r="A1770" s="3">
        <v>96172892477</v>
      </c>
      <c r="B1770" s="3">
        <v>214</v>
      </c>
      <c r="C1770" s="32">
        <v>49161</v>
      </c>
      <c r="D1770" s="32" t="s">
        <v>87</v>
      </c>
      <c r="E17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1" spans="1:6" x14ac:dyDescent="0.35">
      <c r="A1771" s="3">
        <v>43048616534</v>
      </c>
      <c r="B1771" s="3">
        <v>220</v>
      </c>
      <c r="C1771" s="32">
        <v>49161</v>
      </c>
      <c r="D1771" s="32" t="s">
        <v>87</v>
      </c>
      <c r="E17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2" spans="1:6" x14ac:dyDescent="0.35">
      <c r="A1772" s="3">
        <v>43214180428</v>
      </c>
      <c r="B1772" s="3">
        <v>233</v>
      </c>
      <c r="C1772" s="32">
        <v>49161</v>
      </c>
      <c r="D1772" s="32"/>
      <c r="E17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3" spans="1:6" x14ac:dyDescent="0.35">
      <c r="A1773" s="3">
        <v>31106429386</v>
      </c>
      <c r="B1773" s="3">
        <v>234</v>
      </c>
      <c r="C1773" s="32">
        <v>49161</v>
      </c>
      <c r="D1773" s="32" t="s">
        <v>87</v>
      </c>
      <c r="E17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4" spans="1:6" x14ac:dyDescent="0.35">
      <c r="A1774" s="3">
        <v>55534977201</v>
      </c>
      <c r="B1774" s="3">
        <v>238</v>
      </c>
      <c r="C1774" s="32">
        <v>49161</v>
      </c>
      <c r="D1774" s="32" t="s">
        <v>87</v>
      </c>
      <c r="E17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5" spans="1:6" x14ac:dyDescent="0.35">
      <c r="A1775" s="3">
        <v>19761634123</v>
      </c>
      <c r="B1775" s="3">
        <v>251</v>
      </c>
      <c r="C1775" s="32">
        <v>49161</v>
      </c>
      <c r="D1775" s="32" t="s">
        <v>87</v>
      </c>
      <c r="E17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6" spans="1:6" x14ac:dyDescent="0.35">
      <c r="A1776" s="3">
        <v>70803680998</v>
      </c>
      <c r="B1776" s="3">
        <v>276</v>
      </c>
      <c r="C1776" s="32">
        <v>49161</v>
      </c>
      <c r="D1776" s="32">
        <v>49252</v>
      </c>
      <c r="E17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777" spans="1:6" x14ac:dyDescent="0.35">
      <c r="A1777" s="3">
        <v>54486107158</v>
      </c>
      <c r="B1777" s="3">
        <v>294</v>
      </c>
      <c r="C1777" s="32">
        <v>49161</v>
      </c>
      <c r="D1777" s="32" t="s">
        <v>87</v>
      </c>
      <c r="E17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8" spans="1:6" x14ac:dyDescent="0.35">
      <c r="A1778" s="3">
        <v>85505686006</v>
      </c>
      <c r="B1778" s="3">
        <v>311</v>
      </c>
      <c r="C1778" s="32">
        <v>49161</v>
      </c>
      <c r="D1778" s="32" t="s">
        <v>87</v>
      </c>
      <c r="E17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9" spans="1:6" x14ac:dyDescent="0.35">
      <c r="A1779" s="3">
        <v>30541245196</v>
      </c>
      <c r="B1779" s="3">
        <v>338</v>
      </c>
      <c r="C1779" s="32">
        <v>49161</v>
      </c>
      <c r="D1779" s="32">
        <v>49222</v>
      </c>
      <c r="E17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80" spans="1:6" x14ac:dyDescent="0.35">
      <c r="A1780" s="3">
        <v>90404149800</v>
      </c>
      <c r="B1780" s="3">
        <v>8</v>
      </c>
      <c r="C1780" s="32">
        <v>49162</v>
      </c>
      <c r="D1780" s="32" t="s">
        <v>87</v>
      </c>
      <c r="E17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1" spans="1:6" x14ac:dyDescent="0.35">
      <c r="A1781" s="3">
        <v>52207982576</v>
      </c>
      <c r="B1781" s="3">
        <v>16</v>
      </c>
      <c r="C1781" s="32">
        <v>49162</v>
      </c>
      <c r="D1781" s="32"/>
      <c r="E17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2" spans="1:6" x14ac:dyDescent="0.35">
      <c r="A1782" s="3">
        <v>84423535063</v>
      </c>
      <c r="B1782" s="3">
        <v>19</v>
      </c>
      <c r="C1782" s="32">
        <v>49162</v>
      </c>
      <c r="D1782" s="32" t="s">
        <v>87</v>
      </c>
      <c r="E17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3" spans="1:6" x14ac:dyDescent="0.35">
      <c r="A1783" s="3">
        <v>48324100936</v>
      </c>
      <c r="B1783" s="3">
        <v>23</v>
      </c>
      <c r="C1783" s="32">
        <v>49162</v>
      </c>
      <c r="D1783" s="32" t="s">
        <v>87</v>
      </c>
      <c r="E17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4" spans="1:6" x14ac:dyDescent="0.35">
      <c r="A1784" s="3">
        <v>99727638662</v>
      </c>
      <c r="B1784" s="3">
        <v>36</v>
      </c>
      <c r="C1784" s="32">
        <v>49162</v>
      </c>
      <c r="D1784" s="32" t="s">
        <v>87</v>
      </c>
      <c r="E17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5" spans="1:6" x14ac:dyDescent="0.35">
      <c r="A1785" s="3">
        <v>57186355912</v>
      </c>
      <c r="B1785" s="3">
        <v>46</v>
      </c>
      <c r="C1785" s="32">
        <v>49162</v>
      </c>
      <c r="D1785" s="32" t="s">
        <v>87</v>
      </c>
      <c r="E17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6" spans="1:6" x14ac:dyDescent="0.35">
      <c r="A1786" s="3">
        <v>29317621936</v>
      </c>
      <c r="B1786" s="3">
        <v>47</v>
      </c>
      <c r="C1786" s="32">
        <v>49162</v>
      </c>
      <c r="D1786" s="32" t="s">
        <v>87</v>
      </c>
      <c r="E17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7" spans="1:6" x14ac:dyDescent="0.35">
      <c r="A1787" s="3">
        <v>34534163795</v>
      </c>
      <c r="B1787" s="3">
        <v>105</v>
      </c>
      <c r="C1787" s="32">
        <v>49162</v>
      </c>
      <c r="D1787" s="32">
        <v>49220</v>
      </c>
      <c r="E17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88" spans="1:6" x14ac:dyDescent="0.35">
      <c r="A1788" s="3">
        <v>39197055728</v>
      </c>
      <c r="B1788" s="3">
        <v>111</v>
      </c>
      <c r="C1788" s="32">
        <v>49162</v>
      </c>
      <c r="D1788" s="32" t="s">
        <v>87</v>
      </c>
      <c r="E17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9" spans="1:6" x14ac:dyDescent="0.35">
      <c r="A1789" s="3">
        <v>62509010423</v>
      </c>
      <c r="B1789" s="3">
        <v>115</v>
      </c>
      <c r="C1789" s="32">
        <v>49162</v>
      </c>
      <c r="D1789" s="32" t="s">
        <v>87</v>
      </c>
      <c r="E17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0" spans="1:6" x14ac:dyDescent="0.35">
      <c r="A1790" s="3">
        <v>50648553298</v>
      </c>
      <c r="B1790" s="3">
        <v>123</v>
      </c>
      <c r="C1790" s="32">
        <v>49162</v>
      </c>
      <c r="D1790" s="32" t="s">
        <v>87</v>
      </c>
      <c r="E17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1" spans="1:6" x14ac:dyDescent="0.35">
      <c r="A1791" s="3">
        <v>98628367034</v>
      </c>
      <c r="B1791" s="3">
        <v>135</v>
      </c>
      <c r="C1791" s="32">
        <v>49162</v>
      </c>
      <c r="D1791" s="32" t="s">
        <v>87</v>
      </c>
      <c r="E17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2" spans="1:6" x14ac:dyDescent="0.35">
      <c r="A1792" s="3">
        <v>82963969778</v>
      </c>
      <c r="B1792" s="3">
        <v>151</v>
      </c>
      <c r="C1792" s="32">
        <v>49162</v>
      </c>
      <c r="D1792" s="32" t="s">
        <v>87</v>
      </c>
      <c r="E17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3" spans="1:6" x14ac:dyDescent="0.35">
      <c r="A1793" s="3">
        <v>48799942531</v>
      </c>
      <c r="B1793" s="3">
        <v>178</v>
      </c>
      <c r="C1793" s="32">
        <v>49162</v>
      </c>
      <c r="D1793" s="32" t="s">
        <v>87</v>
      </c>
      <c r="E17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4" spans="1:6" x14ac:dyDescent="0.35">
      <c r="A1794" s="3">
        <v>80684049499</v>
      </c>
      <c r="B1794" s="3">
        <v>185</v>
      </c>
      <c r="C1794" s="32">
        <v>49162</v>
      </c>
      <c r="D1794" s="32" t="s">
        <v>87</v>
      </c>
      <c r="E17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5" spans="1:6" x14ac:dyDescent="0.35">
      <c r="A1795" s="3">
        <v>44333130078</v>
      </c>
      <c r="B1795" s="3">
        <v>213</v>
      </c>
      <c r="C1795" s="32">
        <v>49162</v>
      </c>
      <c r="D1795" s="32" t="s">
        <v>87</v>
      </c>
      <c r="E17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6" spans="1:6" x14ac:dyDescent="0.35">
      <c r="A1796" s="3">
        <v>23961115690</v>
      </c>
      <c r="B1796" s="3">
        <v>230</v>
      </c>
      <c r="C1796" s="32">
        <v>49162</v>
      </c>
      <c r="D1796" s="32" t="s">
        <v>87</v>
      </c>
      <c r="E17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7" spans="1:6" x14ac:dyDescent="0.35">
      <c r="A1797" s="3">
        <v>76907593219</v>
      </c>
      <c r="B1797" s="3">
        <v>242</v>
      </c>
      <c r="C1797" s="32">
        <v>49162</v>
      </c>
      <c r="D1797" s="32" t="s">
        <v>87</v>
      </c>
      <c r="E17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8" spans="1:6" x14ac:dyDescent="0.35">
      <c r="A1798" s="3">
        <v>67608245481</v>
      </c>
      <c r="B1798" s="3">
        <v>253</v>
      </c>
      <c r="C1798" s="32">
        <v>49162</v>
      </c>
      <c r="D1798" s="32">
        <v>49194</v>
      </c>
      <c r="E17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799" spans="1:6" x14ac:dyDescent="0.35">
      <c r="A1799" s="3">
        <v>70360784043</v>
      </c>
      <c r="B1799" s="3">
        <v>259</v>
      </c>
      <c r="C1799" s="32">
        <v>49162</v>
      </c>
      <c r="D1799" s="32" t="s">
        <v>87</v>
      </c>
      <c r="E17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0" spans="1:6" x14ac:dyDescent="0.35">
      <c r="A1800" s="3">
        <v>23599653324</v>
      </c>
      <c r="B1800" s="3">
        <v>282</v>
      </c>
      <c r="C1800" s="32">
        <v>49162</v>
      </c>
      <c r="D1800" s="32">
        <v>49180</v>
      </c>
      <c r="E18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01" spans="1:6" x14ac:dyDescent="0.35">
      <c r="A1801" s="3">
        <v>24116123261</v>
      </c>
      <c r="B1801" s="3">
        <v>289</v>
      </c>
      <c r="C1801" s="32">
        <v>49162</v>
      </c>
      <c r="D1801" s="32"/>
      <c r="E18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2" spans="1:6" x14ac:dyDescent="0.35">
      <c r="A1802" s="3">
        <v>61008671853</v>
      </c>
      <c r="B1802" s="3">
        <v>316</v>
      </c>
      <c r="C1802" s="32">
        <v>49162</v>
      </c>
      <c r="D1802" s="32" t="s">
        <v>87</v>
      </c>
      <c r="E18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3" spans="1:6" x14ac:dyDescent="0.35">
      <c r="A1803" s="3">
        <v>47180208242</v>
      </c>
      <c r="B1803" s="3">
        <v>325</v>
      </c>
      <c r="C1803" s="32">
        <v>49162</v>
      </c>
      <c r="D1803" s="32" t="s">
        <v>87</v>
      </c>
      <c r="E18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4" spans="1:6" x14ac:dyDescent="0.35">
      <c r="A1804" s="3">
        <v>89115803525</v>
      </c>
      <c r="B1804" s="3">
        <v>22</v>
      </c>
      <c r="C1804" s="32">
        <v>49163</v>
      </c>
      <c r="D1804" s="32">
        <v>49181</v>
      </c>
      <c r="E18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05" spans="1:6" x14ac:dyDescent="0.35">
      <c r="A1805" s="3">
        <v>60413949604</v>
      </c>
      <c r="B1805" s="3">
        <v>50</v>
      </c>
      <c r="C1805" s="32">
        <v>49163</v>
      </c>
      <c r="D1805" s="32">
        <v>49178</v>
      </c>
      <c r="E18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06" spans="1:6" x14ac:dyDescent="0.35">
      <c r="A1806" s="3">
        <v>76095825632</v>
      </c>
      <c r="B1806" s="3">
        <v>56</v>
      </c>
      <c r="C1806" s="32">
        <v>49163</v>
      </c>
      <c r="D1806" s="32" t="s">
        <v>87</v>
      </c>
      <c r="E18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7" spans="1:6" x14ac:dyDescent="0.35">
      <c r="A1807" s="3">
        <v>90885946417</v>
      </c>
      <c r="B1807" s="3">
        <v>93</v>
      </c>
      <c r="C1807" s="32">
        <v>49163</v>
      </c>
      <c r="D1807" s="32" t="s">
        <v>87</v>
      </c>
      <c r="E18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8" spans="1:6" x14ac:dyDescent="0.35">
      <c r="A1808" s="3">
        <v>13073504413</v>
      </c>
      <c r="B1808" s="3">
        <v>95</v>
      </c>
      <c r="C1808" s="32">
        <v>49163</v>
      </c>
      <c r="D1808" s="32" t="s">
        <v>87</v>
      </c>
      <c r="E18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9" spans="1:6" x14ac:dyDescent="0.35">
      <c r="A1809" s="3">
        <v>85565411013</v>
      </c>
      <c r="B1809" s="3">
        <v>105</v>
      </c>
      <c r="C1809" s="32">
        <v>49163</v>
      </c>
      <c r="D1809" s="32" t="s">
        <v>87</v>
      </c>
      <c r="E18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0" spans="1:6" x14ac:dyDescent="0.35">
      <c r="A1810" s="3">
        <v>26870047993</v>
      </c>
      <c r="B1810" s="3">
        <v>114</v>
      </c>
      <c r="C1810" s="32">
        <v>49163</v>
      </c>
      <c r="D1810" s="32"/>
      <c r="E18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1" spans="1:6" x14ac:dyDescent="0.35">
      <c r="A1811" s="3">
        <v>77038818208</v>
      </c>
      <c r="B1811" s="3">
        <v>120</v>
      </c>
      <c r="C1811" s="32">
        <v>49163</v>
      </c>
      <c r="D1811" s="32"/>
      <c r="E18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2" spans="1:6" x14ac:dyDescent="0.35">
      <c r="A1812" s="3">
        <v>38625186922</v>
      </c>
      <c r="B1812" s="3">
        <v>128</v>
      </c>
      <c r="C1812" s="32">
        <v>49163</v>
      </c>
      <c r="D1812" s="32" t="s">
        <v>87</v>
      </c>
      <c r="E18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3" spans="1:6" x14ac:dyDescent="0.35">
      <c r="A1813" s="3">
        <v>86330646325</v>
      </c>
      <c r="B1813" s="3">
        <v>141</v>
      </c>
      <c r="C1813" s="32">
        <v>49163</v>
      </c>
      <c r="D1813" s="32" t="s">
        <v>87</v>
      </c>
      <c r="E18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4" spans="1:6" x14ac:dyDescent="0.35">
      <c r="A1814" s="3">
        <v>37913741268</v>
      </c>
      <c r="B1814" s="3">
        <v>144</v>
      </c>
      <c r="C1814" s="32">
        <v>49163</v>
      </c>
      <c r="D1814" s="32">
        <v>49263</v>
      </c>
      <c r="E18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815" spans="1:6" x14ac:dyDescent="0.35">
      <c r="A1815" s="3">
        <v>50039265775</v>
      </c>
      <c r="B1815" s="3">
        <v>153</v>
      </c>
      <c r="C1815" s="32">
        <v>49163</v>
      </c>
      <c r="D1815" s="32" t="s">
        <v>87</v>
      </c>
      <c r="E18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6" spans="1:6" x14ac:dyDescent="0.35">
      <c r="A1816" s="3">
        <v>51735025683</v>
      </c>
      <c r="B1816" s="3">
        <v>170</v>
      </c>
      <c r="C1816" s="32">
        <v>49163</v>
      </c>
      <c r="D1816" s="32" t="s">
        <v>87</v>
      </c>
      <c r="E18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7" spans="1:6" x14ac:dyDescent="0.35">
      <c r="A1817" s="3">
        <v>16108636223</v>
      </c>
      <c r="B1817" s="3">
        <v>181</v>
      </c>
      <c r="C1817" s="32">
        <v>49163</v>
      </c>
      <c r="D1817" s="32" t="s">
        <v>87</v>
      </c>
      <c r="E18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8" spans="1:6" x14ac:dyDescent="0.35">
      <c r="A1818" s="3">
        <v>26996583633</v>
      </c>
      <c r="B1818" s="3">
        <v>186</v>
      </c>
      <c r="C1818" s="32">
        <v>49163</v>
      </c>
      <c r="D1818" s="32"/>
      <c r="E18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9" spans="1:6" x14ac:dyDescent="0.35">
      <c r="A1819" s="3">
        <v>51394234580</v>
      </c>
      <c r="B1819" s="3">
        <v>187</v>
      </c>
      <c r="C1819" s="32">
        <v>49163</v>
      </c>
      <c r="D1819" s="32" t="s">
        <v>87</v>
      </c>
      <c r="E18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20" spans="1:6" x14ac:dyDescent="0.35">
      <c r="A1820" s="3">
        <v>36250900182</v>
      </c>
      <c r="B1820" s="3">
        <v>195</v>
      </c>
      <c r="C1820" s="32">
        <v>49163</v>
      </c>
      <c r="D1820" s="32">
        <v>49279</v>
      </c>
      <c r="E18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821" spans="1:6" x14ac:dyDescent="0.35">
      <c r="A1821" s="3">
        <v>57956876074</v>
      </c>
      <c r="B1821" s="3">
        <v>199</v>
      </c>
      <c r="C1821" s="32">
        <v>49163</v>
      </c>
      <c r="D1821" s="32"/>
      <c r="E18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22" spans="1:6" x14ac:dyDescent="0.35">
      <c r="A1822" s="3">
        <v>18308693109</v>
      </c>
      <c r="B1822" s="3">
        <v>202</v>
      </c>
      <c r="C1822" s="32">
        <v>49163</v>
      </c>
      <c r="D1822" s="32">
        <v>49198</v>
      </c>
      <c r="E18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23" spans="1:6" x14ac:dyDescent="0.35">
      <c r="A1823" s="3">
        <v>85023887032</v>
      </c>
      <c r="B1823" s="3">
        <v>221</v>
      </c>
      <c r="C1823" s="32">
        <v>49163</v>
      </c>
      <c r="D1823" s="32">
        <v>49182</v>
      </c>
      <c r="E18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24" spans="1:6" x14ac:dyDescent="0.35">
      <c r="A1824" s="3">
        <v>97555683046</v>
      </c>
      <c r="B1824" s="3">
        <v>231</v>
      </c>
      <c r="C1824" s="32">
        <v>49163</v>
      </c>
      <c r="D1824" s="32" t="s">
        <v>87</v>
      </c>
      <c r="E18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25" spans="1:6" x14ac:dyDescent="0.35">
      <c r="A1825" s="3">
        <v>86270542963</v>
      </c>
      <c r="B1825" s="3">
        <v>237</v>
      </c>
      <c r="C1825" s="32">
        <v>49163</v>
      </c>
      <c r="D1825" s="32">
        <v>49264</v>
      </c>
      <c r="E18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826" spans="1:6" x14ac:dyDescent="0.35">
      <c r="A1826" s="3">
        <v>57603412835</v>
      </c>
      <c r="B1826" s="3">
        <v>257</v>
      </c>
      <c r="C1826" s="32">
        <v>49163</v>
      </c>
      <c r="D1826" s="32">
        <v>49282</v>
      </c>
      <c r="E18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827" spans="1:6" x14ac:dyDescent="0.35">
      <c r="A1827" s="3">
        <v>96620365402</v>
      </c>
      <c r="B1827" s="3">
        <v>264</v>
      </c>
      <c r="C1827" s="32">
        <v>49163</v>
      </c>
      <c r="D1827" s="32" t="s">
        <v>87</v>
      </c>
      <c r="E18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28" spans="1:6" x14ac:dyDescent="0.35">
      <c r="A1828" s="3">
        <v>67455767152</v>
      </c>
      <c r="B1828" s="3">
        <v>302</v>
      </c>
      <c r="C1828" s="32">
        <v>49163</v>
      </c>
      <c r="D1828" s="32" t="s">
        <v>87</v>
      </c>
      <c r="E18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29" spans="1:6" x14ac:dyDescent="0.35">
      <c r="A1829" s="3">
        <v>84465125000</v>
      </c>
      <c r="B1829" s="3">
        <v>328</v>
      </c>
      <c r="C1829" s="32">
        <v>49163</v>
      </c>
      <c r="D1829" s="32" t="s">
        <v>87</v>
      </c>
      <c r="E18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0" spans="1:6" x14ac:dyDescent="0.35">
      <c r="A1830" s="3">
        <v>51251401076</v>
      </c>
      <c r="B1830" s="3">
        <v>333</v>
      </c>
      <c r="C1830" s="32">
        <v>49163</v>
      </c>
      <c r="D1830" s="32">
        <v>49253</v>
      </c>
      <c r="E18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831" spans="1:6" x14ac:dyDescent="0.35">
      <c r="A1831" s="3">
        <v>78307455223</v>
      </c>
      <c r="B1831" s="3">
        <v>336</v>
      </c>
      <c r="C1831" s="32">
        <v>49163</v>
      </c>
      <c r="D1831" s="32">
        <v>49177</v>
      </c>
      <c r="E18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32" spans="1:6" x14ac:dyDescent="0.35">
      <c r="A1832" s="3">
        <v>82861831167</v>
      </c>
      <c r="B1832" s="3">
        <v>14</v>
      </c>
      <c r="C1832" s="32">
        <v>49164</v>
      </c>
      <c r="D1832" s="32"/>
      <c r="E18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3" spans="1:6" x14ac:dyDescent="0.35">
      <c r="A1833" s="3">
        <v>97301292379</v>
      </c>
      <c r="B1833" s="3">
        <v>50</v>
      </c>
      <c r="C1833" s="32">
        <v>49164</v>
      </c>
      <c r="D1833" s="32" t="s">
        <v>87</v>
      </c>
      <c r="E18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4" spans="1:6" x14ac:dyDescent="0.35">
      <c r="A1834" s="3">
        <v>46248368895</v>
      </c>
      <c r="B1834" s="3">
        <v>52</v>
      </c>
      <c r="C1834" s="32">
        <v>49164</v>
      </c>
      <c r="D1834" s="32">
        <v>49210</v>
      </c>
      <c r="E18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35" spans="1:6" x14ac:dyDescent="0.35">
      <c r="A1835" s="3">
        <v>45385133720</v>
      </c>
      <c r="B1835" s="3">
        <v>58</v>
      </c>
      <c r="C1835" s="32">
        <v>49164</v>
      </c>
      <c r="D1835" s="32" t="s">
        <v>87</v>
      </c>
      <c r="E18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6" spans="1:6" x14ac:dyDescent="0.35">
      <c r="A1836" s="3">
        <v>81286443151</v>
      </c>
      <c r="B1836" s="3">
        <v>61</v>
      </c>
      <c r="C1836" s="32">
        <v>49164</v>
      </c>
      <c r="D1836" s="32" t="s">
        <v>87</v>
      </c>
      <c r="E18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7" spans="1:6" x14ac:dyDescent="0.35">
      <c r="A1837" s="3">
        <v>40659697771</v>
      </c>
      <c r="B1837" s="3">
        <v>69</v>
      </c>
      <c r="C1837" s="32">
        <v>49164</v>
      </c>
      <c r="D1837" s="32" t="s">
        <v>87</v>
      </c>
      <c r="E18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8" spans="1:6" x14ac:dyDescent="0.35">
      <c r="A1838" s="3">
        <v>66786844509</v>
      </c>
      <c r="B1838" s="3">
        <v>99</v>
      </c>
      <c r="C1838" s="32">
        <v>49164</v>
      </c>
      <c r="D1838" s="32" t="s">
        <v>87</v>
      </c>
      <c r="E18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9" spans="1:6" x14ac:dyDescent="0.35">
      <c r="A1839" s="3">
        <v>78075079287</v>
      </c>
      <c r="B1839" s="3">
        <v>119</v>
      </c>
      <c r="C1839" s="32">
        <v>49164</v>
      </c>
      <c r="D1839" s="32" t="s">
        <v>87</v>
      </c>
      <c r="E18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0" spans="1:6" x14ac:dyDescent="0.35">
      <c r="A1840" s="3">
        <v>54956216360</v>
      </c>
      <c r="B1840" s="3">
        <v>130</v>
      </c>
      <c r="C1840" s="32">
        <v>49164</v>
      </c>
      <c r="D1840" s="32" t="s">
        <v>87</v>
      </c>
      <c r="E18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1" spans="1:6" x14ac:dyDescent="0.35">
      <c r="A1841" s="3">
        <v>64512139354</v>
      </c>
      <c r="B1841" s="3">
        <v>153</v>
      </c>
      <c r="C1841" s="32">
        <v>49164</v>
      </c>
      <c r="D1841" s="32" t="s">
        <v>87</v>
      </c>
      <c r="E18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2" spans="1:6" x14ac:dyDescent="0.35">
      <c r="A1842" s="3">
        <v>84920261442</v>
      </c>
      <c r="B1842" s="3">
        <v>162</v>
      </c>
      <c r="C1842" s="32">
        <v>49164</v>
      </c>
      <c r="D1842" s="32"/>
      <c r="E18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3" spans="1:6" x14ac:dyDescent="0.35">
      <c r="A1843" s="3">
        <v>27892077619</v>
      </c>
      <c r="B1843" s="3">
        <v>183</v>
      </c>
      <c r="C1843" s="32">
        <v>49164</v>
      </c>
      <c r="D1843" s="32"/>
      <c r="E18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4" spans="1:6" x14ac:dyDescent="0.35">
      <c r="A1844" s="3">
        <v>76052873897</v>
      </c>
      <c r="B1844" s="3">
        <v>204</v>
      </c>
      <c r="C1844" s="32">
        <v>49164</v>
      </c>
      <c r="D1844" s="32"/>
      <c r="E18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5" spans="1:6" x14ac:dyDescent="0.35">
      <c r="A1845" s="3">
        <v>54020666885</v>
      </c>
      <c r="B1845" s="3">
        <v>215</v>
      </c>
      <c r="C1845" s="32">
        <v>49164</v>
      </c>
      <c r="D1845" s="32" t="s">
        <v>87</v>
      </c>
      <c r="E18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6" spans="1:6" x14ac:dyDescent="0.35">
      <c r="A1846" s="3">
        <v>73706695482</v>
      </c>
      <c r="B1846" s="3">
        <v>234</v>
      </c>
      <c r="C1846" s="32">
        <v>49164</v>
      </c>
      <c r="D1846" s="32" t="s">
        <v>87</v>
      </c>
      <c r="E18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7" spans="1:6" x14ac:dyDescent="0.35">
      <c r="A1847" s="3">
        <v>28039493894</v>
      </c>
      <c r="B1847" s="3">
        <v>246</v>
      </c>
      <c r="C1847" s="32">
        <v>49164</v>
      </c>
      <c r="D1847" s="32" t="s">
        <v>87</v>
      </c>
      <c r="E18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8" spans="1:6" x14ac:dyDescent="0.35">
      <c r="A1848" s="3">
        <v>75748390520</v>
      </c>
      <c r="B1848" s="3">
        <v>284</v>
      </c>
      <c r="C1848" s="32">
        <v>49164</v>
      </c>
      <c r="D1848" s="32" t="s">
        <v>87</v>
      </c>
      <c r="E18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9" spans="1:6" x14ac:dyDescent="0.35">
      <c r="A1849" s="3">
        <v>48089539884</v>
      </c>
      <c r="B1849" s="3">
        <v>288</v>
      </c>
      <c r="C1849" s="32">
        <v>49164</v>
      </c>
      <c r="D1849" s="32" t="s">
        <v>87</v>
      </c>
      <c r="E18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0" spans="1:6" x14ac:dyDescent="0.35">
      <c r="A1850" s="3">
        <v>90781011815</v>
      </c>
      <c r="B1850" s="3">
        <v>290</v>
      </c>
      <c r="C1850" s="32">
        <v>49164</v>
      </c>
      <c r="D1850" s="32">
        <v>49282</v>
      </c>
      <c r="E18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851" spans="1:6" x14ac:dyDescent="0.35">
      <c r="A1851" s="3">
        <v>29817575147</v>
      </c>
      <c r="B1851" s="3">
        <v>301</v>
      </c>
      <c r="C1851" s="32">
        <v>49164</v>
      </c>
      <c r="D1851" s="32">
        <v>49215</v>
      </c>
      <c r="E18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52" spans="1:6" x14ac:dyDescent="0.35">
      <c r="A1852" s="3">
        <v>41811159939</v>
      </c>
      <c r="B1852" s="3">
        <v>334</v>
      </c>
      <c r="C1852" s="32">
        <v>49164</v>
      </c>
      <c r="D1852" s="32">
        <v>49231</v>
      </c>
      <c r="E18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853" spans="1:6" x14ac:dyDescent="0.35">
      <c r="A1853" s="3">
        <v>98441537737</v>
      </c>
      <c r="B1853" s="3">
        <v>0</v>
      </c>
      <c r="C1853" s="32">
        <v>49165</v>
      </c>
      <c r="D1853" s="32" t="s">
        <v>87</v>
      </c>
      <c r="E18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4" spans="1:6" x14ac:dyDescent="0.35">
      <c r="A1854" s="3">
        <v>23027282574</v>
      </c>
      <c r="B1854" s="3">
        <v>7</v>
      </c>
      <c r="C1854" s="32">
        <v>49165</v>
      </c>
      <c r="D1854" s="32" t="s">
        <v>87</v>
      </c>
      <c r="E18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5" spans="1:6" x14ac:dyDescent="0.35">
      <c r="A1855" s="3">
        <v>37404099326</v>
      </c>
      <c r="B1855" s="3">
        <v>8</v>
      </c>
      <c r="C1855" s="32">
        <v>49165</v>
      </c>
      <c r="D1855" s="32"/>
      <c r="E18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6" spans="1:6" x14ac:dyDescent="0.35">
      <c r="A1856" s="3">
        <v>71911565159</v>
      </c>
      <c r="B1856" s="3">
        <v>23</v>
      </c>
      <c r="C1856" s="32">
        <v>49165</v>
      </c>
      <c r="D1856" s="32" t="s">
        <v>87</v>
      </c>
      <c r="E18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7" spans="1:6" x14ac:dyDescent="0.35">
      <c r="A1857" s="3">
        <v>74859663699</v>
      </c>
      <c r="B1857" s="3">
        <v>25</v>
      </c>
      <c r="C1857" s="32">
        <v>49165</v>
      </c>
      <c r="D1857" s="32" t="s">
        <v>87</v>
      </c>
      <c r="E18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8" spans="1:6" x14ac:dyDescent="0.35">
      <c r="A1858" s="3">
        <v>39060375941</v>
      </c>
      <c r="B1858" s="3">
        <v>34</v>
      </c>
      <c r="C1858" s="32">
        <v>49165</v>
      </c>
      <c r="D1858" s="32">
        <v>49216</v>
      </c>
      <c r="E18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59" spans="1:6" x14ac:dyDescent="0.35">
      <c r="A1859" s="3">
        <v>51105193231</v>
      </c>
      <c r="B1859" s="3">
        <v>44</v>
      </c>
      <c r="C1859" s="32">
        <v>49165</v>
      </c>
      <c r="D1859" s="32" t="s">
        <v>87</v>
      </c>
      <c r="E18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0" spans="1:6" x14ac:dyDescent="0.35">
      <c r="A1860" s="3">
        <v>40953896264</v>
      </c>
      <c r="B1860" s="3">
        <v>58</v>
      </c>
      <c r="C1860" s="32">
        <v>49165</v>
      </c>
      <c r="D1860" s="32">
        <v>49165</v>
      </c>
      <c r="E18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61" spans="1:6" x14ac:dyDescent="0.35">
      <c r="A1861" s="3">
        <v>36012420993</v>
      </c>
      <c r="B1861" s="3">
        <v>68</v>
      </c>
      <c r="C1861" s="32">
        <v>49165</v>
      </c>
      <c r="D1861" s="32">
        <v>49214</v>
      </c>
      <c r="E18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62" spans="1:6" x14ac:dyDescent="0.35">
      <c r="A1862" s="3">
        <v>93912746655</v>
      </c>
      <c r="B1862" s="3">
        <v>81</v>
      </c>
      <c r="C1862" s="32">
        <v>49165</v>
      </c>
      <c r="D1862" s="32" t="s">
        <v>87</v>
      </c>
      <c r="E18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3" spans="1:6" x14ac:dyDescent="0.35">
      <c r="A1863" s="3">
        <v>57491985142</v>
      </c>
      <c r="B1863" s="3">
        <v>91</v>
      </c>
      <c r="C1863" s="32">
        <v>49165</v>
      </c>
      <c r="D1863" s="32"/>
      <c r="E18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4" spans="1:6" x14ac:dyDescent="0.35">
      <c r="A1864" s="3">
        <v>58132139349</v>
      </c>
      <c r="B1864" s="3">
        <v>125</v>
      </c>
      <c r="C1864" s="32">
        <v>49165</v>
      </c>
      <c r="D1864" s="32" t="s">
        <v>87</v>
      </c>
      <c r="E18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5" spans="1:6" x14ac:dyDescent="0.35">
      <c r="A1865" s="3">
        <v>23603877313</v>
      </c>
      <c r="B1865" s="3">
        <v>131</v>
      </c>
      <c r="C1865" s="32">
        <v>49165</v>
      </c>
      <c r="D1865" s="32" t="s">
        <v>87</v>
      </c>
      <c r="E18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6" spans="1:6" x14ac:dyDescent="0.35">
      <c r="A1866" s="3">
        <v>63153207502</v>
      </c>
      <c r="B1866" s="3">
        <v>142</v>
      </c>
      <c r="C1866" s="32">
        <v>49165</v>
      </c>
      <c r="D1866" s="32" t="s">
        <v>87</v>
      </c>
      <c r="E18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7" spans="1:6" x14ac:dyDescent="0.35">
      <c r="A1867" s="3">
        <v>72953101313</v>
      </c>
      <c r="B1867" s="3">
        <v>142</v>
      </c>
      <c r="C1867" s="32">
        <v>49165</v>
      </c>
      <c r="D1867" s="32" t="s">
        <v>87</v>
      </c>
      <c r="E18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8" spans="1:6" x14ac:dyDescent="0.35">
      <c r="A1868" s="3">
        <v>21334835986</v>
      </c>
      <c r="B1868" s="3">
        <v>150</v>
      </c>
      <c r="C1868" s="32">
        <v>49165</v>
      </c>
      <c r="D1868" s="32" t="s">
        <v>87</v>
      </c>
      <c r="E18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9" spans="1:6" x14ac:dyDescent="0.35">
      <c r="A1869" s="3">
        <v>32834281650</v>
      </c>
      <c r="B1869" s="3">
        <v>192</v>
      </c>
      <c r="C1869" s="32">
        <v>49165</v>
      </c>
      <c r="D1869" s="32">
        <v>49194</v>
      </c>
      <c r="E18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70" spans="1:6" x14ac:dyDescent="0.35">
      <c r="A1870" s="3">
        <v>83000014181</v>
      </c>
      <c r="B1870" s="3">
        <v>215</v>
      </c>
      <c r="C1870" s="32">
        <v>49165</v>
      </c>
      <c r="D1870" s="32" t="s">
        <v>87</v>
      </c>
      <c r="E18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1" spans="1:6" x14ac:dyDescent="0.35">
      <c r="A1871" s="3">
        <v>40938186566</v>
      </c>
      <c r="B1871" s="3">
        <v>238</v>
      </c>
      <c r="C1871" s="32">
        <v>49165</v>
      </c>
      <c r="D1871" s="32" t="s">
        <v>87</v>
      </c>
      <c r="E18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2" spans="1:6" x14ac:dyDescent="0.35">
      <c r="A1872" s="3">
        <v>13687287800</v>
      </c>
      <c r="B1872" s="3">
        <v>256</v>
      </c>
      <c r="C1872" s="32">
        <v>49165</v>
      </c>
      <c r="D1872" s="32"/>
      <c r="E18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3" spans="1:6" x14ac:dyDescent="0.35">
      <c r="A1873" s="3">
        <v>73819021208</v>
      </c>
      <c r="B1873" s="3">
        <v>258</v>
      </c>
      <c r="C1873" s="32">
        <v>49165</v>
      </c>
      <c r="D1873" s="32">
        <v>49227</v>
      </c>
      <c r="E18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874" spans="1:6" x14ac:dyDescent="0.35">
      <c r="A1874" s="3">
        <v>71412338624</v>
      </c>
      <c r="B1874" s="3">
        <v>273</v>
      </c>
      <c r="C1874" s="32">
        <v>49165</v>
      </c>
      <c r="D1874" s="32"/>
      <c r="E18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5" spans="1:6" x14ac:dyDescent="0.35">
      <c r="A1875" s="3">
        <v>65761119202</v>
      </c>
      <c r="B1875" s="3">
        <v>290</v>
      </c>
      <c r="C1875" s="32">
        <v>49165</v>
      </c>
      <c r="D1875" s="32"/>
      <c r="E18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6" spans="1:6" x14ac:dyDescent="0.35">
      <c r="A1876" s="3">
        <v>20154667294</v>
      </c>
      <c r="B1876" s="3">
        <v>310</v>
      </c>
      <c r="C1876" s="32">
        <v>49165</v>
      </c>
      <c r="D1876" s="32" t="s">
        <v>87</v>
      </c>
      <c r="E18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7" spans="1:6" x14ac:dyDescent="0.35">
      <c r="A1877" s="3">
        <v>78570424588</v>
      </c>
      <c r="B1877" s="3">
        <v>318</v>
      </c>
      <c r="C1877" s="32">
        <v>49165</v>
      </c>
      <c r="D1877" s="32" t="s">
        <v>87</v>
      </c>
      <c r="E18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8" spans="1:6" x14ac:dyDescent="0.35">
      <c r="A1878" s="3">
        <v>81297046938</v>
      </c>
      <c r="B1878" s="3">
        <v>8</v>
      </c>
      <c r="C1878" s="32">
        <v>49166</v>
      </c>
      <c r="D1878" s="32">
        <v>49198</v>
      </c>
      <c r="E18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79" spans="1:6" x14ac:dyDescent="0.35">
      <c r="A1879" s="3">
        <v>95211021932</v>
      </c>
      <c r="B1879" s="3">
        <v>19</v>
      </c>
      <c r="C1879" s="32">
        <v>49166</v>
      </c>
      <c r="D1879" s="32" t="s">
        <v>87</v>
      </c>
      <c r="E18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80" spans="1:6" x14ac:dyDescent="0.35">
      <c r="A1880" s="3">
        <v>76820078128</v>
      </c>
      <c r="B1880" s="3">
        <v>30</v>
      </c>
      <c r="C1880" s="32">
        <v>49166</v>
      </c>
      <c r="D1880" s="32" t="s">
        <v>87</v>
      </c>
      <c r="E18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81" spans="1:6" x14ac:dyDescent="0.35">
      <c r="A1881" s="3">
        <v>33258653697</v>
      </c>
      <c r="B1881" s="3">
        <v>54</v>
      </c>
      <c r="C1881" s="32">
        <v>49166</v>
      </c>
      <c r="D1881" s="32">
        <v>49282</v>
      </c>
      <c r="E18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882" spans="1:6" x14ac:dyDescent="0.35">
      <c r="A1882" s="3">
        <v>33000829293</v>
      </c>
      <c r="B1882" s="3">
        <v>55</v>
      </c>
      <c r="C1882" s="32">
        <v>49166</v>
      </c>
      <c r="D1882" s="32" t="s">
        <v>87</v>
      </c>
      <c r="E18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83" spans="1:6" x14ac:dyDescent="0.35">
      <c r="A1883" s="3">
        <v>40137503561</v>
      </c>
      <c r="B1883" s="3">
        <v>92</v>
      </c>
      <c r="C1883" s="32">
        <v>49166</v>
      </c>
      <c r="D1883" s="32">
        <v>49278</v>
      </c>
      <c r="E18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884" spans="1:6" x14ac:dyDescent="0.35">
      <c r="A1884" s="3">
        <v>34938633418</v>
      </c>
      <c r="B1884" s="3">
        <v>95</v>
      </c>
      <c r="C1884" s="32">
        <v>49166</v>
      </c>
      <c r="D1884" s="32">
        <v>49204</v>
      </c>
      <c r="E18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85" spans="1:6" x14ac:dyDescent="0.35">
      <c r="A1885" s="3">
        <v>41213775689</v>
      </c>
      <c r="B1885" s="3">
        <v>103</v>
      </c>
      <c r="C1885" s="32">
        <v>49166</v>
      </c>
      <c r="D1885" s="32">
        <v>49207</v>
      </c>
      <c r="E18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86" spans="1:6" x14ac:dyDescent="0.35">
      <c r="A1886" s="3">
        <v>76028758453</v>
      </c>
      <c r="B1886" s="3">
        <v>107</v>
      </c>
      <c r="C1886" s="32">
        <v>49166</v>
      </c>
      <c r="D1886" s="32">
        <v>49191</v>
      </c>
      <c r="E18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87" spans="1:6" x14ac:dyDescent="0.35">
      <c r="A1887" s="3">
        <v>58233670709</v>
      </c>
      <c r="B1887" s="3">
        <v>110</v>
      </c>
      <c r="C1887" s="32">
        <v>49166</v>
      </c>
      <c r="D1887" s="32" t="s">
        <v>87</v>
      </c>
      <c r="E18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88" spans="1:6" x14ac:dyDescent="0.35">
      <c r="A1888" s="3">
        <v>88751405288</v>
      </c>
      <c r="B1888" s="3">
        <v>115</v>
      </c>
      <c r="C1888" s="32">
        <v>49166</v>
      </c>
      <c r="D1888" s="32"/>
      <c r="E18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89" spans="1:6" x14ac:dyDescent="0.35">
      <c r="A1889" s="3">
        <v>49470176290</v>
      </c>
      <c r="B1889" s="3">
        <v>140</v>
      </c>
      <c r="C1889" s="32">
        <v>49166</v>
      </c>
      <c r="D1889" s="32" t="s">
        <v>87</v>
      </c>
      <c r="E18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0" spans="1:6" x14ac:dyDescent="0.35">
      <c r="A1890" s="3">
        <v>46574981792</v>
      </c>
      <c r="B1890" s="3">
        <v>152</v>
      </c>
      <c r="C1890" s="32">
        <v>49166</v>
      </c>
      <c r="D1890" s="32" t="s">
        <v>87</v>
      </c>
      <c r="E18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1" spans="1:6" x14ac:dyDescent="0.35">
      <c r="A1891" s="3">
        <v>91241014241</v>
      </c>
      <c r="B1891" s="3">
        <v>191</v>
      </c>
      <c r="C1891" s="32">
        <v>49166</v>
      </c>
      <c r="D1891" s="32" t="s">
        <v>87</v>
      </c>
      <c r="E18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2" spans="1:6" x14ac:dyDescent="0.35">
      <c r="A1892" s="3">
        <v>24357531290</v>
      </c>
      <c r="B1892" s="3">
        <v>215</v>
      </c>
      <c r="C1892" s="32">
        <v>49166</v>
      </c>
      <c r="D1892" s="32"/>
      <c r="E18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3" spans="1:6" x14ac:dyDescent="0.35">
      <c r="A1893" s="3">
        <v>65421302781</v>
      </c>
      <c r="B1893" s="3">
        <v>265</v>
      </c>
      <c r="C1893" s="32">
        <v>49166</v>
      </c>
      <c r="D1893" s="32">
        <v>49184</v>
      </c>
      <c r="E18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94" spans="1:6" x14ac:dyDescent="0.35">
      <c r="A1894" s="3">
        <v>97257395469</v>
      </c>
      <c r="B1894" s="3">
        <v>277</v>
      </c>
      <c r="C1894" s="32">
        <v>49166</v>
      </c>
      <c r="D1894" s="32" t="s">
        <v>87</v>
      </c>
      <c r="E18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5" spans="1:6" x14ac:dyDescent="0.35">
      <c r="A1895" s="3">
        <v>94348738345</v>
      </c>
      <c r="B1895" s="3">
        <v>301</v>
      </c>
      <c r="C1895" s="32">
        <v>49166</v>
      </c>
      <c r="D1895" s="32" t="s">
        <v>87</v>
      </c>
      <c r="E18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6" spans="1:6" x14ac:dyDescent="0.35">
      <c r="A1896" s="3">
        <v>44977388322</v>
      </c>
      <c r="B1896" s="3">
        <v>311</v>
      </c>
      <c r="C1896" s="32">
        <v>49166</v>
      </c>
      <c r="D1896" s="32">
        <v>49227</v>
      </c>
      <c r="E18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897" spans="1:6" x14ac:dyDescent="0.35">
      <c r="A1897" s="3">
        <v>56796581364</v>
      </c>
      <c r="B1897" s="3">
        <v>7</v>
      </c>
      <c r="C1897" s="32">
        <v>49167</v>
      </c>
      <c r="D1897" s="32">
        <v>49218</v>
      </c>
      <c r="E18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898" spans="1:6" x14ac:dyDescent="0.35">
      <c r="A1898" s="3">
        <v>30522087890</v>
      </c>
      <c r="B1898" s="3">
        <v>8</v>
      </c>
      <c r="C1898" s="32">
        <v>49167</v>
      </c>
      <c r="D1898" s="32" t="s">
        <v>87</v>
      </c>
      <c r="E18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9" spans="1:6" x14ac:dyDescent="0.35">
      <c r="A1899" s="3">
        <v>78747594519</v>
      </c>
      <c r="B1899" s="3">
        <v>75</v>
      </c>
      <c r="C1899" s="32">
        <v>49167</v>
      </c>
      <c r="D1899" s="32">
        <v>49254</v>
      </c>
      <c r="E18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900" spans="1:6" x14ac:dyDescent="0.35">
      <c r="A1900" s="3">
        <v>93989075461</v>
      </c>
      <c r="B1900" s="3">
        <v>94</v>
      </c>
      <c r="C1900" s="32">
        <v>49167</v>
      </c>
      <c r="D1900" s="32"/>
      <c r="E19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1" spans="1:6" x14ac:dyDescent="0.35">
      <c r="A1901" s="3">
        <v>30013707638</v>
      </c>
      <c r="B1901" s="3">
        <v>124</v>
      </c>
      <c r="C1901" s="32">
        <v>49167</v>
      </c>
      <c r="D1901" s="32" t="s">
        <v>87</v>
      </c>
      <c r="E19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2" spans="1:6" x14ac:dyDescent="0.35">
      <c r="A1902" s="3">
        <v>64830649719</v>
      </c>
      <c r="B1902" s="3">
        <v>124</v>
      </c>
      <c r="C1902" s="32">
        <v>49167</v>
      </c>
      <c r="D1902" s="32" t="s">
        <v>87</v>
      </c>
      <c r="E19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3" spans="1:6" x14ac:dyDescent="0.35">
      <c r="A1903" s="3">
        <v>63153796101</v>
      </c>
      <c r="B1903" s="3">
        <v>132</v>
      </c>
      <c r="C1903" s="32">
        <v>49167</v>
      </c>
      <c r="D1903" s="32" t="s">
        <v>87</v>
      </c>
      <c r="E19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4" spans="1:6" x14ac:dyDescent="0.35">
      <c r="A1904" s="3">
        <v>49058353390</v>
      </c>
      <c r="B1904" s="3">
        <v>148</v>
      </c>
      <c r="C1904" s="32">
        <v>49167</v>
      </c>
      <c r="D1904" s="32" t="s">
        <v>87</v>
      </c>
      <c r="E19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5" spans="1:6" x14ac:dyDescent="0.35">
      <c r="A1905" s="3">
        <v>15129876332</v>
      </c>
      <c r="B1905" s="3">
        <v>149</v>
      </c>
      <c r="C1905" s="32">
        <v>49167</v>
      </c>
      <c r="D1905" s="32" t="s">
        <v>87</v>
      </c>
      <c r="E19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6" spans="1:6" x14ac:dyDescent="0.35">
      <c r="A1906" s="3">
        <v>79840864773</v>
      </c>
      <c r="B1906" s="3">
        <v>157</v>
      </c>
      <c r="C1906" s="32">
        <v>49167</v>
      </c>
      <c r="D1906" s="32" t="s">
        <v>87</v>
      </c>
      <c r="E19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7" spans="1:6" x14ac:dyDescent="0.35">
      <c r="A1907" s="3">
        <v>30635210876</v>
      </c>
      <c r="B1907" s="3">
        <v>162</v>
      </c>
      <c r="C1907" s="32">
        <v>49167</v>
      </c>
      <c r="D1907" s="32"/>
      <c r="E19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8" spans="1:6" x14ac:dyDescent="0.35">
      <c r="A1908" s="3">
        <v>13233794737</v>
      </c>
      <c r="B1908" s="3">
        <v>166</v>
      </c>
      <c r="C1908" s="32">
        <v>49167</v>
      </c>
      <c r="D1908" s="32" t="s">
        <v>87</v>
      </c>
      <c r="E19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9" spans="1:6" x14ac:dyDescent="0.35">
      <c r="A1909" s="3">
        <v>28910415025</v>
      </c>
      <c r="B1909" s="3">
        <v>185</v>
      </c>
      <c r="C1909" s="32">
        <v>49167</v>
      </c>
      <c r="D1909" s="32" t="s">
        <v>87</v>
      </c>
      <c r="E19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0" spans="1:6" x14ac:dyDescent="0.35">
      <c r="A1910" s="3">
        <v>48524647133</v>
      </c>
      <c r="B1910" s="3">
        <v>198</v>
      </c>
      <c r="C1910" s="32">
        <v>49167</v>
      </c>
      <c r="D1910" s="32">
        <v>49201</v>
      </c>
      <c r="E19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911" spans="1:6" x14ac:dyDescent="0.35">
      <c r="A1911" s="3">
        <v>33781857130</v>
      </c>
      <c r="B1911" s="3">
        <v>201</v>
      </c>
      <c r="C1911" s="32">
        <v>49167</v>
      </c>
      <c r="D1911" s="32" t="s">
        <v>87</v>
      </c>
      <c r="E19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2" spans="1:6" x14ac:dyDescent="0.35">
      <c r="A1912" s="3">
        <v>33667573853</v>
      </c>
      <c r="B1912" s="3">
        <v>230</v>
      </c>
      <c r="C1912" s="32">
        <v>49167</v>
      </c>
      <c r="D1912" s="32" t="s">
        <v>87</v>
      </c>
      <c r="E19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3" spans="1:6" x14ac:dyDescent="0.35">
      <c r="A1913" s="3">
        <v>44809069453</v>
      </c>
      <c r="B1913" s="3">
        <v>237</v>
      </c>
      <c r="C1913" s="32">
        <v>49167</v>
      </c>
      <c r="D1913" s="32"/>
      <c r="E19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4" spans="1:6" x14ac:dyDescent="0.35">
      <c r="A1914" s="3">
        <v>90969263333</v>
      </c>
      <c r="B1914" s="3">
        <v>240</v>
      </c>
      <c r="C1914" s="32">
        <v>49167</v>
      </c>
      <c r="D1914" s="32" t="s">
        <v>87</v>
      </c>
      <c r="E19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5" spans="1:6" x14ac:dyDescent="0.35">
      <c r="A1915" s="3">
        <v>58608009978</v>
      </c>
      <c r="B1915" s="3">
        <v>260</v>
      </c>
      <c r="C1915" s="32">
        <v>49167</v>
      </c>
      <c r="D1915" s="32" t="s">
        <v>87</v>
      </c>
      <c r="E19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6" spans="1:6" x14ac:dyDescent="0.35">
      <c r="A1916" s="3">
        <v>40441266373</v>
      </c>
      <c r="B1916" s="3">
        <v>273</v>
      </c>
      <c r="C1916" s="32">
        <v>49167</v>
      </c>
      <c r="D1916" s="32">
        <v>49203</v>
      </c>
      <c r="E19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917" spans="1:6" x14ac:dyDescent="0.35">
      <c r="A1917" s="3">
        <v>58253294989</v>
      </c>
      <c r="B1917" s="3">
        <v>281</v>
      </c>
      <c r="C1917" s="32">
        <v>49167</v>
      </c>
      <c r="D1917" s="32" t="s">
        <v>87</v>
      </c>
      <c r="E19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8" spans="1:6" x14ac:dyDescent="0.35">
      <c r="A1918" s="3">
        <v>18155390416</v>
      </c>
      <c r="B1918" s="3">
        <v>287</v>
      </c>
      <c r="C1918" s="32">
        <v>49167</v>
      </c>
      <c r="D1918" s="32">
        <v>49175</v>
      </c>
      <c r="E19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19" spans="1:6" x14ac:dyDescent="0.35">
      <c r="A1919" s="3">
        <v>82058128900</v>
      </c>
      <c r="B1919" s="3">
        <v>290</v>
      </c>
      <c r="C1919" s="32">
        <v>49167</v>
      </c>
      <c r="D1919" s="32"/>
      <c r="E19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0" spans="1:6" x14ac:dyDescent="0.35">
      <c r="A1920" s="3">
        <v>90417168307</v>
      </c>
      <c r="B1920" s="3">
        <v>293</v>
      </c>
      <c r="C1920" s="32">
        <v>49167</v>
      </c>
      <c r="D1920" s="32" t="s">
        <v>87</v>
      </c>
      <c r="E19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1" spans="1:6" x14ac:dyDescent="0.35">
      <c r="A1921" s="3">
        <v>64506366097</v>
      </c>
      <c r="B1921" s="3">
        <v>306</v>
      </c>
      <c r="C1921" s="32">
        <v>49167</v>
      </c>
      <c r="D1921" s="32">
        <v>49286</v>
      </c>
      <c r="E19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922" spans="1:6" x14ac:dyDescent="0.35">
      <c r="A1922" s="3">
        <v>14778185314</v>
      </c>
      <c r="B1922" s="3">
        <v>11</v>
      </c>
      <c r="C1922" s="32">
        <v>49168</v>
      </c>
      <c r="D1922" s="32" t="s">
        <v>87</v>
      </c>
      <c r="E19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3" spans="1:6" x14ac:dyDescent="0.35">
      <c r="A1923" s="3">
        <v>88779324349</v>
      </c>
      <c r="B1923" s="3">
        <v>36</v>
      </c>
      <c r="C1923" s="32">
        <v>49168</v>
      </c>
      <c r="D1923" s="32" t="s">
        <v>87</v>
      </c>
      <c r="E19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4" spans="1:6" x14ac:dyDescent="0.35">
      <c r="A1924" s="3">
        <v>26020352333</v>
      </c>
      <c r="B1924" s="3">
        <v>54</v>
      </c>
      <c r="C1924" s="32">
        <v>49168</v>
      </c>
      <c r="D1924" s="32">
        <v>49284</v>
      </c>
      <c r="E19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925" spans="1:6" x14ac:dyDescent="0.35">
      <c r="A1925" s="3">
        <v>25439973492</v>
      </c>
      <c r="B1925" s="3">
        <v>64</v>
      </c>
      <c r="C1925" s="32">
        <v>49168</v>
      </c>
      <c r="D1925" s="32" t="s">
        <v>87</v>
      </c>
      <c r="E19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6" spans="1:6" x14ac:dyDescent="0.35">
      <c r="A1926" s="3">
        <v>78654833041</v>
      </c>
      <c r="B1926" s="3">
        <v>98</v>
      </c>
      <c r="C1926" s="32">
        <v>49168</v>
      </c>
      <c r="D1926" s="32" t="s">
        <v>87</v>
      </c>
      <c r="E19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7" spans="1:6" x14ac:dyDescent="0.35">
      <c r="A1927" s="3">
        <v>16924443207</v>
      </c>
      <c r="B1927" s="3">
        <v>110</v>
      </c>
      <c r="C1927" s="32">
        <v>49168</v>
      </c>
      <c r="D1927" s="32" t="s">
        <v>87</v>
      </c>
      <c r="E19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8" spans="1:6" x14ac:dyDescent="0.35">
      <c r="A1928" s="3">
        <v>30310528460</v>
      </c>
      <c r="B1928" s="3">
        <v>112</v>
      </c>
      <c r="C1928" s="32">
        <v>49168</v>
      </c>
      <c r="D1928" s="32" t="s">
        <v>87</v>
      </c>
      <c r="E19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9" spans="1:6" x14ac:dyDescent="0.35">
      <c r="A1929" s="3">
        <v>38016487835</v>
      </c>
      <c r="B1929" s="3">
        <v>112</v>
      </c>
      <c r="C1929" s="32">
        <v>49168</v>
      </c>
      <c r="D1929" s="32" t="s">
        <v>87</v>
      </c>
      <c r="E19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0" spans="1:6" x14ac:dyDescent="0.35">
      <c r="A1930" s="3">
        <v>15385217157</v>
      </c>
      <c r="B1930" s="3">
        <v>165</v>
      </c>
      <c r="C1930" s="32">
        <v>49168</v>
      </c>
      <c r="D1930" s="32">
        <v>49285</v>
      </c>
      <c r="E19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931" spans="1:6" x14ac:dyDescent="0.35">
      <c r="A1931" s="3">
        <v>41204718055</v>
      </c>
      <c r="B1931" s="3">
        <v>173</v>
      </c>
      <c r="C1931" s="32">
        <v>49168</v>
      </c>
      <c r="D1931" s="32" t="s">
        <v>87</v>
      </c>
      <c r="E19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2" spans="1:6" x14ac:dyDescent="0.35">
      <c r="A1932" s="3">
        <v>91743120045</v>
      </c>
      <c r="B1932" s="3">
        <v>179</v>
      </c>
      <c r="C1932" s="32">
        <v>49168</v>
      </c>
      <c r="D1932" s="32" t="s">
        <v>87</v>
      </c>
      <c r="E19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3" spans="1:6" x14ac:dyDescent="0.35">
      <c r="A1933" s="3">
        <v>26022907523</v>
      </c>
      <c r="B1933" s="3">
        <v>183</v>
      </c>
      <c r="C1933" s="32">
        <v>49168</v>
      </c>
      <c r="D1933" s="32" t="s">
        <v>87</v>
      </c>
      <c r="E19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4" spans="1:6" x14ac:dyDescent="0.35">
      <c r="A1934" s="3">
        <v>43763814202</v>
      </c>
      <c r="B1934" s="3">
        <v>211</v>
      </c>
      <c r="C1934" s="32">
        <v>49168</v>
      </c>
      <c r="D1934" s="32" t="s">
        <v>87</v>
      </c>
      <c r="E19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5" spans="1:6" x14ac:dyDescent="0.35">
      <c r="A1935" s="3">
        <v>56420092453</v>
      </c>
      <c r="B1935" s="3">
        <v>224</v>
      </c>
      <c r="C1935" s="32">
        <v>49168</v>
      </c>
      <c r="D1935" s="32" t="s">
        <v>87</v>
      </c>
      <c r="E19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6" spans="1:6" x14ac:dyDescent="0.35">
      <c r="A1936" s="3">
        <v>27648148815</v>
      </c>
      <c r="B1936" s="3">
        <v>252</v>
      </c>
      <c r="C1936" s="32">
        <v>49168</v>
      </c>
      <c r="D1936" s="32" t="s">
        <v>87</v>
      </c>
      <c r="E19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7" spans="1:6" x14ac:dyDescent="0.35">
      <c r="A1937" s="3">
        <v>76473511259</v>
      </c>
      <c r="B1937" s="3">
        <v>255</v>
      </c>
      <c r="C1937" s="32">
        <v>49168</v>
      </c>
      <c r="D1937" s="32" t="s">
        <v>87</v>
      </c>
      <c r="E19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8" spans="1:6" x14ac:dyDescent="0.35">
      <c r="A1938" s="3">
        <v>75113438461</v>
      </c>
      <c r="B1938" s="3">
        <v>291</v>
      </c>
      <c r="C1938" s="32">
        <v>49168</v>
      </c>
      <c r="D1938" s="32" t="s">
        <v>87</v>
      </c>
      <c r="E19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9" spans="1:6" x14ac:dyDescent="0.35">
      <c r="A1939" s="3">
        <v>71452978471</v>
      </c>
      <c r="B1939" s="3">
        <v>319</v>
      </c>
      <c r="C1939" s="32">
        <v>49168</v>
      </c>
      <c r="D1939" s="32" t="s">
        <v>87</v>
      </c>
      <c r="E19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0" spans="1:6" x14ac:dyDescent="0.35">
      <c r="A1940" s="3">
        <v>33054200715</v>
      </c>
      <c r="B1940" s="3">
        <v>328</v>
      </c>
      <c r="C1940" s="32">
        <v>49168</v>
      </c>
      <c r="D1940" s="32" t="s">
        <v>87</v>
      </c>
      <c r="E19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1" spans="1:6" x14ac:dyDescent="0.35">
      <c r="A1941" s="3">
        <v>61176513402</v>
      </c>
      <c r="B1941" s="3">
        <v>334</v>
      </c>
      <c r="C1941" s="32">
        <v>49168</v>
      </c>
      <c r="D1941" s="32" t="s">
        <v>87</v>
      </c>
      <c r="E19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2" spans="1:6" x14ac:dyDescent="0.35">
      <c r="A1942" s="3">
        <v>85359887079</v>
      </c>
      <c r="B1942" s="3">
        <v>339</v>
      </c>
      <c r="C1942" s="32">
        <v>49168</v>
      </c>
      <c r="D1942" s="32"/>
      <c r="E19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3" spans="1:6" x14ac:dyDescent="0.35">
      <c r="A1943" s="3">
        <v>41803840882</v>
      </c>
      <c r="B1943" s="3">
        <v>4</v>
      </c>
      <c r="C1943" s="32">
        <v>49169</v>
      </c>
      <c r="D1943" s="32">
        <v>49257</v>
      </c>
      <c r="E19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944" spans="1:6" x14ac:dyDescent="0.35">
      <c r="A1944" s="3">
        <v>72914659394</v>
      </c>
      <c r="B1944" s="3">
        <v>5</v>
      </c>
      <c r="C1944" s="32">
        <v>49169</v>
      </c>
      <c r="D1944" s="32" t="s">
        <v>87</v>
      </c>
      <c r="E19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5" spans="1:6" x14ac:dyDescent="0.35">
      <c r="A1945" s="3">
        <v>40637222564</v>
      </c>
      <c r="B1945" s="3">
        <v>25</v>
      </c>
      <c r="C1945" s="32">
        <v>49169</v>
      </c>
      <c r="D1945" s="32">
        <v>49267</v>
      </c>
      <c r="E19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946" spans="1:6" x14ac:dyDescent="0.35">
      <c r="A1946" s="3">
        <v>37614374210</v>
      </c>
      <c r="B1946" s="3">
        <v>35</v>
      </c>
      <c r="C1946" s="32">
        <v>49169</v>
      </c>
      <c r="D1946" s="32" t="s">
        <v>87</v>
      </c>
      <c r="E19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7" spans="1:6" x14ac:dyDescent="0.35">
      <c r="A1947" s="3">
        <v>50282250511</v>
      </c>
      <c r="B1947" s="3">
        <v>86</v>
      </c>
      <c r="C1947" s="32">
        <v>49169</v>
      </c>
      <c r="D1947" s="32" t="s">
        <v>87</v>
      </c>
      <c r="E19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8" spans="1:6" x14ac:dyDescent="0.35">
      <c r="A1948" s="3">
        <v>12725158977</v>
      </c>
      <c r="B1948" s="3">
        <v>105</v>
      </c>
      <c r="C1948" s="32">
        <v>49169</v>
      </c>
      <c r="D1948" s="32">
        <v>49177</v>
      </c>
      <c r="E19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49" spans="1:6" x14ac:dyDescent="0.35">
      <c r="A1949" s="3">
        <v>15764766184</v>
      </c>
      <c r="B1949" s="3">
        <v>120</v>
      </c>
      <c r="C1949" s="32">
        <v>49169</v>
      </c>
      <c r="D1949" s="32" t="s">
        <v>87</v>
      </c>
      <c r="E19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0" spans="1:6" x14ac:dyDescent="0.35">
      <c r="A1950" s="3">
        <v>58162084500</v>
      </c>
      <c r="B1950" s="3">
        <v>128</v>
      </c>
      <c r="C1950" s="32">
        <v>49169</v>
      </c>
      <c r="D1950" s="32" t="s">
        <v>87</v>
      </c>
      <c r="E19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1" spans="1:6" x14ac:dyDescent="0.35">
      <c r="A1951" s="3">
        <v>77496164720</v>
      </c>
      <c r="B1951" s="3">
        <v>174</v>
      </c>
      <c r="C1951" s="32">
        <v>49169</v>
      </c>
      <c r="D1951" s="32">
        <v>49202</v>
      </c>
      <c r="E19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952" spans="1:6" x14ac:dyDescent="0.35">
      <c r="A1952" s="3">
        <v>98592572118</v>
      </c>
      <c r="B1952" s="3">
        <v>178</v>
      </c>
      <c r="C1952" s="32">
        <v>49169</v>
      </c>
      <c r="D1952" s="32" t="s">
        <v>87</v>
      </c>
      <c r="E19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3" spans="1:6" x14ac:dyDescent="0.35">
      <c r="A1953" s="3">
        <v>83529800230</v>
      </c>
      <c r="B1953" s="3">
        <v>189</v>
      </c>
      <c r="C1953" s="32">
        <v>49169</v>
      </c>
      <c r="D1953" s="32" t="s">
        <v>87</v>
      </c>
      <c r="E19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4" spans="1:6" x14ac:dyDescent="0.35">
      <c r="A1954" s="3">
        <v>47783371009</v>
      </c>
      <c r="B1954" s="3">
        <v>196</v>
      </c>
      <c r="C1954" s="32">
        <v>49169</v>
      </c>
      <c r="D1954" s="32" t="s">
        <v>87</v>
      </c>
      <c r="E19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5" spans="1:6" x14ac:dyDescent="0.35">
      <c r="A1955" s="3">
        <v>30920859610</v>
      </c>
      <c r="B1955" s="3">
        <v>198</v>
      </c>
      <c r="C1955" s="32">
        <v>49169</v>
      </c>
      <c r="D1955" s="32" t="s">
        <v>87</v>
      </c>
      <c r="E19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6" spans="1:6" x14ac:dyDescent="0.35">
      <c r="A1956" s="3">
        <v>20926017907</v>
      </c>
      <c r="B1956" s="3">
        <v>205</v>
      </c>
      <c r="C1956" s="32">
        <v>49169</v>
      </c>
      <c r="D1956" s="32"/>
      <c r="E19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7" spans="1:6" x14ac:dyDescent="0.35">
      <c r="A1957" s="3">
        <v>97150608475</v>
      </c>
      <c r="B1957" s="3">
        <v>209</v>
      </c>
      <c r="C1957" s="32">
        <v>49169</v>
      </c>
      <c r="D1957" s="32">
        <v>49171</v>
      </c>
      <c r="E19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58" spans="1:6" x14ac:dyDescent="0.35">
      <c r="A1958" s="3">
        <v>82352704355</v>
      </c>
      <c r="B1958" s="3">
        <v>234</v>
      </c>
      <c r="C1958" s="32">
        <v>49169</v>
      </c>
      <c r="D1958" s="32" t="s">
        <v>87</v>
      </c>
      <c r="E19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9" spans="1:6" x14ac:dyDescent="0.35">
      <c r="A1959" s="3">
        <v>24090331832</v>
      </c>
      <c r="B1959" s="3">
        <v>274</v>
      </c>
      <c r="C1959" s="32">
        <v>49169</v>
      </c>
      <c r="D1959" s="32">
        <v>49231</v>
      </c>
      <c r="E19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960" spans="1:6" x14ac:dyDescent="0.35">
      <c r="A1960" s="3">
        <v>21684363278</v>
      </c>
      <c r="B1960" s="3">
        <v>275</v>
      </c>
      <c r="C1960" s="32">
        <v>49169</v>
      </c>
      <c r="D1960" s="32" t="s">
        <v>87</v>
      </c>
      <c r="E19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1" spans="1:6" x14ac:dyDescent="0.35">
      <c r="A1961" s="3">
        <v>26533805694</v>
      </c>
      <c r="B1961" s="3">
        <v>276</v>
      </c>
      <c r="C1961" s="32">
        <v>49169</v>
      </c>
      <c r="D1961" s="32" t="s">
        <v>87</v>
      </c>
      <c r="E19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2" spans="1:6" x14ac:dyDescent="0.35">
      <c r="A1962" s="3">
        <v>38270616166</v>
      </c>
      <c r="B1962" s="3">
        <v>295</v>
      </c>
      <c r="C1962" s="32">
        <v>49169</v>
      </c>
      <c r="D1962" s="32"/>
      <c r="E19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3" spans="1:6" x14ac:dyDescent="0.35">
      <c r="A1963" s="3">
        <v>54676171855</v>
      </c>
      <c r="B1963" s="3">
        <v>329</v>
      </c>
      <c r="C1963" s="32">
        <v>49169</v>
      </c>
      <c r="D1963" s="32" t="s">
        <v>87</v>
      </c>
      <c r="E19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4" spans="1:6" x14ac:dyDescent="0.35">
      <c r="A1964" s="3">
        <v>12058627094</v>
      </c>
      <c r="B1964" s="3">
        <v>35</v>
      </c>
      <c r="C1964" s="32">
        <v>49170</v>
      </c>
      <c r="D1964" s="32" t="s">
        <v>87</v>
      </c>
      <c r="E19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5" spans="1:6" x14ac:dyDescent="0.35">
      <c r="A1965" s="3">
        <v>21011104886</v>
      </c>
      <c r="B1965" s="3">
        <v>58</v>
      </c>
      <c r="C1965" s="32">
        <v>49170</v>
      </c>
      <c r="D1965" s="32" t="s">
        <v>87</v>
      </c>
      <c r="E19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6" spans="1:6" x14ac:dyDescent="0.35">
      <c r="A1966" s="3">
        <v>13432594521</v>
      </c>
      <c r="B1966" s="3">
        <v>75</v>
      </c>
      <c r="C1966" s="32">
        <v>49170</v>
      </c>
      <c r="D1966" s="32">
        <v>49290</v>
      </c>
      <c r="E19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967" spans="1:6" x14ac:dyDescent="0.35">
      <c r="A1967" s="3">
        <v>49305145505</v>
      </c>
      <c r="B1967" s="3">
        <v>91</v>
      </c>
      <c r="C1967" s="32">
        <v>49170</v>
      </c>
      <c r="D1967" s="32" t="s">
        <v>87</v>
      </c>
      <c r="E19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8" spans="1:6" x14ac:dyDescent="0.35">
      <c r="A1968" s="3">
        <v>49892544854</v>
      </c>
      <c r="B1968" s="3">
        <v>130</v>
      </c>
      <c r="C1968" s="32">
        <v>49170</v>
      </c>
      <c r="D1968" s="32" t="s">
        <v>87</v>
      </c>
      <c r="E19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9" spans="1:6" x14ac:dyDescent="0.35">
      <c r="A1969" s="3">
        <v>54241099885</v>
      </c>
      <c r="B1969" s="3">
        <v>164</v>
      </c>
      <c r="C1969" s="32">
        <v>49170</v>
      </c>
      <c r="D1969" s="32">
        <v>49233</v>
      </c>
      <c r="E19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970" spans="1:6" x14ac:dyDescent="0.35">
      <c r="A1970" s="3">
        <v>91651012700</v>
      </c>
      <c r="B1970" s="3">
        <v>173</v>
      </c>
      <c r="C1970" s="32">
        <v>49170</v>
      </c>
      <c r="D1970" s="32" t="s">
        <v>87</v>
      </c>
      <c r="E19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1" spans="1:6" x14ac:dyDescent="0.35">
      <c r="A1971" s="3">
        <v>57224593567</v>
      </c>
      <c r="B1971" s="3">
        <v>190</v>
      </c>
      <c r="C1971" s="32">
        <v>49170</v>
      </c>
      <c r="D1971" s="32">
        <v>49171</v>
      </c>
      <c r="E19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72" spans="1:6" x14ac:dyDescent="0.35">
      <c r="A1972" s="3">
        <v>19392035521</v>
      </c>
      <c r="B1972" s="3">
        <v>191</v>
      </c>
      <c r="C1972" s="32">
        <v>49170</v>
      </c>
      <c r="D1972" s="32" t="s">
        <v>87</v>
      </c>
      <c r="E19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3" spans="1:6" x14ac:dyDescent="0.35">
      <c r="A1973" s="3">
        <v>66293438071</v>
      </c>
      <c r="B1973" s="3">
        <v>215</v>
      </c>
      <c r="C1973" s="32">
        <v>49170</v>
      </c>
      <c r="D1973" s="32" t="s">
        <v>87</v>
      </c>
      <c r="E19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4" spans="1:6" x14ac:dyDescent="0.35">
      <c r="A1974" s="3">
        <v>48740924876</v>
      </c>
      <c r="B1974" s="3">
        <v>235</v>
      </c>
      <c r="C1974" s="32">
        <v>49170</v>
      </c>
      <c r="D1974" s="32" t="s">
        <v>87</v>
      </c>
      <c r="E19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5" spans="1:6" x14ac:dyDescent="0.35">
      <c r="A1975" s="3">
        <v>70163085344</v>
      </c>
      <c r="B1975" s="3">
        <v>260</v>
      </c>
      <c r="C1975" s="32">
        <v>49170</v>
      </c>
      <c r="D1975" s="32" t="s">
        <v>87</v>
      </c>
      <c r="E19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6" spans="1:6" x14ac:dyDescent="0.35">
      <c r="A1976" s="3">
        <v>52561319643</v>
      </c>
      <c r="B1976" s="3">
        <v>327</v>
      </c>
      <c r="C1976" s="32">
        <v>49170</v>
      </c>
      <c r="D1976" s="32"/>
      <c r="E19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7" spans="1:6" x14ac:dyDescent="0.35">
      <c r="A1977" s="3">
        <v>22130114285</v>
      </c>
      <c r="B1977" s="3">
        <v>1</v>
      </c>
      <c r="C1977" s="32">
        <v>49171</v>
      </c>
      <c r="D1977" s="32"/>
      <c r="E19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8" spans="1:6" x14ac:dyDescent="0.35">
      <c r="A1978" s="3">
        <v>13451602367</v>
      </c>
      <c r="B1978" s="3">
        <v>9</v>
      </c>
      <c r="C1978" s="32">
        <v>49171</v>
      </c>
      <c r="D1978" s="32">
        <v>49172</v>
      </c>
      <c r="E19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79" spans="1:6" x14ac:dyDescent="0.35">
      <c r="A1979" s="3">
        <v>62555300496</v>
      </c>
      <c r="B1979" s="3">
        <v>13</v>
      </c>
      <c r="C1979" s="32">
        <v>49171</v>
      </c>
      <c r="D1979" s="32" t="s">
        <v>87</v>
      </c>
      <c r="E19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0" spans="1:6" x14ac:dyDescent="0.35">
      <c r="A1980" s="3">
        <v>44312892340</v>
      </c>
      <c r="B1980" s="3">
        <v>59</v>
      </c>
      <c r="C1980" s="32">
        <v>49171</v>
      </c>
      <c r="D1980" s="32" t="s">
        <v>87</v>
      </c>
      <c r="E19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1" spans="1:6" x14ac:dyDescent="0.35">
      <c r="A1981" s="3">
        <v>33775388156</v>
      </c>
      <c r="B1981" s="3">
        <v>67</v>
      </c>
      <c r="C1981" s="32">
        <v>49171</v>
      </c>
      <c r="D1981" s="32" t="s">
        <v>87</v>
      </c>
      <c r="E19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2" spans="1:6" x14ac:dyDescent="0.35">
      <c r="A1982" s="3">
        <v>89593877645</v>
      </c>
      <c r="B1982" s="3">
        <v>77</v>
      </c>
      <c r="C1982" s="32">
        <v>49171</v>
      </c>
      <c r="D1982" s="32">
        <v>49182</v>
      </c>
      <c r="E19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83" spans="1:6" x14ac:dyDescent="0.35">
      <c r="A1983" s="3">
        <v>49544418034</v>
      </c>
      <c r="B1983" s="3">
        <v>84</v>
      </c>
      <c r="C1983" s="32">
        <v>49171</v>
      </c>
      <c r="D1983" s="32">
        <v>49283</v>
      </c>
      <c r="E19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984" spans="1:6" x14ac:dyDescent="0.35">
      <c r="A1984" s="3">
        <v>51343210002</v>
      </c>
      <c r="B1984" s="3">
        <v>97</v>
      </c>
      <c r="C1984" s="32">
        <v>49171</v>
      </c>
      <c r="D1984" s="32">
        <v>49180</v>
      </c>
      <c r="E19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85" spans="1:6" x14ac:dyDescent="0.35">
      <c r="A1985" s="3">
        <v>89291518736</v>
      </c>
      <c r="B1985" s="3">
        <v>165</v>
      </c>
      <c r="C1985" s="32">
        <v>49171</v>
      </c>
      <c r="D1985" s="32"/>
      <c r="E19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6" spans="1:6" x14ac:dyDescent="0.35">
      <c r="A1986" s="3">
        <v>11840077812</v>
      </c>
      <c r="B1986" s="3">
        <v>165</v>
      </c>
      <c r="C1986" s="32">
        <v>49171</v>
      </c>
      <c r="D1986" s="32"/>
      <c r="E19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7" spans="1:6" x14ac:dyDescent="0.35">
      <c r="A1987" s="3">
        <v>20782426453</v>
      </c>
      <c r="B1987" s="3">
        <v>233</v>
      </c>
      <c r="C1987" s="32">
        <v>49171</v>
      </c>
      <c r="D1987" s="32" t="s">
        <v>87</v>
      </c>
      <c r="E19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8" spans="1:6" x14ac:dyDescent="0.35">
      <c r="A1988" s="3">
        <v>83211368115</v>
      </c>
      <c r="B1988" s="3">
        <v>241</v>
      </c>
      <c r="C1988" s="32">
        <v>49171</v>
      </c>
      <c r="D1988" s="32">
        <v>49244</v>
      </c>
      <c r="E19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989" spans="1:6" x14ac:dyDescent="0.35">
      <c r="A1989" s="3">
        <v>15182677184</v>
      </c>
      <c r="B1989" s="3">
        <v>246</v>
      </c>
      <c r="C1989" s="32">
        <v>49171</v>
      </c>
      <c r="D1989" s="32" t="s">
        <v>87</v>
      </c>
      <c r="E19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0" spans="1:6" x14ac:dyDescent="0.35">
      <c r="A1990" s="3">
        <v>61620877315</v>
      </c>
      <c r="B1990" s="3">
        <v>254</v>
      </c>
      <c r="C1990" s="32">
        <v>49171</v>
      </c>
      <c r="D1990" s="32" t="s">
        <v>87</v>
      </c>
      <c r="E19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1" spans="1:6" x14ac:dyDescent="0.35">
      <c r="A1991" s="3">
        <v>25227024838</v>
      </c>
      <c r="B1991" s="3">
        <v>300</v>
      </c>
      <c r="C1991" s="32">
        <v>49171</v>
      </c>
      <c r="D1991" s="32" t="s">
        <v>87</v>
      </c>
      <c r="E19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2" spans="1:6" x14ac:dyDescent="0.35">
      <c r="A1992" s="3">
        <v>80513600382</v>
      </c>
      <c r="B1992" s="3">
        <v>304</v>
      </c>
      <c r="C1992" s="32">
        <v>49171</v>
      </c>
      <c r="D1992" s="32"/>
      <c r="E19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3" spans="1:6" x14ac:dyDescent="0.35">
      <c r="A1993" s="3">
        <v>25931979716</v>
      </c>
      <c r="B1993" s="3">
        <v>313</v>
      </c>
      <c r="C1993" s="32">
        <v>49171</v>
      </c>
      <c r="D1993" s="32">
        <v>49212</v>
      </c>
      <c r="E19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994" spans="1:6" x14ac:dyDescent="0.35">
      <c r="A1994" s="3">
        <v>20742136191</v>
      </c>
      <c r="B1994" s="3">
        <v>323</v>
      </c>
      <c r="C1994" s="32">
        <v>49171</v>
      </c>
      <c r="D1994" s="32" t="s">
        <v>87</v>
      </c>
      <c r="E19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5" spans="1:6" x14ac:dyDescent="0.35">
      <c r="A1995" s="3">
        <v>26679816806</v>
      </c>
      <c r="B1995" s="3">
        <v>10</v>
      </c>
      <c r="C1995" s="32">
        <v>49172</v>
      </c>
      <c r="D1995" s="32" t="s">
        <v>87</v>
      </c>
      <c r="E19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6" spans="1:6" x14ac:dyDescent="0.35">
      <c r="A1996" s="3">
        <v>43525130372</v>
      </c>
      <c r="B1996" s="3">
        <v>14</v>
      </c>
      <c r="C1996" s="32">
        <v>49172</v>
      </c>
      <c r="D1996" s="32" t="s">
        <v>87</v>
      </c>
      <c r="E19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7" spans="1:6" x14ac:dyDescent="0.35">
      <c r="A1997" s="3">
        <v>65703755003</v>
      </c>
      <c r="B1997" s="3">
        <v>34</v>
      </c>
      <c r="C1997" s="32">
        <v>49172</v>
      </c>
      <c r="D1997" s="32">
        <v>49289</v>
      </c>
      <c r="E19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998" spans="1:6" x14ac:dyDescent="0.35">
      <c r="A1998" s="3">
        <v>64097036240</v>
      </c>
      <c r="B1998" s="3">
        <v>71</v>
      </c>
      <c r="C1998" s="32">
        <v>49172</v>
      </c>
      <c r="D1998" s="32" t="s">
        <v>87</v>
      </c>
      <c r="E19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9" spans="1:6" x14ac:dyDescent="0.35">
      <c r="A1999" s="3">
        <v>30058404113</v>
      </c>
      <c r="B1999" s="3">
        <v>84</v>
      </c>
      <c r="C1999" s="32">
        <v>49172</v>
      </c>
      <c r="D1999" s="32" t="s">
        <v>87</v>
      </c>
      <c r="E19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0" spans="1:6" x14ac:dyDescent="0.35">
      <c r="A2000" s="3">
        <v>95411277511</v>
      </c>
      <c r="B2000" s="3">
        <v>92</v>
      </c>
      <c r="C2000" s="32">
        <v>49172</v>
      </c>
      <c r="D2000" s="32">
        <v>49260</v>
      </c>
      <c r="E20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01" spans="1:6" x14ac:dyDescent="0.35">
      <c r="A2001" s="3">
        <v>61619947035</v>
      </c>
      <c r="B2001" s="3">
        <v>96</v>
      </c>
      <c r="C2001" s="32">
        <v>49172</v>
      </c>
      <c r="D2001" s="32" t="s">
        <v>87</v>
      </c>
      <c r="E20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2" spans="1:6" x14ac:dyDescent="0.35">
      <c r="A2002" s="3">
        <v>35723535549</v>
      </c>
      <c r="B2002" s="3">
        <v>107</v>
      </c>
      <c r="C2002" s="32">
        <v>49172</v>
      </c>
      <c r="D2002" s="32" t="s">
        <v>87</v>
      </c>
      <c r="E20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3" spans="1:6" x14ac:dyDescent="0.35">
      <c r="A2003" s="3">
        <v>35872395570</v>
      </c>
      <c r="B2003" s="3">
        <v>116</v>
      </c>
      <c r="C2003" s="32">
        <v>49172</v>
      </c>
      <c r="D2003" s="32" t="s">
        <v>87</v>
      </c>
      <c r="E20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4" spans="1:6" x14ac:dyDescent="0.35">
      <c r="A2004" s="3">
        <v>69588972051</v>
      </c>
      <c r="B2004" s="3">
        <v>117</v>
      </c>
      <c r="C2004" s="32">
        <v>49172</v>
      </c>
      <c r="D2004" s="32">
        <v>49202</v>
      </c>
      <c r="E20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05" spans="1:6" x14ac:dyDescent="0.35">
      <c r="A2005" s="3">
        <v>79557331093</v>
      </c>
      <c r="B2005" s="3">
        <v>150</v>
      </c>
      <c r="C2005" s="32">
        <v>49172</v>
      </c>
      <c r="D2005" s="32"/>
      <c r="E20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6" spans="1:6" x14ac:dyDescent="0.35">
      <c r="A2006" s="3">
        <v>85490112021</v>
      </c>
      <c r="B2006" s="3">
        <v>150</v>
      </c>
      <c r="C2006" s="32">
        <v>49172</v>
      </c>
      <c r="D2006" s="32" t="s">
        <v>87</v>
      </c>
      <c r="E20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7" spans="1:6" x14ac:dyDescent="0.35">
      <c r="A2007" s="3">
        <v>27195582973</v>
      </c>
      <c r="B2007" s="3">
        <v>153</v>
      </c>
      <c r="C2007" s="32">
        <v>49172</v>
      </c>
      <c r="D2007" s="32">
        <v>49230</v>
      </c>
      <c r="E20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08" spans="1:6" x14ac:dyDescent="0.35">
      <c r="A2008" s="3">
        <v>29151595583</v>
      </c>
      <c r="B2008" s="3">
        <v>164</v>
      </c>
      <c r="C2008" s="32">
        <v>49172</v>
      </c>
      <c r="D2008" s="32" t="s">
        <v>87</v>
      </c>
      <c r="E20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9" spans="1:6" x14ac:dyDescent="0.35">
      <c r="A2009" s="3">
        <v>93610280949</v>
      </c>
      <c r="B2009" s="3">
        <v>170</v>
      </c>
      <c r="C2009" s="32">
        <v>49172</v>
      </c>
      <c r="D2009" s="32" t="s">
        <v>87</v>
      </c>
      <c r="E20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0" spans="1:6" x14ac:dyDescent="0.35">
      <c r="A2010" s="3">
        <v>52160336050</v>
      </c>
      <c r="B2010" s="3">
        <v>175</v>
      </c>
      <c r="C2010" s="32">
        <v>49172</v>
      </c>
      <c r="D2010" s="32" t="s">
        <v>87</v>
      </c>
      <c r="E20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1" spans="1:6" x14ac:dyDescent="0.35">
      <c r="A2011" s="3">
        <v>99030425279</v>
      </c>
      <c r="B2011" s="3">
        <v>198</v>
      </c>
      <c r="C2011" s="32">
        <v>49172</v>
      </c>
      <c r="D2011" s="32" t="s">
        <v>87</v>
      </c>
      <c r="E20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2" spans="1:6" x14ac:dyDescent="0.35">
      <c r="A2012" s="3">
        <v>43394252865</v>
      </c>
      <c r="B2012" s="3">
        <v>201</v>
      </c>
      <c r="C2012" s="32">
        <v>49172</v>
      </c>
      <c r="D2012" s="32">
        <v>49198</v>
      </c>
      <c r="E20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13" spans="1:6" x14ac:dyDescent="0.35">
      <c r="A2013" s="3">
        <v>81307194086</v>
      </c>
      <c r="B2013" s="3">
        <v>205</v>
      </c>
      <c r="C2013" s="32">
        <v>49172</v>
      </c>
      <c r="D2013" s="32" t="s">
        <v>87</v>
      </c>
      <c r="E20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4" spans="1:6" x14ac:dyDescent="0.35">
      <c r="A2014" s="3">
        <v>95877988309</v>
      </c>
      <c r="B2014" s="3">
        <v>229</v>
      </c>
      <c r="C2014" s="32">
        <v>49172</v>
      </c>
      <c r="D2014" s="32"/>
      <c r="E20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5" spans="1:6" x14ac:dyDescent="0.35">
      <c r="A2015" s="3">
        <v>33490749940</v>
      </c>
      <c r="B2015" s="3">
        <v>329</v>
      </c>
      <c r="C2015" s="32">
        <v>49172</v>
      </c>
      <c r="D2015" s="32" t="s">
        <v>87</v>
      </c>
      <c r="E20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6" spans="1:6" x14ac:dyDescent="0.35">
      <c r="A2016" s="3">
        <v>52731712412</v>
      </c>
      <c r="B2016" s="3">
        <v>9</v>
      </c>
      <c r="C2016" s="32">
        <v>49173</v>
      </c>
      <c r="D2016" s="32" t="s">
        <v>87</v>
      </c>
      <c r="E20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7" spans="1:6" x14ac:dyDescent="0.35">
      <c r="A2017" s="3">
        <v>21112848134</v>
      </c>
      <c r="B2017" s="3">
        <v>22</v>
      </c>
      <c r="C2017" s="32">
        <v>49173</v>
      </c>
      <c r="D2017" s="32" t="s">
        <v>87</v>
      </c>
      <c r="E20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8" spans="1:6" x14ac:dyDescent="0.35">
      <c r="A2018" s="3">
        <v>58220392556</v>
      </c>
      <c r="B2018" s="3">
        <v>24</v>
      </c>
      <c r="C2018" s="32">
        <v>49173</v>
      </c>
      <c r="D2018" s="32">
        <v>49282</v>
      </c>
      <c r="E20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019" spans="1:6" x14ac:dyDescent="0.35">
      <c r="A2019" s="3">
        <v>37466989845</v>
      </c>
      <c r="B2019" s="3">
        <v>58</v>
      </c>
      <c r="C2019" s="32">
        <v>49173</v>
      </c>
      <c r="D2019" s="32">
        <v>49285</v>
      </c>
      <c r="E20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020" spans="1:6" x14ac:dyDescent="0.35">
      <c r="A2020" s="3">
        <v>56073590346</v>
      </c>
      <c r="B2020" s="3">
        <v>89</v>
      </c>
      <c r="C2020" s="32">
        <v>49173</v>
      </c>
      <c r="D2020" s="32" t="s">
        <v>87</v>
      </c>
      <c r="E20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1" spans="1:6" x14ac:dyDescent="0.35">
      <c r="A2021" s="3">
        <v>79515182961</v>
      </c>
      <c r="B2021" s="3">
        <v>94</v>
      </c>
      <c r="C2021" s="32">
        <v>49173</v>
      </c>
      <c r="D2021" s="32" t="s">
        <v>87</v>
      </c>
      <c r="E20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2" spans="1:6" x14ac:dyDescent="0.35">
      <c r="A2022" s="3">
        <v>51672648963</v>
      </c>
      <c r="B2022" s="3">
        <v>97</v>
      </c>
      <c r="C2022" s="32">
        <v>49173</v>
      </c>
      <c r="D2022" s="32"/>
      <c r="E20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3" spans="1:6" x14ac:dyDescent="0.35">
      <c r="A2023" s="3">
        <v>24323484962</v>
      </c>
      <c r="B2023" s="3">
        <v>99</v>
      </c>
      <c r="C2023" s="32">
        <v>49173</v>
      </c>
      <c r="D2023" s="32" t="s">
        <v>87</v>
      </c>
      <c r="E20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4" spans="1:6" x14ac:dyDescent="0.35">
      <c r="A2024" s="3">
        <v>76192602983</v>
      </c>
      <c r="B2024" s="3">
        <v>103</v>
      </c>
      <c r="C2024" s="32">
        <v>49173</v>
      </c>
      <c r="D2024" s="32" t="s">
        <v>87</v>
      </c>
      <c r="E20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5" spans="1:6" x14ac:dyDescent="0.35">
      <c r="A2025" s="3">
        <v>90853673757</v>
      </c>
      <c r="B2025" s="3">
        <v>109</v>
      </c>
      <c r="C2025" s="32">
        <v>49173</v>
      </c>
      <c r="D2025" s="32"/>
      <c r="E20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6" spans="1:6" x14ac:dyDescent="0.35">
      <c r="A2026" s="3">
        <v>77109061500</v>
      </c>
      <c r="B2026" s="3">
        <v>168</v>
      </c>
      <c r="C2026" s="32">
        <v>49173</v>
      </c>
      <c r="D2026" s="32" t="s">
        <v>87</v>
      </c>
      <c r="E20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7" spans="1:6" x14ac:dyDescent="0.35">
      <c r="A2027" s="3">
        <v>50495431113</v>
      </c>
      <c r="B2027" s="3">
        <v>196</v>
      </c>
      <c r="C2027" s="32">
        <v>49173</v>
      </c>
      <c r="D2027" s="32"/>
      <c r="E20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8" spans="1:6" x14ac:dyDescent="0.35">
      <c r="A2028" s="3">
        <v>45412331482</v>
      </c>
      <c r="B2028" s="3">
        <v>203</v>
      </c>
      <c r="C2028" s="32">
        <v>49173</v>
      </c>
      <c r="D2028" s="32" t="s">
        <v>87</v>
      </c>
      <c r="E20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9" spans="1:6" x14ac:dyDescent="0.35">
      <c r="A2029" s="3">
        <v>49356982495</v>
      </c>
      <c r="B2029" s="3">
        <v>234</v>
      </c>
      <c r="C2029" s="32">
        <v>49173</v>
      </c>
      <c r="D2029" s="32"/>
      <c r="E20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0" spans="1:6" x14ac:dyDescent="0.35">
      <c r="A2030" s="3">
        <v>81041044370</v>
      </c>
      <c r="B2030" s="3">
        <v>235</v>
      </c>
      <c r="C2030" s="32">
        <v>49173</v>
      </c>
      <c r="D2030" s="32">
        <v>49252</v>
      </c>
      <c r="E20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31" spans="1:6" x14ac:dyDescent="0.35">
      <c r="A2031" s="3">
        <v>62423950619</v>
      </c>
      <c r="B2031" s="3">
        <v>238</v>
      </c>
      <c r="C2031" s="32">
        <v>49173</v>
      </c>
      <c r="D2031" s="32" t="s">
        <v>87</v>
      </c>
      <c r="E20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2" spans="1:6" x14ac:dyDescent="0.35">
      <c r="A2032" s="3">
        <v>94982832301</v>
      </c>
      <c r="B2032" s="3">
        <v>244</v>
      </c>
      <c r="C2032" s="32">
        <v>49173</v>
      </c>
      <c r="D2032" s="32" t="s">
        <v>87</v>
      </c>
      <c r="E20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3" spans="1:6" x14ac:dyDescent="0.35">
      <c r="A2033" s="3">
        <v>87282161384</v>
      </c>
      <c r="B2033" s="3">
        <v>252</v>
      </c>
      <c r="C2033" s="32">
        <v>49173</v>
      </c>
      <c r="D2033" s="32"/>
      <c r="E20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4" spans="1:6" x14ac:dyDescent="0.35">
      <c r="A2034" s="3">
        <v>52502316429</v>
      </c>
      <c r="B2034" s="3">
        <v>253</v>
      </c>
      <c r="C2034" s="32">
        <v>49173</v>
      </c>
      <c r="D2034" s="32" t="s">
        <v>87</v>
      </c>
      <c r="E20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5" spans="1:6" x14ac:dyDescent="0.35">
      <c r="A2035" s="3">
        <v>72736582305</v>
      </c>
      <c r="B2035" s="3">
        <v>276</v>
      </c>
      <c r="C2035" s="32">
        <v>49173</v>
      </c>
      <c r="D2035" s="32" t="s">
        <v>87</v>
      </c>
      <c r="E20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6" spans="1:6" x14ac:dyDescent="0.35">
      <c r="A2036" s="3">
        <v>92703422800</v>
      </c>
      <c r="B2036" s="3">
        <v>293</v>
      </c>
      <c r="C2036" s="32">
        <v>49173</v>
      </c>
      <c r="D2036" s="32" t="s">
        <v>87</v>
      </c>
      <c r="E20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7" spans="1:6" x14ac:dyDescent="0.35">
      <c r="A2037" s="3">
        <v>34263668827</v>
      </c>
      <c r="B2037" s="3">
        <v>302</v>
      </c>
      <c r="C2037" s="32">
        <v>49173</v>
      </c>
      <c r="D2037" s="32" t="s">
        <v>87</v>
      </c>
      <c r="E20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8" spans="1:6" x14ac:dyDescent="0.35">
      <c r="A2038" s="3">
        <v>30285813485</v>
      </c>
      <c r="B2038" s="3">
        <v>320</v>
      </c>
      <c r="C2038" s="32">
        <v>49173</v>
      </c>
      <c r="D2038" s="32" t="s">
        <v>87</v>
      </c>
      <c r="E20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9" spans="1:6" x14ac:dyDescent="0.35">
      <c r="A2039" s="3">
        <v>36523520055</v>
      </c>
      <c r="B2039" s="3">
        <v>326</v>
      </c>
      <c r="C2039" s="32">
        <v>49173</v>
      </c>
      <c r="D2039" s="32" t="s">
        <v>87</v>
      </c>
      <c r="E20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0" spans="1:6" x14ac:dyDescent="0.35">
      <c r="A2040" s="3">
        <v>98948017834</v>
      </c>
      <c r="B2040" s="3">
        <v>326</v>
      </c>
      <c r="C2040" s="32">
        <v>49173</v>
      </c>
      <c r="D2040" s="32">
        <v>49253</v>
      </c>
      <c r="E20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41" spans="1:6" x14ac:dyDescent="0.35">
      <c r="A2041" s="3">
        <v>74730872469</v>
      </c>
      <c r="B2041" s="3">
        <v>31</v>
      </c>
      <c r="C2041" s="32">
        <v>49174</v>
      </c>
      <c r="D2041" s="32">
        <v>49292</v>
      </c>
      <c r="E20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042" spans="1:6" x14ac:dyDescent="0.35">
      <c r="A2042" s="3">
        <v>29583650585</v>
      </c>
      <c r="B2042" s="3">
        <v>36</v>
      </c>
      <c r="C2042" s="32">
        <v>49174</v>
      </c>
      <c r="D2042" s="32">
        <v>49282</v>
      </c>
      <c r="E20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043" spans="1:6" x14ac:dyDescent="0.35">
      <c r="A2043" s="3">
        <v>65815515862</v>
      </c>
      <c r="B2043" s="3">
        <v>37</v>
      </c>
      <c r="C2043" s="32">
        <v>49174</v>
      </c>
      <c r="D2043" s="32" t="s">
        <v>87</v>
      </c>
      <c r="E20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4" spans="1:6" x14ac:dyDescent="0.35">
      <c r="A2044" s="3">
        <v>37107090388</v>
      </c>
      <c r="B2044" s="3">
        <v>61</v>
      </c>
      <c r="C2044" s="32">
        <v>49174</v>
      </c>
      <c r="D2044" s="32" t="s">
        <v>87</v>
      </c>
      <c r="E20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5" spans="1:6" x14ac:dyDescent="0.35">
      <c r="A2045" s="3">
        <v>53372617574</v>
      </c>
      <c r="B2045" s="3">
        <v>70</v>
      </c>
      <c r="C2045" s="32">
        <v>49174</v>
      </c>
      <c r="D2045" s="32"/>
      <c r="E20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6" spans="1:6" x14ac:dyDescent="0.35">
      <c r="A2046" s="3">
        <v>96323551787</v>
      </c>
      <c r="B2046" s="3">
        <v>73</v>
      </c>
      <c r="C2046" s="32">
        <v>49174</v>
      </c>
      <c r="D2046" s="32" t="s">
        <v>87</v>
      </c>
      <c r="E20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7" spans="1:6" x14ac:dyDescent="0.35">
      <c r="A2047" s="3">
        <v>95918220378</v>
      </c>
      <c r="B2047" s="3">
        <v>90</v>
      </c>
      <c r="C2047" s="32">
        <v>49174</v>
      </c>
      <c r="D2047" s="32">
        <v>49246</v>
      </c>
      <c r="E20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48" spans="1:6" x14ac:dyDescent="0.35">
      <c r="A2048" s="3">
        <v>51166213884</v>
      </c>
      <c r="B2048" s="3">
        <v>96</v>
      </c>
      <c r="C2048" s="32">
        <v>49174</v>
      </c>
      <c r="D2048" s="32" t="s">
        <v>87</v>
      </c>
      <c r="E20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9" spans="1:6" x14ac:dyDescent="0.35">
      <c r="A2049" s="3">
        <v>71632987496</v>
      </c>
      <c r="B2049" s="3">
        <v>108</v>
      </c>
      <c r="C2049" s="32">
        <v>49174</v>
      </c>
      <c r="D2049" s="32">
        <v>49201</v>
      </c>
      <c r="E20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50" spans="1:6" x14ac:dyDescent="0.35">
      <c r="A2050" s="3">
        <v>70873577141</v>
      </c>
      <c r="B2050" s="3">
        <v>111</v>
      </c>
      <c r="C2050" s="32">
        <v>49174</v>
      </c>
      <c r="D2050" s="32">
        <v>49189</v>
      </c>
      <c r="E20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51" spans="1:6" x14ac:dyDescent="0.35">
      <c r="A2051" s="3">
        <v>98330573270</v>
      </c>
      <c r="B2051" s="3">
        <v>113</v>
      </c>
      <c r="C2051" s="32">
        <v>49174</v>
      </c>
      <c r="D2051" s="32"/>
      <c r="E20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52" spans="1:6" x14ac:dyDescent="0.35">
      <c r="A2052" s="3">
        <v>36688024134</v>
      </c>
      <c r="B2052" s="3">
        <v>117</v>
      </c>
      <c r="C2052" s="32">
        <v>49174</v>
      </c>
      <c r="D2052" s="32" t="s">
        <v>87</v>
      </c>
      <c r="E20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53" spans="1:6" x14ac:dyDescent="0.35">
      <c r="A2053" s="3">
        <v>27980271502</v>
      </c>
      <c r="B2053" s="3">
        <v>150</v>
      </c>
      <c r="C2053" s="32">
        <v>49174</v>
      </c>
      <c r="D2053" s="32">
        <v>49271</v>
      </c>
      <c r="E20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54" spans="1:6" x14ac:dyDescent="0.35">
      <c r="A2054" s="3">
        <v>97186913070</v>
      </c>
      <c r="B2054" s="3">
        <v>158</v>
      </c>
      <c r="C2054" s="32">
        <v>49174</v>
      </c>
      <c r="D2054" s="32" t="s">
        <v>87</v>
      </c>
      <c r="E20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55" spans="1:6" x14ac:dyDescent="0.35">
      <c r="A2055" s="3">
        <v>72299635350</v>
      </c>
      <c r="B2055" s="3">
        <v>161</v>
      </c>
      <c r="C2055" s="32">
        <v>49174</v>
      </c>
      <c r="D2055" s="32" t="s">
        <v>87</v>
      </c>
      <c r="E20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56" spans="1:6" x14ac:dyDescent="0.35">
      <c r="A2056" s="3">
        <v>32801292282</v>
      </c>
      <c r="B2056" s="3">
        <v>210</v>
      </c>
      <c r="C2056" s="32">
        <v>49174</v>
      </c>
      <c r="D2056" s="32">
        <v>49272</v>
      </c>
      <c r="E20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57" spans="1:6" x14ac:dyDescent="0.35">
      <c r="A2057" s="3">
        <v>67959414174</v>
      </c>
      <c r="B2057" s="3">
        <v>229</v>
      </c>
      <c r="C2057" s="32">
        <v>49174</v>
      </c>
      <c r="D2057" s="32">
        <v>49211</v>
      </c>
      <c r="E20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58" spans="1:6" x14ac:dyDescent="0.35">
      <c r="A2058" s="3">
        <v>82664822830</v>
      </c>
      <c r="B2058" s="3">
        <v>254</v>
      </c>
      <c r="C2058" s="32">
        <v>49174</v>
      </c>
      <c r="D2058" s="32" t="s">
        <v>87</v>
      </c>
      <c r="E20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59" spans="1:6" x14ac:dyDescent="0.35">
      <c r="A2059" s="3">
        <v>99425591347</v>
      </c>
      <c r="B2059" s="3">
        <v>276</v>
      </c>
      <c r="C2059" s="32">
        <v>49174</v>
      </c>
      <c r="D2059" s="32">
        <v>49246</v>
      </c>
      <c r="E20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60" spans="1:6" x14ac:dyDescent="0.35">
      <c r="A2060" s="3">
        <v>97386097994</v>
      </c>
      <c r="B2060" s="3">
        <v>286</v>
      </c>
      <c r="C2060" s="32">
        <v>49174</v>
      </c>
      <c r="D2060" s="32" t="s">
        <v>87</v>
      </c>
      <c r="E20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1" spans="1:6" x14ac:dyDescent="0.35">
      <c r="A2061" s="3">
        <v>57208653195</v>
      </c>
      <c r="B2061" s="3">
        <v>288</v>
      </c>
      <c r="C2061" s="32">
        <v>49174</v>
      </c>
      <c r="D2061" s="32" t="s">
        <v>87</v>
      </c>
      <c r="E20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2" spans="1:6" x14ac:dyDescent="0.35">
      <c r="A2062" s="3">
        <v>56481695595</v>
      </c>
      <c r="B2062" s="3">
        <v>289</v>
      </c>
      <c r="C2062" s="32">
        <v>49174</v>
      </c>
      <c r="D2062" s="32" t="s">
        <v>87</v>
      </c>
      <c r="E20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3" spans="1:6" x14ac:dyDescent="0.35">
      <c r="A2063" s="3">
        <v>54768019285</v>
      </c>
      <c r="B2063" s="3">
        <v>324</v>
      </c>
      <c r="C2063" s="32">
        <v>49174</v>
      </c>
      <c r="D2063" s="32">
        <v>49229</v>
      </c>
      <c r="E20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64" spans="1:6" x14ac:dyDescent="0.35">
      <c r="A2064" s="3">
        <v>13640455725</v>
      </c>
      <c r="B2064" s="3">
        <v>14</v>
      </c>
      <c r="C2064" s="32">
        <v>49175</v>
      </c>
      <c r="D2064" s="32" t="s">
        <v>87</v>
      </c>
      <c r="E20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5" spans="1:6" x14ac:dyDescent="0.35">
      <c r="A2065" s="3">
        <v>95222989933</v>
      </c>
      <c r="B2065" s="3">
        <v>24</v>
      </c>
      <c r="C2065" s="32">
        <v>49175</v>
      </c>
      <c r="D2065" s="32"/>
      <c r="E20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6" spans="1:6" x14ac:dyDescent="0.35">
      <c r="A2066" s="3">
        <v>89495622312</v>
      </c>
      <c r="B2066" s="3">
        <v>28</v>
      </c>
      <c r="C2066" s="32">
        <v>49175</v>
      </c>
      <c r="D2066" s="32" t="s">
        <v>87</v>
      </c>
      <c r="E20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7" spans="1:6" x14ac:dyDescent="0.35">
      <c r="A2067" s="3">
        <v>47149499414</v>
      </c>
      <c r="B2067" s="3">
        <v>48</v>
      </c>
      <c r="C2067" s="32">
        <v>49175</v>
      </c>
      <c r="D2067" s="32" t="s">
        <v>87</v>
      </c>
      <c r="E20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8" spans="1:6" x14ac:dyDescent="0.35">
      <c r="A2068" s="3">
        <v>60371158253</v>
      </c>
      <c r="B2068" s="3">
        <v>52</v>
      </c>
      <c r="C2068" s="32">
        <v>49175</v>
      </c>
      <c r="D2068" s="32" t="s">
        <v>87</v>
      </c>
      <c r="E20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9" spans="1:6" x14ac:dyDescent="0.35">
      <c r="A2069" s="3">
        <v>96851450314</v>
      </c>
      <c r="B2069" s="3">
        <v>68</v>
      </c>
      <c r="C2069" s="32">
        <v>49175</v>
      </c>
      <c r="D2069" s="32" t="s">
        <v>87</v>
      </c>
      <c r="E20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0" spans="1:6" x14ac:dyDescent="0.35">
      <c r="A2070" s="3">
        <v>74657281615</v>
      </c>
      <c r="B2070" s="3">
        <v>90</v>
      </c>
      <c r="C2070" s="32">
        <v>49175</v>
      </c>
      <c r="D2070" s="32" t="s">
        <v>87</v>
      </c>
      <c r="E20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1" spans="1:6" x14ac:dyDescent="0.35">
      <c r="A2071" s="3">
        <v>30657026834</v>
      </c>
      <c r="B2071" s="3">
        <v>96</v>
      </c>
      <c r="C2071" s="32">
        <v>49175</v>
      </c>
      <c r="D2071" s="32">
        <v>49238</v>
      </c>
      <c r="E20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72" spans="1:6" x14ac:dyDescent="0.35">
      <c r="A2072" s="3">
        <v>48756259129</v>
      </c>
      <c r="B2072" s="3">
        <v>138</v>
      </c>
      <c r="C2072" s="32">
        <v>49175</v>
      </c>
      <c r="D2072" s="32" t="s">
        <v>87</v>
      </c>
      <c r="E20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3" spans="1:6" x14ac:dyDescent="0.35">
      <c r="A2073" s="3">
        <v>75368089957</v>
      </c>
      <c r="B2073" s="3">
        <v>141</v>
      </c>
      <c r="C2073" s="32">
        <v>49175</v>
      </c>
      <c r="D2073" s="32" t="s">
        <v>87</v>
      </c>
      <c r="E20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4" spans="1:6" x14ac:dyDescent="0.35">
      <c r="A2074" s="3">
        <v>94108612694</v>
      </c>
      <c r="B2074" s="3">
        <v>143</v>
      </c>
      <c r="C2074" s="32">
        <v>49175</v>
      </c>
      <c r="D2074" s="32">
        <v>49255</v>
      </c>
      <c r="E20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75" spans="1:6" x14ac:dyDescent="0.35">
      <c r="A2075" s="3">
        <v>76194272752</v>
      </c>
      <c r="B2075" s="3">
        <v>151</v>
      </c>
      <c r="C2075" s="32">
        <v>49175</v>
      </c>
      <c r="D2075" s="32" t="s">
        <v>87</v>
      </c>
      <c r="E20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6" spans="1:6" x14ac:dyDescent="0.35">
      <c r="A2076" s="3">
        <v>98137973587</v>
      </c>
      <c r="B2076" s="3">
        <v>160</v>
      </c>
      <c r="C2076" s="32">
        <v>49175</v>
      </c>
      <c r="D2076" s="32"/>
      <c r="E20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7" spans="1:6" x14ac:dyDescent="0.35">
      <c r="A2077" s="3">
        <v>68832226801</v>
      </c>
      <c r="B2077" s="3">
        <v>160</v>
      </c>
      <c r="C2077" s="32">
        <v>49175</v>
      </c>
      <c r="D2077" s="32" t="s">
        <v>87</v>
      </c>
      <c r="E20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8" spans="1:6" x14ac:dyDescent="0.35">
      <c r="A2078" s="3">
        <v>46933717410</v>
      </c>
      <c r="B2078" s="3">
        <v>166</v>
      </c>
      <c r="C2078" s="32">
        <v>49175</v>
      </c>
      <c r="D2078" s="32">
        <v>49293</v>
      </c>
      <c r="E20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079" spans="1:6" x14ac:dyDescent="0.35">
      <c r="A2079" s="3">
        <v>79066061623</v>
      </c>
      <c r="B2079" s="3">
        <v>182</v>
      </c>
      <c r="C2079" s="32">
        <v>49175</v>
      </c>
      <c r="D2079" s="32"/>
      <c r="E20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0" spans="1:6" x14ac:dyDescent="0.35">
      <c r="A2080" s="3">
        <v>58935440493</v>
      </c>
      <c r="B2080" s="3">
        <v>187</v>
      </c>
      <c r="C2080" s="32">
        <v>49175</v>
      </c>
      <c r="D2080" s="32"/>
      <c r="E20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1" spans="1:6" x14ac:dyDescent="0.35">
      <c r="A2081" s="3">
        <v>98806937668</v>
      </c>
      <c r="B2081" s="3">
        <v>206</v>
      </c>
      <c r="C2081" s="32">
        <v>49175</v>
      </c>
      <c r="D2081" s="32" t="s">
        <v>87</v>
      </c>
      <c r="E20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2" spans="1:6" x14ac:dyDescent="0.35">
      <c r="A2082" s="3">
        <v>57559605684</v>
      </c>
      <c r="B2082" s="3">
        <v>209</v>
      </c>
      <c r="C2082" s="32">
        <v>49175</v>
      </c>
      <c r="D2082" s="32" t="s">
        <v>87</v>
      </c>
      <c r="E20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3" spans="1:6" x14ac:dyDescent="0.35">
      <c r="A2083" s="3">
        <v>73243724003</v>
      </c>
      <c r="B2083" s="3">
        <v>225</v>
      </c>
      <c r="C2083" s="32">
        <v>49175</v>
      </c>
      <c r="D2083" s="32" t="s">
        <v>87</v>
      </c>
      <c r="E20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4" spans="1:6" x14ac:dyDescent="0.35">
      <c r="A2084" s="3">
        <v>98287829588</v>
      </c>
      <c r="B2084" s="3">
        <v>259</v>
      </c>
      <c r="C2084" s="32">
        <v>49175</v>
      </c>
      <c r="D2084" s="32" t="s">
        <v>87</v>
      </c>
      <c r="E20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5" spans="1:6" x14ac:dyDescent="0.35">
      <c r="A2085" s="3">
        <v>83234967341</v>
      </c>
      <c r="B2085" s="3">
        <v>262</v>
      </c>
      <c r="C2085" s="32">
        <v>49175</v>
      </c>
      <c r="D2085" s="32" t="s">
        <v>87</v>
      </c>
      <c r="E20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6" spans="1:6" x14ac:dyDescent="0.35">
      <c r="A2086" s="3">
        <v>12253436966</v>
      </c>
      <c r="B2086" s="3">
        <v>282</v>
      </c>
      <c r="C2086" s="32">
        <v>49175</v>
      </c>
      <c r="D2086" s="32">
        <v>49210</v>
      </c>
      <c r="E20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87" spans="1:6" x14ac:dyDescent="0.35">
      <c r="A2087" s="3">
        <v>46622353825</v>
      </c>
      <c r="B2087" s="3">
        <v>289</v>
      </c>
      <c r="C2087" s="32">
        <v>49175</v>
      </c>
      <c r="D2087" s="32" t="s">
        <v>87</v>
      </c>
      <c r="E20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8" spans="1:6" x14ac:dyDescent="0.35">
      <c r="A2088" s="3">
        <v>76668210512</v>
      </c>
      <c r="B2088" s="3">
        <v>292</v>
      </c>
      <c r="C2088" s="32">
        <v>49175</v>
      </c>
      <c r="D2088" s="32">
        <v>49249</v>
      </c>
      <c r="E20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89" spans="1:6" x14ac:dyDescent="0.35">
      <c r="A2089" s="3">
        <v>38675550074</v>
      </c>
      <c r="B2089" s="3">
        <v>298</v>
      </c>
      <c r="C2089" s="32">
        <v>49175</v>
      </c>
      <c r="D2089" s="32">
        <v>49215</v>
      </c>
      <c r="E20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90" spans="1:6" x14ac:dyDescent="0.35">
      <c r="A2090" s="3">
        <v>24343798699</v>
      </c>
      <c r="B2090" s="3">
        <v>299</v>
      </c>
      <c r="C2090" s="32">
        <v>49175</v>
      </c>
      <c r="D2090" s="32" t="s">
        <v>87</v>
      </c>
      <c r="E20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1" spans="1:6" x14ac:dyDescent="0.35">
      <c r="A2091" s="3">
        <v>39551670088</v>
      </c>
      <c r="B2091" s="3">
        <v>305</v>
      </c>
      <c r="C2091" s="32">
        <v>49175</v>
      </c>
      <c r="D2091" s="32" t="s">
        <v>87</v>
      </c>
      <c r="E20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2" spans="1:6" x14ac:dyDescent="0.35">
      <c r="A2092" s="3">
        <v>11521116332</v>
      </c>
      <c r="B2092" s="3">
        <v>308</v>
      </c>
      <c r="C2092" s="32">
        <v>49175</v>
      </c>
      <c r="D2092" s="32" t="s">
        <v>87</v>
      </c>
      <c r="E20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3" spans="1:6" x14ac:dyDescent="0.35">
      <c r="A2093" s="3">
        <v>20628507133</v>
      </c>
      <c r="B2093" s="3">
        <v>327</v>
      </c>
      <c r="C2093" s="32">
        <v>49175</v>
      </c>
      <c r="D2093" s="32">
        <v>49284</v>
      </c>
      <c r="E20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094" spans="1:6" x14ac:dyDescent="0.35">
      <c r="A2094" s="3">
        <v>33356560548</v>
      </c>
      <c r="B2094" s="3">
        <v>327</v>
      </c>
      <c r="C2094" s="32">
        <v>49175</v>
      </c>
      <c r="D2094" s="32">
        <v>49208</v>
      </c>
      <c r="E20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95" spans="1:6" x14ac:dyDescent="0.35">
      <c r="A2095" s="3">
        <v>55852176677</v>
      </c>
      <c r="B2095" s="3">
        <v>8</v>
      </c>
      <c r="C2095" s="32">
        <v>49176</v>
      </c>
      <c r="D2095" s="32"/>
      <c r="E20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6" spans="1:6" x14ac:dyDescent="0.35">
      <c r="A2096" s="3">
        <v>54565176914</v>
      </c>
      <c r="B2096" s="3">
        <v>13</v>
      </c>
      <c r="C2096" s="32">
        <v>49176</v>
      </c>
      <c r="D2096" s="32" t="s">
        <v>87</v>
      </c>
      <c r="E20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7" spans="1:6" x14ac:dyDescent="0.35">
      <c r="A2097" s="3">
        <v>46615194903</v>
      </c>
      <c r="B2097" s="3">
        <v>30</v>
      </c>
      <c r="C2097" s="32">
        <v>49176</v>
      </c>
      <c r="D2097" s="32"/>
      <c r="E20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8" spans="1:6" x14ac:dyDescent="0.35">
      <c r="A2098" s="3">
        <v>25272231377</v>
      </c>
      <c r="B2098" s="3">
        <v>67</v>
      </c>
      <c r="C2098" s="32">
        <v>49176</v>
      </c>
      <c r="D2098" s="32"/>
      <c r="E20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9" spans="1:6" x14ac:dyDescent="0.35">
      <c r="A2099" s="3">
        <v>95079254038</v>
      </c>
      <c r="B2099" s="3">
        <v>102</v>
      </c>
      <c r="C2099" s="32">
        <v>49176</v>
      </c>
      <c r="D2099" s="32" t="s">
        <v>87</v>
      </c>
      <c r="E20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00" spans="1:6" x14ac:dyDescent="0.35">
      <c r="A2100" s="3">
        <v>53153251780</v>
      </c>
      <c r="B2100" s="3">
        <v>112</v>
      </c>
      <c r="C2100" s="32">
        <v>49176</v>
      </c>
      <c r="D2100" s="32" t="s">
        <v>87</v>
      </c>
      <c r="E2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01" spans="1:6" x14ac:dyDescent="0.35">
      <c r="A2101" s="3">
        <v>28381639640</v>
      </c>
      <c r="B2101" s="3">
        <v>116</v>
      </c>
      <c r="C2101" s="32">
        <v>49176</v>
      </c>
      <c r="D2101" s="32"/>
      <c r="E2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02" spans="1:6" x14ac:dyDescent="0.35">
      <c r="A2102" s="3">
        <v>36032283326</v>
      </c>
      <c r="B2102" s="3">
        <v>121</v>
      </c>
      <c r="C2102" s="32">
        <v>49176</v>
      </c>
      <c r="D2102" s="32">
        <v>49180</v>
      </c>
      <c r="E2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103" spans="1:6" x14ac:dyDescent="0.35">
      <c r="A2103" s="3">
        <v>24107470218</v>
      </c>
      <c r="B2103" s="3">
        <v>124</v>
      </c>
      <c r="C2103" s="32">
        <v>49176</v>
      </c>
      <c r="D2103" s="32" t="s">
        <v>87</v>
      </c>
      <c r="E2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04" spans="1:6" x14ac:dyDescent="0.35">
      <c r="A2104" s="3">
        <v>51625412662</v>
      </c>
      <c r="B2104" s="3">
        <v>124</v>
      </c>
      <c r="C2104" s="32">
        <v>49176</v>
      </c>
      <c r="D2104" s="32">
        <v>49226</v>
      </c>
      <c r="E2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105" spans="1:6" x14ac:dyDescent="0.35">
      <c r="A2105" s="3">
        <v>28809433892</v>
      </c>
      <c r="B2105" s="3">
        <v>128</v>
      </c>
      <c r="C2105" s="32">
        <v>49176</v>
      </c>
      <c r="D2105" s="32">
        <v>49284</v>
      </c>
      <c r="E2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106" spans="1:6" x14ac:dyDescent="0.35">
      <c r="A2106" s="3">
        <v>73991346705</v>
      </c>
      <c r="B2106" s="3">
        <v>133</v>
      </c>
      <c r="C2106" s="32">
        <v>49176</v>
      </c>
      <c r="D2106" s="32">
        <v>49229</v>
      </c>
      <c r="E2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107" spans="1:6" x14ac:dyDescent="0.35">
      <c r="A2107" s="3">
        <v>28916070337</v>
      </c>
      <c r="B2107" s="3">
        <v>136</v>
      </c>
      <c r="C2107" s="32">
        <v>49176</v>
      </c>
      <c r="D2107" s="32"/>
      <c r="E2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08" spans="1:6" x14ac:dyDescent="0.35">
      <c r="A2108" s="3">
        <v>47056129089</v>
      </c>
      <c r="B2108" s="3">
        <v>143</v>
      </c>
      <c r="C2108" s="32">
        <v>49176</v>
      </c>
      <c r="D2108" s="32">
        <v>49202</v>
      </c>
      <c r="E2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109" spans="1:6" x14ac:dyDescent="0.35">
      <c r="A2109" s="3">
        <v>16379209383</v>
      </c>
      <c r="B2109" s="3">
        <v>169</v>
      </c>
      <c r="C2109" s="32">
        <v>49176</v>
      </c>
      <c r="D2109" s="32" t="s">
        <v>87</v>
      </c>
      <c r="E2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0" spans="1:6" x14ac:dyDescent="0.35">
      <c r="A2110" s="3">
        <v>67232530546</v>
      </c>
      <c r="B2110" s="3">
        <v>192</v>
      </c>
      <c r="C2110" s="32">
        <v>49176</v>
      </c>
      <c r="D2110" s="32"/>
      <c r="E2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1" spans="1:6" x14ac:dyDescent="0.35">
      <c r="A2111" s="3">
        <v>56463247638</v>
      </c>
      <c r="B2111" s="3">
        <v>204</v>
      </c>
      <c r="C2111" s="32">
        <v>49176</v>
      </c>
      <c r="D2111" s="32"/>
      <c r="E2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2" spans="1:6" x14ac:dyDescent="0.35">
      <c r="A2112" s="3">
        <v>93744129785</v>
      </c>
      <c r="B2112" s="3">
        <v>213</v>
      </c>
      <c r="C2112" s="32">
        <v>49176</v>
      </c>
      <c r="D2112" s="32" t="s">
        <v>87</v>
      </c>
      <c r="E2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3" spans="1:6" x14ac:dyDescent="0.35">
      <c r="A2113" s="3">
        <v>36553812196</v>
      </c>
      <c r="B2113" s="3">
        <v>235</v>
      </c>
      <c r="C2113" s="32">
        <v>49176</v>
      </c>
      <c r="D2113" s="32"/>
      <c r="E2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4" spans="1:6" x14ac:dyDescent="0.35">
      <c r="A2114" s="3">
        <v>78153828007</v>
      </c>
      <c r="B2114" s="3">
        <v>248</v>
      </c>
      <c r="C2114" s="32">
        <v>49176</v>
      </c>
      <c r="D2114" s="32" t="s">
        <v>87</v>
      </c>
      <c r="E2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5" spans="1:6" x14ac:dyDescent="0.35">
      <c r="A2115" s="3">
        <v>74944760775</v>
      </c>
      <c r="B2115" s="3">
        <v>256</v>
      </c>
      <c r="C2115" s="32">
        <v>49176</v>
      </c>
      <c r="D2115" s="32"/>
      <c r="E2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6" spans="1:6" x14ac:dyDescent="0.35">
      <c r="A2116" s="3">
        <v>23138889411</v>
      </c>
      <c r="B2116" s="3">
        <v>271</v>
      </c>
      <c r="C2116" s="32">
        <v>49176</v>
      </c>
      <c r="D2116" s="32"/>
      <c r="E2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7" spans="1:6" x14ac:dyDescent="0.35">
      <c r="A2117" s="3">
        <v>76670615335</v>
      </c>
      <c r="B2117" s="3">
        <v>273</v>
      </c>
      <c r="C2117" s="32">
        <v>49176</v>
      </c>
      <c r="D2117" s="32" t="s">
        <v>87</v>
      </c>
      <c r="E2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8" spans="1:6" x14ac:dyDescent="0.35">
      <c r="A2118" s="3">
        <v>11124873907</v>
      </c>
      <c r="B2118" s="3">
        <v>287</v>
      </c>
      <c r="C2118" s="32">
        <v>49176</v>
      </c>
      <c r="D2118" s="32" t="s">
        <v>87</v>
      </c>
      <c r="E2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9" spans="1:6" x14ac:dyDescent="0.35">
      <c r="A2119" s="3">
        <v>29388830387</v>
      </c>
      <c r="B2119" s="3">
        <v>291</v>
      </c>
      <c r="C2119" s="32">
        <v>49176</v>
      </c>
      <c r="D2119" s="32" t="s">
        <v>87</v>
      </c>
      <c r="E2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0" spans="1:6" x14ac:dyDescent="0.35">
      <c r="A2120" s="3">
        <v>52078632720</v>
      </c>
      <c r="B2120" s="3">
        <v>297</v>
      </c>
      <c r="C2120" s="32">
        <v>49176</v>
      </c>
      <c r="D2120" s="32" t="s">
        <v>87</v>
      </c>
      <c r="E2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1" spans="1:6" x14ac:dyDescent="0.35">
      <c r="A2121" s="3">
        <v>16422889578</v>
      </c>
      <c r="B2121" s="3">
        <v>21</v>
      </c>
      <c r="C2121" s="32">
        <v>49177</v>
      </c>
      <c r="D2121" s="32"/>
      <c r="E2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2" spans="1:6" x14ac:dyDescent="0.35">
      <c r="A2122" s="3">
        <v>46082208801</v>
      </c>
      <c r="B2122" s="3">
        <v>29</v>
      </c>
      <c r="C2122" s="32">
        <v>49177</v>
      </c>
      <c r="D2122" s="32" t="s">
        <v>87</v>
      </c>
      <c r="E2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3" spans="1:6" x14ac:dyDescent="0.35">
      <c r="A2123" s="3">
        <v>65075505934</v>
      </c>
      <c r="B2123" s="3">
        <v>30</v>
      </c>
      <c r="C2123" s="32">
        <v>49177</v>
      </c>
      <c r="D2123" s="32" t="s">
        <v>87</v>
      </c>
      <c r="E2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4" spans="1:6" x14ac:dyDescent="0.35">
      <c r="A2124" s="3">
        <v>96547994657</v>
      </c>
      <c r="B2124" s="3">
        <v>38</v>
      </c>
      <c r="C2124" s="32">
        <v>49177</v>
      </c>
      <c r="D2124" s="32" t="s">
        <v>87</v>
      </c>
      <c r="E2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5" spans="1:6" x14ac:dyDescent="0.35">
      <c r="A2125" s="3">
        <v>54880186182</v>
      </c>
      <c r="B2125" s="3">
        <v>73</v>
      </c>
      <c r="C2125" s="32">
        <v>49177</v>
      </c>
      <c r="D2125" s="32">
        <v>49239</v>
      </c>
      <c r="E2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126" spans="1:6" x14ac:dyDescent="0.35">
      <c r="A2126" s="3">
        <v>22205939337</v>
      </c>
      <c r="B2126" s="3">
        <v>90</v>
      </c>
      <c r="C2126" s="32">
        <v>49177</v>
      </c>
      <c r="D2126" s="32" t="s">
        <v>87</v>
      </c>
      <c r="E2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7" spans="1:6" x14ac:dyDescent="0.35">
      <c r="A2127" s="3">
        <v>73622285068</v>
      </c>
      <c r="B2127" s="3">
        <v>90</v>
      </c>
      <c r="C2127" s="32">
        <v>49177</v>
      </c>
      <c r="D2127" s="32">
        <v>49288</v>
      </c>
      <c r="E2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128" spans="1:6" x14ac:dyDescent="0.35">
      <c r="A2128" s="3">
        <v>20997327207</v>
      </c>
      <c r="B2128" s="3">
        <v>113</v>
      </c>
      <c r="C2128" s="32">
        <v>49177</v>
      </c>
      <c r="D2128" s="32">
        <v>49277</v>
      </c>
      <c r="E2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129" spans="1:6" x14ac:dyDescent="0.35">
      <c r="A2129" s="3">
        <v>97809732078</v>
      </c>
      <c r="B2129" s="3">
        <v>129</v>
      </c>
      <c r="C2129" s="32">
        <v>49177</v>
      </c>
      <c r="D2129" s="32">
        <v>49216</v>
      </c>
      <c r="E2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130" spans="1:6" x14ac:dyDescent="0.35">
      <c r="A2130" s="3">
        <v>33904365619</v>
      </c>
      <c r="B2130" s="3">
        <v>136</v>
      </c>
      <c r="C2130" s="32">
        <v>49177</v>
      </c>
      <c r="D2130" s="32" t="s">
        <v>87</v>
      </c>
      <c r="E2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1" spans="1:6" x14ac:dyDescent="0.35">
      <c r="A2131" s="3">
        <v>43925108238</v>
      </c>
      <c r="B2131" s="3">
        <v>178</v>
      </c>
      <c r="C2131" s="32">
        <v>49177</v>
      </c>
      <c r="D2131" s="32" t="s">
        <v>87</v>
      </c>
      <c r="E2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2" spans="1:6" x14ac:dyDescent="0.35">
      <c r="A2132" s="3">
        <v>14820302412</v>
      </c>
      <c r="B2132" s="3">
        <v>184</v>
      </c>
      <c r="C2132" s="32">
        <v>49177</v>
      </c>
      <c r="D2132" s="32" t="s">
        <v>87</v>
      </c>
      <c r="E2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3" spans="1:6" x14ac:dyDescent="0.35">
      <c r="A2133" s="3">
        <v>95706733452</v>
      </c>
      <c r="B2133" s="3">
        <v>188</v>
      </c>
      <c r="C2133" s="32">
        <v>49177</v>
      </c>
      <c r="D2133" s="32">
        <v>49267</v>
      </c>
      <c r="E2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134" spans="1:6" x14ac:dyDescent="0.35">
      <c r="A2134" s="3">
        <v>82954917836</v>
      </c>
      <c r="B2134" s="3">
        <v>196</v>
      </c>
      <c r="C2134" s="32">
        <v>49177</v>
      </c>
      <c r="D2134" s="32"/>
      <c r="E2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5" spans="1:6" x14ac:dyDescent="0.35">
      <c r="A2135" s="3">
        <v>12703278401</v>
      </c>
      <c r="B2135" s="3">
        <v>216</v>
      </c>
      <c r="C2135" s="32">
        <v>49177</v>
      </c>
      <c r="D2135" s="32" t="s">
        <v>87</v>
      </c>
      <c r="E2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6" spans="1:6" x14ac:dyDescent="0.35">
      <c r="A2136" s="3">
        <v>93033369991</v>
      </c>
      <c r="B2136" s="3">
        <v>217</v>
      </c>
      <c r="C2136" s="32">
        <v>49177</v>
      </c>
      <c r="D2136" s="32">
        <v>49237</v>
      </c>
      <c r="E2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137" spans="1:6" x14ac:dyDescent="0.35">
      <c r="A2137" s="3">
        <v>23913032188</v>
      </c>
      <c r="B2137" s="3">
        <v>239</v>
      </c>
      <c r="C2137" s="32">
        <v>49177</v>
      </c>
      <c r="D2137" s="32" t="s">
        <v>87</v>
      </c>
      <c r="E2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8" spans="1:6" x14ac:dyDescent="0.35">
      <c r="A2138" s="3">
        <v>94647370349</v>
      </c>
      <c r="B2138" s="3">
        <v>247</v>
      </c>
      <c r="C2138" s="32">
        <v>49177</v>
      </c>
      <c r="D2138" s="32"/>
      <c r="E2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9" spans="1:6" x14ac:dyDescent="0.35">
      <c r="A2139" s="3">
        <v>27356930771</v>
      </c>
      <c r="B2139" s="3">
        <v>247</v>
      </c>
      <c r="C2139" s="32">
        <v>49177</v>
      </c>
      <c r="D2139" s="32"/>
      <c r="E2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0" spans="1:6" x14ac:dyDescent="0.35">
      <c r="A2140" s="3">
        <v>73978794721</v>
      </c>
      <c r="B2140" s="3">
        <v>258</v>
      </c>
      <c r="C2140" s="32">
        <v>49177</v>
      </c>
      <c r="D2140" s="32" t="s">
        <v>87</v>
      </c>
      <c r="E2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1" spans="1:6" x14ac:dyDescent="0.35">
      <c r="A2141" s="3">
        <v>85750991960</v>
      </c>
      <c r="B2141" s="3">
        <v>282</v>
      </c>
      <c r="C2141" s="32">
        <v>49177</v>
      </c>
      <c r="D2141" s="32" t="s">
        <v>87</v>
      </c>
      <c r="E2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2" spans="1:6" x14ac:dyDescent="0.35">
      <c r="A2142" s="3">
        <v>47253157745</v>
      </c>
      <c r="B2142" s="3">
        <v>287</v>
      </c>
      <c r="C2142" s="32">
        <v>49177</v>
      </c>
      <c r="D2142" s="32" t="s">
        <v>87</v>
      </c>
      <c r="E2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3" spans="1:6" x14ac:dyDescent="0.35">
      <c r="A2143" s="3">
        <v>45393113332</v>
      </c>
      <c r="B2143" s="3">
        <v>299</v>
      </c>
      <c r="C2143" s="32">
        <v>49177</v>
      </c>
      <c r="D2143" s="32" t="s">
        <v>87</v>
      </c>
      <c r="E2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4" spans="1:6" x14ac:dyDescent="0.35">
      <c r="A2144" s="3">
        <v>98667553292</v>
      </c>
      <c r="B2144" s="3">
        <v>316</v>
      </c>
      <c r="C2144" s="32">
        <v>49177</v>
      </c>
      <c r="D2144" s="32" t="s">
        <v>87</v>
      </c>
      <c r="E2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5" spans="1:6" x14ac:dyDescent="0.35">
      <c r="A2145" s="3">
        <v>87609993552</v>
      </c>
      <c r="B2145" s="3">
        <v>317</v>
      </c>
      <c r="C2145" s="32">
        <v>49177</v>
      </c>
      <c r="D2145" s="32">
        <v>49282</v>
      </c>
      <c r="E2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146" spans="1:6" x14ac:dyDescent="0.35">
      <c r="A2146" s="3">
        <v>26398082603</v>
      </c>
      <c r="B2146" s="3">
        <v>322</v>
      </c>
      <c r="C2146" s="32">
        <v>49177</v>
      </c>
      <c r="D2146" s="32" t="s">
        <v>87</v>
      </c>
      <c r="E2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7" spans="1:6" x14ac:dyDescent="0.35">
      <c r="A2147" s="3">
        <v>60661420512</v>
      </c>
      <c r="B2147" s="3">
        <v>322</v>
      </c>
      <c r="C2147" s="32">
        <v>49177</v>
      </c>
      <c r="D2147" s="32">
        <v>49297</v>
      </c>
      <c r="E2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148" spans="1:6" x14ac:dyDescent="0.35">
      <c r="A2148" s="3">
        <v>43899334692</v>
      </c>
      <c r="B2148" s="3">
        <v>16</v>
      </c>
      <c r="C2148" s="32">
        <v>49178</v>
      </c>
      <c r="D2148" s="32" t="s">
        <v>87</v>
      </c>
      <c r="E2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9" spans="1:6" x14ac:dyDescent="0.35">
      <c r="A2149" s="3">
        <v>55863813957</v>
      </c>
      <c r="B2149" s="3">
        <v>26</v>
      </c>
      <c r="C2149" s="32">
        <v>49178</v>
      </c>
      <c r="D2149" s="32" t="s">
        <v>87</v>
      </c>
      <c r="E2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0" spans="1:6" x14ac:dyDescent="0.35">
      <c r="A2150" s="3">
        <v>90235948435</v>
      </c>
      <c r="B2150" s="3">
        <v>31</v>
      </c>
      <c r="C2150" s="32">
        <v>49178</v>
      </c>
      <c r="D2150" s="32" t="s">
        <v>87</v>
      </c>
      <c r="E2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1" spans="1:6" x14ac:dyDescent="0.35">
      <c r="A2151" s="3">
        <v>63593084914</v>
      </c>
      <c r="B2151" s="3">
        <v>33</v>
      </c>
      <c r="C2151" s="32">
        <v>49178</v>
      </c>
      <c r="D2151" s="32" t="s">
        <v>87</v>
      </c>
      <c r="E2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2" spans="1:6" x14ac:dyDescent="0.35">
      <c r="A2152" s="3">
        <v>23623224082</v>
      </c>
      <c r="B2152" s="3">
        <v>57</v>
      </c>
      <c r="C2152" s="32">
        <v>49178</v>
      </c>
      <c r="D2152" s="32" t="s">
        <v>87</v>
      </c>
      <c r="E2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3" spans="1:6" x14ac:dyDescent="0.35">
      <c r="A2153" s="3">
        <v>36591759011</v>
      </c>
      <c r="B2153" s="3">
        <v>65</v>
      </c>
      <c r="C2153" s="32">
        <v>49178</v>
      </c>
      <c r="D2153" s="32" t="s">
        <v>87</v>
      </c>
      <c r="E2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4" spans="1:6" x14ac:dyDescent="0.35">
      <c r="A2154" s="3">
        <v>76799900064</v>
      </c>
      <c r="B2154" s="3">
        <v>81</v>
      </c>
      <c r="C2154" s="32">
        <v>49178</v>
      </c>
      <c r="D2154" s="32"/>
      <c r="E2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5" spans="1:6" x14ac:dyDescent="0.35">
      <c r="A2155" s="3">
        <v>12858644842</v>
      </c>
      <c r="B2155" s="3">
        <v>117</v>
      </c>
      <c r="C2155" s="32">
        <v>49178</v>
      </c>
      <c r="D2155" s="32"/>
      <c r="E2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6" spans="1:6" x14ac:dyDescent="0.35">
      <c r="A2156" s="3">
        <v>72179296893</v>
      </c>
      <c r="B2156" s="3">
        <v>129</v>
      </c>
      <c r="C2156" s="32">
        <v>49178</v>
      </c>
      <c r="D2156" s="32" t="s">
        <v>87</v>
      </c>
      <c r="E2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7" spans="1:6" x14ac:dyDescent="0.35">
      <c r="A2157" s="3">
        <v>87789733412</v>
      </c>
      <c r="B2157" s="3">
        <v>136</v>
      </c>
      <c r="C2157" s="32">
        <v>49178</v>
      </c>
      <c r="D2157" s="32" t="s">
        <v>87</v>
      </c>
      <c r="E2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8" spans="1:6" x14ac:dyDescent="0.35">
      <c r="A2158" s="3">
        <v>16802531143</v>
      </c>
      <c r="B2158" s="3">
        <v>140</v>
      </c>
      <c r="C2158" s="32">
        <v>49178</v>
      </c>
      <c r="D2158" s="32" t="s">
        <v>87</v>
      </c>
      <c r="E2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9" spans="1:6" x14ac:dyDescent="0.35">
      <c r="A2159" s="3">
        <v>49749628417</v>
      </c>
      <c r="B2159" s="3">
        <v>158</v>
      </c>
      <c r="C2159" s="32">
        <v>49178</v>
      </c>
      <c r="D2159" s="32" t="s">
        <v>87</v>
      </c>
      <c r="E2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0" spans="1:6" x14ac:dyDescent="0.35">
      <c r="A2160" s="3">
        <v>26858440756</v>
      </c>
      <c r="B2160" s="3">
        <v>173</v>
      </c>
      <c r="C2160" s="32">
        <v>49178</v>
      </c>
      <c r="D2160" s="32" t="s">
        <v>87</v>
      </c>
      <c r="E2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1" spans="1:6" x14ac:dyDescent="0.35">
      <c r="A2161" s="3">
        <v>52314592599</v>
      </c>
      <c r="B2161" s="3">
        <v>184</v>
      </c>
      <c r="C2161" s="32">
        <v>49178</v>
      </c>
      <c r="D2161" s="32"/>
      <c r="E2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2" spans="1:6" x14ac:dyDescent="0.35">
      <c r="A2162" s="3">
        <v>95564924724</v>
      </c>
      <c r="B2162" s="3">
        <v>186</v>
      </c>
      <c r="C2162" s="32">
        <v>49178</v>
      </c>
      <c r="D2162" s="32" t="s">
        <v>87</v>
      </c>
      <c r="E2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3" spans="1:6" x14ac:dyDescent="0.35">
      <c r="A2163" s="3">
        <v>12013591314</v>
      </c>
      <c r="B2163" s="3">
        <v>226</v>
      </c>
      <c r="C2163" s="32">
        <v>49178</v>
      </c>
      <c r="D2163" s="32" t="s">
        <v>87</v>
      </c>
      <c r="E2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4" spans="1:6" x14ac:dyDescent="0.35">
      <c r="A2164" s="3">
        <v>65838017795</v>
      </c>
      <c r="B2164" s="3">
        <v>236</v>
      </c>
      <c r="C2164" s="32">
        <v>49178</v>
      </c>
      <c r="D2164" s="32" t="s">
        <v>87</v>
      </c>
      <c r="E2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5" spans="1:6" x14ac:dyDescent="0.35">
      <c r="A2165" s="3">
        <v>99623915295</v>
      </c>
      <c r="B2165" s="3">
        <v>245</v>
      </c>
      <c r="C2165" s="32">
        <v>49178</v>
      </c>
      <c r="D2165" s="32" t="s">
        <v>87</v>
      </c>
      <c r="E2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6" spans="1:6" x14ac:dyDescent="0.35">
      <c r="A2166" s="3">
        <v>32262346715</v>
      </c>
      <c r="B2166" s="3">
        <v>269</v>
      </c>
      <c r="C2166" s="32">
        <v>49178</v>
      </c>
      <c r="D2166" s="32" t="s">
        <v>87</v>
      </c>
      <c r="E2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7" spans="1:6" x14ac:dyDescent="0.35">
      <c r="A2167" s="3">
        <v>35857323733</v>
      </c>
      <c r="B2167" s="3">
        <v>291</v>
      </c>
      <c r="C2167" s="32">
        <v>49178</v>
      </c>
      <c r="D2167" s="32" t="s">
        <v>87</v>
      </c>
      <c r="E2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8" spans="1:6" x14ac:dyDescent="0.35">
      <c r="A2168" s="3">
        <v>54081661536</v>
      </c>
      <c r="B2168" s="3">
        <v>291</v>
      </c>
      <c r="C2168" s="32">
        <v>49178</v>
      </c>
      <c r="D2168" s="32"/>
      <c r="E2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9" spans="1:6" x14ac:dyDescent="0.35">
      <c r="A2169" s="3">
        <v>61998582284</v>
      </c>
      <c r="B2169" s="3">
        <v>293</v>
      </c>
      <c r="C2169" s="32">
        <v>49178</v>
      </c>
      <c r="D2169" s="32" t="s">
        <v>87</v>
      </c>
      <c r="E2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0" spans="1:6" x14ac:dyDescent="0.35">
      <c r="A2170" s="3">
        <v>54558172132</v>
      </c>
      <c r="B2170" s="3">
        <v>297</v>
      </c>
      <c r="C2170" s="32">
        <v>49178</v>
      </c>
      <c r="D2170" s="32" t="s">
        <v>87</v>
      </c>
      <c r="E2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1" spans="1:6" x14ac:dyDescent="0.35">
      <c r="A2171" s="3">
        <v>19210587905</v>
      </c>
      <c r="B2171" s="3">
        <v>322</v>
      </c>
      <c r="C2171" s="32">
        <v>49178</v>
      </c>
      <c r="D2171" s="32" t="s">
        <v>87</v>
      </c>
      <c r="E2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2" spans="1:6" x14ac:dyDescent="0.35">
      <c r="A2172" s="3">
        <v>57034742930</v>
      </c>
      <c r="B2172" s="3">
        <v>325</v>
      </c>
      <c r="C2172" s="32">
        <v>49178</v>
      </c>
      <c r="D2172" s="32">
        <v>49214</v>
      </c>
      <c r="E2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173" spans="1:6" x14ac:dyDescent="0.35">
      <c r="A2173" s="3">
        <v>76992951778</v>
      </c>
      <c r="B2173" s="3">
        <v>329</v>
      </c>
      <c r="C2173" s="32">
        <v>49178</v>
      </c>
      <c r="D2173" s="32" t="s">
        <v>87</v>
      </c>
      <c r="E2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4" spans="1:6" x14ac:dyDescent="0.35">
      <c r="A2174" s="3">
        <v>26455410414</v>
      </c>
      <c r="B2174" s="3">
        <v>2</v>
      </c>
      <c r="C2174" s="32">
        <v>49179</v>
      </c>
      <c r="D2174" s="32" t="s">
        <v>87</v>
      </c>
      <c r="E2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5" spans="1:6" x14ac:dyDescent="0.35">
      <c r="A2175" s="3">
        <v>90440917123</v>
      </c>
      <c r="B2175" s="3">
        <v>5</v>
      </c>
      <c r="C2175" s="32">
        <v>49179</v>
      </c>
      <c r="D2175" s="32" t="s">
        <v>87</v>
      </c>
      <c r="E2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6" spans="1:6" x14ac:dyDescent="0.35">
      <c r="A2176" s="3">
        <v>22974730929</v>
      </c>
      <c r="B2176" s="3">
        <v>45</v>
      </c>
      <c r="C2176" s="32">
        <v>49179</v>
      </c>
      <c r="D2176" s="32" t="s">
        <v>87</v>
      </c>
      <c r="E2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7" spans="1:6" x14ac:dyDescent="0.35">
      <c r="A2177" s="3">
        <v>41010808494</v>
      </c>
      <c r="B2177" s="3">
        <v>69</v>
      </c>
      <c r="C2177" s="32">
        <v>49179</v>
      </c>
      <c r="D2177" s="32" t="s">
        <v>87</v>
      </c>
      <c r="E2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8" spans="1:6" x14ac:dyDescent="0.35">
      <c r="A2178" s="3">
        <v>16360964013</v>
      </c>
      <c r="B2178" s="3">
        <v>71</v>
      </c>
      <c r="C2178" s="32">
        <v>49179</v>
      </c>
      <c r="D2178" s="32">
        <v>49253</v>
      </c>
      <c r="E2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179" spans="1:6" x14ac:dyDescent="0.35">
      <c r="A2179" s="3">
        <v>78361960244</v>
      </c>
      <c r="B2179" s="3">
        <v>84</v>
      </c>
      <c r="C2179" s="32">
        <v>49179</v>
      </c>
      <c r="D2179" s="32" t="s">
        <v>87</v>
      </c>
      <c r="E2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0" spans="1:6" x14ac:dyDescent="0.35">
      <c r="A2180" s="3">
        <v>42789258086</v>
      </c>
      <c r="B2180" s="3">
        <v>108</v>
      </c>
      <c r="C2180" s="32">
        <v>49179</v>
      </c>
      <c r="D2180" s="32"/>
      <c r="E2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1" spans="1:6" x14ac:dyDescent="0.35">
      <c r="A2181" s="3">
        <v>19234352163</v>
      </c>
      <c r="B2181" s="3">
        <v>128</v>
      </c>
      <c r="C2181" s="32">
        <v>49179</v>
      </c>
      <c r="D2181" s="32" t="s">
        <v>87</v>
      </c>
      <c r="E2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2" spans="1:6" x14ac:dyDescent="0.35">
      <c r="A2182" s="3">
        <v>64824468586</v>
      </c>
      <c r="B2182" s="3">
        <v>130</v>
      </c>
      <c r="C2182" s="32">
        <v>49179</v>
      </c>
      <c r="D2182" s="32" t="s">
        <v>87</v>
      </c>
      <c r="E2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3" spans="1:6" x14ac:dyDescent="0.35">
      <c r="A2183" s="3">
        <v>65563690422</v>
      </c>
      <c r="B2183" s="3">
        <v>142</v>
      </c>
      <c r="C2183" s="32">
        <v>49179</v>
      </c>
      <c r="D2183" s="32" t="s">
        <v>87</v>
      </c>
      <c r="E2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4" spans="1:6" x14ac:dyDescent="0.35">
      <c r="A2184" s="3">
        <v>57157794621</v>
      </c>
      <c r="B2184" s="3">
        <v>149</v>
      </c>
      <c r="C2184" s="32">
        <v>49179</v>
      </c>
      <c r="D2184" s="32"/>
      <c r="E2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5" spans="1:6" x14ac:dyDescent="0.35">
      <c r="A2185" s="3">
        <v>87506553836</v>
      </c>
      <c r="B2185" s="3">
        <v>150</v>
      </c>
      <c r="C2185" s="32">
        <v>49179</v>
      </c>
      <c r="D2185" s="32" t="s">
        <v>87</v>
      </c>
      <c r="E2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6" spans="1:6" x14ac:dyDescent="0.35">
      <c r="A2186" s="3">
        <v>90615992497</v>
      </c>
      <c r="B2186" s="3">
        <v>159</v>
      </c>
      <c r="C2186" s="32">
        <v>49179</v>
      </c>
      <c r="D2186" s="32">
        <v>49218</v>
      </c>
      <c r="E2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187" spans="1:6" x14ac:dyDescent="0.35">
      <c r="A2187" s="3">
        <v>70242299505</v>
      </c>
      <c r="B2187" s="3">
        <v>168</v>
      </c>
      <c r="C2187" s="32">
        <v>49179</v>
      </c>
      <c r="D2187" s="32"/>
      <c r="E2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8" spans="1:6" x14ac:dyDescent="0.35">
      <c r="A2188" s="3">
        <v>57098645733</v>
      </c>
      <c r="B2188" s="3">
        <v>172</v>
      </c>
      <c r="C2188" s="32">
        <v>49179</v>
      </c>
      <c r="D2188" s="32" t="s">
        <v>87</v>
      </c>
      <c r="E2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9" spans="1:6" x14ac:dyDescent="0.35">
      <c r="A2189" s="3">
        <v>59675028926</v>
      </c>
      <c r="B2189" s="3">
        <v>173</v>
      </c>
      <c r="C2189" s="32">
        <v>49179</v>
      </c>
      <c r="D2189" s="32" t="s">
        <v>87</v>
      </c>
      <c r="E2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0" spans="1:6" x14ac:dyDescent="0.35">
      <c r="A2190" s="3">
        <v>33288395616</v>
      </c>
      <c r="B2190" s="3">
        <v>178</v>
      </c>
      <c r="C2190" s="32">
        <v>49179</v>
      </c>
      <c r="D2190" s="32" t="s">
        <v>87</v>
      </c>
      <c r="E2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1" spans="1:6" x14ac:dyDescent="0.35">
      <c r="A2191" s="3">
        <v>71316549009</v>
      </c>
      <c r="B2191" s="3">
        <v>209</v>
      </c>
      <c r="C2191" s="32">
        <v>49179</v>
      </c>
      <c r="D2191" s="32"/>
      <c r="E2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2" spans="1:6" x14ac:dyDescent="0.35">
      <c r="A2192" s="3">
        <v>25339743367</v>
      </c>
      <c r="B2192" s="3">
        <v>226</v>
      </c>
      <c r="C2192" s="32">
        <v>49179</v>
      </c>
      <c r="D2192" s="32">
        <v>49298</v>
      </c>
      <c r="E2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193" spans="1:6" x14ac:dyDescent="0.35">
      <c r="A2193" s="3">
        <v>98513990668</v>
      </c>
      <c r="B2193" s="3">
        <v>242</v>
      </c>
      <c r="C2193" s="32">
        <v>49179</v>
      </c>
      <c r="D2193" s="32" t="s">
        <v>87</v>
      </c>
      <c r="E2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4" spans="1:6" x14ac:dyDescent="0.35">
      <c r="A2194" s="3">
        <v>93051478565</v>
      </c>
      <c r="B2194" s="3">
        <v>242</v>
      </c>
      <c r="C2194" s="32">
        <v>49179</v>
      </c>
      <c r="D2194" s="32" t="s">
        <v>87</v>
      </c>
      <c r="E2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5" spans="1:6" x14ac:dyDescent="0.35">
      <c r="A2195" s="3">
        <v>49070467726</v>
      </c>
      <c r="B2195" s="3">
        <v>257</v>
      </c>
      <c r="C2195" s="32">
        <v>49179</v>
      </c>
      <c r="D2195" s="32" t="s">
        <v>87</v>
      </c>
      <c r="E2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6" spans="1:6" x14ac:dyDescent="0.35">
      <c r="A2196" s="3">
        <v>49201455776</v>
      </c>
      <c r="B2196" s="3">
        <v>269</v>
      </c>
      <c r="C2196" s="32">
        <v>49179</v>
      </c>
      <c r="D2196" s="32">
        <v>49265</v>
      </c>
      <c r="E2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197" spans="1:6" x14ac:dyDescent="0.35">
      <c r="A2197" s="3">
        <v>59121447122</v>
      </c>
      <c r="B2197" s="3">
        <v>279</v>
      </c>
      <c r="C2197" s="32">
        <v>49179</v>
      </c>
      <c r="D2197" s="32">
        <v>49206</v>
      </c>
      <c r="E2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198" spans="1:6" x14ac:dyDescent="0.35">
      <c r="A2198" s="3">
        <v>79350262783</v>
      </c>
      <c r="B2198" s="3">
        <v>293</v>
      </c>
      <c r="C2198" s="32">
        <v>49179</v>
      </c>
      <c r="D2198" s="32" t="s">
        <v>87</v>
      </c>
      <c r="E21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9" spans="1:6" x14ac:dyDescent="0.35">
      <c r="A2199" s="3">
        <v>63022130558</v>
      </c>
      <c r="B2199" s="3">
        <v>294</v>
      </c>
      <c r="C2199" s="32">
        <v>49179</v>
      </c>
      <c r="D2199" s="32" t="s">
        <v>87</v>
      </c>
      <c r="E21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0" spans="1:6" x14ac:dyDescent="0.35">
      <c r="A2200" s="3">
        <v>63997597784</v>
      </c>
      <c r="B2200" s="3">
        <v>297</v>
      </c>
      <c r="C2200" s="32">
        <v>49179</v>
      </c>
      <c r="D2200" s="32"/>
      <c r="E22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1" spans="1:6" x14ac:dyDescent="0.35">
      <c r="A2201" s="3">
        <v>37959296971</v>
      </c>
      <c r="B2201" s="3">
        <v>317</v>
      </c>
      <c r="C2201" s="32">
        <v>49179</v>
      </c>
      <c r="D2201" s="32" t="s">
        <v>87</v>
      </c>
      <c r="E22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2" spans="1:6" x14ac:dyDescent="0.35">
      <c r="A2202" s="3">
        <v>11854454378</v>
      </c>
      <c r="B2202" s="3">
        <v>326</v>
      </c>
      <c r="C2202" s="32">
        <v>49179</v>
      </c>
      <c r="D2202" s="32">
        <v>49278</v>
      </c>
      <c r="E22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203" spans="1:6" x14ac:dyDescent="0.35">
      <c r="A2203" s="3">
        <v>42706154808</v>
      </c>
      <c r="B2203" s="3">
        <v>328</v>
      </c>
      <c r="C2203" s="32">
        <v>49179</v>
      </c>
      <c r="D2203" s="32" t="s">
        <v>87</v>
      </c>
      <c r="E22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4" spans="1:6" x14ac:dyDescent="0.35">
      <c r="A2204" s="3">
        <v>81815529577</v>
      </c>
      <c r="B2204" s="3">
        <v>6</v>
      </c>
      <c r="C2204" s="32">
        <v>49180</v>
      </c>
      <c r="D2204" s="32">
        <v>49186</v>
      </c>
      <c r="E22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205" spans="1:6" x14ac:dyDescent="0.35">
      <c r="A2205" s="3">
        <v>15183410718</v>
      </c>
      <c r="B2205" s="3">
        <v>13</v>
      </c>
      <c r="C2205" s="32">
        <v>49180</v>
      </c>
      <c r="D2205" s="32" t="s">
        <v>87</v>
      </c>
      <c r="E22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6" spans="1:6" x14ac:dyDescent="0.35">
      <c r="A2206" s="3">
        <v>18773954955</v>
      </c>
      <c r="B2206" s="3">
        <v>20</v>
      </c>
      <c r="C2206" s="32">
        <v>49180</v>
      </c>
      <c r="D2206" s="32" t="s">
        <v>87</v>
      </c>
      <c r="E22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7" spans="1:6" x14ac:dyDescent="0.35">
      <c r="A2207" s="3">
        <v>60953538195</v>
      </c>
      <c r="B2207" s="3">
        <v>27</v>
      </c>
      <c r="C2207" s="32">
        <v>49180</v>
      </c>
      <c r="D2207" s="32" t="s">
        <v>87</v>
      </c>
      <c r="E22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8" spans="1:6" x14ac:dyDescent="0.35">
      <c r="A2208" s="3">
        <v>26838082025</v>
      </c>
      <c r="B2208" s="3">
        <v>38</v>
      </c>
      <c r="C2208" s="32">
        <v>49180</v>
      </c>
      <c r="D2208" s="32">
        <v>49184</v>
      </c>
      <c r="E22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209" spans="1:6" x14ac:dyDescent="0.35">
      <c r="A2209" s="3">
        <v>66328149594</v>
      </c>
      <c r="B2209" s="3">
        <v>55</v>
      </c>
      <c r="C2209" s="32">
        <v>49180</v>
      </c>
      <c r="D2209" s="32" t="s">
        <v>87</v>
      </c>
      <c r="E22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0" spans="1:6" x14ac:dyDescent="0.35">
      <c r="A2210" s="3">
        <v>69177441314</v>
      </c>
      <c r="B2210" s="3">
        <v>86</v>
      </c>
      <c r="C2210" s="32">
        <v>49180</v>
      </c>
      <c r="D2210" s="32" t="s">
        <v>87</v>
      </c>
      <c r="E22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1" spans="1:6" x14ac:dyDescent="0.35">
      <c r="A2211" s="3">
        <v>57443932108</v>
      </c>
      <c r="B2211" s="3">
        <v>101</v>
      </c>
      <c r="C2211" s="32">
        <v>49180</v>
      </c>
      <c r="D2211" s="32" t="s">
        <v>87</v>
      </c>
      <c r="E22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2" spans="1:6" x14ac:dyDescent="0.35">
      <c r="A2212" s="3">
        <v>53643041351</v>
      </c>
      <c r="B2212" s="3">
        <v>121</v>
      </c>
      <c r="C2212" s="32">
        <v>49180</v>
      </c>
      <c r="D2212" s="32">
        <v>49234</v>
      </c>
      <c r="E22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13" spans="1:6" x14ac:dyDescent="0.35">
      <c r="A2213" s="3">
        <v>14186843834</v>
      </c>
      <c r="B2213" s="3">
        <v>124</v>
      </c>
      <c r="C2213" s="32">
        <v>49180</v>
      </c>
      <c r="D2213" s="32">
        <v>49204</v>
      </c>
      <c r="E22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14" spans="1:6" x14ac:dyDescent="0.35">
      <c r="A2214" s="3">
        <v>71129266281</v>
      </c>
      <c r="B2214" s="3">
        <v>126</v>
      </c>
      <c r="C2214" s="32">
        <v>49180</v>
      </c>
      <c r="D2214" s="32" t="s">
        <v>87</v>
      </c>
      <c r="E22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5" spans="1:6" x14ac:dyDescent="0.35">
      <c r="A2215" s="3">
        <v>65724146743</v>
      </c>
      <c r="B2215" s="3">
        <v>156</v>
      </c>
      <c r="C2215" s="32">
        <v>49180</v>
      </c>
      <c r="D2215" s="32"/>
      <c r="E22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6" spans="1:6" x14ac:dyDescent="0.35">
      <c r="A2216" s="3">
        <v>89536396863</v>
      </c>
      <c r="B2216" s="3">
        <v>194</v>
      </c>
      <c r="C2216" s="32">
        <v>49180</v>
      </c>
      <c r="D2216" s="32" t="s">
        <v>87</v>
      </c>
      <c r="E22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7" spans="1:6" x14ac:dyDescent="0.35">
      <c r="A2217" s="3">
        <v>79631748728</v>
      </c>
      <c r="B2217" s="3">
        <v>195</v>
      </c>
      <c r="C2217" s="32">
        <v>49180</v>
      </c>
      <c r="D2217" s="32"/>
      <c r="E22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8" spans="1:6" x14ac:dyDescent="0.35">
      <c r="A2218" s="3">
        <v>67907777309</v>
      </c>
      <c r="B2218" s="3">
        <v>202</v>
      </c>
      <c r="C2218" s="32">
        <v>49180</v>
      </c>
      <c r="D2218" s="32" t="s">
        <v>87</v>
      </c>
      <c r="E22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9" spans="1:6" x14ac:dyDescent="0.35">
      <c r="A2219" s="3">
        <v>98143411709</v>
      </c>
      <c r="B2219" s="3">
        <v>230</v>
      </c>
      <c r="C2219" s="32">
        <v>49180</v>
      </c>
      <c r="D2219" s="32" t="s">
        <v>87</v>
      </c>
      <c r="E22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0" spans="1:6" x14ac:dyDescent="0.35">
      <c r="A2220" s="3">
        <v>45328601215</v>
      </c>
      <c r="B2220" s="3">
        <v>235</v>
      </c>
      <c r="C2220" s="32">
        <v>49180</v>
      </c>
      <c r="D2220" s="32" t="s">
        <v>87</v>
      </c>
      <c r="E22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1" spans="1:6" x14ac:dyDescent="0.35">
      <c r="A2221" s="3">
        <v>61735381854</v>
      </c>
      <c r="B2221" s="3">
        <v>299</v>
      </c>
      <c r="C2221" s="32">
        <v>49180</v>
      </c>
      <c r="D2221" s="32"/>
      <c r="E22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2" spans="1:6" x14ac:dyDescent="0.35">
      <c r="A2222" s="3">
        <v>67474250340</v>
      </c>
      <c r="B2222" s="3">
        <v>311</v>
      </c>
      <c r="C2222" s="32">
        <v>49180</v>
      </c>
      <c r="D2222" s="32" t="s">
        <v>87</v>
      </c>
      <c r="E22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3" spans="1:6" x14ac:dyDescent="0.35">
      <c r="A2223" s="3">
        <v>63337970865</v>
      </c>
      <c r="B2223" s="3">
        <v>17</v>
      </c>
      <c r="C2223" s="32">
        <v>49181</v>
      </c>
      <c r="D2223" s="32" t="s">
        <v>87</v>
      </c>
      <c r="E22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4" spans="1:6" x14ac:dyDescent="0.35">
      <c r="A2224" s="3">
        <v>72317320702</v>
      </c>
      <c r="B2224" s="3">
        <v>25</v>
      </c>
      <c r="C2224" s="32">
        <v>49181</v>
      </c>
      <c r="D2224" s="32"/>
      <c r="E22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5" spans="1:6" x14ac:dyDescent="0.35">
      <c r="A2225" s="3">
        <v>27112294397</v>
      </c>
      <c r="B2225" s="3">
        <v>43</v>
      </c>
      <c r="C2225" s="32">
        <v>49181</v>
      </c>
      <c r="D2225" s="32">
        <v>49209</v>
      </c>
      <c r="E22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26" spans="1:6" x14ac:dyDescent="0.35">
      <c r="A2226" s="3">
        <v>91018075816</v>
      </c>
      <c r="B2226" s="3">
        <v>55</v>
      </c>
      <c r="C2226" s="32">
        <v>49181</v>
      </c>
      <c r="D2226" s="32">
        <v>49229</v>
      </c>
      <c r="E22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27" spans="1:6" x14ac:dyDescent="0.35">
      <c r="A2227" s="3">
        <v>22604586451</v>
      </c>
      <c r="B2227" s="3">
        <v>75</v>
      </c>
      <c r="C2227" s="32">
        <v>49181</v>
      </c>
      <c r="D2227" s="32"/>
      <c r="E22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8" spans="1:6" x14ac:dyDescent="0.35">
      <c r="A2228" s="3">
        <v>58500335201</v>
      </c>
      <c r="B2228" s="3">
        <v>77</v>
      </c>
      <c r="C2228" s="32">
        <v>49181</v>
      </c>
      <c r="D2228" s="32">
        <v>49207</v>
      </c>
      <c r="E22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29" spans="1:6" x14ac:dyDescent="0.35">
      <c r="A2229" s="3">
        <v>81478912152</v>
      </c>
      <c r="B2229" s="3">
        <v>89</v>
      </c>
      <c r="C2229" s="32">
        <v>49181</v>
      </c>
      <c r="D2229" s="32"/>
      <c r="E22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0" spans="1:6" x14ac:dyDescent="0.35">
      <c r="A2230" s="3">
        <v>79937334740</v>
      </c>
      <c r="B2230" s="3">
        <v>94</v>
      </c>
      <c r="C2230" s="32">
        <v>49181</v>
      </c>
      <c r="D2230" s="32" t="s">
        <v>87</v>
      </c>
      <c r="E22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1" spans="1:6" x14ac:dyDescent="0.35">
      <c r="A2231" s="3">
        <v>19120314528</v>
      </c>
      <c r="B2231" s="3">
        <v>118</v>
      </c>
      <c r="C2231" s="32">
        <v>49181</v>
      </c>
      <c r="D2231" s="32" t="s">
        <v>87</v>
      </c>
      <c r="E22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2" spans="1:6" x14ac:dyDescent="0.35">
      <c r="A2232" s="3">
        <v>95810519452</v>
      </c>
      <c r="B2232" s="3">
        <v>128</v>
      </c>
      <c r="C2232" s="32">
        <v>49181</v>
      </c>
      <c r="D2232" s="32" t="s">
        <v>87</v>
      </c>
      <c r="E22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3" spans="1:6" x14ac:dyDescent="0.35">
      <c r="A2233" s="3">
        <v>75886687471</v>
      </c>
      <c r="B2233" s="3">
        <v>140</v>
      </c>
      <c r="C2233" s="32">
        <v>49181</v>
      </c>
      <c r="D2233" s="32" t="s">
        <v>87</v>
      </c>
      <c r="E22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4" spans="1:6" x14ac:dyDescent="0.35">
      <c r="A2234" s="3">
        <v>25395981078</v>
      </c>
      <c r="B2234" s="3">
        <v>146</v>
      </c>
      <c r="C2234" s="32">
        <v>49181</v>
      </c>
      <c r="D2234" s="32" t="s">
        <v>87</v>
      </c>
      <c r="E22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5" spans="1:6" x14ac:dyDescent="0.35">
      <c r="A2235" s="3">
        <v>48575901190</v>
      </c>
      <c r="B2235" s="3">
        <v>154</v>
      </c>
      <c r="C2235" s="32">
        <v>49181</v>
      </c>
      <c r="D2235" s="32" t="s">
        <v>87</v>
      </c>
      <c r="E22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6" spans="1:6" x14ac:dyDescent="0.35">
      <c r="A2236" s="3">
        <v>60805239192</v>
      </c>
      <c r="B2236" s="3">
        <v>176</v>
      </c>
      <c r="C2236" s="32">
        <v>49181</v>
      </c>
      <c r="D2236" s="32">
        <v>49231</v>
      </c>
      <c r="E22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37" spans="1:6" x14ac:dyDescent="0.35">
      <c r="A2237" s="3">
        <v>41810499860</v>
      </c>
      <c r="B2237" s="3">
        <v>179</v>
      </c>
      <c r="C2237" s="32">
        <v>49181</v>
      </c>
      <c r="D2237" s="32" t="s">
        <v>87</v>
      </c>
      <c r="E22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8" spans="1:6" x14ac:dyDescent="0.35">
      <c r="A2238" s="3">
        <v>47040885419</v>
      </c>
      <c r="B2238" s="3">
        <v>198</v>
      </c>
      <c r="C2238" s="32">
        <v>49181</v>
      </c>
      <c r="D2238" s="32" t="s">
        <v>87</v>
      </c>
      <c r="E22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9" spans="1:6" x14ac:dyDescent="0.35">
      <c r="A2239" s="3">
        <v>15802611698</v>
      </c>
      <c r="B2239" s="3">
        <v>207</v>
      </c>
      <c r="C2239" s="32">
        <v>49181</v>
      </c>
      <c r="D2239" s="32">
        <v>49273</v>
      </c>
      <c r="E22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240" spans="1:6" x14ac:dyDescent="0.35">
      <c r="A2240" s="3">
        <v>88299237142</v>
      </c>
      <c r="B2240" s="3">
        <v>221</v>
      </c>
      <c r="C2240" s="32">
        <v>49181</v>
      </c>
      <c r="D2240" s="32"/>
      <c r="E22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1" spans="1:6" x14ac:dyDescent="0.35">
      <c r="A2241" s="3">
        <v>76410873800</v>
      </c>
      <c r="B2241" s="3">
        <v>229</v>
      </c>
      <c r="C2241" s="32">
        <v>49181</v>
      </c>
      <c r="D2241" s="32" t="s">
        <v>87</v>
      </c>
      <c r="E22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2" spans="1:6" x14ac:dyDescent="0.35">
      <c r="A2242" s="3">
        <v>44058371467</v>
      </c>
      <c r="B2242" s="3">
        <v>255</v>
      </c>
      <c r="C2242" s="32">
        <v>49181</v>
      </c>
      <c r="D2242" s="32" t="s">
        <v>87</v>
      </c>
      <c r="E22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3" spans="1:6" x14ac:dyDescent="0.35">
      <c r="A2243" s="3">
        <v>74688087675</v>
      </c>
      <c r="B2243" s="3">
        <v>270</v>
      </c>
      <c r="C2243" s="32">
        <v>49181</v>
      </c>
      <c r="D2243" s="32" t="s">
        <v>87</v>
      </c>
      <c r="E22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4" spans="1:6" x14ac:dyDescent="0.35">
      <c r="A2244" s="3">
        <v>41748395533</v>
      </c>
      <c r="B2244" s="3">
        <v>285</v>
      </c>
      <c r="C2244" s="32">
        <v>49181</v>
      </c>
      <c r="D2244" s="32" t="s">
        <v>87</v>
      </c>
      <c r="E22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5" spans="1:6" x14ac:dyDescent="0.35">
      <c r="A2245" s="3">
        <v>20596247646</v>
      </c>
      <c r="B2245" s="3">
        <v>291</v>
      </c>
      <c r="C2245" s="32">
        <v>49181</v>
      </c>
      <c r="D2245" s="32" t="s">
        <v>87</v>
      </c>
      <c r="E22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6" spans="1:6" x14ac:dyDescent="0.35">
      <c r="A2246" s="3">
        <v>12436761371</v>
      </c>
      <c r="B2246" s="3">
        <v>291</v>
      </c>
      <c r="C2246" s="32">
        <v>49181</v>
      </c>
      <c r="D2246" s="32" t="s">
        <v>87</v>
      </c>
      <c r="E22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7" spans="1:6" x14ac:dyDescent="0.35">
      <c r="A2247" s="3">
        <v>95644530891</v>
      </c>
      <c r="B2247" s="3">
        <v>292</v>
      </c>
      <c r="C2247" s="32">
        <v>49181</v>
      </c>
      <c r="D2247" s="32" t="s">
        <v>87</v>
      </c>
      <c r="E22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8" spans="1:6" x14ac:dyDescent="0.35">
      <c r="A2248" s="3">
        <v>91250770751</v>
      </c>
      <c r="B2248" s="3">
        <v>303</v>
      </c>
      <c r="C2248" s="32">
        <v>49181</v>
      </c>
      <c r="D2248" s="32"/>
      <c r="E22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9" spans="1:6" x14ac:dyDescent="0.35">
      <c r="A2249" s="3">
        <v>93592790498</v>
      </c>
      <c r="B2249" s="3">
        <v>306</v>
      </c>
      <c r="C2249" s="32">
        <v>49181</v>
      </c>
      <c r="D2249" s="32">
        <v>49223</v>
      </c>
      <c r="E22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50" spans="1:6" x14ac:dyDescent="0.35">
      <c r="A2250" s="3">
        <v>93315708484</v>
      </c>
      <c r="B2250" s="3">
        <v>7</v>
      </c>
      <c r="C2250" s="32">
        <v>49182</v>
      </c>
      <c r="D2250" s="32" t="s">
        <v>87</v>
      </c>
      <c r="E22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1" spans="1:6" x14ac:dyDescent="0.35">
      <c r="A2251" s="3">
        <v>51094986170</v>
      </c>
      <c r="B2251" s="3">
        <v>39</v>
      </c>
      <c r="C2251" s="32">
        <v>49182</v>
      </c>
      <c r="D2251" s="32">
        <v>49269</v>
      </c>
      <c r="E22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252" spans="1:6" x14ac:dyDescent="0.35">
      <c r="A2252" s="3">
        <v>39931689537</v>
      </c>
      <c r="B2252" s="3">
        <v>41</v>
      </c>
      <c r="C2252" s="32">
        <v>49182</v>
      </c>
      <c r="D2252" s="32" t="s">
        <v>87</v>
      </c>
      <c r="E22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3" spans="1:6" x14ac:dyDescent="0.35">
      <c r="A2253" s="3">
        <v>33263873833</v>
      </c>
      <c r="B2253" s="3">
        <v>50</v>
      </c>
      <c r="C2253" s="32">
        <v>49182</v>
      </c>
      <c r="D2253" s="32"/>
      <c r="E22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4" spans="1:6" x14ac:dyDescent="0.35">
      <c r="A2254" s="3">
        <v>59689353707</v>
      </c>
      <c r="B2254" s="3">
        <v>72</v>
      </c>
      <c r="C2254" s="32">
        <v>49182</v>
      </c>
      <c r="D2254" s="32" t="s">
        <v>87</v>
      </c>
      <c r="E22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5" spans="1:6" x14ac:dyDescent="0.35">
      <c r="A2255" s="3">
        <v>67529325895</v>
      </c>
      <c r="B2255" s="3">
        <v>75</v>
      </c>
      <c r="C2255" s="32">
        <v>49182</v>
      </c>
      <c r="D2255" s="32">
        <v>49200</v>
      </c>
      <c r="E22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56" spans="1:6" x14ac:dyDescent="0.35">
      <c r="A2256" s="3">
        <v>24535307489</v>
      </c>
      <c r="B2256" s="3">
        <v>128</v>
      </c>
      <c r="C2256" s="32">
        <v>49182</v>
      </c>
      <c r="D2256" s="32" t="s">
        <v>87</v>
      </c>
      <c r="E22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7" spans="1:6" x14ac:dyDescent="0.35">
      <c r="A2257" s="3">
        <v>98860855548</v>
      </c>
      <c r="B2257" s="3">
        <v>134</v>
      </c>
      <c r="C2257" s="32">
        <v>49182</v>
      </c>
      <c r="D2257" s="32" t="s">
        <v>87</v>
      </c>
      <c r="E22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8" spans="1:6" x14ac:dyDescent="0.35">
      <c r="A2258" s="3">
        <v>49896240115</v>
      </c>
      <c r="B2258" s="3">
        <v>138</v>
      </c>
      <c r="C2258" s="32">
        <v>49182</v>
      </c>
      <c r="D2258" s="32" t="s">
        <v>87</v>
      </c>
      <c r="E22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9" spans="1:6" x14ac:dyDescent="0.35">
      <c r="A2259" s="3">
        <v>82513729358</v>
      </c>
      <c r="B2259" s="3">
        <v>142</v>
      </c>
      <c r="C2259" s="32">
        <v>49182</v>
      </c>
      <c r="D2259" s="32" t="s">
        <v>87</v>
      </c>
      <c r="E22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0" spans="1:6" x14ac:dyDescent="0.35">
      <c r="A2260" s="3">
        <v>88039992590</v>
      </c>
      <c r="B2260" s="3">
        <v>144</v>
      </c>
      <c r="C2260" s="32">
        <v>49182</v>
      </c>
      <c r="D2260" s="32"/>
      <c r="E22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1" spans="1:6" x14ac:dyDescent="0.35">
      <c r="A2261" s="3">
        <v>20173197097</v>
      </c>
      <c r="B2261" s="3">
        <v>147</v>
      </c>
      <c r="C2261" s="32">
        <v>49182</v>
      </c>
      <c r="D2261" s="32">
        <v>49184</v>
      </c>
      <c r="E22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262" spans="1:6" x14ac:dyDescent="0.35">
      <c r="A2262" s="3">
        <v>37329427289</v>
      </c>
      <c r="B2262" s="3">
        <v>158</v>
      </c>
      <c r="C2262" s="32">
        <v>49182</v>
      </c>
      <c r="D2262" s="32" t="s">
        <v>87</v>
      </c>
      <c r="E22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3" spans="1:6" x14ac:dyDescent="0.35">
      <c r="A2263" s="3">
        <v>74353646852</v>
      </c>
      <c r="B2263" s="3">
        <v>174</v>
      </c>
      <c r="C2263" s="32">
        <v>49182</v>
      </c>
      <c r="D2263" s="32" t="s">
        <v>87</v>
      </c>
      <c r="E22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4" spans="1:6" x14ac:dyDescent="0.35">
      <c r="A2264" s="3">
        <v>83047969475</v>
      </c>
      <c r="B2264" s="3">
        <v>191</v>
      </c>
      <c r="C2264" s="32">
        <v>49182</v>
      </c>
      <c r="D2264" s="32" t="s">
        <v>87</v>
      </c>
      <c r="E22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5" spans="1:6" x14ac:dyDescent="0.35">
      <c r="A2265" s="3">
        <v>80858079273</v>
      </c>
      <c r="B2265" s="3">
        <v>210</v>
      </c>
      <c r="C2265" s="32">
        <v>49182</v>
      </c>
      <c r="D2265" s="32" t="s">
        <v>87</v>
      </c>
      <c r="E22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6" spans="1:6" x14ac:dyDescent="0.35">
      <c r="A2266" s="3">
        <v>35225054772</v>
      </c>
      <c r="B2266" s="3">
        <v>221</v>
      </c>
      <c r="C2266" s="32">
        <v>49182</v>
      </c>
      <c r="D2266" s="32">
        <v>49299</v>
      </c>
      <c r="E22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267" spans="1:6" x14ac:dyDescent="0.35">
      <c r="A2267" s="3">
        <v>15227636716</v>
      </c>
      <c r="B2267" s="3">
        <v>222</v>
      </c>
      <c r="C2267" s="32">
        <v>49182</v>
      </c>
      <c r="D2267" s="32" t="s">
        <v>87</v>
      </c>
      <c r="E22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8" spans="1:6" x14ac:dyDescent="0.35">
      <c r="A2268" s="3">
        <v>66623927747</v>
      </c>
      <c r="B2268" s="3">
        <v>234</v>
      </c>
      <c r="C2268" s="32">
        <v>49182</v>
      </c>
      <c r="D2268" s="32" t="s">
        <v>87</v>
      </c>
      <c r="E22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9" spans="1:6" x14ac:dyDescent="0.35">
      <c r="A2269" s="3">
        <v>85286548361</v>
      </c>
      <c r="B2269" s="3">
        <v>247</v>
      </c>
      <c r="C2269" s="32">
        <v>49182</v>
      </c>
      <c r="D2269" s="32" t="s">
        <v>87</v>
      </c>
      <c r="E22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70" spans="1:6" x14ac:dyDescent="0.35">
      <c r="A2270" s="3">
        <v>77926541238</v>
      </c>
      <c r="B2270" s="3">
        <v>250</v>
      </c>
      <c r="C2270" s="32">
        <v>49182</v>
      </c>
      <c r="D2270" s="32">
        <v>49241</v>
      </c>
      <c r="E22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71" spans="1:6" x14ac:dyDescent="0.35">
      <c r="A2271" s="3">
        <v>36334303668</v>
      </c>
      <c r="B2271" s="3">
        <v>270</v>
      </c>
      <c r="C2271" s="32">
        <v>49182</v>
      </c>
      <c r="D2271" s="32">
        <v>49190</v>
      </c>
      <c r="E22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72" spans="1:6" x14ac:dyDescent="0.35">
      <c r="A2272" s="3">
        <v>67411223449</v>
      </c>
      <c r="B2272" s="3">
        <v>274</v>
      </c>
      <c r="C2272" s="32">
        <v>49182</v>
      </c>
      <c r="D2272" s="32"/>
      <c r="E22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73" spans="1:6" x14ac:dyDescent="0.35">
      <c r="A2273" s="3">
        <v>66947619131</v>
      </c>
      <c r="B2273" s="3">
        <v>281</v>
      </c>
      <c r="C2273" s="32">
        <v>49182</v>
      </c>
      <c r="D2273" s="32">
        <v>49189</v>
      </c>
      <c r="E22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74" spans="1:6" x14ac:dyDescent="0.35">
      <c r="A2274" s="3">
        <v>61843435077</v>
      </c>
      <c r="B2274" s="3">
        <v>291</v>
      </c>
      <c r="C2274" s="32">
        <v>49182</v>
      </c>
      <c r="D2274" s="32">
        <v>49272</v>
      </c>
      <c r="E22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275" spans="1:6" x14ac:dyDescent="0.35">
      <c r="A2275" s="3">
        <v>91861851828</v>
      </c>
      <c r="B2275" s="3">
        <v>296</v>
      </c>
      <c r="C2275" s="32">
        <v>49182</v>
      </c>
      <c r="D2275" s="32">
        <v>49234</v>
      </c>
      <c r="E22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76" spans="1:6" x14ac:dyDescent="0.35">
      <c r="A2276" s="3">
        <v>54073137368</v>
      </c>
      <c r="B2276" s="3">
        <v>319</v>
      </c>
      <c r="C2276" s="32">
        <v>49182</v>
      </c>
      <c r="D2276" s="32" t="s">
        <v>87</v>
      </c>
      <c r="E22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77" spans="1:6" x14ac:dyDescent="0.35">
      <c r="A2277" s="3">
        <v>76668332915</v>
      </c>
      <c r="B2277" s="3">
        <v>25</v>
      </c>
      <c r="C2277" s="32">
        <v>49183</v>
      </c>
      <c r="D2277" s="32" t="s">
        <v>87</v>
      </c>
      <c r="E22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78" spans="1:6" x14ac:dyDescent="0.35">
      <c r="A2278" s="3">
        <v>41572629842</v>
      </c>
      <c r="B2278" s="3">
        <v>26</v>
      </c>
      <c r="C2278" s="32">
        <v>49183</v>
      </c>
      <c r="D2278" s="32" t="s">
        <v>87</v>
      </c>
      <c r="E22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79" spans="1:6" x14ac:dyDescent="0.35">
      <c r="A2279" s="3">
        <v>43491762440</v>
      </c>
      <c r="B2279" s="3">
        <v>38</v>
      </c>
      <c r="C2279" s="32">
        <v>49183</v>
      </c>
      <c r="D2279" s="32" t="s">
        <v>87</v>
      </c>
      <c r="E22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0" spans="1:6" x14ac:dyDescent="0.35">
      <c r="A2280" s="3">
        <v>62549084161</v>
      </c>
      <c r="B2280" s="3">
        <v>75</v>
      </c>
      <c r="C2280" s="32">
        <v>49183</v>
      </c>
      <c r="D2280" s="32" t="s">
        <v>87</v>
      </c>
      <c r="E22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1" spans="1:6" x14ac:dyDescent="0.35">
      <c r="A2281" s="3">
        <v>29080043429</v>
      </c>
      <c r="B2281" s="3">
        <v>86</v>
      </c>
      <c r="C2281" s="32">
        <v>49183</v>
      </c>
      <c r="D2281" s="32">
        <v>49263</v>
      </c>
      <c r="E22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282" spans="1:6" x14ac:dyDescent="0.35">
      <c r="A2282" s="3">
        <v>24165422714</v>
      </c>
      <c r="B2282" s="3">
        <v>87</v>
      </c>
      <c r="C2282" s="32">
        <v>49183</v>
      </c>
      <c r="D2282" s="32" t="s">
        <v>87</v>
      </c>
      <c r="E22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3" spans="1:6" x14ac:dyDescent="0.35">
      <c r="A2283" s="3">
        <v>52545758847</v>
      </c>
      <c r="B2283" s="3">
        <v>115</v>
      </c>
      <c r="C2283" s="32">
        <v>49183</v>
      </c>
      <c r="D2283" s="32">
        <v>49291</v>
      </c>
      <c r="E22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284" spans="1:6" x14ac:dyDescent="0.35">
      <c r="A2284" s="3">
        <v>16682506899</v>
      </c>
      <c r="B2284" s="3">
        <v>117</v>
      </c>
      <c r="C2284" s="32">
        <v>49183</v>
      </c>
      <c r="D2284" s="32">
        <v>49211</v>
      </c>
      <c r="E22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85" spans="1:6" x14ac:dyDescent="0.35">
      <c r="A2285" s="3">
        <v>68792044007</v>
      </c>
      <c r="B2285" s="3">
        <v>148</v>
      </c>
      <c r="C2285" s="32">
        <v>49183</v>
      </c>
      <c r="D2285" s="32" t="s">
        <v>87</v>
      </c>
      <c r="E22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6" spans="1:6" x14ac:dyDescent="0.35">
      <c r="A2286" s="3">
        <v>58816137012</v>
      </c>
      <c r="B2286" s="3">
        <v>154</v>
      </c>
      <c r="C2286" s="32">
        <v>49183</v>
      </c>
      <c r="D2286" s="32" t="s">
        <v>87</v>
      </c>
      <c r="E22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7" spans="1:6" x14ac:dyDescent="0.35">
      <c r="A2287" s="3">
        <v>59644551292</v>
      </c>
      <c r="B2287" s="3">
        <v>191</v>
      </c>
      <c r="C2287" s="32">
        <v>49183</v>
      </c>
      <c r="D2287" s="32" t="s">
        <v>87</v>
      </c>
      <c r="E22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8" spans="1:6" x14ac:dyDescent="0.35">
      <c r="A2288" s="3">
        <v>57713594493</v>
      </c>
      <c r="B2288" s="3">
        <v>199</v>
      </c>
      <c r="C2288" s="32">
        <v>49183</v>
      </c>
      <c r="D2288" s="32"/>
      <c r="E22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9" spans="1:6" x14ac:dyDescent="0.35">
      <c r="A2289" s="3">
        <v>40001354737</v>
      </c>
      <c r="B2289" s="3">
        <v>206</v>
      </c>
      <c r="C2289" s="32">
        <v>49183</v>
      </c>
      <c r="D2289" s="32" t="s">
        <v>87</v>
      </c>
      <c r="E22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0" spans="1:6" x14ac:dyDescent="0.35">
      <c r="A2290" s="3">
        <v>24526379564</v>
      </c>
      <c r="B2290" s="3">
        <v>218</v>
      </c>
      <c r="C2290" s="32">
        <v>49183</v>
      </c>
      <c r="D2290" s="32" t="s">
        <v>87</v>
      </c>
      <c r="E22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1" spans="1:6" x14ac:dyDescent="0.35">
      <c r="A2291" s="3">
        <v>62921655242</v>
      </c>
      <c r="B2291" s="3">
        <v>218</v>
      </c>
      <c r="C2291" s="32">
        <v>49183</v>
      </c>
      <c r="D2291" s="32" t="s">
        <v>87</v>
      </c>
      <c r="E22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2" spans="1:6" x14ac:dyDescent="0.35">
      <c r="A2292" s="3">
        <v>83801836531</v>
      </c>
      <c r="B2292" s="3">
        <v>234</v>
      </c>
      <c r="C2292" s="32">
        <v>49183</v>
      </c>
      <c r="D2292" s="32"/>
      <c r="E22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3" spans="1:6" x14ac:dyDescent="0.35">
      <c r="A2293" s="3">
        <v>49156014860</v>
      </c>
      <c r="B2293" s="3">
        <v>252</v>
      </c>
      <c r="C2293" s="32">
        <v>49183</v>
      </c>
      <c r="D2293" s="32">
        <v>49235</v>
      </c>
      <c r="E22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94" spans="1:6" x14ac:dyDescent="0.35">
      <c r="A2294" s="3">
        <v>83053451765</v>
      </c>
      <c r="B2294" s="3">
        <v>269</v>
      </c>
      <c r="C2294" s="32">
        <v>49183</v>
      </c>
      <c r="D2294" s="32" t="s">
        <v>87</v>
      </c>
      <c r="E22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5" spans="1:6" x14ac:dyDescent="0.35">
      <c r="A2295" s="3">
        <v>68550510184</v>
      </c>
      <c r="B2295" s="3">
        <v>275</v>
      </c>
      <c r="C2295" s="32">
        <v>49183</v>
      </c>
      <c r="D2295" s="32" t="s">
        <v>87</v>
      </c>
      <c r="E22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6" spans="1:6" x14ac:dyDescent="0.35">
      <c r="A2296" s="3">
        <v>63972819685</v>
      </c>
      <c r="B2296" s="3">
        <v>279</v>
      </c>
      <c r="C2296" s="32">
        <v>49183</v>
      </c>
      <c r="D2296" s="32">
        <v>49273</v>
      </c>
      <c r="E22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297" spans="1:6" x14ac:dyDescent="0.35">
      <c r="A2297" s="3">
        <v>68107613343</v>
      </c>
      <c r="B2297" s="3">
        <v>297</v>
      </c>
      <c r="C2297" s="32">
        <v>49183</v>
      </c>
      <c r="D2297" s="32">
        <v>49198</v>
      </c>
      <c r="E22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98" spans="1:6" x14ac:dyDescent="0.35">
      <c r="A2298" s="3">
        <v>23840250102</v>
      </c>
      <c r="B2298" s="3">
        <v>312</v>
      </c>
      <c r="C2298" s="32">
        <v>49183</v>
      </c>
      <c r="D2298" s="32" t="s">
        <v>87</v>
      </c>
      <c r="E22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9" spans="1:6" x14ac:dyDescent="0.35">
      <c r="A2299" s="3">
        <v>34348566933</v>
      </c>
      <c r="B2299" s="3">
        <v>333</v>
      </c>
      <c r="C2299" s="32">
        <v>49183</v>
      </c>
      <c r="D2299" s="32" t="s">
        <v>87</v>
      </c>
      <c r="E22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0" spans="1:6" x14ac:dyDescent="0.35">
      <c r="A2300" s="3">
        <v>11195642926</v>
      </c>
      <c r="B2300" s="3">
        <v>334</v>
      </c>
      <c r="C2300" s="32">
        <v>49183</v>
      </c>
      <c r="D2300" s="32" t="s">
        <v>87</v>
      </c>
      <c r="E23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1" spans="1:6" x14ac:dyDescent="0.35">
      <c r="A2301" s="3">
        <v>49821170226</v>
      </c>
      <c r="B2301" s="3">
        <v>24</v>
      </c>
      <c r="C2301" s="32">
        <v>49184</v>
      </c>
      <c r="D2301" s="32" t="s">
        <v>87</v>
      </c>
      <c r="E23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2" spans="1:6" x14ac:dyDescent="0.35">
      <c r="A2302" s="3">
        <v>28127647356</v>
      </c>
      <c r="B2302" s="3">
        <v>25</v>
      </c>
      <c r="C2302" s="32">
        <v>49184</v>
      </c>
      <c r="D2302" s="32">
        <v>49223</v>
      </c>
      <c r="E23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303" spans="1:6" x14ac:dyDescent="0.35">
      <c r="A2303" s="3">
        <v>95771455980</v>
      </c>
      <c r="B2303" s="3">
        <v>27</v>
      </c>
      <c r="C2303" s="32">
        <v>49184</v>
      </c>
      <c r="D2303" s="32" t="s">
        <v>87</v>
      </c>
      <c r="E23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4" spans="1:6" x14ac:dyDescent="0.35">
      <c r="A2304" s="3">
        <v>89296641330</v>
      </c>
      <c r="B2304" s="3">
        <v>49</v>
      </c>
      <c r="C2304" s="32">
        <v>49184</v>
      </c>
      <c r="D2304" s="32"/>
      <c r="E23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5" spans="1:6" x14ac:dyDescent="0.35">
      <c r="A2305" s="3">
        <v>40650943058</v>
      </c>
      <c r="B2305" s="3">
        <v>90</v>
      </c>
      <c r="C2305" s="32">
        <v>49184</v>
      </c>
      <c r="D2305" s="32" t="s">
        <v>87</v>
      </c>
      <c r="E23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6" spans="1:6" x14ac:dyDescent="0.35">
      <c r="A2306" s="3">
        <v>70147363300</v>
      </c>
      <c r="B2306" s="3">
        <v>96</v>
      </c>
      <c r="C2306" s="32">
        <v>49184</v>
      </c>
      <c r="D2306" s="32"/>
      <c r="E23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7" spans="1:6" x14ac:dyDescent="0.35">
      <c r="A2307" s="3">
        <v>30578040722</v>
      </c>
      <c r="B2307" s="3">
        <v>111</v>
      </c>
      <c r="C2307" s="32">
        <v>49184</v>
      </c>
      <c r="D2307" s="32" t="s">
        <v>87</v>
      </c>
      <c r="E23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8" spans="1:6" x14ac:dyDescent="0.35">
      <c r="A2308" s="3">
        <v>46249366946</v>
      </c>
      <c r="B2308" s="3">
        <v>118</v>
      </c>
      <c r="C2308" s="32">
        <v>49184</v>
      </c>
      <c r="D2308" s="32"/>
      <c r="E23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9" spans="1:6" x14ac:dyDescent="0.35">
      <c r="A2309" s="3">
        <v>60673475794</v>
      </c>
      <c r="B2309" s="3">
        <v>138</v>
      </c>
      <c r="C2309" s="32">
        <v>49184</v>
      </c>
      <c r="D2309" s="32" t="s">
        <v>87</v>
      </c>
      <c r="E23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0" spans="1:6" x14ac:dyDescent="0.35">
      <c r="A2310" s="3">
        <v>87084605194</v>
      </c>
      <c r="B2310" s="3">
        <v>144</v>
      </c>
      <c r="C2310" s="32">
        <v>49184</v>
      </c>
      <c r="D2310" s="32"/>
      <c r="E23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1" spans="1:6" x14ac:dyDescent="0.35">
      <c r="A2311" s="3">
        <v>31685024414</v>
      </c>
      <c r="B2311" s="3">
        <v>183</v>
      </c>
      <c r="C2311" s="32">
        <v>49184</v>
      </c>
      <c r="D2311" s="32" t="s">
        <v>87</v>
      </c>
      <c r="E23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2" spans="1:6" x14ac:dyDescent="0.35">
      <c r="A2312" s="3">
        <v>93813827336</v>
      </c>
      <c r="B2312" s="3">
        <v>201</v>
      </c>
      <c r="C2312" s="32">
        <v>49184</v>
      </c>
      <c r="D2312" s="32" t="s">
        <v>87</v>
      </c>
      <c r="E23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3" spans="1:6" x14ac:dyDescent="0.35">
      <c r="A2313" s="3">
        <v>39749974842</v>
      </c>
      <c r="B2313" s="3">
        <v>229</v>
      </c>
      <c r="C2313" s="32">
        <v>49184</v>
      </c>
      <c r="D2313" s="32" t="s">
        <v>87</v>
      </c>
      <c r="E23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4" spans="1:6" x14ac:dyDescent="0.35">
      <c r="A2314" s="3">
        <v>50736822163</v>
      </c>
      <c r="B2314" s="3">
        <v>270</v>
      </c>
      <c r="C2314" s="32">
        <v>49184</v>
      </c>
      <c r="D2314" s="32">
        <v>49297</v>
      </c>
      <c r="E23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315" spans="1:6" x14ac:dyDescent="0.35">
      <c r="A2315" s="3">
        <v>68899600388</v>
      </c>
      <c r="B2315" s="3">
        <v>274</v>
      </c>
      <c r="C2315" s="32">
        <v>49184</v>
      </c>
      <c r="D2315" s="32" t="s">
        <v>87</v>
      </c>
      <c r="E23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6" spans="1:6" x14ac:dyDescent="0.35">
      <c r="A2316" s="3">
        <v>21363203985</v>
      </c>
      <c r="B2316" s="3">
        <v>18</v>
      </c>
      <c r="C2316" s="32">
        <v>49185</v>
      </c>
      <c r="D2316" s="32" t="s">
        <v>87</v>
      </c>
      <c r="E23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7" spans="1:6" x14ac:dyDescent="0.35">
      <c r="A2317" s="3">
        <v>74846085916</v>
      </c>
      <c r="B2317" s="3">
        <v>54</v>
      </c>
      <c r="C2317" s="32">
        <v>49185</v>
      </c>
      <c r="D2317" s="32" t="s">
        <v>87</v>
      </c>
      <c r="E23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8" spans="1:6" x14ac:dyDescent="0.35">
      <c r="A2318" s="3">
        <v>92267970162</v>
      </c>
      <c r="B2318" s="3">
        <v>56</v>
      </c>
      <c r="C2318" s="32">
        <v>49185</v>
      </c>
      <c r="D2318" s="32"/>
      <c r="E23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9" spans="1:6" x14ac:dyDescent="0.35">
      <c r="A2319" s="3">
        <v>92024765612</v>
      </c>
      <c r="B2319" s="3">
        <v>74</v>
      </c>
      <c r="C2319" s="32">
        <v>49185</v>
      </c>
      <c r="D2319" s="32" t="s">
        <v>87</v>
      </c>
      <c r="E23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0" spans="1:6" x14ac:dyDescent="0.35">
      <c r="A2320" s="3">
        <v>78311191230</v>
      </c>
      <c r="B2320" s="3">
        <v>101</v>
      </c>
      <c r="C2320" s="32">
        <v>49185</v>
      </c>
      <c r="D2320" s="32" t="s">
        <v>87</v>
      </c>
      <c r="E23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1" spans="1:6" x14ac:dyDescent="0.35">
      <c r="A2321" s="3">
        <v>25583125468</v>
      </c>
      <c r="B2321" s="3">
        <v>116</v>
      </c>
      <c r="C2321" s="32">
        <v>49185</v>
      </c>
      <c r="D2321" s="32" t="s">
        <v>87</v>
      </c>
      <c r="E23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2" spans="1:6" x14ac:dyDescent="0.35">
      <c r="A2322" s="3">
        <v>21989145331</v>
      </c>
      <c r="B2322" s="3">
        <v>139</v>
      </c>
      <c r="C2322" s="32">
        <v>49185</v>
      </c>
      <c r="D2322" s="32" t="s">
        <v>87</v>
      </c>
      <c r="E23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3" spans="1:6" x14ac:dyDescent="0.35">
      <c r="A2323" s="3">
        <v>84301317267</v>
      </c>
      <c r="B2323" s="3">
        <v>163</v>
      </c>
      <c r="C2323" s="32">
        <v>49185</v>
      </c>
      <c r="D2323" s="32" t="s">
        <v>87</v>
      </c>
      <c r="E23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4" spans="1:6" x14ac:dyDescent="0.35">
      <c r="A2324" s="3">
        <v>69417242571</v>
      </c>
      <c r="B2324" s="3">
        <v>211</v>
      </c>
      <c r="C2324" s="32">
        <v>49185</v>
      </c>
      <c r="D2324" s="32" t="s">
        <v>87</v>
      </c>
      <c r="E23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5" spans="1:6" x14ac:dyDescent="0.35">
      <c r="A2325" s="3">
        <v>57617870518</v>
      </c>
      <c r="B2325" s="3">
        <v>239</v>
      </c>
      <c r="C2325" s="32">
        <v>49185</v>
      </c>
      <c r="D2325" s="32" t="s">
        <v>87</v>
      </c>
      <c r="E23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6" spans="1:6" x14ac:dyDescent="0.35">
      <c r="A2326" s="3">
        <v>94286394667</v>
      </c>
      <c r="B2326" s="3">
        <v>270</v>
      </c>
      <c r="C2326" s="32">
        <v>49185</v>
      </c>
      <c r="D2326" s="32">
        <v>49237</v>
      </c>
      <c r="E23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327" spans="1:6" x14ac:dyDescent="0.35">
      <c r="A2327" s="3">
        <v>14900781619</v>
      </c>
      <c r="B2327" s="3">
        <v>288</v>
      </c>
      <c r="C2327" s="32">
        <v>49185</v>
      </c>
      <c r="D2327" s="32">
        <v>49215</v>
      </c>
      <c r="E23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328" spans="1:6" x14ac:dyDescent="0.35">
      <c r="A2328" s="3">
        <v>19647874119</v>
      </c>
      <c r="B2328" s="3">
        <v>303</v>
      </c>
      <c r="C2328" s="32">
        <v>49185</v>
      </c>
      <c r="D2328" s="32" t="s">
        <v>87</v>
      </c>
      <c r="E23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9" spans="1:6" x14ac:dyDescent="0.35">
      <c r="A2329" s="3">
        <v>49533757680</v>
      </c>
      <c r="B2329" s="3">
        <v>336</v>
      </c>
      <c r="C2329" s="32">
        <v>49185</v>
      </c>
      <c r="D2329" s="32" t="s">
        <v>87</v>
      </c>
      <c r="E23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30" spans="1:6" x14ac:dyDescent="0.35">
      <c r="A2330" s="3">
        <v>74095363544</v>
      </c>
      <c r="B2330" s="3">
        <v>19</v>
      </c>
      <c r="C2330" s="32">
        <v>49186</v>
      </c>
      <c r="D2330" s="32">
        <v>49228</v>
      </c>
      <c r="E23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331" spans="1:6" x14ac:dyDescent="0.35">
      <c r="A2331" s="3">
        <v>51839495593</v>
      </c>
      <c r="B2331" s="3">
        <v>27</v>
      </c>
      <c r="C2331" s="32">
        <v>49186</v>
      </c>
      <c r="D2331" s="32" t="s">
        <v>87</v>
      </c>
      <c r="E23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32" spans="1:6" x14ac:dyDescent="0.35">
      <c r="A2332" s="3">
        <v>81443353648</v>
      </c>
      <c r="B2332" s="3">
        <v>27</v>
      </c>
      <c r="C2332" s="32">
        <v>49186</v>
      </c>
      <c r="D2332" s="32">
        <v>49278</v>
      </c>
      <c r="E23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333" spans="1:6" x14ac:dyDescent="0.35">
      <c r="A2333" s="3">
        <v>49356243208</v>
      </c>
      <c r="B2333" s="3">
        <v>41</v>
      </c>
      <c r="C2333" s="32">
        <v>49186</v>
      </c>
      <c r="D2333" s="32"/>
      <c r="E23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34" spans="1:6" x14ac:dyDescent="0.35">
      <c r="A2334" s="3">
        <v>89391111594</v>
      </c>
      <c r="B2334" s="3">
        <v>52</v>
      </c>
      <c r="C2334" s="32">
        <v>49186</v>
      </c>
      <c r="D2334" s="32">
        <v>49284</v>
      </c>
      <c r="E23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335" spans="1:6" x14ac:dyDescent="0.35">
      <c r="A2335" s="3">
        <v>47477470914</v>
      </c>
      <c r="B2335" s="3">
        <v>87</v>
      </c>
      <c r="C2335" s="32">
        <v>49186</v>
      </c>
      <c r="D2335" s="32" t="s">
        <v>87</v>
      </c>
      <c r="E23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36" spans="1:6" x14ac:dyDescent="0.35">
      <c r="A2336" s="3">
        <v>17225876220</v>
      </c>
      <c r="B2336" s="3">
        <v>103</v>
      </c>
      <c r="C2336" s="32">
        <v>49186</v>
      </c>
      <c r="D2336" s="32" t="s">
        <v>87</v>
      </c>
      <c r="E23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37" spans="1:6" x14ac:dyDescent="0.35">
      <c r="A2337" s="3">
        <v>20341485932</v>
      </c>
      <c r="B2337" s="3">
        <v>104</v>
      </c>
      <c r="C2337" s="32">
        <v>49186</v>
      </c>
      <c r="D2337" s="32">
        <v>49207</v>
      </c>
      <c r="E23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338" spans="1:6" x14ac:dyDescent="0.35">
      <c r="A2338" s="3">
        <v>95549227467</v>
      </c>
      <c r="B2338" s="3">
        <v>117</v>
      </c>
      <c r="C2338" s="32">
        <v>49186</v>
      </c>
      <c r="D2338" s="32"/>
      <c r="E23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39" spans="1:6" x14ac:dyDescent="0.35">
      <c r="A2339" s="3">
        <v>80783014409</v>
      </c>
      <c r="B2339" s="3">
        <v>132</v>
      </c>
      <c r="C2339" s="32">
        <v>49186</v>
      </c>
      <c r="D2339" s="32"/>
      <c r="E23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0" spans="1:6" x14ac:dyDescent="0.35">
      <c r="A2340" s="3">
        <v>41329312694</v>
      </c>
      <c r="B2340" s="3">
        <v>198</v>
      </c>
      <c r="C2340" s="32">
        <v>49186</v>
      </c>
      <c r="D2340" s="32">
        <v>49257</v>
      </c>
      <c r="E23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341" spans="1:6" x14ac:dyDescent="0.35">
      <c r="A2341" s="3">
        <v>59554655319</v>
      </c>
      <c r="B2341" s="3">
        <v>201</v>
      </c>
      <c r="C2341" s="32">
        <v>49186</v>
      </c>
      <c r="D2341" s="32"/>
      <c r="E23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2" spans="1:6" x14ac:dyDescent="0.35">
      <c r="A2342" s="3">
        <v>81224736578</v>
      </c>
      <c r="B2342" s="3">
        <v>205</v>
      </c>
      <c r="C2342" s="32">
        <v>49186</v>
      </c>
      <c r="D2342" s="32" t="s">
        <v>87</v>
      </c>
      <c r="E23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3" spans="1:6" x14ac:dyDescent="0.35">
      <c r="A2343" s="3">
        <v>70347517200</v>
      </c>
      <c r="B2343" s="3">
        <v>225</v>
      </c>
      <c r="C2343" s="32">
        <v>49186</v>
      </c>
      <c r="D2343" s="32" t="s">
        <v>87</v>
      </c>
      <c r="E23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4" spans="1:6" x14ac:dyDescent="0.35">
      <c r="A2344" s="3">
        <v>76921055932</v>
      </c>
      <c r="B2344" s="3">
        <v>227</v>
      </c>
      <c r="C2344" s="32">
        <v>49186</v>
      </c>
      <c r="D2344" s="32"/>
      <c r="E23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5" spans="1:6" x14ac:dyDescent="0.35">
      <c r="A2345" s="3">
        <v>65598488675</v>
      </c>
      <c r="B2345" s="3">
        <v>234</v>
      </c>
      <c r="C2345" s="32">
        <v>49186</v>
      </c>
      <c r="D2345" s="32" t="s">
        <v>87</v>
      </c>
      <c r="E23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6" spans="1:6" x14ac:dyDescent="0.35">
      <c r="A2346" s="3">
        <v>86388397710</v>
      </c>
      <c r="B2346" s="3">
        <v>243</v>
      </c>
      <c r="C2346" s="32">
        <v>49186</v>
      </c>
      <c r="D2346" s="32" t="s">
        <v>87</v>
      </c>
      <c r="E23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7" spans="1:6" x14ac:dyDescent="0.35">
      <c r="A2347" s="3">
        <v>57509074363</v>
      </c>
      <c r="B2347" s="3">
        <v>244</v>
      </c>
      <c r="C2347" s="32">
        <v>49186</v>
      </c>
      <c r="D2347" s="32" t="s">
        <v>87</v>
      </c>
      <c r="E23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8" spans="1:6" x14ac:dyDescent="0.35">
      <c r="A2348" s="3">
        <v>56735076961</v>
      </c>
      <c r="B2348" s="3">
        <v>250</v>
      </c>
      <c r="C2348" s="32">
        <v>49186</v>
      </c>
      <c r="D2348" s="32" t="s">
        <v>87</v>
      </c>
      <c r="E23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9" spans="1:6" x14ac:dyDescent="0.35">
      <c r="A2349" s="3">
        <v>35634648391</v>
      </c>
      <c r="B2349" s="3">
        <v>262</v>
      </c>
      <c r="C2349" s="32">
        <v>49186</v>
      </c>
      <c r="D2349" s="32">
        <v>49265</v>
      </c>
      <c r="E23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350" spans="1:6" x14ac:dyDescent="0.35">
      <c r="A2350" s="3">
        <v>47382849610</v>
      </c>
      <c r="B2350" s="3">
        <v>273</v>
      </c>
      <c r="C2350" s="32">
        <v>49186</v>
      </c>
      <c r="D2350" s="32" t="s">
        <v>87</v>
      </c>
      <c r="E23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1" spans="1:6" x14ac:dyDescent="0.35">
      <c r="A2351" s="3">
        <v>85259797101</v>
      </c>
      <c r="B2351" s="3">
        <v>283</v>
      </c>
      <c r="C2351" s="32">
        <v>49186</v>
      </c>
      <c r="D2351" s="32" t="s">
        <v>87</v>
      </c>
      <c r="E23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2" spans="1:6" x14ac:dyDescent="0.35">
      <c r="A2352" s="3">
        <v>98085589300</v>
      </c>
      <c r="B2352" s="3">
        <v>327</v>
      </c>
      <c r="C2352" s="32">
        <v>49186</v>
      </c>
      <c r="D2352" s="32">
        <v>49266</v>
      </c>
      <c r="E23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353" spans="1:6" x14ac:dyDescent="0.35">
      <c r="A2353" s="3">
        <v>16360224234</v>
      </c>
      <c r="B2353" s="3">
        <v>336</v>
      </c>
      <c r="C2353" s="32">
        <v>49186</v>
      </c>
      <c r="D2353" s="32" t="s">
        <v>87</v>
      </c>
      <c r="E23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4" spans="1:6" x14ac:dyDescent="0.35">
      <c r="A2354" s="3">
        <v>75966246711</v>
      </c>
      <c r="B2354" s="3">
        <v>338</v>
      </c>
      <c r="C2354" s="32">
        <v>49186</v>
      </c>
      <c r="D2354" s="32" t="s">
        <v>87</v>
      </c>
      <c r="E23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5" spans="1:6" x14ac:dyDescent="0.35">
      <c r="A2355" s="3">
        <v>72309972138</v>
      </c>
      <c r="B2355" s="3">
        <v>2</v>
      </c>
      <c r="C2355" s="32">
        <v>49187</v>
      </c>
      <c r="D2355" s="32"/>
      <c r="E23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6" spans="1:6" x14ac:dyDescent="0.35">
      <c r="A2356" s="3">
        <v>75583704460</v>
      </c>
      <c r="B2356" s="3">
        <v>39</v>
      </c>
      <c r="C2356" s="32">
        <v>49187</v>
      </c>
      <c r="D2356" s="32" t="s">
        <v>87</v>
      </c>
      <c r="E23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7" spans="1:6" x14ac:dyDescent="0.35">
      <c r="A2357" s="3">
        <v>65714834862</v>
      </c>
      <c r="B2357" s="3">
        <v>54</v>
      </c>
      <c r="C2357" s="32">
        <v>49187</v>
      </c>
      <c r="D2357" s="32" t="s">
        <v>87</v>
      </c>
      <c r="E23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8" spans="1:6" x14ac:dyDescent="0.35">
      <c r="A2358" s="3">
        <v>81323235089</v>
      </c>
      <c r="B2358" s="3">
        <v>56</v>
      </c>
      <c r="C2358" s="32">
        <v>49187</v>
      </c>
      <c r="D2358" s="32">
        <v>49261</v>
      </c>
      <c r="E23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359" spans="1:6" x14ac:dyDescent="0.35">
      <c r="A2359" s="3">
        <v>57578357628</v>
      </c>
      <c r="B2359" s="3">
        <v>63</v>
      </c>
      <c r="C2359" s="32">
        <v>49187</v>
      </c>
      <c r="D2359" s="32"/>
      <c r="E23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0" spans="1:6" x14ac:dyDescent="0.35">
      <c r="A2360" s="3">
        <v>68750617037</v>
      </c>
      <c r="B2360" s="3">
        <v>92</v>
      </c>
      <c r="C2360" s="32">
        <v>49187</v>
      </c>
      <c r="D2360" s="32" t="s">
        <v>87</v>
      </c>
      <c r="E23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1" spans="1:6" x14ac:dyDescent="0.35">
      <c r="A2361" s="3">
        <v>49305025974</v>
      </c>
      <c r="B2361" s="3">
        <v>94</v>
      </c>
      <c r="C2361" s="32">
        <v>49187</v>
      </c>
      <c r="D2361" s="32" t="s">
        <v>87</v>
      </c>
      <c r="E23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2" spans="1:6" x14ac:dyDescent="0.35">
      <c r="A2362" s="3">
        <v>19332995657</v>
      </c>
      <c r="B2362" s="3">
        <v>146</v>
      </c>
      <c r="C2362" s="32">
        <v>49187</v>
      </c>
      <c r="D2362" s="32" t="s">
        <v>87</v>
      </c>
      <c r="E23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3" spans="1:6" x14ac:dyDescent="0.35">
      <c r="A2363" s="3">
        <v>22665248363</v>
      </c>
      <c r="B2363" s="3">
        <v>156</v>
      </c>
      <c r="C2363" s="32">
        <v>49187</v>
      </c>
      <c r="D2363" s="32"/>
      <c r="E23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4" spans="1:6" x14ac:dyDescent="0.35">
      <c r="A2364" s="3">
        <v>58520310782</v>
      </c>
      <c r="B2364" s="3">
        <v>186</v>
      </c>
      <c r="C2364" s="32">
        <v>49187</v>
      </c>
      <c r="D2364" s="32" t="s">
        <v>87</v>
      </c>
      <c r="E23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5" spans="1:6" x14ac:dyDescent="0.35">
      <c r="A2365" s="3">
        <v>89288626983</v>
      </c>
      <c r="B2365" s="3">
        <v>189</v>
      </c>
      <c r="C2365" s="32">
        <v>49187</v>
      </c>
      <c r="D2365" s="32" t="s">
        <v>87</v>
      </c>
      <c r="E23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6" spans="1:6" x14ac:dyDescent="0.35">
      <c r="A2366" s="3">
        <v>40311559919</v>
      </c>
      <c r="B2366" s="3">
        <v>190</v>
      </c>
      <c r="C2366" s="32">
        <v>49187</v>
      </c>
      <c r="D2366" s="32" t="s">
        <v>87</v>
      </c>
      <c r="E23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7" spans="1:6" x14ac:dyDescent="0.35">
      <c r="A2367" s="3">
        <v>72626818882</v>
      </c>
      <c r="B2367" s="3">
        <v>209</v>
      </c>
      <c r="C2367" s="32">
        <v>49187</v>
      </c>
      <c r="D2367" s="32">
        <v>49302</v>
      </c>
      <c r="E23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368" spans="1:6" x14ac:dyDescent="0.35">
      <c r="A2368" s="3">
        <v>32993133202</v>
      </c>
      <c r="B2368" s="3">
        <v>219</v>
      </c>
      <c r="C2368" s="32">
        <v>49187</v>
      </c>
      <c r="D2368" s="32">
        <v>49293</v>
      </c>
      <c r="E23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369" spans="1:6" x14ac:dyDescent="0.35">
      <c r="A2369" s="3">
        <v>89802731260</v>
      </c>
      <c r="B2369" s="3">
        <v>250</v>
      </c>
      <c r="C2369" s="32">
        <v>49187</v>
      </c>
      <c r="D2369" s="32" t="s">
        <v>87</v>
      </c>
      <c r="E23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0" spans="1:6" x14ac:dyDescent="0.35">
      <c r="A2370" s="3">
        <v>92725213610</v>
      </c>
      <c r="B2370" s="3">
        <v>272</v>
      </c>
      <c r="C2370" s="32">
        <v>49187</v>
      </c>
      <c r="D2370" s="32" t="s">
        <v>87</v>
      </c>
      <c r="E23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1" spans="1:6" x14ac:dyDescent="0.35">
      <c r="A2371" s="3">
        <v>85588678383</v>
      </c>
      <c r="B2371" s="3">
        <v>279</v>
      </c>
      <c r="C2371" s="32">
        <v>49187</v>
      </c>
      <c r="D2371" s="32" t="s">
        <v>87</v>
      </c>
      <c r="E23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2" spans="1:6" x14ac:dyDescent="0.35">
      <c r="A2372" s="3">
        <v>18870438842</v>
      </c>
      <c r="B2372" s="3">
        <v>296</v>
      </c>
      <c r="C2372" s="32">
        <v>49187</v>
      </c>
      <c r="D2372" s="32">
        <v>49195</v>
      </c>
      <c r="E23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373" spans="1:6" x14ac:dyDescent="0.35">
      <c r="A2373" s="3">
        <v>61174457580</v>
      </c>
      <c r="B2373" s="3">
        <v>303</v>
      </c>
      <c r="C2373" s="32">
        <v>49187</v>
      </c>
      <c r="D2373" s="32" t="s">
        <v>87</v>
      </c>
      <c r="E23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4" spans="1:6" x14ac:dyDescent="0.35">
      <c r="A2374" s="3">
        <v>24799332906</v>
      </c>
      <c r="B2374" s="3">
        <v>312</v>
      </c>
      <c r="C2374" s="32">
        <v>49187</v>
      </c>
      <c r="D2374" s="32" t="s">
        <v>87</v>
      </c>
      <c r="E23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5" spans="1:6" x14ac:dyDescent="0.35">
      <c r="A2375" s="3">
        <v>58765541307</v>
      </c>
      <c r="B2375" s="3">
        <v>312</v>
      </c>
      <c r="C2375" s="32">
        <v>49187</v>
      </c>
      <c r="D2375" s="32" t="s">
        <v>87</v>
      </c>
      <c r="E23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6" spans="1:6" x14ac:dyDescent="0.35">
      <c r="A2376" s="3">
        <v>62416739127</v>
      </c>
      <c r="B2376" s="3">
        <v>330</v>
      </c>
      <c r="C2376" s="32">
        <v>49187</v>
      </c>
      <c r="D2376" s="32" t="s">
        <v>87</v>
      </c>
      <c r="E23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7" spans="1:6" x14ac:dyDescent="0.35">
      <c r="A2377" s="3">
        <v>25420254741</v>
      </c>
      <c r="B2377" s="3">
        <v>331</v>
      </c>
      <c r="C2377" s="32">
        <v>49187</v>
      </c>
      <c r="D2377" s="32" t="s">
        <v>87</v>
      </c>
      <c r="E23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8" spans="1:6" x14ac:dyDescent="0.35">
      <c r="A2378" s="3">
        <v>37108102546</v>
      </c>
      <c r="B2378" s="3">
        <v>27</v>
      </c>
      <c r="C2378" s="32">
        <v>49188</v>
      </c>
      <c r="D2378" s="32" t="s">
        <v>87</v>
      </c>
      <c r="E23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9" spans="1:6" x14ac:dyDescent="0.35">
      <c r="A2379" s="3">
        <v>50175033232</v>
      </c>
      <c r="B2379" s="3">
        <v>63</v>
      </c>
      <c r="C2379" s="32">
        <v>49188</v>
      </c>
      <c r="D2379" s="32">
        <v>49278</v>
      </c>
      <c r="E23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380" spans="1:6" x14ac:dyDescent="0.35">
      <c r="A2380" s="3">
        <v>62545236108</v>
      </c>
      <c r="B2380" s="3">
        <v>76</v>
      </c>
      <c r="C2380" s="32">
        <v>49188</v>
      </c>
      <c r="D2380" s="32" t="s">
        <v>87</v>
      </c>
      <c r="E23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1" spans="1:6" x14ac:dyDescent="0.35">
      <c r="A2381" s="3">
        <v>84524457825</v>
      </c>
      <c r="B2381" s="3">
        <v>92</v>
      </c>
      <c r="C2381" s="32">
        <v>49188</v>
      </c>
      <c r="D2381" s="32" t="s">
        <v>87</v>
      </c>
      <c r="E23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2" spans="1:6" x14ac:dyDescent="0.35">
      <c r="A2382" s="3">
        <v>62914654800</v>
      </c>
      <c r="B2382" s="3">
        <v>119</v>
      </c>
      <c r="C2382" s="32">
        <v>49188</v>
      </c>
      <c r="D2382" s="32" t="s">
        <v>87</v>
      </c>
      <c r="E23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3" spans="1:6" x14ac:dyDescent="0.35">
      <c r="A2383" s="3">
        <v>92713290904</v>
      </c>
      <c r="B2383" s="3">
        <v>120</v>
      </c>
      <c r="C2383" s="32">
        <v>49188</v>
      </c>
      <c r="D2383" s="32">
        <v>49242</v>
      </c>
      <c r="E23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384" spans="1:6" x14ac:dyDescent="0.35">
      <c r="A2384" s="3">
        <v>30240119398</v>
      </c>
      <c r="B2384" s="3">
        <v>136</v>
      </c>
      <c r="C2384" s="32">
        <v>49188</v>
      </c>
      <c r="D2384" s="32" t="s">
        <v>87</v>
      </c>
      <c r="E23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5" spans="1:6" x14ac:dyDescent="0.35">
      <c r="A2385" s="3">
        <v>65057776954</v>
      </c>
      <c r="B2385" s="3">
        <v>143</v>
      </c>
      <c r="C2385" s="32">
        <v>49188</v>
      </c>
      <c r="D2385" s="32" t="s">
        <v>87</v>
      </c>
      <c r="E23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6" spans="1:6" x14ac:dyDescent="0.35">
      <c r="A2386" s="3">
        <v>35859759052</v>
      </c>
      <c r="B2386" s="3">
        <v>150</v>
      </c>
      <c r="C2386" s="32">
        <v>49188</v>
      </c>
      <c r="D2386" s="32" t="s">
        <v>87</v>
      </c>
      <c r="E23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7" spans="1:6" x14ac:dyDescent="0.35">
      <c r="A2387" s="3">
        <v>72010463329</v>
      </c>
      <c r="B2387" s="3">
        <v>161</v>
      </c>
      <c r="C2387" s="32">
        <v>49188</v>
      </c>
      <c r="D2387" s="32" t="s">
        <v>87</v>
      </c>
      <c r="E23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8" spans="1:6" x14ac:dyDescent="0.35">
      <c r="A2388" s="3">
        <v>99218148587</v>
      </c>
      <c r="B2388" s="3">
        <v>173</v>
      </c>
      <c r="C2388" s="32">
        <v>49188</v>
      </c>
      <c r="D2388" s="32" t="s">
        <v>87</v>
      </c>
      <c r="E23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9" spans="1:6" x14ac:dyDescent="0.35">
      <c r="A2389" s="3">
        <v>76259729755</v>
      </c>
      <c r="B2389" s="3">
        <v>202</v>
      </c>
      <c r="C2389" s="32">
        <v>49188</v>
      </c>
      <c r="D2389" s="32" t="s">
        <v>87</v>
      </c>
      <c r="E23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0" spans="1:6" x14ac:dyDescent="0.35">
      <c r="A2390" s="3">
        <v>35169231239</v>
      </c>
      <c r="B2390" s="3">
        <v>239</v>
      </c>
      <c r="C2390" s="32">
        <v>49188</v>
      </c>
      <c r="D2390" s="32">
        <v>49232</v>
      </c>
      <c r="E23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391" spans="1:6" x14ac:dyDescent="0.35">
      <c r="A2391" s="3">
        <v>91937525470</v>
      </c>
      <c r="B2391" s="3">
        <v>240</v>
      </c>
      <c r="C2391" s="32">
        <v>49188</v>
      </c>
      <c r="D2391" s="32" t="s">
        <v>87</v>
      </c>
      <c r="E23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2" spans="1:6" x14ac:dyDescent="0.35">
      <c r="A2392" s="3">
        <v>12694011686</v>
      </c>
      <c r="B2392" s="3">
        <v>256</v>
      </c>
      <c r="C2392" s="32">
        <v>49188</v>
      </c>
      <c r="D2392" s="32" t="s">
        <v>87</v>
      </c>
      <c r="E23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3" spans="1:6" x14ac:dyDescent="0.35">
      <c r="A2393" s="3">
        <v>69872802386</v>
      </c>
      <c r="B2393" s="3">
        <v>259</v>
      </c>
      <c r="C2393" s="32">
        <v>49188</v>
      </c>
      <c r="D2393" s="32" t="s">
        <v>87</v>
      </c>
      <c r="E23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4" spans="1:6" x14ac:dyDescent="0.35">
      <c r="A2394" s="3">
        <v>25324967655</v>
      </c>
      <c r="B2394" s="3">
        <v>280</v>
      </c>
      <c r="C2394" s="32">
        <v>49188</v>
      </c>
      <c r="D2394" s="32">
        <v>49198</v>
      </c>
      <c r="E23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395" spans="1:6" x14ac:dyDescent="0.35">
      <c r="A2395" s="3">
        <v>54211383660</v>
      </c>
      <c r="B2395" s="3">
        <v>298</v>
      </c>
      <c r="C2395" s="32">
        <v>49188</v>
      </c>
      <c r="D2395" s="32">
        <v>49295</v>
      </c>
      <c r="E23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396" spans="1:6" x14ac:dyDescent="0.35">
      <c r="A2396" s="3">
        <v>44558050416</v>
      </c>
      <c r="B2396" s="3">
        <v>300</v>
      </c>
      <c r="C2396" s="32">
        <v>49188</v>
      </c>
      <c r="D2396" s="32" t="s">
        <v>87</v>
      </c>
      <c r="E23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7" spans="1:6" x14ac:dyDescent="0.35">
      <c r="A2397" s="3">
        <v>35492642414</v>
      </c>
      <c r="B2397" s="3">
        <v>308</v>
      </c>
      <c r="C2397" s="32">
        <v>49188</v>
      </c>
      <c r="D2397" s="32"/>
      <c r="E23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8" spans="1:6" x14ac:dyDescent="0.35">
      <c r="A2398" s="3">
        <v>89141643045</v>
      </c>
      <c r="B2398" s="3">
        <v>313</v>
      </c>
      <c r="C2398" s="32">
        <v>49188</v>
      </c>
      <c r="D2398" s="32"/>
      <c r="E23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9" spans="1:6" x14ac:dyDescent="0.35">
      <c r="A2399" s="3">
        <v>86634802210</v>
      </c>
      <c r="B2399" s="3">
        <v>321</v>
      </c>
      <c r="C2399" s="32">
        <v>49188</v>
      </c>
      <c r="D2399" s="32" t="s">
        <v>87</v>
      </c>
      <c r="E23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0" spans="1:6" x14ac:dyDescent="0.35">
      <c r="A2400" s="3">
        <v>85604780138</v>
      </c>
      <c r="B2400" s="3">
        <v>326</v>
      </c>
      <c r="C2400" s="32">
        <v>49188</v>
      </c>
      <c r="D2400" s="32"/>
      <c r="E24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1" spans="1:6" x14ac:dyDescent="0.35">
      <c r="A2401" s="3">
        <v>72067930019</v>
      </c>
      <c r="B2401" s="3">
        <v>327</v>
      </c>
      <c r="C2401" s="32">
        <v>49188</v>
      </c>
      <c r="D2401" s="32"/>
      <c r="E24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2" spans="1:6" x14ac:dyDescent="0.35">
      <c r="A2402" s="3">
        <v>14170844626</v>
      </c>
      <c r="B2402" s="3">
        <v>329</v>
      </c>
      <c r="C2402" s="32">
        <v>49188</v>
      </c>
      <c r="D2402" s="32"/>
      <c r="E24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3" spans="1:6" x14ac:dyDescent="0.35">
      <c r="A2403" s="3">
        <v>77403064604</v>
      </c>
      <c r="B2403" s="3">
        <v>335</v>
      </c>
      <c r="C2403" s="32">
        <v>49188</v>
      </c>
      <c r="D2403" s="32" t="s">
        <v>87</v>
      </c>
      <c r="E24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4" spans="1:6" x14ac:dyDescent="0.35">
      <c r="A2404" s="3">
        <v>43143344315</v>
      </c>
      <c r="B2404" s="3">
        <v>339</v>
      </c>
      <c r="C2404" s="32">
        <v>49188</v>
      </c>
      <c r="D2404" s="32" t="s">
        <v>87</v>
      </c>
      <c r="E24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5" spans="1:6" x14ac:dyDescent="0.35">
      <c r="A2405" s="3">
        <v>93705214428</v>
      </c>
      <c r="B2405" s="3">
        <v>16</v>
      </c>
      <c r="C2405" s="32">
        <v>49189</v>
      </c>
      <c r="D2405" s="32" t="s">
        <v>87</v>
      </c>
      <c r="E24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6" spans="1:6" x14ac:dyDescent="0.35">
      <c r="A2406" s="3">
        <v>71666711269</v>
      </c>
      <c r="B2406" s="3">
        <v>26</v>
      </c>
      <c r="C2406" s="32">
        <v>49189</v>
      </c>
      <c r="D2406" s="32"/>
      <c r="E24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7" spans="1:6" x14ac:dyDescent="0.35">
      <c r="A2407" s="3">
        <v>64541211064</v>
      </c>
      <c r="B2407" s="3">
        <v>30</v>
      </c>
      <c r="C2407" s="32">
        <v>49189</v>
      </c>
      <c r="D2407" s="32">
        <v>49222</v>
      </c>
      <c r="E24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08" spans="1:6" x14ac:dyDescent="0.35">
      <c r="A2408" s="3">
        <v>35619195951</v>
      </c>
      <c r="B2408" s="3">
        <v>32</v>
      </c>
      <c r="C2408" s="32">
        <v>49189</v>
      </c>
      <c r="D2408" s="32">
        <v>49288</v>
      </c>
      <c r="E24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409" spans="1:6" x14ac:dyDescent="0.35">
      <c r="A2409" s="3">
        <v>56575215626</v>
      </c>
      <c r="B2409" s="3">
        <v>44</v>
      </c>
      <c r="C2409" s="32">
        <v>49189</v>
      </c>
      <c r="D2409" s="32">
        <v>49231</v>
      </c>
      <c r="E24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10" spans="1:6" x14ac:dyDescent="0.35">
      <c r="A2410" s="3">
        <v>91432974533</v>
      </c>
      <c r="B2410" s="3">
        <v>47</v>
      </c>
      <c r="C2410" s="32">
        <v>49189</v>
      </c>
      <c r="D2410" s="32">
        <v>49236</v>
      </c>
      <c r="E24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11" spans="1:6" x14ac:dyDescent="0.35">
      <c r="A2411" s="3">
        <v>66073737309</v>
      </c>
      <c r="B2411" s="3">
        <v>57</v>
      </c>
      <c r="C2411" s="32">
        <v>49189</v>
      </c>
      <c r="D2411" s="32" t="s">
        <v>87</v>
      </c>
      <c r="E24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2" spans="1:6" x14ac:dyDescent="0.35">
      <c r="A2412" s="3">
        <v>62603332071</v>
      </c>
      <c r="B2412" s="3">
        <v>67</v>
      </c>
      <c r="C2412" s="32">
        <v>49189</v>
      </c>
      <c r="D2412" s="32"/>
      <c r="E24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3" spans="1:6" x14ac:dyDescent="0.35">
      <c r="A2413" s="3">
        <v>75915454882</v>
      </c>
      <c r="B2413" s="3">
        <v>107</v>
      </c>
      <c r="C2413" s="32">
        <v>49189</v>
      </c>
      <c r="D2413" s="32"/>
      <c r="E24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4" spans="1:6" x14ac:dyDescent="0.35">
      <c r="A2414" s="3">
        <v>58160144946</v>
      </c>
      <c r="B2414" s="3">
        <v>110</v>
      </c>
      <c r="C2414" s="32">
        <v>49189</v>
      </c>
      <c r="D2414" s="32"/>
      <c r="E24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5" spans="1:6" x14ac:dyDescent="0.35">
      <c r="A2415" s="3">
        <v>84653278931</v>
      </c>
      <c r="B2415" s="3">
        <v>121</v>
      </c>
      <c r="C2415" s="32">
        <v>49189</v>
      </c>
      <c r="D2415" s="32"/>
      <c r="E24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6" spans="1:6" x14ac:dyDescent="0.35">
      <c r="A2416" s="3">
        <v>84541655880</v>
      </c>
      <c r="B2416" s="3">
        <v>132</v>
      </c>
      <c r="C2416" s="32">
        <v>49189</v>
      </c>
      <c r="D2416" s="32" t="s">
        <v>87</v>
      </c>
      <c r="E24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7" spans="1:6" x14ac:dyDescent="0.35">
      <c r="A2417" s="3">
        <v>79236119445</v>
      </c>
      <c r="B2417" s="3">
        <v>134</v>
      </c>
      <c r="C2417" s="32">
        <v>49189</v>
      </c>
      <c r="D2417" s="32"/>
      <c r="E24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8" spans="1:6" x14ac:dyDescent="0.35">
      <c r="A2418" s="3">
        <v>99490306418</v>
      </c>
      <c r="B2418" s="3">
        <v>134</v>
      </c>
      <c r="C2418" s="32">
        <v>49189</v>
      </c>
      <c r="D2418" s="32" t="s">
        <v>87</v>
      </c>
      <c r="E24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9" spans="1:6" x14ac:dyDescent="0.35">
      <c r="A2419" s="3">
        <v>73620905894</v>
      </c>
      <c r="B2419" s="3">
        <v>186</v>
      </c>
      <c r="C2419" s="32">
        <v>49189</v>
      </c>
      <c r="D2419" s="32">
        <v>49199</v>
      </c>
      <c r="E24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420" spans="1:6" x14ac:dyDescent="0.35">
      <c r="A2420" s="3">
        <v>22753257786</v>
      </c>
      <c r="B2420" s="3">
        <v>207</v>
      </c>
      <c r="C2420" s="32">
        <v>49189</v>
      </c>
      <c r="D2420" s="32">
        <v>49232</v>
      </c>
      <c r="E24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21" spans="1:6" x14ac:dyDescent="0.35">
      <c r="A2421" s="3">
        <v>64676582520</v>
      </c>
      <c r="B2421" s="3">
        <v>242</v>
      </c>
      <c r="C2421" s="32">
        <v>49189</v>
      </c>
      <c r="D2421" s="32">
        <v>49218</v>
      </c>
      <c r="E24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22" spans="1:6" x14ac:dyDescent="0.35">
      <c r="A2422" s="3">
        <v>24445775338</v>
      </c>
      <c r="B2422" s="3">
        <v>248</v>
      </c>
      <c r="C2422" s="32">
        <v>49189</v>
      </c>
      <c r="D2422" s="32">
        <v>49248</v>
      </c>
      <c r="E24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23" spans="1:6" x14ac:dyDescent="0.35">
      <c r="A2423" s="3">
        <v>85631969493</v>
      </c>
      <c r="B2423" s="3">
        <v>261</v>
      </c>
      <c r="C2423" s="32">
        <v>49189</v>
      </c>
      <c r="D2423" s="32">
        <v>49201</v>
      </c>
      <c r="E24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424" spans="1:6" x14ac:dyDescent="0.35">
      <c r="A2424" s="3">
        <v>86103002305</v>
      </c>
      <c r="B2424" s="3">
        <v>268</v>
      </c>
      <c r="C2424" s="32">
        <v>49189</v>
      </c>
      <c r="D2424" s="32"/>
      <c r="E24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25" spans="1:6" x14ac:dyDescent="0.35">
      <c r="A2425" s="3">
        <v>52305182631</v>
      </c>
      <c r="B2425" s="3">
        <v>277</v>
      </c>
      <c r="C2425" s="32">
        <v>49189</v>
      </c>
      <c r="D2425" s="32"/>
      <c r="E24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26" spans="1:6" x14ac:dyDescent="0.35">
      <c r="A2426" s="3">
        <v>76478463422</v>
      </c>
      <c r="B2426" s="3">
        <v>289</v>
      </c>
      <c r="C2426" s="32">
        <v>49189</v>
      </c>
      <c r="D2426" s="32" t="s">
        <v>87</v>
      </c>
      <c r="E24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27" spans="1:6" x14ac:dyDescent="0.35">
      <c r="A2427" s="3">
        <v>61768718201</v>
      </c>
      <c r="B2427" s="3">
        <v>297</v>
      </c>
      <c r="C2427" s="32">
        <v>49189</v>
      </c>
      <c r="D2427" s="32">
        <v>49275</v>
      </c>
      <c r="E24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428" spans="1:6" x14ac:dyDescent="0.35">
      <c r="A2428" s="3">
        <v>26861585576</v>
      </c>
      <c r="B2428" s="3">
        <v>307</v>
      </c>
      <c r="C2428" s="32">
        <v>49189</v>
      </c>
      <c r="D2428" s="32" t="s">
        <v>87</v>
      </c>
      <c r="E24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29" spans="1:6" x14ac:dyDescent="0.35">
      <c r="A2429" s="3">
        <v>77416740025</v>
      </c>
      <c r="B2429" s="3">
        <v>314</v>
      </c>
      <c r="C2429" s="32">
        <v>49189</v>
      </c>
      <c r="D2429" s="32"/>
      <c r="E24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0" spans="1:6" x14ac:dyDescent="0.35">
      <c r="A2430" s="3">
        <v>69858479526</v>
      </c>
      <c r="B2430" s="3">
        <v>13</v>
      </c>
      <c r="C2430" s="32">
        <v>49190</v>
      </c>
      <c r="D2430" s="32"/>
      <c r="E24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1" spans="1:6" x14ac:dyDescent="0.35">
      <c r="A2431" s="3">
        <v>39615774756</v>
      </c>
      <c r="B2431" s="3">
        <v>39</v>
      </c>
      <c r="C2431" s="32">
        <v>49190</v>
      </c>
      <c r="D2431" s="32" t="s">
        <v>87</v>
      </c>
      <c r="E24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2" spans="1:6" x14ac:dyDescent="0.35">
      <c r="A2432" s="3">
        <v>94319800050</v>
      </c>
      <c r="B2432" s="3">
        <v>53</v>
      </c>
      <c r="C2432" s="32">
        <v>49190</v>
      </c>
      <c r="D2432" s="32">
        <v>49292</v>
      </c>
      <c r="E24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433" spans="1:6" x14ac:dyDescent="0.35">
      <c r="A2433" s="3">
        <v>22464349822</v>
      </c>
      <c r="B2433" s="3">
        <v>66</v>
      </c>
      <c r="C2433" s="32">
        <v>49190</v>
      </c>
      <c r="D2433" s="32" t="s">
        <v>87</v>
      </c>
      <c r="E24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4" spans="1:6" x14ac:dyDescent="0.35">
      <c r="A2434" s="3">
        <v>76698367328</v>
      </c>
      <c r="B2434" s="3">
        <v>73</v>
      </c>
      <c r="C2434" s="32">
        <v>49190</v>
      </c>
      <c r="D2434" s="32"/>
      <c r="E24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5" spans="1:6" x14ac:dyDescent="0.35">
      <c r="A2435" s="3">
        <v>95829519457</v>
      </c>
      <c r="B2435" s="3">
        <v>84</v>
      </c>
      <c r="C2435" s="32">
        <v>49190</v>
      </c>
      <c r="D2435" s="32" t="s">
        <v>87</v>
      </c>
      <c r="E24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6" spans="1:6" x14ac:dyDescent="0.35">
      <c r="A2436" s="3">
        <v>66168921291</v>
      </c>
      <c r="B2436" s="3">
        <v>105</v>
      </c>
      <c r="C2436" s="32">
        <v>49190</v>
      </c>
      <c r="D2436" s="32" t="s">
        <v>87</v>
      </c>
      <c r="E24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7" spans="1:6" x14ac:dyDescent="0.35">
      <c r="A2437" s="3">
        <v>49237462311</v>
      </c>
      <c r="B2437" s="3">
        <v>126</v>
      </c>
      <c r="C2437" s="32">
        <v>49190</v>
      </c>
      <c r="D2437" s="32" t="s">
        <v>87</v>
      </c>
      <c r="E24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8" spans="1:6" x14ac:dyDescent="0.35">
      <c r="A2438" s="3">
        <v>28025621762</v>
      </c>
      <c r="B2438" s="3">
        <v>156</v>
      </c>
      <c r="C2438" s="32">
        <v>49190</v>
      </c>
      <c r="D2438" s="32"/>
      <c r="E24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9" spans="1:6" x14ac:dyDescent="0.35">
      <c r="A2439" s="3">
        <v>28734138979</v>
      </c>
      <c r="B2439" s="3">
        <v>169</v>
      </c>
      <c r="C2439" s="32">
        <v>49190</v>
      </c>
      <c r="D2439" s="32"/>
      <c r="E24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0" spans="1:6" x14ac:dyDescent="0.35">
      <c r="A2440" s="3">
        <v>74055104077</v>
      </c>
      <c r="B2440" s="3">
        <v>169</v>
      </c>
      <c r="C2440" s="32">
        <v>49190</v>
      </c>
      <c r="D2440" s="32" t="s">
        <v>87</v>
      </c>
      <c r="E24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1" spans="1:6" x14ac:dyDescent="0.35">
      <c r="A2441" s="3">
        <v>46216887407</v>
      </c>
      <c r="B2441" s="3">
        <v>173</v>
      </c>
      <c r="C2441" s="32">
        <v>49190</v>
      </c>
      <c r="D2441" s="32" t="s">
        <v>87</v>
      </c>
      <c r="E24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2" spans="1:6" x14ac:dyDescent="0.35">
      <c r="A2442" s="3">
        <v>22594183565</v>
      </c>
      <c r="B2442" s="3">
        <v>202</v>
      </c>
      <c r="C2442" s="32">
        <v>49190</v>
      </c>
      <c r="D2442" s="32" t="s">
        <v>87</v>
      </c>
      <c r="E24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3" spans="1:6" x14ac:dyDescent="0.35">
      <c r="A2443" s="3">
        <v>12635840047</v>
      </c>
      <c r="B2443" s="3">
        <v>204</v>
      </c>
      <c r="C2443" s="32">
        <v>49190</v>
      </c>
      <c r="D2443" s="32" t="s">
        <v>87</v>
      </c>
      <c r="E24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4" spans="1:6" x14ac:dyDescent="0.35">
      <c r="A2444" s="3">
        <v>66611057800</v>
      </c>
      <c r="B2444" s="3">
        <v>258</v>
      </c>
      <c r="C2444" s="32">
        <v>49190</v>
      </c>
      <c r="D2444" s="32"/>
      <c r="E24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5" spans="1:6" x14ac:dyDescent="0.35">
      <c r="A2445" s="3">
        <v>28787535214</v>
      </c>
      <c r="B2445" s="3">
        <v>295</v>
      </c>
      <c r="C2445" s="32">
        <v>49190</v>
      </c>
      <c r="D2445" s="32" t="s">
        <v>87</v>
      </c>
      <c r="E24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6" spans="1:6" x14ac:dyDescent="0.35">
      <c r="A2446" s="3">
        <v>34185149204</v>
      </c>
      <c r="B2446" s="3">
        <v>311</v>
      </c>
      <c r="C2446" s="32">
        <v>49190</v>
      </c>
      <c r="D2446" s="32" t="s">
        <v>87</v>
      </c>
      <c r="E24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7" spans="1:6" x14ac:dyDescent="0.35">
      <c r="A2447" s="3">
        <v>55997506418</v>
      </c>
      <c r="B2447" s="3">
        <v>317</v>
      </c>
      <c r="C2447" s="32">
        <v>49190</v>
      </c>
      <c r="D2447" s="32" t="s">
        <v>87</v>
      </c>
      <c r="E24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8" spans="1:6" x14ac:dyDescent="0.35">
      <c r="A2448" s="3">
        <v>29148003090</v>
      </c>
      <c r="B2448" s="3">
        <v>318</v>
      </c>
      <c r="C2448" s="32">
        <v>49190</v>
      </c>
      <c r="D2448" s="32"/>
      <c r="E24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9" spans="1:6" x14ac:dyDescent="0.35">
      <c r="A2449" s="3">
        <v>85528765176</v>
      </c>
      <c r="B2449" s="3">
        <v>320</v>
      </c>
      <c r="C2449" s="32">
        <v>49190</v>
      </c>
      <c r="D2449" s="32" t="s">
        <v>87</v>
      </c>
      <c r="E24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0" spans="1:6" x14ac:dyDescent="0.35">
      <c r="A2450" s="3">
        <v>58433727401</v>
      </c>
      <c r="B2450" s="3">
        <v>328</v>
      </c>
      <c r="C2450" s="32">
        <v>49190</v>
      </c>
      <c r="D2450" s="32" t="s">
        <v>87</v>
      </c>
      <c r="E24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1" spans="1:6" x14ac:dyDescent="0.35">
      <c r="A2451" s="3">
        <v>53426379075</v>
      </c>
      <c r="B2451" s="3">
        <v>0</v>
      </c>
      <c r="C2451" s="32">
        <v>49191</v>
      </c>
      <c r="D2451" s="32" t="s">
        <v>87</v>
      </c>
      <c r="E24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2" spans="1:6" x14ac:dyDescent="0.35">
      <c r="A2452" s="3">
        <v>72429457400</v>
      </c>
      <c r="B2452" s="3">
        <v>3</v>
      </c>
      <c r="C2452" s="32">
        <v>49191</v>
      </c>
      <c r="D2452" s="32" t="s">
        <v>87</v>
      </c>
      <c r="E24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3" spans="1:6" x14ac:dyDescent="0.35">
      <c r="A2453" s="3">
        <v>56290356203</v>
      </c>
      <c r="B2453" s="3">
        <v>39</v>
      </c>
      <c r="C2453" s="32">
        <v>49191</v>
      </c>
      <c r="D2453" s="32" t="s">
        <v>87</v>
      </c>
      <c r="E24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4" spans="1:6" x14ac:dyDescent="0.35">
      <c r="A2454" s="3">
        <v>79103230271</v>
      </c>
      <c r="B2454" s="3">
        <v>49</v>
      </c>
      <c r="C2454" s="32">
        <v>49191</v>
      </c>
      <c r="D2454" s="32" t="s">
        <v>87</v>
      </c>
      <c r="E24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5" spans="1:6" x14ac:dyDescent="0.35">
      <c r="A2455" s="3">
        <v>43911150885</v>
      </c>
      <c r="B2455" s="3">
        <v>50</v>
      </c>
      <c r="C2455" s="32">
        <v>49191</v>
      </c>
      <c r="D2455" s="32" t="s">
        <v>87</v>
      </c>
      <c r="E24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6" spans="1:6" x14ac:dyDescent="0.35">
      <c r="A2456" s="3">
        <v>94282040623</v>
      </c>
      <c r="B2456" s="3">
        <v>74</v>
      </c>
      <c r="C2456" s="32">
        <v>49191</v>
      </c>
      <c r="D2456" s="32" t="s">
        <v>87</v>
      </c>
      <c r="E24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7" spans="1:6" x14ac:dyDescent="0.35">
      <c r="A2457" s="3">
        <v>90331816445</v>
      </c>
      <c r="B2457" s="3">
        <v>80</v>
      </c>
      <c r="C2457" s="32">
        <v>49191</v>
      </c>
      <c r="D2457" s="32" t="s">
        <v>87</v>
      </c>
      <c r="E24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8" spans="1:6" x14ac:dyDescent="0.35">
      <c r="A2458" s="3">
        <v>27194033614</v>
      </c>
      <c r="B2458" s="3">
        <v>129</v>
      </c>
      <c r="C2458" s="32">
        <v>49191</v>
      </c>
      <c r="D2458" s="32">
        <v>49238</v>
      </c>
      <c r="E24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59" spans="1:6" x14ac:dyDescent="0.35">
      <c r="A2459" s="3">
        <v>79823297869</v>
      </c>
      <c r="B2459" s="3">
        <v>134</v>
      </c>
      <c r="C2459" s="32">
        <v>49191</v>
      </c>
      <c r="D2459" s="32" t="s">
        <v>87</v>
      </c>
      <c r="E24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0" spans="1:6" x14ac:dyDescent="0.35">
      <c r="A2460" s="3">
        <v>45922054573</v>
      </c>
      <c r="B2460" s="3">
        <v>150</v>
      </c>
      <c r="C2460" s="32">
        <v>49191</v>
      </c>
      <c r="D2460" s="32">
        <v>49309</v>
      </c>
      <c r="E24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461" spans="1:6" x14ac:dyDescent="0.35">
      <c r="A2461" s="3">
        <v>13179125472</v>
      </c>
      <c r="B2461" s="3">
        <v>152</v>
      </c>
      <c r="C2461" s="32">
        <v>49191</v>
      </c>
      <c r="D2461" s="32">
        <v>49243</v>
      </c>
      <c r="E24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62" spans="1:6" x14ac:dyDescent="0.35">
      <c r="A2462" s="3">
        <v>47118046888</v>
      </c>
      <c r="B2462" s="3">
        <v>158</v>
      </c>
      <c r="C2462" s="32">
        <v>49191</v>
      </c>
      <c r="D2462" s="32">
        <v>49237</v>
      </c>
      <c r="E24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63" spans="1:6" x14ac:dyDescent="0.35">
      <c r="A2463" s="3">
        <v>33924910995</v>
      </c>
      <c r="B2463" s="3">
        <v>163</v>
      </c>
      <c r="C2463" s="32">
        <v>49191</v>
      </c>
      <c r="D2463" s="32"/>
      <c r="E24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4" spans="1:6" x14ac:dyDescent="0.35">
      <c r="A2464" s="3">
        <v>89847922257</v>
      </c>
      <c r="B2464" s="3">
        <v>216</v>
      </c>
      <c r="C2464" s="32">
        <v>49191</v>
      </c>
      <c r="D2464" s="32" t="s">
        <v>87</v>
      </c>
      <c r="E24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5" spans="1:6" x14ac:dyDescent="0.35">
      <c r="A2465" s="3">
        <v>97140208257</v>
      </c>
      <c r="B2465" s="3">
        <v>226</v>
      </c>
      <c r="C2465" s="32">
        <v>49191</v>
      </c>
      <c r="D2465" s="32" t="s">
        <v>87</v>
      </c>
      <c r="E24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6" spans="1:6" x14ac:dyDescent="0.35">
      <c r="A2466" s="3">
        <v>97664956808</v>
      </c>
      <c r="B2466" s="3">
        <v>231</v>
      </c>
      <c r="C2466" s="32">
        <v>49191</v>
      </c>
      <c r="D2466" s="32"/>
      <c r="E24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7" spans="1:6" x14ac:dyDescent="0.35">
      <c r="A2467" s="3">
        <v>74348938518</v>
      </c>
      <c r="B2467" s="3">
        <v>239</v>
      </c>
      <c r="C2467" s="32">
        <v>49191</v>
      </c>
      <c r="D2467" s="32" t="s">
        <v>87</v>
      </c>
      <c r="E24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8" spans="1:6" x14ac:dyDescent="0.35">
      <c r="A2468" s="3">
        <v>36371586917</v>
      </c>
      <c r="B2468" s="3">
        <v>246</v>
      </c>
      <c r="C2468" s="32">
        <v>49191</v>
      </c>
      <c r="D2468" s="32" t="s">
        <v>87</v>
      </c>
      <c r="E24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9" spans="1:6" x14ac:dyDescent="0.35">
      <c r="A2469" s="3">
        <v>53254376853</v>
      </c>
      <c r="B2469" s="3">
        <v>254</v>
      </c>
      <c r="C2469" s="32">
        <v>49191</v>
      </c>
      <c r="D2469" s="32"/>
      <c r="E24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0" spans="1:6" x14ac:dyDescent="0.35">
      <c r="A2470" s="3">
        <v>33474643096</v>
      </c>
      <c r="B2470" s="3">
        <v>289</v>
      </c>
      <c r="C2470" s="32">
        <v>49191</v>
      </c>
      <c r="D2470" s="32" t="s">
        <v>87</v>
      </c>
      <c r="E24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1" spans="1:6" x14ac:dyDescent="0.35">
      <c r="A2471" s="3">
        <v>78272917019</v>
      </c>
      <c r="B2471" s="3">
        <v>324</v>
      </c>
      <c r="C2471" s="32">
        <v>49191</v>
      </c>
      <c r="D2471" s="32">
        <v>49199</v>
      </c>
      <c r="E24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472" spans="1:6" x14ac:dyDescent="0.35">
      <c r="A2472" s="3">
        <v>15713070395</v>
      </c>
      <c r="B2472" s="3">
        <v>324</v>
      </c>
      <c r="C2472" s="32">
        <v>49191</v>
      </c>
      <c r="D2472" s="32" t="s">
        <v>87</v>
      </c>
      <c r="E24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3" spans="1:6" x14ac:dyDescent="0.35">
      <c r="A2473" s="3">
        <v>95456929574</v>
      </c>
      <c r="B2473" s="3">
        <v>325</v>
      </c>
      <c r="C2473" s="32">
        <v>49191</v>
      </c>
      <c r="D2473" s="32" t="s">
        <v>87</v>
      </c>
      <c r="E24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4" spans="1:6" x14ac:dyDescent="0.35">
      <c r="A2474" s="3">
        <v>89019866654</v>
      </c>
      <c r="B2474" s="3">
        <v>326</v>
      </c>
      <c r="C2474" s="32">
        <v>49191</v>
      </c>
      <c r="D2474" s="32" t="s">
        <v>87</v>
      </c>
      <c r="E24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5" spans="1:6" x14ac:dyDescent="0.35">
      <c r="A2475" s="3">
        <v>25897734937</v>
      </c>
      <c r="B2475" s="3">
        <v>9</v>
      </c>
      <c r="C2475" s="32">
        <v>49192</v>
      </c>
      <c r="D2475" s="32">
        <v>49268</v>
      </c>
      <c r="E24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476" spans="1:6" x14ac:dyDescent="0.35">
      <c r="A2476" s="3">
        <v>16627539777</v>
      </c>
      <c r="B2476" s="3">
        <v>10</v>
      </c>
      <c r="C2476" s="32">
        <v>49192</v>
      </c>
      <c r="D2476" s="32"/>
      <c r="E24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7" spans="1:6" x14ac:dyDescent="0.35">
      <c r="A2477" s="3">
        <v>95645248614</v>
      </c>
      <c r="B2477" s="3">
        <v>20</v>
      </c>
      <c r="C2477" s="32">
        <v>49192</v>
      </c>
      <c r="D2477" s="32" t="s">
        <v>87</v>
      </c>
      <c r="E24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8" spans="1:6" x14ac:dyDescent="0.35">
      <c r="A2478" s="3">
        <v>89962965788</v>
      </c>
      <c r="B2478" s="3">
        <v>58</v>
      </c>
      <c r="C2478" s="32">
        <v>49192</v>
      </c>
      <c r="D2478" s="32">
        <v>49197</v>
      </c>
      <c r="E24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479" spans="1:6" x14ac:dyDescent="0.35">
      <c r="A2479" s="3">
        <v>85209000246</v>
      </c>
      <c r="B2479" s="3">
        <v>73</v>
      </c>
      <c r="C2479" s="32">
        <v>49192</v>
      </c>
      <c r="D2479" s="32" t="s">
        <v>87</v>
      </c>
      <c r="E24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0" spans="1:6" x14ac:dyDescent="0.35">
      <c r="A2480" s="3">
        <v>99362707718</v>
      </c>
      <c r="B2480" s="3">
        <v>113</v>
      </c>
      <c r="C2480" s="32">
        <v>49192</v>
      </c>
      <c r="D2480" s="32" t="s">
        <v>87</v>
      </c>
      <c r="E24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1" spans="1:6" x14ac:dyDescent="0.35">
      <c r="A2481" s="3">
        <v>50298329403</v>
      </c>
      <c r="B2481" s="3">
        <v>122</v>
      </c>
      <c r="C2481" s="32">
        <v>49192</v>
      </c>
      <c r="D2481" s="32" t="s">
        <v>87</v>
      </c>
      <c r="E24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2" spans="1:6" x14ac:dyDescent="0.35">
      <c r="A2482" s="3">
        <v>38114042321</v>
      </c>
      <c r="B2482" s="3">
        <v>126</v>
      </c>
      <c r="C2482" s="32">
        <v>49192</v>
      </c>
      <c r="D2482" s="32" t="s">
        <v>87</v>
      </c>
      <c r="E24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3" spans="1:6" x14ac:dyDescent="0.35">
      <c r="A2483" s="3">
        <v>47091409761</v>
      </c>
      <c r="B2483" s="3">
        <v>143</v>
      </c>
      <c r="C2483" s="32">
        <v>49192</v>
      </c>
      <c r="D2483" s="32" t="s">
        <v>87</v>
      </c>
      <c r="E24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4" spans="1:6" x14ac:dyDescent="0.35">
      <c r="A2484" s="3">
        <v>74151298652</v>
      </c>
      <c r="B2484" s="3">
        <v>155</v>
      </c>
      <c r="C2484" s="32">
        <v>49192</v>
      </c>
      <c r="D2484" s="32">
        <v>49295</v>
      </c>
      <c r="E24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485" spans="1:6" x14ac:dyDescent="0.35">
      <c r="A2485" s="3">
        <v>76380401508</v>
      </c>
      <c r="B2485" s="3">
        <v>179</v>
      </c>
      <c r="C2485" s="32">
        <v>49192</v>
      </c>
      <c r="D2485" s="32">
        <v>49237</v>
      </c>
      <c r="E24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86" spans="1:6" x14ac:dyDescent="0.35">
      <c r="A2486" s="3">
        <v>86466397730</v>
      </c>
      <c r="B2486" s="3">
        <v>190</v>
      </c>
      <c r="C2486" s="32">
        <v>49192</v>
      </c>
      <c r="D2486" s="32" t="s">
        <v>87</v>
      </c>
      <c r="E24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7" spans="1:6" x14ac:dyDescent="0.35">
      <c r="A2487" s="3">
        <v>35907275328</v>
      </c>
      <c r="B2487" s="3">
        <v>199</v>
      </c>
      <c r="C2487" s="32">
        <v>49192</v>
      </c>
      <c r="D2487" s="32"/>
      <c r="E24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8" spans="1:6" x14ac:dyDescent="0.35">
      <c r="A2488" s="3">
        <v>60923357369</v>
      </c>
      <c r="B2488" s="3">
        <v>203</v>
      </c>
      <c r="C2488" s="32">
        <v>49192</v>
      </c>
      <c r="D2488" s="32" t="s">
        <v>87</v>
      </c>
      <c r="E24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9" spans="1:6" x14ac:dyDescent="0.35">
      <c r="A2489" s="3">
        <v>71861670296</v>
      </c>
      <c r="B2489" s="3">
        <v>212</v>
      </c>
      <c r="C2489" s="32">
        <v>49192</v>
      </c>
      <c r="D2489" s="32">
        <v>49235</v>
      </c>
      <c r="E24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90" spans="1:6" x14ac:dyDescent="0.35">
      <c r="A2490" s="3">
        <v>73433625192</v>
      </c>
      <c r="B2490" s="3">
        <v>218</v>
      </c>
      <c r="C2490" s="32">
        <v>49192</v>
      </c>
      <c r="D2490" s="32"/>
      <c r="E24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1" spans="1:6" x14ac:dyDescent="0.35">
      <c r="A2491" s="3">
        <v>51009577834</v>
      </c>
      <c r="B2491" s="3">
        <v>255</v>
      </c>
      <c r="C2491" s="32">
        <v>49192</v>
      </c>
      <c r="D2491" s="32" t="s">
        <v>87</v>
      </c>
      <c r="E24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2" spans="1:6" x14ac:dyDescent="0.35">
      <c r="A2492" s="3">
        <v>97573488894</v>
      </c>
      <c r="B2492" s="3">
        <v>263</v>
      </c>
      <c r="C2492" s="32">
        <v>49192</v>
      </c>
      <c r="D2492" s="32" t="s">
        <v>87</v>
      </c>
      <c r="E24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3" spans="1:6" x14ac:dyDescent="0.35">
      <c r="A2493" s="3">
        <v>48238859594</v>
      </c>
      <c r="B2493" s="3">
        <v>278</v>
      </c>
      <c r="C2493" s="32">
        <v>49192</v>
      </c>
      <c r="D2493" s="32">
        <v>49207</v>
      </c>
      <c r="E24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494" spans="1:6" x14ac:dyDescent="0.35">
      <c r="A2494" s="3">
        <v>25706574922</v>
      </c>
      <c r="B2494" s="3">
        <v>282</v>
      </c>
      <c r="C2494" s="32">
        <v>49192</v>
      </c>
      <c r="D2494" s="32" t="s">
        <v>87</v>
      </c>
      <c r="E24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5" spans="1:6" x14ac:dyDescent="0.35">
      <c r="A2495" s="3">
        <v>80583681369</v>
      </c>
      <c r="B2495" s="3">
        <v>284</v>
      </c>
      <c r="C2495" s="32">
        <v>49192</v>
      </c>
      <c r="D2495" s="32">
        <v>49286</v>
      </c>
      <c r="E24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496" spans="1:6" x14ac:dyDescent="0.35">
      <c r="A2496" s="3">
        <v>55307292899</v>
      </c>
      <c r="B2496" s="3">
        <v>293</v>
      </c>
      <c r="C2496" s="32">
        <v>49192</v>
      </c>
      <c r="D2496" s="32" t="s">
        <v>87</v>
      </c>
      <c r="E24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7" spans="1:6" x14ac:dyDescent="0.35">
      <c r="A2497" s="3">
        <v>44259007388</v>
      </c>
      <c r="B2497" s="3">
        <v>293</v>
      </c>
      <c r="C2497" s="32">
        <v>49192</v>
      </c>
      <c r="D2497" s="32" t="s">
        <v>87</v>
      </c>
      <c r="E24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8" spans="1:6" x14ac:dyDescent="0.35">
      <c r="A2498" s="3">
        <v>90525911265</v>
      </c>
      <c r="B2498" s="3">
        <v>318</v>
      </c>
      <c r="C2498" s="32">
        <v>49192</v>
      </c>
      <c r="D2498" s="32" t="s">
        <v>87</v>
      </c>
      <c r="E24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9" spans="1:6" x14ac:dyDescent="0.35">
      <c r="A2499" s="3">
        <v>66268370054</v>
      </c>
      <c r="B2499" s="3">
        <v>335</v>
      </c>
      <c r="C2499" s="32">
        <v>49192</v>
      </c>
      <c r="D2499" s="32">
        <v>49228</v>
      </c>
      <c r="E24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500" spans="1:6" x14ac:dyDescent="0.35">
      <c r="A2500" s="3">
        <v>90367301815</v>
      </c>
      <c r="B2500" s="3">
        <v>338</v>
      </c>
      <c r="C2500" s="32">
        <v>49192</v>
      </c>
      <c r="D2500" s="32" t="s">
        <v>87</v>
      </c>
      <c r="E25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01" spans="1:6" x14ac:dyDescent="0.35">
      <c r="A2501" s="3">
        <v>93782621436</v>
      </c>
      <c r="B2501" s="3">
        <v>338</v>
      </c>
      <c r="C2501" s="32">
        <v>49192</v>
      </c>
      <c r="D2501" s="32">
        <v>49277</v>
      </c>
      <c r="E25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502" spans="1:6" x14ac:dyDescent="0.35">
      <c r="A2502" s="3">
        <v>69099357430</v>
      </c>
      <c r="B2502" s="3">
        <v>25</v>
      </c>
      <c r="C2502" s="32">
        <v>49193</v>
      </c>
      <c r="D2502" s="32" t="s">
        <v>87</v>
      </c>
      <c r="E25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03" spans="1:6" x14ac:dyDescent="0.35">
      <c r="A2503" s="3">
        <v>14110676582</v>
      </c>
      <c r="B2503" s="3">
        <v>29</v>
      </c>
      <c r="C2503" s="32">
        <v>49193</v>
      </c>
      <c r="D2503" s="32" t="s">
        <v>87</v>
      </c>
      <c r="E25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04" spans="1:6" x14ac:dyDescent="0.35">
      <c r="A2504" s="3">
        <v>41410798638</v>
      </c>
      <c r="B2504" s="3">
        <v>36</v>
      </c>
      <c r="C2504" s="32">
        <v>49193</v>
      </c>
      <c r="D2504" s="32">
        <v>49232</v>
      </c>
      <c r="E25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505" spans="1:6" x14ac:dyDescent="0.35">
      <c r="A2505" s="3">
        <v>41004371039</v>
      </c>
      <c r="B2505" s="3">
        <v>40</v>
      </c>
      <c r="C2505" s="32">
        <v>49193</v>
      </c>
      <c r="D2505" s="32" t="s">
        <v>87</v>
      </c>
      <c r="E25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06" spans="1:6" x14ac:dyDescent="0.35">
      <c r="A2506" s="3">
        <v>34990454811</v>
      </c>
      <c r="B2506" s="3">
        <v>103</v>
      </c>
      <c r="C2506" s="32">
        <v>49193</v>
      </c>
      <c r="D2506" s="32"/>
      <c r="E25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07" spans="1:6" x14ac:dyDescent="0.35">
      <c r="A2507" s="3">
        <v>70963915030</v>
      </c>
      <c r="B2507" s="3">
        <v>134</v>
      </c>
      <c r="C2507" s="32">
        <v>49193</v>
      </c>
      <c r="D2507" s="32">
        <v>49310</v>
      </c>
      <c r="E25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508" spans="1:6" x14ac:dyDescent="0.35">
      <c r="A2508" s="3">
        <v>69570463510</v>
      </c>
      <c r="B2508" s="3">
        <v>137</v>
      </c>
      <c r="C2508" s="32">
        <v>49193</v>
      </c>
      <c r="D2508" s="32" t="s">
        <v>87</v>
      </c>
      <c r="E25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09" spans="1:6" x14ac:dyDescent="0.35">
      <c r="A2509" s="3">
        <v>18252708952</v>
      </c>
      <c r="B2509" s="3">
        <v>154</v>
      </c>
      <c r="C2509" s="32">
        <v>49193</v>
      </c>
      <c r="D2509" s="32">
        <v>49257</v>
      </c>
      <c r="E25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510" spans="1:6" x14ac:dyDescent="0.35">
      <c r="A2510" s="3">
        <v>22544023159</v>
      </c>
      <c r="B2510" s="3">
        <v>167</v>
      </c>
      <c r="C2510" s="32">
        <v>49193</v>
      </c>
      <c r="D2510" s="32" t="s">
        <v>87</v>
      </c>
      <c r="E25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1" spans="1:6" x14ac:dyDescent="0.35">
      <c r="A2511" s="3">
        <v>79882631286</v>
      </c>
      <c r="B2511" s="3">
        <v>169</v>
      </c>
      <c r="C2511" s="32">
        <v>49193</v>
      </c>
      <c r="D2511" s="32" t="s">
        <v>87</v>
      </c>
      <c r="E25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2" spans="1:6" x14ac:dyDescent="0.35">
      <c r="A2512" s="3">
        <v>96496491849</v>
      </c>
      <c r="B2512" s="3">
        <v>178</v>
      </c>
      <c r="C2512" s="32">
        <v>49193</v>
      </c>
      <c r="D2512" s="32" t="s">
        <v>87</v>
      </c>
      <c r="E25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3" spans="1:6" x14ac:dyDescent="0.35">
      <c r="A2513" s="3">
        <v>97670525121</v>
      </c>
      <c r="B2513" s="3">
        <v>179</v>
      </c>
      <c r="C2513" s="32">
        <v>49193</v>
      </c>
      <c r="D2513" s="32">
        <v>49219</v>
      </c>
      <c r="E25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514" spans="1:6" x14ac:dyDescent="0.35">
      <c r="A2514" s="3">
        <v>39923750863</v>
      </c>
      <c r="B2514" s="3">
        <v>216</v>
      </c>
      <c r="C2514" s="32">
        <v>49193</v>
      </c>
      <c r="D2514" s="32"/>
      <c r="E25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5" spans="1:6" x14ac:dyDescent="0.35">
      <c r="A2515" s="3">
        <v>15716717617</v>
      </c>
      <c r="B2515" s="3">
        <v>222</v>
      </c>
      <c r="C2515" s="32">
        <v>49193</v>
      </c>
      <c r="D2515" s="32" t="s">
        <v>87</v>
      </c>
      <c r="E25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6" spans="1:6" x14ac:dyDescent="0.35">
      <c r="A2516" s="3">
        <v>86605218079</v>
      </c>
      <c r="B2516" s="3">
        <v>241</v>
      </c>
      <c r="C2516" s="32">
        <v>49193</v>
      </c>
      <c r="D2516" s="32" t="s">
        <v>87</v>
      </c>
      <c r="E25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7" spans="1:6" x14ac:dyDescent="0.35">
      <c r="A2517" s="3">
        <v>81570517299</v>
      </c>
      <c r="B2517" s="3">
        <v>251</v>
      </c>
      <c r="C2517" s="32">
        <v>49193</v>
      </c>
      <c r="D2517" s="32">
        <v>49291</v>
      </c>
      <c r="E25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18" spans="1:6" x14ac:dyDescent="0.35">
      <c r="A2518" s="3">
        <v>75882980860</v>
      </c>
      <c r="B2518" s="3">
        <v>264</v>
      </c>
      <c r="C2518" s="32">
        <v>49193</v>
      </c>
      <c r="D2518" s="32" t="s">
        <v>87</v>
      </c>
      <c r="E25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9" spans="1:6" x14ac:dyDescent="0.35">
      <c r="A2519" s="3">
        <v>14477977149</v>
      </c>
      <c r="B2519" s="3">
        <v>265</v>
      </c>
      <c r="C2519" s="32">
        <v>49193</v>
      </c>
      <c r="D2519" s="32">
        <v>49297</v>
      </c>
      <c r="E25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20" spans="1:6" x14ac:dyDescent="0.35">
      <c r="A2520" s="3">
        <v>91160243630</v>
      </c>
      <c r="B2520" s="3">
        <v>275</v>
      </c>
      <c r="C2520" s="32">
        <v>49193</v>
      </c>
      <c r="D2520" s="32"/>
      <c r="E25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1" spans="1:6" x14ac:dyDescent="0.35">
      <c r="A2521" s="3">
        <v>88809893784</v>
      </c>
      <c r="B2521" s="3">
        <v>300</v>
      </c>
      <c r="C2521" s="32">
        <v>49193</v>
      </c>
      <c r="D2521" s="32" t="s">
        <v>87</v>
      </c>
      <c r="E25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2" spans="1:6" x14ac:dyDescent="0.35">
      <c r="A2522" s="3">
        <v>29041792961</v>
      </c>
      <c r="B2522" s="3">
        <v>318</v>
      </c>
      <c r="C2522" s="32">
        <v>49193</v>
      </c>
      <c r="D2522" s="32" t="s">
        <v>87</v>
      </c>
      <c r="E25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3" spans="1:6" x14ac:dyDescent="0.35">
      <c r="A2523" s="3">
        <v>48967532880</v>
      </c>
      <c r="B2523" s="3">
        <v>329</v>
      </c>
      <c r="C2523" s="32">
        <v>49193</v>
      </c>
      <c r="D2523" s="32" t="s">
        <v>87</v>
      </c>
      <c r="E25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4" spans="1:6" x14ac:dyDescent="0.35">
      <c r="A2524" s="3">
        <v>23727283376</v>
      </c>
      <c r="B2524" s="3">
        <v>333</v>
      </c>
      <c r="C2524" s="32">
        <v>49193</v>
      </c>
      <c r="D2524" s="32" t="s">
        <v>87</v>
      </c>
      <c r="E25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5" spans="1:6" x14ac:dyDescent="0.35">
      <c r="A2525" s="3">
        <v>61364020934</v>
      </c>
      <c r="B2525" s="3">
        <v>0</v>
      </c>
      <c r="C2525" s="32">
        <v>49194</v>
      </c>
      <c r="D2525" s="32" t="s">
        <v>87</v>
      </c>
      <c r="E25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6" spans="1:6" x14ac:dyDescent="0.35">
      <c r="A2526" s="3">
        <v>48654585382</v>
      </c>
      <c r="B2526" s="3">
        <v>4</v>
      </c>
      <c r="C2526" s="32">
        <v>49194</v>
      </c>
      <c r="D2526" s="32" t="s">
        <v>87</v>
      </c>
      <c r="E25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7" spans="1:6" x14ac:dyDescent="0.35">
      <c r="A2527" s="3">
        <v>46362947101</v>
      </c>
      <c r="B2527" s="3">
        <v>9</v>
      </c>
      <c r="C2527" s="32">
        <v>49194</v>
      </c>
      <c r="D2527" s="32" t="s">
        <v>87</v>
      </c>
      <c r="E25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8" spans="1:6" x14ac:dyDescent="0.35">
      <c r="A2528" s="3">
        <v>59523870179</v>
      </c>
      <c r="B2528" s="3">
        <v>19</v>
      </c>
      <c r="C2528" s="32">
        <v>49194</v>
      </c>
      <c r="D2528" s="32">
        <v>49285</v>
      </c>
      <c r="E25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29" spans="1:6" x14ac:dyDescent="0.35">
      <c r="A2529" s="3">
        <v>33488842875</v>
      </c>
      <c r="B2529" s="3">
        <v>21</v>
      </c>
      <c r="C2529" s="32">
        <v>49194</v>
      </c>
      <c r="D2529" s="32"/>
      <c r="E25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0" spans="1:6" x14ac:dyDescent="0.35">
      <c r="A2530" s="3">
        <v>40598789792</v>
      </c>
      <c r="B2530" s="3">
        <v>50</v>
      </c>
      <c r="C2530" s="32">
        <v>49194</v>
      </c>
      <c r="D2530" s="32">
        <v>49277</v>
      </c>
      <c r="E25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531" spans="1:6" x14ac:dyDescent="0.35">
      <c r="A2531" s="3">
        <v>25370817215</v>
      </c>
      <c r="B2531" s="3">
        <v>61</v>
      </c>
      <c r="C2531" s="32">
        <v>49194</v>
      </c>
      <c r="D2531" s="32" t="s">
        <v>87</v>
      </c>
      <c r="E25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2" spans="1:6" x14ac:dyDescent="0.35">
      <c r="A2532" s="3">
        <v>76955808770</v>
      </c>
      <c r="B2532" s="3">
        <v>120</v>
      </c>
      <c r="C2532" s="32">
        <v>49194</v>
      </c>
      <c r="D2532" s="32"/>
      <c r="E25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3" spans="1:6" x14ac:dyDescent="0.35">
      <c r="A2533" s="3">
        <v>55133310726</v>
      </c>
      <c r="B2533" s="3">
        <v>128</v>
      </c>
      <c r="C2533" s="32">
        <v>49194</v>
      </c>
      <c r="D2533" s="32"/>
      <c r="E25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4" spans="1:6" x14ac:dyDescent="0.35">
      <c r="A2534" s="3">
        <v>28676086505</v>
      </c>
      <c r="B2534" s="3">
        <v>144</v>
      </c>
      <c r="C2534" s="32">
        <v>49194</v>
      </c>
      <c r="D2534" s="32" t="s">
        <v>87</v>
      </c>
      <c r="E25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5" spans="1:6" x14ac:dyDescent="0.35">
      <c r="A2535" s="3">
        <v>43657269701</v>
      </c>
      <c r="B2535" s="3">
        <v>145</v>
      </c>
      <c r="C2535" s="32">
        <v>49194</v>
      </c>
      <c r="D2535" s="32" t="s">
        <v>87</v>
      </c>
      <c r="E25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6" spans="1:6" x14ac:dyDescent="0.35">
      <c r="A2536" s="3">
        <v>48772566307</v>
      </c>
      <c r="B2536" s="3">
        <v>157</v>
      </c>
      <c r="C2536" s="32">
        <v>49194</v>
      </c>
      <c r="D2536" s="32" t="s">
        <v>87</v>
      </c>
      <c r="E25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7" spans="1:6" x14ac:dyDescent="0.35">
      <c r="A2537" s="3">
        <v>39097040319</v>
      </c>
      <c r="B2537" s="3">
        <v>168</v>
      </c>
      <c r="C2537" s="32">
        <v>49194</v>
      </c>
      <c r="D2537" s="32"/>
      <c r="E25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8" spans="1:6" x14ac:dyDescent="0.35">
      <c r="A2538" s="3">
        <v>11639759261</v>
      </c>
      <c r="B2538" s="3">
        <v>173</v>
      </c>
      <c r="C2538" s="32">
        <v>49194</v>
      </c>
      <c r="D2538" s="32"/>
      <c r="E25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9" spans="1:6" x14ac:dyDescent="0.35">
      <c r="A2539" s="3">
        <v>33736916940</v>
      </c>
      <c r="B2539" s="3">
        <v>181</v>
      </c>
      <c r="C2539" s="32">
        <v>49194</v>
      </c>
      <c r="D2539" s="32" t="s">
        <v>87</v>
      </c>
      <c r="E25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0" spans="1:6" x14ac:dyDescent="0.35">
      <c r="A2540" s="3">
        <v>46451639042</v>
      </c>
      <c r="B2540" s="3">
        <v>218</v>
      </c>
      <c r="C2540" s="32">
        <v>49194</v>
      </c>
      <c r="D2540" s="32">
        <v>49305</v>
      </c>
      <c r="E25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41" spans="1:6" x14ac:dyDescent="0.35">
      <c r="A2541" s="3">
        <v>94513939137</v>
      </c>
      <c r="B2541" s="3">
        <v>221</v>
      </c>
      <c r="C2541" s="32">
        <v>49194</v>
      </c>
      <c r="D2541" s="32" t="s">
        <v>87</v>
      </c>
      <c r="E25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2" spans="1:6" x14ac:dyDescent="0.35">
      <c r="A2542" s="3">
        <v>42451707747</v>
      </c>
      <c r="B2542" s="3">
        <v>230</v>
      </c>
      <c r="C2542" s="32">
        <v>49194</v>
      </c>
      <c r="D2542" s="32">
        <v>49232</v>
      </c>
      <c r="E25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543" spans="1:6" x14ac:dyDescent="0.35">
      <c r="A2543" s="3">
        <v>66074847246</v>
      </c>
      <c r="B2543" s="3">
        <v>236</v>
      </c>
      <c r="C2543" s="32">
        <v>49194</v>
      </c>
      <c r="D2543" s="32" t="s">
        <v>87</v>
      </c>
      <c r="E25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4" spans="1:6" x14ac:dyDescent="0.35">
      <c r="A2544" s="3">
        <v>11896026111</v>
      </c>
      <c r="B2544" s="3">
        <v>244</v>
      </c>
      <c r="C2544" s="32">
        <v>49194</v>
      </c>
      <c r="D2544" s="32">
        <v>49268</v>
      </c>
      <c r="E25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545" spans="1:6" x14ac:dyDescent="0.35">
      <c r="A2545" s="3">
        <v>76893196087</v>
      </c>
      <c r="B2545" s="3">
        <v>244</v>
      </c>
      <c r="C2545" s="32">
        <v>49194</v>
      </c>
      <c r="D2545" s="32" t="s">
        <v>87</v>
      </c>
      <c r="E25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6" spans="1:6" x14ac:dyDescent="0.35">
      <c r="A2546" s="3">
        <v>16501442430</v>
      </c>
      <c r="B2546" s="3">
        <v>256</v>
      </c>
      <c r="C2546" s="32">
        <v>49194</v>
      </c>
      <c r="D2546" s="32" t="s">
        <v>87</v>
      </c>
      <c r="E25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7" spans="1:6" x14ac:dyDescent="0.35">
      <c r="A2547" s="3">
        <v>60821544596</v>
      </c>
      <c r="B2547" s="3">
        <v>267</v>
      </c>
      <c r="C2547" s="32">
        <v>49194</v>
      </c>
      <c r="D2547" s="32" t="s">
        <v>87</v>
      </c>
      <c r="E25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8" spans="1:6" x14ac:dyDescent="0.35">
      <c r="A2548" s="3">
        <v>31830620165</v>
      </c>
      <c r="B2548" s="3">
        <v>309</v>
      </c>
      <c r="C2548" s="32">
        <v>49194</v>
      </c>
      <c r="D2548" s="32" t="s">
        <v>87</v>
      </c>
      <c r="E25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9" spans="1:6" x14ac:dyDescent="0.35">
      <c r="A2549" s="3">
        <v>75036179722</v>
      </c>
      <c r="B2549" s="3">
        <v>310</v>
      </c>
      <c r="C2549" s="32">
        <v>49194</v>
      </c>
      <c r="D2549" s="32">
        <v>49297</v>
      </c>
      <c r="E25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50" spans="1:6" x14ac:dyDescent="0.35">
      <c r="A2550" s="3">
        <v>37000778558</v>
      </c>
      <c r="B2550" s="3">
        <v>314</v>
      </c>
      <c r="C2550" s="32">
        <v>49194</v>
      </c>
      <c r="D2550" s="32" t="s">
        <v>87</v>
      </c>
      <c r="E25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51" spans="1:6" x14ac:dyDescent="0.35">
      <c r="A2551" s="3">
        <v>34427126008</v>
      </c>
      <c r="B2551" s="3">
        <v>318</v>
      </c>
      <c r="C2551" s="32">
        <v>49194</v>
      </c>
      <c r="D2551" s="32" t="s">
        <v>87</v>
      </c>
      <c r="E25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52" spans="1:6" x14ac:dyDescent="0.35">
      <c r="A2552" s="3">
        <v>70168349958</v>
      </c>
      <c r="B2552" s="3">
        <v>22</v>
      </c>
      <c r="C2552" s="32">
        <v>49195</v>
      </c>
      <c r="D2552" s="32">
        <v>49211</v>
      </c>
      <c r="E25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553" spans="1:6" x14ac:dyDescent="0.35">
      <c r="A2553" s="3">
        <v>11151402084</v>
      </c>
      <c r="B2553" s="3">
        <v>28</v>
      </c>
      <c r="C2553" s="32">
        <v>49195</v>
      </c>
      <c r="D2553" s="32">
        <v>49307</v>
      </c>
      <c r="E25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54" spans="1:6" x14ac:dyDescent="0.35">
      <c r="A2554" s="3">
        <v>33901752365</v>
      </c>
      <c r="B2554" s="3">
        <v>50</v>
      </c>
      <c r="C2554" s="32">
        <v>49195</v>
      </c>
      <c r="D2554" s="32" t="s">
        <v>87</v>
      </c>
      <c r="E25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55" spans="1:6" x14ac:dyDescent="0.35">
      <c r="A2555" s="3">
        <v>28778787332</v>
      </c>
      <c r="B2555" s="3">
        <v>78</v>
      </c>
      <c r="C2555" s="32">
        <v>49195</v>
      </c>
      <c r="D2555" s="32" t="s">
        <v>87</v>
      </c>
      <c r="E25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56" spans="1:6" x14ac:dyDescent="0.35">
      <c r="A2556" s="3">
        <v>22725896300</v>
      </c>
      <c r="B2556" s="3">
        <v>93</v>
      </c>
      <c r="C2556" s="32">
        <v>49195</v>
      </c>
      <c r="D2556" s="32">
        <v>49203</v>
      </c>
      <c r="E25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557" spans="1:6" x14ac:dyDescent="0.35">
      <c r="A2557" s="3">
        <v>94126125735</v>
      </c>
      <c r="B2557" s="3">
        <v>103</v>
      </c>
      <c r="C2557" s="32">
        <v>49195</v>
      </c>
      <c r="D2557" s="32">
        <v>49199</v>
      </c>
      <c r="E25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558" spans="1:6" x14ac:dyDescent="0.35">
      <c r="A2558" s="3">
        <v>31468795206</v>
      </c>
      <c r="B2558" s="3">
        <v>103</v>
      </c>
      <c r="C2558" s="32">
        <v>49195</v>
      </c>
      <c r="D2558" s="32">
        <v>49232</v>
      </c>
      <c r="E25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559" spans="1:6" x14ac:dyDescent="0.35">
      <c r="A2559" s="3">
        <v>63119109521</v>
      </c>
      <c r="B2559" s="3">
        <v>158</v>
      </c>
      <c r="C2559" s="32">
        <v>49195</v>
      </c>
      <c r="D2559" s="32" t="s">
        <v>87</v>
      </c>
      <c r="E25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0" spans="1:6" x14ac:dyDescent="0.35">
      <c r="A2560" s="3">
        <v>56346253366</v>
      </c>
      <c r="B2560" s="3">
        <v>160</v>
      </c>
      <c r="C2560" s="32">
        <v>49195</v>
      </c>
      <c r="D2560" s="32" t="s">
        <v>87</v>
      </c>
      <c r="E25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1" spans="1:6" x14ac:dyDescent="0.35">
      <c r="A2561" s="3">
        <v>91751877852</v>
      </c>
      <c r="B2561" s="3">
        <v>211</v>
      </c>
      <c r="C2561" s="32">
        <v>49195</v>
      </c>
      <c r="D2561" s="32"/>
      <c r="E25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2" spans="1:6" x14ac:dyDescent="0.35">
      <c r="A2562" s="3">
        <v>39308147749</v>
      </c>
      <c r="B2562" s="3">
        <v>221</v>
      </c>
      <c r="C2562" s="32">
        <v>49195</v>
      </c>
      <c r="D2562" s="32" t="s">
        <v>87</v>
      </c>
      <c r="E25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3" spans="1:6" x14ac:dyDescent="0.35">
      <c r="A2563" s="3">
        <v>12413591605</v>
      </c>
      <c r="B2563" s="3">
        <v>230</v>
      </c>
      <c r="C2563" s="32">
        <v>49195</v>
      </c>
      <c r="D2563" s="32" t="s">
        <v>87</v>
      </c>
      <c r="E25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4" spans="1:6" x14ac:dyDescent="0.35">
      <c r="A2564" s="3">
        <v>19191657724</v>
      </c>
      <c r="B2564" s="3">
        <v>288</v>
      </c>
      <c r="C2564" s="32">
        <v>49195</v>
      </c>
      <c r="D2564" s="32" t="s">
        <v>87</v>
      </c>
      <c r="E25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5" spans="1:6" x14ac:dyDescent="0.35">
      <c r="A2565" s="3">
        <v>25751507102</v>
      </c>
      <c r="B2565" s="3">
        <v>300</v>
      </c>
      <c r="C2565" s="32">
        <v>49195</v>
      </c>
      <c r="D2565" s="32"/>
      <c r="E25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6" spans="1:6" x14ac:dyDescent="0.35">
      <c r="A2566" s="3">
        <v>63880945468</v>
      </c>
      <c r="B2566" s="3">
        <v>329</v>
      </c>
      <c r="C2566" s="32">
        <v>49195</v>
      </c>
      <c r="D2566" s="32"/>
      <c r="E25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7" spans="1:6" x14ac:dyDescent="0.35">
      <c r="A2567" s="3">
        <v>30102121747</v>
      </c>
      <c r="B2567" s="3">
        <v>334</v>
      </c>
      <c r="C2567" s="32">
        <v>49195</v>
      </c>
      <c r="D2567" s="32">
        <v>49281</v>
      </c>
      <c r="E25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68" spans="1:6" x14ac:dyDescent="0.35">
      <c r="A2568" s="3">
        <v>98913473325</v>
      </c>
      <c r="B2568" s="3">
        <v>12</v>
      </c>
      <c r="C2568" s="32">
        <v>49196</v>
      </c>
      <c r="D2568" s="32" t="s">
        <v>87</v>
      </c>
      <c r="E25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9" spans="1:6" x14ac:dyDescent="0.35">
      <c r="A2569" s="3">
        <v>80396303065</v>
      </c>
      <c r="B2569" s="3">
        <v>21</v>
      </c>
      <c r="C2569" s="32">
        <v>49196</v>
      </c>
      <c r="D2569" s="32" t="s">
        <v>87</v>
      </c>
      <c r="E25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0" spans="1:6" x14ac:dyDescent="0.35">
      <c r="A2570" s="3">
        <v>79628141460</v>
      </c>
      <c r="B2570" s="3">
        <v>28</v>
      </c>
      <c r="C2570" s="32">
        <v>49196</v>
      </c>
      <c r="D2570" s="32" t="s">
        <v>87</v>
      </c>
      <c r="E25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1" spans="1:6" x14ac:dyDescent="0.35">
      <c r="A2571" s="3">
        <v>79445337304</v>
      </c>
      <c r="B2571" s="3">
        <v>30</v>
      </c>
      <c r="C2571" s="32">
        <v>49196</v>
      </c>
      <c r="D2571" s="32" t="s">
        <v>87</v>
      </c>
      <c r="E25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2" spans="1:6" x14ac:dyDescent="0.35">
      <c r="A2572" s="3">
        <v>88062783061</v>
      </c>
      <c r="B2572" s="3">
        <v>34</v>
      </c>
      <c r="C2572" s="32">
        <v>49196</v>
      </c>
      <c r="D2572" s="32" t="s">
        <v>87</v>
      </c>
      <c r="E25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3" spans="1:6" x14ac:dyDescent="0.35">
      <c r="A2573" s="3">
        <v>47266367533</v>
      </c>
      <c r="B2573" s="3">
        <v>39</v>
      </c>
      <c r="C2573" s="32">
        <v>49196</v>
      </c>
      <c r="D2573" s="32" t="s">
        <v>87</v>
      </c>
      <c r="E25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4" spans="1:6" x14ac:dyDescent="0.35">
      <c r="A2574" s="3">
        <v>55176629159</v>
      </c>
      <c r="B2574" s="3">
        <v>45</v>
      </c>
      <c r="C2574" s="32">
        <v>49196</v>
      </c>
      <c r="D2574" s="32" t="s">
        <v>87</v>
      </c>
      <c r="E25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5" spans="1:6" x14ac:dyDescent="0.35">
      <c r="A2575" s="3">
        <v>75246527875</v>
      </c>
      <c r="B2575" s="3">
        <v>49</v>
      </c>
      <c r="C2575" s="32">
        <v>49196</v>
      </c>
      <c r="D2575" s="32" t="s">
        <v>87</v>
      </c>
      <c r="E25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6" spans="1:6" x14ac:dyDescent="0.35">
      <c r="A2576" s="3">
        <v>18639245341</v>
      </c>
      <c r="B2576" s="3">
        <v>64</v>
      </c>
      <c r="C2576" s="32">
        <v>49196</v>
      </c>
      <c r="D2576" s="32" t="s">
        <v>87</v>
      </c>
      <c r="E25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7" spans="1:6" x14ac:dyDescent="0.35">
      <c r="A2577" s="3">
        <v>37354000028</v>
      </c>
      <c r="B2577" s="3">
        <v>107</v>
      </c>
      <c r="C2577" s="32">
        <v>49196</v>
      </c>
      <c r="D2577" s="32">
        <v>49211</v>
      </c>
      <c r="E25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578" spans="1:6" x14ac:dyDescent="0.35">
      <c r="A2578" s="3">
        <v>42158484982</v>
      </c>
      <c r="B2578" s="3">
        <v>110</v>
      </c>
      <c r="C2578" s="32">
        <v>49196</v>
      </c>
      <c r="D2578" s="32" t="s">
        <v>87</v>
      </c>
      <c r="E25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9" spans="1:6" x14ac:dyDescent="0.35">
      <c r="A2579" s="3">
        <v>98043735407</v>
      </c>
      <c r="B2579" s="3">
        <v>116</v>
      </c>
      <c r="C2579" s="32">
        <v>49196</v>
      </c>
      <c r="D2579" s="32" t="s">
        <v>87</v>
      </c>
      <c r="E25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0" spans="1:6" x14ac:dyDescent="0.35">
      <c r="A2580" s="3">
        <v>17807123472</v>
      </c>
      <c r="B2580" s="3">
        <v>138</v>
      </c>
      <c r="C2580" s="32">
        <v>49196</v>
      </c>
      <c r="D2580" s="32"/>
      <c r="E25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1" spans="1:6" x14ac:dyDescent="0.35">
      <c r="A2581" s="3">
        <v>46958969461</v>
      </c>
      <c r="B2581" s="3">
        <v>173</v>
      </c>
      <c r="C2581" s="32">
        <v>49196</v>
      </c>
      <c r="D2581" s="32"/>
      <c r="E25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2" spans="1:6" x14ac:dyDescent="0.35">
      <c r="A2582" s="3">
        <v>38037882582</v>
      </c>
      <c r="B2582" s="3">
        <v>184</v>
      </c>
      <c r="C2582" s="32">
        <v>49196</v>
      </c>
      <c r="D2582" s="32" t="s">
        <v>87</v>
      </c>
      <c r="E25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3" spans="1:6" x14ac:dyDescent="0.35">
      <c r="A2583" s="3">
        <v>50517753471</v>
      </c>
      <c r="B2583" s="3">
        <v>230</v>
      </c>
      <c r="C2583" s="32">
        <v>49196</v>
      </c>
      <c r="D2583" s="32" t="s">
        <v>87</v>
      </c>
      <c r="E25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4" spans="1:6" x14ac:dyDescent="0.35">
      <c r="A2584" s="3">
        <v>29368028242</v>
      </c>
      <c r="B2584" s="3">
        <v>242</v>
      </c>
      <c r="C2584" s="32">
        <v>49196</v>
      </c>
      <c r="D2584" s="32" t="s">
        <v>87</v>
      </c>
      <c r="E25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5" spans="1:6" x14ac:dyDescent="0.35">
      <c r="A2585" s="3">
        <v>52332944607</v>
      </c>
      <c r="B2585" s="3">
        <v>316</v>
      </c>
      <c r="C2585" s="32">
        <v>49196</v>
      </c>
      <c r="D2585" s="32">
        <v>49298</v>
      </c>
      <c r="E25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86" spans="1:6" x14ac:dyDescent="0.35">
      <c r="A2586" s="3">
        <v>30220699855</v>
      </c>
      <c r="B2586" s="3">
        <v>36</v>
      </c>
      <c r="C2586" s="32">
        <v>49197</v>
      </c>
      <c r="D2586" s="32" t="s">
        <v>87</v>
      </c>
      <c r="E25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7" spans="1:6" x14ac:dyDescent="0.35">
      <c r="A2587" s="3">
        <v>32508306823</v>
      </c>
      <c r="B2587" s="3">
        <v>50</v>
      </c>
      <c r="C2587" s="32">
        <v>49197</v>
      </c>
      <c r="D2587" s="32" t="s">
        <v>87</v>
      </c>
      <c r="E25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8" spans="1:6" x14ac:dyDescent="0.35">
      <c r="A2588" s="3">
        <v>13938760632</v>
      </c>
      <c r="B2588" s="3">
        <v>55</v>
      </c>
      <c r="C2588" s="32">
        <v>49197</v>
      </c>
      <c r="D2588" s="32"/>
      <c r="E25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9" spans="1:6" x14ac:dyDescent="0.35">
      <c r="A2589" s="3">
        <v>30234542503</v>
      </c>
      <c r="B2589" s="3">
        <v>91</v>
      </c>
      <c r="C2589" s="32">
        <v>49197</v>
      </c>
      <c r="D2589" s="32"/>
      <c r="E25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0" spans="1:6" x14ac:dyDescent="0.35">
      <c r="A2590" s="3">
        <v>68341002595</v>
      </c>
      <c r="B2590" s="3">
        <v>152</v>
      </c>
      <c r="C2590" s="32">
        <v>49197</v>
      </c>
      <c r="D2590" s="32" t="s">
        <v>87</v>
      </c>
      <c r="E25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1" spans="1:6" x14ac:dyDescent="0.35">
      <c r="A2591" s="3">
        <v>24987770759</v>
      </c>
      <c r="B2591" s="3">
        <v>163</v>
      </c>
      <c r="C2591" s="32">
        <v>49197</v>
      </c>
      <c r="D2591" s="32"/>
      <c r="E25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2" spans="1:6" x14ac:dyDescent="0.35">
      <c r="A2592" s="3">
        <v>70619537441</v>
      </c>
      <c r="B2592" s="3">
        <v>181</v>
      </c>
      <c r="C2592" s="32">
        <v>49197</v>
      </c>
      <c r="D2592" s="32">
        <v>49253</v>
      </c>
      <c r="E25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593" spans="1:6" x14ac:dyDescent="0.35">
      <c r="A2593" s="3">
        <v>77539473477</v>
      </c>
      <c r="B2593" s="3">
        <v>208</v>
      </c>
      <c r="C2593" s="32">
        <v>49197</v>
      </c>
      <c r="D2593" s="32" t="s">
        <v>87</v>
      </c>
      <c r="E25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4" spans="1:6" x14ac:dyDescent="0.35">
      <c r="A2594" s="3">
        <v>33962410335</v>
      </c>
      <c r="B2594" s="3">
        <v>213</v>
      </c>
      <c r="C2594" s="32">
        <v>49197</v>
      </c>
      <c r="D2594" s="32" t="s">
        <v>87</v>
      </c>
      <c r="E25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5" spans="1:6" x14ac:dyDescent="0.35">
      <c r="A2595" s="3">
        <v>76743512461</v>
      </c>
      <c r="B2595" s="3">
        <v>222</v>
      </c>
      <c r="C2595" s="32">
        <v>49197</v>
      </c>
      <c r="D2595" s="32" t="s">
        <v>87</v>
      </c>
      <c r="E25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6" spans="1:6" x14ac:dyDescent="0.35">
      <c r="A2596" s="3">
        <v>93629449695</v>
      </c>
      <c r="B2596" s="3">
        <v>232</v>
      </c>
      <c r="C2596" s="32">
        <v>49197</v>
      </c>
      <c r="D2596" s="32" t="s">
        <v>87</v>
      </c>
      <c r="E25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7" spans="1:6" x14ac:dyDescent="0.35">
      <c r="A2597" s="3">
        <v>48826922500</v>
      </c>
      <c r="B2597" s="3">
        <v>244</v>
      </c>
      <c r="C2597" s="32">
        <v>49197</v>
      </c>
      <c r="D2597" s="32">
        <v>49306</v>
      </c>
      <c r="E25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98" spans="1:6" x14ac:dyDescent="0.35">
      <c r="A2598" s="3">
        <v>33526599362</v>
      </c>
      <c r="B2598" s="3">
        <v>255</v>
      </c>
      <c r="C2598" s="32">
        <v>49197</v>
      </c>
      <c r="D2598" s="32" t="s">
        <v>87</v>
      </c>
      <c r="E25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9" spans="1:6" x14ac:dyDescent="0.35">
      <c r="A2599" s="3">
        <v>21155095704</v>
      </c>
      <c r="B2599" s="3">
        <v>260</v>
      </c>
      <c r="C2599" s="32">
        <v>49197</v>
      </c>
      <c r="D2599" s="32" t="s">
        <v>87</v>
      </c>
      <c r="E25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0" spans="1:6" x14ac:dyDescent="0.35">
      <c r="A2600" s="3">
        <v>78903880762</v>
      </c>
      <c r="B2600" s="3">
        <v>278</v>
      </c>
      <c r="C2600" s="32">
        <v>49197</v>
      </c>
      <c r="D2600" s="32" t="s">
        <v>87</v>
      </c>
      <c r="E26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1" spans="1:6" x14ac:dyDescent="0.35">
      <c r="A2601" s="3">
        <v>81581797889</v>
      </c>
      <c r="B2601" s="3">
        <v>280</v>
      </c>
      <c r="C2601" s="32">
        <v>49197</v>
      </c>
      <c r="D2601" s="32"/>
      <c r="E26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2" spans="1:6" x14ac:dyDescent="0.35">
      <c r="A2602" s="3">
        <v>78164362293</v>
      </c>
      <c r="B2602" s="3">
        <v>282</v>
      </c>
      <c r="C2602" s="32">
        <v>49197</v>
      </c>
      <c r="D2602" s="32"/>
      <c r="E26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3" spans="1:6" x14ac:dyDescent="0.35">
      <c r="A2603" s="3">
        <v>68231355043</v>
      </c>
      <c r="B2603" s="3">
        <v>296</v>
      </c>
      <c r="C2603" s="32">
        <v>49197</v>
      </c>
      <c r="D2603" s="32" t="s">
        <v>87</v>
      </c>
      <c r="E26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4" spans="1:6" x14ac:dyDescent="0.35">
      <c r="A2604" s="3">
        <v>90426062739</v>
      </c>
      <c r="B2604" s="3">
        <v>303</v>
      </c>
      <c r="C2604" s="32">
        <v>49197</v>
      </c>
      <c r="D2604" s="32" t="s">
        <v>87</v>
      </c>
      <c r="E26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5" spans="1:6" x14ac:dyDescent="0.35">
      <c r="A2605" s="3">
        <v>43669631007</v>
      </c>
      <c r="B2605" s="3">
        <v>307</v>
      </c>
      <c r="C2605" s="32">
        <v>49197</v>
      </c>
      <c r="D2605" s="32">
        <v>49285</v>
      </c>
      <c r="E26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606" spans="1:6" x14ac:dyDescent="0.35">
      <c r="A2606" s="3">
        <v>13124971946</v>
      </c>
      <c r="B2606" s="3">
        <v>317</v>
      </c>
      <c r="C2606" s="32">
        <v>49197</v>
      </c>
      <c r="D2606" s="32"/>
      <c r="E26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7" spans="1:6" x14ac:dyDescent="0.35">
      <c r="A2607" s="3">
        <v>92036052340</v>
      </c>
      <c r="B2607" s="3">
        <v>318</v>
      </c>
      <c r="C2607" s="32">
        <v>49197</v>
      </c>
      <c r="D2607" s="32">
        <v>49243</v>
      </c>
      <c r="E26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608" spans="1:6" x14ac:dyDescent="0.35">
      <c r="A2608" s="3">
        <v>85463563435</v>
      </c>
      <c r="B2608" s="3">
        <v>324</v>
      </c>
      <c r="C2608" s="32">
        <v>49197</v>
      </c>
      <c r="D2608" s="32" t="s">
        <v>87</v>
      </c>
      <c r="E26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9" spans="1:6" x14ac:dyDescent="0.35">
      <c r="A2609" s="3">
        <v>77221612317</v>
      </c>
      <c r="B2609" s="3">
        <v>330</v>
      </c>
      <c r="C2609" s="32">
        <v>49197</v>
      </c>
      <c r="D2609" s="32" t="s">
        <v>87</v>
      </c>
      <c r="E26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0" spans="1:6" x14ac:dyDescent="0.35">
      <c r="A2610" s="3">
        <v>97938807663</v>
      </c>
      <c r="B2610" s="3">
        <v>6</v>
      </c>
      <c r="C2610" s="32">
        <v>49198</v>
      </c>
      <c r="D2610" s="32"/>
      <c r="E26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1" spans="1:6" x14ac:dyDescent="0.35">
      <c r="A2611" s="3">
        <v>37988148801</v>
      </c>
      <c r="B2611" s="3">
        <v>8</v>
      </c>
      <c r="C2611" s="32">
        <v>49198</v>
      </c>
      <c r="D2611" s="32" t="s">
        <v>87</v>
      </c>
      <c r="E26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2" spans="1:6" x14ac:dyDescent="0.35">
      <c r="A2612" s="3">
        <v>84412448491</v>
      </c>
      <c r="B2612" s="3">
        <v>22</v>
      </c>
      <c r="C2612" s="32">
        <v>49198</v>
      </c>
      <c r="D2612" s="32" t="s">
        <v>87</v>
      </c>
      <c r="E26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3" spans="1:6" x14ac:dyDescent="0.35">
      <c r="A2613" s="3">
        <v>60243325060</v>
      </c>
      <c r="B2613" s="3">
        <v>46</v>
      </c>
      <c r="C2613" s="32">
        <v>49198</v>
      </c>
      <c r="D2613" s="32" t="s">
        <v>87</v>
      </c>
      <c r="E26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4" spans="1:6" x14ac:dyDescent="0.35">
      <c r="A2614" s="3">
        <v>64934211257</v>
      </c>
      <c r="B2614" s="3">
        <v>98</v>
      </c>
      <c r="C2614" s="32">
        <v>49198</v>
      </c>
      <c r="D2614" s="32" t="s">
        <v>87</v>
      </c>
      <c r="E26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5" spans="1:6" x14ac:dyDescent="0.35">
      <c r="A2615" s="3">
        <v>34743930840</v>
      </c>
      <c r="B2615" s="3">
        <v>116</v>
      </c>
      <c r="C2615" s="32">
        <v>49198</v>
      </c>
      <c r="D2615" s="32" t="s">
        <v>87</v>
      </c>
      <c r="E26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6" spans="1:6" x14ac:dyDescent="0.35">
      <c r="A2616" s="3">
        <v>63544860714</v>
      </c>
      <c r="B2616" s="3">
        <v>125</v>
      </c>
      <c r="C2616" s="32">
        <v>49198</v>
      </c>
      <c r="D2616" s="32">
        <v>49294</v>
      </c>
      <c r="E26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617" spans="1:6" x14ac:dyDescent="0.35">
      <c r="A2617" s="3">
        <v>75064562380</v>
      </c>
      <c r="B2617" s="3">
        <v>143</v>
      </c>
      <c r="C2617" s="32">
        <v>49198</v>
      </c>
      <c r="D2617" s="32" t="s">
        <v>87</v>
      </c>
      <c r="E26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8" spans="1:6" x14ac:dyDescent="0.35">
      <c r="A2618" s="3">
        <v>77343224888</v>
      </c>
      <c r="B2618" s="3">
        <v>148</v>
      </c>
      <c r="C2618" s="32">
        <v>49198</v>
      </c>
      <c r="D2618" s="32" t="s">
        <v>87</v>
      </c>
      <c r="E26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9" spans="1:6" x14ac:dyDescent="0.35">
      <c r="A2619" s="3">
        <v>29142500462</v>
      </c>
      <c r="B2619" s="3">
        <v>149</v>
      </c>
      <c r="C2619" s="32">
        <v>49198</v>
      </c>
      <c r="D2619" s="32">
        <v>49263</v>
      </c>
      <c r="E26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620" spans="1:6" x14ac:dyDescent="0.35">
      <c r="A2620" s="3">
        <v>98965314431</v>
      </c>
      <c r="B2620" s="3">
        <v>157</v>
      </c>
      <c r="C2620" s="32">
        <v>49198</v>
      </c>
      <c r="D2620" s="32" t="s">
        <v>87</v>
      </c>
      <c r="E26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1" spans="1:6" x14ac:dyDescent="0.35">
      <c r="A2621" s="3">
        <v>28680314296</v>
      </c>
      <c r="B2621" s="3">
        <v>177</v>
      </c>
      <c r="C2621" s="32">
        <v>49198</v>
      </c>
      <c r="D2621" s="32" t="s">
        <v>87</v>
      </c>
      <c r="E26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2" spans="1:6" x14ac:dyDescent="0.35">
      <c r="A2622" s="3">
        <v>91727551256</v>
      </c>
      <c r="B2622" s="3">
        <v>187</v>
      </c>
      <c r="C2622" s="32">
        <v>49198</v>
      </c>
      <c r="D2622" s="32" t="s">
        <v>87</v>
      </c>
      <c r="E26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3" spans="1:6" x14ac:dyDescent="0.35">
      <c r="A2623" s="3">
        <v>77484279838</v>
      </c>
      <c r="B2623" s="3">
        <v>197</v>
      </c>
      <c r="C2623" s="32">
        <v>49198</v>
      </c>
      <c r="D2623" s="32"/>
      <c r="E26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4" spans="1:6" x14ac:dyDescent="0.35">
      <c r="A2624" s="3">
        <v>45123692958</v>
      </c>
      <c r="B2624" s="3">
        <v>250</v>
      </c>
      <c r="C2624" s="32">
        <v>49198</v>
      </c>
      <c r="D2624" s="32">
        <v>49206</v>
      </c>
      <c r="E26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625" spans="1:6" x14ac:dyDescent="0.35">
      <c r="A2625" s="3">
        <v>92379872076</v>
      </c>
      <c r="B2625" s="3">
        <v>274</v>
      </c>
      <c r="C2625" s="32">
        <v>49198</v>
      </c>
      <c r="D2625" s="32" t="s">
        <v>87</v>
      </c>
      <c r="E26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6" spans="1:6" x14ac:dyDescent="0.35">
      <c r="A2626" s="3">
        <v>73426277974</v>
      </c>
      <c r="B2626" s="3">
        <v>277</v>
      </c>
      <c r="C2626" s="32">
        <v>49198</v>
      </c>
      <c r="D2626" s="32" t="s">
        <v>87</v>
      </c>
      <c r="E26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7" spans="1:6" x14ac:dyDescent="0.35">
      <c r="A2627" s="3">
        <v>50093477578</v>
      </c>
      <c r="B2627" s="3">
        <v>305</v>
      </c>
      <c r="C2627" s="32">
        <v>49198</v>
      </c>
      <c r="D2627" s="32" t="s">
        <v>87</v>
      </c>
      <c r="E26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8" spans="1:6" x14ac:dyDescent="0.35">
      <c r="A2628" s="3">
        <v>90662196366</v>
      </c>
      <c r="B2628" s="3">
        <v>311</v>
      </c>
      <c r="C2628" s="32">
        <v>49198</v>
      </c>
      <c r="D2628" s="32" t="s">
        <v>87</v>
      </c>
      <c r="E26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9" spans="1:6" x14ac:dyDescent="0.35">
      <c r="A2629" s="3">
        <v>36801513441</v>
      </c>
      <c r="B2629" s="3">
        <v>316</v>
      </c>
      <c r="C2629" s="32">
        <v>49198</v>
      </c>
      <c r="D2629" s="32" t="s">
        <v>87</v>
      </c>
      <c r="E26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0" spans="1:6" x14ac:dyDescent="0.35">
      <c r="A2630" s="3">
        <v>30530133987</v>
      </c>
      <c r="B2630" s="3">
        <v>13</v>
      </c>
      <c r="C2630" s="32">
        <v>49199</v>
      </c>
      <c r="D2630" s="32" t="s">
        <v>87</v>
      </c>
      <c r="E26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1" spans="1:6" x14ac:dyDescent="0.35">
      <c r="A2631" s="3">
        <v>20965242970</v>
      </c>
      <c r="B2631" s="3">
        <v>21</v>
      </c>
      <c r="C2631" s="32">
        <v>49199</v>
      </c>
      <c r="D2631" s="32" t="s">
        <v>87</v>
      </c>
      <c r="E26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2" spans="1:6" x14ac:dyDescent="0.35">
      <c r="A2632" s="3">
        <v>80202560192</v>
      </c>
      <c r="B2632" s="3">
        <v>27</v>
      </c>
      <c r="C2632" s="32">
        <v>49199</v>
      </c>
      <c r="D2632" s="32" t="s">
        <v>87</v>
      </c>
      <c r="E26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3" spans="1:6" x14ac:dyDescent="0.35">
      <c r="A2633" s="3">
        <v>93977785868</v>
      </c>
      <c r="B2633" s="3">
        <v>30</v>
      </c>
      <c r="C2633" s="32">
        <v>49199</v>
      </c>
      <c r="D2633" s="32" t="s">
        <v>87</v>
      </c>
      <c r="E26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4" spans="1:6" x14ac:dyDescent="0.35">
      <c r="A2634" s="3">
        <v>50033748203</v>
      </c>
      <c r="B2634" s="3">
        <v>38</v>
      </c>
      <c r="C2634" s="32">
        <v>49199</v>
      </c>
      <c r="D2634" s="32">
        <v>49306</v>
      </c>
      <c r="E26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635" spans="1:6" x14ac:dyDescent="0.35">
      <c r="A2635" s="3">
        <v>35616081116</v>
      </c>
      <c r="B2635" s="3">
        <v>63</v>
      </c>
      <c r="C2635" s="32">
        <v>49199</v>
      </c>
      <c r="D2635" s="32">
        <v>49205</v>
      </c>
      <c r="E26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636" spans="1:6" x14ac:dyDescent="0.35">
      <c r="A2636" s="3">
        <v>85159855241</v>
      </c>
      <c r="B2636" s="3">
        <v>63</v>
      </c>
      <c r="C2636" s="32">
        <v>49199</v>
      </c>
      <c r="D2636" s="32" t="s">
        <v>87</v>
      </c>
      <c r="E26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7" spans="1:6" x14ac:dyDescent="0.35">
      <c r="A2637" s="3">
        <v>22424129348</v>
      </c>
      <c r="B2637" s="3">
        <v>65</v>
      </c>
      <c r="C2637" s="32">
        <v>49199</v>
      </c>
      <c r="D2637" s="32"/>
      <c r="E26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8" spans="1:6" x14ac:dyDescent="0.35">
      <c r="A2638" s="3">
        <v>32409691233</v>
      </c>
      <c r="B2638" s="3">
        <v>94</v>
      </c>
      <c r="C2638" s="32">
        <v>49199</v>
      </c>
      <c r="D2638" s="32"/>
      <c r="E26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9" spans="1:6" x14ac:dyDescent="0.35">
      <c r="A2639" s="3">
        <v>79763292733</v>
      </c>
      <c r="B2639" s="3">
        <v>136</v>
      </c>
      <c r="C2639" s="32">
        <v>49199</v>
      </c>
      <c r="D2639" s="32" t="s">
        <v>87</v>
      </c>
      <c r="E26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0" spans="1:6" x14ac:dyDescent="0.35">
      <c r="A2640" s="3">
        <v>99122585428</v>
      </c>
      <c r="B2640" s="3">
        <v>143</v>
      </c>
      <c r="C2640" s="32">
        <v>49199</v>
      </c>
      <c r="D2640" s="32"/>
      <c r="E26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1" spans="1:6" x14ac:dyDescent="0.35">
      <c r="A2641" s="3">
        <v>91014811643</v>
      </c>
      <c r="B2641" s="3">
        <v>155</v>
      </c>
      <c r="C2641" s="32">
        <v>49199</v>
      </c>
      <c r="D2641" s="32"/>
      <c r="E26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2" spans="1:6" x14ac:dyDescent="0.35">
      <c r="A2642" s="3">
        <v>34082592641</v>
      </c>
      <c r="B2642" s="3">
        <v>172</v>
      </c>
      <c r="C2642" s="32">
        <v>49199</v>
      </c>
      <c r="D2642" s="32">
        <v>49256</v>
      </c>
      <c r="E26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643" spans="1:6" x14ac:dyDescent="0.35">
      <c r="A2643" s="3">
        <v>82721995333</v>
      </c>
      <c r="B2643" s="3">
        <v>181</v>
      </c>
      <c r="C2643" s="32">
        <v>49199</v>
      </c>
      <c r="D2643" s="32" t="s">
        <v>87</v>
      </c>
      <c r="E26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4" spans="1:6" x14ac:dyDescent="0.35">
      <c r="A2644" s="3">
        <v>21411358286</v>
      </c>
      <c r="B2644" s="3">
        <v>182</v>
      </c>
      <c r="C2644" s="32">
        <v>49199</v>
      </c>
      <c r="D2644" s="32" t="s">
        <v>87</v>
      </c>
      <c r="E26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5" spans="1:6" x14ac:dyDescent="0.35">
      <c r="A2645" s="3">
        <v>41789102856</v>
      </c>
      <c r="B2645" s="3">
        <v>190</v>
      </c>
      <c r="C2645" s="32">
        <v>49199</v>
      </c>
      <c r="D2645" s="32" t="s">
        <v>87</v>
      </c>
      <c r="E26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6" spans="1:6" x14ac:dyDescent="0.35">
      <c r="A2646" s="3">
        <v>62874457589</v>
      </c>
      <c r="B2646" s="3">
        <v>197</v>
      </c>
      <c r="C2646" s="32">
        <v>49199</v>
      </c>
      <c r="D2646" s="32">
        <v>49200</v>
      </c>
      <c r="E26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647" spans="1:6" x14ac:dyDescent="0.35">
      <c r="A2647" s="3">
        <v>83307364661</v>
      </c>
      <c r="B2647" s="3">
        <v>199</v>
      </c>
      <c r="C2647" s="32">
        <v>49199</v>
      </c>
      <c r="D2647" s="32" t="s">
        <v>87</v>
      </c>
      <c r="E26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8" spans="1:6" x14ac:dyDescent="0.35">
      <c r="A2648" s="3">
        <v>30063549249</v>
      </c>
      <c r="B2648" s="3">
        <v>223</v>
      </c>
      <c r="C2648" s="32">
        <v>49199</v>
      </c>
      <c r="D2648" s="32" t="s">
        <v>87</v>
      </c>
      <c r="E26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9" spans="1:6" x14ac:dyDescent="0.35">
      <c r="A2649" s="3">
        <v>99209071936</v>
      </c>
      <c r="B2649" s="3">
        <v>235</v>
      </c>
      <c r="C2649" s="32">
        <v>49199</v>
      </c>
      <c r="D2649" s="32" t="s">
        <v>87</v>
      </c>
      <c r="E26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0" spans="1:6" x14ac:dyDescent="0.35">
      <c r="A2650" s="3">
        <v>57427827508</v>
      </c>
      <c r="B2650" s="3">
        <v>277</v>
      </c>
      <c r="C2650" s="32">
        <v>49199</v>
      </c>
      <c r="D2650" s="32">
        <v>49240</v>
      </c>
      <c r="E26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651" spans="1:6" x14ac:dyDescent="0.35">
      <c r="A2651" s="3">
        <v>93580894599</v>
      </c>
      <c r="B2651" s="3">
        <v>303</v>
      </c>
      <c r="C2651" s="32">
        <v>49199</v>
      </c>
      <c r="D2651" s="32"/>
      <c r="E26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2" spans="1:6" x14ac:dyDescent="0.35">
      <c r="A2652" s="3">
        <v>28406355682</v>
      </c>
      <c r="B2652" s="3">
        <v>306</v>
      </c>
      <c r="C2652" s="32">
        <v>49199</v>
      </c>
      <c r="D2652" s="32"/>
      <c r="E26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3" spans="1:6" x14ac:dyDescent="0.35">
      <c r="A2653" s="3">
        <v>45314695347</v>
      </c>
      <c r="B2653" s="3">
        <v>331</v>
      </c>
      <c r="C2653" s="32">
        <v>49199</v>
      </c>
      <c r="D2653" s="32" t="s">
        <v>87</v>
      </c>
      <c r="E26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4" spans="1:6" x14ac:dyDescent="0.35">
      <c r="A2654" s="3">
        <v>12353144655</v>
      </c>
      <c r="B2654" s="3">
        <v>32</v>
      </c>
      <c r="C2654" s="32">
        <v>49200</v>
      </c>
      <c r="D2654" s="32">
        <v>49245</v>
      </c>
      <c r="E26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655" spans="1:6" x14ac:dyDescent="0.35">
      <c r="A2655" s="3">
        <v>58125780905</v>
      </c>
      <c r="B2655" s="3">
        <v>74</v>
      </c>
      <c r="C2655" s="32">
        <v>49200</v>
      </c>
      <c r="D2655" s="32"/>
      <c r="E26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6" spans="1:6" x14ac:dyDescent="0.35">
      <c r="A2656" s="3">
        <v>99042247735</v>
      </c>
      <c r="B2656" s="3">
        <v>103</v>
      </c>
      <c r="C2656" s="32">
        <v>49200</v>
      </c>
      <c r="D2656" s="32" t="s">
        <v>87</v>
      </c>
      <c r="E26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7" spans="1:6" x14ac:dyDescent="0.35">
      <c r="A2657" s="3">
        <v>58815065905</v>
      </c>
      <c r="B2657" s="3">
        <v>111</v>
      </c>
      <c r="C2657" s="32">
        <v>49200</v>
      </c>
      <c r="D2657" s="32" t="s">
        <v>87</v>
      </c>
      <c r="E26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8" spans="1:6" x14ac:dyDescent="0.35">
      <c r="A2658" s="3">
        <v>29940760197</v>
      </c>
      <c r="B2658" s="3">
        <v>142</v>
      </c>
      <c r="C2658" s="32">
        <v>49200</v>
      </c>
      <c r="D2658" s="32" t="s">
        <v>87</v>
      </c>
      <c r="E26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9" spans="1:6" x14ac:dyDescent="0.35">
      <c r="A2659" s="3">
        <v>69205896458</v>
      </c>
      <c r="B2659" s="3">
        <v>159</v>
      </c>
      <c r="C2659" s="32">
        <v>49200</v>
      </c>
      <c r="D2659" s="32" t="s">
        <v>87</v>
      </c>
      <c r="E26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0" spans="1:6" x14ac:dyDescent="0.35">
      <c r="A2660" s="3">
        <v>67881001573</v>
      </c>
      <c r="B2660" s="3">
        <v>165</v>
      </c>
      <c r="C2660" s="32">
        <v>49200</v>
      </c>
      <c r="D2660" s="32" t="s">
        <v>87</v>
      </c>
      <c r="E26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1" spans="1:6" x14ac:dyDescent="0.35">
      <c r="A2661" s="3">
        <v>80528499000</v>
      </c>
      <c r="B2661" s="3">
        <v>184</v>
      </c>
      <c r="C2661" s="32">
        <v>49200</v>
      </c>
      <c r="D2661" s="32" t="s">
        <v>87</v>
      </c>
      <c r="E26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2" spans="1:6" x14ac:dyDescent="0.35">
      <c r="A2662" s="3">
        <v>23082992959</v>
      </c>
      <c r="B2662" s="3">
        <v>191</v>
      </c>
      <c r="C2662" s="32">
        <v>49200</v>
      </c>
      <c r="D2662" s="32"/>
      <c r="E26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3" spans="1:6" x14ac:dyDescent="0.35">
      <c r="A2663" s="3">
        <v>66631134390</v>
      </c>
      <c r="B2663" s="3">
        <v>199</v>
      </c>
      <c r="C2663" s="32">
        <v>49200</v>
      </c>
      <c r="D2663" s="32" t="s">
        <v>87</v>
      </c>
      <c r="E26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4" spans="1:6" x14ac:dyDescent="0.35">
      <c r="A2664" s="3">
        <v>12991609695</v>
      </c>
      <c r="B2664" s="3">
        <v>201</v>
      </c>
      <c r="C2664" s="32">
        <v>49200</v>
      </c>
      <c r="D2664" s="32" t="s">
        <v>87</v>
      </c>
      <c r="E26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5" spans="1:6" x14ac:dyDescent="0.35">
      <c r="A2665" s="3">
        <v>88825339882</v>
      </c>
      <c r="B2665" s="3">
        <v>211</v>
      </c>
      <c r="C2665" s="32">
        <v>49200</v>
      </c>
      <c r="D2665" s="32" t="s">
        <v>87</v>
      </c>
      <c r="E26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6" spans="1:6" x14ac:dyDescent="0.35">
      <c r="A2666" s="3">
        <v>22602418957</v>
      </c>
      <c r="B2666" s="3">
        <v>240</v>
      </c>
      <c r="C2666" s="32">
        <v>49200</v>
      </c>
      <c r="D2666" s="32"/>
      <c r="E26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7" spans="1:6" x14ac:dyDescent="0.35">
      <c r="A2667" s="3">
        <v>59896675916</v>
      </c>
      <c r="B2667" s="3">
        <v>265</v>
      </c>
      <c r="C2667" s="32">
        <v>49200</v>
      </c>
      <c r="D2667" s="32" t="s">
        <v>87</v>
      </c>
      <c r="E26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8" spans="1:6" x14ac:dyDescent="0.35">
      <c r="A2668" s="3">
        <v>12463662703</v>
      </c>
      <c r="B2668" s="3">
        <v>274</v>
      </c>
      <c r="C2668" s="32">
        <v>49200</v>
      </c>
      <c r="D2668" s="32" t="s">
        <v>87</v>
      </c>
      <c r="E26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9" spans="1:6" x14ac:dyDescent="0.35">
      <c r="A2669" s="3">
        <v>18332216394</v>
      </c>
      <c r="B2669" s="3">
        <v>3</v>
      </c>
      <c r="C2669" s="32">
        <v>49201</v>
      </c>
      <c r="D2669" s="32"/>
      <c r="E26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0" spans="1:6" x14ac:dyDescent="0.35">
      <c r="A2670" s="3">
        <v>35842589470</v>
      </c>
      <c r="B2670" s="3">
        <v>8</v>
      </c>
      <c r="C2670" s="32">
        <v>49201</v>
      </c>
      <c r="D2670" s="32"/>
      <c r="E26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1" spans="1:6" x14ac:dyDescent="0.35">
      <c r="A2671" s="3">
        <v>75465984942</v>
      </c>
      <c r="B2671" s="3">
        <v>12</v>
      </c>
      <c r="C2671" s="32">
        <v>49201</v>
      </c>
      <c r="D2671" s="32" t="s">
        <v>87</v>
      </c>
      <c r="E26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2" spans="1:6" x14ac:dyDescent="0.35">
      <c r="A2672" s="3">
        <v>56601840378</v>
      </c>
      <c r="B2672" s="3">
        <v>24</v>
      </c>
      <c r="C2672" s="32">
        <v>49201</v>
      </c>
      <c r="D2672" s="32">
        <v>49270</v>
      </c>
      <c r="E26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673" spans="1:6" x14ac:dyDescent="0.35">
      <c r="A2673" s="3">
        <v>48461349618</v>
      </c>
      <c r="B2673" s="3">
        <v>25</v>
      </c>
      <c r="C2673" s="32">
        <v>49201</v>
      </c>
      <c r="D2673" s="32"/>
      <c r="E26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4" spans="1:6" x14ac:dyDescent="0.35">
      <c r="A2674" s="3">
        <v>14735677781</v>
      </c>
      <c r="B2674" s="3">
        <v>25</v>
      </c>
      <c r="C2674" s="32">
        <v>49201</v>
      </c>
      <c r="D2674" s="32" t="s">
        <v>87</v>
      </c>
      <c r="E26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5" spans="1:6" x14ac:dyDescent="0.35">
      <c r="A2675" s="3">
        <v>70655332493</v>
      </c>
      <c r="B2675" s="3">
        <v>33</v>
      </c>
      <c r="C2675" s="32">
        <v>49201</v>
      </c>
      <c r="D2675" s="32" t="s">
        <v>87</v>
      </c>
      <c r="E26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6" spans="1:6" x14ac:dyDescent="0.35">
      <c r="A2676" s="3">
        <v>68483264813</v>
      </c>
      <c r="B2676" s="3">
        <v>37</v>
      </c>
      <c r="C2676" s="32">
        <v>49201</v>
      </c>
      <c r="D2676" s="32" t="s">
        <v>87</v>
      </c>
      <c r="E26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7" spans="1:6" x14ac:dyDescent="0.35">
      <c r="A2677" s="3">
        <v>15464509795</v>
      </c>
      <c r="B2677" s="3">
        <v>52</v>
      </c>
      <c r="C2677" s="32">
        <v>49201</v>
      </c>
      <c r="D2677" s="32" t="s">
        <v>87</v>
      </c>
      <c r="E26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8" spans="1:6" x14ac:dyDescent="0.35">
      <c r="A2678" s="3">
        <v>19134771900</v>
      </c>
      <c r="B2678" s="3">
        <v>53</v>
      </c>
      <c r="C2678" s="32">
        <v>49201</v>
      </c>
      <c r="D2678" s="32">
        <v>49295</v>
      </c>
      <c r="E26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679" spans="1:6" x14ac:dyDescent="0.35">
      <c r="A2679" s="3">
        <v>93815564987</v>
      </c>
      <c r="B2679" s="3">
        <v>58</v>
      </c>
      <c r="C2679" s="32">
        <v>49201</v>
      </c>
      <c r="D2679" s="32" t="s">
        <v>87</v>
      </c>
      <c r="E26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0" spans="1:6" x14ac:dyDescent="0.35">
      <c r="A2680" s="3">
        <v>84281088288</v>
      </c>
      <c r="B2680" s="3">
        <v>73</v>
      </c>
      <c r="C2680" s="32">
        <v>49201</v>
      </c>
      <c r="D2680" s="32" t="s">
        <v>87</v>
      </c>
      <c r="E26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1" spans="1:6" x14ac:dyDescent="0.35">
      <c r="A2681" s="3">
        <v>71562071667</v>
      </c>
      <c r="B2681" s="3">
        <v>75</v>
      </c>
      <c r="C2681" s="32">
        <v>49201</v>
      </c>
      <c r="D2681" s="32" t="s">
        <v>87</v>
      </c>
      <c r="E26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2" spans="1:6" x14ac:dyDescent="0.35">
      <c r="A2682" s="3">
        <v>19353981345</v>
      </c>
      <c r="B2682" s="3">
        <v>80</v>
      </c>
      <c r="C2682" s="32">
        <v>49201</v>
      </c>
      <c r="D2682" s="32">
        <v>49202</v>
      </c>
      <c r="E26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683" spans="1:6" x14ac:dyDescent="0.35">
      <c r="A2683" s="3">
        <v>87361112227</v>
      </c>
      <c r="B2683" s="3">
        <v>107</v>
      </c>
      <c r="C2683" s="32">
        <v>49201</v>
      </c>
      <c r="D2683" s="32">
        <v>49283</v>
      </c>
      <c r="E26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684" spans="1:6" x14ac:dyDescent="0.35">
      <c r="A2684" s="3">
        <v>53326233567</v>
      </c>
      <c r="B2684" s="3">
        <v>114</v>
      </c>
      <c r="C2684" s="32">
        <v>49201</v>
      </c>
      <c r="D2684" s="32" t="s">
        <v>87</v>
      </c>
      <c r="E26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5" spans="1:6" x14ac:dyDescent="0.35">
      <c r="A2685" s="3">
        <v>46302306991</v>
      </c>
      <c r="B2685" s="3">
        <v>125</v>
      </c>
      <c r="C2685" s="32">
        <v>49201</v>
      </c>
      <c r="D2685" s="32" t="s">
        <v>87</v>
      </c>
      <c r="E26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6" spans="1:6" x14ac:dyDescent="0.35">
      <c r="A2686" s="3">
        <v>58437585393</v>
      </c>
      <c r="B2686" s="3">
        <v>132</v>
      </c>
      <c r="C2686" s="32">
        <v>49201</v>
      </c>
      <c r="D2686" s="32" t="s">
        <v>87</v>
      </c>
      <c r="E26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7" spans="1:6" x14ac:dyDescent="0.35">
      <c r="A2687" s="3">
        <v>51654157620</v>
      </c>
      <c r="B2687" s="3">
        <v>138</v>
      </c>
      <c r="C2687" s="32">
        <v>49201</v>
      </c>
      <c r="D2687" s="32" t="s">
        <v>87</v>
      </c>
      <c r="E26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8" spans="1:6" x14ac:dyDescent="0.35">
      <c r="A2688" s="3">
        <v>90334329840</v>
      </c>
      <c r="B2688" s="3">
        <v>156</v>
      </c>
      <c r="C2688" s="32">
        <v>49201</v>
      </c>
      <c r="D2688" s="32" t="s">
        <v>87</v>
      </c>
      <c r="E26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9" spans="1:6" x14ac:dyDescent="0.35">
      <c r="A2689" s="3">
        <v>66667303726</v>
      </c>
      <c r="B2689" s="3">
        <v>168</v>
      </c>
      <c r="C2689" s="32">
        <v>49201</v>
      </c>
      <c r="D2689" s="32" t="s">
        <v>87</v>
      </c>
      <c r="E26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0" spans="1:6" x14ac:dyDescent="0.35">
      <c r="A2690" s="3">
        <v>93162029016</v>
      </c>
      <c r="B2690" s="3">
        <v>172</v>
      </c>
      <c r="C2690" s="32">
        <v>49201</v>
      </c>
      <c r="D2690" s="32">
        <v>49219</v>
      </c>
      <c r="E26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691" spans="1:6" x14ac:dyDescent="0.35">
      <c r="A2691" s="3">
        <v>20392133249</v>
      </c>
      <c r="B2691" s="3">
        <v>178</v>
      </c>
      <c r="C2691" s="32">
        <v>49201</v>
      </c>
      <c r="D2691" s="32"/>
      <c r="E26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2" spans="1:6" x14ac:dyDescent="0.35">
      <c r="A2692" s="3">
        <v>31302796606</v>
      </c>
      <c r="B2692" s="3">
        <v>191</v>
      </c>
      <c r="C2692" s="32">
        <v>49201</v>
      </c>
      <c r="D2692" s="32">
        <v>49256</v>
      </c>
      <c r="E26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693" spans="1:6" x14ac:dyDescent="0.35">
      <c r="A2693" s="3">
        <v>43790776024</v>
      </c>
      <c r="B2693" s="3">
        <v>195</v>
      </c>
      <c r="C2693" s="32">
        <v>49201</v>
      </c>
      <c r="D2693" s="32"/>
      <c r="E26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4" spans="1:6" x14ac:dyDescent="0.35">
      <c r="A2694" s="3">
        <v>70173474694</v>
      </c>
      <c r="B2694" s="3">
        <v>207</v>
      </c>
      <c r="C2694" s="32">
        <v>49201</v>
      </c>
      <c r="D2694" s="32" t="s">
        <v>87</v>
      </c>
      <c r="E26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5" spans="1:6" x14ac:dyDescent="0.35">
      <c r="A2695" s="3">
        <v>50775468666</v>
      </c>
      <c r="B2695" s="3">
        <v>208</v>
      </c>
      <c r="C2695" s="32">
        <v>49201</v>
      </c>
      <c r="D2695" s="32" t="s">
        <v>87</v>
      </c>
      <c r="E26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6" spans="1:6" x14ac:dyDescent="0.35">
      <c r="A2696" s="3">
        <v>21823931269</v>
      </c>
      <c r="B2696" s="3">
        <v>209</v>
      </c>
      <c r="C2696" s="32">
        <v>49201</v>
      </c>
      <c r="D2696" s="32" t="s">
        <v>87</v>
      </c>
      <c r="E26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7" spans="1:6" x14ac:dyDescent="0.35">
      <c r="A2697" s="3">
        <v>25718770465</v>
      </c>
      <c r="B2697" s="3">
        <v>233</v>
      </c>
      <c r="C2697" s="32">
        <v>49201</v>
      </c>
      <c r="D2697" s="32"/>
      <c r="E26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8" spans="1:6" x14ac:dyDescent="0.35">
      <c r="A2698" s="3">
        <v>31707406734</v>
      </c>
      <c r="B2698" s="3">
        <v>247</v>
      </c>
      <c r="C2698" s="32">
        <v>49201</v>
      </c>
      <c r="D2698" s="32">
        <v>49313</v>
      </c>
      <c r="E26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699" spans="1:6" x14ac:dyDescent="0.35">
      <c r="A2699" s="3">
        <v>18606959229</v>
      </c>
      <c r="B2699" s="3">
        <v>255</v>
      </c>
      <c r="C2699" s="32">
        <v>49201</v>
      </c>
      <c r="D2699" s="32"/>
      <c r="E26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0" spans="1:6" x14ac:dyDescent="0.35">
      <c r="A2700" s="3">
        <v>66251064569</v>
      </c>
      <c r="B2700" s="3">
        <v>269</v>
      </c>
      <c r="C2700" s="32">
        <v>49201</v>
      </c>
      <c r="D2700" s="32" t="s">
        <v>87</v>
      </c>
      <c r="E27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1" spans="1:6" x14ac:dyDescent="0.35">
      <c r="A2701" s="3">
        <v>24874146469</v>
      </c>
      <c r="B2701" s="3">
        <v>271</v>
      </c>
      <c r="C2701" s="32">
        <v>49201</v>
      </c>
      <c r="D2701" s="32">
        <v>49216</v>
      </c>
      <c r="E27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702" spans="1:6" x14ac:dyDescent="0.35">
      <c r="A2702" s="3">
        <v>64276567179</v>
      </c>
      <c r="B2702" s="3">
        <v>278</v>
      </c>
      <c r="C2702" s="32">
        <v>49201</v>
      </c>
      <c r="D2702" s="32" t="s">
        <v>87</v>
      </c>
      <c r="E27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3" spans="1:6" x14ac:dyDescent="0.35">
      <c r="A2703" s="3">
        <v>66519346631</v>
      </c>
      <c r="B2703" s="3">
        <v>299</v>
      </c>
      <c r="C2703" s="32">
        <v>49201</v>
      </c>
      <c r="D2703" s="32">
        <v>49297</v>
      </c>
      <c r="E27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704" spans="1:6" x14ac:dyDescent="0.35">
      <c r="A2704" s="3">
        <v>80555065189</v>
      </c>
      <c r="B2704" s="3">
        <v>13</v>
      </c>
      <c r="C2704" s="32">
        <v>49202</v>
      </c>
      <c r="D2704" s="32" t="s">
        <v>87</v>
      </c>
      <c r="E27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5" spans="1:6" x14ac:dyDescent="0.35">
      <c r="A2705" s="3">
        <v>51794645262</v>
      </c>
      <c r="B2705" s="3">
        <v>14</v>
      </c>
      <c r="C2705" s="32">
        <v>49202</v>
      </c>
      <c r="D2705" s="32" t="s">
        <v>87</v>
      </c>
      <c r="E27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6" spans="1:6" x14ac:dyDescent="0.35">
      <c r="A2706" s="3">
        <v>40073604841</v>
      </c>
      <c r="B2706" s="3">
        <v>17</v>
      </c>
      <c r="C2706" s="32">
        <v>49202</v>
      </c>
      <c r="D2706" s="32" t="s">
        <v>87</v>
      </c>
      <c r="E27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7" spans="1:6" x14ac:dyDescent="0.35">
      <c r="A2707" s="3">
        <v>80412428606</v>
      </c>
      <c r="B2707" s="3">
        <v>29</v>
      </c>
      <c r="C2707" s="32">
        <v>49202</v>
      </c>
      <c r="D2707" s="32" t="s">
        <v>87</v>
      </c>
      <c r="E27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8" spans="1:6" x14ac:dyDescent="0.35">
      <c r="A2708" s="3">
        <v>63190043232</v>
      </c>
      <c r="B2708" s="3">
        <v>43</v>
      </c>
      <c r="C2708" s="32">
        <v>49202</v>
      </c>
      <c r="D2708" s="32">
        <v>49305</v>
      </c>
      <c r="E27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709" spans="1:6" x14ac:dyDescent="0.35">
      <c r="A2709" s="3">
        <v>34204745274</v>
      </c>
      <c r="B2709" s="3">
        <v>59</v>
      </c>
      <c r="C2709" s="32">
        <v>49202</v>
      </c>
      <c r="D2709" s="32" t="s">
        <v>87</v>
      </c>
      <c r="E27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0" spans="1:6" x14ac:dyDescent="0.35">
      <c r="A2710" s="3">
        <v>27686098159</v>
      </c>
      <c r="B2710" s="3">
        <v>83</v>
      </c>
      <c r="C2710" s="32">
        <v>49202</v>
      </c>
      <c r="D2710" s="32" t="s">
        <v>87</v>
      </c>
      <c r="E27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1" spans="1:6" x14ac:dyDescent="0.35">
      <c r="A2711" s="3">
        <v>19453356092</v>
      </c>
      <c r="B2711" s="3">
        <v>92</v>
      </c>
      <c r="C2711" s="32">
        <v>49202</v>
      </c>
      <c r="D2711" s="32" t="s">
        <v>87</v>
      </c>
      <c r="E27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2" spans="1:6" x14ac:dyDescent="0.35">
      <c r="A2712" s="3">
        <v>97407183199</v>
      </c>
      <c r="B2712" s="3">
        <v>106</v>
      </c>
      <c r="C2712" s="32">
        <v>49202</v>
      </c>
      <c r="D2712" s="32" t="s">
        <v>87</v>
      </c>
      <c r="E27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3" spans="1:6" x14ac:dyDescent="0.35">
      <c r="A2713" s="3">
        <v>12142425875</v>
      </c>
      <c r="B2713" s="3">
        <v>113</v>
      </c>
      <c r="C2713" s="32">
        <v>49202</v>
      </c>
      <c r="D2713" s="32" t="s">
        <v>87</v>
      </c>
      <c r="E27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4" spans="1:6" x14ac:dyDescent="0.35">
      <c r="A2714" s="3">
        <v>97034855014</v>
      </c>
      <c r="B2714" s="3">
        <v>118</v>
      </c>
      <c r="C2714" s="32">
        <v>49202</v>
      </c>
      <c r="D2714" s="32"/>
      <c r="E27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5" spans="1:6" x14ac:dyDescent="0.35">
      <c r="A2715" s="3">
        <v>19544625993</v>
      </c>
      <c r="B2715" s="3">
        <v>121</v>
      </c>
      <c r="C2715" s="32">
        <v>49202</v>
      </c>
      <c r="D2715" s="32" t="s">
        <v>87</v>
      </c>
      <c r="E27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6" spans="1:6" x14ac:dyDescent="0.35">
      <c r="A2716" s="3">
        <v>73220107813</v>
      </c>
      <c r="B2716" s="3">
        <v>138</v>
      </c>
      <c r="C2716" s="32">
        <v>49202</v>
      </c>
      <c r="D2716" s="32">
        <v>49240</v>
      </c>
      <c r="E27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17" spans="1:6" x14ac:dyDescent="0.35">
      <c r="A2717" s="3">
        <v>33096264039</v>
      </c>
      <c r="B2717" s="3">
        <v>145</v>
      </c>
      <c r="C2717" s="32">
        <v>49202</v>
      </c>
      <c r="D2717" s="32"/>
      <c r="E27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8" spans="1:6" x14ac:dyDescent="0.35">
      <c r="A2718" s="3">
        <v>46826298451</v>
      </c>
      <c r="B2718" s="3">
        <v>147</v>
      </c>
      <c r="C2718" s="32">
        <v>49202</v>
      </c>
      <c r="D2718" s="32">
        <v>49209</v>
      </c>
      <c r="E27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719" spans="1:6" x14ac:dyDescent="0.35">
      <c r="A2719" s="3">
        <v>81456594097</v>
      </c>
      <c r="B2719" s="3">
        <v>148</v>
      </c>
      <c r="C2719" s="32">
        <v>49202</v>
      </c>
      <c r="D2719" s="32">
        <v>49243</v>
      </c>
      <c r="E27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20" spans="1:6" x14ac:dyDescent="0.35">
      <c r="A2720" s="3">
        <v>80537910851</v>
      </c>
      <c r="B2720" s="3">
        <v>157</v>
      </c>
      <c r="C2720" s="32">
        <v>49202</v>
      </c>
      <c r="D2720" s="32" t="s">
        <v>87</v>
      </c>
      <c r="E27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1" spans="1:6" x14ac:dyDescent="0.35">
      <c r="A2721" s="3">
        <v>91325447101</v>
      </c>
      <c r="B2721" s="3">
        <v>157</v>
      </c>
      <c r="C2721" s="32">
        <v>49202</v>
      </c>
      <c r="D2721" s="32" t="s">
        <v>87</v>
      </c>
      <c r="E27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2" spans="1:6" x14ac:dyDescent="0.35">
      <c r="A2722" s="3">
        <v>69832092965</v>
      </c>
      <c r="B2722" s="3">
        <v>158</v>
      </c>
      <c r="C2722" s="32">
        <v>49202</v>
      </c>
      <c r="D2722" s="32" t="s">
        <v>87</v>
      </c>
      <c r="E27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3" spans="1:6" x14ac:dyDescent="0.35">
      <c r="A2723" s="3">
        <v>41311365154</v>
      </c>
      <c r="B2723" s="3">
        <v>187</v>
      </c>
      <c r="C2723" s="32">
        <v>49202</v>
      </c>
      <c r="D2723" s="32" t="s">
        <v>87</v>
      </c>
      <c r="E27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4" spans="1:6" x14ac:dyDescent="0.35">
      <c r="A2724" s="3">
        <v>53753188385</v>
      </c>
      <c r="B2724" s="3">
        <v>195</v>
      </c>
      <c r="C2724" s="32">
        <v>49202</v>
      </c>
      <c r="D2724" s="32" t="s">
        <v>87</v>
      </c>
      <c r="E27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5" spans="1:6" x14ac:dyDescent="0.35">
      <c r="A2725" s="3">
        <v>97582604359</v>
      </c>
      <c r="B2725" s="3">
        <v>203</v>
      </c>
      <c r="C2725" s="32">
        <v>49202</v>
      </c>
      <c r="D2725" s="32">
        <v>49219</v>
      </c>
      <c r="E27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26" spans="1:6" x14ac:dyDescent="0.35">
      <c r="A2726" s="3">
        <v>86723079987</v>
      </c>
      <c r="B2726" s="3">
        <v>230</v>
      </c>
      <c r="C2726" s="32">
        <v>49202</v>
      </c>
      <c r="D2726" s="32">
        <v>49305</v>
      </c>
      <c r="E27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727" spans="1:6" x14ac:dyDescent="0.35">
      <c r="A2727" s="3">
        <v>78488327742</v>
      </c>
      <c r="B2727" s="3">
        <v>269</v>
      </c>
      <c r="C2727" s="32">
        <v>49202</v>
      </c>
      <c r="D2727" s="32" t="s">
        <v>87</v>
      </c>
      <c r="E27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8" spans="1:6" x14ac:dyDescent="0.35">
      <c r="A2728" s="3">
        <v>65977202382</v>
      </c>
      <c r="B2728" s="3">
        <v>283</v>
      </c>
      <c r="C2728" s="32">
        <v>49202</v>
      </c>
      <c r="D2728" s="32">
        <v>49276</v>
      </c>
      <c r="E27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29" spans="1:6" x14ac:dyDescent="0.35">
      <c r="A2729" s="3">
        <v>95691057239</v>
      </c>
      <c r="B2729" s="3">
        <v>285</v>
      </c>
      <c r="C2729" s="32">
        <v>49202</v>
      </c>
      <c r="D2729" s="32">
        <v>49250</v>
      </c>
      <c r="E27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30" spans="1:6" x14ac:dyDescent="0.35">
      <c r="A2730" s="3">
        <v>57143888609</v>
      </c>
      <c r="B2730" s="3">
        <v>290</v>
      </c>
      <c r="C2730" s="32">
        <v>49202</v>
      </c>
      <c r="D2730" s="32"/>
      <c r="E27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31" spans="1:6" x14ac:dyDescent="0.35">
      <c r="A2731" s="3">
        <v>68332165705</v>
      </c>
      <c r="B2731" s="3">
        <v>300</v>
      </c>
      <c r="C2731" s="32">
        <v>49202</v>
      </c>
      <c r="D2731" s="32">
        <v>49269</v>
      </c>
      <c r="E27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32" spans="1:6" x14ac:dyDescent="0.35">
      <c r="A2732" s="3">
        <v>76208358665</v>
      </c>
      <c r="B2732" s="3">
        <v>306</v>
      </c>
      <c r="C2732" s="32">
        <v>49202</v>
      </c>
      <c r="D2732" s="32" t="s">
        <v>87</v>
      </c>
      <c r="E27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33" spans="1:6" x14ac:dyDescent="0.35">
      <c r="A2733" s="3">
        <v>45522024070</v>
      </c>
      <c r="B2733" s="3">
        <v>325</v>
      </c>
      <c r="C2733" s="32">
        <v>49202</v>
      </c>
      <c r="D2733" s="32">
        <v>49244</v>
      </c>
      <c r="E27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34" spans="1:6" x14ac:dyDescent="0.35">
      <c r="A2734" s="3">
        <v>60017541239</v>
      </c>
      <c r="B2734" s="3">
        <v>334</v>
      </c>
      <c r="C2734" s="32">
        <v>49202</v>
      </c>
      <c r="D2734" s="32">
        <v>49260</v>
      </c>
      <c r="E27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35" spans="1:6" x14ac:dyDescent="0.35">
      <c r="A2735" s="3">
        <v>79550512885</v>
      </c>
      <c r="B2735" s="3">
        <v>335</v>
      </c>
      <c r="C2735" s="32">
        <v>49202</v>
      </c>
      <c r="D2735" s="32">
        <v>49280</v>
      </c>
      <c r="E27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736" spans="1:6" x14ac:dyDescent="0.35">
      <c r="A2736" s="3">
        <v>91447340834</v>
      </c>
      <c r="B2736" s="3">
        <v>6</v>
      </c>
      <c r="C2736" s="32">
        <v>49203</v>
      </c>
      <c r="D2736" s="32" t="s">
        <v>87</v>
      </c>
      <c r="E27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37" spans="1:6" x14ac:dyDescent="0.35">
      <c r="A2737" s="3">
        <v>19084014471</v>
      </c>
      <c r="B2737" s="3">
        <v>37</v>
      </c>
      <c r="C2737" s="32">
        <v>49203</v>
      </c>
      <c r="D2737" s="32" t="s">
        <v>87</v>
      </c>
      <c r="E27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38" spans="1:6" x14ac:dyDescent="0.35">
      <c r="A2738" s="3">
        <v>32003589218</v>
      </c>
      <c r="B2738" s="3">
        <v>41</v>
      </c>
      <c r="C2738" s="32">
        <v>49203</v>
      </c>
      <c r="D2738" s="32" t="s">
        <v>87</v>
      </c>
      <c r="E27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39" spans="1:6" x14ac:dyDescent="0.35">
      <c r="A2739" s="3">
        <v>75769371124</v>
      </c>
      <c r="B2739" s="3">
        <v>66</v>
      </c>
      <c r="C2739" s="32">
        <v>49203</v>
      </c>
      <c r="D2739" s="32"/>
      <c r="E27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0" spans="1:6" x14ac:dyDescent="0.35">
      <c r="A2740" s="3">
        <v>59914240557</v>
      </c>
      <c r="B2740" s="3">
        <v>84</v>
      </c>
      <c r="C2740" s="32">
        <v>49203</v>
      </c>
      <c r="D2740" s="32" t="s">
        <v>87</v>
      </c>
      <c r="E27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1" spans="1:6" x14ac:dyDescent="0.35">
      <c r="A2741" s="3">
        <v>47958791139</v>
      </c>
      <c r="B2741" s="3">
        <v>152</v>
      </c>
      <c r="C2741" s="32">
        <v>49203</v>
      </c>
      <c r="D2741" s="32" t="s">
        <v>87</v>
      </c>
      <c r="E27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2" spans="1:6" x14ac:dyDescent="0.35">
      <c r="A2742" s="3">
        <v>38562267342</v>
      </c>
      <c r="B2742" s="3">
        <v>154</v>
      </c>
      <c r="C2742" s="32">
        <v>49203</v>
      </c>
      <c r="D2742" s="32" t="s">
        <v>87</v>
      </c>
      <c r="E27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3" spans="1:6" x14ac:dyDescent="0.35">
      <c r="A2743" s="3">
        <v>20588485193</v>
      </c>
      <c r="B2743" s="3">
        <v>169</v>
      </c>
      <c r="C2743" s="32">
        <v>49203</v>
      </c>
      <c r="D2743" s="32" t="s">
        <v>87</v>
      </c>
      <c r="E27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4" spans="1:6" x14ac:dyDescent="0.35">
      <c r="A2744" s="3">
        <v>28919544610</v>
      </c>
      <c r="B2744" s="3">
        <v>218</v>
      </c>
      <c r="C2744" s="32">
        <v>49203</v>
      </c>
      <c r="D2744" s="32" t="s">
        <v>87</v>
      </c>
      <c r="E27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5" spans="1:6" x14ac:dyDescent="0.35">
      <c r="A2745" s="3">
        <v>94742230913</v>
      </c>
      <c r="B2745" s="3">
        <v>224</v>
      </c>
      <c r="C2745" s="32">
        <v>49203</v>
      </c>
      <c r="D2745" s="32" t="s">
        <v>87</v>
      </c>
      <c r="E27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6" spans="1:6" x14ac:dyDescent="0.35">
      <c r="A2746" s="3">
        <v>86281493652</v>
      </c>
      <c r="B2746" s="3">
        <v>226</v>
      </c>
      <c r="C2746" s="32">
        <v>49203</v>
      </c>
      <c r="D2746" s="32">
        <v>49290</v>
      </c>
      <c r="E27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747" spans="1:6" x14ac:dyDescent="0.35">
      <c r="A2747" s="3">
        <v>94394782228</v>
      </c>
      <c r="B2747" s="3">
        <v>230</v>
      </c>
      <c r="C2747" s="32">
        <v>49203</v>
      </c>
      <c r="D2747" s="32" t="s">
        <v>87</v>
      </c>
      <c r="E27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8" spans="1:6" x14ac:dyDescent="0.35">
      <c r="A2748" s="3">
        <v>33967945989</v>
      </c>
      <c r="B2748" s="3">
        <v>231</v>
      </c>
      <c r="C2748" s="32">
        <v>49203</v>
      </c>
      <c r="D2748" s="32" t="s">
        <v>87</v>
      </c>
      <c r="E27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9" spans="1:6" x14ac:dyDescent="0.35">
      <c r="A2749" s="3">
        <v>74309669950</v>
      </c>
      <c r="B2749" s="3">
        <v>245</v>
      </c>
      <c r="C2749" s="32">
        <v>49203</v>
      </c>
      <c r="D2749" s="32">
        <v>49290</v>
      </c>
      <c r="E27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750" spans="1:6" x14ac:dyDescent="0.35">
      <c r="A2750" s="3">
        <v>35423505307</v>
      </c>
      <c r="B2750" s="3">
        <v>247</v>
      </c>
      <c r="C2750" s="32">
        <v>49203</v>
      </c>
      <c r="D2750" s="32" t="s">
        <v>87</v>
      </c>
      <c r="E27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1" spans="1:6" x14ac:dyDescent="0.35">
      <c r="A2751" s="3">
        <v>31316609570</v>
      </c>
      <c r="B2751" s="3">
        <v>251</v>
      </c>
      <c r="C2751" s="32">
        <v>49203</v>
      </c>
      <c r="D2751" s="32">
        <v>49225</v>
      </c>
      <c r="E27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52" spans="1:6" x14ac:dyDescent="0.35">
      <c r="A2752" s="3">
        <v>55906670927</v>
      </c>
      <c r="B2752" s="3">
        <v>261</v>
      </c>
      <c r="C2752" s="32">
        <v>49203</v>
      </c>
      <c r="D2752" s="32" t="s">
        <v>87</v>
      </c>
      <c r="E27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3" spans="1:6" x14ac:dyDescent="0.35">
      <c r="A2753" s="3">
        <v>27622417063</v>
      </c>
      <c r="B2753" s="3">
        <v>282</v>
      </c>
      <c r="C2753" s="32">
        <v>49203</v>
      </c>
      <c r="D2753" s="32" t="s">
        <v>87</v>
      </c>
      <c r="E27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4" spans="1:6" x14ac:dyDescent="0.35">
      <c r="A2754" s="3">
        <v>40884554289</v>
      </c>
      <c r="B2754" s="3">
        <v>285</v>
      </c>
      <c r="C2754" s="32">
        <v>49203</v>
      </c>
      <c r="D2754" s="32" t="s">
        <v>87</v>
      </c>
      <c r="E27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5" spans="1:6" x14ac:dyDescent="0.35">
      <c r="A2755" s="3">
        <v>68061005432</v>
      </c>
      <c r="B2755" s="3">
        <v>6</v>
      </c>
      <c r="C2755" s="32">
        <v>49204</v>
      </c>
      <c r="D2755" s="32" t="s">
        <v>87</v>
      </c>
      <c r="E27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6" spans="1:6" x14ac:dyDescent="0.35">
      <c r="A2756" s="3">
        <v>91541544344</v>
      </c>
      <c r="B2756" s="3">
        <v>20</v>
      </c>
      <c r="C2756" s="32">
        <v>49204</v>
      </c>
      <c r="D2756" s="32" t="s">
        <v>87</v>
      </c>
      <c r="E27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7" spans="1:6" x14ac:dyDescent="0.35">
      <c r="A2757" s="3">
        <v>76259864966</v>
      </c>
      <c r="B2757" s="3">
        <v>21</v>
      </c>
      <c r="C2757" s="32">
        <v>49204</v>
      </c>
      <c r="D2757" s="32" t="s">
        <v>87</v>
      </c>
      <c r="E27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8" spans="1:6" x14ac:dyDescent="0.35">
      <c r="A2758" s="3">
        <v>15744634888</v>
      </c>
      <c r="B2758" s="3">
        <v>48</v>
      </c>
      <c r="C2758" s="32">
        <v>49204</v>
      </c>
      <c r="D2758" s="32">
        <v>49313</v>
      </c>
      <c r="E27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759" spans="1:6" x14ac:dyDescent="0.35">
      <c r="A2759" s="3">
        <v>84497049637</v>
      </c>
      <c r="B2759" s="3">
        <v>61</v>
      </c>
      <c r="C2759" s="32">
        <v>49204</v>
      </c>
      <c r="D2759" s="32">
        <v>49258</v>
      </c>
      <c r="E27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60" spans="1:6" x14ac:dyDescent="0.35">
      <c r="A2760" s="3">
        <v>81629317348</v>
      </c>
      <c r="B2760" s="3">
        <v>63</v>
      </c>
      <c r="C2760" s="32">
        <v>49204</v>
      </c>
      <c r="D2760" s="32"/>
      <c r="E27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1" spans="1:6" x14ac:dyDescent="0.35">
      <c r="A2761" s="3">
        <v>85746919179</v>
      </c>
      <c r="B2761" s="3">
        <v>64</v>
      </c>
      <c r="C2761" s="32">
        <v>49204</v>
      </c>
      <c r="D2761" s="32" t="s">
        <v>87</v>
      </c>
      <c r="E27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2" spans="1:6" x14ac:dyDescent="0.35">
      <c r="A2762" s="3">
        <v>13408241443</v>
      </c>
      <c r="B2762" s="3">
        <v>67</v>
      </c>
      <c r="C2762" s="32">
        <v>49204</v>
      </c>
      <c r="D2762" s="32">
        <v>49257</v>
      </c>
      <c r="E27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63" spans="1:6" x14ac:dyDescent="0.35">
      <c r="A2763" s="3">
        <v>61664956750</v>
      </c>
      <c r="B2763" s="3">
        <v>69</v>
      </c>
      <c r="C2763" s="32">
        <v>49204</v>
      </c>
      <c r="D2763" s="32" t="s">
        <v>87</v>
      </c>
      <c r="E27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4" spans="1:6" x14ac:dyDescent="0.35">
      <c r="A2764" s="3">
        <v>42139133377</v>
      </c>
      <c r="B2764" s="3">
        <v>75</v>
      </c>
      <c r="C2764" s="32">
        <v>49204</v>
      </c>
      <c r="D2764" s="32"/>
      <c r="E27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5" spans="1:6" x14ac:dyDescent="0.35">
      <c r="A2765" s="3">
        <v>30941135445</v>
      </c>
      <c r="B2765" s="3">
        <v>77</v>
      </c>
      <c r="C2765" s="32">
        <v>49204</v>
      </c>
      <c r="D2765" s="32" t="s">
        <v>87</v>
      </c>
      <c r="E27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6" spans="1:6" x14ac:dyDescent="0.35">
      <c r="A2766" s="3">
        <v>39631171964</v>
      </c>
      <c r="B2766" s="3">
        <v>110</v>
      </c>
      <c r="C2766" s="32">
        <v>49204</v>
      </c>
      <c r="D2766" s="32" t="s">
        <v>87</v>
      </c>
      <c r="E27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7" spans="1:6" x14ac:dyDescent="0.35">
      <c r="A2767" s="3">
        <v>57633449586</v>
      </c>
      <c r="B2767" s="3">
        <v>121</v>
      </c>
      <c r="C2767" s="32">
        <v>49204</v>
      </c>
      <c r="D2767" s="32" t="s">
        <v>87</v>
      </c>
      <c r="E27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8" spans="1:6" x14ac:dyDescent="0.35">
      <c r="A2768" s="3">
        <v>95020519210</v>
      </c>
      <c r="B2768" s="3">
        <v>123</v>
      </c>
      <c r="C2768" s="32">
        <v>49204</v>
      </c>
      <c r="D2768" s="32">
        <v>49311</v>
      </c>
      <c r="E27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769" spans="1:6" x14ac:dyDescent="0.35">
      <c r="A2769" s="3">
        <v>23910512364</v>
      </c>
      <c r="B2769" s="3">
        <v>125</v>
      </c>
      <c r="C2769" s="32">
        <v>49204</v>
      </c>
      <c r="D2769" s="32">
        <v>49212</v>
      </c>
      <c r="E27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770" spans="1:6" x14ac:dyDescent="0.35">
      <c r="A2770" s="3">
        <v>65893452023</v>
      </c>
      <c r="B2770" s="3">
        <v>164</v>
      </c>
      <c r="C2770" s="32">
        <v>49204</v>
      </c>
      <c r="D2770" s="32">
        <v>49274</v>
      </c>
      <c r="E27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71" spans="1:6" x14ac:dyDescent="0.35">
      <c r="A2771" s="3">
        <v>38037924195</v>
      </c>
      <c r="B2771" s="3">
        <v>182</v>
      </c>
      <c r="C2771" s="32">
        <v>49204</v>
      </c>
      <c r="D2771" s="32" t="s">
        <v>87</v>
      </c>
      <c r="E27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2" spans="1:6" x14ac:dyDescent="0.35">
      <c r="A2772" s="3">
        <v>82861813995</v>
      </c>
      <c r="B2772" s="3">
        <v>184</v>
      </c>
      <c r="C2772" s="32">
        <v>49204</v>
      </c>
      <c r="D2772" s="32" t="s">
        <v>87</v>
      </c>
      <c r="E27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3" spans="1:6" x14ac:dyDescent="0.35">
      <c r="A2773" s="3">
        <v>80851986196</v>
      </c>
      <c r="B2773" s="3">
        <v>249</v>
      </c>
      <c r="C2773" s="32">
        <v>49204</v>
      </c>
      <c r="D2773" s="32" t="s">
        <v>87</v>
      </c>
      <c r="E27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4" spans="1:6" x14ac:dyDescent="0.35">
      <c r="A2774" s="3">
        <v>93167150728</v>
      </c>
      <c r="B2774" s="3">
        <v>254</v>
      </c>
      <c r="C2774" s="32">
        <v>49204</v>
      </c>
      <c r="D2774" s="32" t="s">
        <v>87</v>
      </c>
      <c r="E27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5" spans="1:6" x14ac:dyDescent="0.35">
      <c r="A2775" s="3">
        <v>77414885492</v>
      </c>
      <c r="B2775" s="3">
        <v>273</v>
      </c>
      <c r="C2775" s="32">
        <v>49204</v>
      </c>
      <c r="D2775" s="32" t="s">
        <v>87</v>
      </c>
      <c r="E27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6" spans="1:6" x14ac:dyDescent="0.35">
      <c r="A2776" s="3">
        <v>98756626566</v>
      </c>
      <c r="B2776" s="3">
        <v>273</v>
      </c>
      <c r="C2776" s="32">
        <v>49204</v>
      </c>
      <c r="D2776" s="32">
        <v>49239</v>
      </c>
      <c r="E27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77" spans="1:6" x14ac:dyDescent="0.35">
      <c r="A2777" s="3">
        <v>49789321665</v>
      </c>
      <c r="B2777" s="3">
        <v>301</v>
      </c>
      <c r="C2777" s="32">
        <v>49204</v>
      </c>
      <c r="D2777" s="32" t="s">
        <v>87</v>
      </c>
      <c r="E27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8" spans="1:6" x14ac:dyDescent="0.35">
      <c r="A2778" s="3">
        <v>94545388150</v>
      </c>
      <c r="B2778" s="3">
        <v>303</v>
      </c>
      <c r="C2778" s="32">
        <v>49204</v>
      </c>
      <c r="D2778" s="32" t="s">
        <v>87</v>
      </c>
      <c r="E27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9" spans="1:6" x14ac:dyDescent="0.35">
      <c r="A2779" s="3">
        <v>93375620489</v>
      </c>
      <c r="B2779" s="3">
        <v>317</v>
      </c>
      <c r="C2779" s="32">
        <v>49204</v>
      </c>
      <c r="D2779" s="32"/>
      <c r="E27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0" spans="1:6" x14ac:dyDescent="0.35">
      <c r="A2780" s="3">
        <v>30404767377</v>
      </c>
      <c r="B2780" s="3">
        <v>326</v>
      </c>
      <c r="C2780" s="32">
        <v>49204</v>
      </c>
      <c r="D2780" s="32"/>
      <c r="E27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1" spans="1:6" x14ac:dyDescent="0.35">
      <c r="A2781" s="3">
        <v>23555163107</v>
      </c>
      <c r="B2781" s="3">
        <v>1</v>
      </c>
      <c r="C2781" s="32">
        <v>49205</v>
      </c>
      <c r="D2781" s="32" t="s">
        <v>87</v>
      </c>
      <c r="E27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2" spans="1:6" x14ac:dyDescent="0.35">
      <c r="A2782" s="3">
        <v>51723409984</v>
      </c>
      <c r="B2782" s="3">
        <v>3</v>
      </c>
      <c r="C2782" s="32">
        <v>49205</v>
      </c>
      <c r="D2782" s="32" t="s">
        <v>87</v>
      </c>
      <c r="E27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3" spans="1:6" x14ac:dyDescent="0.35">
      <c r="A2783" s="3">
        <v>97232164541</v>
      </c>
      <c r="B2783" s="3">
        <v>4</v>
      </c>
      <c r="C2783" s="32">
        <v>49205</v>
      </c>
      <c r="D2783" s="32" t="s">
        <v>87</v>
      </c>
      <c r="E27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4" spans="1:6" x14ac:dyDescent="0.35">
      <c r="A2784" s="3">
        <v>87980681657</v>
      </c>
      <c r="B2784" s="3">
        <v>14</v>
      </c>
      <c r="C2784" s="32">
        <v>49205</v>
      </c>
      <c r="D2784" s="32" t="s">
        <v>87</v>
      </c>
      <c r="E27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5" spans="1:6" x14ac:dyDescent="0.35">
      <c r="A2785" s="3">
        <v>43533911251</v>
      </c>
      <c r="B2785" s="3">
        <v>23</v>
      </c>
      <c r="C2785" s="32">
        <v>49205</v>
      </c>
      <c r="D2785" s="32">
        <v>49263</v>
      </c>
      <c r="E27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86" spans="1:6" x14ac:dyDescent="0.35">
      <c r="A2786" s="3">
        <v>90841136863</v>
      </c>
      <c r="B2786" s="3">
        <v>43</v>
      </c>
      <c r="C2786" s="32">
        <v>49205</v>
      </c>
      <c r="D2786" s="32">
        <v>49233</v>
      </c>
      <c r="E27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87" spans="1:6" x14ac:dyDescent="0.35">
      <c r="A2787" s="3">
        <v>74758082975</v>
      </c>
      <c r="B2787" s="3">
        <v>47</v>
      </c>
      <c r="C2787" s="32">
        <v>49205</v>
      </c>
      <c r="D2787" s="32" t="s">
        <v>87</v>
      </c>
      <c r="E27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8" spans="1:6" x14ac:dyDescent="0.35">
      <c r="A2788" s="3">
        <v>48147930181</v>
      </c>
      <c r="B2788" s="3">
        <v>70</v>
      </c>
      <c r="C2788" s="32">
        <v>49205</v>
      </c>
      <c r="D2788" s="32" t="s">
        <v>87</v>
      </c>
      <c r="E27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9" spans="1:6" x14ac:dyDescent="0.35">
      <c r="A2789" s="3">
        <v>65669883326</v>
      </c>
      <c r="B2789" s="3">
        <v>87</v>
      </c>
      <c r="C2789" s="32">
        <v>49205</v>
      </c>
      <c r="D2789" s="32"/>
      <c r="E27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0" spans="1:6" x14ac:dyDescent="0.35">
      <c r="A2790" s="3">
        <v>64461365664</v>
      </c>
      <c r="B2790" s="3">
        <v>92</v>
      </c>
      <c r="C2790" s="32">
        <v>49205</v>
      </c>
      <c r="D2790" s="32" t="s">
        <v>87</v>
      </c>
      <c r="E27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1" spans="1:6" x14ac:dyDescent="0.35">
      <c r="A2791" s="3">
        <v>86469054624</v>
      </c>
      <c r="B2791" s="3">
        <v>119</v>
      </c>
      <c r="C2791" s="32">
        <v>49205</v>
      </c>
      <c r="D2791" s="32"/>
      <c r="E27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2" spans="1:6" x14ac:dyDescent="0.35">
      <c r="A2792" s="3">
        <v>12426802632</v>
      </c>
      <c r="B2792" s="3">
        <v>121</v>
      </c>
      <c r="C2792" s="32">
        <v>49205</v>
      </c>
      <c r="D2792" s="32" t="s">
        <v>87</v>
      </c>
      <c r="E27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3" spans="1:6" x14ac:dyDescent="0.35">
      <c r="A2793" s="3">
        <v>17292492463</v>
      </c>
      <c r="B2793" s="3">
        <v>135</v>
      </c>
      <c r="C2793" s="32">
        <v>49205</v>
      </c>
      <c r="D2793" s="32"/>
      <c r="E27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4" spans="1:6" x14ac:dyDescent="0.35">
      <c r="A2794" s="3">
        <v>16564623802</v>
      </c>
      <c r="B2794" s="3">
        <v>173</v>
      </c>
      <c r="C2794" s="32">
        <v>49205</v>
      </c>
      <c r="D2794" s="32" t="s">
        <v>87</v>
      </c>
      <c r="E27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5" spans="1:6" x14ac:dyDescent="0.35">
      <c r="A2795" s="3">
        <v>16250473013</v>
      </c>
      <c r="B2795" s="3">
        <v>185</v>
      </c>
      <c r="C2795" s="32">
        <v>49205</v>
      </c>
      <c r="D2795" s="32" t="s">
        <v>87</v>
      </c>
      <c r="E27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6" spans="1:6" x14ac:dyDescent="0.35">
      <c r="A2796" s="3">
        <v>39989299147</v>
      </c>
      <c r="B2796" s="3">
        <v>192</v>
      </c>
      <c r="C2796" s="32">
        <v>49205</v>
      </c>
      <c r="D2796" s="32" t="s">
        <v>87</v>
      </c>
      <c r="E27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7" spans="1:6" x14ac:dyDescent="0.35">
      <c r="A2797" s="3">
        <v>58413275788</v>
      </c>
      <c r="B2797" s="3">
        <v>195</v>
      </c>
      <c r="C2797" s="32">
        <v>49205</v>
      </c>
      <c r="D2797" s="32" t="s">
        <v>87</v>
      </c>
      <c r="E27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8" spans="1:6" x14ac:dyDescent="0.35">
      <c r="A2798" s="3">
        <v>25900644665</v>
      </c>
      <c r="B2798" s="3">
        <v>197</v>
      </c>
      <c r="C2798" s="32">
        <v>49205</v>
      </c>
      <c r="D2798" s="32" t="s">
        <v>87</v>
      </c>
      <c r="E27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9" spans="1:6" x14ac:dyDescent="0.35">
      <c r="A2799" s="3">
        <v>88220286665</v>
      </c>
      <c r="B2799" s="3">
        <v>203</v>
      </c>
      <c r="C2799" s="32">
        <v>49205</v>
      </c>
      <c r="D2799" s="32">
        <v>49207</v>
      </c>
      <c r="E27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800" spans="1:6" x14ac:dyDescent="0.35">
      <c r="A2800" s="3">
        <v>96151605926</v>
      </c>
      <c r="B2800" s="3">
        <v>208</v>
      </c>
      <c r="C2800" s="32">
        <v>49205</v>
      </c>
      <c r="D2800" s="32" t="s">
        <v>87</v>
      </c>
      <c r="E28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1" spans="1:6" x14ac:dyDescent="0.35">
      <c r="A2801" s="3">
        <v>30201337372</v>
      </c>
      <c r="B2801" s="3">
        <v>241</v>
      </c>
      <c r="C2801" s="32">
        <v>49205</v>
      </c>
      <c r="D2801" s="32" t="s">
        <v>87</v>
      </c>
      <c r="E28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2" spans="1:6" x14ac:dyDescent="0.35">
      <c r="A2802" s="3">
        <v>25700099888</v>
      </c>
      <c r="B2802" s="3">
        <v>247</v>
      </c>
      <c r="C2802" s="32">
        <v>49205</v>
      </c>
      <c r="D2802" s="32" t="s">
        <v>87</v>
      </c>
      <c r="E28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3" spans="1:6" x14ac:dyDescent="0.35">
      <c r="A2803" s="3">
        <v>64182881281</v>
      </c>
      <c r="B2803" s="3">
        <v>248</v>
      </c>
      <c r="C2803" s="32">
        <v>49205</v>
      </c>
      <c r="D2803" s="32" t="s">
        <v>87</v>
      </c>
      <c r="E28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4" spans="1:6" x14ac:dyDescent="0.35">
      <c r="A2804" s="3">
        <v>60542397715</v>
      </c>
      <c r="B2804" s="3">
        <v>264</v>
      </c>
      <c r="C2804" s="32">
        <v>49205</v>
      </c>
      <c r="D2804" s="32"/>
      <c r="E28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5" spans="1:6" x14ac:dyDescent="0.35">
      <c r="A2805" s="3">
        <v>27715299470</v>
      </c>
      <c r="B2805" s="3">
        <v>280</v>
      </c>
      <c r="C2805" s="32">
        <v>49205</v>
      </c>
      <c r="D2805" s="32" t="s">
        <v>87</v>
      </c>
      <c r="E28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6" spans="1:6" x14ac:dyDescent="0.35">
      <c r="A2806" s="3">
        <v>70366085290</v>
      </c>
      <c r="B2806" s="3">
        <v>285</v>
      </c>
      <c r="C2806" s="32">
        <v>49205</v>
      </c>
      <c r="D2806" s="32" t="s">
        <v>87</v>
      </c>
      <c r="E28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7" spans="1:6" x14ac:dyDescent="0.35">
      <c r="A2807" s="3">
        <v>51029498243</v>
      </c>
      <c r="B2807" s="3">
        <v>286</v>
      </c>
      <c r="C2807" s="32">
        <v>49205</v>
      </c>
      <c r="D2807" s="32">
        <v>49292</v>
      </c>
      <c r="E28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08" spans="1:6" x14ac:dyDescent="0.35">
      <c r="A2808" s="3">
        <v>84700722164</v>
      </c>
      <c r="B2808" s="3">
        <v>309</v>
      </c>
      <c r="C2808" s="32">
        <v>49205</v>
      </c>
      <c r="D2808" s="32" t="s">
        <v>87</v>
      </c>
      <c r="E28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9" spans="1:6" x14ac:dyDescent="0.35">
      <c r="A2809" s="3">
        <v>63251970956</v>
      </c>
      <c r="B2809" s="3">
        <v>313</v>
      </c>
      <c r="C2809" s="32">
        <v>49205</v>
      </c>
      <c r="D2809" s="32" t="s">
        <v>87</v>
      </c>
      <c r="E28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0" spans="1:6" x14ac:dyDescent="0.35">
      <c r="A2810" s="3">
        <v>15937751591</v>
      </c>
      <c r="B2810" s="3">
        <v>320</v>
      </c>
      <c r="C2810" s="32">
        <v>49205</v>
      </c>
      <c r="D2810" s="32">
        <v>49251</v>
      </c>
      <c r="E28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811" spans="1:6" x14ac:dyDescent="0.35">
      <c r="A2811" s="3">
        <v>38852265577</v>
      </c>
      <c r="B2811" s="3">
        <v>335</v>
      </c>
      <c r="C2811" s="32">
        <v>49205</v>
      </c>
      <c r="D2811" s="32" t="s">
        <v>87</v>
      </c>
      <c r="E28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2" spans="1:6" x14ac:dyDescent="0.35">
      <c r="A2812" s="3">
        <v>44945552208</v>
      </c>
      <c r="B2812" s="3">
        <v>7</v>
      </c>
      <c r="C2812" s="32">
        <v>49206</v>
      </c>
      <c r="D2812" s="32">
        <v>49235</v>
      </c>
      <c r="E28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813" spans="1:6" x14ac:dyDescent="0.35">
      <c r="A2813" s="3">
        <v>82530531357</v>
      </c>
      <c r="B2813" s="3">
        <v>21</v>
      </c>
      <c r="C2813" s="32">
        <v>49206</v>
      </c>
      <c r="D2813" s="32" t="s">
        <v>87</v>
      </c>
      <c r="E28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4" spans="1:6" x14ac:dyDescent="0.35">
      <c r="A2814" s="3">
        <v>14288429567</v>
      </c>
      <c r="B2814" s="3">
        <v>35</v>
      </c>
      <c r="C2814" s="32">
        <v>49206</v>
      </c>
      <c r="D2814" s="32">
        <v>49301</v>
      </c>
      <c r="E28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15" spans="1:6" x14ac:dyDescent="0.35">
      <c r="A2815" s="3">
        <v>24210764116</v>
      </c>
      <c r="B2815" s="3">
        <v>54</v>
      </c>
      <c r="C2815" s="32">
        <v>49206</v>
      </c>
      <c r="D2815" s="32" t="s">
        <v>87</v>
      </c>
      <c r="E28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6" spans="1:6" x14ac:dyDescent="0.35">
      <c r="A2816" s="3">
        <v>24006418608</v>
      </c>
      <c r="B2816" s="3">
        <v>59</v>
      </c>
      <c r="C2816" s="32">
        <v>49206</v>
      </c>
      <c r="D2816" s="32" t="s">
        <v>87</v>
      </c>
      <c r="E28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7" spans="1:6" x14ac:dyDescent="0.35">
      <c r="A2817" s="3">
        <v>28817093909</v>
      </c>
      <c r="B2817" s="3">
        <v>67</v>
      </c>
      <c r="C2817" s="32">
        <v>49206</v>
      </c>
      <c r="D2817" s="32"/>
      <c r="E28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8" spans="1:6" x14ac:dyDescent="0.35">
      <c r="A2818" s="3">
        <v>97042837415</v>
      </c>
      <c r="B2818" s="3">
        <v>80</v>
      </c>
      <c r="C2818" s="32">
        <v>49206</v>
      </c>
      <c r="D2818" s="32" t="s">
        <v>87</v>
      </c>
      <c r="E28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9" spans="1:6" x14ac:dyDescent="0.35">
      <c r="A2819" s="3">
        <v>32437004077</v>
      </c>
      <c r="B2819" s="3">
        <v>81</v>
      </c>
      <c r="C2819" s="32">
        <v>49206</v>
      </c>
      <c r="D2819" s="32" t="s">
        <v>87</v>
      </c>
      <c r="E28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0" spans="1:6" x14ac:dyDescent="0.35">
      <c r="A2820" s="3">
        <v>58790932706</v>
      </c>
      <c r="B2820" s="3">
        <v>92</v>
      </c>
      <c r="C2820" s="32">
        <v>49206</v>
      </c>
      <c r="D2820" s="32" t="s">
        <v>87</v>
      </c>
      <c r="E28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1" spans="1:6" x14ac:dyDescent="0.35">
      <c r="A2821" s="3">
        <v>41211486546</v>
      </c>
      <c r="B2821" s="3">
        <v>98</v>
      </c>
      <c r="C2821" s="32">
        <v>49206</v>
      </c>
      <c r="D2821" s="32" t="s">
        <v>87</v>
      </c>
      <c r="E28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2" spans="1:6" x14ac:dyDescent="0.35">
      <c r="A2822" s="3">
        <v>12356928200</v>
      </c>
      <c r="B2822" s="3">
        <v>164</v>
      </c>
      <c r="C2822" s="32">
        <v>49206</v>
      </c>
      <c r="D2822" s="32">
        <v>49218</v>
      </c>
      <c r="E28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823" spans="1:6" x14ac:dyDescent="0.35">
      <c r="A2823" s="3">
        <v>49171671939</v>
      </c>
      <c r="B2823" s="3">
        <v>172</v>
      </c>
      <c r="C2823" s="32">
        <v>49206</v>
      </c>
      <c r="D2823" s="32" t="s">
        <v>87</v>
      </c>
      <c r="E28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4" spans="1:6" x14ac:dyDescent="0.35">
      <c r="A2824" s="3">
        <v>28904937031</v>
      </c>
      <c r="B2824" s="3">
        <v>174</v>
      </c>
      <c r="C2824" s="32">
        <v>49206</v>
      </c>
      <c r="D2824" s="32"/>
      <c r="E28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5" spans="1:6" x14ac:dyDescent="0.35">
      <c r="A2825" s="3">
        <v>21532430886</v>
      </c>
      <c r="B2825" s="3">
        <v>185</v>
      </c>
      <c r="C2825" s="32">
        <v>49206</v>
      </c>
      <c r="D2825" s="32" t="s">
        <v>87</v>
      </c>
      <c r="E28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6" spans="1:6" x14ac:dyDescent="0.35">
      <c r="A2826" s="3">
        <v>47263788650</v>
      </c>
      <c r="B2826" s="3">
        <v>190</v>
      </c>
      <c r="C2826" s="32">
        <v>49206</v>
      </c>
      <c r="D2826" s="32" t="s">
        <v>87</v>
      </c>
      <c r="E28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7" spans="1:6" x14ac:dyDescent="0.35">
      <c r="A2827" s="3">
        <v>17245192108</v>
      </c>
      <c r="B2827" s="3">
        <v>229</v>
      </c>
      <c r="C2827" s="32">
        <v>49206</v>
      </c>
      <c r="D2827" s="32">
        <v>49307</v>
      </c>
      <c r="E28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28" spans="1:6" x14ac:dyDescent="0.35">
      <c r="A2828" s="3">
        <v>68933489787</v>
      </c>
      <c r="B2828" s="3">
        <v>242</v>
      </c>
      <c r="C2828" s="32">
        <v>49206</v>
      </c>
      <c r="D2828" s="32"/>
      <c r="E28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9" spans="1:6" x14ac:dyDescent="0.35">
      <c r="A2829" s="3">
        <v>93257149993</v>
      </c>
      <c r="B2829" s="3">
        <v>243</v>
      </c>
      <c r="C2829" s="32">
        <v>49206</v>
      </c>
      <c r="D2829" s="32" t="s">
        <v>87</v>
      </c>
      <c r="E28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0" spans="1:6" x14ac:dyDescent="0.35">
      <c r="A2830" s="3">
        <v>99890275800</v>
      </c>
      <c r="B2830" s="3">
        <v>244</v>
      </c>
      <c r="C2830" s="32">
        <v>49206</v>
      </c>
      <c r="D2830" s="32"/>
      <c r="E28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1" spans="1:6" x14ac:dyDescent="0.35">
      <c r="A2831" s="3">
        <v>31755039776</v>
      </c>
      <c r="B2831" s="3">
        <v>244</v>
      </c>
      <c r="C2831" s="32">
        <v>49206</v>
      </c>
      <c r="D2831" s="32"/>
      <c r="E28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2" spans="1:6" x14ac:dyDescent="0.35">
      <c r="A2832" s="3">
        <v>55115214579</v>
      </c>
      <c r="B2832" s="3">
        <v>255</v>
      </c>
      <c r="C2832" s="32">
        <v>49206</v>
      </c>
      <c r="D2832" s="32" t="s">
        <v>87</v>
      </c>
      <c r="E28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3" spans="1:6" x14ac:dyDescent="0.35">
      <c r="A2833" s="3">
        <v>40545326946</v>
      </c>
      <c r="B2833" s="3">
        <v>269</v>
      </c>
      <c r="C2833" s="32">
        <v>49206</v>
      </c>
      <c r="D2833" s="32" t="s">
        <v>87</v>
      </c>
      <c r="E28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4" spans="1:6" x14ac:dyDescent="0.35">
      <c r="A2834" s="3">
        <v>87121270860</v>
      </c>
      <c r="B2834" s="3">
        <v>271</v>
      </c>
      <c r="C2834" s="32">
        <v>49206</v>
      </c>
      <c r="D2834" s="32" t="s">
        <v>87</v>
      </c>
      <c r="E28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5" spans="1:6" x14ac:dyDescent="0.35">
      <c r="A2835" s="3">
        <v>59256887885</v>
      </c>
      <c r="B2835" s="3">
        <v>275</v>
      </c>
      <c r="C2835" s="32">
        <v>49206</v>
      </c>
      <c r="D2835" s="32"/>
      <c r="E28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6" spans="1:6" x14ac:dyDescent="0.35">
      <c r="A2836" s="3">
        <v>35163671113</v>
      </c>
      <c r="B2836" s="3">
        <v>307</v>
      </c>
      <c r="C2836" s="32">
        <v>49206</v>
      </c>
      <c r="D2836" s="32" t="s">
        <v>87</v>
      </c>
      <c r="E28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7" spans="1:6" x14ac:dyDescent="0.35">
      <c r="A2837" s="3">
        <v>76420962885</v>
      </c>
      <c r="B2837" s="3">
        <v>62</v>
      </c>
      <c r="C2837" s="32">
        <v>49207</v>
      </c>
      <c r="D2837" s="32" t="s">
        <v>87</v>
      </c>
      <c r="E28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8" spans="1:6" x14ac:dyDescent="0.35">
      <c r="A2838" s="3">
        <v>99979112639</v>
      </c>
      <c r="B2838" s="3">
        <v>78</v>
      </c>
      <c r="C2838" s="32">
        <v>49207</v>
      </c>
      <c r="D2838" s="32"/>
      <c r="E28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9" spans="1:6" x14ac:dyDescent="0.35">
      <c r="A2839" s="3">
        <v>54228949570</v>
      </c>
      <c r="B2839" s="3">
        <v>86</v>
      </c>
      <c r="C2839" s="32">
        <v>49207</v>
      </c>
      <c r="D2839" s="32">
        <v>49294</v>
      </c>
      <c r="E28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40" spans="1:6" x14ac:dyDescent="0.35">
      <c r="A2840" s="3">
        <v>85160761535</v>
      </c>
      <c r="B2840" s="3">
        <v>109</v>
      </c>
      <c r="C2840" s="32">
        <v>49207</v>
      </c>
      <c r="D2840" s="32">
        <v>49214</v>
      </c>
      <c r="E28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841" spans="1:6" x14ac:dyDescent="0.35">
      <c r="A2841" s="3">
        <v>56907084086</v>
      </c>
      <c r="B2841" s="3">
        <v>116</v>
      </c>
      <c r="C2841" s="32">
        <v>49207</v>
      </c>
      <c r="D2841" s="32"/>
      <c r="E28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2" spans="1:6" x14ac:dyDescent="0.35">
      <c r="A2842" s="3">
        <v>51167971393</v>
      </c>
      <c r="B2842" s="3">
        <v>148</v>
      </c>
      <c r="C2842" s="32">
        <v>49207</v>
      </c>
      <c r="D2842" s="32" t="s">
        <v>87</v>
      </c>
      <c r="E28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3" spans="1:6" x14ac:dyDescent="0.35">
      <c r="A2843" s="3">
        <v>54864938285</v>
      </c>
      <c r="B2843" s="3">
        <v>171</v>
      </c>
      <c r="C2843" s="32">
        <v>49207</v>
      </c>
      <c r="D2843" s="32"/>
      <c r="E28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4" spans="1:6" x14ac:dyDescent="0.35">
      <c r="A2844" s="3">
        <v>60669708330</v>
      </c>
      <c r="B2844" s="3">
        <v>172</v>
      </c>
      <c r="C2844" s="32">
        <v>49207</v>
      </c>
      <c r="D2844" s="32" t="s">
        <v>87</v>
      </c>
      <c r="E28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5" spans="1:6" x14ac:dyDescent="0.35">
      <c r="A2845" s="3">
        <v>49282557595</v>
      </c>
      <c r="B2845" s="3">
        <v>191</v>
      </c>
      <c r="C2845" s="32">
        <v>49207</v>
      </c>
      <c r="D2845" s="32" t="s">
        <v>87</v>
      </c>
      <c r="E28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6" spans="1:6" x14ac:dyDescent="0.35">
      <c r="A2846" s="3">
        <v>29439849195</v>
      </c>
      <c r="B2846" s="3">
        <v>224</v>
      </c>
      <c r="C2846" s="32">
        <v>49207</v>
      </c>
      <c r="D2846" s="32" t="s">
        <v>87</v>
      </c>
      <c r="E28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7" spans="1:6" x14ac:dyDescent="0.35">
      <c r="A2847" s="3">
        <v>93061969585</v>
      </c>
      <c r="B2847" s="3">
        <v>225</v>
      </c>
      <c r="C2847" s="32">
        <v>49207</v>
      </c>
      <c r="D2847" s="32">
        <v>49248</v>
      </c>
      <c r="E28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848" spans="1:6" x14ac:dyDescent="0.35">
      <c r="A2848" s="3">
        <v>20257499289</v>
      </c>
      <c r="B2848" s="3">
        <v>232</v>
      </c>
      <c r="C2848" s="32">
        <v>49207</v>
      </c>
      <c r="D2848" s="32" t="s">
        <v>87</v>
      </c>
      <c r="E28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9" spans="1:6" x14ac:dyDescent="0.35">
      <c r="A2849" s="3">
        <v>60612227419</v>
      </c>
      <c r="B2849" s="3">
        <v>243</v>
      </c>
      <c r="C2849" s="32">
        <v>49207</v>
      </c>
      <c r="D2849" s="32" t="s">
        <v>87</v>
      </c>
      <c r="E28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0" spans="1:6" x14ac:dyDescent="0.35">
      <c r="A2850" s="3">
        <v>72135182029</v>
      </c>
      <c r="B2850" s="3">
        <v>252</v>
      </c>
      <c r="C2850" s="32">
        <v>49207</v>
      </c>
      <c r="D2850" s="32"/>
      <c r="E28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1" spans="1:6" x14ac:dyDescent="0.35">
      <c r="A2851" s="3">
        <v>30430204993</v>
      </c>
      <c r="B2851" s="3">
        <v>254</v>
      </c>
      <c r="C2851" s="32">
        <v>49207</v>
      </c>
      <c r="D2851" s="32" t="s">
        <v>87</v>
      </c>
      <c r="E28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2" spans="1:6" x14ac:dyDescent="0.35">
      <c r="A2852" s="3">
        <v>54573362989</v>
      </c>
      <c r="B2852" s="3">
        <v>265</v>
      </c>
      <c r="C2852" s="32">
        <v>49207</v>
      </c>
      <c r="D2852" s="32" t="s">
        <v>87</v>
      </c>
      <c r="E28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3" spans="1:6" x14ac:dyDescent="0.35">
      <c r="A2853" s="3">
        <v>43919392530</v>
      </c>
      <c r="B2853" s="3">
        <v>268</v>
      </c>
      <c r="C2853" s="32">
        <v>49207</v>
      </c>
      <c r="D2853" s="32" t="s">
        <v>87</v>
      </c>
      <c r="E28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4" spans="1:6" x14ac:dyDescent="0.35">
      <c r="A2854" s="3">
        <v>29143798593</v>
      </c>
      <c r="B2854" s="3">
        <v>276</v>
      </c>
      <c r="C2854" s="32">
        <v>49207</v>
      </c>
      <c r="D2854" s="32" t="s">
        <v>87</v>
      </c>
      <c r="E28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5" spans="1:6" x14ac:dyDescent="0.35">
      <c r="A2855" s="3">
        <v>53121244224</v>
      </c>
      <c r="B2855" s="3">
        <v>278</v>
      </c>
      <c r="C2855" s="32">
        <v>49207</v>
      </c>
      <c r="D2855" s="32">
        <v>49210</v>
      </c>
      <c r="E28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856" spans="1:6" x14ac:dyDescent="0.35">
      <c r="A2856" s="3">
        <v>76866960495</v>
      </c>
      <c r="B2856" s="3">
        <v>300</v>
      </c>
      <c r="C2856" s="32">
        <v>49207</v>
      </c>
      <c r="D2856" s="32" t="s">
        <v>87</v>
      </c>
      <c r="E28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7" spans="1:6" x14ac:dyDescent="0.35">
      <c r="A2857" s="3">
        <v>44511960295</v>
      </c>
      <c r="B2857" s="3">
        <v>326</v>
      </c>
      <c r="C2857" s="32">
        <v>49207</v>
      </c>
      <c r="D2857" s="32" t="s">
        <v>87</v>
      </c>
      <c r="E28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8" spans="1:6" x14ac:dyDescent="0.35">
      <c r="A2858" s="3">
        <v>17873959272</v>
      </c>
      <c r="B2858" s="3">
        <v>340</v>
      </c>
      <c r="C2858" s="32">
        <v>49207</v>
      </c>
      <c r="D2858" s="32" t="s">
        <v>87</v>
      </c>
      <c r="E28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9" spans="1:6" x14ac:dyDescent="0.35">
      <c r="A2859" s="3">
        <v>50569829277</v>
      </c>
      <c r="B2859" s="3">
        <v>23</v>
      </c>
      <c r="C2859" s="32">
        <v>49208</v>
      </c>
      <c r="D2859" s="32">
        <v>49212</v>
      </c>
      <c r="E28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860" spans="1:6" x14ac:dyDescent="0.35">
      <c r="A2860" s="3">
        <v>78006314519</v>
      </c>
      <c r="B2860" s="3">
        <v>71</v>
      </c>
      <c r="C2860" s="32">
        <v>49208</v>
      </c>
      <c r="D2860" s="32"/>
      <c r="E28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1" spans="1:6" x14ac:dyDescent="0.35">
      <c r="A2861" s="3">
        <v>92592685669</v>
      </c>
      <c r="B2861" s="3">
        <v>82</v>
      </c>
      <c r="C2861" s="32">
        <v>49208</v>
      </c>
      <c r="D2861" s="32" t="s">
        <v>87</v>
      </c>
      <c r="E28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2" spans="1:6" x14ac:dyDescent="0.35">
      <c r="A2862" s="3">
        <v>50652919886</v>
      </c>
      <c r="B2862" s="3">
        <v>87</v>
      </c>
      <c r="C2862" s="32">
        <v>49208</v>
      </c>
      <c r="D2862" s="32" t="s">
        <v>87</v>
      </c>
      <c r="E28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3" spans="1:6" x14ac:dyDescent="0.35">
      <c r="A2863" s="3">
        <v>56507799231</v>
      </c>
      <c r="B2863" s="3">
        <v>117</v>
      </c>
      <c r="C2863" s="32">
        <v>49208</v>
      </c>
      <c r="D2863" s="32">
        <v>49236</v>
      </c>
      <c r="E28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864" spans="1:6" x14ac:dyDescent="0.35">
      <c r="A2864" s="3">
        <v>29926898065</v>
      </c>
      <c r="B2864" s="3">
        <v>148</v>
      </c>
      <c r="C2864" s="32">
        <v>49208</v>
      </c>
      <c r="D2864" s="32">
        <v>49211</v>
      </c>
      <c r="E28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865" spans="1:6" x14ac:dyDescent="0.35">
      <c r="A2865" s="3">
        <v>49413451509</v>
      </c>
      <c r="B2865" s="3">
        <v>178</v>
      </c>
      <c r="C2865" s="32">
        <v>49208</v>
      </c>
      <c r="D2865" s="32">
        <v>49239</v>
      </c>
      <c r="E28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866" spans="1:6" x14ac:dyDescent="0.35">
      <c r="A2866" s="3">
        <v>77416880949</v>
      </c>
      <c r="B2866" s="3">
        <v>187</v>
      </c>
      <c r="C2866" s="32">
        <v>49208</v>
      </c>
      <c r="D2866" s="32" t="s">
        <v>87</v>
      </c>
      <c r="E28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7" spans="1:6" x14ac:dyDescent="0.35">
      <c r="A2867" s="3">
        <v>29146680339</v>
      </c>
      <c r="B2867" s="3">
        <v>208</v>
      </c>
      <c r="C2867" s="32">
        <v>49208</v>
      </c>
      <c r="D2867" s="32" t="s">
        <v>87</v>
      </c>
      <c r="E28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8" spans="1:6" x14ac:dyDescent="0.35">
      <c r="A2868" s="3">
        <v>87191988372</v>
      </c>
      <c r="B2868" s="3">
        <v>217</v>
      </c>
      <c r="C2868" s="32">
        <v>49208</v>
      </c>
      <c r="D2868" s="32" t="s">
        <v>87</v>
      </c>
      <c r="E28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9" spans="1:6" x14ac:dyDescent="0.35">
      <c r="A2869" s="3">
        <v>29565368139</v>
      </c>
      <c r="B2869" s="3">
        <v>227</v>
      </c>
      <c r="C2869" s="32">
        <v>49208</v>
      </c>
      <c r="D2869" s="32"/>
      <c r="E28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0" spans="1:6" x14ac:dyDescent="0.35">
      <c r="A2870" s="3">
        <v>89144613779</v>
      </c>
      <c r="B2870" s="3">
        <v>229</v>
      </c>
      <c r="C2870" s="32">
        <v>49208</v>
      </c>
      <c r="D2870" s="32" t="s">
        <v>87</v>
      </c>
      <c r="E28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1" spans="1:6" x14ac:dyDescent="0.35">
      <c r="A2871" s="3">
        <v>15410416717</v>
      </c>
      <c r="B2871" s="3">
        <v>269</v>
      </c>
      <c r="C2871" s="32">
        <v>49208</v>
      </c>
      <c r="D2871" s="32">
        <v>49324</v>
      </c>
      <c r="E28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872" spans="1:6" x14ac:dyDescent="0.35">
      <c r="A2872" s="3">
        <v>36305011983</v>
      </c>
      <c r="B2872" s="3">
        <v>270</v>
      </c>
      <c r="C2872" s="32">
        <v>49208</v>
      </c>
      <c r="D2872" s="32" t="s">
        <v>87</v>
      </c>
      <c r="E28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3" spans="1:6" x14ac:dyDescent="0.35">
      <c r="A2873" s="3">
        <v>75848679918</v>
      </c>
      <c r="B2873" s="3">
        <v>273</v>
      </c>
      <c r="C2873" s="32">
        <v>49208</v>
      </c>
      <c r="D2873" s="32">
        <v>49227</v>
      </c>
      <c r="E28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874" spans="1:6" x14ac:dyDescent="0.35">
      <c r="A2874" s="3">
        <v>60712207566</v>
      </c>
      <c r="B2874" s="3">
        <v>287</v>
      </c>
      <c r="C2874" s="32">
        <v>49208</v>
      </c>
      <c r="D2874" s="32"/>
      <c r="E28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5" spans="1:6" x14ac:dyDescent="0.35">
      <c r="A2875" s="3">
        <v>72482503654</v>
      </c>
      <c r="B2875" s="3">
        <v>289</v>
      </c>
      <c r="C2875" s="32">
        <v>49208</v>
      </c>
      <c r="D2875" s="32" t="s">
        <v>87</v>
      </c>
      <c r="E28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6" spans="1:6" x14ac:dyDescent="0.35">
      <c r="A2876" s="3">
        <v>22809644187</v>
      </c>
      <c r="B2876" s="3">
        <v>303</v>
      </c>
      <c r="C2876" s="32">
        <v>49208</v>
      </c>
      <c r="D2876" s="32" t="s">
        <v>87</v>
      </c>
      <c r="E28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7" spans="1:6" x14ac:dyDescent="0.35">
      <c r="A2877" s="3">
        <v>24438633868</v>
      </c>
      <c r="B2877" s="3">
        <v>306</v>
      </c>
      <c r="C2877" s="32">
        <v>49208</v>
      </c>
      <c r="D2877" s="32" t="s">
        <v>87</v>
      </c>
      <c r="E28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8" spans="1:6" x14ac:dyDescent="0.35">
      <c r="A2878" s="3">
        <v>93682113711</v>
      </c>
      <c r="B2878" s="3">
        <v>306</v>
      </c>
      <c r="C2878" s="32">
        <v>49208</v>
      </c>
      <c r="D2878" s="32">
        <v>49292</v>
      </c>
      <c r="E28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79" spans="1:6" x14ac:dyDescent="0.35">
      <c r="A2879" s="3">
        <v>78556570896</v>
      </c>
      <c r="B2879" s="3">
        <v>320</v>
      </c>
      <c r="C2879" s="32">
        <v>49208</v>
      </c>
      <c r="D2879" s="32" t="s">
        <v>87</v>
      </c>
      <c r="E28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0" spans="1:6" x14ac:dyDescent="0.35">
      <c r="A2880" s="3">
        <v>75075792319</v>
      </c>
      <c r="B2880" s="3">
        <v>336</v>
      </c>
      <c r="C2880" s="32">
        <v>49208</v>
      </c>
      <c r="D2880" s="32"/>
      <c r="E28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1" spans="1:6" x14ac:dyDescent="0.35">
      <c r="A2881" s="3">
        <v>95652020915</v>
      </c>
      <c r="B2881" s="3">
        <v>0</v>
      </c>
      <c r="C2881" s="32">
        <v>49209</v>
      </c>
      <c r="D2881" s="32">
        <v>49309</v>
      </c>
      <c r="E28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82" spans="1:6" x14ac:dyDescent="0.35">
      <c r="A2882" s="3">
        <v>56001615502</v>
      </c>
      <c r="B2882" s="3">
        <v>18</v>
      </c>
      <c r="C2882" s="32">
        <v>49209</v>
      </c>
      <c r="D2882" s="32">
        <v>49310</v>
      </c>
      <c r="E28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883" spans="1:6" x14ac:dyDescent="0.35">
      <c r="A2883" s="3">
        <v>40131634086</v>
      </c>
      <c r="B2883" s="3">
        <v>29</v>
      </c>
      <c r="C2883" s="32">
        <v>49209</v>
      </c>
      <c r="D2883" s="32" t="s">
        <v>87</v>
      </c>
      <c r="E28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4" spans="1:6" x14ac:dyDescent="0.35">
      <c r="A2884" s="3">
        <v>51718627818</v>
      </c>
      <c r="B2884" s="3">
        <v>31</v>
      </c>
      <c r="C2884" s="32">
        <v>49209</v>
      </c>
      <c r="D2884" s="32" t="s">
        <v>87</v>
      </c>
      <c r="E28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5" spans="1:6" x14ac:dyDescent="0.35">
      <c r="A2885" s="3">
        <v>49043840719</v>
      </c>
      <c r="B2885" s="3">
        <v>57</v>
      </c>
      <c r="C2885" s="32">
        <v>49209</v>
      </c>
      <c r="D2885" s="32" t="s">
        <v>87</v>
      </c>
      <c r="E28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6" spans="1:6" x14ac:dyDescent="0.35">
      <c r="A2886" s="3">
        <v>23028080944</v>
      </c>
      <c r="B2886" s="3">
        <v>71</v>
      </c>
      <c r="C2886" s="32">
        <v>49209</v>
      </c>
      <c r="D2886" s="32"/>
      <c r="E28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7" spans="1:6" x14ac:dyDescent="0.35">
      <c r="A2887" s="3">
        <v>35091198884</v>
      </c>
      <c r="B2887" s="3">
        <v>84</v>
      </c>
      <c r="C2887" s="32">
        <v>49209</v>
      </c>
      <c r="D2887" s="32" t="s">
        <v>87</v>
      </c>
      <c r="E28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8" spans="1:6" x14ac:dyDescent="0.35">
      <c r="A2888" s="3">
        <v>52651187834</v>
      </c>
      <c r="B2888" s="3">
        <v>85</v>
      </c>
      <c r="C2888" s="32">
        <v>49209</v>
      </c>
      <c r="D2888" s="32" t="s">
        <v>87</v>
      </c>
      <c r="E28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9" spans="1:6" x14ac:dyDescent="0.35">
      <c r="A2889" s="3">
        <v>13793121804</v>
      </c>
      <c r="B2889" s="3">
        <v>105</v>
      </c>
      <c r="C2889" s="32">
        <v>49209</v>
      </c>
      <c r="D2889" s="32" t="s">
        <v>87</v>
      </c>
      <c r="E28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0" spans="1:6" x14ac:dyDescent="0.35">
      <c r="A2890" s="3">
        <v>27800819303</v>
      </c>
      <c r="B2890" s="3">
        <v>132</v>
      </c>
      <c r="C2890" s="32">
        <v>49209</v>
      </c>
      <c r="D2890" s="32" t="s">
        <v>87</v>
      </c>
      <c r="E28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1" spans="1:6" x14ac:dyDescent="0.35">
      <c r="A2891" s="3">
        <v>81399241726</v>
      </c>
      <c r="B2891" s="3">
        <v>172</v>
      </c>
      <c r="C2891" s="32">
        <v>49209</v>
      </c>
      <c r="D2891" s="32" t="s">
        <v>87</v>
      </c>
      <c r="E28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2" spans="1:6" x14ac:dyDescent="0.35">
      <c r="A2892" s="3">
        <v>38250035509</v>
      </c>
      <c r="B2892" s="3">
        <v>174</v>
      </c>
      <c r="C2892" s="32">
        <v>49209</v>
      </c>
      <c r="D2892" s="32"/>
      <c r="E28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3" spans="1:6" x14ac:dyDescent="0.35">
      <c r="A2893" s="3">
        <v>25835472248</v>
      </c>
      <c r="B2893" s="3">
        <v>187</v>
      </c>
      <c r="C2893" s="32">
        <v>49209</v>
      </c>
      <c r="D2893" s="32" t="s">
        <v>87</v>
      </c>
      <c r="E28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4" spans="1:6" x14ac:dyDescent="0.35">
      <c r="A2894" s="3">
        <v>97164253437</v>
      </c>
      <c r="B2894" s="3">
        <v>188</v>
      </c>
      <c r="C2894" s="32">
        <v>49209</v>
      </c>
      <c r="D2894" s="32" t="s">
        <v>87</v>
      </c>
      <c r="E28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5" spans="1:6" x14ac:dyDescent="0.35">
      <c r="A2895" s="3">
        <v>88175439020</v>
      </c>
      <c r="B2895" s="3">
        <v>191</v>
      </c>
      <c r="C2895" s="32">
        <v>49209</v>
      </c>
      <c r="D2895" s="32" t="s">
        <v>87</v>
      </c>
      <c r="E28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6" spans="1:6" x14ac:dyDescent="0.35">
      <c r="A2896" s="3">
        <v>44988024764</v>
      </c>
      <c r="B2896" s="3">
        <v>197</v>
      </c>
      <c r="C2896" s="32">
        <v>49209</v>
      </c>
      <c r="D2896" s="32" t="s">
        <v>87</v>
      </c>
      <c r="E28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7" spans="1:6" x14ac:dyDescent="0.35">
      <c r="A2897" s="3">
        <v>29271982382</v>
      </c>
      <c r="B2897" s="3">
        <v>216</v>
      </c>
      <c r="C2897" s="32">
        <v>49209</v>
      </c>
      <c r="D2897" s="32">
        <v>49279</v>
      </c>
      <c r="E28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98" spans="1:6" x14ac:dyDescent="0.35">
      <c r="A2898" s="3">
        <v>72685225186</v>
      </c>
      <c r="B2898" s="3">
        <v>216</v>
      </c>
      <c r="C2898" s="32">
        <v>49209</v>
      </c>
      <c r="D2898" s="32" t="s">
        <v>87</v>
      </c>
      <c r="E28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9" spans="1:6" x14ac:dyDescent="0.35">
      <c r="A2899" s="3">
        <v>79844090248</v>
      </c>
      <c r="B2899" s="3">
        <v>217</v>
      </c>
      <c r="C2899" s="32">
        <v>49209</v>
      </c>
      <c r="D2899" s="32" t="s">
        <v>87</v>
      </c>
      <c r="E28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0" spans="1:6" x14ac:dyDescent="0.35">
      <c r="A2900" s="3">
        <v>17827544665</v>
      </c>
      <c r="B2900" s="3">
        <v>239</v>
      </c>
      <c r="C2900" s="32">
        <v>49209</v>
      </c>
      <c r="D2900" s="32" t="s">
        <v>87</v>
      </c>
      <c r="E29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1" spans="1:6" x14ac:dyDescent="0.35">
      <c r="A2901" s="3">
        <v>13435506342</v>
      </c>
      <c r="B2901" s="3">
        <v>250</v>
      </c>
      <c r="C2901" s="32">
        <v>49209</v>
      </c>
      <c r="D2901" s="32" t="s">
        <v>87</v>
      </c>
      <c r="E29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2" spans="1:6" x14ac:dyDescent="0.35">
      <c r="A2902" s="3">
        <v>82542844736</v>
      </c>
      <c r="B2902" s="3">
        <v>250</v>
      </c>
      <c r="C2902" s="32">
        <v>49209</v>
      </c>
      <c r="D2902" s="32"/>
      <c r="E29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3" spans="1:6" x14ac:dyDescent="0.35">
      <c r="A2903" s="3">
        <v>62119167337</v>
      </c>
      <c r="B2903" s="3">
        <v>276</v>
      </c>
      <c r="C2903" s="32">
        <v>49209</v>
      </c>
      <c r="D2903" s="32" t="s">
        <v>87</v>
      </c>
      <c r="E29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4" spans="1:6" x14ac:dyDescent="0.35">
      <c r="A2904" s="3">
        <v>56107798372</v>
      </c>
      <c r="B2904" s="3">
        <v>287</v>
      </c>
      <c r="C2904" s="32">
        <v>49209</v>
      </c>
      <c r="D2904" s="32" t="s">
        <v>87</v>
      </c>
      <c r="E29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5" spans="1:6" x14ac:dyDescent="0.35">
      <c r="A2905" s="3">
        <v>50900477821</v>
      </c>
      <c r="B2905" s="3">
        <v>292</v>
      </c>
      <c r="C2905" s="32">
        <v>49209</v>
      </c>
      <c r="D2905" s="32" t="s">
        <v>87</v>
      </c>
      <c r="E29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6" spans="1:6" x14ac:dyDescent="0.35">
      <c r="A2906" s="3">
        <v>31105896183</v>
      </c>
      <c r="B2906" s="3">
        <v>4</v>
      </c>
      <c r="C2906" s="32">
        <v>49210</v>
      </c>
      <c r="D2906" s="32"/>
      <c r="E29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7" spans="1:6" x14ac:dyDescent="0.35">
      <c r="A2907" s="3">
        <v>73488082934</v>
      </c>
      <c r="B2907" s="3">
        <v>29</v>
      </c>
      <c r="C2907" s="32">
        <v>49210</v>
      </c>
      <c r="D2907" s="32" t="s">
        <v>87</v>
      </c>
      <c r="E29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8" spans="1:6" x14ac:dyDescent="0.35">
      <c r="A2908" s="3">
        <v>30047285700</v>
      </c>
      <c r="B2908" s="3">
        <v>55</v>
      </c>
      <c r="C2908" s="32">
        <v>49210</v>
      </c>
      <c r="D2908" s="32"/>
      <c r="E29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9" spans="1:6" x14ac:dyDescent="0.35">
      <c r="A2909" s="3">
        <v>59709561393</v>
      </c>
      <c r="B2909" s="3">
        <v>59</v>
      </c>
      <c r="C2909" s="32">
        <v>49210</v>
      </c>
      <c r="D2909" s="32" t="s">
        <v>87</v>
      </c>
      <c r="E29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0" spans="1:6" x14ac:dyDescent="0.35">
      <c r="A2910" s="3">
        <v>71297580862</v>
      </c>
      <c r="B2910" s="3">
        <v>89</v>
      </c>
      <c r="C2910" s="32">
        <v>49210</v>
      </c>
      <c r="D2910" s="32"/>
      <c r="E29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1" spans="1:6" x14ac:dyDescent="0.35">
      <c r="A2911" s="3">
        <v>23678282244</v>
      </c>
      <c r="B2911" s="3">
        <v>101</v>
      </c>
      <c r="C2911" s="32">
        <v>49210</v>
      </c>
      <c r="D2911" s="32" t="s">
        <v>87</v>
      </c>
      <c r="E29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2" spans="1:6" x14ac:dyDescent="0.35">
      <c r="A2912" s="3">
        <v>53754036764</v>
      </c>
      <c r="B2912" s="3">
        <v>118</v>
      </c>
      <c r="C2912" s="32">
        <v>49210</v>
      </c>
      <c r="D2912" s="32" t="s">
        <v>87</v>
      </c>
      <c r="E29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3" spans="1:6" x14ac:dyDescent="0.35">
      <c r="A2913" s="3">
        <v>63088818351</v>
      </c>
      <c r="B2913" s="3">
        <v>142</v>
      </c>
      <c r="C2913" s="32">
        <v>49210</v>
      </c>
      <c r="D2913" s="32" t="s">
        <v>87</v>
      </c>
      <c r="E29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4" spans="1:6" x14ac:dyDescent="0.35">
      <c r="A2914" s="3">
        <v>23760224761</v>
      </c>
      <c r="B2914" s="3">
        <v>147</v>
      </c>
      <c r="C2914" s="32">
        <v>49210</v>
      </c>
      <c r="D2914" s="32">
        <v>49303</v>
      </c>
      <c r="E29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915" spans="1:6" x14ac:dyDescent="0.35">
      <c r="A2915" s="3">
        <v>52663454196</v>
      </c>
      <c r="B2915" s="3">
        <v>175</v>
      </c>
      <c r="C2915" s="32">
        <v>49210</v>
      </c>
      <c r="D2915" s="32"/>
      <c r="E29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6" spans="1:6" x14ac:dyDescent="0.35">
      <c r="A2916" s="3">
        <v>58886844614</v>
      </c>
      <c r="B2916" s="3">
        <v>179</v>
      </c>
      <c r="C2916" s="32">
        <v>49210</v>
      </c>
      <c r="D2916" s="32" t="s">
        <v>87</v>
      </c>
      <c r="E29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7" spans="1:6" x14ac:dyDescent="0.35">
      <c r="A2917" s="3">
        <v>25219857825</v>
      </c>
      <c r="B2917" s="3">
        <v>216</v>
      </c>
      <c r="C2917" s="32">
        <v>49210</v>
      </c>
      <c r="D2917" s="32" t="s">
        <v>87</v>
      </c>
      <c r="E29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8" spans="1:6" x14ac:dyDescent="0.35">
      <c r="A2918" s="3">
        <v>44609694512</v>
      </c>
      <c r="B2918" s="3">
        <v>233</v>
      </c>
      <c r="C2918" s="32">
        <v>49210</v>
      </c>
      <c r="D2918" s="32" t="s">
        <v>87</v>
      </c>
      <c r="E29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9" spans="1:6" x14ac:dyDescent="0.35">
      <c r="A2919" s="3">
        <v>48877045471</v>
      </c>
      <c r="B2919" s="3">
        <v>256</v>
      </c>
      <c r="C2919" s="32">
        <v>49210</v>
      </c>
      <c r="D2919" s="32">
        <v>49221</v>
      </c>
      <c r="E29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920" spans="1:6" x14ac:dyDescent="0.35">
      <c r="A2920" s="3">
        <v>95053738513</v>
      </c>
      <c r="B2920" s="3">
        <v>267</v>
      </c>
      <c r="C2920" s="32">
        <v>49210</v>
      </c>
      <c r="D2920" s="32" t="s">
        <v>87</v>
      </c>
      <c r="E29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1" spans="1:6" x14ac:dyDescent="0.35">
      <c r="A2921" s="3">
        <v>87982569543</v>
      </c>
      <c r="B2921" s="3">
        <v>273</v>
      </c>
      <c r="C2921" s="32">
        <v>49210</v>
      </c>
      <c r="D2921" s="32" t="s">
        <v>87</v>
      </c>
      <c r="E29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2" spans="1:6" x14ac:dyDescent="0.35">
      <c r="A2922" s="3">
        <v>99307843985</v>
      </c>
      <c r="B2922" s="3">
        <v>276</v>
      </c>
      <c r="C2922" s="32">
        <v>49210</v>
      </c>
      <c r="D2922" s="32" t="s">
        <v>87</v>
      </c>
      <c r="E29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3" spans="1:6" x14ac:dyDescent="0.35">
      <c r="A2923" s="3">
        <v>65465561707</v>
      </c>
      <c r="B2923" s="3">
        <v>276</v>
      </c>
      <c r="C2923" s="32">
        <v>49210</v>
      </c>
      <c r="D2923" s="32" t="s">
        <v>87</v>
      </c>
      <c r="E29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4" spans="1:6" x14ac:dyDescent="0.35">
      <c r="A2924" s="3">
        <v>84795330890</v>
      </c>
      <c r="B2924" s="3">
        <v>297</v>
      </c>
      <c r="C2924" s="32">
        <v>49210</v>
      </c>
      <c r="D2924" s="32" t="s">
        <v>87</v>
      </c>
      <c r="E29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5" spans="1:6" x14ac:dyDescent="0.35">
      <c r="A2925" s="3">
        <v>88107144600</v>
      </c>
      <c r="B2925" s="3">
        <v>328</v>
      </c>
      <c r="C2925" s="32">
        <v>49210</v>
      </c>
      <c r="D2925" s="32" t="s">
        <v>87</v>
      </c>
      <c r="E29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6" spans="1:6" x14ac:dyDescent="0.35">
      <c r="A2926" s="3">
        <v>55986579079</v>
      </c>
      <c r="B2926" s="3">
        <v>338</v>
      </c>
      <c r="C2926" s="32">
        <v>49210</v>
      </c>
      <c r="D2926" s="32"/>
      <c r="E29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7" spans="1:6" x14ac:dyDescent="0.35">
      <c r="A2927" s="3">
        <v>37029933294</v>
      </c>
      <c r="B2927" s="3">
        <v>16</v>
      </c>
      <c r="C2927" s="32">
        <v>49211</v>
      </c>
      <c r="D2927" s="32" t="s">
        <v>87</v>
      </c>
      <c r="E29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8" spans="1:6" x14ac:dyDescent="0.35">
      <c r="A2928" s="3">
        <v>31053307624</v>
      </c>
      <c r="B2928" s="3">
        <v>41</v>
      </c>
      <c r="C2928" s="32">
        <v>49211</v>
      </c>
      <c r="D2928" s="32" t="s">
        <v>87</v>
      </c>
      <c r="E29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9" spans="1:6" x14ac:dyDescent="0.35">
      <c r="A2929" s="3">
        <v>85303482423</v>
      </c>
      <c r="B2929" s="3">
        <v>50</v>
      </c>
      <c r="C2929" s="32">
        <v>49211</v>
      </c>
      <c r="D2929" s="32"/>
      <c r="E29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0" spans="1:6" x14ac:dyDescent="0.35">
      <c r="A2930" s="3">
        <v>21457725341</v>
      </c>
      <c r="B2930" s="3">
        <v>56</v>
      </c>
      <c r="C2930" s="32">
        <v>49211</v>
      </c>
      <c r="D2930" s="32">
        <v>49323</v>
      </c>
      <c r="E29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931" spans="1:6" x14ac:dyDescent="0.35">
      <c r="A2931" s="3">
        <v>11634499493</v>
      </c>
      <c r="B2931" s="3">
        <v>62</v>
      </c>
      <c r="C2931" s="32">
        <v>49211</v>
      </c>
      <c r="D2931" s="32">
        <v>49306</v>
      </c>
      <c r="E29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932" spans="1:6" x14ac:dyDescent="0.35">
      <c r="A2932" s="3">
        <v>29162271193</v>
      </c>
      <c r="B2932" s="3">
        <v>99</v>
      </c>
      <c r="C2932" s="32">
        <v>49211</v>
      </c>
      <c r="D2932" s="32">
        <v>49226</v>
      </c>
      <c r="E29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933" spans="1:6" x14ac:dyDescent="0.35">
      <c r="A2933" s="3">
        <v>93573325451</v>
      </c>
      <c r="B2933" s="3">
        <v>101</v>
      </c>
      <c r="C2933" s="32">
        <v>49211</v>
      </c>
      <c r="D2933" s="32" t="s">
        <v>87</v>
      </c>
      <c r="E29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4" spans="1:6" x14ac:dyDescent="0.35">
      <c r="A2934" s="3">
        <v>47367884675</v>
      </c>
      <c r="B2934" s="3">
        <v>111</v>
      </c>
      <c r="C2934" s="32">
        <v>49211</v>
      </c>
      <c r="D2934" s="32" t="s">
        <v>87</v>
      </c>
      <c r="E29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5" spans="1:6" x14ac:dyDescent="0.35">
      <c r="A2935" s="3">
        <v>66842848392</v>
      </c>
      <c r="B2935" s="3">
        <v>113</v>
      </c>
      <c r="C2935" s="32">
        <v>49211</v>
      </c>
      <c r="D2935" s="32" t="s">
        <v>87</v>
      </c>
      <c r="E29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6" spans="1:6" x14ac:dyDescent="0.35">
      <c r="A2936" s="3">
        <v>62534012814</v>
      </c>
      <c r="B2936" s="3">
        <v>141</v>
      </c>
      <c r="C2936" s="32">
        <v>49211</v>
      </c>
      <c r="D2936" s="32"/>
      <c r="E29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7" spans="1:6" x14ac:dyDescent="0.35">
      <c r="A2937" s="3">
        <v>54569224466</v>
      </c>
      <c r="B2937" s="3">
        <v>149</v>
      </c>
      <c r="C2937" s="32">
        <v>49211</v>
      </c>
      <c r="D2937" s="32"/>
      <c r="E29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8" spans="1:6" x14ac:dyDescent="0.35">
      <c r="A2938" s="3">
        <v>77005107057</v>
      </c>
      <c r="B2938" s="3">
        <v>188</v>
      </c>
      <c r="C2938" s="32">
        <v>49211</v>
      </c>
      <c r="D2938" s="32">
        <v>49325</v>
      </c>
      <c r="E29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939" spans="1:6" x14ac:dyDescent="0.35">
      <c r="A2939" s="3">
        <v>90842877904</v>
      </c>
      <c r="B2939" s="3">
        <v>197</v>
      </c>
      <c r="C2939" s="32">
        <v>49211</v>
      </c>
      <c r="D2939" s="32" t="s">
        <v>87</v>
      </c>
      <c r="E29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0" spans="1:6" x14ac:dyDescent="0.35">
      <c r="A2940" s="3">
        <v>97236554633</v>
      </c>
      <c r="B2940" s="3">
        <v>211</v>
      </c>
      <c r="C2940" s="32">
        <v>49211</v>
      </c>
      <c r="D2940" s="32"/>
      <c r="E29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1" spans="1:6" x14ac:dyDescent="0.35">
      <c r="A2941" s="3">
        <v>46982823333</v>
      </c>
      <c r="B2941" s="3">
        <v>241</v>
      </c>
      <c r="C2941" s="32">
        <v>49211</v>
      </c>
      <c r="D2941" s="32" t="s">
        <v>87</v>
      </c>
      <c r="E29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2" spans="1:6" x14ac:dyDescent="0.35">
      <c r="A2942" s="3">
        <v>91210845470</v>
      </c>
      <c r="B2942" s="3">
        <v>244</v>
      </c>
      <c r="C2942" s="32">
        <v>49211</v>
      </c>
      <c r="D2942" s="32" t="s">
        <v>87</v>
      </c>
      <c r="E29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3" spans="1:6" x14ac:dyDescent="0.35">
      <c r="A2943" s="3">
        <v>64854501971</v>
      </c>
      <c r="B2943" s="3">
        <v>253</v>
      </c>
      <c r="C2943" s="32">
        <v>49211</v>
      </c>
      <c r="D2943" s="32" t="s">
        <v>87</v>
      </c>
      <c r="E29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4" spans="1:6" x14ac:dyDescent="0.35">
      <c r="A2944" s="3">
        <v>74405248912</v>
      </c>
      <c r="B2944" s="3">
        <v>265</v>
      </c>
      <c r="C2944" s="32">
        <v>49211</v>
      </c>
      <c r="D2944" s="32">
        <v>49304</v>
      </c>
      <c r="E29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945" spans="1:6" x14ac:dyDescent="0.35">
      <c r="A2945" s="3">
        <v>61863841453</v>
      </c>
      <c r="B2945" s="3">
        <v>301</v>
      </c>
      <c r="C2945" s="32">
        <v>49211</v>
      </c>
      <c r="D2945" s="32">
        <v>49264</v>
      </c>
      <c r="E29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946" spans="1:6" x14ac:dyDescent="0.35">
      <c r="A2946" s="3">
        <v>81216444357</v>
      </c>
      <c r="B2946" s="3">
        <v>10</v>
      </c>
      <c r="C2946" s="32">
        <v>49212</v>
      </c>
      <c r="D2946" s="32">
        <v>49257</v>
      </c>
      <c r="E29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947" spans="1:6" x14ac:dyDescent="0.35">
      <c r="A2947" s="3">
        <v>13190508045</v>
      </c>
      <c r="B2947" s="3">
        <v>20</v>
      </c>
      <c r="C2947" s="32">
        <v>49212</v>
      </c>
      <c r="D2947" s="32" t="s">
        <v>87</v>
      </c>
      <c r="E29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8" spans="1:6" x14ac:dyDescent="0.35">
      <c r="A2948" s="3">
        <v>82640386469</v>
      </c>
      <c r="B2948" s="3">
        <v>41</v>
      </c>
      <c r="C2948" s="32">
        <v>49212</v>
      </c>
      <c r="D2948" s="32">
        <v>49230</v>
      </c>
      <c r="E29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949" spans="1:6" x14ac:dyDescent="0.35">
      <c r="A2949" s="3">
        <v>62194776823</v>
      </c>
      <c r="B2949" s="3">
        <v>42</v>
      </c>
      <c r="C2949" s="32">
        <v>49212</v>
      </c>
      <c r="D2949" s="32"/>
      <c r="E29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0" spans="1:6" x14ac:dyDescent="0.35">
      <c r="A2950" s="3">
        <v>89193063744</v>
      </c>
      <c r="B2950" s="3">
        <v>45</v>
      </c>
      <c r="C2950" s="32">
        <v>49212</v>
      </c>
      <c r="D2950" s="32" t="s">
        <v>87</v>
      </c>
      <c r="E29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1" spans="1:6" x14ac:dyDescent="0.35">
      <c r="A2951" s="3">
        <v>85543604011</v>
      </c>
      <c r="B2951" s="3">
        <v>55</v>
      </c>
      <c r="C2951" s="32">
        <v>49212</v>
      </c>
      <c r="D2951" s="32">
        <v>49251</v>
      </c>
      <c r="E29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952" spans="1:6" x14ac:dyDescent="0.35">
      <c r="A2952" s="3">
        <v>14267580221</v>
      </c>
      <c r="B2952" s="3">
        <v>71</v>
      </c>
      <c r="C2952" s="32">
        <v>49212</v>
      </c>
      <c r="D2952" s="32" t="s">
        <v>87</v>
      </c>
      <c r="E29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3" spans="1:6" x14ac:dyDescent="0.35">
      <c r="A2953" s="3">
        <v>74266874624</v>
      </c>
      <c r="B2953" s="3">
        <v>99</v>
      </c>
      <c r="C2953" s="32">
        <v>49212</v>
      </c>
      <c r="D2953" s="32" t="s">
        <v>87</v>
      </c>
      <c r="E29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4" spans="1:6" x14ac:dyDescent="0.35">
      <c r="A2954" s="3">
        <v>96881557287</v>
      </c>
      <c r="B2954" s="3">
        <v>101</v>
      </c>
      <c r="C2954" s="32">
        <v>49212</v>
      </c>
      <c r="D2954" s="32" t="s">
        <v>87</v>
      </c>
      <c r="E29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5" spans="1:6" x14ac:dyDescent="0.35">
      <c r="A2955" s="3">
        <v>31319829828</v>
      </c>
      <c r="B2955" s="3">
        <v>135</v>
      </c>
      <c r="C2955" s="32">
        <v>49212</v>
      </c>
      <c r="D2955" s="32" t="s">
        <v>87</v>
      </c>
      <c r="E29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6" spans="1:6" x14ac:dyDescent="0.35">
      <c r="A2956" s="3">
        <v>70662412129</v>
      </c>
      <c r="B2956" s="3">
        <v>136</v>
      </c>
      <c r="C2956" s="32">
        <v>49212</v>
      </c>
      <c r="D2956" s="32" t="s">
        <v>87</v>
      </c>
      <c r="E29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7" spans="1:6" x14ac:dyDescent="0.35">
      <c r="A2957" s="3">
        <v>63783114170</v>
      </c>
      <c r="B2957" s="3">
        <v>156</v>
      </c>
      <c r="C2957" s="32">
        <v>49212</v>
      </c>
      <c r="D2957" s="32" t="s">
        <v>87</v>
      </c>
      <c r="E29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8" spans="1:6" x14ac:dyDescent="0.35">
      <c r="A2958" s="3">
        <v>37850379596</v>
      </c>
      <c r="B2958" s="3">
        <v>157</v>
      </c>
      <c r="C2958" s="32">
        <v>49212</v>
      </c>
      <c r="D2958" s="32">
        <v>49220</v>
      </c>
      <c r="E29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959" spans="1:6" x14ac:dyDescent="0.35">
      <c r="A2959" s="3">
        <v>30732007976</v>
      </c>
      <c r="B2959" s="3">
        <v>201</v>
      </c>
      <c r="C2959" s="32">
        <v>49212</v>
      </c>
      <c r="D2959" s="32">
        <v>49215</v>
      </c>
      <c r="E29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960" spans="1:6" x14ac:dyDescent="0.35">
      <c r="A2960" s="3">
        <v>26602482808</v>
      </c>
      <c r="B2960" s="3">
        <v>205</v>
      </c>
      <c r="C2960" s="32">
        <v>49212</v>
      </c>
      <c r="D2960" s="32">
        <v>49312</v>
      </c>
      <c r="E29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961" spans="1:6" x14ac:dyDescent="0.35">
      <c r="A2961" s="3">
        <v>93927798029</v>
      </c>
      <c r="B2961" s="3">
        <v>218</v>
      </c>
      <c r="C2961" s="32">
        <v>49212</v>
      </c>
      <c r="D2961" s="32">
        <v>49260</v>
      </c>
      <c r="E29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962" spans="1:6" x14ac:dyDescent="0.35">
      <c r="A2962" s="3">
        <v>92687983670</v>
      </c>
      <c r="B2962" s="3">
        <v>234</v>
      </c>
      <c r="C2962" s="32">
        <v>49212</v>
      </c>
      <c r="D2962" s="32" t="s">
        <v>87</v>
      </c>
      <c r="E29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63" spans="1:6" x14ac:dyDescent="0.35">
      <c r="A2963" s="3">
        <v>65488519823</v>
      </c>
      <c r="B2963" s="3">
        <v>257</v>
      </c>
      <c r="C2963" s="32">
        <v>49212</v>
      </c>
      <c r="D2963" s="32">
        <v>49271</v>
      </c>
      <c r="E29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964" spans="1:6" x14ac:dyDescent="0.35">
      <c r="A2964" s="3">
        <v>54795531680</v>
      </c>
      <c r="B2964" s="3">
        <v>270</v>
      </c>
      <c r="C2964" s="32">
        <v>49212</v>
      </c>
      <c r="D2964" s="32"/>
      <c r="E29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65" spans="1:6" x14ac:dyDescent="0.35">
      <c r="A2965" s="3">
        <v>16698193936</v>
      </c>
      <c r="B2965" s="3">
        <v>303</v>
      </c>
      <c r="C2965" s="32">
        <v>49212</v>
      </c>
      <c r="D2965" s="32" t="s">
        <v>87</v>
      </c>
      <c r="E29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66" spans="1:6" x14ac:dyDescent="0.35">
      <c r="A2966" s="3">
        <v>52354738727</v>
      </c>
      <c r="B2966" s="3">
        <v>323</v>
      </c>
      <c r="C2966" s="32">
        <v>49212</v>
      </c>
      <c r="D2966" s="32" t="s">
        <v>87</v>
      </c>
      <c r="E29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67" spans="1:6" x14ac:dyDescent="0.35">
      <c r="A2967" s="3">
        <v>88574107202</v>
      </c>
      <c r="B2967" s="3">
        <v>337</v>
      </c>
      <c r="C2967" s="32">
        <v>49212</v>
      </c>
      <c r="D2967" s="32">
        <v>49265</v>
      </c>
      <c r="E29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968" spans="1:6" x14ac:dyDescent="0.35">
      <c r="A2968" s="3">
        <v>59680626668</v>
      </c>
      <c r="B2968" s="3">
        <v>340</v>
      </c>
      <c r="C2968" s="32">
        <v>49212</v>
      </c>
      <c r="D2968" s="32" t="s">
        <v>87</v>
      </c>
      <c r="E29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69" spans="1:6" x14ac:dyDescent="0.35">
      <c r="A2969" s="3">
        <v>31037329170</v>
      </c>
      <c r="B2969" s="3">
        <v>15</v>
      </c>
      <c r="C2969" s="32">
        <v>49213</v>
      </c>
      <c r="D2969" s="32" t="s">
        <v>87</v>
      </c>
      <c r="E29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0" spans="1:6" x14ac:dyDescent="0.35">
      <c r="A2970" s="3">
        <v>16045407722</v>
      </c>
      <c r="B2970" s="3">
        <v>19</v>
      </c>
      <c r="C2970" s="32">
        <v>49213</v>
      </c>
      <c r="D2970" s="32"/>
      <c r="E29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1" spans="1:6" x14ac:dyDescent="0.35">
      <c r="A2971" s="3">
        <v>37359281167</v>
      </c>
      <c r="B2971" s="3">
        <v>21</v>
      </c>
      <c r="C2971" s="32">
        <v>49213</v>
      </c>
      <c r="D2971" s="32" t="s">
        <v>87</v>
      </c>
      <c r="E29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2" spans="1:6" x14ac:dyDescent="0.35">
      <c r="A2972" s="3">
        <v>34989698378</v>
      </c>
      <c r="B2972" s="3">
        <v>23</v>
      </c>
      <c r="C2972" s="32">
        <v>49213</v>
      </c>
      <c r="D2972" s="32"/>
      <c r="E29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3" spans="1:6" x14ac:dyDescent="0.35">
      <c r="A2973" s="3">
        <v>91366966663</v>
      </c>
      <c r="B2973" s="3">
        <v>26</v>
      </c>
      <c r="C2973" s="32">
        <v>49213</v>
      </c>
      <c r="D2973" s="32" t="s">
        <v>87</v>
      </c>
      <c r="E29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4" spans="1:6" x14ac:dyDescent="0.35">
      <c r="A2974" s="3">
        <v>89594360363</v>
      </c>
      <c r="B2974" s="3">
        <v>26</v>
      </c>
      <c r="C2974" s="32">
        <v>49213</v>
      </c>
      <c r="D2974" s="32"/>
      <c r="E29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5" spans="1:6" x14ac:dyDescent="0.35">
      <c r="A2975" s="3">
        <v>36132448002</v>
      </c>
      <c r="B2975" s="3">
        <v>27</v>
      </c>
      <c r="C2975" s="32">
        <v>49213</v>
      </c>
      <c r="D2975" s="32" t="s">
        <v>87</v>
      </c>
      <c r="E29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6" spans="1:6" x14ac:dyDescent="0.35">
      <c r="A2976" s="3">
        <v>27552242265</v>
      </c>
      <c r="B2976" s="3">
        <v>79</v>
      </c>
      <c r="C2976" s="32">
        <v>49213</v>
      </c>
      <c r="D2976" s="32"/>
      <c r="E29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7" spans="1:6" x14ac:dyDescent="0.35">
      <c r="A2977" s="3">
        <v>75328114468</v>
      </c>
      <c r="B2977" s="3">
        <v>89</v>
      </c>
      <c r="C2977" s="32">
        <v>49213</v>
      </c>
      <c r="D2977" s="32" t="s">
        <v>87</v>
      </c>
      <c r="E29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8" spans="1:6" x14ac:dyDescent="0.35">
      <c r="A2978" s="3">
        <v>94163702049</v>
      </c>
      <c r="B2978" s="3">
        <v>98</v>
      </c>
      <c r="C2978" s="32">
        <v>49213</v>
      </c>
      <c r="D2978" s="32" t="s">
        <v>87</v>
      </c>
      <c r="E29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9" spans="1:6" x14ac:dyDescent="0.35">
      <c r="A2979" s="3">
        <v>42185994758</v>
      </c>
      <c r="B2979" s="3">
        <v>115</v>
      </c>
      <c r="C2979" s="32">
        <v>49213</v>
      </c>
      <c r="D2979" s="32" t="s">
        <v>87</v>
      </c>
      <c r="E29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0" spans="1:6" x14ac:dyDescent="0.35">
      <c r="A2980" s="3">
        <v>91427294128</v>
      </c>
      <c r="B2980" s="3">
        <v>121</v>
      </c>
      <c r="C2980" s="32">
        <v>49213</v>
      </c>
      <c r="D2980" s="32" t="s">
        <v>87</v>
      </c>
      <c r="E29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1" spans="1:6" x14ac:dyDescent="0.35">
      <c r="A2981" s="3">
        <v>37150890980</v>
      </c>
      <c r="B2981" s="3">
        <v>143</v>
      </c>
      <c r="C2981" s="32">
        <v>49213</v>
      </c>
      <c r="D2981" s="32">
        <v>49232</v>
      </c>
      <c r="E29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982" spans="1:6" x14ac:dyDescent="0.35">
      <c r="A2982" s="3">
        <v>31939934139</v>
      </c>
      <c r="B2982" s="3">
        <v>155</v>
      </c>
      <c r="C2982" s="32">
        <v>49213</v>
      </c>
      <c r="D2982" s="32"/>
      <c r="E29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3" spans="1:6" x14ac:dyDescent="0.35">
      <c r="A2983" s="3">
        <v>66115728067</v>
      </c>
      <c r="B2983" s="3">
        <v>174</v>
      </c>
      <c r="C2983" s="32">
        <v>49213</v>
      </c>
      <c r="D2983" s="32"/>
      <c r="E29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4" spans="1:6" x14ac:dyDescent="0.35">
      <c r="A2984" s="3">
        <v>60351674853</v>
      </c>
      <c r="B2984" s="3">
        <v>177</v>
      </c>
      <c r="C2984" s="32">
        <v>49213</v>
      </c>
      <c r="D2984" s="32" t="s">
        <v>87</v>
      </c>
      <c r="E29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5" spans="1:6" x14ac:dyDescent="0.35">
      <c r="A2985" s="3">
        <v>65448514086</v>
      </c>
      <c r="B2985" s="3">
        <v>194</v>
      </c>
      <c r="C2985" s="32">
        <v>49213</v>
      </c>
      <c r="D2985" s="32" t="s">
        <v>87</v>
      </c>
      <c r="E29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6" spans="1:6" x14ac:dyDescent="0.35">
      <c r="A2986" s="3">
        <v>53877385465</v>
      </c>
      <c r="B2986" s="3">
        <v>195</v>
      </c>
      <c r="C2986" s="32">
        <v>49213</v>
      </c>
      <c r="D2986" s="32"/>
      <c r="E29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7" spans="1:6" x14ac:dyDescent="0.35">
      <c r="A2987" s="3">
        <v>75184308874</v>
      </c>
      <c r="B2987" s="3">
        <v>217</v>
      </c>
      <c r="C2987" s="32">
        <v>49213</v>
      </c>
      <c r="D2987" s="32"/>
      <c r="E29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8" spans="1:6" x14ac:dyDescent="0.35">
      <c r="A2988" s="3">
        <v>45654699695</v>
      </c>
      <c r="B2988" s="3">
        <v>220</v>
      </c>
      <c r="C2988" s="32">
        <v>49213</v>
      </c>
      <c r="D2988" s="32" t="s">
        <v>87</v>
      </c>
      <c r="E29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9" spans="1:6" x14ac:dyDescent="0.35">
      <c r="A2989" s="3">
        <v>45179862753</v>
      </c>
      <c r="B2989" s="3">
        <v>224</v>
      </c>
      <c r="C2989" s="32">
        <v>49213</v>
      </c>
      <c r="D2989" s="32" t="s">
        <v>87</v>
      </c>
      <c r="E29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0" spans="1:6" x14ac:dyDescent="0.35">
      <c r="A2990" s="3">
        <v>64741501300</v>
      </c>
      <c r="B2990" s="3">
        <v>225</v>
      </c>
      <c r="C2990" s="32">
        <v>49213</v>
      </c>
      <c r="D2990" s="32"/>
      <c r="E29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1" spans="1:6" x14ac:dyDescent="0.35">
      <c r="A2991" s="3">
        <v>66206688988</v>
      </c>
      <c r="B2991" s="3">
        <v>261</v>
      </c>
      <c r="C2991" s="32">
        <v>49213</v>
      </c>
      <c r="D2991" s="32" t="s">
        <v>87</v>
      </c>
      <c r="E29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2" spans="1:6" x14ac:dyDescent="0.35">
      <c r="A2992" s="3">
        <v>50580101785</v>
      </c>
      <c r="B2992" s="3">
        <v>326</v>
      </c>
      <c r="C2992" s="32">
        <v>49213</v>
      </c>
      <c r="D2992" s="32" t="s">
        <v>87</v>
      </c>
      <c r="E29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3" spans="1:6" x14ac:dyDescent="0.35">
      <c r="A2993" s="3">
        <v>51453379354</v>
      </c>
      <c r="B2993" s="3">
        <v>14</v>
      </c>
      <c r="C2993" s="32">
        <v>49214</v>
      </c>
      <c r="D2993" s="32"/>
      <c r="E29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4" spans="1:6" x14ac:dyDescent="0.35">
      <c r="A2994" s="3">
        <v>27961712542</v>
      </c>
      <c r="B2994" s="3">
        <v>44</v>
      </c>
      <c r="C2994" s="32">
        <v>49214</v>
      </c>
      <c r="D2994" s="32" t="s">
        <v>87</v>
      </c>
      <c r="E29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5" spans="1:6" x14ac:dyDescent="0.35">
      <c r="A2995" s="3">
        <v>91774978561</v>
      </c>
      <c r="B2995" s="3">
        <v>81</v>
      </c>
      <c r="C2995" s="32">
        <v>49214</v>
      </c>
      <c r="D2995" s="32" t="s">
        <v>87</v>
      </c>
      <c r="E29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6" spans="1:6" x14ac:dyDescent="0.35">
      <c r="A2996" s="3">
        <v>48670181442</v>
      </c>
      <c r="B2996" s="3">
        <v>144</v>
      </c>
      <c r="C2996" s="32">
        <v>49214</v>
      </c>
      <c r="D2996" s="32" t="s">
        <v>87</v>
      </c>
      <c r="E29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7" spans="1:6" x14ac:dyDescent="0.35">
      <c r="A2997" s="3">
        <v>84819988969</v>
      </c>
      <c r="B2997" s="3">
        <v>149</v>
      </c>
      <c r="C2997" s="32">
        <v>49214</v>
      </c>
      <c r="D2997" s="32" t="s">
        <v>87</v>
      </c>
      <c r="E29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8" spans="1:6" x14ac:dyDescent="0.35">
      <c r="A2998" s="3">
        <v>82126237810</v>
      </c>
      <c r="B2998" s="3">
        <v>150</v>
      </c>
      <c r="C2998" s="32">
        <v>49214</v>
      </c>
      <c r="D2998" s="32" t="s">
        <v>87</v>
      </c>
      <c r="E29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9" spans="1:6" x14ac:dyDescent="0.35">
      <c r="A2999" s="3">
        <v>33011702970</v>
      </c>
      <c r="B2999" s="3">
        <v>165</v>
      </c>
      <c r="C2999" s="32">
        <v>49214</v>
      </c>
      <c r="D2999" s="32" t="s">
        <v>87</v>
      </c>
      <c r="E29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0" spans="1:6" x14ac:dyDescent="0.35">
      <c r="A3000" s="3">
        <v>88575806029</v>
      </c>
      <c r="B3000" s="3">
        <v>177</v>
      </c>
      <c r="C3000" s="32">
        <v>49214</v>
      </c>
      <c r="D3000" s="32">
        <v>49242</v>
      </c>
      <c r="E30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001" spans="1:6" x14ac:dyDescent="0.35">
      <c r="A3001" s="3">
        <v>42274927191</v>
      </c>
      <c r="B3001" s="3">
        <v>178</v>
      </c>
      <c r="C3001" s="32">
        <v>49214</v>
      </c>
      <c r="D3001" s="32">
        <v>49321</v>
      </c>
      <c r="E30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02" spans="1:6" x14ac:dyDescent="0.35">
      <c r="A3002" s="3">
        <v>69843349057</v>
      </c>
      <c r="B3002" s="3">
        <v>188</v>
      </c>
      <c r="C3002" s="32">
        <v>49214</v>
      </c>
      <c r="D3002" s="32" t="s">
        <v>87</v>
      </c>
      <c r="E30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3" spans="1:6" x14ac:dyDescent="0.35">
      <c r="A3003" s="3">
        <v>44979726175</v>
      </c>
      <c r="B3003" s="3">
        <v>190</v>
      </c>
      <c r="C3003" s="32">
        <v>49214</v>
      </c>
      <c r="D3003" s="32" t="s">
        <v>87</v>
      </c>
      <c r="E30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4" spans="1:6" x14ac:dyDescent="0.35">
      <c r="A3004" s="3">
        <v>98799290180</v>
      </c>
      <c r="B3004" s="3">
        <v>250</v>
      </c>
      <c r="C3004" s="32">
        <v>49214</v>
      </c>
      <c r="D3004" s="32">
        <v>49329</v>
      </c>
      <c r="E30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05" spans="1:6" x14ac:dyDescent="0.35">
      <c r="A3005" s="3">
        <v>66127955426</v>
      </c>
      <c r="B3005" s="3">
        <v>277</v>
      </c>
      <c r="C3005" s="32">
        <v>49214</v>
      </c>
      <c r="D3005" s="32" t="s">
        <v>87</v>
      </c>
      <c r="E30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6" spans="1:6" x14ac:dyDescent="0.35">
      <c r="A3006" s="3">
        <v>23371146990</v>
      </c>
      <c r="B3006" s="3">
        <v>279</v>
      </c>
      <c r="C3006" s="32">
        <v>49214</v>
      </c>
      <c r="D3006" s="32">
        <v>49240</v>
      </c>
      <c r="E30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007" spans="1:6" x14ac:dyDescent="0.35">
      <c r="A3007" s="3">
        <v>55454832640</v>
      </c>
      <c r="B3007" s="3">
        <v>279</v>
      </c>
      <c r="C3007" s="32">
        <v>49214</v>
      </c>
      <c r="D3007" s="32" t="s">
        <v>87</v>
      </c>
      <c r="E30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8" spans="1:6" x14ac:dyDescent="0.35">
      <c r="A3008" s="3">
        <v>33373886699</v>
      </c>
      <c r="B3008" s="3">
        <v>296</v>
      </c>
      <c r="C3008" s="32">
        <v>49214</v>
      </c>
      <c r="D3008" s="32" t="s">
        <v>87</v>
      </c>
      <c r="E30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9" spans="1:6" x14ac:dyDescent="0.35">
      <c r="A3009" s="3">
        <v>82858595487</v>
      </c>
      <c r="B3009" s="3">
        <v>299</v>
      </c>
      <c r="C3009" s="32">
        <v>49214</v>
      </c>
      <c r="D3009" s="32" t="s">
        <v>87</v>
      </c>
      <c r="E30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0" spans="1:6" x14ac:dyDescent="0.35">
      <c r="A3010" s="3">
        <v>65489541317</v>
      </c>
      <c r="B3010" s="3">
        <v>333</v>
      </c>
      <c r="C3010" s="32">
        <v>49214</v>
      </c>
      <c r="D3010" s="32" t="s">
        <v>87</v>
      </c>
      <c r="E30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1" spans="1:6" x14ac:dyDescent="0.35">
      <c r="A3011" s="3">
        <v>84486350696</v>
      </c>
      <c r="B3011" s="3">
        <v>7</v>
      </c>
      <c r="C3011" s="32">
        <v>49215</v>
      </c>
      <c r="D3011" s="32">
        <v>49287</v>
      </c>
      <c r="E30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12" spans="1:6" x14ac:dyDescent="0.35">
      <c r="A3012" s="3">
        <v>76082241743</v>
      </c>
      <c r="B3012" s="3">
        <v>9</v>
      </c>
      <c r="C3012" s="32">
        <v>49215</v>
      </c>
      <c r="D3012" s="32" t="s">
        <v>87</v>
      </c>
      <c r="E30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3" spans="1:6" x14ac:dyDescent="0.35">
      <c r="A3013" s="3">
        <v>68447334639</v>
      </c>
      <c r="B3013" s="3">
        <v>18</v>
      </c>
      <c r="C3013" s="32">
        <v>49215</v>
      </c>
      <c r="D3013" s="32" t="s">
        <v>87</v>
      </c>
      <c r="E30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4" spans="1:6" x14ac:dyDescent="0.35">
      <c r="A3014" s="3">
        <v>65716753048</v>
      </c>
      <c r="B3014" s="3">
        <v>21</v>
      </c>
      <c r="C3014" s="32">
        <v>49215</v>
      </c>
      <c r="D3014" s="32" t="s">
        <v>87</v>
      </c>
      <c r="E30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5" spans="1:6" x14ac:dyDescent="0.35">
      <c r="A3015" s="3">
        <v>20088441224</v>
      </c>
      <c r="B3015" s="3">
        <v>23</v>
      </c>
      <c r="C3015" s="32">
        <v>49215</v>
      </c>
      <c r="D3015" s="32" t="s">
        <v>87</v>
      </c>
      <c r="E30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6" spans="1:6" x14ac:dyDescent="0.35">
      <c r="A3016" s="3">
        <v>60351982988</v>
      </c>
      <c r="B3016" s="3">
        <v>29</v>
      </c>
      <c r="C3016" s="32">
        <v>49215</v>
      </c>
      <c r="D3016" s="32">
        <v>49232</v>
      </c>
      <c r="E30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017" spans="1:6" x14ac:dyDescent="0.35">
      <c r="A3017" s="3">
        <v>24362204197</v>
      </c>
      <c r="B3017" s="3">
        <v>57</v>
      </c>
      <c r="C3017" s="32">
        <v>49215</v>
      </c>
      <c r="D3017" s="32">
        <v>49255</v>
      </c>
      <c r="E30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018" spans="1:6" x14ac:dyDescent="0.35">
      <c r="A3018" s="3">
        <v>31874220377</v>
      </c>
      <c r="B3018" s="3">
        <v>81</v>
      </c>
      <c r="C3018" s="32">
        <v>49215</v>
      </c>
      <c r="D3018" s="32" t="s">
        <v>87</v>
      </c>
      <c r="E30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9" spans="1:6" x14ac:dyDescent="0.35">
      <c r="A3019" s="3">
        <v>45049285307</v>
      </c>
      <c r="B3019" s="3">
        <v>86</v>
      </c>
      <c r="C3019" s="32">
        <v>49215</v>
      </c>
      <c r="D3019" s="32" t="s">
        <v>87</v>
      </c>
      <c r="E30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20" spans="1:6" x14ac:dyDescent="0.35">
      <c r="A3020" s="3">
        <v>18327079432</v>
      </c>
      <c r="B3020" s="3">
        <v>88</v>
      </c>
      <c r="C3020" s="32">
        <v>49215</v>
      </c>
      <c r="D3020" s="32" t="s">
        <v>87</v>
      </c>
      <c r="E30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21" spans="1:6" x14ac:dyDescent="0.35">
      <c r="A3021" s="3">
        <v>32912210785</v>
      </c>
      <c r="B3021" s="3">
        <v>96</v>
      </c>
      <c r="C3021" s="32">
        <v>49215</v>
      </c>
      <c r="D3021" s="32" t="s">
        <v>87</v>
      </c>
      <c r="E30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22" spans="1:6" x14ac:dyDescent="0.35">
      <c r="A3022" s="3">
        <v>59995538251</v>
      </c>
      <c r="B3022" s="3">
        <v>97</v>
      </c>
      <c r="C3022" s="32">
        <v>49215</v>
      </c>
      <c r="D3022" s="32">
        <v>49279</v>
      </c>
      <c r="E30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23" spans="1:6" x14ac:dyDescent="0.35">
      <c r="A3023" s="3">
        <v>58187668003</v>
      </c>
      <c r="B3023" s="3">
        <v>109</v>
      </c>
      <c r="C3023" s="32">
        <v>49215</v>
      </c>
      <c r="D3023" s="32">
        <v>49295</v>
      </c>
      <c r="E30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24" spans="1:6" x14ac:dyDescent="0.35">
      <c r="A3024" s="3">
        <v>54153504772</v>
      </c>
      <c r="B3024" s="3">
        <v>112</v>
      </c>
      <c r="C3024" s="32">
        <v>49215</v>
      </c>
      <c r="D3024" s="32" t="s">
        <v>87</v>
      </c>
      <c r="E30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25" spans="1:6" x14ac:dyDescent="0.35">
      <c r="A3025" s="3">
        <v>92610926962</v>
      </c>
      <c r="B3025" s="3">
        <v>123</v>
      </c>
      <c r="C3025" s="32">
        <v>49215</v>
      </c>
      <c r="D3025" s="32">
        <v>49279</v>
      </c>
      <c r="E30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26" spans="1:6" x14ac:dyDescent="0.35">
      <c r="A3026" s="3">
        <v>81091356532</v>
      </c>
      <c r="B3026" s="3">
        <v>142</v>
      </c>
      <c r="C3026" s="32">
        <v>49215</v>
      </c>
      <c r="D3026" s="32">
        <v>49296</v>
      </c>
      <c r="E30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27" spans="1:6" x14ac:dyDescent="0.35">
      <c r="A3027" s="3">
        <v>84337409319</v>
      </c>
      <c r="B3027" s="3">
        <v>147</v>
      </c>
      <c r="C3027" s="32">
        <v>49215</v>
      </c>
      <c r="D3027" s="32">
        <v>49290</v>
      </c>
      <c r="E30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28" spans="1:6" x14ac:dyDescent="0.35">
      <c r="A3028" s="3">
        <v>74216066700</v>
      </c>
      <c r="B3028" s="3">
        <v>168</v>
      </c>
      <c r="C3028" s="32">
        <v>49215</v>
      </c>
      <c r="D3028" s="32">
        <v>49279</v>
      </c>
      <c r="E30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29" spans="1:6" x14ac:dyDescent="0.35">
      <c r="A3029" s="3">
        <v>43758527633</v>
      </c>
      <c r="B3029" s="3">
        <v>183</v>
      </c>
      <c r="C3029" s="32">
        <v>49215</v>
      </c>
      <c r="D3029" s="32" t="s">
        <v>87</v>
      </c>
      <c r="E30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0" spans="1:6" x14ac:dyDescent="0.35">
      <c r="A3030" s="3">
        <v>49451360558</v>
      </c>
      <c r="B3030" s="3">
        <v>252</v>
      </c>
      <c r="C3030" s="32">
        <v>49215</v>
      </c>
      <c r="D3030" s="32" t="s">
        <v>87</v>
      </c>
      <c r="E30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1" spans="1:6" x14ac:dyDescent="0.35">
      <c r="A3031" s="3">
        <v>90817937463</v>
      </c>
      <c r="B3031" s="3">
        <v>261</v>
      </c>
      <c r="C3031" s="32">
        <v>49215</v>
      </c>
      <c r="D3031" s="32" t="s">
        <v>87</v>
      </c>
      <c r="E30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2" spans="1:6" x14ac:dyDescent="0.35">
      <c r="A3032" s="3">
        <v>19622900639</v>
      </c>
      <c r="B3032" s="3">
        <v>299</v>
      </c>
      <c r="C3032" s="32">
        <v>49215</v>
      </c>
      <c r="D3032" s="32"/>
      <c r="E30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3" spans="1:6" x14ac:dyDescent="0.35">
      <c r="A3033" s="3">
        <v>54482356403</v>
      </c>
      <c r="B3033" s="3">
        <v>319</v>
      </c>
      <c r="C3033" s="32">
        <v>49215</v>
      </c>
      <c r="D3033" s="32" t="s">
        <v>87</v>
      </c>
      <c r="E30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4" spans="1:6" x14ac:dyDescent="0.35">
      <c r="A3034" s="3">
        <v>61640327601</v>
      </c>
      <c r="B3034" s="3">
        <v>323</v>
      </c>
      <c r="C3034" s="32">
        <v>49215</v>
      </c>
      <c r="D3034" s="32" t="s">
        <v>87</v>
      </c>
      <c r="E30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5" spans="1:6" x14ac:dyDescent="0.35">
      <c r="A3035" s="3">
        <v>69212806135</v>
      </c>
      <c r="B3035" s="3">
        <v>338</v>
      </c>
      <c r="C3035" s="32">
        <v>49215</v>
      </c>
      <c r="D3035" s="32" t="s">
        <v>87</v>
      </c>
      <c r="E30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6" spans="1:6" x14ac:dyDescent="0.35">
      <c r="A3036" s="3">
        <v>28067257069</v>
      </c>
      <c r="B3036" s="3">
        <v>60</v>
      </c>
      <c r="C3036" s="32">
        <v>49216</v>
      </c>
      <c r="D3036" s="32"/>
      <c r="E30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7" spans="1:6" x14ac:dyDescent="0.35">
      <c r="A3037" s="3">
        <v>34284658184</v>
      </c>
      <c r="B3037" s="3">
        <v>67</v>
      </c>
      <c r="C3037" s="32">
        <v>49216</v>
      </c>
      <c r="D3037" s="32"/>
      <c r="E30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8" spans="1:6" x14ac:dyDescent="0.35">
      <c r="A3038" s="3">
        <v>47565690542</v>
      </c>
      <c r="B3038" s="3">
        <v>77</v>
      </c>
      <c r="C3038" s="32">
        <v>49216</v>
      </c>
      <c r="D3038" s="32">
        <v>49285</v>
      </c>
      <c r="E30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39" spans="1:6" x14ac:dyDescent="0.35">
      <c r="A3039" s="3">
        <v>75421384146</v>
      </c>
      <c r="B3039" s="3">
        <v>89</v>
      </c>
      <c r="C3039" s="32">
        <v>49216</v>
      </c>
      <c r="D3039" s="32">
        <v>49272</v>
      </c>
      <c r="E30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040" spans="1:6" x14ac:dyDescent="0.35">
      <c r="A3040" s="3">
        <v>36346301253</v>
      </c>
      <c r="B3040" s="3">
        <v>137</v>
      </c>
      <c r="C3040" s="32">
        <v>49216</v>
      </c>
      <c r="D3040" s="32" t="s">
        <v>87</v>
      </c>
      <c r="E30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1" spans="1:6" x14ac:dyDescent="0.35">
      <c r="A3041" s="3">
        <v>58577217764</v>
      </c>
      <c r="B3041" s="3">
        <v>168</v>
      </c>
      <c r="C3041" s="32">
        <v>49216</v>
      </c>
      <c r="D3041" s="32" t="s">
        <v>87</v>
      </c>
      <c r="E30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2" spans="1:6" x14ac:dyDescent="0.35">
      <c r="A3042" s="3">
        <v>65975997602</v>
      </c>
      <c r="B3042" s="3">
        <v>190</v>
      </c>
      <c r="C3042" s="32">
        <v>49216</v>
      </c>
      <c r="D3042" s="32" t="s">
        <v>87</v>
      </c>
      <c r="E30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3" spans="1:6" x14ac:dyDescent="0.35">
      <c r="A3043" s="3">
        <v>77711612648</v>
      </c>
      <c r="B3043" s="3">
        <v>192</v>
      </c>
      <c r="C3043" s="32">
        <v>49216</v>
      </c>
      <c r="D3043" s="32"/>
      <c r="E30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4" spans="1:6" x14ac:dyDescent="0.35">
      <c r="A3044" s="3">
        <v>45966911405</v>
      </c>
      <c r="B3044" s="3">
        <v>225</v>
      </c>
      <c r="C3044" s="32">
        <v>49216</v>
      </c>
      <c r="D3044" s="32" t="s">
        <v>87</v>
      </c>
      <c r="E30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5" spans="1:6" x14ac:dyDescent="0.35">
      <c r="A3045" s="3">
        <v>87785933971</v>
      </c>
      <c r="B3045" s="3">
        <v>231</v>
      </c>
      <c r="C3045" s="32">
        <v>49216</v>
      </c>
      <c r="D3045" s="32"/>
      <c r="E30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6" spans="1:6" x14ac:dyDescent="0.35">
      <c r="A3046" s="3">
        <v>57694420308</v>
      </c>
      <c r="B3046" s="3">
        <v>238</v>
      </c>
      <c r="C3046" s="32">
        <v>49216</v>
      </c>
      <c r="D3046" s="32" t="s">
        <v>87</v>
      </c>
      <c r="E30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7" spans="1:6" x14ac:dyDescent="0.35">
      <c r="A3047" s="3">
        <v>18285494853</v>
      </c>
      <c r="B3047" s="3">
        <v>247</v>
      </c>
      <c r="C3047" s="32">
        <v>49216</v>
      </c>
      <c r="D3047" s="32" t="s">
        <v>87</v>
      </c>
      <c r="E30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8" spans="1:6" x14ac:dyDescent="0.35">
      <c r="A3048" s="3">
        <v>22885403006</v>
      </c>
      <c r="B3048" s="3">
        <v>254</v>
      </c>
      <c r="C3048" s="32">
        <v>49216</v>
      </c>
      <c r="D3048" s="32">
        <v>49307</v>
      </c>
      <c r="E30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49" spans="1:6" x14ac:dyDescent="0.35">
      <c r="A3049" s="3">
        <v>31136056849</v>
      </c>
      <c r="B3049" s="3">
        <v>295</v>
      </c>
      <c r="C3049" s="32">
        <v>49216</v>
      </c>
      <c r="D3049" s="32" t="s">
        <v>87</v>
      </c>
      <c r="E30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0" spans="1:6" x14ac:dyDescent="0.35">
      <c r="A3050" s="3">
        <v>28605600659</v>
      </c>
      <c r="B3050" s="3">
        <v>309</v>
      </c>
      <c r="C3050" s="32">
        <v>49216</v>
      </c>
      <c r="D3050" s="32"/>
      <c r="E30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1" spans="1:6" x14ac:dyDescent="0.35">
      <c r="A3051" s="3">
        <v>78067929214</v>
      </c>
      <c r="B3051" s="3">
        <v>318</v>
      </c>
      <c r="C3051" s="32">
        <v>49216</v>
      </c>
      <c r="D3051" s="32" t="s">
        <v>87</v>
      </c>
      <c r="E30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2" spans="1:6" x14ac:dyDescent="0.35">
      <c r="A3052" s="3">
        <v>52355039646</v>
      </c>
      <c r="B3052" s="3">
        <v>335</v>
      </c>
      <c r="C3052" s="32">
        <v>49216</v>
      </c>
      <c r="D3052" s="32" t="s">
        <v>87</v>
      </c>
      <c r="E30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3" spans="1:6" x14ac:dyDescent="0.35">
      <c r="A3053" s="3">
        <v>33791606558</v>
      </c>
      <c r="B3053" s="3">
        <v>16</v>
      </c>
      <c r="C3053" s="32">
        <v>49217</v>
      </c>
      <c r="D3053" s="32" t="s">
        <v>87</v>
      </c>
      <c r="E30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4" spans="1:6" x14ac:dyDescent="0.35">
      <c r="A3054" s="3">
        <v>46973442612</v>
      </c>
      <c r="B3054" s="3">
        <v>23</v>
      </c>
      <c r="C3054" s="32">
        <v>49217</v>
      </c>
      <c r="D3054" s="32"/>
      <c r="E30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5" spans="1:6" x14ac:dyDescent="0.35">
      <c r="A3055" s="3">
        <v>18128439461</v>
      </c>
      <c r="B3055" s="3">
        <v>24</v>
      </c>
      <c r="C3055" s="32">
        <v>49217</v>
      </c>
      <c r="D3055" s="32"/>
      <c r="E30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6" spans="1:6" x14ac:dyDescent="0.35">
      <c r="A3056" s="3">
        <v>59821786991</v>
      </c>
      <c r="B3056" s="3">
        <v>26</v>
      </c>
      <c r="C3056" s="32">
        <v>49217</v>
      </c>
      <c r="D3056" s="32" t="s">
        <v>87</v>
      </c>
      <c r="E30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7" spans="1:6" x14ac:dyDescent="0.35">
      <c r="A3057" s="3">
        <v>46448535308</v>
      </c>
      <c r="B3057" s="3">
        <v>26</v>
      </c>
      <c r="C3057" s="32">
        <v>49217</v>
      </c>
      <c r="D3057" s="32"/>
      <c r="E30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8" spans="1:6" x14ac:dyDescent="0.35">
      <c r="A3058" s="3">
        <v>56968658767</v>
      </c>
      <c r="B3058" s="3">
        <v>70</v>
      </c>
      <c r="C3058" s="32">
        <v>49217</v>
      </c>
      <c r="D3058" s="32" t="s">
        <v>87</v>
      </c>
      <c r="E30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9" spans="1:6" x14ac:dyDescent="0.35">
      <c r="A3059" s="3">
        <v>78664396183</v>
      </c>
      <c r="B3059" s="3">
        <v>85</v>
      </c>
      <c r="C3059" s="32">
        <v>49217</v>
      </c>
      <c r="D3059" s="32">
        <v>49326</v>
      </c>
      <c r="E30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60" spans="1:6" x14ac:dyDescent="0.35">
      <c r="A3060" s="3">
        <v>95753349189</v>
      </c>
      <c r="B3060" s="3">
        <v>96</v>
      </c>
      <c r="C3060" s="32">
        <v>49217</v>
      </c>
      <c r="D3060" s="32" t="s">
        <v>87</v>
      </c>
      <c r="E30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1" spans="1:6" x14ac:dyDescent="0.35">
      <c r="A3061" s="3">
        <v>61422132390</v>
      </c>
      <c r="B3061" s="3">
        <v>121</v>
      </c>
      <c r="C3061" s="32">
        <v>49217</v>
      </c>
      <c r="D3061" s="32" t="s">
        <v>87</v>
      </c>
      <c r="E30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2" spans="1:6" x14ac:dyDescent="0.35">
      <c r="A3062" s="3">
        <v>65329630584</v>
      </c>
      <c r="B3062" s="3">
        <v>124</v>
      </c>
      <c r="C3062" s="32">
        <v>49217</v>
      </c>
      <c r="D3062" s="32">
        <v>49330</v>
      </c>
      <c r="E30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63" spans="1:6" x14ac:dyDescent="0.35">
      <c r="A3063" s="3">
        <v>95360883733</v>
      </c>
      <c r="B3063" s="3">
        <v>148</v>
      </c>
      <c r="C3063" s="32">
        <v>49217</v>
      </c>
      <c r="D3063" s="32" t="s">
        <v>87</v>
      </c>
      <c r="E30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4" spans="1:6" x14ac:dyDescent="0.35">
      <c r="A3064" s="3">
        <v>17136211460</v>
      </c>
      <c r="B3064" s="3">
        <v>151</v>
      </c>
      <c r="C3064" s="32">
        <v>49217</v>
      </c>
      <c r="D3064" s="32">
        <v>49333</v>
      </c>
      <c r="E30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65" spans="1:6" x14ac:dyDescent="0.35">
      <c r="A3065" s="3">
        <v>52759659306</v>
      </c>
      <c r="B3065" s="3">
        <v>183</v>
      </c>
      <c r="C3065" s="32">
        <v>49217</v>
      </c>
      <c r="D3065" s="32"/>
      <c r="E30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6" spans="1:6" x14ac:dyDescent="0.35">
      <c r="A3066" s="3">
        <v>59719210584</v>
      </c>
      <c r="B3066" s="3">
        <v>207</v>
      </c>
      <c r="C3066" s="32">
        <v>49217</v>
      </c>
      <c r="D3066" s="32" t="s">
        <v>87</v>
      </c>
      <c r="E30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7" spans="1:6" x14ac:dyDescent="0.35">
      <c r="A3067" s="3">
        <v>51081359511</v>
      </c>
      <c r="B3067" s="3">
        <v>238</v>
      </c>
      <c r="C3067" s="32">
        <v>49217</v>
      </c>
      <c r="D3067" s="32"/>
      <c r="E30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8" spans="1:6" x14ac:dyDescent="0.35">
      <c r="A3068" s="3">
        <v>40475278000</v>
      </c>
      <c r="B3068" s="3">
        <v>274</v>
      </c>
      <c r="C3068" s="32">
        <v>49217</v>
      </c>
      <c r="D3068" s="32">
        <v>49309</v>
      </c>
      <c r="E30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69" spans="1:6" x14ac:dyDescent="0.35">
      <c r="A3069" s="3">
        <v>16611832456</v>
      </c>
      <c r="B3069" s="3">
        <v>290</v>
      </c>
      <c r="C3069" s="32">
        <v>49217</v>
      </c>
      <c r="D3069" s="32" t="s">
        <v>87</v>
      </c>
      <c r="E30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0" spans="1:6" x14ac:dyDescent="0.35">
      <c r="A3070" s="3">
        <v>57004518261</v>
      </c>
      <c r="B3070" s="3">
        <v>302</v>
      </c>
      <c r="C3070" s="32">
        <v>49217</v>
      </c>
      <c r="D3070" s="32" t="s">
        <v>87</v>
      </c>
      <c r="E30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1" spans="1:6" x14ac:dyDescent="0.35">
      <c r="A3071" s="3">
        <v>92857212951</v>
      </c>
      <c r="B3071" s="3">
        <v>312</v>
      </c>
      <c r="C3071" s="32">
        <v>49217</v>
      </c>
      <c r="D3071" s="32">
        <v>49239</v>
      </c>
      <c r="E30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072" spans="1:6" x14ac:dyDescent="0.35">
      <c r="A3072" s="3">
        <v>85188640163</v>
      </c>
      <c r="B3072" s="3">
        <v>317</v>
      </c>
      <c r="C3072" s="32">
        <v>49217</v>
      </c>
      <c r="D3072" s="32"/>
      <c r="E30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3" spans="1:6" x14ac:dyDescent="0.35">
      <c r="A3073" s="3">
        <v>37913350962</v>
      </c>
      <c r="B3073" s="3">
        <v>320</v>
      </c>
      <c r="C3073" s="32">
        <v>49217</v>
      </c>
      <c r="D3073" s="32" t="s">
        <v>87</v>
      </c>
      <c r="E30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4" spans="1:6" x14ac:dyDescent="0.35">
      <c r="A3074" s="3">
        <v>74745671375</v>
      </c>
      <c r="B3074" s="3">
        <v>340</v>
      </c>
      <c r="C3074" s="32">
        <v>49217</v>
      </c>
      <c r="D3074" s="32">
        <v>49322</v>
      </c>
      <c r="E30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75" spans="1:6" x14ac:dyDescent="0.35">
      <c r="A3075" s="3">
        <v>31685208410</v>
      </c>
      <c r="B3075" s="3">
        <v>41</v>
      </c>
      <c r="C3075" s="32">
        <v>49218</v>
      </c>
      <c r="D3075" s="32">
        <v>49237</v>
      </c>
      <c r="E30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076" spans="1:6" x14ac:dyDescent="0.35">
      <c r="A3076" s="3">
        <v>62080586561</v>
      </c>
      <c r="B3076" s="3">
        <v>48</v>
      </c>
      <c r="C3076" s="32">
        <v>49218</v>
      </c>
      <c r="D3076" s="32">
        <v>49313</v>
      </c>
      <c r="E30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77" spans="1:6" x14ac:dyDescent="0.35">
      <c r="A3077" s="3">
        <v>60333257748</v>
      </c>
      <c r="B3077" s="3">
        <v>65</v>
      </c>
      <c r="C3077" s="32">
        <v>49218</v>
      </c>
      <c r="D3077" s="32" t="s">
        <v>87</v>
      </c>
      <c r="E30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8" spans="1:6" x14ac:dyDescent="0.35">
      <c r="A3078" s="3">
        <v>34135677104</v>
      </c>
      <c r="B3078" s="3">
        <v>69</v>
      </c>
      <c r="C3078" s="32">
        <v>49218</v>
      </c>
      <c r="D3078" s="32" t="s">
        <v>87</v>
      </c>
      <c r="E30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9" spans="1:6" x14ac:dyDescent="0.35">
      <c r="A3079" s="3">
        <v>70266681790</v>
      </c>
      <c r="B3079" s="3">
        <v>81</v>
      </c>
      <c r="C3079" s="32">
        <v>49218</v>
      </c>
      <c r="D3079" s="32">
        <v>49259</v>
      </c>
      <c r="E30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080" spans="1:6" x14ac:dyDescent="0.35">
      <c r="A3080" s="3">
        <v>73161937694</v>
      </c>
      <c r="B3080" s="3">
        <v>97</v>
      </c>
      <c r="C3080" s="32">
        <v>49218</v>
      </c>
      <c r="D3080" s="32" t="s">
        <v>87</v>
      </c>
      <c r="E30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1" spans="1:6" x14ac:dyDescent="0.35">
      <c r="A3081" s="3">
        <v>15049825238</v>
      </c>
      <c r="B3081" s="3">
        <v>111</v>
      </c>
      <c r="C3081" s="32">
        <v>49218</v>
      </c>
      <c r="D3081" s="32"/>
      <c r="E30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2" spans="1:6" x14ac:dyDescent="0.35">
      <c r="A3082" s="3">
        <v>65343017170</v>
      </c>
      <c r="B3082" s="3">
        <v>117</v>
      </c>
      <c r="C3082" s="32">
        <v>49218</v>
      </c>
      <c r="D3082" s="32" t="s">
        <v>87</v>
      </c>
      <c r="E30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3" spans="1:6" x14ac:dyDescent="0.35">
      <c r="A3083" s="3">
        <v>92222289798</v>
      </c>
      <c r="B3083" s="3">
        <v>120</v>
      </c>
      <c r="C3083" s="32">
        <v>49218</v>
      </c>
      <c r="D3083" s="32" t="s">
        <v>87</v>
      </c>
      <c r="E30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4" spans="1:6" x14ac:dyDescent="0.35">
      <c r="A3084" s="3">
        <v>36190466650</v>
      </c>
      <c r="B3084" s="3">
        <v>138</v>
      </c>
      <c r="C3084" s="32">
        <v>49218</v>
      </c>
      <c r="D3084" s="32" t="s">
        <v>87</v>
      </c>
      <c r="E30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5" spans="1:6" x14ac:dyDescent="0.35">
      <c r="A3085" s="3">
        <v>79984531554</v>
      </c>
      <c r="B3085" s="3">
        <v>149</v>
      </c>
      <c r="C3085" s="32">
        <v>49218</v>
      </c>
      <c r="D3085" s="32"/>
      <c r="E30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6" spans="1:6" x14ac:dyDescent="0.35">
      <c r="A3086" s="3">
        <v>79034727071</v>
      </c>
      <c r="B3086" s="3">
        <v>161</v>
      </c>
      <c r="C3086" s="32">
        <v>49218</v>
      </c>
      <c r="D3086" s="32" t="s">
        <v>87</v>
      </c>
      <c r="E30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7" spans="1:6" x14ac:dyDescent="0.35">
      <c r="A3087" s="3">
        <v>88904755265</v>
      </c>
      <c r="B3087" s="3">
        <v>164</v>
      </c>
      <c r="C3087" s="32">
        <v>49218</v>
      </c>
      <c r="D3087" s="32"/>
      <c r="E30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8" spans="1:6" x14ac:dyDescent="0.35">
      <c r="A3088" s="3">
        <v>68963250817</v>
      </c>
      <c r="B3088" s="3">
        <v>164</v>
      </c>
      <c r="C3088" s="32">
        <v>49218</v>
      </c>
      <c r="D3088" s="32" t="s">
        <v>87</v>
      </c>
      <c r="E30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9" spans="1:6" x14ac:dyDescent="0.35">
      <c r="A3089" s="3">
        <v>54620541972</v>
      </c>
      <c r="B3089" s="3">
        <v>180</v>
      </c>
      <c r="C3089" s="32">
        <v>49218</v>
      </c>
      <c r="D3089" s="32"/>
      <c r="E30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0" spans="1:6" x14ac:dyDescent="0.35">
      <c r="A3090" s="3">
        <v>34975527403</v>
      </c>
      <c r="B3090" s="3">
        <v>288</v>
      </c>
      <c r="C3090" s="32">
        <v>49218</v>
      </c>
      <c r="D3090" s="32">
        <v>49309</v>
      </c>
      <c r="E30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91" spans="1:6" x14ac:dyDescent="0.35">
      <c r="A3091" s="3">
        <v>88985442349</v>
      </c>
      <c r="B3091" s="3">
        <v>297</v>
      </c>
      <c r="C3091" s="32">
        <v>49218</v>
      </c>
      <c r="D3091" s="32"/>
      <c r="E30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2" spans="1:6" x14ac:dyDescent="0.35">
      <c r="A3092" s="3">
        <v>70586292878</v>
      </c>
      <c r="B3092" s="3">
        <v>301</v>
      </c>
      <c r="C3092" s="32">
        <v>49218</v>
      </c>
      <c r="D3092" s="32" t="s">
        <v>87</v>
      </c>
      <c r="E30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3" spans="1:6" x14ac:dyDescent="0.35">
      <c r="A3093" s="3">
        <v>29607532301</v>
      </c>
      <c r="B3093" s="3">
        <v>303</v>
      </c>
      <c r="C3093" s="32">
        <v>49218</v>
      </c>
      <c r="D3093" s="32" t="s">
        <v>87</v>
      </c>
      <c r="E30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4" spans="1:6" x14ac:dyDescent="0.35">
      <c r="A3094" s="3">
        <v>81588566520</v>
      </c>
      <c r="B3094" s="3">
        <v>315</v>
      </c>
      <c r="C3094" s="32">
        <v>49218</v>
      </c>
      <c r="D3094" s="32" t="s">
        <v>87</v>
      </c>
      <c r="E30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5" spans="1:6" x14ac:dyDescent="0.35">
      <c r="A3095" s="3">
        <v>74745934023</v>
      </c>
      <c r="B3095" s="3">
        <v>317</v>
      </c>
      <c r="C3095" s="32">
        <v>49218</v>
      </c>
      <c r="D3095" s="32" t="s">
        <v>87</v>
      </c>
      <c r="E30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6" spans="1:6" x14ac:dyDescent="0.35">
      <c r="A3096" s="3">
        <v>78640464087</v>
      </c>
      <c r="B3096" s="3">
        <v>317</v>
      </c>
      <c r="C3096" s="32">
        <v>49218</v>
      </c>
      <c r="D3096" s="32">
        <v>49325</v>
      </c>
      <c r="E30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97" spans="1:6" x14ac:dyDescent="0.35">
      <c r="A3097" s="3">
        <v>60650446474</v>
      </c>
      <c r="B3097" s="3">
        <v>320</v>
      </c>
      <c r="C3097" s="32">
        <v>49218</v>
      </c>
      <c r="D3097" s="32">
        <v>49289</v>
      </c>
      <c r="E30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98" spans="1:6" x14ac:dyDescent="0.35">
      <c r="A3098" s="3">
        <v>36937495184</v>
      </c>
      <c r="B3098" s="3">
        <v>326</v>
      </c>
      <c r="C3098" s="32">
        <v>49218</v>
      </c>
      <c r="D3098" s="32" t="s">
        <v>87</v>
      </c>
      <c r="E30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9" spans="1:6" x14ac:dyDescent="0.35">
      <c r="A3099" s="3">
        <v>64613616072</v>
      </c>
      <c r="B3099" s="3">
        <v>0</v>
      </c>
      <c r="C3099" s="32">
        <v>49219</v>
      </c>
      <c r="D3099" s="32">
        <v>49268</v>
      </c>
      <c r="E30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00" spans="1:6" x14ac:dyDescent="0.35">
      <c r="A3100" s="3">
        <v>34476946544</v>
      </c>
      <c r="B3100" s="3">
        <v>8</v>
      </c>
      <c r="C3100" s="32">
        <v>49219</v>
      </c>
      <c r="D3100" s="32" t="s">
        <v>87</v>
      </c>
      <c r="E3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01" spans="1:6" x14ac:dyDescent="0.35">
      <c r="A3101" s="3">
        <v>34357081515</v>
      </c>
      <c r="B3101" s="3">
        <v>18</v>
      </c>
      <c r="C3101" s="32">
        <v>49219</v>
      </c>
      <c r="D3101" s="32">
        <v>49326</v>
      </c>
      <c r="E3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02" spans="1:6" x14ac:dyDescent="0.35">
      <c r="A3102" s="3">
        <v>59614889926</v>
      </c>
      <c r="B3102" s="3">
        <v>19</v>
      </c>
      <c r="C3102" s="32">
        <v>49219</v>
      </c>
      <c r="D3102" s="32"/>
      <c r="E3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03" spans="1:6" x14ac:dyDescent="0.35">
      <c r="A3103" s="3">
        <v>90556119079</v>
      </c>
      <c r="B3103" s="3">
        <v>33</v>
      </c>
      <c r="C3103" s="32">
        <v>49219</v>
      </c>
      <c r="D3103" s="32">
        <v>49271</v>
      </c>
      <c r="E3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04" spans="1:6" x14ac:dyDescent="0.35">
      <c r="A3104" s="3">
        <v>87537082431</v>
      </c>
      <c r="B3104" s="3">
        <v>43</v>
      </c>
      <c r="C3104" s="32">
        <v>49219</v>
      </c>
      <c r="D3104" s="32">
        <v>49269</v>
      </c>
      <c r="E3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05" spans="1:6" x14ac:dyDescent="0.35">
      <c r="A3105" s="3">
        <v>74787910243</v>
      </c>
      <c r="B3105" s="3">
        <v>49</v>
      </c>
      <c r="C3105" s="32">
        <v>49219</v>
      </c>
      <c r="D3105" s="32"/>
      <c r="E3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06" spans="1:6" x14ac:dyDescent="0.35">
      <c r="A3106" s="3">
        <v>64105522125</v>
      </c>
      <c r="B3106" s="3">
        <v>95</v>
      </c>
      <c r="C3106" s="32">
        <v>49219</v>
      </c>
      <c r="D3106" s="32">
        <v>49314</v>
      </c>
      <c r="E3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07" spans="1:6" x14ac:dyDescent="0.35">
      <c r="A3107" s="3">
        <v>65087052025</v>
      </c>
      <c r="B3107" s="3">
        <v>118</v>
      </c>
      <c r="C3107" s="32">
        <v>49219</v>
      </c>
      <c r="D3107" s="32" t="s">
        <v>87</v>
      </c>
      <c r="E3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08" spans="1:6" x14ac:dyDescent="0.35">
      <c r="A3108" s="3">
        <v>57343594933</v>
      </c>
      <c r="B3108" s="3">
        <v>119</v>
      </c>
      <c r="C3108" s="32">
        <v>49219</v>
      </c>
      <c r="D3108" s="32" t="s">
        <v>87</v>
      </c>
      <c r="E3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09" spans="1:6" x14ac:dyDescent="0.35">
      <c r="A3109" s="3">
        <v>63035551017</v>
      </c>
      <c r="B3109" s="3">
        <v>149</v>
      </c>
      <c r="C3109" s="32">
        <v>49219</v>
      </c>
      <c r="D3109" s="32">
        <v>49284</v>
      </c>
      <c r="E3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10" spans="1:6" x14ac:dyDescent="0.35">
      <c r="A3110" s="3">
        <v>81375624905</v>
      </c>
      <c r="B3110" s="3">
        <v>170</v>
      </c>
      <c r="C3110" s="32">
        <v>49219</v>
      </c>
      <c r="D3110" s="32" t="s">
        <v>87</v>
      </c>
      <c r="E3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1" spans="1:6" x14ac:dyDescent="0.35">
      <c r="A3111" s="3">
        <v>70002133541</v>
      </c>
      <c r="B3111" s="3">
        <v>170</v>
      </c>
      <c r="C3111" s="32">
        <v>49219</v>
      </c>
      <c r="D3111" s="32">
        <v>49300</v>
      </c>
      <c r="E3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12" spans="1:6" x14ac:dyDescent="0.35">
      <c r="A3112" s="3">
        <v>15110517907</v>
      </c>
      <c r="B3112" s="3">
        <v>189</v>
      </c>
      <c r="C3112" s="32">
        <v>49219</v>
      </c>
      <c r="D3112" s="32" t="s">
        <v>87</v>
      </c>
      <c r="E3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3" spans="1:6" x14ac:dyDescent="0.35">
      <c r="A3113" s="3">
        <v>82614362556</v>
      </c>
      <c r="B3113" s="3">
        <v>192</v>
      </c>
      <c r="C3113" s="32">
        <v>49219</v>
      </c>
      <c r="D3113" s="32" t="s">
        <v>87</v>
      </c>
      <c r="E3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4" spans="1:6" x14ac:dyDescent="0.35">
      <c r="A3114" s="3">
        <v>90280762469</v>
      </c>
      <c r="B3114" s="3">
        <v>211</v>
      </c>
      <c r="C3114" s="32">
        <v>49219</v>
      </c>
      <c r="D3114" s="32" t="s">
        <v>87</v>
      </c>
      <c r="E3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5" spans="1:6" x14ac:dyDescent="0.35">
      <c r="A3115" s="3">
        <v>89931160570</v>
      </c>
      <c r="B3115" s="3">
        <v>230</v>
      </c>
      <c r="C3115" s="32">
        <v>49219</v>
      </c>
      <c r="D3115" s="32" t="s">
        <v>87</v>
      </c>
      <c r="E3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6" spans="1:6" x14ac:dyDescent="0.35">
      <c r="A3116" s="3">
        <v>82760802054</v>
      </c>
      <c r="B3116" s="3">
        <v>239</v>
      </c>
      <c r="C3116" s="32">
        <v>49219</v>
      </c>
      <c r="D3116" s="32"/>
      <c r="E3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7" spans="1:6" x14ac:dyDescent="0.35">
      <c r="A3117" s="3">
        <v>19065228033</v>
      </c>
      <c r="B3117" s="3">
        <v>267</v>
      </c>
      <c r="C3117" s="32">
        <v>49219</v>
      </c>
      <c r="D3117" s="32" t="s">
        <v>87</v>
      </c>
      <c r="E3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8" spans="1:6" x14ac:dyDescent="0.35">
      <c r="A3118" s="3">
        <v>56935189482</v>
      </c>
      <c r="B3118" s="3">
        <v>308</v>
      </c>
      <c r="C3118" s="32">
        <v>49219</v>
      </c>
      <c r="D3118" s="32" t="s">
        <v>87</v>
      </c>
      <c r="E3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9" spans="1:6" x14ac:dyDescent="0.35">
      <c r="A3119" s="3">
        <v>58796466481</v>
      </c>
      <c r="B3119" s="3">
        <v>324</v>
      </c>
      <c r="C3119" s="32">
        <v>49219</v>
      </c>
      <c r="D3119" s="32">
        <v>49297</v>
      </c>
      <c r="E3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20" spans="1:6" x14ac:dyDescent="0.35">
      <c r="A3120" s="3">
        <v>56352367597</v>
      </c>
      <c r="B3120" s="3">
        <v>325</v>
      </c>
      <c r="C3120" s="32">
        <v>49219</v>
      </c>
      <c r="D3120" s="32"/>
      <c r="E3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1" spans="1:6" x14ac:dyDescent="0.35">
      <c r="A3121" s="3">
        <v>96359961287</v>
      </c>
      <c r="B3121" s="3">
        <v>326</v>
      </c>
      <c r="C3121" s="32">
        <v>49219</v>
      </c>
      <c r="D3121" s="32" t="s">
        <v>87</v>
      </c>
      <c r="E3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2" spans="1:6" x14ac:dyDescent="0.35">
      <c r="A3122" s="3">
        <v>72828981104</v>
      </c>
      <c r="B3122" s="3">
        <v>334</v>
      </c>
      <c r="C3122" s="32">
        <v>49219</v>
      </c>
      <c r="D3122" s="32" t="s">
        <v>87</v>
      </c>
      <c r="E3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3" spans="1:6" x14ac:dyDescent="0.35">
      <c r="A3123" s="3">
        <v>80238258917</v>
      </c>
      <c r="B3123" s="3">
        <v>4</v>
      </c>
      <c r="C3123" s="32">
        <v>49220</v>
      </c>
      <c r="D3123" s="32">
        <v>49310</v>
      </c>
      <c r="E3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24" spans="1:6" x14ac:dyDescent="0.35">
      <c r="A3124" s="3">
        <v>56662805953</v>
      </c>
      <c r="B3124" s="3">
        <v>28</v>
      </c>
      <c r="C3124" s="32">
        <v>49220</v>
      </c>
      <c r="D3124" s="32"/>
      <c r="E3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5" spans="1:6" x14ac:dyDescent="0.35">
      <c r="A3125" s="3">
        <v>67570902592</v>
      </c>
      <c r="B3125" s="3">
        <v>64</v>
      </c>
      <c r="C3125" s="32">
        <v>49220</v>
      </c>
      <c r="D3125" s="32" t="s">
        <v>87</v>
      </c>
      <c r="E3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6" spans="1:6" x14ac:dyDescent="0.35">
      <c r="A3126" s="3">
        <v>23680690339</v>
      </c>
      <c r="B3126" s="3">
        <v>98</v>
      </c>
      <c r="C3126" s="32">
        <v>49220</v>
      </c>
      <c r="D3126" s="32" t="s">
        <v>87</v>
      </c>
      <c r="E3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7" spans="1:6" x14ac:dyDescent="0.35">
      <c r="A3127" s="3">
        <v>89643518465</v>
      </c>
      <c r="B3127" s="3">
        <v>99</v>
      </c>
      <c r="C3127" s="32">
        <v>49220</v>
      </c>
      <c r="D3127" s="32" t="s">
        <v>87</v>
      </c>
      <c r="E3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8" spans="1:6" x14ac:dyDescent="0.35">
      <c r="A3128" s="3">
        <v>29482372589</v>
      </c>
      <c r="B3128" s="3">
        <v>122</v>
      </c>
      <c r="C3128" s="32">
        <v>49220</v>
      </c>
      <c r="D3128" s="32" t="s">
        <v>87</v>
      </c>
      <c r="E3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9" spans="1:6" x14ac:dyDescent="0.35">
      <c r="A3129" s="3">
        <v>54176670207</v>
      </c>
      <c r="B3129" s="3">
        <v>127</v>
      </c>
      <c r="C3129" s="32">
        <v>49220</v>
      </c>
      <c r="D3129" s="32" t="s">
        <v>87</v>
      </c>
      <c r="E3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0" spans="1:6" x14ac:dyDescent="0.35">
      <c r="A3130" s="3">
        <v>70209876982</v>
      </c>
      <c r="B3130" s="3">
        <v>129</v>
      </c>
      <c r="C3130" s="32">
        <v>49220</v>
      </c>
      <c r="D3130" s="32">
        <v>49279</v>
      </c>
      <c r="E3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31" spans="1:6" x14ac:dyDescent="0.35">
      <c r="A3131" s="3">
        <v>56922942366</v>
      </c>
      <c r="B3131" s="3">
        <v>131</v>
      </c>
      <c r="C3131" s="32">
        <v>49220</v>
      </c>
      <c r="D3131" s="32" t="s">
        <v>87</v>
      </c>
      <c r="E3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2" spans="1:6" x14ac:dyDescent="0.35">
      <c r="A3132" s="3">
        <v>49090380769</v>
      </c>
      <c r="B3132" s="3">
        <v>162</v>
      </c>
      <c r="C3132" s="32">
        <v>49220</v>
      </c>
      <c r="D3132" s="32" t="s">
        <v>87</v>
      </c>
      <c r="E3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3" spans="1:6" x14ac:dyDescent="0.35">
      <c r="A3133" s="3">
        <v>65885575518</v>
      </c>
      <c r="B3133" s="3">
        <v>191</v>
      </c>
      <c r="C3133" s="32">
        <v>49220</v>
      </c>
      <c r="D3133" s="32" t="s">
        <v>87</v>
      </c>
      <c r="E3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4" spans="1:6" x14ac:dyDescent="0.35">
      <c r="A3134" s="3">
        <v>90864196169</v>
      </c>
      <c r="B3134" s="3">
        <v>193</v>
      </c>
      <c r="C3134" s="32">
        <v>49220</v>
      </c>
      <c r="D3134" s="32">
        <v>49277</v>
      </c>
      <c r="E3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35" spans="1:6" x14ac:dyDescent="0.35">
      <c r="A3135" s="3">
        <v>74062163234</v>
      </c>
      <c r="B3135" s="3">
        <v>205</v>
      </c>
      <c r="C3135" s="32">
        <v>49220</v>
      </c>
      <c r="D3135" s="32" t="s">
        <v>87</v>
      </c>
      <c r="E3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6" spans="1:6" x14ac:dyDescent="0.35">
      <c r="A3136" s="3">
        <v>94201536105</v>
      </c>
      <c r="B3136" s="3">
        <v>228</v>
      </c>
      <c r="C3136" s="32">
        <v>49220</v>
      </c>
      <c r="D3136" s="32" t="s">
        <v>87</v>
      </c>
      <c r="E3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7" spans="1:6" x14ac:dyDescent="0.35">
      <c r="A3137" s="3">
        <v>41433086614</v>
      </c>
      <c r="B3137" s="3">
        <v>228</v>
      </c>
      <c r="C3137" s="32">
        <v>49220</v>
      </c>
      <c r="D3137" s="32">
        <v>49322</v>
      </c>
      <c r="E3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38" spans="1:6" x14ac:dyDescent="0.35">
      <c r="A3138" s="3">
        <v>71194139658</v>
      </c>
      <c r="B3138" s="3">
        <v>235</v>
      </c>
      <c r="C3138" s="32">
        <v>49220</v>
      </c>
      <c r="D3138" s="32" t="s">
        <v>87</v>
      </c>
      <c r="E3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9" spans="1:6" x14ac:dyDescent="0.35">
      <c r="A3139" s="3">
        <v>99946012111</v>
      </c>
      <c r="B3139" s="3">
        <v>293</v>
      </c>
      <c r="C3139" s="32">
        <v>49220</v>
      </c>
      <c r="D3139" s="32">
        <v>49324</v>
      </c>
      <c r="E3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40" spans="1:6" x14ac:dyDescent="0.35">
      <c r="A3140" s="3">
        <v>64497290028</v>
      </c>
      <c r="B3140" s="3">
        <v>325</v>
      </c>
      <c r="C3140" s="32">
        <v>49220</v>
      </c>
      <c r="D3140" s="32" t="s">
        <v>87</v>
      </c>
      <c r="E3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1" spans="1:6" x14ac:dyDescent="0.35">
      <c r="A3141" s="3">
        <v>45958977953</v>
      </c>
      <c r="B3141" s="3">
        <v>336</v>
      </c>
      <c r="C3141" s="32">
        <v>49220</v>
      </c>
      <c r="D3141" s="32" t="s">
        <v>87</v>
      </c>
      <c r="E3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2" spans="1:6" x14ac:dyDescent="0.35">
      <c r="A3142" s="3">
        <v>96602816744</v>
      </c>
      <c r="B3142" s="3">
        <v>340</v>
      </c>
      <c r="C3142" s="32">
        <v>49220</v>
      </c>
      <c r="D3142" s="32" t="s">
        <v>87</v>
      </c>
      <c r="E3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3" spans="1:6" x14ac:dyDescent="0.35">
      <c r="A3143" s="3">
        <v>96397077767</v>
      </c>
      <c r="B3143" s="3">
        <v>4</v>
      </c>
      <c r="C3143" s="32">
        <v>49221</v>
      </c>
      <c r="D3143" s="32" t="s">
        <v>87</v>
      </c>
      <c r="E3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4" spans="1:6" x14ac:dyDescent="0.35">
      <c r="A3144" s="3">
        <v>31904705093</v>
      </c>
      <c r="B3144" s="3">
        <v>6</v>
      </c>
      <c r="C3144" s="32">
        <v>49221</v>
      </c>
      <c r="D3144" s="32" t="s">
        <v>87</v>
      </c>
      <c r="E3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5" spans="1:6" x14ac:dyDescent="0.35">
      <c r="A3145" s="3">
        <v>62839303478</v>
      </c>
      <c r="B3145" s="3">
        <v>14</v>
      </c>
      <c r="C3145" s="32">
        <v>49221</v>
      </c>
      <c r="D3145" s="32" t="s">
        <v>87</v>
      </c>
      <c r="E3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6" spans="1:6" x14ac:dyDescent="0.35">
      <c r="A3146" s="3">
        <v>43644263831</v>
      </c>
      <c r="B3146" s="3">
        <v>20</v>
      </c>
      <c r="C3146" s="32">
        <v>49221</v>
      </c>
      <c r="D3146" s="32"/>
      <c r="E3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7" spans="1:6" x14ac:dyDescent="0.35">
      <c r="A3147" s="3">
        <v>34766189472</v>
      </c>
      <c r="B3147" s="3">
        <v>41</v>
      </c>
      <c r="C3147" s="32">
        <v>49221</v>
      </c>
      <c r="D3147" s="32" t="s">
        <v>87</v>
      </c>
      <c r="E3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8" spans="1:6" x14ac:dyDescent="0.35">
      <c r="A3148" s="3">
        <v>51972542139</v>
      </c>
      <c r="B3148" s="3">
        <v>92</v>
      </c>
      <c r="C3148" s="32">
        <v>49221</v>
      </c>
      <c r="D3148" s="32" t="s">
        <v>87</v>
      </c>
      <c r="E3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9" spans="1:6" x14ac:dyDescent="0.35">
      <c r="A3149" s="3">
        <v>59968263580</v>
      </c>
      <c r="B3149" s="3">
        <v>99</v>
      </c>
      <c r="C3149" s="32">
        <v>49221</v>
      </c>
      <c r="D3149" s="32" t="s">
        <v>87</v>
      </c>
      <c r="E3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0" spans="1:6" x14ac:dyDescent="0.35">
      <c r="A3150" s="3">
        <v>86960727353</v>
      </c>
      <c r="B3150" s="3">
        <v>115</v>
      </c>
      <c r="C3150" s="32">
        <v>49221</v>
      </c>
      <c r="D3150" s="32">
        <v>49335</v>
      </c>
      <c r="E3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51" spans="1:6" x14ac:dyDescent="0.35">
      <c r="A3151" s="3">
        <v>87051335657</v>
      </c>
      <c r="B3151" s="3">
        <v>118</v>
      </c>
      <c r="C3151" s="32">
        <v>49221</v>
      </c>
      <c r="D3151" s="32">
        <v>49335</v>
      </c>
      <c r="E3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52" spans="1:6" x14ac:dyDescent="0.35">
      <c r="A3152" s="3">
        <v>35797581735</v>
      </c>
      <c r="B3152" s="3">
        <v>145</v>
      </c>
      <c r="C3152" s="32">
        <v>49221</v>
      </c>
      <c r="D3152" s="32"/>
      <c r="E3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3" spans="1:6" x14ac:dyDescent="0.35">
      <c r="A3153" s="3">
        <v>78857189707</v>
      </c>
      <c r="B3153" s="3">
        <v>163</v>
      </c>
      <c r="C3153" s="32">
        <v>49221</v>
      </c>
      <c r="D3153" s="32" t="s">
        <v>87</v>
      </c>
      <c r="E3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4" spans="1:6" x14ac:dyDescent="0.35">
      <c r="A3154" s="3">
        <v>35244990534</v>
      </c>
      <c r="B3154" s="3">
        <v>167</v>
      </c>
      <c r="C3154" s="32">
        <v>49221</v>
      </c>
      <c r="D3154" s="32" t="s">
        <v>87</v>
      </c>
      <c r="E3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5" spans="1:6" x14ac:dyDescent="0.35">
      <c r="A3155" s="3">
        <v>25391374490</v>
      </c>
      <c r="B3155" s="3">
        <v>177</v>
      </c>
      <c r="C3155" s="32">
        <v>49221</v>
      </c>
      <c r="D3155" s="32" t="s">
        <v>87</v>
      </c>
      <c r="E3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6" spans="1:6" x14ac:dyDescent="0.35">
      <c r="A3156" s="3">
        <v>97872336105</v>
      </c>
      <c r="B3156" s="3">
        <v>195</v>
      </c>
      <c r="C3156" s="32">
        <v>49221</v>
      </c>
      <c r="D3156" s="32"/>
      <c r="E3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7" spans="1:6" x14ac:dyDescent="0.35">
      <c r="A3157" s="3">
        <v>58164605794</v>
      </c>
      <c r="B3157" s="3">
        <v>215</v>
      </c>
      <c r="C3157" s="32">
        <v>49221</v>
      </c>
      <c r="D3157" s="32" t="s">
        <v>87</v>
      </c>
      <c r="E3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8" spans="1:6" x14ac:dyDescent="0.35">
      <c r="A3158" s="3">
        <v>57862725009</v>
      </c>
      <c r="B3158" s="3">
        <v>222</v>
      </c>
      <c r="C3158" s="32">
        <v>49221</v>
      </c>
      <c r="D3158" s="32" t="s">
        <v>87</v>
      </c>
      <c r="E3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9" spans="1:6" x14ac:dyDescent="0.35">
      <c r="A3159" s="3">
        <v>22940870009</v>
      </c>
      <c r="B3159" s="3">
        <v>223</v>
      </c>
      <c r="C3159" s="32">
        <v>49221</v>
      </c>
      <c r="D3159" s="32" t="s">
        <v>87</v>
      </c>
      <c r="E3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0" spans="1:6" x14ac:dyDescent="0.35">
      <c r="A3160" s="3">
        <v>84746570079</v>
      </c>
      <c r="B3160" s="3">
        <v>233</v>
      </c>
      <c r="C3160" s="32">
        <v>49221</v>
      </c>
      <c r="D3160" s="32">
        <v>49276</v>
      </c>
      <c r="E3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61" spans="1:6" x14ac:dyDescent="0.35">
      <c r="A3161" s="3">
        <v>33426858919</v>
      </c>
      <c r="B3161" s="3">
        <v>233</v>
      </c>
      <c r="C3161" s="32">
        <v>49221</v>
      </c>
      <c r="D3161" s="32" t="s">
        <v>87</v>
      </c>
      <c r="E3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2" spans="1:6" x14ac:dyDescent="0.35">
      <c r="A3162" s="3">
        <v>51109963282</v>
      </c>
      <c r="B3162" s="3">
        <v>267</v>
      </c>
      <c r="C3162" s="32">
        <v>49221</v>
      </c>
      <c r="D3162" s="32"/>
      <c r="E3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3" spans="1:6" x14ac:dyDescent="0.35">
      <c r="A3163" s="3">
        <v>58212405077</v>
      </c>
      <c r="B3163" s="3">
        <v>0</v>
      </c>
      <c r="C3163" s="32">
        <v>49222</v>
      </c>
      <c r="D3163" s="32" t="s">
        <v>87</v>
      </c>
      <c r="E3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4" spans="1:6" x14ac:dyDescent="0.35">
      <c r="A3164" s="3">
        <v>66448161871</v>
      </c>
      <c r="B3164" s="3">
        <v>2</v>
      </c>
      <c r="C3164" s="32">
        <v>49222</v>
      </c>
      <c r="D3164" s="32" t="s">
        <v>87</v>
      </c>
      <c r="E3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5" spans="1:6" x14ac:dyDescent="0.35">
      <c r="A3165" s="3">
        <v>19727163711</v>
      </c>
      <c r="B3165" s="3">
        <v>76</v>
      </c>
      <c r="C3165" s="32">
        <v>49222</v>
      </c>
      <c r="D3165" s="32">
        <v>49242</v>
      </c>
      <c r="E3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166" spans="1:6" x14ac:dyDescent="0.35">
      <c r="A3166" s="3">
        <v>32417274520</v>
      </c>
      <c r="B3166" s="3">
        <v>116</v>
      </c>
      <c r="C3166" s="32">
        <v>49222</v>
      </c>
      <c r="D3166" s="32">
        <v>49321</v>
      </c>
      <c r="E3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67" spans="1:6" x14ac:dyDescent="0.35">
      <c r="A3167" s="3">
        <v>75506101587</v>
      </c>
      <c r="B3167" s="3">
        <v>153</v>
      </c>
      <c r="C3167" s="32">
        <v>49222</v>
      </c>
      <c r="D3167" s="32" t="s">
        <v>87</v>
      </c>
      <c r="E3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8" spans="1:6" x14ac:dyDescent="0.35">
      <c r="A3168" s="3">
        <v>25371630028</v>
      </c>
      <c r="B3168" s="3">
        <v>164</v>
      </c>
      <c r="C3168" s="32">
        <v>49222</v>
      </c>
      <c r="D3168" s="32"/>
      <c r="E3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9" spans="1:6" x14ac:dyDescent="0.35">
      <c r="A3169" s="3">
        <v>28605671830</v>
      </c>
      <c r="B3169" s="3">
        <v>189</v>
      </c>
      <c r="C3169" s="32">
        <v>49222</v>
      </c>
      <c r="D3169" s="32" t="s">
        <v>87</v>
      </c>
      <c r="E3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70" spans="1:6" x14ac:dyDescent="0.35">
      <c r="A3170" s="3">
        <v>93564386691</v>
      </c>
      <c r="B3170" s="3">
        <v>193</v>
      </c>
      <c r="C3170" s="32">
        <v>49222</v>
      </c>
      <c r="D3170" s="32" t="s">
        <v>87</v>
      </c>
      <c r="E3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71" spans="1:6" x14ac:dyDescent="0.35">
      <c r="A3171" s="3">
        <v>25616960129</v>
      </c>
      <c r="B3171" s="3">
        <v>204</v>
      </c>
      <c r="C3171" s="32">
        <v>49222</v>
      </c>
      <c r="D3171" s="32"/>
      <c r="E3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72" spans="1:6" x14ac:dyDescent="0.35">
      <c r="A3172" s="3">
        <v>11144554065</v>
      </c>
      <c r="B3172" s="3">
        <v>204</v>
      </c>
      <c r="C3172" s="32">
        <v>49222</v>
      </c>
      <c r="D3172" s="32">
        <v>49297</v>
      </c>
      <c r="E3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73" spans="1:6" x14ac:dyDescent="0.35">
      <c r="A3173" s="3">
        <v>43603144545</v>
      </c>
      <c r="B3173" s="3">
        <v>209</v>
      </c>
      <c r="C3173" s="32">
        <v>49222</v>
      </c>
      <c r="D3173" s="32" t="s">
        <v>87</v>
      </c>
      <c r="E3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74" spans="1:6" x14ac:dyDescent="0.35">
      <c r="A3174" s="3">
        <v>91193358546</v>
      </c>
      <c r="B3174" s="3">
        <v>212</v>
      </c>
      <c r="C3174" s="32">
        <v>49222</v>
      </c>
      <c r="D3174" s="32">
        <v>49282</v>
      </c>
      <c r="E3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75" spans="1:6" x14ac:dyDescent="0.35">
      <c r="A3175" s="3">
        <v>36139501955</v>
      </c>
      <c r="B3175" s="3">
        <v>254</v>
      </c>
      <c r="C3175" s="32">
        <v>49222</v>
      </c>
      <c r="D3175" s="32"/>
      <c r="E3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76" spans="1:6" x14ac:dyDescent="0.35">
      <c r="A3176" s="3">
        <v>14555969825</v>
      </c>
      <c r="B3176" s="3">
        <v>277</v>
      </c>
      <c r="C3176" s="32">
        <v>49222</v>
      </c>
      <c r="D3176" s="32">
        <v>49288</v>
      </c>
      <c r="E3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77" spans="1:6" x14ac:dyDescent="0.35">
      <c r="A3177" s="3">
        <v>59353316326</v>
      </c>
      <c r="B3177" s="3">
        <v>280</v>
      </c>
      <c r="C3177" s="32">
        <v>49222</v>
      </c>
      <c r="D3177" s="32">
        <v>49260</v>
      </c>
      <c r="E3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78" spans="1:6" x14ac:dyDescent="0.35">
      <c r="A3178" s="3">
        <v>41971205795</v>
      </c>
      <c r="B3178" s="3">
        <v>319</v>
      </c>
      <c r="C3178" s="32">
        <v>49222</v>
      </c>
      <c r="D3178" s="32">
        <v>49250</v>
      </c>
      <c r="E3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79" spans="1:6" x14ac:dyDescent="0.35">
      <c r="A3179" s="3">
        <v>46102833460</v>
      </c>
      <c r="B3179" s="3">
        <v>7</v>
      </c>
      <c r="C3179" s="32">
        <v>49223</v>
      </c>
      <c r="D3179" s="32"/>
      <c r="E3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0" spans="1:6" x14ac:dyDescent="0.35">
      <c r="A3180" s="3">
        <v>41586471581</v>
      </c>
      <c r="B3180" s="3">
        <v>22</v>
      </c>
      <c r="C3180" s="32">
        <v>49223</v>
      </c>
      <c r="D3180" s="32">
        <v>49336</v>
      </c>
      <c r="E3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81" spans="1:6" x14ac:dyDescent="0.35">
      <c r="A3181" s="3">
        <v>74658431822</v>
      </c>
      <c r="B3181" s="3">
        <v>36</v>
      </c>
      <c r="C3181" s="32">
        <v>49223</v>
      </c>
      <c r="D3181" s="32" t="s">
        <v>87</v>
      </c>
      <c r="E3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2" spans="1:6" x14ac:dyDescent="0.35">
      <c r="A3182" s="3">
        <v>22966967367</v>
      </c>
      <c r="B3182" s="3">
        <v>37</v>
      </c>
      <c r="C3182" s="32">
        <v>49223</v>
      </c>
      <c r="D3182" s="32">
        <v>49227</v>
      </c>
      <c r="E3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183" spans="1:6" x14ac:dyDescent="0.35">
      <c r="A3183" s="3">
        <v>20827397657</v>
      </c>
      <c r="B3183" s="3">
        <v>38</v>
      </c>
      <c r="C3183" s="32">
        <v>49223</v>
      </c>
      <c r="D3183" s="32">
        <v>49282</v>
      </c>
      <c r="E3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84" spans="1:6" x14ac:dyDescent="0.35">
      <c r="A3184" s="3">
        <v>98516292889</v>
      </c>
      <c r="B3184" s="3">
        <v>55</v>
      </c>
      <c r="C3184" s="32">
        <v>49223</v>
      </c>
      <c r="D3184" s="32" t="s">
        <v>87</v>
      </c>
      <c r="E3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5" spans="1:6" x14ac:dyDescent="0.35">
      <c r="A3185" s="3">
        <v>79521546734</v>
      </c>
      <c r="B3185" s="3">
        <v>68</v>
      </c>
      <c r="C3185" s="32">
        <v>49223</v>
      </c>
      <c r="D3185" s="32"/>
      <c r="E3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6" spans="1:6" x14ac:dyDescent="0.35">
      <c r="A3186" s="3">
        <v>93078833188</v>
      </c>
      <c r="B3186" s="3">
        <v>80</v>
      </c>
      <c r="C3186" s="32">
        <v>49223</v>
      </c>
      <c r="D3186" s="32" t="s">
        <v>87</v>
      </c>
      <c r="E3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7" spans="1:6" x14ac:dyDescent="0.35">
      <c r="A3187" s="3">
        <v>49129927497</v>
      </c>
      <c r="B3187" s="3">
        <v>81</v>
      </c>
      <c r="C3187" s="32">
        <v>49223</v>
      </c>
      <c r="D3187" s="32" t="s">
        <v>87</v>
      </c>
      <c r="E3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8" spans="1:6" x14ac:dyDescent="0.35">
      <c r="A3188" s="3">
        <v>60800299232</v>
      </c>
      <c r="B3188" s="3">
        <v>93</v>
      </c>
      <c r="C3188" s="32">
        <v>49223</v>
      </c>
      <c r="D3188" s="32" t="s">
        <v>87</v>
      </c>
      <c r="E3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9" spans="1:6" x14ac:dyDescent="0.35">
      <c r="A3189" s="3">
        <v>74427240040</v>
      </c>
      <c r="B3189" s="3">
        <v>95</v>
      </c>
      <c r="C3189" s="32">
        <v>49223</v>
      </c>
      <c r="D3189" s="32"/>
      <c r="E3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0" spans="1:6" x14ac:dyDescent="0.35">
      <c r="A3190" s="3">
        <v>79786017157</v>
      </c>
      <c r="B3190" s="3">
        <v>117</v>
      </c>
      <c r="C3190" s="32">
        <v>49223</v>
      </c>
      <c r="D3190" s="32" t="s">
        <v>87</v>
      </c>
      <c r="E3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1" spans="1:6" x14ac:dyDescent="0.35">
      <c r="A3191" s="3">
        <v>49832141580</v>
      </c>
      <c r="B3191" s="3">
        <v>117</v>
      </c>
      <c r="C3191" s="32">
        <v>49223</v>
      </c>
      <c r="D3191" s="32" t="s">
        <v>87</v>
      </c>
      <c r="E3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2" spans="1:6" x14ac:dyDescent="0.35">
      <c r="A3192" s="3">
        <v>28942893593</v>
      </c>
      <c r="B3192" s="3">
        <v>149</v>
      </c>
      <c r="C3192" s="32">
        <v>49223</v>
      </c>
      <c r="D3192" s="32"/>
      <c r="E3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3" spans="1:6" x14ac:dyDescent="0.35">
      <c r="A3193" s="3">
        <v>84679727108</v>
      </c>
      <c r="B3193" s="3">
        <v>154</v>
      </c>
      <c r="C3193" s="32">
        <v>49223</v>
      </c>
      <c r="D3193" s="32" t="s">
        <v>87</v>
      </c>
      <c r="E3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4" spans="1:6" x14ac:dyDescent="0.35">
      <c r="A3194" s="3">
        <v>33631181674</v>
      </c>
      <c r="B3194" s="3">
        <v>214</v>
      </c>
      <c r="C3194" s="32">
        <v>49223</v>
      </c>
      <c r="D3194" s="32" t="s">
        <v>87</v>
      </c>
      <c r="E3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5" spans="1:6" x14ac:dyDescent="0.35">
      <c r="A3195" s="3">
        <v>61661110358</v>
      </c>
      <c r="B3195" s="3">
        <v>217</v>
      </c>
      <c r="C3195" s="32">
        <v>49223</v>
      </c>
      <c r="D3195" s="32" t="s">
        <v>87</v>
      </c>
      <c r="E3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6" spans="1:6" x14ac:dyDescent="0.35">
      <c r="A3196" s="3">
        <v>59582244093</v>
      </c>
      <c r="B3196" s="3">
        <v>218</v>
      </c>
      <c r="C3196" s="32">
        <v>49223</v>
      </c>
      <c r="D3196" s="32" t="s">
        <v>87</v>
      </c>
      <c r="E3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7" spans="1:6" x14ac:dyDescent="0.35">
      <c r="A3197" s="3">
        <v>58890378597</v>
      </c>
      <c r="B3197" s="3">
        <v>231</v>
      </c>
      <c r="C3197" s="32">
        <v>49223</v>
      </c>
      <c r="D3197" s="32" t="s">
        <v>87</v>
      </c>
      <c r="E3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8" spans="1:6" x14ac:dyDescent="0.35">
      <c r="A3198" s="3">
        <v>86451688347</v>
      </c>
      <c r="B3198" s="3">
        <v>269</v>
      </c>
      <c r="C3198" s="32">
        <v>49223</v>
      </c>
      <c r="D3198" s="32" t="s">
        <v>87</v>
      </c>
      <c r="E31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9" spans="1:6" x14ac:dyDescent="0.35">
      <c r="A3199" s="3">
        <v>29216232331</v>
      </c>
      <c r="B3199" s="3">
        <v>279</v>
      </c>
      <c r="C3199" s="32">
        <v>49223</v>
      </c>
      <c r="D3199" s="32">
        <v>49280</v>
      </c>
      <c r="E31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00" spans="1:6" x14ac:dyDescent="0.35">
      <c r="A3200" s="3">
        <v>87343011752</v>
      </c>
      <c r="B3200" s="3">
        <v>299</v>
      </c>
      <c r="C3200" s="32">
        <v>49223</v>
      </c>
      <c r="D3200" s="32" t="s">
        <v>87</v>
      </c>
      <c r="E32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1" spans="1:6" x14ac:dyDescent="0.35">
      <c r="A3201" s="3">
        <v>25040747423</v>
      </c>
      <c r="B3201" s="3">
        <v>311</v>
      </c>
      <c r="C3201" s="32">
        <v>49223</v>
      </c>
      <c r="D3201" s="32" t="s">
        <v>87</v>
      </c>
      <c r="E32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2" spans="1:6" x14ac:dyDescent="0.35">
      <c r="A3202" s="3">
        <v>66637482579</v>
      </c>
      <c r="B3202" s="3">
        <v>312</v>
      </c>
      <c r="C3202" s="32">
        <v>49223</v>
      </c>
      <c r="D3202" s="32">
        <v>49243</v>
      </c>
      <c r="E32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203" spans="1:6" x14ac:dyDescent="0.35">
      <c r="A3203" s="3">
        <v>94593918989</v>
      </c>
      <c r="B3203" s="3">
        <v>8</v>
      </c>
      <c r="C3203" s="32">
        <v>49224</v>
      </c>
      <c r="D3203" s="32"/>
      <c r="E32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4" spans="1:6" x14ac:dyDescent="0.35">
      <c r="A3204" s="3">
        <v>11897495697</v>
      </c>
      <c r="B3204" s="3">
        <v>33</v>
      </c>
      <c r="C3204" s="32">
        <v>49224</v>
      </c>
      <c r="D3204" s="32" t="s">
        <v>87</v>
      </c>
      <c r="E32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5" spans="1:6" x14ac:dyDescent="0.35">
      <c r="A3205" s="3">
        <v>80320348378</v>
      </c>
      <c r="B3205" s="3">
        <v>41</v>
      </c>
      <c r="C3205" s="32">
        <v>49224</v>
      </c>
      <c r="D3205" s="32"/>
      <c r="E32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6" spans="1:6" x14ac:dyDescent="0.35">
      <c r="A3206" s="3">
        <v>74831319817</v>
      </c>
      <c r="B3206" s="3">
        <v>52</v>
      </c>
      <c r="C3206" s="32">
        <v>49224</v>
      </c>
      <c r="D3206" s="32"/>
      <c r="E32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7" spans="1:6" x14ac:dyDescent="0.35">
      <c r="A3207" s="3">
        <v>31176471490</v>
      </c>
      <c r="B3207" s="3">
        <v>61</v>
      </c>
      <c r="C3207" s="32">
        <v>49224</v>
      </c>
      <c r="D3207" s="32">
        <v>49264</v>
      </c>
      <c r="E32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208" spans="1:6" x14ac:dyDescent="0.35">
      <c r="A3208" s="3">
        <v>86447891542</v>
      </c>
      <c r="B3208" s="3">
        <v>72</v>
      </c>
      <c r="C3208" s="32">
        <v>49224</v>
      </c>
      <c r="D3208" s="32">
        <v>49228</v>
      </c>
      <c r="E32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209" spans="1:6" x14ac:dyDescent="0.35">
      <c r="A3209" s="3">
        <v>51391777055</v>
      </c>
      <c r="B3209" s="3">
        <v>85</v>
      </c>
      <c r="C3209" s="32">
        <v>49224</v>
      </c>
      <c r="D3209" s="32" t="s">
        <v>87</v>
      </c>
      <c r="E32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0" spans="1:6" x14ac:dyDescent="0.35">
      <c r="A3210" s="3">
        <v>13223825461</v>
      </c>
      <c r="B3210" s="3">
        <v>88</v>
      </c>
      <c r="C3210" s="32">
        <v>49224</v>
      </c>
      <c r="D3210" s="32" t="s">
        <v>87</v>
      </c>
      <c r="E32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1" spans="1:6" x14ac:dyDescent="0.35">
      <c r="A3211" s="3">
        <v>40580513983</v>
      </c>
      <c r="B3211" s="3">
        <v>98</v>
      </c>
      <c r="C3211" s="32">
        <v>49224</v>
      </c>
      <c r="D3211" s="32" t="s">
        <v>87</v>
      </c>
      <c r="E32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2" spans="1:6" x14ac:dyDescent="0.35">
      <c r="A3212" s="3">
        <v>48810627404</v>
      </c>
      <c r="B3212" s="3">
        <v>138</v>
      </c>
      <c r="C3212" s="32">
        <v>49224</v>
      </c>
      <c r="D3212" s="32" t="s">
        <v>87</v>
      </c>
      <c r="E32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3" spans="1:6" x14ac:dyDescent="0.35">
      <c r="A3213" s="3">
        <v>90777250296</v>
      </c>
      <c r="B3213" s="3">
        <v>140</v>
      </c>
      <c r="C3213" s="32">
        <v>49224</v>
      </c>
      <c r="D3213" s="32" t="s">
        <v>87</v>
      </c>
      <c r="E32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4" spans="1:6" x14ac:dyDescent="0.35">
      <c r="A3214" s="3">
        <v>75056841591</v>
      </c>
      <c r="B3214" s="3">
        <v>147</v>
      </c>
      <c r="C3214" s="32">
        <v>49224</v>
      </c>
      <c r="D3214" s="32" t="s">
        <v>87</v>
      </c>
      <c r="E32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5" spans="1:6" x14ac:dyDescent="0.35">
      <c r="A3215" s="3">
        <v>21415062027</v>
      </c>
      <c r="B3215" s="3">
        <v>174</v>
      </c>
      <c r="C3215" s="32">
        <v>49224</v>
      </c>
      <c r="D3215" s="32" t="s">
        <v>87</v>
      </c>
      <c r="E32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6" spans="1:6" x14ac:dyDescent="0.35">
      <c r="A3216" s="3">
        <v>72672441699</v>
      </c>
      <c r="B3216" s="3">
        <v>203</v>
      </c>
      <c r="C3216" s="32">
        <v>49224</v>
      </c>
      <c r="D3216" s="32" t="s">
        <v>87</v>
      </c>
      <c r="E32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7" spans="1:6" x14ac:dyDescent="0.35">
      <c r="A3217" s="3">
        <v>90565800713</v>
      </c>
      <c r="B3217" s="3">
        <v>233</v>
      </c>
      <c r="C3217" s="32">
        <v>49224</v>
      </c>
      <c r="D3217" s="32">
        <v>49292</v>
      </c>
      <c r="E32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18" spans="1:6" x14ac:dyDescent="0.35">
      <c r="A3218" s="3">
        <v>50749122838</v>
      </c>
      <c r="B3218" s="3">
        <v>248</v>
      </c>
      <c r="C3218" s="32">
        <v>49224</v>
      </c>
      <c r="D3218" s="32" t="s">
        <v>87</v>
      </c>
      <c r="E32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9" spans="1:6" x14ac:dyDescent="0.35">
      <c r="A3219" s="3">
        <v>31425042917</v>
      </c>
      <c r="B3219" s="3">
        <v>289</v>
      </c>
      <c r="C3219" s="32">
        <v>49224</v>
      </c>
      <c r="D3219" s="32"/>
      <c r="E32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0" spans="1:6" x14ac:dyDescent="0.35">
      <c r="A3220" s="3">
        <v>86136469918</v>
      </c>
      <c r="B3220" s="3">
        <v>7</v>
      </c>
      <c r="C3220" s="32">
        <v>49225</v>
      </c>
      <c r="D3220" s="32" t="s">
        <v>87</v>
      </c>
      <c r="E32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1" spans="1:6" x14ac:dyDescent="0.35">
      <c r="A3221" s="3">
        <v>58795463870</v>
      </c>
      <c r="B3221" s="3">
        <v>19</v>
      </c>
      <c r="C3221" s="32">
        <v>49225</v>
      </c>
      <c r="D3221" s="32"/>
      <c r="E32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2" spans="1:6" x14ac:dyDescent="0.35">
      <c r="A3222" s="3">
        <v>71595942425</v>
      </c>
      <c r="B3222" s="3">
        <v>30</v>
      </c>
      <c r="C3222" s="32">
        <v>49225</v>
      </c>
      <c r="D3222" s="32" t="s">
        <v>87</v>
      </c>
      <c r="E32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3" spans="1:6" x14ac:dyDescent="0.35">
      <c r="A3223" s="3">
        <v>47677680747</v>
      </c>
      <c r="B3223" s="3">
        <v>68</v>
      </c>
      <c r="C3223" s="32">
        <v>49225</v>
      </c>
      <c r="D3223" s="32" t="s">
        <v>87</v>
      </c>
      <c r="E32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4" spans="1:6" x14ac:dyDescent="0.35">
      <c r="A3224" s="3">
        <v>76458092751</v>
      </c>
      <c r="B3224" s="3">
        <v>105</v>
      </c>
      <c r="C3224" s="32">
        <v>49225</v>
      </c>
      <c r="D3224" s="32" t="s">
        <v>87</v>
      </c>
      <c r="E32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5" spans="1:6" x14ac:dyDescent="0.35">
      <c r="A3225" s="3">
        <v>87880617033</v>
      </c>
      <c r="B3225" s="3">
        <v>106</v>
      </c>
      <c r="C3225" s="32">
        <v>49225</v>
      </c>
      <c r="D3225" s="32"/>
      <c r="E32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6" spans="1:6" x14ac:dyDescent="0.35">
      <c r="A3226" s="3">
        <v>74049587347</v>
      </c>
      <c r="B3226" s="3">
        <v>115</v>
      </c>
      <c r="C3226" s="32">
        <v>49225</v>
      </c>
      <c r="D3226" s="32" t="s">
        <v>87</v>
      </c>
      <c r="E32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7" spans="1:6" x14ac:dyDescent="0.35">
      <c r="A3227" s="3">
        <v>14331031847</v>
      </c>
      <c r="B3227" s="3">
        <v>116</v>
      </c>
      <c r="C3227" s="32">
        <v>49225</v>
      </c>
      <c r="D3227" s="32" t="s">
        <v>87</v>
      </c>
      <c r="E32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8" spans="1:6" x14ac:dyDescent="0.35">
      <c r="A3228" s="3">
        <v>65106722886</v>
      </c>
      <c r="B3228" s="3">
        <v>160</v>
      </c>
      <c r="C3228" s="32">
        <v>49225</v>
      </c>
      <c r="D3228" s="32" t="s">
        <v>87</v>
      </c>
      <c r="E32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9" spans="1:6" x14ac:dyDescent="0.35">
      <c r="A3229" s="3">
        <v>79895244567</v>
      </c>
      <c r="B3229" s="3">
        <v>163</v>
      </c>
      <c r="C3229" s="32">
        <v>49225</v>
      </c>
      <c r="D3229" s="32" t="s">
        <v>87</v>
      </c>
      <c r="E32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0" spans="1:6" x14ac:dyDescent="0.35">
      <c r="A3230" s="3">
        <v>54198738770</v>
      </c>
      <c r="B3230" s="3">
        <v>181</v>
      </c>
      <c r="C3230" s="32">
        <v>49225</v>
      </c>
      <c r="D3230" s="32" t="s">
        <v>87</v>
      </c>
      <c r="E32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1" spans="1:6" x14ac:dyDescent="0.35">
      <c r="A3231" s="3">
        <v>23141217648</v>
      </c>
      <c r="B3231" s="3">
        <v>215</v>
      </c>
      <c r="C3231" s="32">
        <v>49225</v>
      </c>
      <c r="D3231" s="32">
        <v>49304</v>
      </c>
      <c r="E32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32" spans="1:6" x14ac:dyDescent="0.35">
      <c r="A3232" s="3">
        <v>20144024440</v>
      </c>
      <c r="B3232" s="3">
        <v>217</v>
      </c>
      <c r="C3232" s="32">
        <v>49225</v>
      </c>
      <c r="D3232" s="32"/>
      <c r="E32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3" spans="1:6" x14ac:dyDescent="0.35">
      <c r="A3233" s="3">
        <v>36728286918</v>
      </c>
      <c r="B3233" s="3">
        <v>240</v>
      </c>
      <c r="C3233" s="32">
        <v>49225</v>
      </c>
      <c r="D3233" s="32" t="s">
        <v>87</v>
      </c>
      <c r="E32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4" spans="1:6" x14ac:dyDescent="0.35">
      <c r="A3234" s="3">
        <v>50007124650</v>
      </c>
      <c r="B3234" s="3">
        <v>303</v>
      </c>
      <c r="C3234" s="32">
        <v>49225</v>
      </c>
      <c r="D3234" s="32">
        <v>49255</v>
      </c>
      <c r="E32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235" spans="1:6" x14ac:dyDescent="0.35">
      <c r="A3235" s="3">
        <v>16066737671</v>
      </c>
      <c r="B3235" s="3">
        <v>339</v>
      </c>
      <c r="C3235" s="32">
        <v>49225</v>
      </c>
      <c r="D3235" s="32">
        <v>49289</v>
      </c>
      <c r="E32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36" spans="1:6" x14ac:dyDescent="0.35">
      <c r="A3236" s="3">
        <v>44106910953</v>
      </c>
      <c r="B3236" s="3">
        <v>12</v>
      </c>
      <c r="C3236" s="32">
        <v>49226</v>
      </c>
      <c r="D3236" s="32" t="s">
        <v>87</v>
      </c>
      <c r="E32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7" spans="1:6" x14ac:dyDescent="0.35">
      <c r="A3237" s="3">
        <v>25665894533</v>
      </c>
      <c r="B3237" s="3">
        <v>31</v>
      </c>
      <c r="C3237" s="32">
        <v>49226</v>
      </c>
      <c r="D3237" s="32" t="s">
        <v>87</v>
      </c>
      <c r="E32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8" spans="1:6" x14ac:dyDescent="0.35">
      <c r="A3238" s="3">
        <v>97108857956</v>
      </c>
      <c r="B3238" s="3">
        <v>39</v>
      </c>
      <c r="C3238" s="32">
        <v>49226</v>
      </c>
      <c r="D3238" s="32"/>
      <c r="E32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9" spans="1:6" x14ac:dyDescent="0.35">
      <c r="A3239" s="3">
        <v>24356434709</v>
      </c>
      <c r="B3239" s="3">
        <v>41</v>
      </c>
      <c r="C3239" s="32">
        <v>49226</v>
      </c>
      <c r="D3239" s="32" t="s">
        <v>87</v>
      </c>
      <c r="E32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0" spans="1:6" x14ac:dyDescent="0.35">
      <c r="A3240" s="3">
        <v>43254775717</v>
      </c>
      <c r="B3240" s="3">
        <v>48</v>
      </c>
      <c r="C3240" s="32">
        <v>49226</v>
      </c>
      <c r="D3240" s="32">
        <v>49265</v>
      </c>
      <c r="E32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241" spans="1:6" x14ac:dyDescent="0.35">
      <c r="A3241" s="3">
        <v>47544028394</v>
      </c>
      <c r="B3241" s="3">
        <v>50</v>
      </c>
      <c r="C3241" s="32">
        <v>49226</v>
      </c>
      <c r="D3241" s="32" t="s">
        <v>87</v>
      </c>
      <c r="E32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2" spans="1:6" x14ac:dyDescent="0.35">
      <c r="A3242" s="3">
        <v>39864884085</v>
      </c>
      <c r="B3242" s="3">
        <v>51</v>
      </c>
      <c r="C3242" s="32">
        <v>49226</v>
      </c>
      <c r="D3242" s="32" t="s">
        <v>87</v>
      </c>
      <c r="E32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3" spans="1:6" x14ac:dyDescent="0.35">
      <c r="A3243" s="3">
        <v>83750227612</v>
      </c>
      <c r="B3243" s="3">
        <v>65</v>
      </c>
      <c r="C3243" s="32">
        <v>49226</v>
      </c>
      <c r="D3243" s="32" t="s">
        <v>87</v>
      </c>
      <c r="E32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4" spans="1:6" x14ac:dyDescent="0.35">
      <c r="A3244" s="3">
        <v>27036753322</v>
      </c>
      <c r="B3244" s="3">
        <v>67</v>
      </c>
      <c r="C3244" s="32">
        <v>49226</v>
      </c>
      <c r="D3244" s="32" t="s">
        <v>87</v>
      </c>
      <c r="E32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5" spans="1:6" x14ac:dyDescent="0.35">
      <c r="A3245" s="3">
        <v>40871778046</v>
      </c>
      <c r="B3245" s="3">
        <v>93</v>
      </c>
      <c r="C3245" s="32">
        <v>49226</v>
      </c>
      <c r="D3245" s="32">
        <v>49279</v>
      </c>
      <c r="E32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46" spans="1:6" x14ac:dyDescent="0.35">
      <c r="A3246" s="3">
        <v>30745938497</v>
      </c>
      <c r="B3246" s="3">
        <v>112</v>
      </c>
      <c r="C3246" s="32">
        <v>49226</v>
      </c>
      <c r="D3246" s="32" t="s">
        <v>87</v>
      </c>
      <c r="E32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7" spans="1:6" x14ac:dyDescent="0.35">
      <c r="A3247" s="3">
        <v>27409862069</v>
      </c>
      <c r="B3247" s="3">
        <v>114</v>
      </c>
      <c r="C3247" s="32">
        <v>49226</v>
      </c>
      <c r="D3247" s="32">
        <v>49232</v>
      </c>
      <c r="E32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248" spans="1:6" x14ac:dyDescent="0.35">
      <c r="A3248" s="3">
        <v>70308603299</v>
      </c>
      <c r="B3248" s="3">
        <v>122</v>
      </c>
      <c r="C3248" s="32">
        <v>49226</v>
      </c>
      <c r="D3248" s="32" t="s">
        <v>87</v>
      </c>
      <c r="E32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9" spans="1:6" x14ac:dyDescent="0.35">
      <c r="A3249" s="3">
        <v>44411226092</v>
      </c>
      <c r="B3249" s="3">
        <v>144</v>
      </c>
      <c r="C3249" s="32">
        <v>49226</v>
      </c>
      <c r="D3249" s="32" t="s">
        <v>87</v>
      </c>
      <c r="E32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0" spans="1:6" x14ac:dyDescent="0.35">
      <c r="A3250" s="3">
        <v>37386085875</v>
      </c>
      <c r="B3250" s="3">
        <v>145</v>
      </c>
      <c r="C3250" s="32">
        <v>49226</v>
      </c>
      <c r="D3250" s="32" t="s">
        <v>87</v>
      </c>
      <c r="E32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1" spans="1:6" x14ac:dyDescent="0.35">
      <c r="A3251" s="3">
        <v>55211319840</v>
      </c>
      <c r="B3251" s="3">
        <v>166</v>
      </c>
      <c r="C3251" s="32">
        <v>49226</v>
      </c>
      <c r="D3251" s="32"/>
      <c r="E32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2" spans="1:6" x14ac:dyDescent="0.35">
      <c r="A3252" s="3">
        <v>93563433498</v>
      </c>
      <c r="B3252" s="3">
        <v>176</v>
      </c>
      <c r="C3252" s="32">
        <v>49226</v>
      </c>
      <c r="D3252" s="32" t="s">
        <v>87</v>
      </c>
      <c r="E32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3" spans="1:6" x14ac:dyDescent="0.35">
      <c r="A3253" s="3">
        <v>21860552912</v>
      </c>
      <c r="B3253" s="3">
        <v>178</v>
      </c>
      <c r="C3253" s="32">
        <v>49226</v>
      </c>
      <c r="D3253" s="32">
        <v>49287</v>
      </c>
      <c r="E32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54" spans="1:6" x14ac:dyDescent="0.35">
      <c r="A3254" s="3">
        <v>87391553579</v>
      </c>
      <c r="B3254" s="3">
        <v>180</v>
      </c>
      <c r="C3254" s="32">
        <v>49226</v>
      </c>
      <c r="D3254" s="32">
        <v>49263</v>
      </c>
      <c r="E32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255" spans="1:6" x14ac:dyDescent="0.35">
      <c r="A3255" s="3">
        <v>69639747325</v>
      </c>
      <c r="B3255" s="3">
        <v>221</v>
      </c>
      <c r="C3255" s="32">
        <v>49226</v>
      </c>
      <c r="D3255" s="32" t="s">
        <v>87</v>
      </c>
      <c r="E32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6" spans="1:6" x14ac:dyDescent="0.35">
      <c r="A3256" s="3">
        <v>77189430694</v>
      </c>
      <c r="B3256" s="3">
        <v>228</v>
      </c>
      <c r="C3256" s="32">
        <v>49226</v>
      </c>
      <c r="D3256" s="32"/>
      <c r="E32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7" spans="1:6" x14ac:dyDescent="0.35">
      <c r="A3257" s="3">
        <v>20021576922</v>
      </c>
      <c r="B3257" s="3">
        <v>252</v>
      </c>
      <c r="C3257" s="32">
        <v>49226</v>
      </c>
      <c r="D3257" s="32" t="s">
        <v>87</v>
      </c>
      <c r="E32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8" spans="1:6" x14ac:dyDescent="0.35">
      <c r="A3258" s="3">
        <v>51512481662</v>
      </c>
      <c r="B3258" s="3">
        <v>255</v>
      </c>
      <c r="C3258" s="32">
        <v>49226</v>
      </c>
      <c r="D3258" s="32">
        <v>49283</v>
      </c>
      <c r="E32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59" spans="1:6" x14ac:dyDescent="0.35">
      <c r="A3259" s="3">
        <v>71536634303</v>
      </c>
      <c r="B3259" s="3">
        <v>260</v>
      </c>
      <c r="C3259" s="32">
        <v>49226</v>
      </c>
      <c r="D3259" s="32" t="s">
        <v>87</v>
      </c>
      <c r="E32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0" spans="1:6" x14ac:dyDescent="0.35">
      <c r="A3260" s="3">
        <v>48078126332</v>
      </c>
      <c r="B3260" s="3">
        <v>262</v>
      </c>
      <c r="C3260" s="32">
        <v>49226</v>
      </c>
      <c r="D3260" s="32">
        <v>49235</v>
      </c>
      <c r="E32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261" spans="1:6" x14ac:dyDescent="0.35">
      <c r="A3261" s="3">
        <v>26926238852</v>
      </c>
      <c r="B3261" s="3">
        <v>297</v>
      </c>
      <c r="C3261" s="32">
        <v>49226</v>
      </c>
      <c r="D3261" s="32" t="s">
        <v>87</v>
      </c>
      <c r="E32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2" spans="1:6" x14ac:dyDescent="0.35">
      <c r="A3262" s="3">
        <v>90446906440</v>
      </c>
      <c r="B3262" s="3">
        <v>302</v>
      </c>
      <c r="C3262" s="32">
        <v>49226</v>
      </c>
      <c r="D3262" s="32" t="s">
        <v>87</v>
      </c>
      <c r="E32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3" spans="1:6" x14ac:dyDescent="0.35">
      <c r="A3263" s="3">
        <v>21035935046</v>
      </c>
      <c r="B3263" s="3">
        <v>320</v>
      </c>
      <c r="C3263" s="32">
        <v>49226</v>
      </c>
      <c r="D3263" s="32">
        <v>49330</v>
      </c>
      <c r="E32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264" spans="1:6" x14ac:dyDescent="0.35">
      <c r="A3264" s="3">
        <v>34615488171</v>
      </c>
      <c r="B3264" s="3">
        <v>320</v>
      </c>
      <c r="C3264" s="32">
        <v>49226</v>
      </c>
      <c r="D3264" s="32" t="s">
        <v>87</v>
      </c>
      <c r="E32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5" spans="1:6" x14ac:dyDescent="0.35">
      <c r="A3265" s="3">
        <v>23691049433</v>
      </c>
      <c r="B3265" s="3">
        <v>329</v>
      </c>
      <c r="C3265" s="32">
        <v>49226</v>
      </c>
      <c r="D3265" s="32">
        <v>49305</v>
      </c>
      <c r="E32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66" spans="1:6" x14ac:dyDescent="0.35">
      <c r="A3266" s="3">
        <v>31410562647</v>
      </c>
      <c r="B3266" s="3">
        <v>18</v>
      </c>
      <c r="C3266" s="32">
        <v>49227</v>
      </c>
      <c r="D3266" s="32" t="s">
        <v>87</v>
      </c>
      <c r="E32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7" spans="1:6" x14ac:dyDescent="0.35">
      <c r="A3267" s="3">
        <v>28969603526</v>
      </c>
      <c r="B3267" s="3">
        <v>29</v>
      </c>
      <c r="C3267" s="32">
        <v>49227</v>
      </c>
      <c r="D3267" s="32" t="s">
        <v>87</v>
      </c>
      <c r="E32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8" spans="1:6" x14ac:dyDescent="0.35">
      <c r="A3268" s="3">
        <v>14925807003</v>
      </c>
      <c r="B3268" s="3">
        <v>40</v>
      </c>
      <c r="C3268" s="32">
        <v>49227</v>
      </c>
      <c r="D3268" s="32" t="s">
        <v>87</v>
      </c>
      <c r="E32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9" spans="1:6" x14ac:dyDescent="0.35">
      <c r="A3269" s="3">
        <v>33605788037</v>
      </c>
      <c r="B3269" s="3">
        <v>46</v>
      </c>
      <c r="C3269" s="32">
        <v>49227</v>
      </c>
      <c r="D3269" s="32">
        <v>49227</v>
      </c>
      <c r="E32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270" spans="1:6" x14ac:dyDescent="0.35">
      <c r="A3270" s="3">
        <v>71688057337</v>
      </c>
      <c r="B3270" s="3">
        <v>46</v>
      </c>
      <c r="C3270" s="32">
        <v>49227</v>
      </c>
      <c r="D3270" s="32" t="s">
        <v>87</v>
      </c>
      <c r="E32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1" spans="1:6" x14ac:dyDescent="0.35">
      <c r="A3271" s="3">
        <v>74632620118</v>
      </c>
      <c r="B3271" s="3">
        <v>89</v>
      </c>
      <c r="C3271" s="32">
        <v>49227</v>
      </c>
      <c r="D3271" s="32" t="s">
        <v>87</v>
      </c>
      <c r="E32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2" spans="1:6" x14ac:dyDescent="0.35">
      <c r="A3272" s="3">
        <v>51621813477</v>
      </c>
      <c r="B3272" s="3">
        <v>102</v>
      </c>
      <c r="C3272" s="32">
        <v>49227</v>
      </c>
      <c r="D3272" s="32" t="s">
        <v>87</v>
      </c>
      <c r="E32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3" spans="1:6" x14ac:dyDescent="0.35">
      <c r="A3273" s="3">
        <v>96634616676</v>
      </c>
      <c r="B3273" s="3">
        <v>117</v>
      </c>
      <c r="C3273" s="32">
        <v>49227</v>
      </c>
      <c r="D3273" s="32"/>
      <c r="E32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4" spans="1:6" x14ac:dyDescent="0.35">
      <c r="A3274" s="3">
        <v>68368542215</v>
      </c>
      <c r="B3274" s="3">
        <v>144</v>
      </c>
      <c r="C3274" s="32">
        <v>49227</v>
      </c>
      <c r="D3274" s="32" t="s">
        <v>87</v>
      </c>
      <c r="E32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5" spans="1:6" x14ac:dyDescent="0.35">
      <c r="A3275" s="3">
        <v>79055052921</v>
      </c>
      <c r="B3275" s="3">
        <v>154</v>
      </c>
      <c r="C3275" s="32">
        <v>49227</v>
      </c>
      <c r="D3275" s="32" t="s">
        <v>87</v>
      </c>
      <c r="E32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6" spans="1:6" x14ac:dyDescent="0.35">
      <c r="A3276" s="3">
        <v>36179524148</v>
      </c>
      <c r="B3276" s="3">
        <v>160</v>
      </c>
      <c r="C3276" s="32">
        <v>49227</v>
      </c>
      <c r="D3276" s="32" t="s">
        <v>87</v>
      </c>
      <c r="E32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7" spans="1:6" x14ac:dyDescent="0.35">
      <c r="A3277" s="3">
        <v>92526915938</v>
      </c>
      <c r="B3277" s="3">
        <v>164</v>
      </c>
      <c r="C3277" s="32">
        <v>49227</v>
      </c>
      <c r="D3277" s="32" t="s">
        <v>87</v>
      </c>
      <c r="E32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8" spans="1:6" x14ac:dyDescent="0.35">
      <c r="A3278" s="3">
        <v>16625538314</v>
      </c>
      <c r="B3278" s="3">
        <v>171</v>
      </c>
      <c r="C3278" s="32">
        <v>49227</v>
      </c>
      <c r="D3278" s="32">
        <v>49313</v>
      </c>
      <c r="E32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279" spans="1:6" x14ac:dyDescent="0.35">
      <c r="A3279" s="3">
        <v>99359198495</v>
      </c>
      <c r="B3279" s="3">
        <v>185</v>
      </c>
      <c r="C3279" s="32">
        <v>49227</v>
      </c>
      <c r="D3279" s="32"/>
      <c r="E32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0" spans="1:6" x14ac:dyDescent="0.35">
      <c r="A3280" s="3">
        <v>93006068550</v>
      </c>
      <c r="B3280" s="3">
        <v>200</v>
      </c>
      <c r="C3280" s="32">
        <v>49227</v>
      </c>
      <c r="D3280" s="32" t="s">
        <v>87</v>
      </c>
      <c r="E32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1" spans="1:6" x14ac:dyDescent="0.35">
      <c r="A3281" s="3">
        <v>13445478334</v>
      </c>
      <c r="B3281" s="3">
        <v>205</v>
      </c>
      <c r="C3281" s="32">
        <v>49227</v>
      </c>
      <c r="D3281" s="32" t="s">
        <v>87</v>
      </c>
      <c r="E32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2" spans="1:6" x14ac:dyDescent="0.35">
      <c r="A3282" s="3">
        <v>70679123454</v>
      </c>
      <c r="B3282" s="3">
        <v>209</v>
      </c>
      <c r="C3282" s="32">
        <v>49227</v>
      </c>
      <c r="D3282" s="32">
        <v>49311</v>
      </c>
      <c r="E32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283" spans="1:6" x14ac:dyDescent="0.35">
      <c r="A3283" s="3">
        <v>62583239561</v>
      </c>
      <c r="B3283" s="3">
        <v>265</v>
      </c>
      <c r="C3283" s="32">
        <v>49227</v>
      </c>
      <c r="D3283" s="32"/>
      <c r="E32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4" spans="1:6" x14ac:dyDescent="0.35">
      <c r="A3284" s="3">
        <v>41536302426</v>
      </c>
      <c r="B3284" s="3">
        <v>274</v>
      </c>
      <c r="C3284" s="32">
        <v>49227</v>
      </c>
      <c r="D3284" s="32" t="s">
        <v>87</v>
      </c>
      <c r="E32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5" spans="1:6" x14ac:dyDescent="0.35">
      <c r="A3285" s="3">
        <v>52635177378</v>
      </c>
      <c r="B3285" s="3">
        <v>282</v>
      </c>
      <c r="C3285" s="32">
        <v>49227</v>
      </c>
      <c r="D3285" s="32" t="s">
        <v>87</v>
      </c>
      <c r="E32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6" spans="1:6" x14ac:dyDescent="0.35">
      <c r="A3286" s="3">
        <v>86860482500</v>
      </c>
      <c r="B3286" s="3">
        <v>284</v>
      </c>
      <c r="C3286" s="32">
        <v>49227</v>
      </c>
      <c r="D3286" s="32" t="s">
        <v>87</v>
      </c>
      <c r="E32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7" spans="1:6" x14ac:dyDescent="0.35">
      <c r="A3287" s="3">
        <v>44352773184</v>
      </c>
      <c r="B3287" s="3">
        <v>311</v>
      </c>
      <c r="C3287" s="32">
        <v>49227</v>
      </c>
      <c r="D3287" s="32" t="s">
        <v>87</v>
      </c>
      <c r="E32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8" spans="1:6" x14ac:dyDescent="0.35">
      <c r="A3288" s="3">
        <v>43532879102</v>
      </c>
      <c r="B3288" s="3">
        <v>329</v>
      </c>
      <c r="C3288" s="32">
        <v>49227</v>
      </c>
      <c r="D3288" s="32">
        <v>49241</v>
      </c>
      <c r="E32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289" spans="1:6" x14ac:dyDescent="0.35">
      <c r="A3289" s="3">
        <v>62779929114</v>
      </c>
      <c r="B3289" s="3">
        <v>21</v>
      </c>
      <c r="C3289" s="32">
        <v>49228</v>
      </c>
      <c r="D3289" s="32" t="s">
        <v>87</v>
      </c>
      <c r="E32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0" spans="1:6" x14ac:dyDescent="0.35">
      <c r="A3290" s="3">
        <v>37797323079</v>
      </c>
      <c r="B3290" s="3">
        <v>29</v>
      </c>
      <c r="C3290" s="32">
        <v>49228</v>
      </c>
      <c r="D3290" s="32">
        <v>49259</v>
      </c>
      <c r="E32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291" spans="1:6" x14ac:dyDescent="0.35">
      <c r="A3291" s="3">
        <v>40099259381</v>
      </c>
      <c r="B3291" s="3">
        <v>31</v>
      </c>
      <c r="C3291" s="32">
        <v>49228</v>
      </c>
      <c r="D3291" s="32" t="s">
        <v>87</v>
      </c>
      <c r="E32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2" spans="1:6" x14ac:dyDescent="0.35">
      <c r="A3292" s="3">
        <v>15058577605</v>
      </c>
      <c r="B3292" s="3">
        <v>32</v>
      </c>
      <c r="C3292" s="32">
        <v>49228</v>
      </c>
      <c r="D3292" s="32">
        <v>49292</v>
      </c>
      <c r="E32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93" spans="1:6" x14ac:dyDescent="0.35">
      <c r="A3293" s="3">
        <v>25119732224</v>
      </c>
      <c r="B3293" s="3">
        <v>43</v>
      </c>
      <c r="C3293" s="32">
        <v>49228</v>
      </c>
      <c r="D3293" s="32"/>
      <c r="E32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4" spans="1:6" x14ac:dyDescent="0.35">
      <c r="A3294" s="3">
        <v>75653297379</v>
      </c>
      <c r="B3294" s="3">
        <v>49</v>
      </c>
      <c r="C3294" s="32">
        <v>49228</v>
      </c>
      <c r="D3294" s="32" t="s">
        <v>87</v>
      </c>
      <c r="E32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5" spans="1:6" x14ac:dyDescent="0.35">
      <c r="A3295" s="3">
        <v>92566776811</v>
      </c>
      <c r="B3295" s="3">
        <v>81</v>
      </c>
      <c r="C3295" s="32">
        <v>49228</v>
      </c>
      <c r="D3295" s="32" t="s">
        <v>87</v>
      </c>
      <c r="E32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6" spans="1:6" x14ac:dyDescent="0.35">
      <c r="A3296" s="3">
        <v>16576654291</v>
      </c>
      <c r="B3296" s="3">
        <v>81</v>
      </c>
      <c r="C3296" s="32">
        <v>49228</v>
      </c>
      <c r="D3296" s="32" t="s">
        <v>87</v>
      </c>
      <c r="E32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7" spans="1:6" x14ac:dyDescent="0.35">
      <c r="A3297" s="3">
        <v>40688857320</v>
      </c>
      <c r="B3297" s="3">
        <v>90</v>
      </c>
      <c r="C3297" s="32">
        <v>49228</v>
      </c>
      <c r="D3297" s="32" t="s">
        <v>87</v>
      </c>
      <c r="E32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8" spans="1:6" x14ac:dyDescent="0.35">
      <c r="A3298" s="3">
        <v>24862214464</v>
      </c>
      <c r="B3298" s="3">
        <v>91</v>
      </c>
      <c r="C3298" s="32">
        <v>49228</v>
      </c>
      <c r="D3298" s="32">
        <v>49249</v>
      </c>
      <c r="E32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299" spans="1:6" x14ac:dyDescent="0.35">
      <c r="A3299" s="3">
        <v>52538018985</v>
      </c>
      <c r="B3299" s="3">
        <v>106</v>
      </c>
      <c r="C3299" s="32">
        <v>49228</v>
      </c>
      <c r="D3299" s="32">
        <v>49305</v>
      </c>
      <c r="E32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300" spans="1:6" x14ac:dyDescent="0.35">
      <c r="A3300" s="3">
        <v>94766264668</v>
      </c>
      <c r="B3300" s="3">
        <v>109</v>
      </c>
      <c r="C3300" s="32">
        <v>49228</v>
      </c>
      <c r="D3300" s="32" t="s">
        <v>87</v>
      </c>
      <c r="E33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1" spans="1:6" x14ac:dyDescent="0.35">
      <c r="A3301" s="3">
        <v>66833483124</v>
      </c>
      <c r="B3301" s="3">
        <v>124</v>
      </c>
      <c r="C3301" s="32">
        <v>49228</v>
      </c>
      <c r="D3301" s="32" t="s">
        <v>87</v>
      </c>
      <c r="E33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2" spans="1:6" x14ac:dyDescent="0.35">
      <c r="A3302" s="3">
        <v>41516605694</v>
      </c>
      <c r="B3302" s="3">
        <v>150</v>
      </c>
      <c r="C3302" s="32">
        <v>49228</v>
      </c>
      <c r="D3302" s="32" t="s">
        <v>87</v>
      </c>
      <c r="E33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3" spans="1:6" x14ac:dyDescent="0.35">
      <c r="A3303" s="3">
        <v>33520458604</v>
      </c>
      <c r="B3303" s="3">
        <v>156</v>
      </c>
      <c r="C3303" s="32">
        <v>49228</v>
      </c>
      <c r="D3303" s="32" t="s">
        <v>87</v>
      </c>
      <c r="E33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4" spans="1:6" x14ac:dyDescent="0.35">
      <c r="A3304" s="3">
        <v>65433031435</v>
      </c>
      <c r="B3304" s="3">
        <v>168</v>
      </c>
      <c r="C3304" s="32">
        <v>49228</v>
      </c>
      <c r="D3304" s="32" t="s">
        <v>87</v>
      </c>
      <c r="E33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5" spans="1:6" x14ac:dyDescent="0.35">
      <c r="A3305" s="3">
        <v>64058772297</v>
      </c>
      <c r="B3305" s="3">
        <v>199</v>
      </c>
      <c r="C3305" s="32">
        <v>49228</v>
      </c>
      <c r="D3305" s="32" t="s">
        <v>87</v>
      </c>
      <c r="E33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6" spans="1:6" x14ac:dyDescent="0.35">
      <c r="A3306" s="3">
        <v>40005211493</v>
      </c>
      <c r="B3306" s="3">
        <v>245</v>
      </c>
      <c r="C3306" s="32">
        <v>49228</v>
      </c>
      <c r="D3306" s="32" t="s">
        <v>87</v>
      </c>
      <c r="E33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7" spans="1:6" x14ac:dyDescent="0.35">
      <c r="A3307" s="3">
        <v>28046858563</v>
      </c>
      <c r="B3307" s="3">
        <v>248</v>
      </c>
      <c r="C3307" s="32">
        <v>49228</v>
      </c>
      <c r="D3307" s="32"/>
      <c r="E33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8" spans="1:6" x14ac:dyDescent="0.35">
      <c r="A3308" s="3">
        <v>48416069678</v>
      </c>
      <c r="B3308" s="3">
        <v>252</v>
      </c>
      <c r="C3308" s="32">
        <v>49228</v>
      </c>
      <c r="D3308" s="32"/>
      <c r="E33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9" spans="1:6" x14ac:dyDescent="0.35">
      <c r="A3309" s="3">
        <v>95101372104</v>
      </c>
      <c r="B3309" s="3">
        <v>279</v>
      </c>
      <c r="C3309" s="32">
        <v>49228</v>
      </c>
      <c r="D3309" s="32"/>
      <c r="E33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0" spans="1:6" x14ac:dyDescent="0.35">
      <c r="A3310" s="3">
        <v>27100417672</v>
      </c>
      <c r="B3310" s="3">
        <v>291</v>
      </c>
      <c r="C3310" s="32">
        <v>49228</v>
      </c>
      <c r="D3310" s="32"/>
      <c r="E33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1" spans="1:6" x14ac:dyDescent="0.35">
      <c r="A3311" s="3">
        <v>20466245223</v>
      </c>
      <c r="B3311" s="3">
        <v>313</v>
      </c>
      <c r="C3311" s="32">
        <v>49228</v>
      </c>
      <c r="D3311" s="32"/>
      <c r="E33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2" spans="1:6" x14ac:dyDescent="0.35">
      <c r="A3312" s="3">
        <v>15307008156</v>
      </c>
      <c r="B3312" s="3">
        <v>325</v>
      </c>
      <c r="C3312" s="32">
        <v>49228</v>
      </c>
      <c r="D3312" s="32" t="s">
        <v>87</v>
      </c>
      <c r="E33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3" spans="1:6" x14ac:dyDescent="0.35">
      <c r="A3313" s="3">
        <v>58405356246</v>
      </c>
      <c r="B3313" s="3">
        <v>332</v>
      </c>
      <c r="C3313" s="32">
        <v>49228</v>
      </c>
      <c r="D3313" s="32"/>
      <c r="E33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4" spans="1:6" x14ac:dyDescent="0.35">
      <c r="A3314" s="3">
        <v>88588566135</v>
      </c>
      <c r="B3314" s="3">
        <v>332</v>
      </c>
      <c r="C3314" s="32">
        <v>49228</v>
      </c>
      <c r="D3314" s="32" t="s">
        <v>87</v>
      </c>
      <c r="E33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5" spans="1:6" x14ac:dyDescent="0.35">
      <c r="A3315" s="3">
        <v>29411392579</v>
      </c>
      <c r="B3315" s="3">
        <v>25</v>
      </c>
      <c r="C3315" s="32">
        <v>49229</v>
      </c>
      <c r="D3315" s="32">
        <v>49311</v>
      </c>
      <c r="E33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316" spans="1:6" x14ac:dyDescent="0.35">
      <c r="A3316" s="3">
        <v>42667366004</v>
      </c>
      <c r="B3316" s="3">
        <v>28</v>
      </c>
      <c r="C3316" s="32">
        <v>49229</v>
      </c>
      <c r="D3316" s="32" t="s">
        <v>87</v>
      </c>
      <c r="E33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7" spans="1:6" x14ac:dyDescent="0.35">
      <c r="A3317" s="3">
        <v>93204023853</v>
      </c>
      <c r="B3317" s="3">
        <v>44</v>
      </c>
      <c r="C3317" s="32">
        <v>49229</v>
      </c>
      <c r="D3317" s="32" t="s">
        <v>87</v>
      </c>
      <c r="E33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8" spans="1:6" x14ac:dyDescent="0.35">
      <c r="A3318" s="3">
        <v>86756498592</v>
      </c>
      <c r="B3318" s="3">
        <v>82</v>
      </c>
      <c r="C3318" s="32">
        <v>49229</v>
      </c>
      <c r="D3318" s="32" t="s">
        <v>87</v>
      </c>
      <c r="E33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9" spans="1:6" x14ac:dyDescent="0.35">
      <c r="A3319" s="3">
        <v>19856614618</v>
      </c>
      <c r="B3319" s="3">
        <v>131</v>
      </c>
      <c r="C3319" s="32">
        <v>49229</v>
      </c>
      <c r="D3319" s="32"/>
      <c r="E33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0" spans="1:6" x14ac:dyDescent="0.35">
      <c r="A3320" s="3">
        <v>36161112010</v>
      </c>
      <c r="B3320" s="3">
        <v>160</v>
      </c>
      <c r="C3320" s="32">
        <v>49229</v>
      </c>
      <c r="D3320" s="32" t="s">
        <v>87</v>
      </c>
      <c r="E33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1" spans="1:6" x14ac:dyDescent="0.35">
      <c r="A3321" s="3">
        <v>69495201538</v>
      </c>
      <c r="B3321" s="3">
        <v>167</v>
      </c>
      <c r="C3321" s="32">
        <v>49229</v>
      </c>
      <c r="D3321" s="32">
        <v>49302</v>
      </c>
      <c r="E33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322" spans="1:6" x14ac:dyDescent="0.35">
      <c r="A3322" s="3">
        <v>50794265374</v>
      </c>
      <c r="B3322" s="3">
        <v>177</v>
      </c>
      <c r="C3322" s="32">
        <v>49229</v>
      </c>
      <c r="D3322" s="32">
        <v>49261</v>
      </c>
      <c r="E33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323" spans="1:6" x14ac:dyDescent="0.35">
      <c r="A3323" s="3">
        <v>66098573839</v>
      </c>
      <c r="B3323" s="3">
        <v>231</v>
      </c>
      <c r="C3323" s="32">
        <v>49229</v>
      </c>
      <c r="D3323" s="32" t="s">
        <v>87</v>
      </c>
      <c r="E33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4" spans="1:6" x14ac:dyDescent="0.35">
      <c r="A3324" s="3">
        <v>96637054906</v>
      </c>
      <c r="B3324" s="3">
        <v>278</v>
      </c>
      <c r="C3324" s="32">
        <v>49229</v>
      </c>
      <c r="D3324" s="32" t="s">
        <v>87</v>
      </c>
      <c r="E33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5" spans="1:6" x14ac:dyDescent="0.35">
      <c r="A3325" s="3">
        <v>76840970907</v>
      </c>
      <c r="B3325" s="3">
        <v>290</v>
      </c>
      <c r="C3325" s="32">
        <v>49229</v>
      </c>
      <c r="D3325" s="32" t="s">
        <v>87</v>
      </c>
      <c r="E33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6" spans="1:6" x14ac:dyDescent="0.35">
      <c r="A3326" s="3">
        <v>85411068791</v>
      </c>
      <c r="B3326" s="3">
        <v>296</v>
      </c>
      <c r="C3326" s="32">
        <v>49229</v>
      </c>
      <c r="D3326" s="32">
        <v>49257</v>
      </c>
      <c r="E33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327" spans="1:6" x14ac:dyDescent="0.35">
      <c r="A3327" s="3">
        <v>68806307965</v>
      </c>
      <c r="B3327" s="3">
        <v>334</v>
      </c>
      <c r="C3327" s="32">
        <v>49229</v>
      </c>
      <c r="D3327" s="32" t="s">
        <v>87</v>
      </c>
      <c r="E33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8" spans="1:6" x14ac:dyDescent="0.35">
      <c r="A3328" s="3">
        <v>60069029869</v>
      </c>
      <c r="B3328" s="3">
        <v>1</v>
      </c>
      <c r="C3328" s="32">
        <v>49230</v>
      </c>
      <c r="D3328" s="32" t="s">
        <v>87</v>
      </c>
      <c r="E33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9" spans="1:6" x14ac:dyDescent="0.35">
      <c r="A3329" s="3">
        <v>52232693743</v>
      </c>
      <c r="B3329" s="3">
        <v>31</v>
      </c>
      <c r="C3329" s="32">
        <v>49230</v>
      </c>
      <c r="D3329" s="32" t="s">
        <v>87</v>
      </c>
      <c r="E33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0" spans="1:6" x14ac:dyDescent="0.35">
      <c r="A3330" s="3">
        <v>63003601450</v>
      </c>
      <c r="B3330" s="3">
        <v>61</v>
      </c>
      <c r="C3330" s="32">
        <v>49230</v>
      </c>
      <c r="D3330" s="32" t="s">
        <v>87</v>
      </c>
      <c r="E33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1" spans="1:6" x14ac:dyDescent="0.35">
      <c r="A3331" s="3">
        <v>83382220861</v>
      </c>
      <c r="B3331" s="3">
        <v>82</v>
      </c>
      <c r="C3331" s="32">
        <v>49230</v>
      </c>
      <c r="D3331" s="32"/>
      <c r="E33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2" spans="1:6" x14ac:dyDescent="0.35">
      <c r="A3332" s="3">
        <v>61142601709</v>
      </c>
      <c r="B3332" s="3">
        <v>148</v>
      </c>
      <c r="C3332" s="32">
        <v>49230</v>
      </c>
      <c r="D3332" s="32" t="s">
        <v>87</v>
      </c>
      <c r="E33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3" spans="1:6" x14ac:dyDescent="0.35">
      <c r="A3333" s="3">
        <v>17664552451</v>
      </c>
      <c r="B3333" s="3">
        <v>149</v>
      </c>
      <c r="C3333" s="32">
        <v>49230</v>
      </c>
      <c r="D3333" s="32">
        <v>49286</v>
      </c>
      <c r="E33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334" spans="1:6" x14ac:dyDescent="0.35">
      <c r="A3334" s="3">
        <v>16982415176</v>
      </c>
      <c r="B3334" s="3">
        <v>189</v>
      </c>
      <c r="C3334" s="32">
        <v>49230</v>
      </c>
      <c r="D3334" s="32" t="s">
        <v>87</v>
      </c>
      <c r="E33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5" spans="1:6" x14ac:dyDescent="0.35">
      <c r="A3335" s="3">
        <v>76312336091</v>
      </c>
      <c r="B3335" s="3">
        <v>204</v>
      </c>
      <c r="C3335" s="32">
        <v>49230</v>
      </c>
      <c r="D3335" s="32" t="s">
        <v>87</v>
      </c>
      <c r="E33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6" spans="1:6" x14ac:dyDescent="0.35">
      <c r="A3336" s="3">
        <v>98914448315</v>
      </c>
      <c r="B3336" s="3">
        <v>231</v>
      </c>
      <c r="C3336" s="32">
        <v>49230</v>
      </c>
      <c r="D3336" s="32" t="s">
        <v>87</v>
      </c>
      <c r="E33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7" spans="1:6" x14ac:dyDescent="0.35">
      <c r="A3337" s="3">
        <v>17121639406</v>
      </c>
      <c r="B3337" s="3">
        <v>238</v>
      </c>
      <c r="C3337" s="32">
        <v>49230</v>
      </c>
      <c r="D3337" s="32" t="s">
        <v>87</v>
      </c>
      <c r="E33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8" spans="1:6" x14ac:dyDescent="0.35">
      <c r="A3338" s="3">
        <v>63635585564</v>
      </c>
      <c r="B3338" s="3">
        <v>245</v>
      </c>
      <c r="C3338" s="32">
        <v>49230</v>
      </c>
      <c r="D3338" s="32"/>
      <c r="E33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9" spans="1:6" x14ac:dyDescent="0.35">
      <c r="A3339" s="3">
        <v>42340908132</v>
      </c>
      <c r="B3339" s="3">
        <v>262</v>
      </c>
      <c r="C3339" s="32">
        <v>49230</v>
      </c>
      <c r="D3339" s="32">
        <v>49330</v>
      </c>
      <c r="E33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340" spans="1:6" x14ac:dyDescent="0.35">
      <c r="A3340" s="3">
        <v>42513896670</v>
      </c>
      <c r="B3340" s="3">
        <v>272</v>
      </c>
      <c r="C3340" s="32">
        <v>49230</v>
      </c>
      <c r="D3340" s="32" t="s">
        <v>87</v>
      </c>
      <c r="E33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1" spans="1:6" x14ac:dyDescent="0.35">
      <c r="A3341" s="3">
        <v>68567693018</v>
      </c>
      <c r="B3341" s="3">
        <v>288</v>
      </c>
      <c r="C3341" s="32">
        <v>49230</v>
      </c>
      <c r="D3341" s="32">
        <v>49240</v>
      </c>
      <c r="E33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342" spans="1:6" x14ac:dyDescent="0.35">
      <c r="A3342" s="3">
        <v>62111650885</v>
      </c>
      <c r="B3342" s="3">
        <v>301</v>
      </c>
      <c r="C3342" s="32">
        <v>49230</v>
      </c>
      <c r="D3342" s="32" t="s">
        <v>87</v>
      </c>
      <c r="E33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3" spans="1:6" x14ac:dyDescent="0.35">
      <c r="A3343" s="3">
        <v>43115645788</v>
      </c>
      <c r="B3343" s="3">
        <v>313</v>
      </c>
      <c r="C3343" s="32">
        <v>49230</v>
      </c>
      <c r="D3343" s="32" t="s">
        <v>87</v>
      </c>
      <c r="E33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4" spans="1:6" x14ac:dyDescent="0.35">
      <c r="A3344" s="3">
        <v>96833230884</v>
      </c>
      <c r="B3344" s="3">
        <v>318</v>
      </c>
      <c r="C3344" s="32">
        <v>49230</v>
      </c>
      <c r="D3344" s="32" t="s">
        <v>87</v>
      </c>
      <c r="E33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5" spans="1:6" x14ac:dyDescent="0.35">
      <c r="A3345" s="3">
        <v>94591728946</v>
      </c>
      <c r="B3345" s="3">
        <v>335</v>
      </c>
      <c r="C3345" s="32">
        <v>49230</v>
      </c>
      <c r="D3345" s="32"/>
      <c r="E33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6" spans="1:6" x14ac:dyDescent="0.35">
      <c r="A3346" s="3">
        <v>11415186808</v>
      </c>
      <c r="B3346" s="3">
        <v>12</v>
      </c>
      <c r="C3346" s="32">
        <v>49231</v>
      </c>
      <c r="D3346" s="32" t="s">
        <v>87</v>
      </c>
      <c r="E33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7" spans="1:6" x14ac:dyDescent="0.35">
      <c r="A3347" s="3">
        <v>55474553061</v>
      </c>
      <c r="B3347" s="3">
        <v>22</v>
      </c>
      <c r="C3347" s="32">
        <v>49231</v>
      </c>
      <c r="D3347" s="32" t="s">
        <v>87</v>
      </c>
      <c r="E33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8" spans="1:6" x14ac:dyDescent="0.35">
      <c r="A3348" s="3">
        <v>19459187675</v>
      </c>
      <c r="B3348" s="3">
        <v>39</v>
      </c>
      <c r="C3348" s="32">
        <v>49231</v>
      </c>
      <c r="D3348" s="32" t="s">
        <v>87</v>
      </c>
      <c r="E33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9" spans="1:6" x14ac:dyDescent="0.35">
      <c r="A3349" s="3">
        <v>45498256651</v>
      </c>
      <c r="B3349" s="3">
        <v>62</v>
      </c>
      <c r="C3349" s="32">
        <v>49231</v>
      </c>
      <c r="D3349" s="32" t="s">
        <v>87</v>
      </c>
      <c r="E33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0" spans="1:6" x14ac:dyDescent="0.35">
      <c r="A3350" s="3">
        <v>36993499368</v>
      </c>
      <c r="B3350" s="3">
        <v>75</v>
      </c>
      <c r="C3350" s="32">
        <v>49231</v>
      </c>
      <c r="D3350" s="32" t="s">
        <v>87</v>
      </c>
      <c r="E33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1" spans="1:6" x14ac:dyDescent="0.35">
      <c r="A3351" s="3">
        <v>92968245126</v>
      </c>
      <c r="B3351" s="3">
        <v>108</v>
      </c>
      <c r="C3351" s="32">
        <v>49231</v>
      </c>
      <c r="D3351" s="32" t="s">
        <v>87</v>
      </c>
      <c r="E33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2" spans="1:6" x14ac:dyDescent="0.35">
      <c r="A3352" s="3">
        <v>29895280582</v>
      </c>
      <c r="B3352" s="3">
        <v>129</v>
      </c>
      <c r="C3352" s="32">
        <v>49231</v>
      </c>
      <c r="D3352" s="32" t="s">
        <v>87</v>
      </c>
      <c r="E33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3" spans="1:6" x14ac:dyDescent="0.35">
      <c r="A3353" s="3">
        <v>97946472607</v>
      </c>
      <c r="B3353" s="3">
        <v>142</v>
      </c>
      <c r="C3353" s="32">
        <v>49231</v>
      </c>
      <c r="D3353" s="32" t="s">
        <v>87</v>
      </c>
      <c r="E33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4" spans="1:6" x14ac:dyDescent="0.35">
      <c r="A3354" s="3">
        <v>75181799567</v>
      </c>
      <c r="B3354" s="3">
        <v>150</v>
      </c>
      <c r="C3354" s="32">
        <v>49231</v>
      </c>
      <c r="D3354" s="32" t="s">
        <v>87</v>
      </c>
      <c r="E33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5" spans="1:6" x14ac:dyDescent="0.35">
      <c r="A3355" s="3">
        <v>17123052084</v>
      </c>
      <c r="B3355" s="3">
        <v>194</v>
      </c>
      <c r="C3355" s="32">
        <v>49231</v>
      </c>
      <c r="D3355" s="32"/>
      <c r="E33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6" spans="1:6" x14ac:dyDescent="0.35">
      <c r="A3356" s="3">
        <v>86347489945</v>
      </c>
      <c r="B3356" s="3">
        <v>215</v>
      </c>
      <c r="C3356" s="32">
        <v>49231</v>
      </c>
      <c r="D3356" s="32" t="s">
        <v>87</v>
      </c>
      <c r="E33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7" spans="1:6" x14ac:dyDescent="0.35">
      <c r="A3357" s="3">
        <v>24186569609</v>
      </c>
      <c r="B3357" s="3">
        <v>258</v>
      </c>
      <c r="C3357" s="32">
        <v>49231</v>
      </c>
      <c r="D3357" s="32"/>
      <c r="E33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8" spans="1:6" x14ac:dyDescent="0.35">
      <c r="A3358" s="3">
        <v>13092584883</v>
      </c>
      <c r="B3358" s="3">
        <v>290</v>
      </c>
      <c r="C3358" s="32">
        <v>49231</v>
      </c>
      <c r="D3358" s="32" t="s">
        <v>87</v>
      </c>
      <c r="E33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9" spans="1:6" x14ac:dyDescent="0.35">
      <c r="A3359" s="3">
        <v>52788969933</v>
      </c>
      <c r="B3359" s="3">
        <v>294</v>
      </c>
      <c r="C3359" s="32">
        <v>49231</v>
      </c>
      <c r="D3359" s="32" t="s">
        <v>87</v>
      </c>
      <c r="E33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0" spans="1:6" x14ac:dyDescent="0.35">
      <c r="A3360" s="3">
        <v>61995961058</v>
      </c>
      <c r="B3360" s="3">
        <v>311</v>
      </c>
      <c r="C3360" s="32">
        <v>49231</v>
      </c>
      <c r="D3360" s="32" t="s">
        <v>87</v>
      </c>
      <c r="E33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1" spans="1:6" x14ac:dyDescent="0.35">
      <c r="A3361" s="3">
        <v>71768216741</v>
      </c>
      <c r="B3361" s="3">
        <v>327</v>
      </c>
      <c r="C3361" s="32">
        <v>49231</v>
      </c>
      <c r="D3361" s="32">
        <v>49244</v>
      </c>
      <c r="E33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362" spans="1:6" x14ac:dyDescent="0.35">
      <c r="A3362" s="3">
        <v>91720121024</v>
      </c>
      <c r="B3362" s="3">
        <v>329</v>
      </c>
      <c r="C3362" s="32">
        <v>49231</v>
      </c>
      <c r="D3362" s="32" t="s">
        <v>87</v>
      </c>
      <c r="E33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3" spans="1:6" x14ac:dyDescent="0.35">
      <c r="A3363" s="3">
        <v>77566372468</v>
      </c>
      <c r="B3363" s="3">
        <v>329</v>
      </c>
      <c r="C3363" s="32">
        <v>49231</v>
      </c>
      <c r="D3363" s="32">
        <v>49254</v>
      </c>
      <c r="E33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364" spans="1:6" x14ac:dyDescent="0.35">
      <c r="A3364" s="3">
        <v>13453079334</v>
      </c>
      <c r="B3364" s="3">
        <v>306</v>
      </c>
      <c r="C3364" s="32">
        <v>49232</v>
      </c>
      <c r="D3364" s="32" t="s">
        <v>87</v>
      </c>
      <c r="E33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5" spans="1:6" x14ac:dyDescent="0.35">
      <c r="A3365" s="3">
        <v>42855520870</v>
      </c>
      <c r="B3365" s="3">
        <v>27</v>
      </c>
      <c r="C3365" s="32">
        <v>49232</v>
      </c>
      <c r="D3365" s="32" t="s">
        <v>87</v>
      </c>
      <c r="E33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6" spans="1:6" x14ac:dyDescent="0.35">
      <c r="A3366" s="3">
        <v>55457283399</v>
      </c>
      <c r="B3366" s="3">
        <v>179</v>
      </c>
      <c r="C3366" s="32">
        <v>49232</v>
      </c>
      <c r="D3366" s="32"/>
      <c r="E33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7" spans="1:6" x14ac:dyDescent="0.35">
      <c r="A3367" s="3">
        <v>20536817726</v>
      </c>
      <c r="B3367" s="3">
        <v>159</v>
      </c>
      <c r="C3367" s="32">
        <v>49232</v>
      </c>
      <c r="D3367" s="32" t="s">
        <v>87</v>
      </c>
      <c r="E33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8" spans="1:6" x14ac:dyDescent="0.35">
      <c r="A3368" s="3">
        <v>37840313820</v>
      </c>
      <c r="B3368" s="3">
        <v>339</v>
      </c>
      <c r="C3368" s="32">
        <v>49232</v>
      </c>
      <c r="D3368" s="32" t="s">
        <v>87</v>
      </c>
      <c r="E33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9" spans="1:6" x14ac:dyDescent="0.35">
      <c r="A3369" s="3">
        <v>13628478945</v>
      </c>
      <c r="B3369" s="3">
        <v>157</v>
      </c>
      <c r="C3369" s="32">
        <v>49232</v>
      </c>
      <c r="D3369" s="32">
        <v>49275</v>
      </c>
      <c r="E33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370" spans="1:6" x14ac:dyDescent="0.35">
      <c r="A3370" s="3">
        <v>74169981035</v>
      </c>
      <c r="B3370" s="3">
        <v>65</v>
      </c>
      <c r="C3370" s="32">
        <v>49232</v>
      </c>
      <c r="D3370" s="32" t="s">
        <v>87</v>
      </c>
      <c r="E33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1" spans="1:6" x14ac:dyDescent="0.35">
      <c r="A3371" s="3">
        <v>18052041752</v>
      </c>
      <c r="B3371" s="3">
        <v>265</v>
      </c>
      <c r="C3371" s="32">
        <v>49232</v>
      </c>
      <c r="D3371" s="32" t="s">
        <v>87</v>
      </c>
      <c r="E33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2" spans="1:6" x14ac:dyDescent="0.35">
      <c r="A3372" s="3">
        <v>65805999143</v>
      </c>
      <c r="B3372" s="3">
        <v>178</v>
      </c>
      <c r="C3372" s="32">
        <v>49232</v>
      </c>
      <c r="D3372" s="32" t="s">
        <v>87</v>
      </c>
      <c r="E33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3" spans="1:6" x14ac:dyDescent="0.35">
      <c r="A3373" s="3">
        <v>63241376235</v>
      </c>
      <c r="B3373" s="3">
        <v>209</v>
      </c>
      <c r="C3373" s="32">
        <v>49232</v>
      </c>
      <c r="D3373" s="32"/>
      <c r="E33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4" spans="1:6" x14ac:dyDescent="0.35">
      <c r="A3374" s="3">
        <v>50936995604</v>
      </c>
      <c r="B3374" s="3">
        <v>246</v>
      </c>
      <c r="C3374" s="32">
        <v>49232</v>
      </c>
      <c r="D3374" s="32"/>
      <c r="E33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5" spans="1:6" x14ac:dyDescent="0.35">
      <c r="A3375" s="3">
        <v>62036852165</v>
      </c>
      <c r="B3375" s="3">
        <v>89</v>
      </c>
      <c r="C3375" s="32">
        <v>49232</v>
      </c>
      <c r="D3375" s="32" t="s">
        <v>87</v>
      </c>
      <c r="E33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6" spans="1:6" x14ac:dyDescent="0.35">
      <c r="A3376" s="3">
        <v>72348957585</v>
      </c>
      <c r="B3376" s="3">
        <v>46</v>
      </c>
      <c r="C3376" s="32">
        <v>49232</v>
      </c>
      <c r="D3376" s="32" t="s">
        <v>87</v>
      </c>
      <c r="E33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7" spans="1:6" x14ac:dyDescent="0.35">
      <c r="A3377" s="3">
        <v>17837476240</v>
      </c>
      <c r="B3377" s="3">
        <v>310</v>
      </c>
      <c r="C3377" s="32">
        <v>49232</v>
      </c>
      <c r="D3377" s="32"/>
      <c r="E33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8" spans="1:6" x14ac:dyDescent="0.35">
      <c r="A3378" s="3">
        <v>46439770924</v>
      </c>
      <c r="B3378" s="3">
        <v>114</v>
      </c>
      <c r="C3378" s="32">
        <v>49232</v>
      </c>
      <c r="D3378" s="32" t="s">
        <v>87</v>
      </c>
      <c r="E33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9" spans="1:6" x14ac:dyDescent="0.35">
      <c r="A3379" s="3">
        <v>34610749149</v>
      </c>
      <c r="B3379" s="3">
        <v>76</v>
      </c>
      <c r="C3379" s="32">
        <v>49232</v>
      </c>
      <c r="D3379" s="32"/>
      <c r="E33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0" spans="1:6" x14ac:dyDescent="0.35">
      <c r="A3380" s="3">
        <v>99429620556</v>
      </c>
      <c r="B3380" s="3">
        <v>250</v>
      </c>
      <c r="C3380" s="32">
        <v>49232</v>
      </c>
      <c r="D3380" s="32" t="s">
        <v>87</v>
      </c>
      <c r="E33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1" spans="1:6" x14ac:dyDescent="0.35">
      <c r="A3381" s="3">
        <v>88538480487</v>
      </c>
      <c r="B3381" s="3">
        <v>183</v>
      </c>
      <c r="C3381" s="32">
        <v>49232</v>
      </c>
      <c r="D3381" s="32" t="s">
        <v>87</v>
      </c>
      <c r="E33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2" spans="1:6" x14ac:dyDescent="0.35">
      <c r="A3382" s="3">
        <v>87197257661</v>
      </c>
      <c r="B3382" s="3">
        <v>144</v>
      </c>
      <c r="C3382" s="32">
        <v>49232</v>
      </c>
      <c r="D3382" s="32" t="s">
        <v>87</v>
      </c>
      <c r="E33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3" spans="1:6" x14ac:dyDescent="0.35">
      <c r="A3383" s="3">
        <v>11160555213</v>
      </c>
      <c r="B3383" s="3">
        <v>117</v>
      </c>
      <c r="C3383" s="32">
        <v>49232</v>
      </c>
      <c r="D3383" s="32" t="s">
        <v>87</v>
      </c>
      <c r="E33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4" spans="1:6" x14ac:dyDescent="0.35">
      <c r="A3384" s="3">
        <v>33376946469</v>
      </c>
      <c r="B3384" s="3">
        <v>153</v>
      </c>
      <c r="C3384" s="32">
        <v>49232</v>
      </c>
      <c r="D3384" s="32">
        <v>49334</v>
      </c>
      <c r="E33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385" spans="1:6" x14ac:dyDescent="0.35">
      <c r="A3385" s="3">
        <v>29179365554</v>
      </c>
      <c r="B3385" s="3">
        <v>128</v>
      </c>
      <c r="C3385" s="32">
        <v>49232</v>
      </c>
      <c r="D3385" s="32" t="s">
        <v>87</v>
      </c>
      <c r="E33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6" spans="1:6" x14ac:dyDescent="0.35">
      <c r="A3386" s="3">
        <v>22532950744</v>
      </c>
      <c r="B3386" s="3">
        <v>250</v>
      </c>
      <c r="C3386" s="32">
        <v>49232</v>
      </c>
      <c r="D3386" s="32">
        <v>49317</v>
      </c>
      <c r="E33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387" spans="1:6" x14ac:dyDescent="0.35">
      <c r="A3387" s="3">
        <v>83304023388</v>
      </c>
      <c r="B3387" s="3">
        <v>121</v>
      </c>
      <c r="C3387" s="32">
        <v>49233</v>
      </c>
      <c r="D3387" s="32">
        <v>49285</v>
      </c>
      <c r="E33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388" spans="1:6" x14ac:dyDescent="0.35">
      <c r="A3388" s="3">
        <v>28983658054</v>
      </c>
      <c r="B3388" s="3">
        <v>135</v>
      </c>
      <c r="C3388" s="32">
        <v>49233</v>
      </c>
      <c r="D3388" s="32" t="s">
        <v>87</v>
      </c>
      <c r="E33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9" spans="1:6" x14ac:dyDescent="0.35">
      <c r="A3389" s="3">
        <v>14819774718</v>
      </c>
      <c r="B3389" s="3">
        <v>94</v>
      </c>
      <c r="C3389" s="32">
        <v>49233</v>
      </c>
      <c r="D3389" s="32" t="s">
        <v>87</v>
      </c>
      <c r="E33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0" spans="1:6" x14ac:dyDescent="0.35">
      <c r="A3390" s="3">
        <v>32691793896</v>
      </c>
      <c r="B3390" s="3">
        <v>160</v>
      </c>
      <c r="C3390" s="32">
        <v>49233</v>
      </c>
      <c r="D3390" s="32">
        <v>49303</v>
      </c>
      <c r="E33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391" spans="1:6" x14ac:dyDescent="0.35">
      <c r="A3391" s="3">
        <v>42938286718</v>
      </c>
      <c r="B3391" s="3">
        <v>292</v>
      </c>
      <c r="C3391" s="32">
        <v>49233</v>
      </c>
      <c r="D3391" s="32" t="s">
        <v>87</v>
      </c>
      <c r="E33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2" spans="1:6" x14ac:dyDescent="0.35">
      <c r="A3392" s="3">
        <v>94351823456</v>
      </c>
      <c r="B3392" s="3">
        <v>251</v>
      </c>
      <c r="C3392" s="32">
        <v>49233</v>
      </c>
      <c r="D3392" s="32" t="s">
        <v>87</v>
      </c>
      <c r="E33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3" spans="1:6" x14ac:dyDescent="0.35">
      <c r="A3393" s="3">
        <v>92164001879</v>
      </c>
      <c r="B3393" s="3">
        <v>190</v>
      </c>
      <c r="C3393" s="32">
        <v>49233</v>
      </c>
      <c r="D3393" s="32" t="s">
        <v>87</v>
      </c>
      <c r="E33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4" spans="1:6" x14ac:dyDescent="0.35">
      <c r="A3394" s="3">
        <v>74470028044</v>
      </c>
      <c r="B3394" s="3">
        <v>335</v>
      </c>
      <c r="C3394" s="32">
        <v>49233</v>
      </c>
      <c r="D3394" s="32" t="s">
        <v>87</v>
      </c>
      <c r="E33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5" spans="1:6" x14ac:dyDescent="0.35">
      <c r="A3395" s="3">
        <v>19477121714</v>
      </c>
      <c r="B3395" s="3">
        <v>199</v>
      </c>
      <c r="C3395" s="32">
        <v>49233</v>
      </c>
      <c r="D3395" s="32">
        <v>49337</v>
      </c>
      <c r="E33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396" spans="1:6" x14ac:dyDescent="0.35">
      <c r="A3396" s="3">
        <v>19990498868</v>
      </c>
      <c r="B3396" s="3">
        <v>107</v>
      </c>
      <c r="C3396" s="32">
        <v>49233</v>
      </c>
      <c r="D3396" s="32" t="s">
        <v>87</v>
      </c>
      <c r="E33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7" spans="1:6" x14ac:dyDescent="0.35">
      <c r="A3397" s="3">
        <v>97173082361</v>
      </c>
      <c r="B3397" s="3">
        <v>136</v>
      </c>
      <c r="C3397" s="32">
        <v>49233</v>
      </c>
      <c r="D3397" s="32" t="s">
        <v>87</v>
      </c>
      <c r="E33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8" spans="1:6" x14ac:dyDescent="0.35">
      <c r="A3398" s="3">
        <v>57666317754</v>
      </c>
      <c r="B3398" s="3">
        <v>92</v>
      </c>
      <c r="C3398" s="32">
        <v>49233</v>
      </c>
      <c r="D3398" s="32" t="s">
        <v>87</v>
      </c>
      <c r="E33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9" spans="1:6" x14ac:dyDescent="0.35">
      <c r="A3399" s="3">
        <v>32691448426</v>
      </c>
      <c r="B3399" s="3">
        <v>242</v>
      </c>
      <c r="C3399" s="32">
        <v>49233</v>
      </c>
      <c r="D3399" s="32" t="s">
        <v>87</v>
      </c>
      <c r="E33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0" spans="1:6" x14ac:dyDescent="0.35">
      <c r="A3400" s="3">
        <v>47962389995</v>
      </c>
      <c r="B3400" s="3">
        <v>232</v>
      </c>
      <c r="C3400" s="32">
        <v>49233</v>
      </c>
      <c r="D3400" s="32" t="s">
        <v>87</v>
      </c>
      <c r="E34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1" spans="1:6" x14ac:dyDescent="0.35">
      <c r="A3401" s="3">
        <v>40105071944</v>
      </c>
      <c r="B3401" s="3">
        <v>260</v>
      </c>
      <c r="C3401" s="32">
        <v>49233</v>
      </c>
      <c r="D3401" s="32">
        <v>49283</v>
      </c>
      <c r="E34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402" spans="1:6" x14ac:dyDescent="0.35">
      <c r="A3402" s="3">
        <v>11887613606</v>
      </c>
      <c r="B3402" s="3">
        <v>137</v>
      </c>
      <c r="C3402" s="32">
        <v>49233</v>
      </c>
      <c r="D3402" s="32"/>
      <c r="E34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3" spans="1:6" x14ac:dyDescent="0.35">
      <c r="A3403" s="3">
        <v>20244041829</v>
      </c>
      <c r="B3403" s="3">
        <v>104</v>
      </c>
      <c r="C3403" s="32">
        <v>49233</v>
      </c>
      <c r="D3403" s="32"/>
      <c r="E34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4" spans="1:6" x14ac:dyDescent="0.35">
      <c r="A3404" s="3">
        <v>24733287026</v>
      </c>
      <c r="B3404" s="3">
        <v>165</v>
      </c>
      <c r="C3404" s="32">
        <v>49233</v>
      </c>
      <c r="D3404" s="32" t="s">
        <v>87</v>
      </c>
      <c r="E34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5" spans="1:6" x14ac:dyDescent="0.35">
      <c r="A3405" s="3">
        <v>56914449332</v>
      </c>
      <c r="B3405" s="3">
        <v>147</v>
      </c>
      <c r="C3405" s="32">
        <v>49233</v>
      </c>
      <c r="D3405" s="32" t="s">
        <v>87</v>
      </c>
      <c r="E34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6" spans="1:6" x14ac:dyDescent="0.35">
      <c r="A3406" s="3">
        <v>68552710853</v>
      </c>
      <c r="B3406" s="3">
        <v>337</v>
      </c>
      <c r="C3406" s="32">
        <v>49233</v>
      </c>
      <c r="D3406" s="32">
        <v>49248</v>
      </c>
      <c r="E34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407" spans="1:6" x14ac:dyDescent="0.35">
      <c r="A3407" s="3">
        <v>59483737879</v>
      </c>
      <c r="B3407" s="3">
        <v>278</v>
      </c>
      <c r="C3407" s="32">
        <v>49233</v>
      </c>
      <c r="D3407" s="32" t="s">
        <v>87</v>
      </c>
      <c r="E34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8" spans="1:6" x14ac:dyDescent="0.35">
      <c r="A3408" s="3">
        <v>73977769502</v>
      </c>
      <c r="B3408" s="3">
        <v>3</v>
      </c>
      <c r="C3408" s="32">
        <v>49233</v>
      </c>
      <c r="D3408" s="32" t="s">
        <v>87</v>
      </c>
      <c r="E34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9" spans="1:6" x14ac:dyDescent="0.35">
      <c r="A3409" s="3">
        <v>22012311760</v>
      </c>
      <c r="B3409" s="3">
        <v>19</v>
      </c>
      <c r="C3409" s="32">
        <v>49233</v>
      </c>
      <c r="D3409" s="32" t="s">
        <v>87</v>
      </c>
      <c r="E34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0" spans="1:6" x14ac:dyDescent="0.35">
      <c r="A3410" s="3">
        <v>96730647720</v>
      </c>
      <c r="B3410" s="3">
        <v>136</v>
      </c>
      <c r="C3410" s="32">
        <v>49233</v>
      </c>
      <c r="D3410" s="32"/>
      <c r="E34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1" spans="1:6" x14ac:dyDescent="0.35">
      <c r="A3411" s="3">
        <v>68994626326</v>
      </c>
      <c r="B3411" s="3">
        <v>239</v>
      </c>
      <c r="C3411" s="32">
        <v>49233</v>
      </c>
      <c r="D3411" s="32">
        <v>49261</v>
      </c>
      <c r="E34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412" spans="1:6" x14ac:dyDescent="0.35">
      <c r="A3412" s="3">
        <v>11777449302</v>
      </c>
      <c r="B3412" s="3">
        <v>297</v>
      </c>
      <c r="C3412" s="32">
        <v>49233</v>
      </c>
      <c r="D3412" s="32" t="s">
        <v>87</v>
      </c>
      <c r="E34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3" spans="1:6" x14ac:dyDescent="0.35">
      <c r="A3413" s="3">
        <v>72774379337</v>
      </c>
      <c r="B3413" s="3">
        <v>134</v>
      </c>
      <c r="C3413" s="32">
        <v>49233</v>
      </c>
      <c r="D3413" s="32" t="s">
        <v>87</v>
      </c>
      <c r="E34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4" spans="1:6" x14ac:dyDescent="0.35">
      <c r="A3414" s="3">
        <v>51648883053</v>
      </c>
      <c r="B3414" s="3">
        <v>113</v>
      </c>
      <c r="C3414" s="32">
        <v>49234</v>
      </c>
      <c r="D3414" s="32"/>
      <c r="E34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5" spans="1:6" x14ac:dyDescent="0.35">
      <c r="A3415" s="3">
        <v>15156796452</v>
      </c>
      <c r="B3415" s="3">
        <v>224</v>
      </c>
      <c r="C3415" s="32">
        <v>49234</v>
      </c>
      <c r="D3415" s="32"/>
      <c r="E34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6" spans="1:6" x14ac:dyDescent="0.35">
      <c r="A3416" s="3">
        <v>64444237841</v>
      </c>
      <c r="B3416" s="3">
        <v>317</v>
      </c>
      <c r="C3416" s="32">
        <v>49234</v>
      </c>
      <c r="D3416" s="32"/>
      <c r="E34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7" spans="1:6" x14ac:dyDescent="0.35">
      <c r="A3417" s="3">
        <v>92756488592</v>
      </c>
      <c r="B3417" s="3">
        <v>77</v>
      </c>
      <c r="C3417" s="32">
        <v>49234</v>
      </c>
      <c r="D3417" s="32">
        <v>49321</v>
      </c>
      <c r="E34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418" spans="1:6" x14ac:dyDescent="0.35">
      <c r="A3418" s="3">
        <v>69484135219</v>
      </c>
      <c r="B3418" s="3">
        <v>335</v>
      </c>
      <c r="C3418" s="32">
        <v>49234</v>
      </c>
      <c r="D3418" s="32" t="s">
        <v>87</v>
      </c>
      <c r="E34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9" spans="1:6" x14ac:dyDescent="0.35">
      <c r="A3419" s="3">
        <v>73058716315</v>
      </c>
      <c r="B3419" s="3">
        <v>13</v>
      </c>
      <c r="C3419" s="32">
        <v>49234</v>
      </c>
      <c r="D3419" s="32" t="s">
        <v>87</v>
      </c>
      <c r="E34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0" spans="1:6" x14ac:dyDescent="0.35">
      <c r="A3420" s="3">
        <v>24679266365</v>
      </c>
      <c r="B3420" s="3">
        <v>243</v>
      </c>
      <c r="C3420" s="32">
        <v>49234</v>
      </c>
      <c r="D3420" s="32" t="s">
        <v>87</v>
      </c>
      <c r="E34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1" spans="1:6" x14ac:dyDescent="0.35">
      <c r="A3421" s="3">
        <v>90194040157</v>
      </c>
      <c r="B3421" s="3">
        <v>30</v>
      </c>
      <c r="C3421" s="32">
        <v>49234</v>
      </c>
      <c r="D3421" s="32" t="s">
        <v>87</v>
      </c>
      <c r="E34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2" spans="1:6" x14ac:dyDescent="0.35">
      <c r="A3422" s="3">
        <v>11716189361</v>
      </c>
      <c r="B3422" s="3">
        <v>127</v>
      </c>
      <c r="C3422" s="32">
        <v>49234</v>
      </c>
      <c r="D3422" s="32"/>
      <c r="E34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3" spans="1:6" x14ac:dyDescent="0.35">
      <c r="A3423" s="3">
        <v>65165123604</v>
      </c>
      <c r="B3423" s="3">
        <v>192</v>
      </c>
      <c r="C3423" s="32">
        <v>49234</v>
      </c>
      <c r="D3423" s="32" t="s">
        <v>87</v>
      </c>
      <c r="E34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4" spans="1:6" x14ac:dyDescent="0.35">
      <c r="A3424" s="3">
        <v>70179608330</v>
      </c>
      <c r="B3424" s="3">
        <v>30</v>
      </c>
      <c r="C3424" s="32">
        <v>49234</v>
      </c>
      <c r="D3424" s="32" t="s">
        <v>87</v>
      </c>
      <c r="E34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5" spans="1:6" x14ac:dyDescent="0.35">
      <c r="A3425" s="3">
        <v>94251904334</v>
      </c>
      <c r="B3425" s="3">
        <v>225</v>
      </c>
      <c r="C3425" s="32">
        <v>49234</v>
      </c>
      <c r="D3425" s="32" t="s">
        <v>87</v>
      </c>
      <c r="E34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6" spans="1:6" x14ac:dyDescent="0.35">
      <c r="A3426" s="3">
        <v>57984517383</v>
      </c>
      <c r="B3426" s="3">
        <v>122</v>
      </c>
      <c r="C3426" s="32">
        <v>49234</v>
      </c>
      <c r="D3426" s="32" t="s">
        <v>87</v>
      </c>
      <c r="E34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7" spans="1:6" x14ac:dyDescent="0.35">
      <c r="A3427" s="3">
        <v>44779636300</v>
      </c>
      <c r="B3427" s="3">
        <v>14</v>
      </c>
      <c r="C3427" s="32">
        <v>49234</v>
      </c>
      <c r="D3427" s="32" t="s">
        <v>87</v>
      </c>
      <c r="E34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8" spans="1:6" x14ac:dyDescent="0.35">
      <c r="A3428" s="3">
        <v>48379034212</v>
      </c>
      <c r="B3428" s="3">
        <v>179</v>
      </c>
      <c r="C3428" s="32">
        <v>49234</v>
      </c>
      <c r="D3428" s="32" t="s">
        <v>87</v>
      </c>
      <c r="E34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9" spans="1:6" x14ac:dyDescent="0.35">
      <c r="A3429" s="3">
        <v>76869652577</v>
      </c>
      <c r="B3429" s="3">
        <v>176</v>
      </c>
      <c r="C3429" s="32">
        <v>49234</v>
      </c>
      <c r="D3429" s="32" t="s">
        <v>87</v>
      </c>
      <c r="E34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0" spans="1:6" x14ac:dyDescent="0.35">
      <c r="A3430" s="3">
        <v>17836437233</v>
      </c>
      <c r="B3430" s="3">
        <v>327</v>
      </c>
      <c r="C3430" s="32">
        <v>49234</v>
      </c>
      <c r="D3430" s="32" t="s">
        <v>87</v>
      </c>
      <c r="E34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1" spans="1:6" x14ac:dyDescent="0.35">
      <c r="A3431" s="3">
        <v>36703119378</v>
      </c>
      <c r="B3431" s="3">
        <v>54</v>
      </c>
      <c r="C3431" s="32">
        <v>49234</v>
      </c>
      <c r="D3431" s="32" t="s">
        <v>87</v>
      </c>
      <c r="E34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2" spans="1:6" x14ac:dyDescent="0.35">
      <c r="A3432" s="3">
        <v>78194932286</v>
      </c>
      <c r="B3432" s="3">
        <v>168</v>
      </c>
      <c r="C3432" s="32">
        <v>49234</v>
      </c>
      <c r="D3432" s="32" t="s">
        <v>87</v>
      </c>
      <c r="E34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3" spans="1:6" x14ac:dyDescent="0.35">
      <c r="A3433" s="3">
        <v>87598576787</v>
      </c>
      <c r="B3433" s="3">
        <v>313</v>
      </c>
      <c r="C3433" s="32">
        <v>49234</v>
      </c>
      <c r="D3433" s="32"/>
      <c r="E34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4" spans="1:6" x14ac:dyDescent="0.35">
      <c r="A3434" s="3">
        <v>36826122264</v>
      </c>
      <c r="B3434" s="3">
        <v>11</v>
      </c>
      <c r="C3434" s="32">
        <v>49235</v>
      </c>
      <c r="D3434" s="32" t="s">
        <v>87</v>
      </c>
      <c r="E34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5" spans="1:6" x14ac:dyDescent="0.35">
      <c r="A3435" s="3">
        <v>77405013471</v>
      </c>
      <c r="B3435" s="3">
        <v>35</v>
      </c>
      <c r="C3435" s="32">
        <v>49235</v>
      </c>
      <c r="D3435" s="32" t="s">
        <v>87</v>
      </c>
      <c r="E34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6" spans="1:6" x14ac:dyDescent="0.35">
      <c r="A3436" s="3">
        <v>17939984285</v>
      </c>
      <c r="B3436" s="3">
        <v>338</v>
      </c>
      <c r="C3436" s="32">
        <v>49235</v>
      </c>
      <c r="D3436" s="32" t="s">
        <v>87</v>
      </c>
      <c r="E34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7" spans="1:6" x14ac:dyDescent="0.35">
      <c r="A3437" s="3">
        <v>15847964301</v>
      </c>
      <c r="B3437" s="3">
        <v>330</v>
      </c>
      <c r="C3437" s="32">
        <v>49235</v>
      </c>
      <c r="D3437" s="32" t="s">
        <v>87</v>
      </c>
      <c r="E34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8" spans="1:6" x14ac:dyDescent="0.35">
      <c r="A3438" s="3">
        <v>90076572057</v>
      </c>
      <c r="B3438" s="3">
        <v>49</v>
      </c>
      <c r="C3438" s="32">
        <v>49235</v>
      </c>
      <c r="D3438" s="32"/>
      <c r="E34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9" spans="1:6" x14ac:dyDescent="0.35">
      <c r="A3439" s="3">
        <v>70384672221</v>
      </c>
      <c r="B3439" s="3">
        <v>209</v>
      </c>
      <c r="C3439" s="32">
        <v>49235</v>
      </c>
      <c r="D3439" s="32" t="s">
        <v>87</v>
      </c>
      <c r="E34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0" spans="1:6" x14ac:dyDescent="0.35">
      <c r="A3440" s="3">
        <v>40836389211</v>
      </c>
      <c r="B3440" s="3">
        <v>131</v>
      </c>
      <c r="C3440" s="32">
        <v>49235</v>
      </c>
      <c r="D3440" s="32" t="s">
        <v>87</v>
      </c>
      <c r="E34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1" spans="1:6" x14ac:dyDescent="0.35">
      <c r="A3441" s="3">
        <v>34078062756</v>
      </c>
      <c r="B3441" s="3">
        <v>169</v>
      </c>
      <c r="C3441" s="32">
        <v>49235</v>
      </c>
      <c r="D3441" s="32" t="s">
        <v>87</v>
      </c>
      <c r="E34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2" spans="1:6" x14ac:dyDescent="0.35">
      <c r="A3442" s="3">
        <v>61158673636</v>
      </c>
      <c r="B3442" s="3">
        <v>290</v>
      </c>
      <c r="C3442" s="32">
        <v>49235</v>
      </c>
      <c r="D3442" s="32">
        <v>49337</v>
      </c>
      <c r="E34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443" spans="1:6" x14ac:dyDescent="0.35">
      <c r="A3443" s="3">
        <v>66519834897</v>
      </c>
      <c r="B3443" s="3">
        <v>93</v>
      </c>
      <c r="C3443" s="32">
        <v>49235</v>
      </c>
      <c r="D3443" s="32" t="s">
        <v>87</v>
      </c>
      <c r="E34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4" spans="1:6" x14ac:dyDescent="0.35">
      <c r="A3444" s="3">
        <v>16515993058</v>
      </c>
      <c r="B3444" s="3">
        <v>95</v>
      </c>
      <c r="C3444" s="32">
        <v>49235</v>
      </c>
      <c r="D3444" s="32"/>
      <c r="E34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5" spans="1:6" x14ac:dyDescent="0.35">
      <c r="A3445" s="3">
        <v>70849896450</v>
      </c>
      <c r="B3445" s="3">
        <v>66</v>
      </c>
      <c r="C3445" s="32">
        <v>49235</v>
      </c>
      <c r="D3445" s="32" t="s">
        <v>87</v>
      </c>
      <c r="E34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6" spans="1:6" x14ac:dyDescent="0.35">
      <c r="A3446" s="3">
        <v>28353245517</v>
      </c>
      <c r="B3446" s="3">
        <v>24</v>
      </c>
      <c r="C3446" s="32">
        <v>49235</v>
      </c>
      <c r="D3446" s="32" t="s">
        <v>87</v>
      </c>
      <c r="E34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7" spans="1:6" x14ac:dyDescent="0.35">
      <c r="A3447" s="3">
        <v>24914127733</v>
      </c>
      <c r="B3447" s="3">
        <v>211</v>
      </c>
      <c r="C3447" s="32">
        <v>49235</v>
      </c>
      <c r="D3447" s="32" t="s">
        <v>87</v>
      </c>
      <c r="E34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8" spans="1:6" x14ac:dyDescent="0.35">
      <c r="A3448" s="3">
        <v>49944878084</v>
      </c>
      <c r="B3448" s="3">
        <v>169</v>
      </c>
      <c r="C3448" s="32">
        <v>49235</v>
      </c>
      <c r="D3448" s="32" t="s">
        <v>87</v>
      </c>
      <c r="E34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9" spans="1:6" x14ac:dyDescent="0.35">
      <c r="A3449" s="3">
        <v>84692341738</v>
      </c>
      <c r="B3449" s="3">
        <v>23</v>
      </c>
      <c r="C3449" s="32">
        <v>49235</v>
      </c>
      <c r="D3449" s="32"/>
      <c r="E34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0" spans="1:6" x14ac:dyDescent="0.35">
      <c r="A3450" s="3">
        <v>63903976497</v>
      </c>
      <c r="B3450" s="3">
        <v>41</v>
      </c>
      <c r="C3450" s="32">
        <v>49235</v>
      </c>
      <c r="D3450" s="32">
        <v>49302</v>
      </c>
      <c r="E34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451" spans="1:6" x14ac:dyDescent="0.35">
      <c r="A3451" s="3">
        <v>76247641026</v>
      </c>
      <c r="B3451" s="3">
        <v>339</v>
      </c>
      <c r="C3451" s="32">
        <v>49235</v>
      </c>
      <c r="D3451" s="32" t="s">
        <v>87</v>
      </c>
      <c r="E34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2" spans="1:6" x14ac:dyDescent="0.35">
      <c r="A3452" s="3">
        <v>72178629286</v>
      </c>
      <c r="B3452" s="3">
        <v>197</v>
      </c>
      <c r="C3452" s="32">
        <v>49235</v>
      </c>
      <c r="D3452" s="32" t="s">
        <v>87</v>
      </c>
      <c r="E34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3" spans="1:6" x14ac:dyDescent="0.35">
      <c r="A3453" s="3">
        <v>66571865527</v>
      </c>
      <c r="B3453" s="3">
        <v>16</v>
      </c>
      <c r="C3453" s="32">
        <v>49235</v>
      </c>
      <c r="D3453" s="32" t="s">
        <v>87</v>
      </c>
      <c r="E34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4" spans="1:6" x14ac:dyDescent="0.35">
      <c r="A3454" s="3">
        <v>16625333769</v>
      </c>
      <c r="B3454" s="3">
        <v>210</v>
      </c>
      <c r="C3454" s="32">
        <v>49235</v>
      </c>
      <c r="D3454" s="32" t="s">
        <v>87</v>
      </c>
      <c r="E34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5" spans="1:6" x14ac:dyDescent="0.35">
      <c r="A3455" s="3">
        <v>77899695327</v>
      </c>
      <c r="B3455" s="3">
        <v>165</v>
      </c>
      <c r="C3455" s="32">
        <v>49235</v>
      </c>
      <c r="D3455" s="32" t="s">
        <v>87</v>
      </c>
      <c r="E34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6" spans="1:6" x14ac:dyDescent="0.35">
      <c r="A3456" s="3">
        <v>50055127713</v>
      </c>
      <c r="B3456" s="3">
        <v>41</v>
      </c>
      <c r="C3456" s="32">
        <v>49235</v>
      </c>
      <c r="D3456" s="32" t="s">
        <v>87</v>
      </c>
      <c r="E34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7" spans="1:6" x14ac:dyDescent="0.35">
      <c r="A3457" s="3">
        <v>75825064851</v>
      </c>
      <c r="B3457" s="3">
        <v>176</v>
      </c>
      <c r="C3457" s="32">
        <v>49235</v>
      </c>
      <c r="D3457" s="32"/>
      <c r="E34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8" spans="1:6" x14ac:dyDescent="0.35">
      <c r="A3458" s="3">
        <v>78302811598</v>
      </c>
      <c r="B3458" s="3">
        <v>260</v>
      </c>
      <c r="C3458" s="32">
        <v>49235</v>
      </c>
      <c r="D3458" s="32"/>
      <c r="E34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9" spans="1:6" x14ac:dyDescent="0.35">
      <c r="A3459" s="3">
        <v>23726386533</v>
      </c>
      <c r="B3459" s="3">
        <v>76</v>
      </c>
      <c r="C3459" s="32">
        <v>49235</v>
      </c>
      <c r="D3459" s="32"/>
      <c r="E34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0" spans="1:6" x14ac:dyDescent="0.35">
      <c r="A3460" s="3">
        <v>80847838999</v>
      </c>
      <c r="B3460" s="3">
        <v>177</v>
      </c>
      <c r="C3460" s="32">
        <v>49235</v>
      </c>
      <c r="D3460" s="32">
        <v>49285</v>
      </c>
      <c r="E34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461" spans="1:6" x14ac:dyDescent="0.35">
      <c r="A3461" s="3">
        <v>69116417624</v>
      </c>
      <c r="B3461" s="3">
        <v>208</v>
      </c>
      <c r="C3461" s="32">
        <v>49235</v>
      </c>
      <c r="D3461" s="32" t="s">
        <v>87</v>
      </c>
      <c r="E34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2" spans="1:6" x14ac:dyDescent="0.35">
      <c r="A3462" s="3">
        <v>87981698370</v>
      </c>
      <c r="B3462" s="3">
        <v>235</v>
      </c>
      <c r="C3462" s="32">
        <v>49235</v>
      </c>
      <c r="D3462" s="32">
        <v>49348</v>
      </c>
      <c r="E34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463" spans="1:6" x14ac:dyDescent="0.35">
      <c r="A3463" s="3">
        <v>23310334203</v>
      </c>
      <c r="B3463" s="3">
        <v>259</v>
      </c>
      <c r="C3463" s="32">
        <v>49236</v>
      </c>
      <c r="D3463" s="32">
        <v>49273</v>
      </c>
      <c r="E34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464" spans="1:6" x14ac:dyDescent="0.35">
      <c r="A3464" s="3">
        <v>98924585566</v>
      </c>
      <c r="B3464" s="3">
        <v>307</v>
      </c>
      <c r="C3464" s="32">
        <v>49236</v>
      </c>
      <c r="D3464" s="32" t="s">
        <v>87</v>
      </c>
      <c r="E34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5" spans="1:6" x14ac:dyDescent="0.35">
      <c r="A3465" s="3">
        <v>36229009685</v>
      </c>
      <c r="B3465" s="3">
        <v>271</v>
      </c>
      <c r="C3465" s="32">
        <v>49236</v>
      </c>
      <c r="D3465" s="32" t="s">
        <v>87</v>
      </c>
      <c r="E34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6" spans="1:6" x14ac:dyDescent="0.35">
      <c r="A3466" s="3">
        <v>49857751339</v>
      </c>
      <c r="B3466" s="3">
        <v>272</v>
      </c>
      <c r="C3466" s="32">
        <v>49236</v>
      </c>
      <c r="D3466" s="32" t="s">
        <v>87</v>
      </c>
      <c r="E34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7" spans="1:6" x14ac:dyDescent="0.35">
      <c r="A3467" s="3">
        <v>57320102001</v>
      </c>
      <c r="B3467" s="3">
        <v>188</v>
      </c>
      <c r="C3467" s="32">
        <v>49236</v>
      </c>
      <c r="D3467" s="32" t="s">
        <v>87</v>
      </c>
      <c r="E34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8" spans="1:6" x14ac:dyDescent="0.35">
      <c r="A3468" s="3">
        <v>11780658450</v>
      </c>
      <c r="B3468" s="3">
        <v>135</v>
      </c>
      <c r="C3468" s="32">
        <v>49236</v>
      </c>
      <c r="D3468" s="32" t="s">
        <v>87</v>
      </c>
      <c r="E34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9" spans="1:6" x14ac:dyDescent="0.35">
      <c r="A3469" s="3">
        <v>34438320199</v>
      </c>
      <c r="B3469" s="3">
        <v>102</v>
      </c>
      <c r="C3469" s="32">
        <v>49236</v>
      </c>
      <c r="D3469" s="32" t="s">
        <v>87</v>
      </c>
      <c r="E34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0" spans="1:6" x14ac:dyDescent="0.35">
      <c r="A3470" s="3">
        <v>18363524931</v>
      </c>
      <c r="B3470" s="3">
        <v>241</v>
      </c>
      <c r="C3470" s="32">
        <v>49236</v>
      </c>
      <c r="D3470" s="32">
        <v>49257</v>
      </c>
      <c r="E34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471" spans="1:6" x14ac:dyDescent="0.35">
      <c r="A3471" s="3">
        <v>22247528206</v>
      </c>
      <c r="B3471" s="3">
        <v>328</v>
      </c>
      <c r="C3471" s="32">
        <v>49236</v>
      </c>
      <c r="D3471" s="32" t="s">
        <v>87</v>
      </c>
      <c r="E34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2" spans="1:6" x14ac:dyDescent="0.35">
      <c r="A3472" s="3">
        <v>20869198995</v>
      </c>
      <c r="B3472" s="3">
        <v>254</v>
      </c>
      <c r="C3472" s="32">
        <v>49236</v>
      </c>
      <c r="D3472" s="32" t="s">
        <v>87</v>
      </c>
      <c r="E34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3" spans="1:6" x14ac:dyDescent="0.35">
      <c r="A3473" s="3">
        <v>97365833050</v>
      </c>
      <c r="B3473" s="3">
        <v>214</v>
      </c>
      <c r="C3473" s="32">
        <v>49236</v>
      </c>
      <c r="D3473" s="32">
        <v>49336</v>
      </c>
      <c r="E34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474" spans="1:6" x14ac:dyDescent="0.35">
      <c r="A3474" s="3">
        <v>14226003605</v>
      </c>
      <c r="B3474" s="3">
        <v>272</v>
      </c>
      <c r="C3474" s="32">
        <v>49236</v>
      </c>
      <c r="D3474" s="32"/>
      <c r="E34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5" spans="1:6" x14ac:dyDescent="0.35">
      <c r="A3475" s="3">
        <v>47300071034</v>
      </c>
      <c r="B3475" s="3">
        <v>210</v>
      </c>
      <c r="C3475" s="32">
        <v>49236</v>
      </c>
      <c r="D3475" s="32" t="s">
        <v>87</v>
      </c>
      <c r="E34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6" spans="1:6" x14ac:dyDescent="0.35">
      <c r="A3476" s="3">
        <v>30585836173</v>
      </c>
      <c r="B3476" s="3">
        <v>282</v>
      </c>
      <c r="C3476" s="32">
        <v>49236</v>
      </c>
      <c r="D3476" s="32" t="s">
        <v>87</v>
      </c>
      <c r="E34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7" spans="1:6" x14ac:dyDescent="0.35">
      <c r="A3477" s="3">
        <v>84967558961</v>
      </c>
      <c r="B3477" s="3">
        <v>296</v>
      </c>
      <c r="C3477" s="32">
        <v>49236</v>
      </c>
      <c r="D3477" s="32" t="s">
        <v>87</v>
      </c>
      <c r="E34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8" spans="1:6" x14ac:dyDescent="0.35">
      <c r="A3478" s="3">
        <v>24098796691</v>
      </c>
      <c r="B3478" s="3">
        <v>180</v>
      </c>
      <c r="C3478" s="32">
        <v>49236</v>
      </c>
      <c r="D3478" s="32">
        <v>49319</v>
      </c>
      <c r="E34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479" spans="1:6" x14ac:dyDescent="0.35">
      <c r="A3479" s="3">
        <v>45417382922</v>
      </c>
      <c r="B3479" s="3">
        <v>299</v>
      </c>
      <c r="C3479" s="32">
        <v>49236</v>
      </c>
      <c r="D3479" s="32">
        <v>49294</v>
      </c>
      <c r="E34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480" spans="1:6" x14ac:dyDescent="0.35">
      <c r="A3480" s="3">
        <v>74977464280</v>
      </c>
      <c r="B3480" s="3">
        <v>59</v>
      </c>
      <c r="C3480" s="32">
        <v>49236</v>
      </c>
      <c r="D3480" s="32">
        <v>49319</v>
      </c>
      <c r="E34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481" spans="1:6" x14ac:dyDescent="0.35">
      <c r="A3481" s="3">
        <v>56725347771</v>
      </c>
      <c r="B3481" s="3">
        <v>140</v>
      </c>
      <c r="C3481" s="32">
        <v>49236</v>
      </c>
      <c r="D3481" s="32" t="s">
        <v>87</v>
      </c>
      <c r="E34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2" spans="1:6" x14ac:dyDescent="0.35">
      <c r="A3482" s="3">
        <v>56032621508</v>
      </c>
      <c r="B3482" s="3">
        <v>30</v>
      </c>
      <c r="C3482" s="32">
        <v>49236</v>
      </c>
      <c r="D3482" s="32"/>
      <c r="E34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3" spans="1:6" x14ac:dyDescent="0.35">
      <c r="A3483" s="3">
        <v>67787941226</v>
      </c>
      <c r="B3483" s="3">
        <v>300</v>
      </c>
      <c r="C3483" s="32">
        <v>49236</v>
      </c>
      <c r="D3483" s="32"/>
      <c r="E34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4" spans="1:6" x14ac:dyDescent="0.35">
      <c r="A3484" s="3">
        <v>52076224264</v>
      </c>
      <c r="B3484" s="3">
        <v>223</v>
      </c>
      <c r="C3484" s="32">
        <v>49236</v>
      </c>
      <c r="D3484" s="32" t="s">
        <v>87</v>
      </c>
      <c r="E34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5" spans="1:6" x14ac:dyDescent="0.35">
      <c r="A3485" s="3">
        <v>60078366144</v>
      </c>
      <c r="B3485" s="3">
        <v>110</v>
      </c>
      <c r="C3485" s="32">
        <v>49236</v>
      </c>
      <c r="D3485" s="32" t="s">
        <v>87</v>
      </c>
      <c r="E34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6" spans="1:6" x14ac:dyDescent="0.35">
      <c r="A3486" s="3">
        <v>42347493003</v>
      </c>
      <c r="B3486" s="3">
        <v>291</v>
      </c>
      <c r="C3486" s="32">
        <v>49236</v>
      </c>
      <c r="D3486" s="32" t="s">
        <v>87</v>
      </c>
      <c r="E34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7" spans="1:6" x14ac:dyDescent="0.35">
      <c r="A3487" s="3">
        <v>65216111818</v>
      </c>
      <c r="B3487" s="3">
        <v>212</v>
      </c>
      <c r="C3487" s="32">
        <v>49236</v>
      </c>
      <c r="D3487" s="32" t="s">
        <v>87</v>
      </c>
      <c r="E34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8" spans="1:6" x14ac:dyDescent="0.35">
      <c r="A3488" s="3">
        <v>23457970109</v>
      </c>
      <c r="B3488" s="3">
        <v>219</v>
      </c>
      <c r="C3488" s="32">
        <v>49236</v>
      </c>
      <c r="D3488" s="32" t="s">
        <v>87</v>
      </c>
      <c r="E34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9" spans="1:6" x14ac:dyDescent="0.35">
      <c r="A3489" s="3">
        <v>27103830594</v>
      </c>
      <c r="B3489" s="3">
        <v>245</v>
      </c>
      <c r="C3489" s="32">
        <v>49236</v>
      </c>
      <c r="D3489" s="32" t="s">
        <v>87</v>
      </c>
      <c r="E34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0" spans="1:6" x14ac:dyDescent="0.35">
      <c r="A3490" s="3">
        <v>12272348853</v>
      </c>
      <c r="B3490" s="3">
        <v>23</v>
      </c>
      <c r="C3490" s="32">
        <v>49236</v>
      </c>
      <c r="D3490" s="32" t="s">
        <v>87</v>
      </c>
      <c r="E34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1" spans="1:6" x14ac:dyDescent="0.35">
      <c r="A3491" s="3">
        <v>46138761903</v>
      </c>
      <c r="B3491" s="3">
        <v>118</v>
      </c>
      <c r="C3491" s="32">
        <v>49236</v>
      </c>
      <c r="D3491" s="32"/>
      <c r="E34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2" spans="1:6" x14ac:dyDescent="0.35">
      <c r="A3492" s="3">
        <v>68814660396</v>
      </c>
      <c r="B3492" s="3">
        <v>255</v>
      </c>
      <c r="C3492" s="32">
        <v>49236</v>
      </c>
      <c r="D3492" s="32">
        <v>49241</v>
      </c>
      <c r="E34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493" spans="1:6" x14ac:dyDescent="0.35">
      <c r="A3493" s="3">
        <v>25185712977</v>
      </c>
      <c r="B3493" s="3">
        <v>156</v>
      </c>
      <c r="C3493" s="32">
        <v>49237</v>
      </c>
      <c r="D3493" s="32"/>
      <c r="E34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4" spans="1:6" x14ac:dyDescent="0.35">
      <c r="A3494" s="3">
        <v>58094687768</v>
      </c>
      <c r="B3494" s="3">
        <v>120</v>
      </c>
      <c r="C3494" s="32">
        <v>49237</v>
      </c>
      <c r="D3494" s="32"/>
      <c r="E34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5" spans="1:6" x14ac:dyDescent="0.35">
      <c r="A3495" s="3">
        <v>40126826506</v>
      </c>
      <c r="B3495" s="3">
        <v>155</v>
      </c>
      <c r="C3495" s="32">
        <v>49237</v>
      </c>
      <c r="D3495" s="32" t="s">
        <v>87</v>
      </c>
      <c r="E34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6" spans="1:6" x14ac:dyDescent="0.35">
      <c r="A3496" s="3">
        <v>84850594467</v>
      </c>
      <c r="B3496" s="3">
        <v>318</v>
      </c>
      <c r="C3496" s="32">
        <v>49237</v>
      </c>
      <c r="D3496" s="32"/>
      <c r="E34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7" spans="1:6" x14ac:dyDescent="0.35">
      <c r="A3497" s="3">
        <v>68663326069</v>
      </c>
      <c r="B3497" s="3">
        <v>274</v>
      </c>
      <c r="C3497" s="32">
        <v>49237</v>
      </c>
      <c r="D3497" s="32" t="s">
        <v>87</v>
      </c>
      <c r="E34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8" spans="1:6" x14ac:dyDescent="0.35">
      <c r="A3498" s="3">
        <v>89265681799</v>
      </c>
      <c r="B3498" s="3">
        <v>106</v>
      </c>
      <c r="C3498" s="32">
        <v>49237</v>
      </c>
      <c r="D3498" s="32"/>
      <c r="E34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9" spans="1:6" x14ac:dyDescent="0.35">
      <c r="A3499" s="3">
        <v>80855238439</v>
      </c>
      <c r="B3499" s="3">
        <v>67</v>
      </c>
      <c r="C3499" s="32">
        <v>49237</v>
      </c>
      <c r="D3499" s="32">
        <v>49287</v>
      </c>
      <c r="E34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500" spans="1:6" x14ac:dyDescent="0.35">
      <c r="A3500" s="3">
        <v>85675848308</v>
      </c>
      <c r="B3500" s="3">
        <v>25</v>
      </c>
      <c r="C3500" s="32">
        <v>49237</v>
      </c>
      <c r="D3500" s="32" t="s">
        <v>87</v>
      </c>
      <c r="E35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1" spans="1:6" x14ac:dyDescent="0.35">
      <c r="A3501" s="3">
        <v>53765711488</v>
      </c>
      <c r="B3501" s="3">
        <v>198</v>
      </c>
      <c r="C3501" s="32">
        <v>49237</v>
      </c>
      <c r="D3501" s="32" t="s">
        <v>87</v>
      </c>
      <c r="E35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2" spans="1:6" x14ac:dyDescent="0.35">
      <c r="A3502" s="3">
        <v>69795134662</v>
      </c>
      <c r="B3502" s="3">
        <v>78</v>
      </c>
      <c r="C3502" s="32">
        <v>49237</v>
      </c>
      <c r="D3502" s="32" t="s">
        <v>87</v>
      </c>
      <c r="E35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3" spans="1:6" x14ac:dyDescent="0.35">
      <c r="A3503" s="3">
        <v>97808281082</v>
      </c>
      <c r="B3503" s="3">
        <v>311</v>
      </c>
      <c r="C3503" s="32">
        <v>49237</v>
      </c>
      <c r="D3503" s="32" t="s">
        <v>87</v>
      </c>
      <c r="E35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4" spans="1:6" x14ac:dyDescent="0.35">
      <c r="A3504" s="3">
        <v>41999184589</v>
      </c>
      <c r="B3504" s="3">
        <v>213</v>
      </c>
      <c r="C3504" s="32">
        <v>49237</v>
      </c>
      <c r="D3504" s="32" t="s">
        <v>87</v>
      </c>
      <c r="E35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5" spans="1:6" x14ac:dyDescent="0.35">
      <c r="A3505" s="3">
        <v>88141440790</v>
      </c>
      <c r="B3505" s="3">
        <v>189</v>
      </c>
      <c r="C3505" s="32">
        <v>49237</v>
      </c>
      <c r="D3505" s="32" t="s">
        <v>87</v>
      </c>
      <c r="E35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6" spans="1:6" x14ac:dyDescent="0.35">
      <c r="A3506" s="3">
        <v>27191150458</v>
      </c>
      <c r="B3506" s="3">
        <v>82</v>
      </c>
      <c r="C3506" s="32">
        <v>49237</v>
      </c>
      <c r="D3506" s="32"/>
      <c r="E35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7" spans="1:6" x14ac:dyDescent="0.35">
      <c r="A3507" s="3">
        <v>53349419533</v>
      </c>
      <c r="B3507" s="3">
        <v>244</v>
      </c>
      <c r="C3507" s="32">
        <v>49237</v>
      </c>
      <c r="D3507" s="32" t="s">
        <v>87</v>
      </c>
      <c r="E35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8" spans="1:6" x14ac:dyDescent="0.35">
      <c r="A3508" s="3">
        <v>76510367811</v>
      </c>
      <c r="B3508" s="3">
        <v>23</v>
      </c>
      <c r="C3508" s="32">
        <v>49237</v>
      </c>
      <c r="D3508" s="32">
        <v>49254</v>
      </c>
      <c r="E35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09" spans="1:6" x14ac:dyDescent="0.35">
      <c r="A3509" s="3">
        <v>98348243186</v>
      </c>
      <c r="B3509" s="3">
        <v>30</v>
      </c>
      <c r="C3509" s="32">
        <v>49237</v>
      </c>
      <c r="D3509" s="32" t="s">
        <v>87</v>
      </c>
      <c r="E35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0" spans="1:6" x14ac:dyDescent="0.35">
      <c r="A3510" s="3">
        <v>96191931719</v>
      </c>
      <c r="B3510" s="3">
        <v>213</v>
      </c>
      <c r="C3510" s="32">
        <v>49237</v>
      </c>
      <c r="D3510" s="32"/>
      <c r="E35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1" spans="1:6" x14ac:dyDescent="0.35">
      <c r="A3511" s="3">
        <v>45839270522</v>
      </c>
      <c r="B3511" s="3">
        <v>272</v>
      </c>
      <c r="C3511" s="32">
        <v>49237</v>
      </c>
      <c r="D3511" s="32" t="s">
        <v>87</v>
      </c>
      <c r="E35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2" spans="1:6" x14ac:dyDescent="0.35">
      <c r="A3512" s="3">
        <v>44409031762</v>
      </c>
      <c r="B3512" s="3">
        <v>60</v>
      </c>
      <c r="C3512" s="32">
        <v>49237</v>
      </c>
      <c r="D3512" s="32">
        <v>49248</v>
      </c>
      <c r="E35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513" spans="1:6" x14ac:dyDescent="0.35">
      <c r="A3513" s="3">
        <v>51797354039</v>
      </c>
      <c r="B3513" s="3">
        <v>97</v>
      </c>
      <c r="C3513" s="32">
        <v>49238</v>
      </c>
      <c r="D3513" s="32"/>
      <c r="E35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4" spans="1:6" x14ac:dyDescent="0.35">
      <c r="A3514" s="3">
        <v>77819990222</v>
      </c>
      <c r="B3514" s="3">
        <v>12</v>
      </c>
      <c r="C3514" s="32">
        <v>49238</v>
      </c>
      <c r="D3514" s="32" t="s">
        <v>87</v>
      </c>
      <c r="E35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5" spans="1:6" x14ac:dyDescent="0.35">
      <c r="A3515" s="3">
        <v>51771504666</v>
      </c>
      <c r="B3515" s="3">
        <v>165</v>
      </c>
      <c r="C3515" s="32">
        <v>49238</v>
      </c>
      <c r="D3515" s="32" t="s">
        <v>87</v>
      </c>
      <c r="E35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6" spans="1:6" x14ac:dyDescent="0.35">
      <c r="A3516" s="3">
        <v>26210468256</v>
      </c>
      <c r="B3516" s="3">
        <v>35</v>
      </c>
      <c r="C3516" s="32">
        <v>49238</v>
      </c>
      <c r="D3516" s="32" t="s">
        <v>87</v>
      </c>
      <c r="E35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7" spans="1:6" x14ac:dyDescent="0.35">
      <c r="A3517" s="3">
        <v>49913752055</v>
      </c>
      <c r="B3517" s="3">
        <v>187</v>
      </c>
      <c r="C3517" s="32">
        <v>49238</v>
      </c>
      <c r="D3517" s="32" t="s">
        <v>87</v>
      </c>
      <c r="E35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8" spans="1:6" x14ac:dyDescent="0.35">
      <c r="A3518" s="3">
        <v>15449950610</v>
      </c>
      <c r="B3518" s="3">
        <v>261</v>
      </c>
      <c r="C3518" s="32">
        <v>49238</v>
      </c>
      <c r="D3518" s="32" t="s">
        <v>87</v>
      </c>
      <c r="E35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9" spans="1:6" x14ac:dyDescent="0.35">
      <c r="A3519" s="3">
        <v>66354838939</v>
      </c>
      <c r="B3519" s="3">
        <v>98</v>
      </c>
      <c r="C3519" s="32">
        <v>49238</v>
      </c>
      <c r="D3519" s="32"/>
      <c r="E35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0" spans="1:6" x14ac:dyDescent="0.35">
      <c r="A3520" s="3">
        <v>59236302034</v>
      </c>
      <c r="B3520" s="3">
        <v>104</v>
      </c>
      <c r="C3520" s="32">
        <v>49238</v>
      </c>
      <c r="D3520" s="32"/>
      <c r="E35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1" spans="1:6" x14ac:dyDescent="0.35">
      <c r="A3521" s="3">
        <v>28071017920</v>
      </c>
      <c r="B3521" s="3">
        <v>189</v>
      </c>
      <c r="C3521" s="32">
        <v>49238</v>
      </c>
      <c r="D3521" s="32"/>
      <c r="E35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2" spans="1:6" x14ac:dyDescent="0.35">
      <c r="A3522" s="3">
        <v>88780846765</v>
      </c>
      <c r="B3522" s="3">
        <v>240</v>
      </c>
      <c r="C3522" s="32">
        <v>49238</v>
      </c>
      <c r="D3522" s="32" t="s">
        <v>87</v>
      </c>
      <c r="E35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3" spans="1:6" x14ac:dyDescent="0.35">
      <c r="A3523" s="3">
        <v>45815168729</v>
      </c>
      <c r="B3523" s="3">
        <v>323</v>
      </c>
      <c r="C3523" s="32">
        <v>49238</v>
      </c>
      <c r="D3523" s="32" t="s">
        <v>87</v>
      </c>
      <c r="E35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4" spans="1:6" x14ac:dyDescent="0.35">
      <c r="A3524" s="3">
        <v>77405596672</v>
      </c>
      <c r="B3524" s="3">
        <v>123</v>
      </c>
      <c r="C3524" s="32">
        <v>49238</v>
      </c>
      <c r="D3524" s="32" t="s">
        <v>87</v>
      </c>
      <c r="E35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5" spans="1:6" x14ac:dyDescent="0.35">
      <c r="A3525" s="3">
        <v>95234774891</v>
      </c>
      <c r="B3525" s="3">
        <v>162</v>
      </c>
      <c r="C3525" s="32">
        <v>49238</v>
      </c>
      <c r="D3525" s="32" t="s">
        <v>87</v>
      </c>
      <c r="E35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6" spans="1:6" x14ac:dyDescent="0.35">
      <c r="A3526" s="3">
        <v>27335828967</v>
      </c>
      <c r="B3526" s="3">
        <v>164</v>
      </c>
      <c r="C3526" s="32">
        <v>49238</v>
      </c>
      <c r="D3526" s="32" t="s">
        <v>87</v>
      </c>
      <c r="E35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7" spans="1:6" x14ac:dyDescent="0.35">
      <c r="A3527" s="3">
        <v>54971435444</v>
      </c>
      <c r="B3527" s="3">
        <v>252</v>
      </c>
      <c r="C3527" s="32">
        <v>49238</v>
      </c>
      <c r="D3527" s="32">
        <v>49284</v>
      </c>
      <c r="E35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528" spans="1:6" x14ac:dyDescent="0.35">
      <c r="A3528" s="3">
        <v>31792697704</v>
      </c>
      <c r="B3528" s="3">
        <v>2</v>
      </c>
      <c r="C3528" s="32">
        <v>49238</v>
      </c>
      <c r="D3528" s="32">
        <v>49246</v>
      </c>
      <c r="E35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529" spans="1:6" x14ac:dyDescent="0.35">
      <c r="A3529" s="3">
        <v>44554122224</v>
      </c>
      <c r="B3529" s="3">
        <v>17</v>
      </c>
      <c r="C3529" s="32">
        <v>49238</v>
      </c>
      <c r="D3529" s="32">
        <v>49245</v>
      </c>
      <c r="E35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530" spans="1:6" x14ac:dyDescent="0.35">
      <c r="A3530" s="3">
        <v>84934479903</v>
      </c>
      <c r="B3530" s="3">
        <v>174</v>
      </c>
      <c r="C3530" s="32">
        <v>49238</v>
      </c>
      <c r="D3530" s="32" t="s">
        <v>87</v>
      </c>
      <c r="E35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1" spans="1:6" x14ac:dyDescent="0.35">
      <c r="A3531" s="3">
        <v>40430264216</v>
      </c>
      <c r="B3531" s="3">
        <v>154</v>
      </c>
      <c r="C3531" s="32">
        <v>49238</v>
      </c>
      <c r="D3531" s="32">
        <v>49353</v>
      </c>
      <c r="E35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532" spans="1:6" x14ac:dyDescent="0.35">
      <c r="A3532" s="3">
        <v>33042398992</v>
      </c>
      <c r="B3532" s="3">
        <v>195</v>
      </c>
      <c r="C3532" s="32">
        <v>49238</v>
      </c>
      <c r="D3532" s="32" t="s">
        <v>87</v>
      </c>
      <c r="E35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3" spans="1:6" x14ac:dyDescent="0.35">
      <c r="A3533" s="3">
        <v>49695080631</v>
      </c>
      <c r="B3533" s="3">
        <v>157</v>
      </c>
      <c r="C3533" s="32">
        <v>49238</v>
      </c>
      <c r="D3533" s="32" t="s">
        <v>87</v>
      </c>
      <c r="E35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4" spans="1:6" x14ac:dyDescent="0.35">
      <c r="A3534" s="3">
        <v>46415595836</v>
      </c>
      <c r="B3534" s="3">
        <v>144</v>
      </c>
      <c r="C3534" s="32">
        <v>49238</v>
      </c>
      <c r="D3534" s="32" t="s">
        <v>87</v>
      </c>
      <c r="E35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5" spans="1:6" x14ac:dyDescent="0.35">
      <c r="A3535" s="3">
        <v>38348697260</v>
      </c>
      <c r="B3535" s="3">
        <v>28</v>
      </c>
      <c r="C3535" s="32">
        <v>49239</v>
      </c>
      <c r="D3535" s="32" t="s">
        <v>87</v>
      </c>
      <c r="E35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6" spans="1:6" x14ac:dyDescent="0.35">
      <c r="A3536" s="3">
        <v>89752489766</v>
      </c>
      <c r="B3536" s="3">
        <v>317</v>
      </c>
      <c r="C3536" s="32">
        <v>49239</v>
      </c>
      <c r="D3536" s="32"/>
      <c r="E35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7" spans="1:6" x14ac:dyDescent="0.35">
      <c r="A3537" s="3">
        <v>70694938945</v>
      </c>
      <c r="B3537" s="3">
        <v>301</v>
      </c>
      <c r="C3537" s="32">
        <v>49239</v>
      </c>
      <c r="D3537" s="32" t="s">
        <v>87</v>
      </c>
      <c r="E35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8" spans="1:6" x14ac:dyDescent="0.35">
      <c r="A3538" s="3">
        <v>55019345429</v>
      </c>
      <c r="B3538" s="3">
        <v>267</v>
      </c>
      <c r="C3538" s="32">
        <v>49239</v>
      </c>
      <c r="D3538" s="32" t="s">
        <v>87</v>
      </c>
      <c r="E35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9" spans="1:6" x14ac:dyDescent="0.35">
      <c r="A3539" s="3">
        <v>78306231543</v>
      </c>
      <c r="B3539" s="3">
        <v>63</v>
      </c>
      <c r="C3539" s="32">
        <v>49239</v>
      </c>
      <c r="D3539" s="32">
        <v>49244</v>
      </c>
      <c r="E35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540" spans="1:6" x14ac:dyDescent="0.35">
      <c r="A3540" s="3">
        <v>70203348508</v>
      </c>
      <c r="B3540" s="3">
        <v>297</v>
      </c>
      <c r="C3540" s="32">
        <v>49239</v>
      </c>
      <c r="D3540" s="32" t="s">
        <v>87</v>
      </c>
      <c r="E35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1" spans="1:6" x14ac:dyDescent="0.35">
      <c r="A3541" s="3">
        <v>40391533852</v>
      </c>
      <c r="B3541" s="3">
        <v>158</v>
      </c>
      <c r="C3541" s="32">
        <v>49239</v>
      </c>
      <c r="D3541" s="32" t="s">
        <v>87</v>
      </c>
      <c r="E35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2" spans="1:6" x14ac:dyDescent="0.35">
      <c r="A3542" s="3">
        <v>19752471990</v>
      </c>
      <c r="B3542" s="3">
        <v>4</v>
      </c>
      <c r="C3542" s="32">
        <v>49239</v>
      </c>
      <c r="D3542" s="32" t="s">
        <v>87</v>
      </c>
      <c r="E35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3" spans="1:6" x14ac:dyDescent="0.35">
      <c r="A3543" s="3">
        <v>14839303979</v>
      </c>
      <c r="B3543" s="3">
        <v>51</v>
      </c>
      <c r="C3543" s="32">
        <v>49239</v>
      </c>
      <c r="D3543" s="32" t="s">
        <v>87</v>
      </c>
      <c r="E35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4" spans="1:6" x14ac:dyDescent="0.35">
      <c r="A3544" s="3">
        <v>78434632190</v>
      </c>
      <c r="B3544" s="3">
        <v>78</v>
      </c>
      <c r="C3544" s="32">
        <v>49239</v>
      </c>
      <c r="D3544" s="32">
        <v>49340</v>
      </c>
      <c r="E35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545" spans="1:6" x14ac:dyDescent="0.35">
      <c r="A3545" s="3">
        <v>95506309348</v>
      </c>
      <c r="B3545" s="3">
        <v>69</v>
      </c>
      <c r="C3545" s="32">
        <v>49239</v>
      </c>
      <c r="D3545" s="32"/>
      <c r="E35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6" spans="1:6" x14ac:dyDescent="0.35">
      <c r="A3546" s="3">
        <v>87541011132</v>
      </c>
      <c r="B3546" s="3">
        <v>124</v>
      </c>
      <c r="C3546" s="32">
        <v>49239</v>
      </c>
      <c r="D3546" s="32" t="s">
        <v>87</v>
      </c>
      <c r="E35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7" spans="1:6" x14ac:dyDescent="0.35">
      <c r="A3547" s="3">
        <v>87916510512</v>
      </c>
      <c r="B3547" s="3">
        <v>1</v>
      </c>
      <c r="C3547" s="32">
        <v>49239</v>
      </c>
      <c r="D3547" s="32" t="s">
        <v>87</v>
      </c>
      <c r="E35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8" spans="1:6" x14ac:dyDescent="0.35">
      <c r="A3548" s="3">
        <v>19692110561</v>
      </c>
      <c r="B3548" s="3">
        <v>39</v>
      </c>
      <c r="C3548" s="32">
        <v>49239</v>
      </c>
      <c r="D3548" s="32">
        <v>49300</v>
      </c>
      <c r="E35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549" spans="1:6" x14ac:dyDescent="0.35">
      <c r="A3549" s="3">
        <v>90506259723</v>
      </c>
      <c r="B3549" s="3">
        <v>167</v>
      </c>
      <c r="C3549" s="32">
        <v>49239</v>
      </c>
      <c r="D3549" s="32"/>
      <c r="E35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0" spans="1:6" x14ac:dyDescent="0.35">
      <c r="A3550" s="3">
        <v>52987320166</v>
      </c>
      <c r="B3550" s="3">
        <v>100</v>
      </c>
      <c r="C3550" s="32">
        <v>49239</v>
      </c>
      <c r="D3550" s="32" t="s">
        <v>87</v>
      </c>
      <c r="E35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1" spans="1:6" x14ac:dyDescent="0.35">
      <c r="A3551" s="3">
        <v>97082765101</v>
      </c>
      <c r="B3551" s="3">
        <v>88</v>
      </c>
      <c r="C3551" s="32">
        <v>49239</v>
      </c>
      <c r="D3551" s="32"/>
      <c r="E35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2" spans="1:6" x14ac:dyDescent="0.35">
      <c r="A3552" s="3">
        <v>59823246974</v>
      </c>
      <c r="B3552" s="3">
        <v>295</v>
      </c>
      <c r="C3552" s="32">
        <v>49239</v>
      </c>
      <c r="D3552" s="32" t="s">
        <v>87</v>
      </c>
      <c r="E35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3" spans="1:6" x14ac:dyDescent="0.35">
      <c r="A3553" s="3">
        <v>37469199940</v>
      </c>
      <c r="B3553" s="3">
        <v>308</v>
      </c>
      <c r="C3553" s="32">
        <v>49239</v>
      </c>
      <c r="D3553" s="32">
        <v>49274</v>
      </c>
      <c r="E35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54" spans="1:6" x14ac:dyDescent="0.35">
      <c r="A3554" s="3">
        <v>60641712997</v>
      </c>
      <c r="B3554" s="3">
        <v>46</v>
      </c>
      <c r="C3554" s="32">
        <v>49239</v>
      </c>
      <c r="D3554" s="32" t="s">
        <v>87</v>
      </c>
      <c r="E35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5" spans="1:6" x14ac:dyDescent="0.35">
      <c r="A3555" s="3">
        <v>58368477458</v>
      </c>
      <c r="B3555" s="3">
        <v>183</v>
      </c>
      <c r="C3555" s="32">
        <v>49239</v>
      </c>
      <c r="D3555" s="32">
        <v>49315</v>
      </c>
      <c r="E35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556" spans="1:6" x14ac:dyDescent="0.35">
      <c r="A3556" s="3">
        <v>11858027865</v>
      </c>
      <c r="B3556" s="3">
        <v>319</v>
      </c>
      <c r="C3556" s="32">
        <v>49239</v>
      </c>
      <c r="D3556" s="32" t="s">
        <v>87</v>
      </c>
      <c r="E35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7" spans="1:6" x14ac:dyDescent="0.35">
      <c r="A3557" s="3">
        <v>24780479173</v>
      </c>
      <c r="B3557" s="3">
        <v>86</v>
      </c>
      <c r="C3557" s="32">
        <v>49239</v>
      </c>
      <c r="D3557" s="32" t="s">
        <v>87</v>
      </c>
      <c r="E35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8" spans="1:6" x14ac:dyDescent="0.35">
      <c r="A3558" s="3">
        <v>88004458501</v>
      </c>
      <c r="B3558" s="3">
        <v>44</v>
      </c>
      <c r="C3558" s="32">
        <v>49239</v>
      </c>
      <c r="D3558" s="32" t="s">
        <v>87</v>
      </c>
      <c r="E35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9" spans="1:6" x14ac:dyDescent="0.35">
      <c r="A3559" s="3">
        <v>46766046794</v>
      </c>
      <c r="B3559" s="3">
        <v>9</v>
      </c>
      <c r="C3559" s="32">
        <v>49239</v>
      </c>
      <c r="D3559" s="32">
        <v>49312</v>
      </c>
      <c r="E35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560" spans="1:6" x14ac:dyDescent="0.35">
      <c r="A3560" s="3">
        <v>38815809949</v>
      </c>
      <c r="B3560" s="3">
        <v>48</v>
      </c>
      <c r="C3560" s="32">
        <v>49239</v>
      </c>
      <c r="D3560" s="32" t="s">
        <v>87</v>
      </c>
      <c r="E35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61" spans="1:6" x14ac:dyDescent="0.35">
      <c r="A3561" s="3">
        <v>26417008389</v>
      </c>
      <c r="B3561" s="3">
        <v>233</v>
      </c>
      <c r="C3561" s="32">
        <v>49239</v>
      </c>
      <c r="D3561" s="32">
        <v>49328</v>
      </c>
      <c r="E35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562" spans="1:6" x14ac:dyDescent="0.35">
      <c r="A3562" s="3">
        <v>90695326162</v>
      </c>
      <c r="B3562" s="3">
        <v>224</v>
      </c>
      <c r="C3562" s="32">
        <v>49239</v>
      </c>
      <c r="D3562" s="32" t="s">
        <v>87</v>
      </c>
      <c r="E35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63" spans="1:6" x14ac:dyDescent="0.35">
      <c r="A3563" s="3">
        <v>54024569509</v>
      </c>
      <c r="B3563" s="3">
        <v>66</v>
      </c>
      <c r="C3563" s="32">
        <v>49239</v>
      </c>
      <c r="D3563" s="32" t="s">
        <v>87</v>
      </c>
      <c r="E35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64" spans="1:6" x14ac:dyDescent="0.35">
      <c r="A3564" s="3">
        <v>64304796705</v>
      </c>
      <c r="B3564" s="3">
        <v>52</v>
      </c>
      <c r="C3564" s="32">
        <v>49239</v>
      </c>
      <c r="D3564" s="32" t="s">
        <v>87</v>
      </c>
      <c r="E35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65" spans="1:6" x14ac:dyDescent="0.35">
      <c r="A3565" s="3">
        <v>97977243294</v>
      </c>
      <c r="B3565" s="3">
        <v>92</v>
      </c>
      <c r="C3565" s="32">
        <v>49240</v>
      </c>
      <c r="D3565" s="32">
        <v>49259</v>
      </c>
      <c r="E35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66" spans="1:6" x14ac:dyDescent="0.35">
      <c r="A3566" s="3">
        <v>38935193323</v>
      </c>
      <c r="B3566" s="3">
        <v>121</v>
      </c>
      <c r="C3566" s="32">
        <v>49240</v>
      </c>
      <c r="D3566" s="32"/>
      <c r="E35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67" spans="1:6" x14ac:dyDescent="0.35">
      <c r="A3567" s="3">
        <v>93678403460</v>
      </c>
      <c r="B3567" s="3">
        <v>237</v>
      </c>
      <c r="C3567" s="32">
        <v>49240</v>
      </c>
      <c r="D3567" s="32">
        <v>49272</v>
      </c>
      <c r="E35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68" spans="1:6" x14ac:dyDescent="0.35">
      <c r="A3568" s="3">
        <v>24988669257</v>
      </c>
      <c r="B3568" s="3">
        <v>109</v>
      </c>
      <c r="C3568" s="32">
        <v>49240</v>
      </c>
      <c r="D3568" s="32" t="s">
        <v>87</v>
      </c>
      <c r="E35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69" spans="1:6" x14ac:dyDescent="0.35">
      <c r="A3569" s="3">
        <v>48983974010</v>
      </c>
      <c r="B3569" s="3">
        <v>185</v>
      </c>
      <c r="C3569" s="32">
        <v>49240</v>
      </c>
      <c r="D3569" s="32" t="s">
        <v>87</v>
      </c>
      <c r="E35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0" spans="1:6" x14ac:dyDescent="0.35">
      <c r="A3570" s="3">
        <v>66977288628</v>
      </c>
      <c r="B3570" s="3">
        <v>72</v>
      </c>
      <c r="C3570" s="32">
        <v>49240</v>
      </c>
      <c r="D3570" s="32" t="s">
        <v>87</v>
      </c>
      <c r="E35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1" spans="1:6" x14ac:dyDescent="0.35">
      <c r="A3571" s="3">
        <v>27844916310</v>
      </c>
      <c r="B3571" s="3">
        <v>74</v>
      </c>
      <c r="C3571" s="32">
        <v>49240</v>
      </c>
      <c r="D3571" s="32" t="s">
        <v>87</v>
      </c>
      <c r="E35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2" spans="1:6" x14ac:dyDescent="0.35">
      <c r="A3572" s="3">
        <v>58692293984</v>
      </c>
      <c r="B3572" s="3">
        <v>36</v>
      </c>
      <c r="C3572" s="32">
        <v>49240</v>
      </c>
      <c r="D3572" s="32" t="s">
        <v>87</v>
      </c>
      <c r="E35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3" spans="1:6" x14ac:dyDescent="0.35">
      <c r="A3573" s="3">
        <v>19517647503</v>
      </c>
      <c r="B3573" s="3">
        <v>66</v>
      </c>
      <c r="C3573" s="32">
        <v>49240</v>
      </c>
      <c r="D3573" s="32"/>
      <c r="E35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4" spans="1:6" x14ac:dyDescent="0.35">
      <c r="A3574" s="3">
        <v>75312465683</v>
      </c>
      <c r="B3574" s="3">
        <v>63</v>
      </c>
      <c r="C3574" s="32">
        <v>49240</v>
      </c>
      <c r="D3574" s="32" t="s">
        <v>87</v>
      </c>
      <c r="E35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5" spans="1:6" x14ac:dyDescent="0.35">
      <c r="A3575" s="3">
        <v>59487012575</v>
      </c>
      <c r="B3575" s="3">
        <v>99</v>
      </c>
      <c r="C3575" s="32">
        <v>49240</v>
      </c>
      <c r="D3575" s="32" t="s">
        <v>87</v>
      </c>
      <c r="E35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6" spans="1:6" x14ac:dyDescent="0.35">
      <c r="A3576" s="3">
        <v>23177030587</v>
      </c>
      <c r="B3576" s="3">
        <v>73</v>
      </c>
      <c r="C3576" s="32">
        <v>49240</v>
      </c>
      <c r="D3576" s="32"/>
      <c r="E35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7" spans="1:6" x14ac:dyDescent="0.35">
      <c r="A3577" s="3">
        <v>55885154036</v>
      </c>
      <c r="B3577" s="3">
        <v>307</v>
      </c>
      <c r="C3577" s="32">
        <v>49240</v>
      </c>
      <c r="D3577" s="32" t="s">
        <v>87</v>
      </c>
      <c r="E35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8" spans="1:6" x14ac:dyDescent="0.35">
      <c r="A3578" s="3">
        <v>52051333223</v>
      </c>
      <c r="B3578" s="3">
        <v>216</v>
      </c>
      <c r="C3578" s="32">
        <v>49240</v>
      </c>
      <c r="D3578" s="32"/>
      <c r="E35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9" spans="1:6" x14ac:dyDescent="0.35">
      <c r="A3579" s="3">
        <v>96370723616</v>
      </c>
      <c r="B3579" s="3">
        <v>174</v>
      </c>
      <c r="C3579" s="32">
        <v>49240</v>
      </c>
      <c r="D3579" s="32" t="s">
        <v>87</v>
      </c>
      <c r="E35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0" spans="1:6" x14ac:dyDescent="0.35">
      <c r="A3580" s="3">
        <v>24562882923</v>
      </c>
      <c r="B3580" s="3">
        <v>13</v>
      </c>
      <c r="C3580" s="32">
        <v>49240</v>
      </c>
      <c r="D3580" s="32" t="s">
        <v>87</v>
      </c>
      <c r="E35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1" spans="1:6" x14ac:dyDescent="0.35">
      <c r="A3581" s="3">
        <v>29339151119</v>
      </c>
      <c r="B3581" s="3">
        <v>330</v>
      </c>
      <c r="C3581" s="32">
        <v>49240</v>
      </c>
      <c r="D3581" s="32" t="s">
        <v>87</v>
      </c>
      <c r="E35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2" spans="1:6" x14ac:dyDescent="0.35">
      <c r="A3582" s="3">
        <v>83691607567</v>
      </c>
      <c r="B3582" s="3">
        <v>213</v>
      </c>
      <c r="C3582" s="32">
        <v>49240</v>
      </c>
      <c r="D3582" s="32" t="s">
        <v>87</v>
      </c>
      <c r="E35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3" spans="1:6" x14ac:dyDescent="0.35">
      <c r="A3583" s="3">
        <v>11817937029</v>
      </c>
      <c r="B3583" s="3">
        <v>156</v>
      </c>
      <c r="C3583" s="32">
        <v>49240</v>
      </c>
      <c r="D3583" s="32" t="s">
        <v>87</v>
      </c>
      <c r="E35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4" spans="1:6" x14ac:dyDescent="0.35">
      <c r="A3584" s="3">
        <v>36893459266</v>
      </c>
      <c r="B3584" s="3">
        <v>13</v>
      </c>
      <c r="C3584" s="32">
        <v>49240</v>
      </c>
      <c r="D3584" s="32"/>
      <c r="E35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5" spans="1:6" x14ac:dyDescent="0.35">
      <c r="A3585" s="3">
        <v>89946180014</v>
      </c>
      <c r="B3585" s="3">
        <v>108</v>
      </c>
      <c r="C3585" s="32">
        <v>49240</v>
      </c>
      <c r="D3585" s="32" t="s">
        <v>87</v>
      </c>
      <c r="E35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6" spans="1:6" x14ac:dyDescent="0.35">
      <c r="A3586" s="3">
        <v>94262642711</v>
      </c>
      <c r="B3586" s="3">
        <v>235</v>
      </c>
      <c r="C3586" s="32">
        <v>49240</v>
      </c>
      <c r="D3586" s="32" t="s">
        <v>87</v>
      </c>
      <c r="E35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7" spans="1:6" x14ac:dyDescent="0.35">
      <c r="A3587" s="3">
        <v>35497927859</v>
      </c>
      <c r="B3587" s="3">
        <v>73</v>
      </c>
      <c r="C3587" s="32">
        <v>49240</v>
      </c>
      <c r="D3587" s="32" t="s">
        <v>87</v>
      </c>
      <c r="E35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8" spans="1:6" x14ac:dyDescent="0.35">
      <c r="A3588" s="3">
        <v>47171530358</v>
      </c>
      <c r="B3588" s="3">
        <v>68</v>
      </c>
      <c r="C3588" s="32">
        <v>49240</v>
      </c>
      <c r="D3588" s="32" t="s">
        <v>87</v>
      </c>
      <c r="E35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9" spans="1:6" x14ac:dyDescent="0.35">
      <c r="A3589" s="3">
        <v>14694279552</v>
      </c>
      <c r="B3589" s="3">
        <v>316</v>
      </c>
      <c r="C3589" s="32">
        <v>49240</v>
      </c>
      <c r="D3589" s="32" t="s">
        <v>87</v>
      </c>
      <c r="E35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90" spans="1:6" x14ac:dyDescent="0.35">
      <c r="A3590" s="3">
        <v>94245440753</v>
      </c>
      <c r="B3590" s="3">
        <v>282</v>
      </c>
      <c r="C3590" s="32">
        <v>49240</v>
      </c>
      <c r="D3590" s="32">
        <v>49254</v>
      </c>
      <c r="E35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91" spans="1:6" x14ac:dyDescent="0.35">
      <c r="A3591" s="3">
        <v>98186456086</v>
      </c>
      <c r="B3591" s="3">
        <v>71</v>
      </c>
      <c r="C3591" s="32">
        <v>49240</v>
      </c>
      <c r="D3591" s="32">
        <v>49257</v>
      </c>
      <c r="E35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92" spans="1:6" x14ac:dyDescent="0.35">
      <c r="A3592" s="3">
        <v>15806419732</v>
      </c>
      <c r="B3592" s="3">
        <v>232</v>
      </c>
      <c r="C3592" s="32">
        <v>49240</v>
      </c>
      <c r="D3592" s="32">
        <v>49263</v>
      </c>
      <c r="E35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93" spans="1:6" x14ac:dyDescent="0.35">
      <c r="A3593" s="3">
        <v>57182901878</v>
      </c>
      <c r="B3593" s="3">
        <v>20</v>
      </c>
      <c r="C3593" s="32">
        <v>49240</v>
      </c>
      <c r="D3593" s="32">
        <v>49295</v>
      </c>
      <c r="E35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594" spans="1:6" x14ac:dyDescent="0.35">
      <c r="A3594" s="3">
        <v>52414775459</v>
      </c>
      <c r="B3594" s="3">
        <v>160</v>
      </c>
      <c r="C3594" s="32">
        <v>49240</v>
      </c>
      <c r="D3594" s="32">
        <v>49308</v>
      </c>
      <c r="E35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595" spans="1:6" x14ac:dyDescent="0.35">
      <c r="A3595" s="3">
        <v>99200051523</v>
      </c>
      <c r="B3595" s="3">
        <v>45</v>
      </c>
      <c r="C3595" s="32">
        <v>49240</v>
      </c>
      <c r="D3595" s="32" t="s">
        <v>87</v>
      </c>
      <c r="E35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96" spans="1:6" x14ac:dyDescent="0.35">
      <c r="A3596" s="3">
        <v>93520293955</v>
      </c>
      <c r="B3596" s="3">
        <v>82</v>
      </c>
      <c r="C3596" s="32">
        <v>49240</v>
      </c>
      <c r="D3596" s="32" t="s">
        <v>87</v>
      </c>
      <c r="E35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97" spans="1:6" x14ac:dyDescent="0.35">
      <c r="A3597" s="3">
        <v>43520908139</v>
      </c>
      <c r="B3597" s="3">
        <v>297</v>
      </c>
      <c r="C3597" s="32">
        <v>49240</v>
      </c>
      <c r="D3597" s="32" t="s">
        <v>87</v>
      </c>
      <c r="E35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98" spans="1:6" x14ac:dyDescent="0.35">
      <c r="A3598" s="3">
        <v>47728834338</v>
      </c>
      <c r="B3598" s="3">
        <v>246</v>
      </c>
      <c r="C3598" s="32">
        <v>49241</v>
      </c>
      <c r="D3598" s="32">
        <v>49250</v>
      </c>
      <c r="E35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99" spans="1:6" x14ac:dyDescent="0.35">
      <c r="A3599" s="3">
        <v>88214107974</v>
      </c>
      <c r="B3599" s="3">
        <v>331</v>
      </c>
      <c r="C3599" s="32">
        <v>49241</v>
      </c>
      <c r="D3599" s="32"/>
      <c r="E35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0" spans="1:6" x14ac:dyDescent="0.35">
      <c r="A3600" s="3">
        <v>32257679600</v>
      </c>
      <c r="B3600" s="3">
        <v>268</v>
      </c>
      <c r="C3600" s="32">
        <v>49241</v>
      </c>
      <c r="D3600" s="32" t="s">
        <v>87</v>
      </c>
      <c r="E36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1" spans="1:6" x14ac:dyDescent="0.35">
      <c r="A3601" s="3">
        <v>33247136100</v>
      </c>
      <c r="B3601" s="3">
        <v>158</v>
      </c>
      <c r="C3601" s="32">
        <v>49241</v>
      </c>
      <c r="D3601" s="32" t="s">
        <v>87</v>
      </c>
      <c r="E36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2" spans="1:6" x14ac:dyDescent="0.35">
      <c r="A3602" s="3">
        <v>25931228143</v>
      </c>
      <c r="B3602" s="3">
        <v>237</v>
      </c>
      <c r="C3602" s="32">
        <v>49241</v>
      </c>
      <c r="D3602" s="32" t="s">
        <v>87</v>
      </c>
      <c r="E36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3" spans="1:6" x14ac:dyDescent="0.35">
      <c r="A3603" s="3">
        <v>40846819640</v>
      </c>
      <c r="B3603" s="3">
        <v>239</v>
      </c>
      <c r="C3603" s="32">
        <v>49241</v>
      </c>
      <c r="D3603" s="32" t="s">
        <v>87</v>
      </c>
      <c r="E36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4" spans="1:6" x14ac:dyDescent="0.35">
      <c r="A3604" s="3">
        <v>16922815017</v>
      </c>
      <c r="B3604" s="3">
        <v>226</v>
      </c>
      <c r="C3604" s="32">
        <v>49241</v>
      </c>
      <c r="D3604" s="32">
        <v>49355</v>
      </c>
      <c r="E36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605" spans="1:6" x14ac:dyDescent="0.35">
      <c r="A3605" s="3">
        <v>53410439863</v>
      </c>
      <c r="B3605" s="3">
        <v>208</v>
      </c>
      <c r="C3605" s="32">
        <v>49241</v>
      </c>
      <c r="D3605" s="32" t="s">
        <v>87</v>
      </c>
      <c r="E36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6" spans="1:6" x14ac:dyDescent="0.35">
      <c r="A3606" s="3">
        <v>31301649492</v>
      </c>
      <c r="B3606" s="3">
        <v>289</v>
      </c>
      <c r="C3606" s="32">
        <v>49241</v>
      </c>
      <c r="D3606" s="32" t="s">
        <v>87</v>
      </c>
      <c r="E36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7" spans="1:6" x14ac:dyDescent="0.35">
      <c r="A3607" s="3">
        <v>17449044774</v>
      </c>
      <c r="B3607" s="3">
        <v>221</v>
      </c>
      <c r="C3607" s="32">
        <v>49241</v>
      </c>
      <c r="D3607" s="32" t="s">
        <v>87</v>
      </c>
      <c r="E36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8" spans="1:6" x14ac:dyDescent="0.35">
      <c r="A3608" s="3">
        <v>32118602421</v>
      </c>
      <c r="B3608" s="3">
        <v>140</v>
      </c>
      <c r="C3608" s="32">
        <v>49241</v>
      </c>
      <c r="D3608" s="32"/>
      <c r="E36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9" spans="1:6" x14ac:dyDescent="0.35">
      <c r="A3609" s="3">
        <v>77080009936</v>
      </c>
      <c r="B3609" s="3">
        <v>320</v>
      </c>
      <c r="C3609" s="32">
        <v>49241</v>
      </c>
      <c r="D3609" s="32" t="s">
        <v>87</v>
      </c>
      <c r="E36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0" spans="1:6" x14ac:dyDescent="0.35">
      <c r="A3610" s="3">
        <v>29186141162</v>
      </c>
      <c r="B3610" s="3">
        <v>314</v>
      </c>
      <c r="C3610" s="32">
        <v>49241</v>
      </c>
      <c r="D3610" s="32" t="s">
        <v>87</v>
      </c>
      <c r="E36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1" spans="1:6" x14ac:dyDescent="0.35">
      <c r="A3611" s="3">
        <v>89966823235</v>
      </c>
      <c r="B3611" s="3">
        <v>46</v>
      </c>
      <c r="C3611" s="32">
        <v>49241</v>
      </c>
      <c r="D3611" s="32" t="s">
        <v>87</v>
      </c>
      <c r="E36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2" spans="1:6" x14ac:dyDescent="0.35">
      <c r="A3612" s="3">
        <v>16471334764</v>
      </c>
      <c r="B3612" s="3">
        <v>275</v>
      </c>
      <c r="C3612" s="32">
        <v>49241</v>
      </c>
      <c r="D3612" s="32"/>
      <c r="E36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3" spans="1:6" x14ac:dyDescent="0.35">
      <c r="A3613" s="3">
        <v>28272808241</v>
      </c>
      <c r="B3613" s="3">
        <v>158</v>
      </c>
      <c r="C3613" s="32">
        <v>49241</v>
      </c>
      <c r="D3613" s="32">
        <v>49346</v>
      </c>
      <c r="E36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614" spans="1:6" x14ac:dyDescent="0.35">
      <c r="A3614" s="3">
        <v>39166046395</v>
      </c>
      <c r="B3614" s="3">
        <v>11</v>
      </c>
      <c r="C3614" s="32">
        <v>49241</v>
      </c>
      <c r="D3614" s="32">
        <v>49291</v>
      </c>
      <c r="E36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615" spans="1:6" x14ac:dyDescent="0.35">
      <c r="A3615" s="3">
        <v>91578879582</v>
      </c>
      <c r="B3615" s="3">
        <v>215</v>
      </c>
      <c r="C3615" s="32">
        <v>49241</v>
      </c>
      <c r="D3615" s="32" t="s">
        <v>87</v>
      </c>
      <c r="E36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6" spans="1:6" x14ac:dyDescent="0.35">
      <c r="A3616" s="3">
        <v>48677805989</v>
      </c>
      <c r="B3616" s="3">
        <v>329</v>
      </c>
      <c r="C3616" s="32">
        <v>49241</v>
      </c>
      <c r="D3616" s="32" t="s">
        <v>87</v>
      </c>
      <c r="E36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7" spans="1:6" x14ac:dyDescent="0.35">
      <c r="A3617" s="3">
        <v>99891530274</v>
      </c>
      <c r="B3617" s="3">
        <v>279</v>
      </c>
      <c r="C3617" s="32">
        <v>49241</v>
      </c>
      <c r="D3617" s="32" t="s">
        <v>87</v>
      </c>
      <c r="E36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8" spans="1:6" x14ac:dyDescent="0.35">
      <c r="A3618" s="3">
        <v>28050756994</v>
      </c>
      <c r="B3618" s="3">
        <v>302</v>
      </c>
      <c r="C3618" s="32">
        <v>49241</v>
      </c>
      <c r="D3618" s="32">
        <v>49289</v>
      </c>
      <c r="E36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619" spans="1:6" x14ac:dyDescent="0.35">
      <c r="A3619" s="3">
        <v>22198084992</v>
      </c>
      <c r="B3619" s="3">
        <v>101</v>
      </c>
      <c r="C3619" s="32">
        <v>49241</v>
      </c>
      <c r="D3619" s="32">
        <v>49301</v>
      </c>
      <c r="E36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620" spans="1:6" x14ac:dyDescent="0.35">
      <c r="A3620" s="3">
        <v>87667370895</v>
      </c>
      <c r="B3620" s="3">
        <v>312</v>
      </c>
      <c r="C3620" s="32">
        <v>49241</v>
      </c>
      <c r="D3620" s="32" t="s">
        <v>87</v>
      </c>
      <c r="E36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1" spans="1:6" x14ac:dyDescent="0.35">
      <c r="A3621" s="3">
        <v>73311134834</v>
      </c>
      <c r="B3621" s="3">
        <v>63</v>
      </c>
      <c r="C3621" s="32">
        <v>49241</v>
      </c>
      <c r="D3621" s="32">
        <v>49273</v>
      </c>
      <c r="E36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622" spans="1:6" x14ac:dyDescent="0.35">
      <c r="A3622" s="3">
        <v>21560745534</v>
      </c>
      <c r="B3622" s="3">
        <v>335</v>
      </c>
      <c r="C3622" s="32">
        <v>49241</v>
      </c>
      <c r="D3622" s="32">
        <v>49332</v>
      </c>
      <c r="E36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623" spans="1:6" x14ac:dyDescent="0.35">
      <c r="A3623" s="3">
        <v>59375488001</v>
      </c>
      <c r="B3623" s="3">
        <v>327</v>
      </c>
      <c r="C3623" s="32">
        <v>49241</v>
      </c>
      <c r="D3623" s="32" t="s">
        <v>87</v>
      </c>
      <c r="E36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4" spans="1:6" x14ac:dyDescent="0.35">
      <c r="A3624" s="3">
        <v>72669892122</v>
      </c>
      <c r="B3624" s="3">
        <v>200</v>
      </c>
      <c r="C3624" s="32">
        <v>49241</v>
      </c>
      <c r="D3624" s="32" t="s">
        <v>87</v>
      </c>
      <c r="E36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5" spans="1:6" x14ac:dyDescent="0.35">
      <c r="A3625" s="3">
        <v>30779174937</v>
      </c>
      <c r="B3625" s="3">
        <v>95</v>
      </c>
      <c r="C3625" s="32">
        <v>49241</v>
      </c>
      <c r="D3625" s="32"/>
      <c r="E36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6" spans="1:6" x14ac:dyDescent="0.35">
      <c r="A3626" s="3">
        <v>53549935988</v>
      </c>
      <c r="B3626" s="3">
        <v>38</v>
      </c>
      <c r="C3626" s="32">
        <v>49241</v>
      </c>
      <c r="D3626" s="32" t="s">
        <v>87</v>
      </c>
      <c r="E36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7" spans="1:6" x14ac:dyDescent="0.35">
      <c r="A3627" s="3">
        <v>81218074257</v>
      </c>
      <c r="B3627" s="3">
        <v>235</v>
      </c>
      <c r="C3627" s="32">
        <v>49241</v>
      </c>
      <c r="D3627" s="32"/>
      <c r="E36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8" spans="1:6" x14ac:dyDescent="0.35">
      <c r="A3628" s="3">
        <v>12103724593</v>
      </c>
      <c r="B3628" s="3">
        <v>221</v>
      </c>
      <c r="C3628" s="32">
        <v>49241</v>
      </c>
      <c r="D3628" s="32"/>
      <c r="E36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9" spans="1:6" x14ac:dyDescent="0.35">
      <c r="A3629" s="3">
        <v>24974731415</v>
      </c>
      <c r="B3629" s="3">
        <v>55</v>
      </c>
      <c r="C3629" s="32">
        <v>49241</v>
      </c>
      <c r="D3629" s="32"/>
      <c r="E36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0" spans="1:6" x14ac:dyDescent="0.35">
      <c r="A3630" s="3">
        <v>43831928824</v>
      </c>
      <c r="B3630" s="3">
        <v>269</v>
      </c>
      <c r="C3630" s="32">
        <v>49241</v>
      </c>
      <c r="D3630" s="32">
        <v>49299</v>
      </c>
      <c r="E36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631" spans="1:6" x14ac:dyDescent="0.35">
      <c r="A3631" s="3">
        <v>20574968257</v>
      </c>
      <c r="B3631" s="3">
        <v>15</v>
      </c>
      <c r="C3631" s="32">
        <v>49241</v>
      </c>
      <c r="D3631" s="32" t="s">
        <v>87</v>
      </c>
      <c r="E36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2" spans="1:6" x14ac:dyDescent="0.35">
      <c r="A3632" s="3">
        <v>28584426837</v>
      </c>
      <c r="B3632" s="3">
        <v>267</v>
      </c>
      <c r="C3632" s="32">
        <v>49241</v>
      </c>
      <c r="D3632" s="32" t="s">
        <v>87</v>
      </c>
      <c r="E36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3" spans="1:6" x14ac:dyDescent="0.35">
      <c r="A3633" s="3">
        <v>47656069819</v>
      </c>
      <c r="B3633" s="3">
        <v>94</v>
      </c>
      <c r="C3633" s="32">
        <v>49241</v>
      </c>
      <c r="D3633" s="32">
        <v>49350</v>
      </c>
      <c r="E36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634" spans="1:6" x14ac:dyDescent="0.35">
      <c r="A3634" s="3">
        <v>24441960711</v>
      </c>
      <c r="B3634" s="3">
        <v>186</v>
      </c>
      <c r="C3634" s="32">
        <v>49241</v>
      </c>
      <c r="D3634" s="32" t="s">
        <v>87</v>
      </c>
      <c r="E36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5" spans="1:6" x14ac:dyDescent="0.35">
      <c r="A3635" s="3">
        <v>84643492312</v>
      </c>
      <c r="B3635" s="3">
        <v>17</v>
      </c>
      <c r="C3635" s="32">
        <v>49241</v>
      </c>
      <c r="D3635" s="32"/>
      <c r="E36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6" spans="1:6" x14ac:dyDescent="0.35">
      <c r="A3636" s="3">
        <v>95539626156</v>
      </c>
      <c r="B3636" s="3">
        <v>94</v>
      </c>
      <c r="C3636" s="32">
        <v>49241</v>
      </c>
      <c r="D3636" s="32"/>
      <c r="E36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7" spans="1:6" x14ac:dyDescent="0.35">
      <c r="A3637" s="3">
        <v>13481126978</v>
      </c>
      <c r="B3637" s="3">
        <v>28</v>
      </c>
      <c r="C3637" s="32">
        <v>49242</v>
      </c>
      <c r="D3637" s="32"/>
      <c r="E36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8" spans="1:6" x14ac:dyDescent="0.35">
      <c r="A3638" s="3">
        <v>27575369113</v>
      </c>
      <c r="B3638" s="3">
        <v>244</v>
      </c>
      <c r="C3638" s="32">
        <v>49242</v>
      </c>
      <c r="D3638" s="32" t="s">
        <v>87</v>
      </c>
      <c r="E36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9" spans="1:6" x14ac:dyDescent="0.35">
      <c r="A3639" s="3">
        <v>61546737815</v>
      </c>
      <c r="B3639" s="3">
        <v>288</v>
      </c>
      <c r="C3639" s="32">
        <v>49242</v>
      </c>
      <c r="D3639" s="32"/>
      <c r="E36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0" spans="1:6" x14ac:dyDescent="0.35">
      <c r="A3640" s="3">
        <v>32622914833</v>
      </c>
      <c r="B3640" s="3">
        <v>268</v>
      </c>
      <c r="C3640" s="32">
        <v>49242</v>
      </c>
      <c r="D3640" s="32">
        <v>49357</v>
      </c>
      <c r="E36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641" spans="1:6" x14ac:dyDescent="0.35">
      <c r="A3641" s="3">
        <v>95068962829</v>
      </c>
      <c r="B3641" s="3">
        <v>161</v>
      </c>
      <c r="C3641" s="32">
        <v>49242</v>
      </c>
      <c r="D3641" s="32">
        <v>49337</v>
      </c>
      <c r="E36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642" spans="1:6" x14ac:dyDescent="0.35">
      <c r="A3642" s="3">
        <v>69110604543</v>
      </c>
      <c r="B3642" s="3">
        <v>8</v>
      </c>
      <c r="C3642" s="32">
        <v>49242</v>
      </c>
      <c r="D3642" s="32" t="s">
        <v>87</v>
      </c>
      <c r="E36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3" spans="1:6" x14ac:dyDescent="0.35">
      <c r="A3643" s="3">
        <v>64973492339</v>
      </c>
      <c r="B3643" s="3">
        <v>269</v>
      </c>
      <c r="C3643" s="32">
        <v>49242</v>
      </c>
      <c r="D3643" s="32" t="s">
        <v>87</v>
      </c>
      <c r="E36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4" spans="1:6" x14ac:dyDescent="0.35">
      <c r="A3644" s="3">
        <v>47795841471</v>
      </c>
      <c r="B3644" s="3">
        <v>74</v>
      </c>
      <c r="C3644" s="32">
        <v>49242</v>
      </c>
      <c r="D3644" s="32"/>
      <c r="E36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5" spans="1:6" x14ac:dyDescent="0.35">
      <c r="A3645" s="3">
        <v>82380197100</v>
      </c>
      <c r="B3645" s="3">
        <v>282</v>
      </c>
      <c r="C3645" s="32">
        <v>49242</v>
      </c>
      <c r="D3645" s="32" t="s">
        <v>87</v>
      </c>
      <c r="E36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6" spans="1:6" x14ac:dyDescent="0.35">
      <c r="A3646" s="3">
        <v>73920263084</v>
      </c>
      <c r="B3646" s="3">
        <v>111</v>
      </c>
      <c r="C3646" s="32">
        <v>49242</v>
      </c>
      <c r="D3646" s="32" t="s">
        <v>87</v>
      </c>
      <c r="E36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7" spans="1:6" x14ac:dyDescent="0.35">
      <c r="A3647" s="3">
        <v>81036311978</v>
      </c>
      <c r="B3647" s="3">
        <v>215</v>
      </c>
      <c r="C3647" s="32">
        <v>49242</v>
      </c>
      <c r="D3647" s="32" t="s">
        <v>87</v>
      </c>
      <c r="E36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8" spans="1:6" x14ac:dyDescent="0.35">
      <c r="A3648" s="3">
        <v>70144893168</v>
      </c>
      <c r="B3648" s="3">
        <v>177</v>
      </c>
      <c r="C3648" s="32">
        <v>49242</v>
      </c>
      <c r="D3648" s="32" t="s">
        <v>87</v>
      </c>
      <c r="E36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9" spans="1:6" x14ac:dyDescent="0.35">
      <c r="A3649" s="3">
        <v>28731741583</v>
      </c>
      <c r="B3649" s="3">
        <v>227</v>
      </c>
      <c r="C3649" s="32">
        <v>49242</v>
      </c>
      <c r="D3649" s="32"/>
      <c r="E36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0" spans="1:6" x14ac:dyDescent="0.35">
      <c r="A3650" s="3">
        <v>46520389556</v>
      </c>
      <c r="B3650" s="3">
        <v>45</v>
      </c>
      <c r="C3650" s="32">
        <v>49242</v>
      </c>
      <c r="D3650" s="32" t="s">
        <v>87</v>
      </c>
      <c r="E36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1" spans="1:6" x14ac:dyDescent="0.35">
      <c r="A3651" s="3">
        <v>94824642869</v>
      </c>
      <c r="B3651" s="3">
        <v>35</v>
      </c>
      <c r="C3651" s="32">
        <v>49242</v>
      </c>
      <c r="D3651" s="32" t="s">
        <v>87</v>
      </c>
      <c r="E36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2" spans="1:6" x14ac:dyDescent="0.35">
      <c r="A3652" s="3">
        <v>56983506407</v>
      </c>
      <c r="B3652" s="3">
        <v>294</v>
      </c>
      <c r="C3652" s="32">
        <v>49242</v>
      </c>
      <c r="D3652" s="32"/>
      <c r="E36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3" spans="1:6" x14ac:dyDescent="0.35">
      <c r="A3653" s="3">
        <v>39948016310</v>
      </c>
      <c r="B3653" s="3">
        <v>312</v>
      </c>
      <c r="C3653" s="32">
        <v>49242</v>
      </c>
      <c r="D3653" s="32" t="s">
        <v>87</v>
      </c>
      <c r="E36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4" spans="1:6" x14ac:dyDescent="0.35">
      <c r="A3654" s="3">
        <v>44091900331</v>
      </c>
      <c r="B3654" s="3">
        <v>265</v>
      </c>
      <c r="C3654" s="32">
        <v>49242</v>
      </c>
      <c r="D3654" s="32" t="s">
        <v>87</v>
      </c>
      <c r="E36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5" spans="1:6" x14ac:dyDescent="0.35">
      <c r="A3655" s="3">
        <v>17717176322</v>
      </c>
      <c r="B3655" s="3">
        <v>299</v>
      </c>
      <c r="C3655" s="32">
        <v>49242</v>
      </c>
      <c r="D3655" s="32" t="s">
        <v>87</v>
      </c>
      <c r="E36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6" spans="1:6" x14ac:dyDescent="0.35">
      <c r="A3656" s="3">
        <v>13504020977</v>
      </c>
      <c r="B3656" s="3">
        <v>120</v>
      </c>
      <c r="C3656" s="32">
        <v>49243</v>
      </c>
      <c r="D3656" s="32" t="s">
        <v>87</v>
      </c>
      <c r="E36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7" spans="1:6" x14ac:dyDescent="0.35">
      <c r="A3657" s="3">
        <v>21391257394</v>
      </c>
      <c r="B3657" s="3">
        <v>257</v>
      </c>
      <c r="C3657" s="32">
        <v>49243</v>
      </c>
      <c r="D3657" s="32" t="s">
        <v>87</v>
      </c>
      <c r="E36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8" spans="1:6" x14ac:dyDescent="0.35">
      <c r="A3658" s="3">
        <v>25615736415</v>
      </c>
      <c r="B3658" s="3">
        <v>82</v>
      </c>
      <c r="C3658" s="32">
        <v>49243</v>
      </c>
      <c r="D3658" s="32" t="s">
        <v>87</v>
      </c>
      <c r="E36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9" spans="1:6" x14ac:dyDescent="0.35">
      <c r="A3659" s="3">
        <v>16294063162</v>
      </c>
      <c r="B3659" s="3">
        <v>5</v>
      </c>
      <c r="C3659" s="32">
        <v>49243</v>
      </c>
      <c r="D3659" s="32" t="s">
        <v>87</v>
      </c>
      <c r="E36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0" spans="1:6" x14ac:dyDescent="0.35">
      <c r="A3660" s="3">
        <v>95352382708</v>
      </c>
      <c r="B3660" s="3">
        <v>197</v>
      </c>
      <c r="C3660" s="32">
        <v>49243</v>
      </c>
      <c r="D3660" s="32"/>
      <c r="E36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1" spans="1:6" x14ac:dyDescent="0.35">
      <c r="A3661" s="3">
        <v>72829489420</v>
      </c>
      <c r="B3661" s="3">
        <v>166</v>
      </c>
      <c r="C3661" s="32">
        <v>49243</v>
      </c>
      <c r="D3661" s="32" t="s">
        <v>87</v>
      </c>
      <c r="E36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2" spans="1:6" x14ac:dyDescent="0.35">
      <c r="A3662" s="3">
        <v>13659550717</v>
      </c>
      <c r="B3662" s="3">
        <v>28</v>
      </c>
      <c r="C3662" s="32">
        <v>49243</v>
      </c>
      <c r="D3662" s="32">
        <v>49301</v>
      </c>
      <c r="E36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663" spans="1:6" x14ac:dyDescent="0.35">
      <c r="A3663" s="3">
        <v>38443759685</v>
      </c>
      <c r="B3663" s="3">
        <v>55</v>
      </c>
      <c r="C3663" s="32">
        <v>49243</v>
      </c>
      <c r="D3663" s="32" t="s">
        <v>87</v>
      </c>
      <c r="E36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4" spans="1:6" x14ac:dyDescent="0.35">
      <c r="A3664" s="3">
        <v>28195987692</v>
      </c>
      <c r="B3664" s="3">
        <v>272</v>
      </c>
      <c r="C3664" s="32">
        <v>49243</v>
      </c>
      <c r="D3664" s="32" t="s">
        <v>87</v>
      </c>
      <c r="E36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5" spans="1:6" x14ac:dyDescent="0.35">
      <c r="A3665" s="3">
        <v>63913003676</v>
      </c>
      <c r="B3665" s="3">
        <v>265</v>
      </c>
      <c r="C3665" s="32">
        <v>49243</v>
      </c>
      <c r="D3665" s="32" t="s">
        <v>87</v>
      </c>
      <c r="E36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6" spans="1:6" x14ac:dyDescent="0.35">
      <c r="A3666" s="3">
        <v>19262980266</v>
      </c>
      <c r="B3666" s="3">
        <v>5</v>
      </c>
      <c r="C3666" s="32">
        <v>49243</v>
      </c>
      <c r="D3666" s="32" t="s">
        <v>87</v>
      </c>
      <c r="E36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7" spans="1:6" x14ac:dyDescent="0.35">
      <c r="A3667" s="3">
        <v>61235108219</v>
      </c>
      <c r="B3667" s="3">
        <v>6</v>
      </c>
      <c r="C3667" s="32">
        <v>49243</v>
      </c>
      <c r="D3667" s="32" t="s">
        <v>87</v>
      </c>
      <c r="E36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8" spans="1:6" x14ac:dyDescent="0.35">
      <c r="A3668" s="3">
        <v>96570958493</v>
      </c>
      <c r="B3668" s="3">
        <v>54</v>
      </c>
      <c r="C3668" s="32">
        <v>49243</v>
      </c>
      <c r="D3668" s="32" t="s">
        <v>87</v>
      </c>
      <c r="E36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9" spans="1:6" x14ac:dyDescent="0.35">
      <c r="A3669" s="3">
        <v>23413878354</v>
      </c>
      <c r="B3669" s="3">
        <v>10</v>
      </c>
      <c r="C3669" s="32">
        <v>49243</v>
      </c>
      <c r="D3669" s="32" t="s">
        <v>87</v>
      </c>
      <c r="E36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0" spans="1:6" x14ac:dyDescent="0.35">
      <c r="A3670" s="3">
        <v>34958685706</v>
      </c>
      <c r="B3670" s="3">
        <v>212</v>
      </c>
      <c r="C3670" s="32">
        <v>49243</v>
      </c>
      <c r="D3670" s="32" t="s">
        <v>87</v>
      </c>
      <c r="E36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1" spans="1:6" x14ac:dyDescent="0.35">
      <c r="A3671" s="3">
        <v>21568411826</v>
      </c>
      <c r="B3671" s="3">
        <v>304</v>
      </c>
      <c r="C3671" s="32">
        <v>49243</v>
      </c>
      <c r="D3671" s="32"/>
      <c r="E36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2" spans="1:6" x14ac:dyDescent="0.35">
      <c r="A3672" s="3">
        <v>41501890514</v>
      </c>
      <c r="B3672" s="3">
        <v>36</v>
      </c>
      <c r="C3672" s="32">
        <v>49243</v>
      </c>
      <c r="D3672" s="32">
        <v>49262</v>
      </c>
      <c r="E36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673" spans="1:6" x14ac:dyDescent="0.35">
      <c r="A3673" s="3">
        <v>48722495676</v>
      </c>
      <c r="B3673" s="3">
        <v>253</v>
      </c>
      <c r="C3673" s="32">
        <v>49243</v>
      </c>
      <c r="D3673" s="32">
        <v>49290</v>
      </c>
      <c r="E36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674" spans="1:6" x14ac:dyDescent="0.35">
      <c r="A3674" s="3">
        <v>44690277953</v>
      </c>
      <c r="B3674" s="3">
        <v>164</v>
      </c>
      <c r="C3674" s="32">
        <v>49244</v>
      </c>
      <c r="D3674" s="32" t="s">
        <v>87</v>
      </c>
      <c r="E36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5" spans="1:6" x14ac:dyDescent="0.35">
      <c r="A3675" s="3">
        <v>77994215754</v>
      </c>
      <c r="B3675" s="3">
        <v>201</v>
      </c>
      <c r="C3675" s="32">
        <v>49244</v>
      </c>
      <c r="D3675" s="32" t="s">
        <v>87</v>
      </c>
      <c r="E36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6" spans="1:6" x14ac:dyDescent="0.35">
      <c r="A3676" s="3">
        <v>77166948628</v>
      </c>
      <c r="B3676" s="3">
        <v>76</v>
      </c>
      <c r="C3676" s="32">
        <v>49244</v>
      </c>
      <c r="D3676" s="32" t="s">
        <v>87</v>
      </c>
      <c r="E36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7" spans="1:6" x14ac:dyDescent="0.35">
      <c r="A3677" s="3">
        <v>85174338474</v>
      </c>
      <c r="B3677" s="3">
        <v>130</v>
      </c>
      <c r="C3677" s="32">
        <v>49244</v>
      </c>
      <c r="D3677" s="32" t="s">
        <v>87</v>
      </c>
      <c r="E36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8" spans="1:6" x14ac:dyDescent="0.35">
      <c r="A3678" s="3">
        <v>73132601997</v>
      </c>
      <c r="B3678" s="3">
        <v>93</v>
      </c>
      <c r="C3678" s="32">
        <v>49244</v>
      </c>
      <c r="D3678" s="32" t="s">
        <v>87</v>
      </c>
      <c r="E36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9" spans="1:6" x14ac:dyDescent="0.35">
      <c r="A3679" s="3">
        <v>79505838254</v>
      </c>
      <c r="B3679" s="3">
        <v>50</v>
      </c>
      <c r="C3679" s="32">
        <v>49244</v>
      </c>
      <c r="D3679" s="32" t="s">
        <v>87</v>
      </c>
      <c r="E36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0" spans="1:6" x14ac:dyDescent="0.35">
      <c r="A3680" s="3">
        <v>94933505872</v>
      </c>
      <c r="B3680" s="3">
        <v>3</v>
      </c>
      <c r="C3680" s="32">
        <v>49244</v>
      </c>
      <c r="D3680" s="32">
        <v>49350</v>
      </c>
      <c r="E36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681" spans="1:6" x14ac:dyDescent="0.35">
      <c r="A3681" s="3">
        <v>82590897413</v>
      </c>
      <c r="B3681" s="3">
        <v>65</v>
      </c>
      <c r="C3681" s="32">
        <v>49244</v>
      </c>
      <c r="D3681" s="32" t="s">
        <v>87</v>
      </c>
      <c r="E36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2" spans="1:6" x14ac:dyDescent="0.35">
      <c r="A3682" s="3">
        <v>68965559779</v>
      </c>
      <c r="B3682" s="3">
        <v>136</v>
      </c>
      <c r="C3682" s="32">
        <v>49244</v>
      </c>
      <c r="D3682" s="32" t="s">
        <v>87</v>
      </c>
      <c r="E36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3" spans="1:6" x14ac:dyDescent="0.35">
      <c r="A3683" s="3">
        <v>42752120884</v>
      </c>
      <c r="B3683" s="3">
        <v>112</v>
      </c>
      <c r="C3683" s="32">
        <v>49244</v>
      </c>
      <c r="D3683" s="32"/>
      <c r="E36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4" spans="1:6" x14ac:dyDescent="0.35">
      <c r="A3684" s="3">
        <v>45510861541</v>
      </c>
      <c r="B3684" s="3">
        <v>205</v>
      </c>
      <c r="C3684" s="32">
        <v>49244</v>
      </c>
      <c r="D3684" s="32" t="s">
        <v>87</v>
      </c>
      <c r="E36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5" spans="1:6" x14ac:dyDescent="0.35">
      <c r="A3685" s="3">
        <v>78973079936</v>
      </c>
      <c r="B3685" s="3">
        <v>309</v>
      </c>
      <c r="C3685" s="32">
        <v>49244</v>
      </c>
      <c r="D3685" s="32">
        <v>49348</v>
      </c>
      <c r="E36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686" spans="1:6" x14ac:dyDescent="0.35">
      <c r="A3686" s="3">
        <v>82694766968</v>
      </c>
      <c r="B3686" s="3">
        <v>24</v>
      </c>
      <c r="C3686" s="32">
        <v>49244</v>
      </c>
      <c r="D3686" s="32">
        <v>49328</v>
      </c>
      <c r="E36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687" spans="1:6" x14ac:dyDescent="0.35">
      <c r="A3687" s="3">
        <v>84687218331</v>
      </c>
      <c r="B3687" s="3">
        <v>74</v>
      </c>
      <c r="C3687" s="32">
        <v>49244</v>
      </c>
      <c r="D3687" s="32" t="s">
        <v>87</v>
      </c>
      <c r="E36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8" spans="1:6" x14ac:dyDescent="0.35">
      <c r="A3688" s="3">
        <v>96081244017</v>
      </c>
      <c r="B3688" s="3">
        <v>318</v>
      </c>
      <c r="C3688" s="32">
        <v>49244</v>
      </c>
      <c r="D3688" s="32" t="s">
        <v>87</v>
      </c>
      <c r="E36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9" spans="1:6" x14ac:dyDescent="0.35">
      <c r="A3689" s="3">
        <v>48075727179</v>
      </c>
      <c r="B3689" s="3">
        <v>234</v>
      </c>
      <c r="C3689" s="32">
        <v>49244</v>
      </c>
      <c r="D3689" s="32" t="s">
        <v>87</v>
      </c>
      <c r="E36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0" spans="1:6" x14ac:dyDescent="0.35">
      <c r="A3690" s="3">
        <v>96019505021</v>
      </c>
      <c r="B3690" s="3">
        <v>92</v>
      </c>
      <c r="C3690" s="32">
        <v>49244</v>
      </c>
      <c r="D3690" s="32" t="s">
        <v>87</v>
      </c>
      <c r="E36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1" spans="1:6" x14ac:dyDescent="0.35">
      <c r="A3691" s="3">
        <v>85835834735</v>
      </c>
      <c r="B3691" s="3">
        <v>12</v>
      </c>
      <c r="C3691" s="32">
        <v>49244</v>
      </c>
      <c r="D3691" s="32" t="s">
        <v>87</v>
      </c>
      <c r="E36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2" spans="1:6" x14ac:dyDescent="0.35">
      <c r="A3692" s="3">
        <v>70718340872</v>
      </c>
      <c r="B3692" s="3">
        <v>21</v>
      </c>
      <c r="C3692" s="32">
        <v>49244</v>
      </c>
      <c r="D3692" s="32"/>
      <c r="E36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3" spans="1:6" x14ac:dyDescent="0.35">
      <c r="A3693" s="3">
        <v>15797537214</v>
      </c>
      <c r="B3693" s="3">
        <v>121</v>
      </c>
      <c r="C3693" s="32">
        <v>49245</v>
      </c>
      <c r="D3693" s="32" t="s">
        <v>87</v>
      </c>
      <c r="E36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4" spans="1:6" x14ac:dyDescent="0.35">
      <c r="A3694" s="3">
        <v>98552113064</v>
      </c>
      <c r="B3694" s="3">
        <v>124</v>
      </c>
      <c r="C3694" s="32">
        <v>49245</v>
      </c>
      <c r="D3694" s="32" t="s">
        <v>87</v>
      </c>
      <c r="E36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5" spans="1:6" x14ac:dyDescent="0.35">
      <c r="A3695" s="3">
        <v>28567039775</v>
      </c>
      <c r="B3695" s="3">
        <v>317</v>
      </c>
      <c r="C3695" s="32">
        <v>49245</v>
      </c>
      <c r="D3695" s="32" t="s">
        <v>87</v>
      </c>
      <c r="E36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6" spans="1:6" x14ac:dyDescent="0.35">
      <c r="A3696" s="3">
        <v>52465151380</v>
      </c>
      <c r="B3696" s="3">
        <v>309</v>
      </c>
      <c r="C3696" s="32">
        <v>49245</v>
      </c>
      <c r="D3696" s="32" t="s">
        <v>87</v>
      </c>
      <c r="E36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7" spans="1:6" x14ac:dyDescent="0.35">
      <c r="A3697" s="3">
        <v>24641187086</v>
      </c>
      <c r="B3697" s="3">
        <v>275</v>
      </c>
      <c r="C3697" s="32">
        <v>49245</v>
      </c>
      <c r="D3697" s="32" t="s">
        <v>87</v>
      </c>
      <c r="E36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8" spans="1:6" x14ac:dyDescent="0.35">
      <c r="A3698" s="3">
        <v>65080587458</v>
      </c>
      <c r="B3698" s="3">
        <v>223</v>
      </c>
      <c r="C3698" s="32">
        <v>49245</v>
      </c>
      <c r="D3698" s="32"/>
      <c r="E36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9" spans="1:6" x14ac:dyDescent="0.35">
      <c r="A3699" s="3">
        <v>92218300236</v>
      </c>
      <c r="B3699" s="3">
        <v>261</v>
      </c>
      <c r="C3699" s="32">
        <v>49245</v>
      </c>
      <c r="D3699" s="32" t="s">
        <v>87</v>
      </c>
      <c r="E36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0" spans="1:6" x14ac:dyDescent="0.35">
      <c r="A3700" s="3">
        <v>48760093715</v>
      </c>
      <c r="B3700" s="3">
        <v>138</v>
      </c>
      <c r="C3700" s="32">
        <v>49245</v>
      </c>
      <c r="D3700" s="32" t="s">
        <v>87</v>
      </c>
      <c r="E37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1" spans="1:6" x14ac:dyDescent="0.35">
      <c r="A3701" s="3">
        <v>17882358731</v>
      </c>
      <c r="B3701" s="3">
        <v>221</v>
      </c>
      <c r="C3701" s="32">
        <v>49245</v>
      </c>
      <c r="D3701" s="32">
        <v>49345</v>
      </c>
      <c r="E37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702" spans="1:6" x14ac:dyDescent="0.35">
      <c r="A3702" s="3">
        <v>62458864371</v>
      </c>
      <c r="B3702" s="3">
        <v>119</v>
      </c>
      <c r="C3702" s="32">
        <v>49245</v>
      </c>
      <c r="D3702" s="32"/>
      <c r="E37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3" spans="1:6" x14ac:dyDescent="0.35">
      <c r="A3703" s="3">
        <v>56669844136</v>
      </c>
      <c r="B3703" s="3">
        <v>5</v>
      </c>
      <c r="C3703" s="32">
        <v>49245</v>
      </c>
      <c r="D3703" s="32" t="s">
        <v>87</v>
      </c>
      <c r="E37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4" spans="1:6" x14ac:dyDescent="0.35">
      <c r="A3704" s="3">
        <v>15409915967</v>
      </c>
      <c r="B3704" s="3">
        <v>337</v>
      </c>
      <c r="C3704" s="32">
        <v>49245</v>
      </c>
      <c r="D3704" s="32" t="s">
        <v>87</v>
      </c>
      <c r="E37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5" spans="1:6" x14ac:dyDescent="0.35">
      <c r="A3705" s="3">
        <v>84388423607</v>
      </c>
      <c r="B3705" s="3">
        <v>184</v>
      </c>
      <c r="C3705" s="32">
        <v>49245</v>
      </c>
      <c r="D3705" s="32" t="s">
        <v>87</v>
      </c>
      <c r="E37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6" spans="1:6" x14ac:dyDescent="0.35">
      <c r="A3706" s="3">
        <v>91278571702</v>
      </c>
      <c r="B3706" s="3">
        <v>193</v>
      </c>
      <c r="C3706" s="32">
        <v>49245</v>
      </c>
      <c r="D3706" s="32" t="s">
        <v>87</v>
      </c>
      <c r="E37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7" spans="1:6" x14ac:dyDescent="0.35">
      <c r="A3707" s="3">
        <v>39488533673</v>
      </c>
      <c r="B3707" s="3">
        <v>117</v>
      </c>
      <c r="C3707" s="32">
        <v>49245</v>
      </c>
      <c r="D3707" s="32" t="s">
        <v>87</v>
      </c>
      <c r="E37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8" spans="1:6" x14ac:dyDescent="0.35">
      <c r="A3708" s="3">
        <v>74811365115</v>
      </c>
      <c r="B3708" s="3">
        <v>263</v>
      </c>
      <c r="C3708" s="32">
        <v>49245</v>
      </c>
      <c r="D3708" s="32"/>
      <c r="E37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9" spans="1:6" x14ac:dyDescent="0.35">
      <c r="A3709" s="3">
        <v>65146946758</v>
      </c>
      <c r="B3709" s="3">
        <v>167</v>
      </c>
      <c r="C3709" s="32">
        <v>49245</v>
      </c>
      <c r="D3709" s="32" t="s">
        <v>87</v>
      </c>
      <c r="E37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0" spans="1:6" x14ac:dyDescent="0.35">
      <c r="A3710" s="3">
        <v>41250760274</v>
      </c>
      <c r="B3710" s="3">
        <v>282</v>
      </c>
      <c r="C3710" s="32">
        <v>49245</v>
      </c>
      <c r="D3710" s="32" t="s">
        <v>87</v>
      </c>
      <c r="E37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1" spans="1:6" x14ac:dyDescent="0.35">
      <c r="A3711" s="3">
        <v>92832750255</v>
      </c>
      <c r="B3711" s="3">
        <v>321</v>
      </c>
      <c r="C3711" s="32">
        <v>49245</v>
      </c>
      <c r="D3711" s="32"/>
      <c r="E37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2" spans="1:6" x14ac:dyDescent="0.35">
      <c r="A3712" s="3">
        <v>37326134401</v>
      </c>
      <c r="B3712" s="3">
        <v>327</v>
      </c>
      <c r="C3712" s="32">
        <v>49245</v>
      </c>
      <c r="D3712" s="32" t="s">
        <v>87</v>
      </c>
      <c r="E37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3" spans="1:6" x14ac:dyDescent="0.35">
      <c r="A3713" s="3">
        <v>63899943130</v>
      </c>
      <c r="B3713" s="3">
        <v>174</v>
      </c>
      <c r="C3713" s="32">
        <v>49246</v>
      </c>
      <c r="D3713" s="32" t="s">
        <v>87</v>
      </c>
      <c r="E37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4" spans="1:6" x14ac:dyDescent="0.35">
      <c r="A3714" s="3">
        <v>58761105641</v>
      </c>
      <c r="B3714" s="3">
        <v>70</v>
      </c>
      <c r="C3714" s="32">
        <v>49246</v>
      </c>
      <c r="D3714" s="32"/>
      <c r="E37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5" spans="1:6" x14ac:dyDescent="0.35">
      <c r="A3715" s="3">
        <v>31109435945</v>
      </c>
      <c r="B3715" s="3">
        <v>95</v>
      </c>
      <c r="C3715" s="32">
        <v>49246</v>
      </c>
      <c r="D3715" s="32" t="s">
        <v>87</v>
      </c>
      <c r="E37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6" spans="1:6" x14ac:dyDescent="0.35">
      <c r="A3716" s="3">
        <v>98767390554</v>
      </c>
      <c r="B3716" s="3">
        <v>285</v>
      </c>
      <c r="C3716" s="32">
        <v>49246</v>
      </c>
      <c r="D3716" s="32">
        <v>49328</v>
      </c>
      <c r="E37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717" spans="1:6" x14ac:dyDescent="0.35">
      <c r="A3717" s="3">
        <v>53171435998</v>
      </c>
      <c r="B3717" s="3">
        <v>71</v>
      </c>
      <c r="C3717" s="32">
        <v>49246</v>
      </c>
      <c r="D3717" s="32" t="s">
        <v>87</v>
      </c>
      <c r="E37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8" spans="1:6" x14ac:dyDescent="0.35">
      <c r="A3718" s="3">
        <v>99047161423</v>
      </c>
      <c r="B3718" s="3">
        <v>257</v>
      </c>
      <c r="C3718" s="32">
        <v>49246</v>
      </c>
      <c r="D3718" s="32" t="s">
        <v>87</v>
      </c>
      <c r="E37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9" spans="1:6" x14ac:dyDescent="0.35">
      <c r="A3719" s="3">
        <v>29233153637</v>
      </c>
      <c r="B3719" s="3">
        <v>93</v>
      </c>
      <c r="C3719" s="32">
        <v>49246</v>
      </c>
      <c r="D3719" s="32" t="s">
        <v>87</v>
      </c>
      <c r="E37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0" spans="1:6" x14ac:dyDescent="0.35">
      <c r="A3720" s="3">
        <v>57525972656</v>
      </c>
      <c r="B3720" s="3">
        <v>312</v>
      </c>
      <c r="C3720" s="32">
        <v>49246</v>
      </c>
      <c r="D3720" s="32" t="s">
        <v>87</v>
      </c>
      <c r="E37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1" spans="1:6" x14ac:dyDescent="0.35">
      <c r="A3721" s="3">
        <v>75416822041</v>
      </c>
      <c r="B3721" s="3">
        <v>209</v>
      </c>
      <c r="C3721" s="32">
        <v>49246</v>
      </c>
      <c r="D3721" s="32" t="s">
        <v>87</v>
      </c>
      <c r="E37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2" spans="1:6" x14ac:dyDescent="0.35">
      <c r="A3722" s="3">
        <v>48627774760</v>
      </c>
      <c r="B3722" s="3">
        <v>108</v>
      </c>
      <c r="C3722" s="32">
        <v>49246</v>
      </c>
      <c r="D3722" s="32" t="s">
        <v>87</v>
      </c>
      <c r="E37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3" spans="1:6" x14ac:dyDescent="0.35">
      <c r="A3723" s="3">
        <v>83888362732</v>
      </c>
      <c r="B3723" s="3">
        <v>214</v>
      </c>
      <c r="C3723" s="32">
        <v>49246</v>
      </c>
      <c r="D3723" s="32"/>
      <c r="E37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4" spans="1:6" x14ac:dyDescent="0.35">
      <c r="A3724" s="3">
        <v>47227306042</v>
      </c>
      <c r="B3724" s="3">
        <v>313</v>
      </c>
      <c r="C3724" s="32">
        <v>49246</v>
      </c>
      <c r="D3724" s="32">
        <v>49308</v>
      </c>
      <c r="E37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725" spans="1:6" x14ac:dyDescent="0.35">
      <c r="A3725" s="3">
        <v>52883134074</v>
      </c>
      <c r="B3725" s="3">
        <v>76</v>
      </c>
      <c r="C3725" s="32">
        <v>49246</v>
      </c>
      <c r="D3725" s="32" t="s">
        <v>87</v>
      </c>
      <c r="E37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6" spans="1:6" x14ac:dyDescent="0.35">
      <c r="A3726" s="3">
        <v>66024324290</v>
      </c>
      <c r="B3726" s="3">
        <v>208</v>
      </c>
      <c r="C3726" s="32">
        <v>49246</v>
      </c>
      <c r="D3726" s="32" t="s">
        <v>87</v>
      </c>
      <c r="E37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7" spans="1:6" x14ac:dyDescent="0.35">
      <c r="A3727" s="3">
        <v>48060890501</v>
      </c>
      <c r="B3727" s="3">
        <v>100</v>
      </c>
      <c r="C3727" s="32">
        <v>49246</v>
      </c>
      <c r="D3727" s="32" t="s">
        <v>87</v>
      </c>
      <c r="E37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8" spans="1:6" x14ac:dyDescent="0.35">
      <c r="A3728" s="3">
        <v>27381931247</v>
      </c>
      <c r="B3728" s="3">
        <v>64</v>
      </c>
      <c r="C3728" s="32">
        <v>49246</v>
      </c>
      <c r="D3728" s="32" t="s">
        <v>87</v>
      </c>
      <c r="E37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9" spans="1:6" x14ac:dyDescent="0.35">
      <c r="A3729" s="3">
        <v>47571382522</v>
      </c>
      <c r="B3729" s="3">
        <v>15</v>
      </c>
      <c r="C3729" s="32">
        <v>49246</v>
      </c>
      <c r="D3729" s="32" t="s">
        <v>87</v>
      </c>
      <c r="E37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0" spans="1:6" x14ac:dyDescent="0.35">
      <c r="A3730" s="3">
        <v>62610006479</v>
      </c>
      <c r="B3730" s="3">
        <v>175</v>
      </c>
      <c r="C3730" s="32">
        <v>49246</v>
      </c>
      <c r="D3730" s="32" t="s">
        <v>87</v>
      </c>
      <c r="E37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1" spans="1:6" x14ac:dyDescent="0.35">
      <c r="A3731" s="3">
        <v>81113943301</v>
      </c>
      <c r="B3731" s="3">
        <v>80</v>
      </c>
      <c r="C3731" s="32">
        <v>49246</v>
      </c>
      <c r="D3731" s="32">
        <v>49258</v>
      </c>
      <c r="E37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32" spans="1:6" x14ac:dyDescent="0.35">
      <c r="A3732" s="3">
        <v>90741746361</v>
      </c>
      <c r="B3732" s="3">
        <v>99</v>
      </c>
      <c r="C3732" s="32">
        <v>49246</v>
      </c>
      <c r="D3732" s="32"/>
      <c r="E37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3" spans="1:6" x14ac:dyDescent="0.35">
      <c r="A3733" s="3">
        <v>13163244011</v>
      </c>
      <c r="B3733" s="3">
        <v>80</v>
      </c>
      <c r="C3733" s="32">
        <v>49246</v>
      </c>
      <c r="D3733" s="32" t="s">
        <v>87</v>
      </c>
      <c r="E37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4" spans="1:6" x14ac:dyDescent="0.35">
      <c r="A3734" s="3">
        <v>53625114164</v>
      </c>
      <c r="B3734" s="3">
        <v>222</v>
      </c>
      <c r="C3734" s="32">
        <v>49246</v>
      </c>
      <c r="D3734" s="32">
        <v>49264</v>
      </c>
      <c r="E37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35" spans="1:6" x14ac:dyDescent="0.35">
      <c r="A3735" s="3">
        <v>13582453044</v>
      </c>
      <c r="B3735" s="3">
        <v>140</v>
      </c>
      <c r="C3735" s="32">
        <v>49246</v>
      </c>
      <c r="D3735" s="32" t="s">
        <v>87</v>
      </c>
      <c r="E37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6" spans="1:6" x14ac:dyDescent="0.35">
      <c r="A3736" s="3">
        <v>49480076370</v>
      </c>
      <c r="B3736" s="3">
        <v>182</v>
      </c>
      <c r="C3736" s="32">
        <v>49246</v>
      </c>
      <c r="D3736" s="32" t="s">
        <v>87</v>
      </c>
      <c r="E37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7" spans="1:6" x14ac:dyDescent="0.35">
      <c r="A3737" s="3">
        <v>66123122948</v>
      </c>
      <c r="B3737" s="3">
        <v>115</v>
      </c>
      <c r="C3737" s="32">
        <v>49246</v>
      </c>
      <c r="D3737" s="32" t="s">
        <v>87</v>
      </c>
      <c r="E37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8" spans="1:6" x14ac:dyDescent="0.35">
      <c r="A3738" s="3">
        <v>37591464524</v>
      </c>
      <c r="B3738" s="3">
        <v>315</v>
      </c>
      <c r="C3738" s="32">
        <v>49246</v>
      </c>
      <c r="D3738" s="32" t="s">
        <v>87</v>
      </c>
      <c r="E37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9" spans="1:6" x14ac:dyDescent="0.35">
      <c r="A3739" s="3">
        <v>77983000733</v>
      </c>
      <c r="B3739" s="3">
        <v>218</v>
      </c>
      <c r="C3739" s="32">
        <v>49246</v>
      </c>
      <c r="D3739" s="32"/>
      <c r="E37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0" spans="1:6" x14ac:dyDescent="0.35">
      <c r="A3740" s="3">
        <v>49330074889</v>
      </c>
      <c r="B3740" s="3">
        <v>112</v>
      </c>
      <c r="C3740" s="32">
        <v>49247</v>
      </c>
      <c r="D3740" s="32" t="s">
        <v>87</v>
      </c>
      <c r="E37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1" spans="1:6" x14ac:dyDescent="0.35">
      <c r="A3741" s="3">
        <v>72474534270</v>
      </c>
      <c r="B3741" s="3">
        <v>131</v>
      </c>
      <c r="C3741" s="32">
        <v>49247</v>
      </c>
      <c r="D3741" s="32" t="s">
        <v>87</v>
      </c>
      <c r="E37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2" spans="1:6" x14ac:dyDescent="0.35">
      <c r="A3742" s="3">
        <v>56387017759</v>
      </c>
      <c r="B3742" s="3">
        <v>280</v>
      </c>
      <c r="C3742" s="32">
        <v>49247</v>
      </c>
      <c r="D3742" s="32" t="s">
        <v>87</v>
      </c>
      <c r="E37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3" spans="1:6" x14ac:dyDescent="0.35">
      <c r="A3743" s="3">
        <v>70063267795</v>
      </c>
      <c r="B3743" s="3">
        <v>317</v>
      </c>
      <c r="C3743" s="32">
        <v>49247</v>
      </c>
      <c r="D3743" s="32" t="s">
        <v>87</v>
      </c>
      <c r="E37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4" spans="1:6" x14ac:dyDescent="0.35">
      <c r="A3744" s="3">
        <v>63092013112</v>
      </c>
      <c r="B3744" s="3">
        <v>323</v>
      </c>
      <c r="C3744" s="32">
        <v>49247</v>
      </c>
      <c r="D3744" s="32" t="s">
        <v>87</v>
      </c>
      <c r="E37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5" spans="1:6" x14ac:dyDescent="0.35">
      <c r="A3745" s="3">
        <v>38250262834</v>
      </c>
      <c r="B3745" s="3">
        <v>156</v>
      </c>
      <c r="C3745" s="32">
        <v>49247</v>
      </c>
      <c r="D3745" s="32" t="s">
        <v>87</v>
      </c>
      <c r="E37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6" spans="1:6" x14ac:dyDescent="0.35">
      <c r="A3746" s="3">
        <v>27975221786</v>
      </c>
      <c r="B3746" s="3">
        <v>187</v>
      </c>
      <c r="C3746" s="32">
        <v>49247</v>
      </c>
      <c r="D3746" s="32">
        <v>49344</v>
      </c>
      <c r="E37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747" spans="1:6" x14ac:dyDescent="0.35">
      <c r="A3747" s="3">
        <v>94329760107</v>
      </c>
      <c r="B3747" s="3">
        <v>144</v>
      </c>
      <c r="C3747" s="32">
        <v>49247</v>
      </c>
      <c r="D3747" s="32">
        <v>49315</v>
      </c>
      <c r="E37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748" spans="1:6" x14ac:dyDescent="0.35">
      <c r="A3748" s="3">
        <v>25430398631</v>
      </c>
      <c r="B3748" s="3">
        <v>186</v>
      </c>
      <c r="C3748" s="32">
        <v>49247</v>
      </c>
      <c r="D3748" s="32" t="s">
        <v>87</v>
      </c>
      <c r="E37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9" spans="1:6" x14ac:dyDescent="0.35">
      <c r="A3749" s="3">
        <v>40534634164</v>
      </c>
      <c r="B3749" s="3">
        <v>328</v>
      </c>
      <c r="C3749" s="32">
        <v>49247</v>
      </c>
      <c r="D3749" s="32" t="s">
        <v>87</v>
      </c>
      <c r="E37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50" spans="1:6" x14ac:dyDescent="0.35">
      <c r="A3750" s="3">
        <v>89003655901</v>
      </c>
      <c r="B3750" s="3">
        <v>260</v>
      </c>
      <c r="C3750" s="32">
        <v>49247</v>
      </c>
      <c r="D3750" s="32">
        <v>49274</v>
      </c>
      <c r="E37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51" spans="1:6" x14ac:dyDescent="0.35">
      <c r="A3751" s="3">
        <v>16213277847</v>
      </c>
      <c r="B3751" s="3">
        <v>296</v>
      </c>
      <c r="C3751" s="32">
        <v>49247</v>
      </c>
      <c r="D3751" s="32" t="s">
        <v>87</v>
      </c>
      <c r="E37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52" spans="1:6" x14ac:dyDescent="0.35">
      <c r="A3752" s="3">
        <v>28865531509</v>
      </c>
      <c r="B3752" s="3">
        <v>216</v>
      </c>
      <c r="C3752" s="32">
        <v>49247</v>
      </c>
      <c r="D3752" s="32" t="s">
        <v>87</v>
      </c>
      <c r="E37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53" spans="1:6" x14ac:dyDescent="0.35">
      <c r="A3753" s="3">
        <v>69875557058</v>
      </c>
      <c r="B3753" s="3">
        <v>47</v>
      </c>
      <c r="C3753" s="32">
        <v>49247</v>
      </c>
      <c r="D3753" s="32" t="s">
        <v>87</v>
      </c>
      <c r="E37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54" spans="1:6" x14ac:dyDescent="0.35">
      <c r="A3754" s="3">
        <v>19981354699</v>
      </c>
      <c r="B3754" s="3">
        <v>295</v>
      </c>
      <c r="C3754" s="32">
        <v>49247</v>
      </c>
      <c r="D3754" s="32">
        <v>49289</v>
      </c>
      <c r="E37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755" spans="1:6" x14ac:dyDescent="0.35">
      <c r="A3755" s="3">
        <v>17424109167</v>
      </c>
      <c r="B3755" s="3">
        <v>285</v>
      </c>
      <c r="C3755" s="32">
        <v>49247</v>
      </c>
      <c r="D3755" s="32">
        <v>49268</v>
      </c>
      <c r="E37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56" spans="1:6" x14ac:dyDescent="0.35">
      <c r="A3756" s="3">
        <v>95647162845</v>
      </c>
      <c r="B3756" s="3">
        <v>321</v>
      </c>
      <c r="C3756" s="32">
        <v>49247</v>
      </c>
      <c r="D3756" s="32">
        <v>49310</v>
      </c>
      <c r="E37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757" spans="1:6" x14ac:dyDescent="0.35">
      <c r="A3757" s="3">
        <v>86513220463</v>
      </c>
      <c r="B3757" s="3">
        <v>41</v>
      </c>
      <c r="C3757" s="32">
        <v>49247</v>
      </c>
      <c r="D3757" s="32" t="s">
        <v>87</v>
      </c>
      <c r="E37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58" spans="1:6" x14ac:dyDescent="0.35">
      <c r="A3758" s="3">
        <v>13081194961</v>
      </c>
      <c r="B3758" s="3">
        <v>36</v>
      </c>
      <c r="C3758" s="32">
        <v>49247</v>
      </c>
      <c r="D3758" s="32" t="s">
        <v>87</v>
      </c>
      <c r="E37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59" spans="1:6" x14ac:dyDescent="0.35">
      <c r="A3759" s="3">
        <v>30696853547</v>
      </c>
      <c r="B3759" s="3">
        <v>174</v>
      </c>
      <c r="C3759" s="32">
        <v>49247</v>
      </c>
      <c r="D3759" s="32" t="s">
        <v>87</v>
      </c>
      <c r="E37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0" spans="1:6" x14ac:dyDescent="0.35">
      <c r="A3760" s="3">
        <v>31422754187</v>
      </c>
      <c r="B3760" s="3">
        <v>303</v>
      </c>
      <c r="C3760" s="32">
        <v>49247</v>
      </c>
      <c r="D3760" s="32">
        <v>49340</v>
      </c>
      <c r="E37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761" spans="1:6" x14ac:dyDescent="0.35">
      <c r="A3761" s="3">
        <v>43073101476</v>
      </c>
      <c r="B3761" s="3">
        <v>179</v>
      </c>
      <c r="C3761" s="32">
        <v>49247</v>
      </c>
      <c r="D3761" s="32" t="s">
        <v>87</v>
      </c>
      <c r="E37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2" spans="1:6" x14ac:dyDescent="0.35">
      <c r="A3762" s="3">
        <v>36189146643</v>
      </c>
      <c r="B3762" s="3">
        <v>46</v>
      </c>
      <c r="C3762" s="32">
        <v>49247</v>
      </c>
      <c r="D3762" s="32" t="s">
        <v>87</v>
      </c>
      <c r="E37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3" spans="1:6" x14ac:dyDescent="0.35">
      <c r="A3763" s="3">
        <v>21545893969</v>
      </c>
      <c r="B3763" s="3">
        <v>134</v>
      </c>
      <c r="C3763" s="32">
        <v>49247</v>
      </c>
      <c r="D3763" s="32" t="s">
        <v>87</v>
      </c>
      <c r="E37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4" spans="1:6" x14ac:dyDescent="0.35">
      <c r="A3764" s="3">
        <v>56064539760</v>
      </c>
      <c r="B3764" s="3">
        <v>282</v>
      </c>
      <c r="C3764" s="32">
        <v>49247</v>
      </c>
      <c r="D3764" s="32" t="s">
        <v>87</v>
      </c>
      <c r="E37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5" spans="1:6" x14ac:dyDescent="0.35">
      <c r="A3765" s="3">
        <v>59019268563</v>
      </c>
      <c r="B3765" s="3">
        <v>21</v>
      </c>
      <c r="C3765" s="32">
        <v>49247</v>
      </c>
      <c r="D3765" s="32" t="s">
        <v>87</v>
      </c>
      <c r="E37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6" spans="1:6" x14ac:dyDescent="0.35">
      <c r="A3766" s="3">
        <v>49790592745</v>
      </c>
      <c r="B3766" s="3">
        <v>324</v>
      </c>
      <c r="C3766" s="32">
        <v>49247</v>
      </c>
      <c r="D3766" s="32" t="s">
        <v>87</v>
      </c>
      <c r="E37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7" spans="1:6" x14ac:dyDescent="0.35">
      <c r="A3767" s="3">
        <v>94482058249</v>
      </c>
      <c r="B3767" s="3">
        <v>208</v>
      </c>
      <c r="C3767" s="32">
        <v>49248</v>
      </c>
      <c r="D3767" s="32" t="s">
        <v>87</v>
      </c>
      <c r="E37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8" spans="1:6" x14ac:dyDescent="0.35">
      <c r="A3768" s="3">
        <v>95039064613</v>
      </c>
      <c r="B3768" s="3">
        <v>140</v>
      </c>
      <c r="C3768" s="32">
        <v>49248</v>
      </c>
      <c r="D3768" s="32" t="s">
        <v>87</v>
      </c>
      <c r="E37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9" spans="1:6" x14ac:dyDescent="0.35">
      <c r="A3769" s="3">
        <v>69950839372</v>
      </c>
      <c r="B3769" s="3">
        <v>107</v>
      </c>
      <c r="C3769" s="32">
        <v>49248</v>
      </c>
      <c r="D3769" s="32" t="s">
        <v>87</v>
      </c>
      <c r="E37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0" spans="1:6" x14ac:dyDescent="0.35">
      <c r="A3770" s="3">
        <v>13854028152</v>
      </c>
      <c r="B3770" s="3">
        <v>43</v>
      </c>
      <c r="C3770" s="32">
        <v>49248</v>
      </c>
      <c r="D3770" s="32"/>
      <c r="E37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1" spans="1:6" x14ac:dyDescent="0.35">
      <c r="A3771" s="3">
        <v>22252100527</v>
      </c>
      <c r="B3771" s="3">
        <v>209</v>
      </c>
      <c r="C3771" s="32">
        <v>49248</v>
      </c>
      <c r="D3771" s="32">
        <v>49261</v>
      </c>
      <c r="E37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72" spans="1:6" x14ac:dyDescent="0.35">
      <c r="A3772" s="3">
        <v>32826524285</v>
      </c>
      <c r="B3772" s="3">
        <v>53</v>
      </c>
      <c r="C3772" s="32">
        <v>49248</v>
      </c>
      <c r="D3772" s="32" t="s">
        <v>87</v>
      </c>
      <c r="E37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3" spans="1:6" x14ac:dyDescent="0.35">
      <c r="A3773" s="3">
        <v>16678967018</v>
      </c>
      <c r="B3773" s="3">
        <v>178</v>
      </c>
      <c r="C3773" s="32">
        <v>49248</v>
      </c>
      <c r="D3773" s="32" t="s">
        <v>87</v>
      </c>
      <c r="E37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4" spans="1:6" x14ac:dyDescent="0.35">
      <c r="A3774" s="3">
        <v>66513461209</v>
      </c>
      <c r="B3774" s="3">
        <v>4</v>
      </c>
      <c r="C3774" s="32">
        <v>49248</v>
      </c>
      <c r="D3774" s="32"/>
      <c r="E37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5" spans="1:6" x14ac:dyDescent="0.35">
      <c r="A3775" s="3">
        <v>79940394520</v>
      </c>
      <c r="B3775" s="3">
        <v>128</v>
      </c>
      <c r="C3775" s="32">
        <v>49248</v>
      </c>
      <c r="D3775" s="32" t="s">
        <v>87</v>
      </c>
      <c r="E37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6" spans="1:6" x14ac:dyDescent="0.35">
      <c r="A3776" s="3">
        <v>62823160189</v>
      </c>
      <c r="B3776" s="3">
        <v>142</v>
      </c>
      <c r="C3776" s="32">
        <v>49248</v>
      </c>
      <c r="D3776" s="32" t="s">
        <v>87</v>
      </c>
      <c r="E37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7" spans="1:6" x14ac:dyDescent="0.35">
      <c r="A3777" s="3">
        <v>61626726302</v>
      </c>
      <c r="B3777" s="3">
        <v>221</v>
      </c>
      <c r="C3777" s="32">
        <v>49248</v>
      </c>
      <c r="D3777" s="32" t="s">
        <v>87</v>
      </c>
      <c r="E37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8" spans="1:6" x14ac:dyDescent="0.35">
      <c r="A3778" s="3">
        <v>20397501117</v>
      </c>
      <c r="B3778" s="3">
        <v>161</v>
      </c>
      <c r="C3778" s="32">
        <v>49248</v>
      </c>
      <c r="D3778" s="32" t="s">
        <v>87</v>
      </c>
      <c r="E37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9" spans="1:6" x14ac:dyDescent="0.35">
      <c r="A3779" s="3">
        <v>12853342076</v>
      </c>
      <c r="B3779" s="3">
        <v>310</v>
      </c>
      <c r="C3779" s="32">
        <v>49248</v>
      </c>
      <c r="D3779" s="32">
        <v>49275</v>
      </c>
      <c r="E37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80" spans="1:6" x14ac:dyDescent="0.35">
      <c r="A3780" s="3">
        <v>91628101789</v>
      </c>
      <c r="B3780" s="3">
        <v>186</v>
      </c>
      <c r="C3780" s="32">
        <v>49248</v>
      </c>
      <c r="D3780" s="32" t="s">
        <v>87</v>
      </c>
      <c r="E37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1" spans="1:6" x14ac:dyDescent="0.35">
      <c r="A3781" s="3">
        <v>99358920285</v>
      </c>
      <c r="B3781" s="3">
        <v>241</v>
      </c>
      <c r="C3781" s="32">
        <v>49248</v>
      </c>
      <c r="D3781" s="32"/>
      <c r="E37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2" spans="1:6" x14ac:dyDescent="0.35">
      <c r="A3782" s="3">
        <v>73355453787</v>
      </c>
      <c r="B3782" s="3">
        <v>80</v>
      </c>
      <c r="C3782" s="32">
        <v>49248</v>
      </c>
      <c r="D3782" s="32">
        <v>49261</v>
      </c>
      <c r="E37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83" spans="1:6" x14ac:dyDescent="0.35">
      <c r="A3783" s="3">
        <v>47874081684</v>
      </c>
      <c r="B3783" s="3">
        <v>87</v>
      </c>
      <c r="C3783" s="32">
        <v>49248</v>
      </c>
      <c r="D3783" s="32" t="s">
        <v>87</v>
      </c>
      <c r="E37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4" spans="1:6" x14ac:dyDescent="0.35">
      <c r="A3784" s="3">
        <v>93451251762</v>
      </c>
      <c r="B3784" s="3">
        <v>85</v>
      </c>
      <c r="C3784" s="32">
        <v>49248</v>
      </c>
      <c r="D3784" s="32">
        <v>49330</v>
      </c>
      <c r="E37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785" spans="1:6" x14ac:dyDescent="0.35">
      <c r="A3785" s="3">
        <v>92824855029</v>
      </c>
      <c r="B3785" s="3">
        <v>289</v>
      </c>
      <c r="C3785" s="32">
        <v>49248</v>
      </c>
      <c r="D3785" s="32"/>
      <c r="E37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6" spans="1:6" x14ac:dyDescent="0.35">
      <c r="A3786" s="3">
        <v>89539417845</v>
      </c>
      <c r="B3786" s="3">
        <v>48</v>
      </c>
      <c r="C3786" s="32">
        <v>49248</v>
      </c>
      <c r="D3786" s="32" t="s">
        <v>87</v>
      </c>
      <c r="E37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7" spans="1:6" x14ac:dyDescent="0.35">
      <c r="A3787" s="3">
        <v>85487640216</v>
      </c>
      <c r="B3787" s="3">
        <v>130</v>
      </c>
      <c r="C3787" s="32">
        <v>49248</v>
      </c>
      <c r="D3787" s="32" t="s">
        <v>87</v>
      </c>
      <c r="E37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8" spans="1:6" x14ac:dyDescent="0.35">
      <c r="A3788" s="3">
        <v>69900805982</v>
      </c>
      <c r="B3788" s="3">
        <v>1</v>
      </c>
      <c r="C3788" s="32">
        <v>49248</v>
      </c>
      <c r="D3788" s="32"/>
      <c r="E37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9" spans="1:6" x14ac:dyDescent="0.35">
      <c r="A3789" s="3">
        <v>79712514708</v>
      </c>
      <c r="B3789" s="3">
        <v>172</v>
      </c>
      <c r="C3789" s="32">
        <v>49248</v>
      </c>
      <c r="D3789" s="32" t="s">
        <v>87</v>
      </c>
      <c r="E37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0" spans="1:6" x14ac:dyDescent="0.35">
      <c r="A3790" s="3">
        <v>88595544254</v>
      </c>
      <c r="B3790" s="3">
        <v>321</v>
      </c>
      <c r="C3790" s="32">
        <v>49248</v>
      </c>
      <c r="D3790" s="32">
        <v>49285</v>
      </c>
      <c r="E37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791" spans="1:6" x14ac:dyDescent="0.35">
      <c r="A3791" s="3">
        <v>84841398495</v>
      </c>
      <c r="B3791" s="3">
        <v>282</v>
      </c>
      <c r="C3791" s="32">
        <v>49248</v>
      </c>
      <c r="D3791" s="32" t="s">
        <v>87</v>
      </c>
      <c r="E37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2" spans="1:6" x14ac:dyDescent="0.35">
      <c r="A3792" s="3">
        <v>86702901266</v>
      </c>
      <c r="B3792" s="3">
        <v>205</v>
      </c>
      <c r="C3792" s="32">
        <v>49248</v>
      </c>
      <c r="D3792" s="32" t="s">
        <v>87</v>
      </c>
      <c r="E37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3" spans="1:6" x14ac:dyDescent="0.35">
      <c r="A3793" s="3">
        <v>73431008344</v>
      </c>
      <c r="B3793" s="3">
        <v>293</v>
      </c>
      <c r="C3793" s="32">
        <v>49249</v>
      </c>
      <c r="D3793" s="32"/>
      <c r="E37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4" spans="1:6" x14ac:dyDescent="0.35">
      <c r="A3794" s="3">
        <v>60414751167</v>
      </c>
      <c r="B3794" s="3">
        <v>224</v>
      </c>
      <c r="C3794" s="32">
        <v>49249</v>
      </c>
      <c r="D3794" s="32" t="s">
        <v>87</v>
      </c>
      <c r="E37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5" spans="1:6" x14ac:dyDescent="0.35">
      <c r="A3795" s="3">
        <v>14390864292</v>
      </c>
      <c r="B3795" s="3">
        <v>138</v>
      </c>
      <c r="C3795" s="32">
        <v>49249</v>
      </c>
      <c r="D3795" s="32" t="s">
        <v>87</v>
      </c>
      <c r="E37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6" spans="1:6" x14ac:dyDescent="0.35">
      <c r="A3796" s="3">
        <v>53343721370</v>
      </c>
      <c r="B3796" s="3">
        <v>215</v>
      </c>
      <c r="C3796" s="32">
        <v>49249</v>
      </c>
      <c r="D3796" s="32" t="s">
        <v>87</v>
      </c>
      <c r="E37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7" spans="1:6" x14ac:dyDescent="0.35">
      <c r="A3797" s="3">
        <v>15226306478</v>
      </c>
      <c r="B3797" s="3">
        <v>270</v>
      </c>
      <c r="C3797" s="32">
        <v>49249</v>
      </c>
      <c r="D3797" s="32"/>
      <c r="E37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8" spans="1:6" x14ac:dyDescent="0.35">
      <c r="A3798" s="3">
        <v>63464425582</v>
      </c>
      <c r="B3798" s="3">
        <v>321</v>
      </c>
      <c r="C3798" s="32">
        <v>49249</v>
      </c>
      <c r="D3798" s="32">
        <v>49277</v>
      </c>
      <c r="E37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99" spans="1:6" x14ac:dyDescent="0.35">
      <c r="A3799" s="3">
        <v>83482213004</v>
      </c>
      <c r="B3799" s="3">
        <v>146</v>
      </c>
      <c r="C3799" s="32">
        <v>49249</v>
      </c>
      <c r="D3799" s="32" t="s">
        <v>87</v>
      </c>
      <c r="E37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0" spans="1:6" x14ac:dyDescent="0.35">
      <c r="A3800" s="3">
        <v>98284519106</v>
      </c>
      <c r="B3800" s="3">
        <v>312</v>
      </c>
      <c r="C3800" s="32">
        <v>49249</v>
      </c>
      <c r="D3800" s="32" t="s">
        <v>87</v>
      </c>
      <c r="E38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1" spans="1:6" x14ac:dyDescent="0.35">
      <c r="A3801" s="3">
        <v>11365796009</v>
      </c>
      <c r="B3801" s="3">
        <v>212</v>
      </c>
      <c r="C3801" s="32">
        <v>49249</v>
      </c>
      <c r="D3801" s="32" t="s">
        <v>87</v>
      </c>
      <c r="E38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2" spans="1:6" x14ac:dyDescent="0.35">
      <c r="A3802" s="3">
        <v>68317089597</v>
      </c>
      <c r="B3802" s="3">
        <v>161</v>
      </c>
      <c r="C3802" s="32">
        <v>49249</v>
      </c>
      <c r="D3802" s="32" t="s">
        <v>87</v>
      </c>
      <c r="E38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3" spans="1:6" x14ac:dyDescent="0.35">
      <c r="A3803" s="3">
        <v>44358071099</v>
      </c>
      <c r="B3803" s="3">
        <v>326</v>
      </c>
      <c r="C3803" s="32">
        <v>49249</v>
      </c>
      <c r="D3803" s="32" t="s">
        <v>87</v>
      </c>
      <c r="E38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4" spans="1:6" x14ac:dyDescent="0.35">
      <c r="A3804" s="3">
        <v>53092952981</v>
      </c>
      <c r="B3804" s="3">
        <v>187</v>
      </c>
      <c r="C3804" s="32">
        <v>49249</v>
      </c>
      <c r="D3804" s="32" t="s">
        <v>87</v>
      </c>
      <c r="E38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5" spans="1:6" x14ac:dyDescent="0.35">
      <c r="A3805" s="3">
        <v>69732942066</v>
      </c>
      <c r="B3805" s="3">
        <v>115</v>
      </c>
      <c r="C3805" s="32">
        <v>49249</v>
      </c>
      <c r="D3805" s="32" t="s">
        <v>87</v>
      </c>
      <c r="E38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6" spans="1:6" x14ac:dyDescent="0.35">
      <c r="A3806" s="3">
        <v>37964955590</v>
      </c>
      <c r="B3806" s="3">
        <v>73</v>
      </c>
      <c r="C3806" s="32">
        <v>49249</v>
      </c>
      <c r="D3806" s="32">
        <v>49280</v>
      </c>
      <c r="E38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07" spans="1:6" x14ac:dyDescent="0.35">
      <c r="A3807" s="3">
        <v>11774765105</v>
      </c>
      <c r="B3807" s="3">
        <v>274</v>
      </c>
      <c r="C3807" s="32">
        <v>49249</v>
      </c>
      <c r="D3807" s="32" t="s">
        <v>87</v>
      </c>
      <c r="E38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8" spans="1:6" x14ac:dyDescent="0.35">
      <c r="A3808" s="3">
        <v>71301480012</v>
      </c>
      <c r="B3808" s="3">
        <v>100</v>
      </c>
      <c r="C3808" s="32">
        <v>49249</v>
      </c>
      <c r="D3808" s="32"/>
      <c r="E38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9" spans="1:6" x14ac:dyDescent="0.35">
      <c r="A3809" s="3">
        <v>87278934462</v>
      </c>
      <c r="B3809" s="3">
        <v>261</v>
      </c>
      <c r="C3809" s="32">
        <v>49249</v>
      </c>
      <c r="D3809" s="32" t="s">
        <v>87</v>
      </c>
      <c r="E38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0" spans="1:6" x14ac:dyDescent="0.35">
      <c r="A3810" s="3">
        <v>66057563059</v>
      </c>
      <c r="B3810" s="3">
        <v>254</v>
      </c>
      <c r="C3810" s="32">
        <v>49249</v>
      </c>
      <c r="D3810" s="32" t="s">
        <v>87</v>
      </c>
      <c r="E38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1" spans="1:6" x14ac:dyDescent="0.35">
      <c r="A3811" s="3">
        <v>49933838132</v>
      </c>
      <c r="B3811" s="3">
        <v>151</v>
      </c>
      <c r="C3811" s="32">
        <v>49249</v>
      </c>
      <c r="D3811" s="32">
        <v>49265</v>
      </c>
      <c r="E38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812" spans="1:6" x14ac:dyDescent="0.35">
      <c r="A3812" s="3">
        <v>63226141491</v>
      </c>
      <c r="B3812" s="3">
        <v>106</v>
      </c>
      <c r="C3812" s="32">
        <v>49249</v>
      </c>
      <c r="D3812" s="32">
        <v>49282</v>
      </c>
      <c r="E38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13" spans="1:6" x14ac:dyDescent="0.35">
      <c r="A3813" s="3">
        <v>49457120315</v>
      </c>
      <c r="B3813" s="3">
        <v>231</v>
      </c>
      <c r="C3813" s="32">
        <v>49249</v>
      </c>
      <c r="D3813" s="32" t="s">
        <v>87</v>
      </c>
      <c r="E38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4" spans="1:6" x14ac:dyDescent="0.35">
      <c r="A3814" s="3">
        <v>88328568340</v>
      </c>
      <c r="B3814" s="3">
        <v>18</v>
      </c>
      <c r="C3814" s="32">
        <v>49249</v>
      </c>
      <c r="D3814" s="32" t="s">
        <v>87</v>
      </c>
      <c r="E38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5" spans="1:6" x14ac:dyDescent="0.35">
      <c r="A3815" s="3">
        <v>45296921784</v>
      </c>
      <c r="B3815" s="3">
        <v>250</v>
      </c>
      <c r="C3815" s="32">
        <v>49250</v>
      </c>
      <c r="D3815" s="32" t="s">
        <v>87</v>
      </c>
      <c r="E38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6" spans="1:6" x14ac:dyDescent="0.35">
      <c r="A3816" s="3">
        <v>54238032131</v>
      </c>
      <c r="B3816" s="3">
        <v>336</v>
      </c>
      <c r="C3816" s="32">
        <v>49250</v>
      </c>
      <c r="D3816" s="32" t="s">
        <v>87</v>
      </c>
      <c r="E38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7" spans="1:6" x14ac:dyDescent="0.35">
      <c r="A3817" s="3">
        <v>29469630471</v>
      </c>
      <c r="B3817" s="3">
        <v>138</v>
      </c>
      <c r="C3817" s="32">
        <v>49250</v>
      </c>
      <c r="D3817" s="32" t="s">
        <v>87</v>
      </c>
      <c r="E38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8" spans="1:6" x14ac:dyDescent="0.35">
      <c r="A3818" s="3">
        <v>16618480282</v>
      </c>
      <c r="B3818" s="3">
        <v>256</v>
      </c>
      <c r="C3818" s="32">
        <v>49250</v>
      </c>
      <c r="D3818" s="32" t="s">
        <v>87</v>
      </c>
      <c r="E38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9" spans="1:6" x14ac:dyDescent="0.35">
      <c r="A3819" s="3">
        <v>89115580282</v>
      </c>
      <c r="B3819" s="3">
        <v>120</v>
      </c>
      <c r="C3819" s="32">
        <v>49250</v>
      </c>
      <c r="D3819" s="32"/>
      <c r="E38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0" spans="1:6" x14ac:dyDescent="0.35">
      <c r="A3820" s="3">
        <v>65587820291</v>
      </c>
      <c r="B3820" s="3">
        <v>327</v>
      </c>
      <c r="C3820" s="32">
        <v>49250</v>
      </c>
      <c r="D3820" s="32" t="s">
        <v>87</v>
      </c>
      <c r="E38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1" spans="1:6" x14ac:dyDescent="0.35">
      <c r="A3821" s="3">
        <v>41326493935</v>
      </c>
      <c r="B3821" s="3">
        <v>226</v>
      </c>
      <c r="C3821" s="32">
        <v>49250</v>
      </c>
      <c r="D3821" s="32"/>
      <c r="E38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2" spans="1:6" x14ac:dyDescent="0.35">
      <c r="A3822" s="3">
        <v>46850560780</v>
      </c>
      <c r="B3822" s="3">
        <v>3</v>
      </c>
      <c r="C3822" s="32">
        <v>49250</v>
      </c>
      <c r="D3822" s="32">
        <v>49363</v>
      </c>
      <c r="E38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823" spans="1:6" x14ac:dyDescent="0.35">
      <c r="A3823" s="3">
        <v>55763920986</v>
      </c>
      <c r="B3823" s="3">
        <v>80</v>
      </c>
      <c r="C3823" s="32">
        <v>49250</v>
      </c>
      <c r="D3823" s="32" t="s">
        <v>87</v>
      </c>
      <c r="E38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4" spans="1:6" x14ac:dyDescent="0.35">
      <c r="A3824" s="3">
        <v>90906306561</v>
      </c>
      <c r="B3824" s="3">
        <v>75</v>
      </c>
      <c r="C3824" s="32">
        <v>49250</v>
      </c>
      <c r="D3824" s="32" t="s">
        <v>87</v>
      </c>
      <c r="E38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5" spans="1:6" x14ac:dyDescent="0.35">
      <c r="A3825" s="3">
        <v>56337324289</v>
      </c>
      <c r="B3825" s="3">
        <v>283</v>
      </c>
      <c r="C3825" s="32">
        <v>49250</v>
      </c>
      <c r="D3825" s="32" t="s">
        <v>87</v>
      </c>
      <c r="E38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6" spans="1:6" x14ac:dyDescent="0.35">
      <c r="A3826" s="3">
        <v>72652142897</v>
      </c>
      <c r="B3826" s="3">
        <v>323</v>
      </c>
      <c r="C3826" s="32">
        <v>49250</v>
      </c>
      <c r="D3826" s="32" t="s">
        <v>87</v>
      </c>
      <c r="E38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7" spans="1:6" x14ac:dyDescent="0.35">
      <c r="A3827" s="3">
        <v>59275795898</v>
      </c>
      <c r="B3827" s="3">
        <v>223</v>
      </c>
      <c r="C3827" s="32">
        <v>49250</v>
      </c>
      <c r="D3827" s="32"/>
      <c r="E38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8" spans="1:6" x14ac:dyDescent="0.35">
      <c r="A3828" s="3">
        <v>97823791708</v>
      </c>
      <c r="B3828" s="3">
        <v>139</v>
      </c>
      <c r="C3828" s="32">
        <v>49250</v>
      </c>
      <c r="D3828" s="32" t="s">
        <v>87</v>
      </c>
      <c r="E38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9" spans="1:6" x14ac:dyDescent="0.35">
      <c r="A3829" s="3">
        <v>58082885359</v>
      </c>
      <c r="B3829" s="3">
        <v>163</v>
      </c>
      <c r="C3829" s="32">
        <v>49250</v>
      </c>
      <c r="D3829" s="32" t="s">
        <v>87</v>
      </c>
      <c r="E38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0" spans="1:6" x14ac:dyDescent="0.35">
      <c r="A3830" s="3">
        <v>93793078923</v>
      </c>
      <c r="B3830" s="3">
        <v>241</v>
      </c>
      <c r="C3830" s="32">
        <v>49250</v>
      </c>
      <c r="D3830" s="32" t="s">
        <v>87</v>
      </c>
      <c r="E38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1" spans="1:6" x14ac:dyDescent="0.35">
      <c r="A3831" s="3">
        <v>27737157121</v>
      </c>
      <c r="B3831" s="3">
        <v>179</v>
      </c>
      <c r="C3831" s="32">
        <v>49250</v>
      </c>
      <c r="D3831" s="32"/>
      <c r="E38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2" spans="1:6" x14ac:dyDescent="0.35">
      <c r="A3832" s="3">
        <v>90836795715</v>
      </c>
      <c r="B3832" s="3">
        <v>206</v>
      </c>
      <c r="C3832" s="32">
        <v>49250</v>
      </c>
      <c r="D3832" s="32" t="s">
        <v>87</v>
      </c>
      <c r="E38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3" spans="1:6" x14ac:dyDescent="0.35">
      <c r="A3833" s="3">
        <v>57475872268</v>
      </c>
      <c r="B3833" s="3">
        <v>320</v>
      </c>
      <c r="C3833" s="32">
        <v>49250</v>
      </c>
      <c r="D3833" s="32" t="s">
        <v>87</v>
      </c>
      <c r="E38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4" spans="1:6" x14ac:dyDescent="0.35">
      <c r="A3834" s="3">
        <v>57888879434</v>
      </c>
      <c r="B3834" s="3">
        <v>317</v>
      </c>
      <c r="C3834" s="32">
        <v>49250</v>
      </c>
      <c r="D3834" s="32">
        <v>49305</v>
      </c>
      <c r="E38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35" spans="1:6" x14ac:dyDescent="0.35">
      <c r="A3835" s="3">
        <v>23432824570</v>
      </c>
      <c r="B3835" s="3">
        <v>241</v>
      </c>
      <c r="C3835" s="32">
        <v>49250</v>
      </c>
      <c r="D3835" s="32">
        <v>49338</v>
      </c>
      <c r="E38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836" spans="1:6" x14ac:dyDescent="0.35">
      <c r="A3836" s="3">
        <v>84854577029</v>
      </c>
      <c r="B3836" s="3">
        <v>97</v>
      </c>
      <c r="C3836" s="32">
        <v>49250</v>
      </c>
      <c r="D3836" s="32">
        <v>49285</v>
      </c>
      <c r="E38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37" spans="1:6" x14ac:dyDescent="0.35">
      <c r="A3837" s="3">
        <v>64218864187</v>
      </c>
      <c r="B3837" s="3">
        <v>216</v>
      </c>
      <c r="C3837" s="32">
        <v>49250</v>
      </c>
      <c r="D3837" s="32" t="s">
        <v>87</v>
      </c>
      <c r="E38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8" spans="1:6" x14ac:dyDescent="0.35">
      <c r="A3838" s="3">
        <v>37699238475</v>
      </c>
      <c r="B3838" s="3">
        <v>339</v>
      </c>
      <c r="C3838" s="32">
        <v>49250</v>
      </c>
      <c r="D3838" s="32" t="s">
        <v>87</v>
      </c>
      <c r="E38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9" spans="1:6" x14ac:dyDescent="0.35">
      <c r="A3839" s="3">
        <v>58353041666</v>
      </c>
      <c r="B3839" s="3">
        <v>275</v>
      </c>
      <c r="C3839" s="32">
        <v>49250</v>
      </c>
      <c r="D3839" s="32" t="s">
        <v>87</v>
      </c>
      <c r="E38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0" spans="1:6" x14ac:dyDescent="0.35">
      <c r="A3840" s="3">
        <v>94989118185</v>
      </c>
      <c r="B3840" s="3">
        <v>261</v>
      </c>
      <c r="C3840" s="32">
        <v>49251</v>
      </c>
      <c r="D3840" s="32" t="s">
        <v>87</v>
      </c>
      <c r="E38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1" spans="1:6" x14ac:dyDescent="0.35">
      <c r="A3841" s="3">
        <v>40985433177</v>
      </c>
      <c r="B3841" s="3">
        <v>150</v>
      </c>
      <c r="C3841" s="32">
        <v>49251</v>
      </c>
      <c r="D3841" s="32">
        <v>49259</v>
      </c>
      <c r="E38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842" spans="1:6" x14ac:dyDescent="0.35">
      <c r="A3842" s="3">
        <v>53273126518</v>
      </c>
      <c r="B3842" s="3">
        <v>55</v>
      </c>
      <c r="C3842" s="32">
        <v>49251</v>
      </c>
      <c r="D3842" s="32" t="s">
        <v>87</v>
      </c>
      <c r="E38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3" spans="1:6" x14ac:dyDescent="0.35">
      <c r="A3843" s="3">
        <v>67290850567</v>
      </c>
      <c r="B3843" s="3">
        <v>285</v>
      </c>
      <c r="C3843" s="32">
        <v>49251</v>
      </c>
      <c r="D3843" s="32">
        <v>49299</v>
      </c>
      <c r="E38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44" spans="1:6" x14ac:dyDescent="0.35">
      <c r="A3844" s="3">
        <v>35326229539</v>
      </c>
      <c r="B3844" s="3">
        <v>338</v>
      </c>
      <c r="C3844" s="32">
        <v>49251</v>
      </c>
      <c r="D3844" s="32">
        <v>49309</v>
      </c>
      <c r="E38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45" spans="1:6" x14ac:dyDescent="0.35">
      <c r="A3845" s="3">
        <v>17835923163</v>
      </c>
      <c r="B3845" s="3">
        <v>162</v>
      </c>
      <c r="C3845" s="32">
        <v>49251</v>
      </c>
      <c r="D3845" s="32" t="s">
        <v>87</v>
      </c>
      <c r="E38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6" spans="1:6" x14ac:dyDescent="0.35">
      <c r="A3846" s="3">
        <v>59523464757</v>
      </c>
      <c r="B3846" s="3">
        <v>38</v>
      </c>
      <c r="C3846" s="32">
        <v>49251</v>
      </c>
      <c r="D3846" s="32" t="s">
        <v>87</v>
      </c>
      <c r="E38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7" spans="1:6" x14ac:dyDescent="0.35">
      <c r="A3847" s="3">
        <v>87669310757</v>
      </c>
      <c r="B3847" s="3">
        <v>301</v>
      </c>
      <c r="C3847" s="32">
        <v>49251</v>
      </c>
      <c r="D3847" s="32"/>
      <c r="E38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8" spans="1:6" x14ac:dyDescent="0.35">
      <c r="A3848" s="3">
        <v>46452054964</v>
      </c>
      <c r="B3848" s="3">
        <v>202</v>
      </c>
      <c r="C3848" s="32">
        <v>49251</v>
      </c>
      <c r="D3848" s="32" t="s">
        <v>87</v>
      </c>
      <c r="E38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9" spans="1:6" x14ac:dyDescent="0.35">
      <c r="A3849" s="3">
        <v>91875768128</v>
      </c>
      <c r="B3849" s="3">
        <v>43</v>
      </c>
      <c r="C3849" s="32">
        <v>49251</v>
      </c>
      <c r="D3849" s="32" t="s">
        <v>87</v>
      </c>
      <c r="E38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0" spans="1:6" x14ac:dyDescent="0.35">
      <c r="A3850" s="3">
        <v>79743866174</v>
      </c>
      <c r="B3850" s="3">
        <v>103</v>
      </c>
      <c r="C3850" s="32">
        <v>49251</v>
      </c>
      <c r="D3850" s="32" t="s">
        <v>87</v>
      </c>
      <c r="E38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1" spans="1:6" x14ac:dyDescent="0.35">
      <c r="A3851" s="3">
        <v>65326090765</v>
      </c>
      <c r="B3851" s="3">
        <v>112</v>
      </c>
      <c r="C3851" s="32">
        <v>49251</v>
      </c>
      <c r="D3851" s="32" t="s">
        <v>87</v>
      </c>
      <c r="E38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2" spans="1:6" x14ac:dyDescent="0.35">
      <c r="A3852" s="3">
        <v>66478173548</v>
      </c>
      <c r="B3852" s="3">
        <v>69</v>
      </c>
      <c r="C3852" s="32">
        <v>49251</v>
      </c>
      <c r="D3852" s="32"/>
      <c r="E38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3" spans="1:6" x14ac:dyDescent="0.35">
      <c r="A3853" s="3">
        <v>84864648200</v>
      </c>
      <c r="B3853" s="3">
        <v>291</v>
      </c>
      <c r="C3853" s="32">
        <v>49251</v>
      </c>
      <c r="D3853" s="32">
        <v>49281</v>
      </c>
      <c r="E38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54" spans="1:6" x14ac:dyDescent="0.35">
      <c r="A3854" s="3">
        <v>23473957090</v>
      </c>
      <c r="B3854" s="3">
        <v>247</v>
      </c>
      <c r="C3854" s="32">
        <v>49251</v>
      </c>
      <c r="D3854" s="32" t="s">
        <v>87</v>
      </c>
      <c r="E38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5" spans="1:6" x14ac:dyDescent="0.35">
      <c r="A3855" s="3">
        <v>48735311039</v>
      </c>
      <c r="B3855" s="3">
        <v>334</v>
      </c>
      <c r="C3855" s="32">
        <v>49251</v>
      </c>
      <c r="D3855" s="32">
        <v>49261</v>
      </c>
      <c r="E38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856" spans="1:6" x14ac:dyDescent="0.35">
      <c r="A3856" s="3">
        <v>16279871640</v>
      </c>
      <c r="B3856" s="3">
        <v>244</v>
      </c>
      <c r="C3856" s="32">
        <v>49251</v>
      </c>
      <c r="D3856" s="32" t="s">
        <v>87</v>
      </c>
      <c r="E38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7" spans="1:6" x14ac:dyDescent="0.35">
      <c r="A3857" s="3">
        <v>19337276947</v>
      </c>
      <c r="B3857" s="3">
        <v>185</v>
      </c>
      <c r="C3857" s="32">
        <v>49251</v>
      </c>
      <c r="D3857" s="32" t="s">
        <v>87</v>
      </c>
      <c r="E38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8" spans="1:6" x14ac:dyDescent="0.35">
      <c r="A3858" s="3">
        <v>15286857942</v>
      </c>
      <c r="B3858" s="3">
        <v>237</v>
      </c>
      <c r="C3858" s="32">
        <v>49251</v>
      </c>
      <c r="D3858" s="32">
        <v>49325</v>
      </c>
      <c r="E38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859" spans="1:6" x14ac:dyDescent="0.35">
      <c r="A3859" s="3">
        <v>21948448915</v>
      </c>
      <c r="B3859" s="3">
        <v>155</v>
      </c>
      <c r="C3859" s="32">
        <v>49251</v>
      </c>
      <c r="D3859" s="32" t="s">
        <v>87</v>
      </c>
      <c r="E38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0" spans="1:6" x14ac:dyDescent="0.35">
      <c r="A3860" s="3">
        <v>99677506067</v>
      </c>
      <c r="B3860" s="3">
        <v>143</v>
      </c>
      <c r="C3860" s="32">
        <v>49251</v>
      </c>
      <c r="D3860" s="32" t="s">
        <v>87</v>
      </c>
      <c r="E38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1" spans="1:6" x14ac:dyDescent="0.35">
      <c r="A3861" s="3">
        <v>80198731336</v>
      </c>
      <c r="B3861" s="3">
        <v>317</v>
      </c>
      <c r="C3861" s="32">
        <v>49251</v>
      </c>
      <c r="D3861" s="32" t="s">
        <v>87</v>
      </c>
      <c r="E38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2" spans="1:6" x14ac:dyDescent="0.35">
      <c r="A3862" s="3">
        <v>67641971460</v>
      </c>
      <c r="B3862" s="3">
        <v>134</v>
      </c>
      <c r="C3862" s="32">
        <v>49251</v>
      </c>
      <c r="D3862" s="32">
        <v>49365</v>
      </c>
      <c r="E38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863" spans="1:6" x14ac:dyDescent="0.35">
      <c r="A3863" s="3">
        <v>59303411550</v>
      </c>
      <c r="B3863" s="3">
        <v>85</v>
      </c>
      <c r="C3863" s="32">
        <v>49251</v>
      </c>
      <c r="D3863" s="32" t="s">
        <v>87</v>
      </c>
      <c r="E38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4" spans="1:6" x14ac:dyDescent="0.35">
      <c r="A3864" s="3">
        <v>94977661471</v>
      </c>
      <c r="B3864" s="3">
        <v>252</v>
      </c>
      <c r="C3864" s="32">
        <v>49251</v>
      </c>
      <c r="D3864" s="32"/>
      <c r="E38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5" spans="1:6" x14ac:dyDescent="0.35">
      <c r="A3865" s="3">
        <v>79686173933</v>
      </c>
      <c r="B3865" s="3">
        <v>192</v>
      </c>
      <c r="C3865" s="32">
        <v>49251</v>
      </c>
      <c r="D3865" s="32" t="s">
        <v>87</v>
      </c>
      <c r="E38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6" spans="1:6" x14ac:dyDescent="0.35">
      <c r="A3866" s="3">
        <v>21485551291</v>
      </c>
      <c r="B3866" s="3">
        <v>4</v>
      </c>
      <c r="C3866" s="32">
        <v>49251</v>
      </c>
      <c r="D3866" s="32" t="s">
        <v>87</v>
      </c>
      <c r="E38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7" spans="1:6" x14ac:dyDescent="0.35">
      <c r="A3867" s="3">
        <v>47241587450</v>
      </c>
      <c r="B3867" s="3">
        <v>97</v>
      </c>
      <c r="C3867" s="32">
        <v>49252</v>
      </c>
      <c r="D3867" s="32" t="s">
        <v>87</v>
      </c>
      <c r="E38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8" spans="1:6" x14ac:dyDescent="0.35">
      <c r="A3868" s="3">
        <v>97813823141</v>
      </c>
      <c r="B3868" s="3">
        <v>100</v>
      </c>
      <c r="C3868" s="32">
        <v>49252</v>
      </c>
      <c r="D3868" s="32"/>
      <c r="E38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9" spans="1:6" x14ac:dyDescent="0.35">
      <c r="A3869" s="3">
        <v>90925052820</v>
      </c>
      <c r="B3869" s="3">
        <v>281</v>
      </c>
      <c r="C3869" s="32">
        <v>49252</v>
      </c>
      <c r="D3869" s="32" t="s">
        <v>87</v>
      </c>
      <c r="E38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0" spans="1:6" x14ac:dyDescent="0.35">
      <c r="A3870" s="3">
        <v>34610529657</v>
      </c>
      <c r="B3870" s="3">
        <v>141</v>
      </c>
      <c r="C3870" s="32">
        <v>49252</v>
      </c>
      <c r="D3870" s="32">
        <v>49264</v>
      </c>
      <c r="E38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871" spans="1:6" x14ac:dyDescent="0.35">
      <c r="A3871" s="3">
        <v>89473865213</v>
      </c>
      <c r="B3871" s="3">
        <v>179</v>
      </c>
      <c r="C3871" s="32">
        <v>49252</v>
      </c>
      <c r="D3871" s="32" t="s">
        <v>87</v>
      </c>
      <c r="E38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2" spans="1:6" x14ac:dyDescent="0.35">
      <c r="A3872" s="3">
        <v>93644223613</v>
      </c>
      <c r="B3872" s="3">
        <v>120</v>
      </c>
      <c r="C3872" s="32">
        <v>49252</v>
      </c>
      <c r="D3872" s="32" t="s">
        <v>87</v>
      </c>
      <c r="E38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3" spans="1:6" x14ac:dyDescent="0.35">
      <c r="A3873" s="3">
        <v>57133383762</v>
      </c>
      <c r="B3873" s="3">
        <v>245</v>
      </c>
      <c r="C3873" s="32">
        <v>49252</v>
      </c>
      <c r="D3873" s="32">
        <v>49287</v>
      </c>
      <c r="E38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74" spans="1:6" x14ac:dyDescent="0.35">
      <c r="A3874" s="3">
        <v>34043559282</v>
      </c>
      <c r="B3874" s="3">
        <v>213</v>
      </c>
      <c r="C3874" s="32">
        <v>49252</v>
      </c>
      <c r="D3874" s="32"/>
      <c r="E38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5" spans="1:6" x14ac:dyDescent="0.35">
      <c r="A3875" s="3">
        <v>97055583042</v>
      </c>
      <c r="B3875" s="3">
        <v>182</v>
      </c>
      <c r="C3875" s="32">
        <v>49252</v>
      </c>
      <c r="D3875" s="32" t="s">
        <v>87</v>
      </c>
      <c r="E38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6" spans="1:6" x14ac:dyDescent="0.35">
      <c r="A3876" s="3">
        <v>91124283544</v>
      </c>
      <c r="B3876" s="3">
        <v>157</v>
      </c>
      <c r="C3876" s="32">
        <v>49252</v>
      </c>
      <c r="D3876" s="32" t="s">
        <v>87</v>
      </c>
      <c r="E38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7" spans="1:6" x14ac:dyDescent="0.35">
      <c r="A3877" s="3">
        <v>48931632276</v>
      </c>
      <c r="B3877" s="3">
        <v>277</v>
      </c>
      <c r="C3877" s="32">
        <v>49252</v>
      </c>
      <c r="D3877" s="32" t="s">
        <v>87</v>
      </c>
      <c r="E38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8" spans="1:6" x14ac:dyDescent="0.35">
      <c r="A3878" s="3">
        <v>17552952025</v>
      </c>
      <c r="B3878" s="3">
        <v>41</v>
      </c>
      <c r="C3878" s="32">
        <v>49252</v>
      </c>
      <c r="D3878" s="32" t="s">
        <v>87</v>
      </c>
      <c r="E38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9" spans="1:6" x14ac:dyDescent="0.35">
      <c r="A3879" s="3">
        <v>85570064252</v>
      </c>
      <c r="B3879" s="3">
        <v>177</v>
      </c>
      <c r="C3879" s="32">
        <v>49252</v>
      </c>
      <c r="D3879" s="32">
        <v>49298</v>
      </c>
      <c r="E38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80" spans="1:6" x14ac:dyDescent="0.35">
      <c r="A3880" s="3">
        <v>43309274394</v>
      </c>
      <c r="B3880" s="3">
        <v>102</v>
      </c>
      <c r="C3880" s="32">
        <v>49252</v>
      </c>
      <c r="D3880" s="32" t="s">
        <v>87</v>
      </c>
      <c r="E38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1" spans="1:6" x14ac:dyDescent="0.35">
      <c r="A3881" s="3">
        <v>68708286498</v>
      </c>
      <c r="B3881" s="3">
        <v>82</v>
      </c>
      <c r="C3881" s="32">
        <v>49252</v>
      </c>
      <c r="D3881" s="32" t="s">
        <v>87</v>
      </c>
      <c r="E38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2" spans="1:6" x14ac:dyDescent="0.35">
      <c r="A3882" s="3">
        <v>74646317151</v>
      </c>
      <c r="B3882" s="3">
        <v>272</v>
      </c>
      <c r="C3882" s="32">
        <v>49252</v>
      </c>
      <c r="D3882" s="32" t="s">
        <v>87</v>
      </c>
      <c r="E38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3" spans="1:6" x14ac:dyDescent="0.35">
      <c r="A3883" s="3">
        <v>18454144281</v>
      </c>
      <c r="B3883" s="3">
        <v>338</v>
      </c>
      <c r="C3883" s="32">
        <v>49252</v>
      </c>
      <c r="D3883" s="32"/>
      <c r="E38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4" spans="1:6" x14ac:dyDescent="0.35">
      <c r="A3884" s="3">
        <v>79094715618</v>
      </c>
      <c r="B3884" s="3">
        <v>60</v>
      </c>
      <c r="C3884" s="32">
        <v>49252</v>
      </c>
      <c r="D3884" s="32" t="s">
        <v>87</v>
      </c>
      <c r="E38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5" spans="1:6" x14ac:dyDescent="0.35">
      <c r="A3885" s="3">
        <v>76664386369</v>
      </c>
      <c r="B3885" s="3">
        <v>149</v>
      </c>
      <c r="C3885" s="32">
        <v>49252</v>
      </c>
      <c r="D3885" s="32" t="s">
        <v>87</v>
      </c>
      <c r="E38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6" spans="1:6" x14ac:dyDescent="0.35">
      <c r="A3886" s="3">
        <v>62886413295</v>
      </c>
      <c r="B3886" s="3">
        <v>32</v>
      </c>
      <c r="C3886" s="32">
        <v>49253</v>
      </c>
      <c r="D3886" s="32">
        <v>49330</v>
      </c>
      <c r="E38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887" spans="1:6" x14ac:dyDescent="0.35">
      <c r="A3887" s="3">
        <v>42565731439</v>
      </c>
      <c r="B3887" s="3">
        <v>304</v>
      </c>
      <c r="C3887" s="32">
        <v>49253</v>
      </c>
      <c r="D3887" s="32"/>
      <c r="E38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8" spans="1:6" x14ac:dyDescent="0.35">
      <c r="A3888" s="3">
        <v>87129111962</v>
      </c>
      <c r="B3888" s="3">
        <v>10</v>
      </c>
      <c r="C3888" s="32">
        <v>49253</v>
      </c>
      <c r="D3888" s="32">
        <v>49335</v>
      </c>
      <c r="E38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889" spans="1:6" x14ac:dyDescent="0.35">
      <c r="A3889" s="3">
        <v>95804269227</v>
      </c>
      <c r="B3889" s="3">
        <v>45</v>
      </c>
      <c r="C3889" s="32">
        <v>49253</v>
      </c>
      <c r="D3889" s="32" t="s">
        <v>87</v>
      </c>
      <c r="E38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0" spans="1:6" x14ac:dyDescent="0.35">
      <c r="A3890" s="3">
        <v>88996112362</v>
      </c>
      <c r="B3890" s="3">
        <v>298</v>
      </c>
      <c r="C3890" s="32">
        <v>49253</v>
      </c>
      <c r="D3890" s="32" t="s">
        <v>87</v>
      </c>
      <c r="E38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1" spans="1:6" x14ac:dyDescent="0.35">
      <c r="A3891" s="3">
        <v>44298744272</v>
      </c>
      <c r="B3891" s="3">
        <v>73</v>
      </c>
      <c r="C3891" s="32">
        <v>49253</v>
      </c>
      <c r="D3891" s="32"/>
      <c r="E38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2" spans="1:6" x14ac:dyDescent="0.35">
      <c r="A3892" s="3">
        <v>45536133650</v>
      </c>
      <c r="B3892" s="3">
        <v>122</v>
      </c>
      <c r="C3892" s="32">
        <v>49253</v>
      </c>
      <c r="D3892" s="32" t="s">
        <v>87</v>
      </c>
      <c r="E38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3" spans="1:6" x14ac:dyDescent="0.35">
      <c r="A3893" s="3">
        <v>24880520183</v>
      </c>
      <c r="B3893" s="3">
        <v>233</v>
      </c>
      <c r="C3893" s="32">
        <v>49253</v>
      </c>
      <c r="D3893" s="32"/>
      <c r="E38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4" spans="1:6" x14ac:dyDescent="0.35">
      <c r="A3894" s="3">
        <v>98471293418</v>
      </c>
      <c r="B3894" s="3">
        <v>153</v>
      </c>
      <c r="C3894" s="32">
        <v>49253</v>
      </c>
      <c r="D3894" s="32" t="s">
        <v>87</v>
      </c>
      <c r="E38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5" spans="1:6" x14ac:dyDescent="0.35">
      <c r="A3895" s="3">
        <v>82242771380</v>
      </c>
      <c r="B3895" s="3">
        <v>135</v>
      </c>
      <c r="C3895" s="32">
        <v>49253</v>
      </c>
      <c r="D3895" s="32" t="s">
        <v>87</v>
      </c>
      <c r="E38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6" spans="1:6" x14ac:dyDescent="0.35">
      <c r="A3896" s="3">
        <v>71627802683</v>
      </c>
      <c r="B3896" s="3">
        <v>259</v>
      </c>
      <c r="C3896" s="32">
        <v>49253</v>
      </c>
      <c r="D3896" s="32">
        <v>49259</v>
      </c>
      <c r="E38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897" spans="1:6" x14ac:dyDescent="0.35">
      <c r="A3897" s="3">
        <v>59491568994</v>
      </c>
      <c r="B3897" s="3">
        <v>36</v>
      </c>
      <c r="C3897" s="32">
        <v>49253</v>
      </c>
      <c r="D3897" s="32">
        <v>49256</v>
      </c>
      <c r="E38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898" spans="1:6" x14ac:dyDescent="0.35">
      <c r="A3898" s="3">
        <v>19682791251</v>
      </c>
      <c r="B3898" s="3">
        <v>133</v>
      </c>
      <c r="C3898" s="32">
        <v>49253</v>
      </c>
      <c r="D3898" s="32"/>
      <c r="E38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9" spans="1:6" x14ac:dyDescent="0.35">
      <c r="A3899" s="3">
        <v>68121327394</v>
      </c>
      <c r="B3899" s="3">
        <v>42</v>
      </c>
      <c r="C3899" s="32">
        <v>49253</v>
      </c>
      <c r="D3899" s="32" t="s">
        <v>87</v>
      </c>
      <c r="E38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0" spans="1:6" x14ac:dyDescent="0.35">
      <c r="A3900" s="3">
        <v>51946366183</v>
      </c>
      <c r="B3900" s="3">
        <v>151</v>
      </c>
      <c r="C3900" s="32">
        <v>49253</v>
      </c>
      <c r="D3900" s="32" t="s">
        <v>87</v>
      </c>
      <c r="E39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1" spans="1:6" x14ac:dyDescent="0.35">
      <c r="A3901" s="3">
        <v>12715145371</v>
      </c>
      <c r="B3901" s="3">
        <v>43</v>
      </c>
      <c r="C3901" s="32">
        <v>49253</v>
      </c>
      <c r="D3901" s="32" t="s">
        <v>87</v>
      </c>
      <c r="E39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2" spans="1:6" x14ac:dyDescent="0.35">
      <c r="A3902" s="3">
        <v>69442374568</v>
      </c>
      <c r="B3902" s="3">
        <v>173</v>
      </c>
      <c r="C3902" s="32">
        <v>49253</v>
      </c>
      <c r="D3902" s="32">
        <v>49317</v>
      </c>
      <c r="E39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03" spans="1:6" x14ac:dyDescent="0.35">
      <c r="A3903" s="3">
        <v>81307326156</v>
      </c>
      <c r="B3903" s="3">
        <v>58</v>
      </c>
      <c r="C3903" s="32">
        <v>49253</v>
      </c>
      <c r="D3903" s="32" t="s">
        <v>87</v>
      </c>
      <c r="E39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4" spans="1:6" x14ac:dyDescent="0.35">
      <c r="A3904" s="3">
        <v>86272797966</v>
      </c>
      <c r="B3904" s="3">
        <v>88</v>
      </c>
      <c r="C3904" s="32">
        <v>49253</v>
      </c>
      <c r="D3904" s="32" t="s">
        <v>87</v>
      </c>
      <c r="E39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5" spans="1:6" x14ac:dyDescent="0.35">
      <c r="A3905" s="3">
        <v>44386982453</v>
      </c>
      <c r="B3905" s="3">
        <v>337</v>
      </c>
      <c r="C3905" s="32">
        <v>49253</v>
      </c>
      <c r="D3905" s="32" t="s">
        <v>87</v>
      </c>
      <c r="E39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6" spans="1:6" x14ac:dyDescent="0.35">
      <c r="A3906" s="3">
        <v>28015252492</v>
      </c>
      <c r="B3906" s="3">
        <v>163</v>
      </c>
      <c r="C3906" s="32">
        <v>49253</v>
      </c>
      <c r="D3906" s="32" t="s">
        <v>87</v>
      </c>
      <c r="E39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7" spans="1:6" x14ac:dyDescent="0.35">
      <c r="A3907" s="3">
        <v>53019104778</v>
      </c>
      <c r="B3907" s="3">
        <v>213</v>
      </c>
      <c r="C3907" s="32">
        <v>49253</v>
      </c>
      <c r="D3907" s="32">
        <v>49345</v>
      </c>
      <c r="E39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908" spans="1:6" x14ac:dyDescent="0.35">
      <c r="A3908" s="3">
        <v>20978596617</v>
      </c>
      <c r="B3908" s="3">
        <v>282</v>
      </c>
      <c r="C3908" s="32">
        <v>49253</v>
      </c>
      <c r="D3908" s="32">
        <v>49322</v>
      </c>
      <c r="E39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09" spans="1:6" x14ac:dyDescent="0.35">
      <c r="A3909" s="3">
        <v>66047257288</v>
      </c>
      <c r="B3909" s="3">
        <v>286</v>
      </c>
      <c r="C3909" s="32">
        <v>49253</v>
      </c>
      <c r="D3909" s="32" t="s">
        <v>87</v>
      </c>
      <c r="E39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0" spans="1:6" x14ac:dyDescent="0.35">
      <c r="A3910" s="3">
        <v>34549940014</v>
      </c>
      <c r="B3910" s="3">
        <v>135</v>
      </c>
      <c r="C3910" s="32">
        <v>49254</v>
      </c>
      <c r="D3910" s="32" t="s">
        <v>87</v>
      </c>
      <c r="E39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1" spans="1:6" x14ac:dyDescent="0.35">
      <c r="A3911" s="3">
        <v>20763138714</v>
      </c>
      <c r="B3911" s="3">
        <v>60</v>
      </c>
      <c r="C3911" s="32">
        <v>49254</v>
      </c>
      <c r="D3911" s="32" t="s">
        <v>87</v>
      </c>
      <c r="E39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2" spans="1:6" x14ac:dyDescent="0.35">
      <c r="A3912" s="3">
        <v>73677344695</v>
      </c>
      <c r="B3912" s="3">
        <v>201</v>
      </c>
      <c r="C3912" s="32">
        <v>49254</v>
      </c>
      <c r="D3912" s="32" t="s">
        <v>87</v>
      </c>
      <c r="E39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3" spans="1:6" x14ac:dyDescent="0.35">
      <c r="A3913" s="3">
        <v>99378616762</v>
      </c>
      <c r="B3913" s="3">
        <v>216</v>
      </c>
      <c r="C3913" s="32">
        <v>49254</v>
      </c>
      <c r="D3913" s="32"/>
      <c r="E39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4" spans="1:6" x14ac:dyDescent="0.35">
      <c r="A3914" s="3">
        <v>90777050133</v>
      </c>
      <c r="B3914" s="3">
        <v>213</v>
      </c>
      <c r="C3914" s="32">
        <v>49254</v>
      </c>
      <c r="D3914" s="32"/>
      <c r="E39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5" spans="1:6" x14ac:dyDescent="0.35">
      <c r="A3915" s="3">
        <v>41325742931</v>
      </c>
      <c r="B3915" s="3">
        <v>89</v>
      </c>
      <c r="C3915" s="32">
        <v>49254</v>
      </c>
      <c r="D3915" s="32" t="s">
        <v>87</v>
      </c>
      <c r="E39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6" spans="1:6" x14ac:dyDescent="0.35">
      <c r="A3916" s="3">
        <v>21615659434</v>
      </c>
      <c r="B3916" s="3">
        <v>159</v>
      </c>
      <c r="C3916" s="32">
        <v>49254</v>
      </c>
      <c r="D3916" s="32" t="s">
        <v>87</v>
      </c>
      <c r="E39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7" spans="1:6" x14ac:dyDescent="0.35">
      <c r="A3917" s="3">
        <v>39918304005</v>
      </c>
      <c r="B3917" s="3">
        <v>173</v>
      </c>
      <c r="C3917" s="32">
        <v>49254</v>
      </c>
      <c r="D3917" s="32">
        <v>49326</v>
      </c>
      <c r="E39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18" spans="1:6" x14ac:dyDescent="0.35">
      <c r="A3918" s="3">
        <v>77356193644</v>
      </c>
      <c r="B3918" s="3">
        <v>153</v>
      </c>
      <c r="C3918" s="32">
        <v>49254</v>
      </c>
      <c r="D3918" s="32" t="s">
        <v>87</v>
      </c>
      <c r="E39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9" spans="1:6" x14ac:dyDescent="0.35">
      <c r="A3919" s="3">
        <v>95876768548</v>
      </c>
      <c r="B3919" s="3">
        <v>22</v>
      </c>
      <c r="C3919" s="32">
        <v>49254</v>
      </c>
      <c r="D3919" s="32"/>
      <c r="E39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0" spans="1:6" x14ac:dyDescent="0.35">
      <c r="A3920" s="3">
        <v>62531427656</v>
      </c>
      <c r="B3920" s="3">
        <v>155</v>
      </c>
      <c r="C3920" s="32">
        <v>49254</v>
      </c>
      <c r="D3920" s="32" t="s">
        <v>87</v>
      </c>
      <c r="E39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1" spans="1:6" x14ac:dyDescent="0.35">
      <c r="A3921" s="3">
        <v>42957247148</v>
      </c>
      <c r="B3921" s="3">
        <v>180</v>
      </c>
      <c r="C3921" s="32">
        <v>49254</v>
      </c>
      <c r="D3921" s="32" t="s">
        <v>87</v>
      </c>
      <c r="E39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2" spans="1:6" x14ac:dyDescent="0.35">
      <c r="A3922" s="3">
        <v>53934629853</v>
      </c>
      <c r="B3922" s="3">
        <v>233</v>
      </c>
      <c r="C3922" s="32">
        <v>49254</v>
      </c>
      <c r="D3922" s="32" t="s">
        <v>87</v>
      </c>
      <c r="E39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3" spans="1:6" x14ac:dyDescent="0.35">
      <c r="A3923" s="3">
        <v>23769439023</v>
      </c>
      <c r="B3923" s="3">
        <v>91</v>
      </c>
      <c r="C3923" s="32">
        <v>49254</v>
      </c>
      <c r="D3923" s="32" t="s">
        <v>87</v>
      </c>
      <c r="E39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4" spans="1:6" x14ac:dyDescent="0.35">
      <c r="A3924" s="3">
        <v>29830549842</v>
      </c>
      <c r="B3924" s="3">
        <v>273</v>
      </c>
      <c r="C3924" s="32">
        <v>49254</v>
      </c>
      <c r="D3924" s="32" t="s">
        <v>87</v>
      </c>
      <c r="E39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5" spans="1:6" x14ac:dyDescent="0.35">
      <c r="A3925" s="3">
        <v>38848130458</v>
      </c>
      <c r="B3925" s="3">
        <v>296</v>
      </c>
      <c r="C3925" s="32">
        <v>49254</v>
      </c>
      <c r="D3925" s="32">
        <v>49264</v>
      </c>
      <c r="E39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926" spans="1:6" x14ac:dyDescent="0.35">
      <c r="A3926" s="3">
        <v>91925941326</v>
      </c>
      <c r="B3926" s="3">
        <v>153</v>
      </c>
      <c r="C3926" s="32">
        <v>49254</v>
      </c>
      <c r="D3926" s="32" t="s">
        <v>87</v>
      </c>
      <c r="E39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7" spans="1:6" x14ac:dyDescent="0.35">
      <c r="A3927" s="3">
        <v>15997489135</v>
      </c>
      <c r="B3927" s="3">
        <v>220</v>
      </c>
      <c r="C3927" s="32">
        <v>49254</v>
      </c>
      <c r="D3927" s="32"/>
      <c r="E39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8" spans="1:6" x14ac:dyDescent="0.35">
      <c r="A3928" s="3">
        <v>66389979411</v>
      </c>
      <c r="B3928" s="3">
        <v>200</v>
      </c>
      <c r="C3928" s="32">
        <v>49254</v>
      </c>
      <c r="D3928" s="32" t="s">
        <v>87</v>
      </c>
      <c r="E39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9" spans="1:6" x14ac:dyDescent="0.35">
      <c r="A3929" s="3">
        <v>45345419789</v>
      </c>
      <c r="B3929" s="3">
        <v>58</v>
      </c>
      <c r="C3929" s="32">
        <v>49254</v>
      </c>
      <c r="D3929" s="32" t="s">
        <v>87</v>
      </c>
      <c r="E39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0" spans="1:6" x14ac:dyDescent="0.35">
      <c r="A3930" s="3">
        <v>54621370905</v>
      </c>
      <c r="B3930" s="3">
        <v>225</v>
      </c>
      <c r="C3930" s="32">
        <v>49254</v>
      </c>
      <c r="D3930" s="32">
        <v>49366</v>
      </c>
      <c r="E39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931" spans="1:6" x14ac:dyDescent="0.35">
      <c r="A3931" s="3">
        <v>92711010190</v>
      </c>
      <c r="B3931" s="3">
        <v>224</v>
      </c>
      <c r="C3931" s="32">
        <v>49255</v>
      </c>
      <c r="D3931" s="32"/>
      <c r="E39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2" spans="1:6" x14ac:dyDescent="0.35">
      <c r="A3932" s="3">
        <v>35658223131</v>
      </c>
      <c r="B3932" s="3">
        <v>50</v>
      </c>
      <c r="C3932" s="32">
        <v>49255</v>
      </c>
      <c r="D3932" s="32"/>
      <c r="E39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3" spans="1:6" x14ac:dyDescent="0.35">
      <c r="A3933" s="3">
        <v>30994756535</v>
      </c>
      <c r="B3933" s="3">
        <v>59</v>
      </c>
      <c r="C3933" s="32">
        <v>49255</v>
      </c>
      <c r="D3933" s="32" t="s">
        <v>87</v>
      </c>
      <c r="E39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4" spans="1:6" x14ac:dyDescent="0.35">
      <c r="A3934" s="3">
        <v>98568779959</v>
      </c>
      <c r="B3934" s="3">
        <v>303</v>
      </c>
      <c r="C3934" s="32">
        <v>49255</v>
      </c>
      <c r="D3934" s="32">
        <v>49346</v>
      </c>
      <c r="E39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935" spans="1:6" x14ac:dyDescent="0.35">
      <c r="A3935" s="3">
        <v>89399866761</v>
      </c>
      <c r="B3935" s="3">
        <v>220</v>
      </c>
      <c r="C3935" s="32">
        <v>49255</v>
      </c>
      <c r="D3935" s="32" t="s">
        <v>87</v>
      </c>
      <c r="E39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6" spans="1:6" x14ac:dyDescent="0.35">
      <c r="A3936" s="3">
        <v>83081215816</v>
      </c>
      <c r="B3936" s="3">
        <v>135</v>
      </c>
      <c r="C3936" s="32">
        <v>49255</v>
      </c>
      <c r="D3936" s="32" t="s">
        <v>87</v>
      </c>
      <c r="E39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7" spans="1:6" x14ac:dyDescent="0.35">
      <c r="A3937" s="3">
        <v>13784945725</v>
      </c>
      <c r="B3937" s="3">
        <v>168</v>
      </c>
      <c r="C3937" s="32">
        <v>49255</v>
      </c>
      <c r="D3937" s="32" t="s">
        <v>87</v>
      </c>
      <c r="E39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8" spans="1:6" x14ac:dyDescent="0.35">
      <c r="A3938" s="3">
        <v>99865330200</v>
      </c>
      <c r="B3938" s="3">
        <v>124</v>
      </c>
      <c r="C3938" s="32">
        <v>49255</v>
      </c>
      <c r="D3938" s="32">
        <v>49268</v>
      </c>
      <c r="E39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939" spans="1:6" x14ac:dyDescent="0.35">
      <c r="A3939" s="3">
        <v>42021486300</v>
      </c>
      <c r="B3939" s="3">
        <v>320</v>
      </c>
      <c r="C3939" s="32">
        <v>49255</v>
      </c>
      <c r="D3939" s="32">
        <v>49279</v>
      </c>
      <c r="E39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940" spans="1:6" x14ac:dyDescent="0.35">
      <c r="A3940" s="3">
        <v>96855774955</v>
      </c>
      <c r="B3940" s="3">
        <v>110</v>
      </c>
      <c r="C3940" s="32">
        <v>49255</v>
      </c>
      <c r="D3940" s="32">
        <v>49266</v>
      </c>
      <c r="E39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941" spans="1:6" x14ac:dyDescent="0.35">
      <c r="A3941" s="3">
        <v>54457161116</v>
      </c>
      <c r="B3941" s="3">
        <v>299</v>
      </c>
      <c r="C3941" s="32">
        <v>49255</v>
      </c>
      <c r="D3941" s="32" t="s">
        <v>87</v>
      </c>
      <c r="E39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2" spans="1:6" x14ac:dyDescent="0.35">
      <c r="A3942" s="3">
        <v>81948373860</v>
      </c>
      <c r="B3942" s="3">
        <v>141</v>
      </c>
      <c r="C3942" s="32">
        <v>49255</v>
      </c>
      <c r="D3942" s="32" t="s">
        <v>87</v>
      </c>
      <c r="E39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3" spans="1:6" x14ac:dyDescent="0.35">
      <c r="A3943" s="3">
        <v>85556855136</v>
      </c>
      <c r="B3943" s="3">
        <v>6</v>
      </c>
      <c r="C3943" s="32">
        <v>49255</v>
      </c>
      <c r="D3943" s="32" t="s">
        <v>87</v>
      </c>
      <c r="E39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4" spans="1:6" x14ac:dyDescent="0.35">
      <c r="A3944" s="3">
        <v>57071622182</v>
      </c>
      <c r="B3944" s="3">
        <v>97</v>
      </c>
      <c r="C3944" s="32">
        <v>49255</v>
      </c>
      <c r="D3944" s="32" t="s">
        <v>87</v>
      </c>
      <c r="E39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5" spans="1:6" x14ac:dyDescent="0.35">
      <c r="A3945" s="3">
        <v>58626026337</v>
      </c>
      <c r="B3945" s="3">
        <v>229</v>
      </c>
      <c r="C3945" s="32">
        <v>49255</v>
      </c>
      <c r="D3945" s="32" t="s">
        <v>87</v>
      </c>
      <c r="E39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6" spans="1:6" x14ac:dyDescent="0.35">
      <c r="A3946" s="3">
        <v>23895472816</v>
      </c>
      <c r="B3946" s="3">
        <v>29</v>
      </c>
      <c r="C3946" s="32">
        <v>49255</v>
      </c>
      <c r="D3946" s="32" t="s">
        <v>87</v>
      </c>
      <c r="E39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7" spans="1:6" x14ac:dyDescent="0.35">
      <c r="A3947" s="3">
        <v>88916340752</v>
      </c>
      <c r="B3947" s="3">
        <v>16</v>
      </c>
      <c r="C3947" s="32">
        <v>49255</v>
      </c>
      <c r="D3947" s="32" t="s">
        <v>87</v>
      </c>
      <c r="E39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8" spans="1:6" x14ac:dyDescent="0.35">
      <c r="A3948" s="3">
        <v>33962193213</v>
      </c>
      <c r="B3948" s="3">
        <v>163</v>
      </c>
      <c r="C3948" s="32">
        <v>49255</v>
      </c>
      <c r="D3948" s="32"/>
      <c r="E39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9" spans="1:6" x14ac:dyDescent="0.35">
      <c r="A3949" s="3">
        <v>51278801845</v>
      </c>
      <c r="B3949" s="3">
        <v>196</v>
      </c>
      <c r="C3949" s="32">
        <v>49255</v>
      </c>
      <c r="D3949" s="32"/>
      <c r="E39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0" spans="1:6" x14ac:dyDescent="0.35">
      <c r="A3950" s="3">
        <v>23963775829</v>
      </c>
      <c r="B3950" s="3">
        <v>307</v>
      </c>
      <c r="C3950" s="32">
        <v>49255</v>
      </c>
      <c r="D3950" s="32" t="s">
        <v>87</v>
      </c>
      <c r="E39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1" spans="1:6" x14ac:dyDescent="0.35">
      <c r="A3951" s="3">
        <v>70529744093</v>
      </c>
      <c r="B3951" s="3">
        <v>257</v>
      </c>
      <c r="C3951" s="32">
        <v>49255</v>
      </c>
      <c r="D3951" s="32" t="s">
        <v>87</v>
      </c>
      <c r="E39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2" spans="1:6" x14ac:dyDescent="0.35">
      <c r="A3952" s="3">
        <v>18986497979</v>
      </c>
      <c r="B3952" s="3">
        <v>202</v>
      </c>
      <c r="C3952" s="32">
        <v>49255</v>
      </c>
      <c r="D3952" s="32" t="s">
        <v>87</v>
      </c>
      <c r="E39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3" spans="1:6" x14ac:dyDescent="0.35">
      <c r="A3953" s="3">
        <v>83307987628</v>
      </c>
      <c r="B3953" s="3">
        <v>197</v>
      </c>
      <c r="C3953" s="32">
        <v>49256</v>
      </c>
      <c r="D3953" s="32"/>
      <c r="E39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4" spans="1:6" x14ac:dyDescent="0.35">
      <c r="A3954" s="3">
        <v>74955025223</v>
      </c>
      <c r="B3954" s="3">
        <v>132</v>
      </c>
      <c r="C3954" s="32">
        <v>49256</v>
      </c>
      <c r="D3954" s="32">
        <v>49302</v>
      </c>
      <c r="E39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955" spans="1:6" x14ac:dyDescent="0.35">
      <c r="A3955" s="3">
        <v>57200473598</v>
      </c>
      <c r="B3955" s="3">
        <v>173</v>
      </c>
      <c r="C3955" s="32">
        <v>49256</v>
      </c>
      <c r="D3955" s="32">
        <v>49293</v>
      </c>
      <c r="E39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956" spans="1:6" x14ac:dyDescent="0.35">
      <c r="A3956" s="3">
        <v>15069494571</v>
      </c>
      <c r="B3956" s="3">
        <v>136</v>
      </c>
      <c r="C3956" s="32">
        <v>49256</v>
      </c>
      <c r="D3956" s="32">
        <v>49339</v>
      </c>
      <c r="E39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57" spans="1:6" x14ac:dyDescent="0.35">
      <c r="A3957" s="3">
        <v>57919193352</v>
      </c>
      <c r="B3957" s="3">
        <v>25</v>
      </c>
      <c r="C3957" s="32">
        <v>49256</v>
      </c>
      <c r="D3957" s="32" t="s">
        <v>87</v>
      </c>
      <c r="E39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8" spans="1:6" x14ac:dyDescent="0.35">
      <c r="A3958" s="3">
        <v>21474586374</v>
      </c>
      <c r="B3958" s="3">
        <v>11</v>
      </c>
      <c r="C3958" s="32">
        <v>49256</v>
      </c>
      <c r="D3958" s="32" t="s">
        <v>87</v>
      </c>
      <c r="E39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9" spans="1:6" x14ac:dyDescent="0.35">
      <c r="A3959" s="3">
        <v>42142804779</v>
      </c>
      <c r="B3959" s="3">
        <v>87</v>
      </c>
      <c r="C3959" s="32">
        <v>49256</v>
      </c>
      <c r="D3959" s="32">
        <v>49268</v>
      </c>
      <c r="E39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960" spans="1:6" x14ac:dyDescent="0.35">
      <c r="A3960" s="3">
        <v>31711479332</v>
      </c>
      <c r="B3960" s="3">
        <v>66</v>
      </c>
      <c r="C3960" s="32">
        <v>49256</v>
      </c>
      <c r="D3960" s="32" t="s">
        <v>87</v>
      </c>
      <c r="E39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1" spans="1:6" x14ac:dyDescent="0.35">
      <c r="A3961" s="3">
        <v>54987182870</v>
      </c>
      <c r="B3961" s="3">
        <v>129</v>
      </c>
      <c r="C3961" s="32">
        <v>49256</v>
      </c>
      <c r="D3961" s="32" t="s">
        <v>87</v>
      </c>
      <c r="E39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2" spans="1:6" x14ac:dyDescent="0.35">
      <c r="A3962" s="3">
        <v>45178526704</v>
      </c>
      <c r="B3962" s="3">
        <v>60</v>
      </c>
      <c r="C3962" s="32">
        <v>49256</v>
      </c>
      <c r="D3962" s="32"/>
      <c r="E39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3" spans="1:6" x14ac:dyDescent="0.35">
      <c r="A3963" s="3">
        <v>29980664418</v>
      </c>
      <c r="B3963" s="3">
        <v>201</v>
      </c>
      <c r="C3963" s="32">
        <v>49256</v>
      </c>
      <c r="D3963" s="32" t="s">
        <v>87</v>
      </c>
      <c r="E39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4" spans="1:6" x14ac:dyDescent="0.35">
      <c r="A3964" s="3">
        <v>80974750061</v>
      </c>
      <c r="B3964" s="3">
        <v>302</v>
      </c>
      <c r="C3964" s="32">
        <v>49256</v>
      </c>
      <c r="D3964" s="32"/>
      <c r="E39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5" spans="1:6" x14ac:dyDescent="0.35">
      <c r="A3965" s="3">
        <v>37802804867</v>
      </c>
      <c r="B3965" s="3">
        <v>305</v>
      </c>
      <c r="C3965" s="32">
        <v>49256</v>
      </c>
      <c r="D3965" s="32" t="s">
        <v>87</v>
      </c>
      <c r="E39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6" spans="1:6" x14ac:dyDescent="0.35">
      <c r="A3966" s="3">
        <v>82255561143</v>
      </c>
      <c r="B3966" s="3">
        <v>215</v>
      </c>
      <c r="C3966" s="32">
        <v>49256</v>
      </c>
      <c r="D3966" s="32" t="s">
        <v>87</v>
      </c>
      <c r="E39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7" spans="1:6" x14ac:dyDescent="0.35">
      <c r="A3967" s="3">
        <v>76122268021</v>
      </c>
      <c r="B3967" s="3">
        <v>229</v>
      </c>
      <c r="C3967" s="32">
        <v>49256</v>
      </c>
      <c r="D3967" s="32" t="s">
        <v>87</v>
      </c>
      <c r="E39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8" spans="1:6" x14ac:dyDescent="0.35">
      <c r="A3968" s="3">
        <v>81260954979</v>
      </c>
      <c r="B3968" s="3">
        <v>202</v>
      </c>
      <c r="C3968" s="32">
        <v>49256</v>
      </c>
      <c r="D3968" s="32">
        <v>49308</v>
      </c>
      <c r="E39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969" spans="1:6" x14ac:dyDescent="0.35">
      <c r="A3969" s="3">
        <v>12148870867</v>
      </c>
      <c r="B3969" s="3">
        <v>33</v>
      </c>
      <c r="C3969" s="32">
        <v>49256</v>
      </c>
      <c r="D3969" s="32" t="s">
        <v>87</v>
      </c>
      <c r="E39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70" spans="1:6" x14ac:dyDescent="0.35">
      <c r="A3970" s="3">
        <v>26174536206</v>
      </c>
      <c r="B3970" s="3">
        <v>336</v>
      </c>
      <c r="C3970" s="32">
        <v>49256</v>
      </c>
      <c r="D3970" s="32">
        <v>49290</v>
      </c>
      <c r="E39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971" spans="1:6" x14ac:dyDescent="0.35">
      <c r="A3971" s="3">
        <v>37182409851</v>
      </c>
      <c r="B3971" s="3">
        <v>232</v>
      </c>
      <c r="C3971" s="32">
        <v>49256</v>
      </c>
      <c r="D3971" s="32">
        <v>49305</v>
      </c>
      <c r="E39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972" spans="1:6" x14ac:dyDescent="0.35">
      <c r="A3972" s="3">
        <v>15626844095</v>
      </c>
      <c r="B3972" s="3">
        <v>69</v>
      </c>
      <c r="C3972" s="32">
        <v>49256</v>
      </c>
      <c r="D3972" s="32">
        <v>49359</v>
      </c>
      <c r="E39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973" spans="1:6" x14ac:dyDescent="0.35">
      <c r="A3973" s="3">
        <v>89152148352</v>
      </c>
      <c r="B3973" s="3">
        <v>327</v>
      </c>
      <c r="C3973" s="32">
        <v>49256</v>
      </c>
      <c r="D3973" s="32">
        <v>49325</v>
      </c>
      <c r="E39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74" spans="1:6" x14ac:dyDescent="0.35">
      <c r="A3974" s="3">
        <v>18147186615</v>
      </c>
      <c r="B3974" s="3">
        <v>124</v>
      </c>
      <c r="C3974" s="32">
        <v>49256</v>
      </c>
      <c r="D3974" s="32"/>
      <c r="E39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75" spans="1:6" x14ac:dyDescent="0.35">
      <c r="A3975" s="3">
        <v>11229144291</v>
      </c>
      <c r="B3975" s="3">
        <v>192</v>
      </c>
      <c r="C3975" s="32">
        <v>49256</v>
      </c>
      <c r="D3975" s="32" t="s">
        <v>87</v>
      </c>
      <c r="E39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76" spans="1:6" x14ac:dyDescent="0.35">
      <c r="A3976" s="3">
        <v>62390546236</v>
      </c>
      <c r="B3976" s="3">
        <v>170</v>
      </c>
      <c r="C3976" s="32">
        <v>49256</v>
      </c>
      <c r="D3976" s="32" t="s">
        <v>87</v>
      </c>
      <c r="E39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77" spans="1:6" x14ac:dyDescent="0.35">
      <c r="A3977" s="3">
        <v>76713057313</v>
      </c>
      <c r="B3977" s="3">
        <v>326</v>
      </c>
      <c r="C3977" s="32">
        <v>49256</v>
      </c>
      <c r="D3977" s="32" t="s">
        <v>87</v>
      </c>
      <c r="E39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78" spans="1:6" x14ac:dyDescent="0.35">
      <c r="A3978" s="3">
        <v>14573751143</v>
      </c>
      <c r="B3978" s="3">
        <v>153</v>
      </c>
      <c r="C3978" s="32">
        <v>49256</v>
      </c>
      <c r="D3978" s="32">
        <v>49314</v>
      </c>
      <c r="E39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79" spans="1:6" x14ac:dyDescent="0.35">
      <c r="A3979" s="3">
        <v>63622225922</v>
      </c>
      <c r="B3979" s="3">
        <v>281</v>
      </c>
      <c r="C3979" s="32">
        <v>49256</v>
      </c>
      <c r="D3979" s="32" t="s">
        <v>87</v>
      </c>
      <c r="E39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0" spans="1:6" x14ac:dyDescent="0.35">
      <c r="A3980" s="3">
        <v>57221242212</v>
      </c>
      <c r="B3980" s="3">
        <v>61</v>
      </c>
      <c r="C3980" s="32">
        <v>49256</v>
      </c>
      <c r="D3980" s="32" t="s">
        <v>87</v>
      </c>
      <c r="E39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1" spans="1:6" x14ac:dyDescent="0.35">
      <c r="A3981" s="3">
        <v>88359318823</v>
      </c>
      <c r="B3981" s="3">
        <v>70</v>
      </c>
      <c r="C3981" s="32">
        <v>49256</v>
      </c>
      <c r="D3981" s="32" t="s">
        <v>87</v>
      </c>
      <c r="E39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2" spans="1:6" x14ac:dyDescent="0.35">
      <c r="A3982" s="3">
        <v>61779693557</v>
      </c>
      <c r="B3982" s="3">
        <v>227</v>
      </c>
      <c r="C3982" s="32">
        <v>49256</v>
      </c>
      <c r="D3982" s="32" t="s">
        <v>87</v>
      </c>
      <c r="E39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3" spans="1:6" x14ac:dyDescent="0.35">
      <c r="A3983" s="3">
        <v>92641164721</v>
      </c>
      <c r="B3983" s="3">
        <v>177</v>
      </c>
      <c r="C3983" s="32">
        <v>49256</v>
      </c>
      <c r="D3983" s="32" t="s">
        <v>87</v>
      </c>
      <c r="E39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4" spans="1:6" x14ac:dyDescent="0.35">
      <c r="A3984" s="3">
        <v>86870957496</v>
      </c>
      <c r="B3984" s="3">
        <v>287</v>
      </c>
      <c r="C3984" s="32">
        <v>49256</v>
      </c>
      <c r="D3984" s="32" t="s">
        <v>87</v>
      </c>
      <c r="E39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5" spans="1:6" x14ac:dyDescent="0.35">
      <c r="A3985" s="3">
        <v>61101310262</v>
      </c>
      <c r="B3985" s="3">
        <v>130</v>
      </c>
      <c r="C3985" s="32">
        <v>49256</v>
      </c>
      <c r="D3985" s="32" t="s">
        <v>87</v>
      </c>
      <c r="E39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6" spans="1:6" x14ac:dyDescent="0.35">
      <c r="A3986" s="3">
        <v>39695531837</v>
      </c>
      <c r="B3986" s="3">
        <v>150</v>
      </c>
      <c r="C3986" s="32">
        <v>49256</v>
      </c>
      <c r="D3986" s="32" t="s">
        <v>87</v>
      </c>
      <c r="E39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7" spans="1:6" x14ac:dyDescent="0.35">
      <c r="A3987" s="3">
        <v>61010450180</v>
      </c>
      <c r="B3987" s="3">
        <v>292</v>
      </c>
      <c r="C3987" s="32">
        <v>49257</v>
      </c>
      <c r="D3987" s="32" t="s">
        <v>87</v>
      </c>
      <c r="E39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8" spans="1:6" x14ac:dyDescent="0.35">
      <c r="A3988" s="3">
        <v>61905971105</v>
      </c>
      <c r="B3988" s="3">
        <v>278</v>
      </c>
      <c r="C3988" s="32">
        <v>49257</v>
      </c>
      <c r="D3988" s="32" t="s">
        <v>87</v>
      </c>
      <c r="E39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9" spans="1:6" x14ac:dyDescent="0.35">
      <c r="A3989" s="3">
        <v>75898149397</v>
      </c>
      <c r="B3989" s="3">
        <v>193</v>
      </c>
      <c r="C3989" s="32">
        <v>49257</v>
      </c>
      <c r="D3989" s="32" t="s">
        <v>87</v>
      </c>
      <c r="E39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0" spans="1:6" x14ac:dyDescent="0.35">
      <c r="A3990" s="3">
        <v>42190018356</v>
      </c>
      <c r="B3990" s="3">
        <v>168</v>
      </c>
      <c r="C3990" s="32">
        <v>49257</v>
      </c>
      <c r="D3990" s="32" t="s">
        <v>87</v>
      </c>
      <c r="E39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1" spans="1:6" x14ac:dyDescent="0.35">
      <c r="A3991" s="3">
        <v>94225887736</v>
      </c>
      <c r="B3991" s="3">
        <v>337</v>
      </c>
      <c r="C3991" s="32">
        <v>49257</v>
      </c>
      <c r="D3991" s="32">
        <v>49315</v>
      </c>
      <c r="E39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92" spans="1:6" x14ac:dyDescent="0.35">
      <c r="A3992" s="3">
        <v>31677466991</v>
      </c>
      <c r="B3992" s="3">
        <v>132</v>
      </c>
      <c r="C3992" s="32">
        <v>49257</v>
      </c>
      <c r="D3992" s="32" t="s">
        <v>87</v>
      </c>
      <c r="E39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3" spans="1:6" x14ac:dyDescent="0.35">
      <c r="A3993" s="3">
        <v>39308488120</v>
      </c>
      <c r="B3993" s="3">
        <v>239</v>
      </c>
      <c r="C3993" s="32">
        <v>49257</v>
      </c>
      <c r="D3993" s="32" t="s">
        <v>87</v>
      </c>
      <c r="E39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4" spans="1:6" x14ac:dyDescent="0.35">
      <c r="A3994" s="3">
        <v>96372203090</v>
      </c>
      <c r="B3994" s="3">
        <v>23</v>
      </c>
      <c r="C3994" s="32">
        <v>49257</v>
      </c>
      <c r="D3994" s="32" t="s">
        <v>87</v>
      </c>
      <c r="E39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5" spans="1:6" x14ac:dyDescent="0.35">
      <c r="A3995" s="3">
        <v>71478085824</v>
      </c>
      <c r="B3995" s="3">
        <v>251</v>
      </c>
      <c r="C3995" s="32">
        <v>49257</v>
      </c>
      <c r="D3995" s="32" t="s">
        <v>87</v>
      </c>
      <c r="E39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6" spans="1:6" x14ac:dyDescent="0.35">
      <c r="A3996" s="3">
        <v>93711123446</v>
      </c>
      <c r="B3996" s="3">
        <v>63</v>
      </c>
      <c r="C3996" s="32">
        <v>49257</v>
      </c>
      <c r="D3996" s="32" t="s">
        <v>87</v>
      </c>
      <c r="E39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7" spans="1:6" x14ac:dyDescent="0.35">
      <c r="A3997" s="3">
        <v>62924783085</v>
      </c>
      <c r="B3997" s="3">
        <v>293</v>
      </c>
      <c r="C3997" s="32">
        <v>49257</v>
      </c>
      <c r="D3997" s="32" t="s">
        <v>87</v>
      </c>
      <c r="E39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8" spans="1:6" x14ac:dyDescent="0.35">
      <c r="A3998" s="3">
        <v>40799041043</v>
      </c>
      <c r="B3998" s="3">
        <v>165</v>
      </c>
      <c r="C3998" s="32">
        <v>49257</v>
      </c>
      <c r="D3998" s="32"/>
      <c r="E39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9" spans="1:6" x14ac:dyDescent="0.35">
      <c r="A3999" s="3">
        <v>70445595826</v>
      </c>
      <c r="B3999" s="3">
        <v>143</v>
      </c>
      <c r="C3999" s="32">
        <v>49257</v>
      </c>
      <c r="D3999" s="32"/>
      <c r="E39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0" spans="1:6" x14ac:dyDescent="0.35">
      <c r="A4000" s="3">
        <v>56938162943</v>
      </c>
      <c r="B4000" s="3">
        <v>200</v>
      </c>
      <c r="C4000" s="32">
        <v>49257</v>
      </c>
      <c r="D4000" s="32" t="s">
        <v>87</v>
      </c>
      <c r="E40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1" spans="1:6" x14ac:dyDescent="0.35">
      <c r="A4001" s="3">
        <v>25188148464</v>
      </c>
      <c r="B4001" s="3">
        <v>167</v>
      </c>
      <c r="C4001" s="32">
        <v>49257</v>
      </c>
      <c r="D4001" s="32" t="s">
        <v>87</v>
      </c>
      <c r="E40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2" spans="1:6" x14ac:dyDescent="0.35">
      <c r="A4002" s="3">
        <v>48834921734</v>
      </c>
      <c r="B4002" s="3">
        <v>129</v>
      </c>
      <c r="C4002" s="32">
        <v>49257</v>
      </c>
      <c r="D4002" s="32">
        <v>49314</v>
      </c>
      <c r="E40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03" spans="1:6" x14ac:dyDescent="0.35">
      <c r="A4003" s="3">
        <v>81805794905</v>
      </c>
      <c r="B4003" s="3">
        <v>7</v>
      </c>
      <c r="C4003" s="32">
        <v>49257</v>
      </c>
      <c r="D4003" s="32" t="s">
        <v>87</v>
      </c>
      <c r="E40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4" spans="1:6" x14ac:dyDescent="0.35">
      <c r="A4004" s="3">
        <v>84702259066</v>
      </c>
      <c r="B4004" s="3">
        <v>78</v>
      </c>
      <c r="C4004" s="32">
        <v>49257</v>
      </c>
      <c r="D4004" s="32" t="s">
        <v>87</v>
      </c>
      <c r="E40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5" spans="1:6" x14ac:dyDescent="0.35">
      <c r="A4005" s="3">
        <v>68088856820</v>
      </c>
      <c r="B4005" s="3">
        <v>195</v>
      </c>
      <c r="C4005" s="32">
        <v>49257</v>
      </c>
      <c r="D4005" s="32" t="s">
        <v>87</v>
      </c>
      <c r="E40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6" spans="1:6" x14ac:dyDescent="0.35">
      <c r="A4006" s="3">
        <v>61354385873</v>
      </c>
      <c r="B4006" s="3">
        <v>119</v>
      </c>
      <c r="C4006" s="32">
        <v>49258</v>
      </c>
      <c r="D4006" s="32">
        <v>49296</v>
      </c>
      <c r="E40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07" spans="1:6" x14ac:dyDescent="0.35">
      <c r="A4007" s="3">
        <v>85355237694</v>
      </c>
      <c r="B4007" s="3">
        <v>168</v>
      </c>
      <c r="C4007" s="32">
        <v>49258</v>
      </c>
      <c r="D4007" s="32"/>
      <c r="E40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8" spans="1:6" x14ac:dyDescent="0.35">
      <c r="A4008" s="3">
        <v>59458673745</v>
      </c>
      <c r="B4008" s="3">
        <v>69</v>
      </c>
      <c r="C4008" s="32">
        <v>49258</v>
      </c>
      <c r="D4008" s="32">
        <v>49342</v>
      </c>
      <c r="E40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09" spans="1:6" x14ac:dyDescent="0.35">
      <c r="A4009" s="3">
        <v>33129629453</v>
      </c>
      <c r="B4009" s="3">
        <v>262</v>
      </c>
      <c r="C4009" s="32">
        <v>49258</v>
      </c>
      <c r="D4009" s="32" t="s">
        <v>87</v>
      </c>
      <c r="E40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0" spans="1:6" x14ac:dyDescent="0.35">
      <c r="A4010" s="3">
        <v>77112101683</v>
      </c>
      <c r="B4010" s="3">
        <v>64</v>
      </c>
      <c r="C4010" s="32">
        <v>49258</v>
      </c>
      <c r="D4010" s="32"/>
      <c r="E40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1" spans="1:6" x14ac:dyDescent="0.35">
      <c r="A4011" s="3">
        <v>64640752944</v>
      </c>
      <c r="B4011" s="3">
        <v>234</v>
      </c>
      <c r="C4011" s="32">
        <v>49258</v>
      </c>
      <c r="D4011" s="32" t="s">
        <v>87</v>
      </c>
      <c r="E40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2" spans="1:6" x14ac:dyDescent="0.35">
      <c r="A4012" s="3">
        <v>65628961403</v>
      </c>
      <c r="B4012" s="3">
        <v>31</v>
      </c>
      <c r="C4012" s="32">
        <v>49258</v>
      </c>
      <c r="D4012" s="32" t="s">
        <v>87</v>
      </c>
      <c r="E40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3" spans="1:6" x14ac:dyDescent="0.35">
      <c r="A4013" s="3">
        <v>86556968227</v>
      </c>
      <c r="B4013" s="3">
        <v>248</v>
      </c>
      <c r="C4013" s="32">
        <v>49258</v>
      </c>
      <c r="D4013" s="32"/>
      <c r="E40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4" spans="1:6" x14ac:dyDescent="0.35">
      <c r="A4014" s="3">
        <v>72389496501</v>
      </c>
      <c r="B4014" s="3">
        <v>22</v>
      </c>
      <c r="C4014" s="32">
        <v>49258</v>
      </c>
      <c r="D4014" s="32" t="s">
        <v>87</v>
      </c>
      <c r="E40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5" spans="1:6" x14ac:dyDescent="0.35">
      <c r="A4015" s="3">
        <v>40531265159</v>
      </c>
      <c r="B4015" s="3">
        <v>4</v>
      </c>
      <c r="C4015" s="32">
        <v>49258</v>
      </c>
      <c r="D4015" s="32"/>
      <c r="E40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6" spans="1:6" x14ac:dyDescent="0.35">
      <c r="A4016" s="3">
        <v>93183639826</v>
      </c>
      <c r="B4016" s="3">
        <v>177</v>
      </c>
      <c r="C4016" s="32">
        <v>49258</v>
      </c>
      <c r="D4016" s="32" t="s">
        <v>87</v>
      </c>
      <c r="E40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7" spans="1:6" x14ac:dyDescent="0.35">
      <c r="A4017" s="3">
        <v>11955524165</v>
      </c>
      <c r="B4017" s="3">
        <v>243</v>
      </c>
      <c r="C4017" s="32">
        <v>49258</v>
      </c>
      <c r="D4017" s="32">
        <v>49330</v>
      </c>
      <c r="E40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18" spans="1:6" x14ac:dyDescent="0.35">
      <c r="A4018" s="3">
        <v>29036022811</v>
      </c>
      <c r="B4018" s="3">
        <v>248</v>
      </c>
      <c r="C4018" s="32">
        <v>49258</v>
      </c>
      <c r="D4018" s="32" t="s">
        <v>87</v>
      </c>
      <c r="E40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9" spans="1:6" x14ac:dyDescent="0.35">
      <c r="A4019" s="3">
        <v>51993170769</v>
      </c>
      <c r="B4019" s="3">
        <v>154</v>
      </c>
      <c r="C4019" s="32">
        <v>49258</v>
      </c>
      <c r="D4019" s="32" t="s">
        <v>87</v>
      </c>
      <c r="E40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0" spans="1:6" x14ac:dyDescent="0.35">
      <c r="A4020" s="3">
        <v>80983762116</v>
      </c>
      <c r="B4020" s="3">
        <v>92</v>
      </c>
      <c r="C4020" s="32">
        <v>49258</v>
      </c>
      <c r="D4020" s="32"/>
      <c r="E40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1" spans="1:6" x14ac:dyDescent="0.35">
      <c r="A4021" s="3">
        <v>34898943953</v>
      </c>
      <c r="B4021" s="3">
        <v>204</v>
      </c>
      <c r="C4021" s="32">
        <v>49258</v>
      </c>
      <c r="D4021" s="32">
        <v>49355</v>
      </c>
      <c r="E40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22" spans="1:6" x14ac:dyDescent="0.35">
      <c r="A4022" s="3">
        <v>60516447993</v>
      </c>
      <c r="B4022" s="3">
        <v>250</v>
      </c>
      <c r="C4022" s="32">
        <v>49258</v>
      </c>
      <c r="D4022" s="32" t="s">
        <v>87</v>
      </c>
      <c r="E40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3" spans="1:6" x14ac:dyDescent="0.35">
      <c r="A4023" s="3">
        <v>65644830028</v>
      </c>
      <c r="B4023" s="3">
        <v>139</v>
      </c>
      <c r="C4023" s="32">
        <v>49258</v>
      </c>
      <c r="D4023" s="32" t="s">
        <v>87</v>
      </c>
      <c r="E40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4" spans="1:6" x14ac:dyDescent="0.35">
      <c r="A4024" s="3">
        <v>40729688048</v>
      </c>
      <c r="B4024" s="3">
        <v>238</v>
      </c>
      <c r="C4024" s="32">
        <v>49258</v>
      </c>
      <c r="D4024" s="32" t="s">
        <v>87</v>
      </c>
      <c r="E40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5" spans="1:6" x14ac:dyDescent="0.35">
      <c r="A4025" s="3">
        <v>72591538768</v>
      </c>
      <c r="B4025" s="3">
        <v>28</v>
      </c>
      <c r="C4025" s="32">
        <v>49258</v>
      </c>
      <c r="D4025" s="32" t="s">
        <v>87</v>
      </c>
      <c r="E40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6" spans="1:6" x14ac:dyDescent="0.35">
      <c r="A4026" s="3">
        <v>60430817681</v>
      </c>
      <c r="B4026" s="3">
        <v>81</v>
      </c>
      <c r="C4026" s="32">
        <v>49258</v>
      </c>
      <c r="D4026" s="32" t="s">
        <v>87</v>
      </c>
      <c r="E40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7" spans="1:6" x14ac:dyDescent="0.35">
      <c r="A4027" s="3">
        <v>65172109327</v>
      </c>
      <c r="B4027" s="3">
        <v>167</v>
      </c>
      <c r="C4027" s="32">
        <v>49258</v>
      </c>
      <c r="D4027" s="32" t="s">
        <v>87</v>
      </c>
      <c r="E40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8" spans="1:6" x14ac:dyDescent="0.35">
      <c r="A4028" s="3">
        <v>91612516747</v>
      </c>
      <c r="B4028" s="3">
        <v>267</v>
      </c>
      <c r="C4028" s="32">
        <v>49259</v>
      </c>
      <c r="D4028" s="32" t="s">
        <v>87</v>
      </c>
      <c r="E40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9" spans="1:6" x14ac:dyDescent="0.35">
      <c r="A4029" s="3">
        <v>42819570826</v>
      </c>
      <c r="B4029" s="3">
        <v>290</v>
      </c>
      <c r="C4029" s="32">
        <v>49259</v>
      </c>
      <c r="D4029" s="32"/>
      <c r="E40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0" spans="1:6" x14ac:dyDescent="0.35">
      <c r="A4030" s="3">
        <v>75330527528</v>
      </c>
      <c r="B4030" s="3">
        <v>206</v>
      </c>
      <c r="C4030" s="32">
        <v>49259</v>
      </c>
      <c r="D4030" s="32" t="s">
        <v>87</v>
      </c>
      <c r="E40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1" spans="1:6" x14ac:dyDescent="0.35">
      <c r="A4031" s="3">
        <v>69128786409</v>
      </c>
      <c r="B4031" s="3">
        <v>98</v>
      </c>
      <c r="C4031" s="32">
        <v>49259</v>
      </c>
      <c r="D4031" s="32" t="s">
        <v>87</v>
      </c>
      <c r="E40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2" spans="1:6" x14ac:dyDescent="0.35">
      <c r="A4032" s="3">
        <v>70846766702</v>
      </c>
      <c r="B4032" s="3">
        <v>19</v>
      </c>
      <c r="C4032" s="32">
        <v>49259</v>
      </c>
      <c r="D4032" s="32">
        <v>49300</v>
      </c>
      <c r="E40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33" spans="1:6" x14ac:dyDescent="0.35">
      <c r="A4033" s="3">
        <v>63920668560</v>
      </c>
      <c r="B4033" s="3">
        <v>168</v>
      </c>
      <c r="C4033" s="32">
        <v>49259</v>
      </c>
      <c r="D4033" s="32" t="s">
        <v>87</v>
      </c>
      <c r="E40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4" spans="1:6" x14ac:dyDescent="0.35">
      <c r="A4034" s="3">
        <v>74961473460</v>
      </c>
      <c r="B4034" s="3">
        <v>255</v>
      </c>
      <c r="C4034" s="32">
        <v>49259</v>
      </c>
      <c r="D4034" s="32" t="s">
        <v>87</v>
      </c>
      <c r="E40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5" spans="1:6" x14ac:dyDescent="0.35">
      <c r="A4035" s="3">
        <v>46926771084</v>
      </c>
      <c r="B4035" s="3">
        <v>155</v>
      </c>
      <c r="C4035" s="32">
        <v>49259</v>
      </c>
      <c r="D4035" s="32" t="s">
        <v>87</v>
      </c>
      <c r="E40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6" spans="1:6" x14ac:dyDescent="0.35">
      <c r="A4036" s="3">
        <v>56199565681</v>
      </c>
      <c r="B4036" s="3">
        <v>96</v>
      </c>
      <c r="C4036" s="32">
        <v>49259</v>
      </c>
      <c r="D4036" s="32"/>
      <c r="E40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7" spans="1:6" x14ac:dyDescent="0.35">
      <c r="A4037" s="3">
        <v>12848592963</v>
      </c>
      <c r="B4037" s="3">
        <v>340</v>
      </c>
      <c r="C4037" s="32">
        <v>49259</v>
      </c>
      <c r="D4037" s="32">
        <v>49293</v>
      </c>
      <c r="E40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38" spans="1:6" x14ac:dyDescent="0.35">
      <c r="A4038" s="3">
        <v>44706402754</v>
      </c>
      <c r="B4038" s="3">
        <v>15</v>
      </c>
      <c r="C4038" s="32">
        <v>49259</v>
      </c>
      <c r="D4038" s="32">
        <v>49274</v>
      </c>
      <c r="E40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039" spans="1:6" x14ac:dyDescent="0.35">
      <c r="A4039" s="3">
        <v>90190384459</v>
      </c>
      <c r="B4039" s="3">
        <v>336</v>
      </c>
      <c r="C4039" s="32">
        <v>49259</v>
      </c>
      <c r="D4039" s="32">
        <v>49347</v>
      </c>
      <c r="E40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40" spans="1:6" x14ac:dyDescent="0.35">
      <c r="A4040" s="3">
        <v>94799333602</v>
      </c>
      <c r="B4040" s="3">
        <v>291</v>
      </c>
      <c r="C4040" s="32">
        <v>49259</v>
      </c>
      <c r="D4040" s="32"/>
      <c r="E40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1" spans="1:6" x14ac:dyDescent="0.35">
      <c r="A4041" s="3">
        <v>58065742182</v>
      </c>
      <c r="B4041" s="3">
        <v>55</v>
      </c>
      <c r="C4041" s="32">
        <v>49259</v>
      </c>
      <c r="D4041" s="32" t="s">
        <v>87</v>
      </c>
      <c r="E40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2" spans="1:6" x14ac:dyDescent="0.35">
      <c r="A4042" s="3">
        <v>78536763792</v>
      </c>
      <c r="B4042" s="3">
        <v>188</v>
      </c>
      <c r="C4042" s="32">
        <v>49259</v>
      </c>
      <c r="D4042" s="32" t="s">
        <v>87</v>
      </c>
      <c r="E40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3" spans="1:6" x14ac:dyDescent="0.35">
      <c r="A4043" s="3">
        <v>96733658890</v>
      </c>
      <c r="B4043" s="3">
        <v>233</v>
      </c>
      <c r="C4043" s="32">
        <v>49259</v>
      </c>
      <c r="D4043" s="32"/>
      <c r="E40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4" spans="1:6" x14ac:dyDescent="0.35">
      <c r="A4044" s="3">
        <v>75502072394</v>
      </c>
      <c r="B4044" s="3">
        <v>310</v>
      </c>
      <c r="C4044" s="32">
        <v>49259</v>
      </c>
      <c r="D4044" s="32" t="s">
        <v>87</v>
      </c>
      <c r="E40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5" spans="1:6" x14ac:dyDescent="0.35">
      <c r="A4045" s="3">
        <v>39404893230</v>
      </c>
      <c r="B4045" s="3">
        <v>36</v>
      </c>
      <c r="C4045" s="32">
        <v>49259</v>
      </c>
      <c r="D4045" s="32" t="s">
        <v>87</v>
      </c>
      <c r="E40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6" spans="1:6" x14ac:dyDescent="0.35">
      <c r="A4046" s="3">
        <v>84638184762</v>
      </c>
      <c r="B4046" s="3">
        <v>80</v>
      </c>
      <c r="C4046" s="32">
        <v>49259</v>
      </c>
      <c r="D4046" s="32" t="s">
        <v>87</v>
      </c>
      <c r="E40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7" spans="1:6" x14ac:dyDescent="0.35">
      <c r="A4047" s="3">
        <v>41436311721</v>
      </c>
      <c r="B4047" s="3">
        <v>115</v>
      </c>
      <c r="C4047" s="32">
        <v>49259</v>
      </c>
      <c r="D4047" s="32">
        <v>49313</v>
      </c>
      <c r="E40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48" spans="1:6" x14ac:dyDescent="0.35">
      <c r="A4048" s="3">
        <v>65645562296</v>
      </c>
      <c r="B4048" s="3">
        <v>55</v>
      </c>
      <c r="C4048" s="32">
        <v>49259</v>
      </c>
      <c r="D4048" s="32" t="s">
        <v>87</v>
      </c>
      <c r="E40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9" spans="1:6" x14ac:dyDescent="0.35">
      <c r="A4049" s="3">
        <v>35033453653</v>
      </c>
      <c r="B4049" s="3">
        <v>275</v>
      </c>
      <c r="C4049" s="32">
        <v>49259</v>
      </c>
      <c r="D4049" s="32"/>
      <c r="E40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0" spans="1:6" x14ac:dyDescent="0.35">
      <c r="A4050" s="3">
        <v>41417133988</v>
      </c>
      <c r="B4050" s="3">
        <v>187</v>
      </c>
      <c r="C4050" s="32">
        <v>49259</v>
      </c>
      <c r="D4050" s="32" t="s">
        <v>87</v>
      </c>
      <c r="E40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1" spans="1:6" x14ac:dyDescent="0.35">
      <c r="A4051" s="3">
        <v>76096733258</v>
      </c>
      <c r="B4051" s="3">
        <v>185</v>
      </c>
      <c r="C4051" s="32">
        <v>49259</v>
      </c>
      <c r="D4051" s="32">
        <v>49319</v>
      </c>
      <c r="E40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52" spans="1:6" x14ac:dyDescent="0.35">
      <c r="A4052" s="3">
        <v>97825270334</v>
      </c>
      <c r="B4052" s="3">
        <v>47</v>
      </c>
      <c r="C4052" s="32">
        <v>49259</v>
      </c>
      <c r="D4052" s="32" t="s">
        <v>87</v>
      </c>
      <c r="E40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3" spans="1:6" x14ac:dyDescent="0.35">
      <c r="A4053" s="3">
        <v>65810738510</v>
      </c>
      <c r="B4053" s="3">
        <v>295</v>
      </c>
      <c r="C4053" s="32">
        <v>49259</v>
      </c>
      <c r="D4053" s="32">
        <v>49259</v>
      </c>
      <c r="E40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054" spans="1:6" x14ac:dyDescent="0.35">
      <c r="A4054" s="3">
        <v>52661356069</v>
      </c>
      <c r="B4054" s="3">
        <v>45</v>
      </c>
      <c r="C4054" s="32">
        <v>49259</v>
      </c>
      <c r="D4054" s="32"/>
      <c r="E40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5" spans="1:6" x14ac:dyDescent="0.35">
      <c r="A4055" s="3">
        <v>66681802966</v>
      </c>
      <c r="B4055" s="3">
        <v>173</v>
      </c>
      <c r="C4055" s="32">
        <v>49259</v>
      </c>
      <c r="D4055" s="32" t="s">
        <v>87</v>
      </c>
      <c r="E40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6" spans="1:6" x14ac:dyDescent="0.35">
      <c r="A4056" s="3">
        <v>95022698798</v>
      </c>
      <c r="B4056" s="3">
        <v>174</v>
      </c>
      <c r="C4056" s="32">
        <v>49259</v>
      </c>
      <c r="D4056" s="32"/>
      <c r="E40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7" spans="1:6" x14ac:dyDescent="0.35">
      <c r="A4057" s="3">
        <v>66564405396</v>
      </c>
      <c r="B4057" s="3">
        <v>87</v>
      </c>
      <c r="C4057" s="32">
        <v>49259</v>
      </c>
      <c r="D4057" s="32"/>
      <c r="E40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8" spans="1:6" x14ac:dyDescent="0.35">
      <c r="A4058" s="3">
        <v>88746101606</v>
      </c>
      <c r="B4058" s="3">
        <v>166</v>
      </c>
      <c r="C4058" s="32">
        <v>49260</v>
      </c>
      <c r="D4058" s="32">
        <v>49326</v>
      </c>
      <c r="E40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59" spans="1:6" x14ac:dyDescent="0.35">
      <c r="A4059" s="3">
        <v>40959634387</v>
      </c>
      <c r="B4059" s="3">
        <v>163</v>
      </c>
      <c r="C4059" s="32">
        <v>49260</v>
      </c>
      <c r="D4059" s="32" t="s">
        <v>87</v>
      </c>
      <c r="E40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0" spans="1:6" x14ac:dyDescent="0.35">
      <c r="A4060" s="3">
        <v>98075238859</v>
      </c>
      <c r="B4060" s="3">
        <v>256</v>
      </c>
      <c r="C4060" s="32">
        <v>49260</v>
      </c>
      <c r="D4060" s="32"/>
      <c r="E40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1" spans="1:6" x14ac:dyDescent="0.35">
      <c r="A4061" s="3">
        <v>68878855614</v>
      </c>
      <c r="B4061" s="3">
        <v>331</v>
      </c>
      <c r="C4061" s="32">
        <v>49260</v>
      </c>
      <c r="D4061" s="32">
        <v>49262</v>
      </c>
      <c r="E40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062" spans="1:6" x14ac:dyDescent="0.35">
      <c r="A4062" s="3">
        <v>44772920324</v>
      </c>
      <c r="B4062" s="3">
        <v>48</v>
      </c>
      <c r="C4062" s="32">
        <v>49260</v>
      </c>
      <c r="D4062" s="32" t="s">
        <v>87</v>
      </c>
      <c r="E40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3" spans="1:6" x14ac:dyDescent="0.35">
      <c r="A4063" s="3">
        <v>58545598079</v>
      </c>
      <c r="B4063" s="3">
        <v>326</v>
      </c>
      <c r="C4063" s="32">
        <v>49260</v>
      </c>
      <c r="D4063" s="32">
        <v>49350</v>
      </c>
      <c r="E40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64" spans="1:6" x14ac:dyDescent="0.35">
      <c r="A4064" s="3">
        <v>47975120868</v>
      </c>
      <c r="B4064" s="3">
        <v>237</v>
      </c>
      <c r="C4064" s="32">
        <v>49260</v>
      </c>
      <c r="D4064" s="32" t="s">
        <v>87</v>
      </c>
      <c r="E40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5" spans="1:6" x14ac:dyDescent="0.35">
      <c r="A4065" s="3">
        <v>73570767619</v>
      </c>
      <c r="B4065" s="3">
        <v>24</v>
      </c>
      <c r="C4065" s="32">
        <v>49260</v>
      </c>
      <c r="D4065" s="32" t="s">
        <v>87</v>
      </c>
      <c r="E40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6" spans="1:6" x14ac:dyDescent="0.35">
      <c r="A4066" s="3">
        <v>78700098641</v>
      </c>
      <c r="B4066" s="3">
        <v>137</v>
      </c>
      <c r="C4066" s="32">
        <v>49260</v>
      </c>
      <c r="D4066" s="32" t="s">
        <v>87</v>
      </c>
      <c r="E40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7" spans="1:6" x14ac:dyDescent="0.35">
      <c r="A4067" s="3">
        <v>65889550514</v>
      </c>
      <c r="B4067" s="3">
        <v>311</v>
      </c>
      <c r="C4067" s="32">
        <v>49260</v>
      </c>
      <c r="D4067" s="32">
        <v>49283</v>
      </c>
      <c r="E40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68" spans="1:6" x14ac:dyDescent="0.35">
      <c r="A4068" s="3">
        <v>82350793950</v>
      </c>
      <c r="B4068" s="3">
        <v>86</v>
      </c>
      <c r="C4068" s="32">
        <v>49260</v>
      </c>
      <c r="D4068" s="32" t="s">
        <v>87</v>
      </c>
      <c r="E40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9" spans="1:6" x14ac:dyDescent="0.35">
      <c r="A4069" s="3">
        <v>59590460267</v>
      </c>
      <c r="B4069" s="3">
        <v>57</v>
      </c>
      <c r="C4069" s="32">
        <v>49260</v>
      </c>
      <c r="D4069" s="32"/>
      <c r="E40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0" spans="1:6" x14ac:dyDescent="0.35">
      <c r="A4070" s="3">
        <v>28297310528</v>
      </c>
      <c r="B4070" s="3">
        <v>311</v>
      </c>
      <c r="C4070" s="32">
        <v>49260</v>
      </c>
      <c r="D4070" s="32" t="s">
        <v>87</v>
      </c>
      <c r="E40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1" spans="1:6" x14ac:dyDescent="0.35">
      <c r="A4071" s="3">
        <v>28769576993</v>
      </c>
      <c r="B4071" s="3">
        <v>290</v>
      </c>
      <c r="C4071" s="32">
        <v>49260</v>
      </c>
      <c r="D4071" s="32" t="s">
        <v>87</v>
      </c>
      <c r="E40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2" spans="1:6" x14ac:dyDescent="0.35">
      <c r="A4072" s="3">
        <v>42546232682</v>
      </c>
      <c r="B4072" s="3">
        <v>74</v>
      </c>
      <c r="C4072" s="32">
        <v>49260</v>
      </c>
      <c r="D4072" s="32"/>
      <c r="E40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3" spans="1:6" x14ac:dyDescent="0.35">
      <c r="A4073" s="3">
        <v>31485202652</v>
      </c>
      <c r="B4073" s="3">
        <v>22</v>
      </c>
      <c r="C4073" s="32">
        <v>49260</v>
      </c>
      <c r="D4073" s="32">
        <v>49340</v>
      </c>
      <c r="E40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74" spans="1:6" x14ac:dyDescent="0.35">
      <c r="A4074" s="3">
        <v>18408025866</v>
      </c>
      <c r="B4074" s="3">
        <v>210</v>
      </c>
      <c r="C4074" s="32">
        <v>49260</v>
      </c>
      <c r="D4074" s="32" t="s">
        <v>87</v>
      </c>
      <c r="E40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5" spans="1:6" x14ac:dyDescent="0.35">
      <c r="A4075" s="3">
        <v>68377674220</v>
      </c>
      <c r="B4075" s="3">
        <v>17</v>
      </c>
      <c r="C4075" s="32">
        <v>49260</v>
      </c>
      <c r="D4075" s="32"/>
      <c r="E40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6" spans="1:6" x14ac:dyDescent="0.35">
      <c r="A4076" s="3">
        <v>55829663153</v>
      </c>
      <c r="B4076" s="3">
        <v>249</v>
      </c>
      <c r="C4076" s="32">
        <v>49260</v>
      </c>
      <c r="D4076" s="32" t="s">
        <v>87</v>
      </c>
      <c r="E40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7" spans="1:6" x14ac:dyDescent="0.35">
      <c r="A4077" s="3">
        <v>26907230947</v>
      </c>
      <c r="B4077" s="3">
        <v>128</v>
      </c>
      <c r="C4077" s="32">
        <v>49260</v>
      </c>
      <c r="D4077" s="32" t="s">
        <v>87</v>
      </c>
      <c r="E40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8" spans="1:6" x14ac:dyDescent="0.35">
      <c r="A4078" s="3">
        <v>62064798614</v>
      </c>
      <c r="B4078" s="3">
        <v>93</v>
      </c>
      <c r="C4078" s="32">
        <v>49260</v>
      </c>
      <c r="D4078" s="32" t="s">
        <v>87</v>
      </c>
      <c r="E40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9" spans="1:6" x14ac:dyDescent="0.35">
      <c r="A4079" s="3">
        <v>27907004314</v>
      </c>
      <c r="B4079" s="3">
        <v>194</v>
      </c>
      <c r="C4079" s="32">
        <v>49260</v>
      </c>
      <c r="D4079" s="32" t="s">
        <v>87</v>
      </c>
      <c r="E40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0" spans="1:6" x14ac:dyDescent="0.35">
      <c r="A4080" s="3">
        <v>66896617864</v>
      </c>
      <c r="B4080" s="3">
        <v>51</v>
      </c>
      <c r="C4080" s="32">
        <v>49260</v>
      </c>
      <c r="D4080" s="32">
        <v>49333</v>
      </c>
      <c r="E40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81" spans="1:6" x14ac:dyDescent="0.35">
      <c r="A4081" s="3">
        <v>54538900078</v>
      </c>
      <c r="B4081" s="3">
        <v>237</v>
      </c>
      <c r="C4081" s="32">
        <v>49260</v>
      </c>
      <c r="D4081" s="32">
        <v>49311</v>
      </c>
      <c r="E40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82" spans="1:6" x14ac:dyDescent="0.35">
      <c r="A4082" s="3">
        <v>63923339188</v>
      </c>
      <c r="B4082" s="3">
        <v>130</v>
      </c>
      <c r="C4082" s="32">
        <v>49261</v>
      </c>
      <c r="D4082" s="32" t="s">
        <v>87</v>
      </c>
      <c r="E40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3" spans="1:6" x14ac:dyDescent="0.35">
      <c r="A4083" s="3">
        <v>43438911018</v>
      </c>
      <c r="B4083" s="3">
        <v>249</v>
      </c>
      <c r="C4083" s="32">
        <v>49261</v>
      </c>
      <c r="D4083" s="32"/>
      <c r="E40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4" spans="1:6" x14ac:dyDescent="0.35">
      <c r="A4084" s="3">
        <v>34220821004</v>
      </c>
      <c r="B4084" s="3">
        <v>143</v>
      </c>
      <c r="C4084" s="32">
        <v>49261</v>
      </c>
      <c r="D4084" s="32">
        <v>49368</v>
      </c>
      <c r="E40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85" spans="1:6" x14ac:dyDescent="0.35">
      <c r="A4085" s="3">
        <v>80205912136</v>
      </c>
      <c r="B4085" s="3">
        <v>222</v>
      </c>
      <c r="C4085" s="32">
        <v>49261</v>
      </c>
      <c r="D4085" s="32">
        <v>49307</v>
      </c>
      <c r="E40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86" spans="1:6" x14ac:dyDescent="0.35">
      <c r="A4086" s="3">
        <v>37135556228</v>
      </c>
      <c r="B4086" s="3">
        <v>132</v>
      </c>
      <c r="C4086" s="32">
        <v>49261</v>
      </c>
      <c r="D4086" s="32"/>
      <c r="E40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7" spans="1:6" x14ac:dyDescent="0.35">
      <c r="A4087" s="3">
        <v>37263612740</v>
      </c>
      <c r="B4087" s="3">
        <v>290</v>
      </c>
      <c r="C4087" s="32">
        <v>49261</v>
      </c>
      <c r="D4087" s="32" t="s">
        <v>87</v>
      </c>
      <c r="E40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8" spans="1:6" x14ac:dyDescent="0.35">
      <c r="A4088" s="3">
        <v>45139609039</v>
      </c>
      <c r="B4088" s="3">
        <v>154</v>
      </c>
      <c r="C4088" s="32">
        <v>49261</v>
      </c>
      <c r="D4088" s="32" t="s">
        <v>87</v>
      </c>
      <c r="E40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9" spans="1:6" x14ac:dyDescent="0.35">
      <c r="A4089" s="3">
        <v>95061625362</v>
      </c>
      <c r="B4089" s="3">
        <v>189</v>
      </c>
      <c r="C4089" s="32">
        <v>49261</v>
      </c>
      <c r="D4089" s="32">
        <v>49302</v>
      </c>
      <c r="E40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90" spans="1:6" x14ac:dyDescent="0.35">
      <c r="A4090" s="3">
        <v>51738367624</v>
      </c>
      <c r="B4090" s="3">
        <v>260</v>
      </c>
      <c r="C4090" s="32">
        <v>49261</v>
      </c>
      <c r="D4090" s="32"/>
      <c r="E40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1" spans="1:6" x14ac:dyDescent="0.35">
      <c r="A4091" s="3">
        <v>41811177750</v>
      </c>
      <c r="B4091" s="3">
        <v>306</v>
      </c>
      <c r="C4091" s="32">
        <v>49261</v>
      </c>
      <c r="D4091" s="32">
        <v>49355</v>
      </c>
      <c r="E40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92" spans="1:6" x14ac:dyDescent="0.35">
      <c r="A4092" s="3">
        <v>65974539007</v>
      </c>
      <c r="B4092" s="3">
        <v>45</v>
      </c>
      <c r="C4092" s="32">
        <v>49261</v>
      </c>
      <c r="D4092" s="32">
        <v>49345</v>
      </c>
      <c r="E40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93" spans="1:6" x14ac:dyDescent="0.35">
      <c r="A4093" s="3">
        <v>43179394098</v>
      </c>
      <c r="B4093" s="3">
        <v>201</v>
      </c>
      <c r="C4093" s="32">
        <v>49261</v>
      </c>
      <c r="D4093" s="32" t="s">
        <v>87</v>
      </c>
      <c r="E40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4" spans="1:6" x14ac:dyDescent="0.35">
      <c r="A4094" s="3">
        <v>86380520041</v>
      </c>
      <c r="B4094" s="3">
        <v>80</v>
      </c>
      <c r="C4094" s="32">
        <v>49261</v>
      </c>
      <c r="D4094" s="32" t="s">
        <v>87</v>
      </c>
      <c r="E40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5" spans="1:6" x14ac:dyDescent="0.35">
      <c r="A4095" s="3">
        <v>30048480385</v>
      </c>
      <c r="B4095" s="3">
        <v>126</v>
      </c>
      <c r="C4095" s="32">
        <v>49261</v>
      </c>
      <c r="D4095" s="32"/>
      <c r="E40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6" spans="1:6" x14ac:dyDescent="0.35">
      <c r="A4096" s="3">
        <v>61015052989</v>
      </c>
      <c r="B4096" s="3">
        <v>307</v>
      </c>
      <c r="C4096" s="32">
        <v>49261</v>
      </c>
      <c r="D4096" s="32"/>
      <c r="E40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7" spans="1:6" x14ac:dyDescent="0.35">
      <c r="A4097" s="3">
        <v>64964763330</v>
      </c>
      <c r="B4097" s="3">
        <v>297</v>
      </c>
      <c r="C4097" s="32">
        <v>49261</v>
      </c>
      <c r="D4097" s="32" t="s">
        <v>87</v>
      </c>
      <c r="E40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8" spans="1:6" x14ac:dyDescent="0.35">
      <c r="A4098" s="3">
        <v>64299417822</v>
      </c>
      <c r="B4098" s="3">
        <v>290</v>
      </c>
      <c r="C4098" s="32">
        <v>49261</v>
      </c>
      <c r="D4098" s="32">
        <v>49295</v>
      </c>
      <c r="E40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99" spans="1:6" x14ac:dyDescent="0.35">
      <c r="A4099" s="3">
        <v>29239325230</v>
      </c>
      <c r="B4099" s="3">
        <v>261</v>
      </c>
      <c r="C4099" s="32">
        <v>49261</v>
      </c>
      <c r="D4099" s="32">
        <v>49265</v>
      </c>
      <c r="E40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100" spans="1:6" x14ac:dyDescent="0.35">
      <c r="A4100" s="3">
        <v>59178087812</v>
      </c>
      <c r="B4100" s="3">
        <v>54</v>
      </c>
      <c r="C4100" s="32">
        <v>49261</v>
      </c>
      <c r="D4100" s="32" t="s">
        <v>87</v>
      </c>
      <c r="E4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1" spans="1:6" x14ac:dyDescent="0.35">
      <c r="A4101" s="3">
        <v>93462696199</v>
      </c>
      <c r="B4101" s="3">
        <v>115</v>
      </c>
      <c r="C4101" s="32">
        <v>49261</v>
      </c>
      <c r="D4101" s="32" t="s">
        <v>87</v>
      </c>
      <c r="E4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2" spans="1:6" x14ac:dyDescent="0.35">
      <c r="A4102" s="3">
        <v>18029848811</v>
      </c>
      <c r="B4102" s="3">
        <v>224</v>
      </c>
      <c r="C4102" s="32">
        <v>49261</v>
      </c>
      <c r="D4102" s="32">
        <v>49302</v>
      </c>
      <c r="E4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03" spans="1:6" x14ac:dyDescent="0.35">
      <c r="A4103" s="3">
        <v>37013043210</v>
      </c>
      <c r="B4103" s="3">
        <v>95</v>
      </c>
      <c r="C4103" s="32">
        <v>49261</v>
      </c>
      <c r="D4103" s="32" t="s">
        <v>87</v>
      </c>
      <c r="E4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4" spans="1:6" x14ac:dyDescent="0.35">
      <c r="A4104" s="3">
        <v>50118258820</v>
      </c>
      <c r="B4104" s="3">
        <v>197</v>
      </c>
      <c r="C4104" s="32">
        <v>49261</v>
      </c>
      <c r="D4104" s="32" t="s">
        <v>87</v>
      </c>
      <c r="E4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5" spans="1:6" x14ac:dyDescent="0.35">
      <c r="A4105" s="3">
        <v>99879200776</v>
      </c>
      <c r="B4105" s="3">
        <v>252</v>
      </c>
      <c r="C4105" s="32">
        <v>49262</v>
      </c>
      <c r="D4105" s="32" t="s">
        <v>87</v>
      </c>
      <c r="E4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6" spans="1:6" x14ac:dyDescent="0.35">
      <c r="A4106" s="3">
        <v>45438153073</v>
      </c>
      <c r="B4106" s="3">
        <v>217</v>
      </c>
      <c r="C4106" s="32">
        <v>49262</v>
      </c>
      <c r="D4106" s="32" t="s">
        <v>87</v>
      </c>
      <c r="E4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7" spans="1:6" x14ac:dyDescent="0.35">
      <c r="A4107" s="3">
        <v>66145487012</v>
      </c>
      <c r="B4107" s="3">
        <v>88</v>
      </c>
      <c r="C4107" s="32">
        <v>49262</v>
      </c>
      <c r="D4107" s="32" t="s">
        <v>87</v>
      </c>
      <c r="E4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8" spans="1:6" x14ac:dyDescent="0.35">
      <c r="A4108" s="3">
        <v>52580072648</v>
      </c>
      <c r="B4108" s="3">
        <v>185</v>
      </c>
      <c r="C4108" s="32">
        <v>49262</v>
      </c>
      <c r="D4108" s="32" t="s">
        <v>87</v>
      </c>
      <c r="E4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9" spans="1:6" x14ac:dyDescent="0.35">
      <c r="A4109" s="3">
        <v>48692156505</v>
      </c>
      <c r="B4109" s="3">
        <v>117</v>
      </c>
      <c r="C4109" s="32">
        <v>49262</v>
      </c>
      <c r="D4109" s="32" t="s">
        <v>87</v>
      </c>
      <c r="E4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0" spans="1:6" x14ac:dyDescent="0.35">
      <c r="A4110" s="3">
        <v>16285261538</v>
      </c>
      <c r="B4110" s="3">
        <v>106</v>
      </c>
      <c r="C4110" s="32">
        <v>49262</v>
      </c>
      <c r="D4110" s="32" t="s">
        <v>87</v>
      </c>
      <c r="E4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1" spans="1:6" x14ac:dyDescent="0.35">
      <c r="A4111" s="3">
        <v>59359274500</v>
      </c>
      <c r="B4111" s="3">
        <v>62</v>
      </c>
      <c r="C4111" s="32">
        <v>49262</v>
      </c>
      <c r="D4111" s="32">
        <v>49311</v>
      </c>
      <c r="E4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12" spans="1:6" x14ac:dyDescent="0.35">
      <c r="A4112" s="3">
        <v>96949291058</v>
      </c>
      <c r="B4112" s="3">
        <v>251</v>
      </c>
      <c r="C4112" s="32">
        <v>49262</v>
      </c>
      <c r="D4112" s="32" t="s">
        <v>87</v>
      </c>
      <c r="E4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3" spans="1:6" x14ac:dyDescent="0.35">
      <c r="A4113" s="3">
        <v>49969025844</v>
      </c>
      <c r="B4113" s="3">
        <v>221</v>
      </c>
      <c r="C4113" s="32">
        <v>49262</v>
      </c>
      <c r="D4113" s="32" t="s">
        <v>87</v>
      </c>
      <c r="E4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4" spans="1:6" x14ac:dyDescent="0.35">
      <c r="A4114" s="3">
        <v>55367962937</v>
      </c>
      <c r="B4114" s="3">
        <v>207</v>
      </c>
      <c r="C4114" s="32">
        <v>49262</v>
      </c>
      <c r="D4114" s="32" t="s">
        <v>87</v>
      </c>
      <c r="E4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5" spans="1:6" x14ac:dyDescent="0.35">
      <c r="A4115" s="3">
        <v>76325506123</v>
      </c>
      <c r="B4115" s="3">
        <v>75</v>
      </c>
      <c r="C4115" s="32">
        <v>49262</v>
      </c>
      <c r="D4115" s="32" t="s">
        <v>87</v>
      </c>
      <c r="E4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6" spans="1:6" x14ac:dyDescent="0.35">
      <c r="A4116" s="3">
        <v>56394009935</v>
      </c>
      <c r="B4116" s="3">
        <v>92</v>
      </c>
      <c r="C4116" s="32">
        <v>49262</v>
      </c>
      <c r="D4116" s="32"/>
      <c r="E4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7" spans="1:6" x14ac:dyDescent="0.35">
      <c r="A4117" s="3">
        <v>66229257537</v>
      </c>
      <c r="B4117" s="3">
        <v>38</v>
      </c>
      <c r="C4117" s="32">
        <v>49262</v>
      </c>
      <c r="D4117" s="32" t="s">
        <v>87</v>
      </c>
      <c r="E4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8" spans="1:6" x14ac:dyDescent="0.35">
      <c r="A4118" s="3">
        <v>51816084744</v>
      </c>
      <c r="B4118" s="3">
        <v>91</v>
      </c>
      <c r="C4118" s="32">
        <v>49262</v>
      </c>
      <c r="D4118" s="32" t="s">
        <v>87</v>
      </c>
      <c r="E4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9" spans="1:6" x14ac:dyDescent="0.35">
      <c r="A4119" s="3">
        <v>21231716443</v>
      </c>
      <c r="B4119" s="3">
        <v>282</v>
      </c>
      <c r="C4119" s="32">
        <v>49262</v>
      </c>
      <c r="D4119" s="32" t="s">
        <v>87</v>
      </c>
      <c r="E4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0" spans="1:6" x14ac:dyDescent="0.35">
      <c r="A4120" s="3">
        <v>89640904142</v>
      </c>
      <c r="B4120" s="3">
        <v>164</v>
      </c>
      <c r="C4120" s="32">
        <v>49262</v>
      </c>
      <c r="D4120" s="32" t="s">
        <v>87</v>
      </c>
      <c r="E4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1" spans="1:6" x14ac:dyDescent="0.35">
      <c r="A4121" s="3">
        <v>19590564724</v>
      </c>
      <c r="B4121" s="3">
        <v>272</v>
      </c>
      <c r="C4121" s="32">
        <v>49262</v>
      </c>
      <c r="D4121" s="32" t="s">
        <v>87</v>
      </c>
      <c r="E4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2" spans="1:6" x14ac:dyDescent="0.35">
      <c r="A4122" s="3">
        <v>47087225535</v>
      </c>
      <c r="B4122" s="3">
        <v>229</v>
      </c>
      <c r="C4122" s="32">
        <v>49262</v>
      </c>
      <c r="D4122" s="32" t="s">
        <v>87</v>
      </c>
      <c r="E4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3" spans="1:6" x14ac:dyDescent="0.35">
      <c r="A4123" s="3">
        <v>53854245199</v>
      </c>
      <c r="B4123" s="3">
        <v>332</v>
      </c>
      <c r="C4123" s="32">
        <v>49262</v>
      </c>
      <c r="D4123" s="32">
        <v>49344</v>
      </c>
      <c r="E4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124" spans="1:6" x14ac:dyDescent="0.35">
      <c r="A4124" s="3">
        <v>85735180399</v>
      </c>
      <c r="B4124" s="3">
        <v>53</v>
      </c>
      <c r="C4124" s="32">
        <v>49262</v>
      </c>
      <c r="D4124" s="32">
        <v>49273</v>
      </c>
      <c r="E4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125" spans="1:6" x14ac:dyDescent="0.35">
      <c r="A4125" s="3">
        <v>33516514091</v>
      </c>
      <c r="B4125" s="3">
        <v>121</v>
      </c>
      <c r="C4125" s="32">
        <v>49262</v>
      </c>
      <c r="D4125" s="32" t="s">
        <v>87</v>
      </c>
      <c r="E4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6" spans="1:6" x14ac:dyDescent="0.35">
      <c r="A4126" s="3">
        <v>60907336772</v>
      </c>
      <c r="B4126" s="3">
        <v>60</v>
      </c>
      <c r="C4126" s="32">
        <v>49262</v>
      </c>
      <c r="D4126" s="32" t="s">
        <v>87</v>
      </c>
      <c r="E4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7" spans="1:6" x14ac:dyDescent="0.35">
      <c r="A4127" s="3">
        <v>59484211826</v>
      </c>
      <c r="B4127" s="3">
        <v>40</v>
      </c>
      <c r="C4127" s="32">
        <v>49262</v>
      </c>
      <c r="D4127" s="32">
        <v>49269</v>
      </c>
      <c r="E4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128" spans="1:6" x14ac:dyDescent="0.35">
      <c r="A4128" s="3">
        <v>85542465946</v>
      </c>
      <c r="B4128" s="3">
        <v>36</v>
      </c>
      <c r="C4128" s="32">
        <v>49263</v>
      </c>
      <c r="D4128" s="32" t="s">
        <v>87</v>
      </c>
      <c r="E4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9" spans="1:6" x14ac:dyDescent="0.35">
      <c r="A4129" s="3">
        <v>53521990842</v>
      </c>
      <c r="B4129" s="3">
        <v>249</v>
      </c>
      <c r="C4129" s="32">
        <v>49263</v>
      </c>
      <c r="D4129" s="32" t="s">
        <v>87</v>
      </c>
      <c r="E4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0" spans="1:6" x14ac:dyDescent="0.35">
      <c r="A4130" s="3">
        <v>50085622124</v>
      </c>
      <c r="B4130" s="3">
        <v>69</v>
      </c>
      <c r="C4130" s="32">
        <v>49263</v>
      </c>
      <c r="D4130" s="32"/>
      <c r="E4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1" spans="1:6" x14ac:dyDescent="0.35">
      <c r="A4131" s="3">
        <v>25086505319</v>
      </c>
      <c r="B4131" s="3">
        <v>98</v>
      </c>
      <c r="C4131" s="32">
        <v>49263</v>
      </c>
      <c r="D4131" s="32">
        <v>49338</v>
      </c>
      <c r="E4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32" spans="1:6" x14ac:dyDescent="0.35">
      <c r="A4132" s="3">
        <v>76051629252</v>
      </c>
      <c r="B4132" s="3">
        <v>272</v>
      </c>
      <c r="C4132" s="32">
        <v>49263</v>
      </c>
      <c r="D4132" s="32" t="s">
        <v>87</v>
      </c>
      <c r="E4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3" spans="1:6" x14ac:dyDescent="0.35">
      <c r="A4133" s="3">
        <v>30157400978</v>
      </c>
      <c r="B4133" s="3">
        <v>11</v>
      </c>
      <c r="C4133" s="32">
        <v>49263</v>
      </c>
      <c r="D4133" s="32" t="s">
        <v>87</v>
      </c>
      <c r="E4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4" spans="1:6" x14ac:dyDescent="0.35">
      <c r="A4134" s="3">
        <v>66444188266</v>
      </c>
      <c r="B4134" s="3">
        <v>271</v>
      </c>
      <c r="C4134" s="32">
        <v>49263</v>
      </c>
      <c r="D4134" s="32" t="s">
        <v>87</v>
      </c>
      <c r="E4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5" spans="1:6" x14ac:dyDescent="0.35">
      <c r="A4135" s="3">
        <v>83844870799</v>
      </c>
      <c r="B4135" s="3">
        <v>326</v>
      </c>
      <c r="C4135" s="32">
        <v>49263</v>
      </c>
      <c r="D4135" s="32" t="s">
        <v>87</v>
      </c>
      <c r="E4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6" spans="1:6" x14ac:dyDescent="0.35">
      <c r="A4136" s="3">
        <v>15529469480</v>
      </c>
      <c r="B4136" s="3">
        <v>178</v>
      </c>
      <c r="C4136" s="32">
        <v>49263</v>
      </c>
      <c r="D4136" s="32" t="s">
        <v>87</v>
      </c>
      <c r="E4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7" spans="1:6" x14ac:dyDescent="0.35">
      <c r="A4137" s="3">
        <v>79211981670</v>
      </c>
      <c r="B4137" s="3">
        <v>133</v>
      </c>
      <c r="C4137" s="32">
        <v>49263</v>
      </c>
      <c r="D4137" s="32" t="s">
        <v>87</v>
      </c>
      <c r="E4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8" spans="1:6" x14ac:dyDescent="0.35">
      <c r="A4138" s="3">
        <v>44576376878</v>
      </c>
      <c r="B4138" s="3">
        <v>339</v>
      </c>
      <c r="C4138" s="32">
        <v>49263</v>
      </c>
      <c r="D4138" s="32" t="s">
        <v>87</v>
      </c>
      <c r="E4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9" spans="1:6" x14ac:dyDescent="0.35">
      <c r="A4139" s="3">
        <v>81903451059</v>
      </c>
      <c r="B4139" s="3">
        <v>65</v>
      </c>
      <c r="C4139" s="32">
        <v>49263</v>
      </c>
      <c r="D4139" s="32" t="s">
        <v>87</v>
      </c>
      <c r="E4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0" spans="1:6" x14ac:dyDescent="0.35">
      <c r="A4140" s="3">
        <v>81958649612</v>
      </c>
      <c r="B4140" s="3">
        <v>264</v>
      </c>
      <c r="C4140" s="32">
        <v>49263</v>
      </c>
      <c r="D4140" s="32" t="s">
        <v>87</v>
      </c>
      <c r="E4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1" spans="1:6" x14ac:dyDescent="0.35">
      <c r="A4141" s="3">
        <v>16629543796</v>
      </c>
      <c r="B4141" s="3">
        <v>20</v>
      </c>
      <c r="C4141" s="32">
        <v>49263</v>
      </c>
      <c r="D4141" s="32" t="s">
        <v>87</v>
      </c>
      <c r="E4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2" spans="1:6" x14ac:dyDescent="0.35">
      <c r="A4142" s="3">
        <v>16556028455</v>
      </c>
      <c r="B4142" s="3">
        <v>317</v>
      </c>
      <c r="C4142" s="32">
        <v>49263</v>
      </c>
      <c r="D4142" s="32" t="s">
        <v>87</v>
      </c>
      <c r="E4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3" spans="1:6" x14ac:dyDescent="0.35">
      <c r="A4143" s="3">
        <v>50323423037</v>
      </c>
      <c r="B4143" s="3">
        <v>316</v>
      </c>
      <c r="C4143" s="32">
        <v>49263</v>
      </c>
      <c r="D4143" s="32">
        <v>49344</v>
      </c>
      <c r="E4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144" spans="1:6" x14ac:dyDescent="0.35">
      <c r="A4144" s="3">
        <v>66500974410</v>
      </c>
      <c r="B4144" s="3">
        <v>302</v>
      </c>
      <c r="C4144" s="32">
        <v>49263</v>
      </c>
      <c r="D4144" s="32" t="s">
        <v>87</v>
      </c>
      <c r="E4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5" spans="1:6" x14ac:dyDescent="0.35">
      <c r="A4145" s="3">
        <v>79521465072</v>
      </c>
      <c r="B4145" s="3">
        <v>172</v>
      </c>
      <c r="C4145" s="32">
        <v>49263</v>
      </c>
      <c r="D4145" s="32" t="s">
        <v>87</v>
      </c>
      <c r="E4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6" spans="1:6" x14ac:dyDescent="0.35">
      <c r="A4146" s="3">
        <v>30119214757</v>
      </c>
      <c r="B4146" s="3">
        <v>64</v>
      </c>
      <c r="C4146" s="32">
        <v>49263</v>
      </c>
      <c r="D4146" s="32"/>
      <c r="E4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7" spans="1:6" x14ac:dyDescent="0.35">
      <c r="A4147" s="3">
        <v>72506483622</v>
      </c>
      <c r="B4147" s="3">
        <v>132</v>
      </c>
      <c r="C4147" s="32">
        <v>49263</v>
      </c>
      <c r="D4147" s="32" t="s">
        <v>87</v>
      </c>
      <c r="E4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8" spans="1:6" x14ac:dyDescent="0.35">
      <c r="A4148" s="3">
        <v>59711767200</v>
      </c>
      <c r="B4148" s="3">
        <v>22</v>
      </c>
      <c r="C4148" s="32">
        <v>49263</v>
      </c>
      <c r="D4148" s="32">
        <v>49271</v>
      </c>
      <c r="E4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149" spans="1:6" x14ac:dyDescent="0.35">
      <c r="A4149" s="3">
        <v>35483995531</v>
      </c>
      <c r="B4149" s="3">
        <v>34</v>
      </c>
      <c r="C4149" s="32">
        <v>49263</v>
      </c>
      <c r="D4149" s="32" t="s">
        <v>87</v>
      </c>
      <c r="E4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0" spans="1:6" x14ac:dyDescent="0.35">
      <c r="A4150" s="3">
        <v>48146518026</v>
      </c>
      <c r="B4150" s="3">
        <v>274</v>
      </c>
      <c r="C4150" s="32">
        <v>49263</v>
      </c>
      <c r="D4150" s="32" t="s">
        <v>87</v>
      </c>
      <c r="E4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1" spans="1:6" x14ac:dyDescent="0.35">
      <c r="A4151" s="3">
        <v>26451113607</v>
      </c>
      <c r="B4151" s="3">
        <v>119</v>
      </c>
      <c r="C4151" s="32">
        <v>49263</v>
      </c>
      <c r="D4151" s="32" t="s">
        <v>87</v>
      </c>
      <c r="E4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2" spans="1:6" x14ac:dyDescent="0.35">
      <c r="A4152" s="3">
        <v>87432238297</v>
      </c>
      <c r="B4152" s="3">
        <v>179</v>
      </c>
      <c r="C4152" s="32">
        <v>49263</v>
      </c>
      <c r="D4152" s="32">
        <v>49299</v>
      </c>
      <c r="E4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53" spans="1:6" x14ac:dyDescent="0.35">
      <c r="A4153" s="3">
        <v>79899361397</v>
      </c>
      <c r="B4153" s="3">
        <v>129</v>
      </c>
      <c r="C4153" s="32">
        <v>49263</v>
      </c>
      <c r="D4153" s="32" t="s">
        <v>87</v>
      </c>
      <c r="E4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4" spans="1:6" x14ac:dyDescent="0.35">
      <c r="A4154" s="3">
        <v>23215096548</v>
      </c>
      <c r="B4154" s="3">
        <v>217</v>
      </c>
      <c r="C4154" s="32">
        <v>49263</v>
      </c>
      <c r="D4154" s="32">
        <v>49279</v>
      </c>
      <c r="E4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55" spans="1:6" x14ac:dyDescent="0.35">
      <c r="A4155" s="3">
        <v>83449347768</v>
      </c>
      <c r="B4155" s="3">
        <v>237</v>
      </c>
      <c r="C4155" s="32">
        <v>49263</v>
      </c>
      <c r="D4155" s="32" t="s">
        <v>87</v>
      </c>
      <c r="E4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6" spans="1:6" x14ac:dyDescent="0.35">
      <c r="A4156" s="3">
        <v>18631278225</v>
      </c>
      <c r="B4156" s="3">
        <v>243</v>
      </c>
      <c r="C4156" s="32">
        <v>49264</v>
      </c>
      <c r="D4156" s="32" t="s">
        <v>87</v>
      </c>
      <c r="E4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7" spans="1:6" x14ac:dyDescent="0.35">
      <c r="A4157" s="3">
        <v>55969670289</v>
      </c>
      <c r="B4157" s="3">
        <v>246</v>
      </c>
      <c r="C4157" s="32">
        <v>49264</v>
      </c>
      <c r="D4157" s="32" t="s">
        <v>87</v>
      </c>
      <c r="E4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8" spans="1:6" x14ac:dyDescent="0.35">
      <c r="A4158" s="3">
        <v>50561805823</v>
      </c>
      <c r="B4158" s="3">
        <v>235</v>
      </c>
      <c r="C4158" s="32">
        <v>49264</v>
      </c>
      <c r="D4158" s="32" t="s">
        <v>87</v>
      </c>
      <c r="E4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9" spans="1:6" x14ac:dyDescent="0.35">
      <c r="A4159" s="3">
        <v>18973409461</v>
      </c>
      <c r="B4159" s="3">
        <v>123</v>
      </c>
      <c r="C4159" s="32">
        <v>49264</v>
      </c>
      <c r="D4159" s="32"/>
      <c r="E4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0" spans="1:6" x14ac:dyDescent="0.35">
      <c r="A4160" s="3">
        <v>66349866510</v>
      </c>
      <c r="B4160" s="3">
        <v>43</v>
      </c>
      <c r="C4160" s="32">
        <v>49264</v>
      </c>
      <c r="D4160" s="32"/>
      <c r="E4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1" spans="1:6" x14ac:dyDescent="0.35">
      <c r="A4161" s="3">
        <v>35439626627</v>
      </c>
      <c r="B4161" s="3">
        <v>185</v>
      </c>
      <c r="C4161" s="32">
        <v>49264</v>
      </c>
      <c r="D4161" s="32"/>
      <c r="E4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2" spans="1:6" x14ac:dyDescent="0.35">
      <c r="A4162" s="3">
        <v>70894253933</v>
      </c>
      <c r="B4162" s="3">
        <v>53</v>
      </c>
      <c r="C4162" s="32">
        <v>49264</v>
      </c>
      <c r="D4162" s="32">
        <v>49316</v>
      </c>
      <c r="E4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63" spans="1:6" x14ac:dyDescent="0.35">
      <c r="A4163" s="3">
        <v>95545527842</v>
      </c>
      <c r="B4163" s="3">
        <v>302</v>
      </c>
      <c r="C4163" s="32">
        <v>49264</v>
      </c>
      <c r="D4163" s="32" t="s">
        <v>87</v>
      </c>
      <c r="E4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4" spans="1:6" x14ac:dyDescent="0.35">
      <c r="A4164" s="3">
        <v>12993758673</v>
      </c>
      <c r="B4164" s="3">
        <v>309</v>
      </c>
      <c r="C4164" s="32">
        <v>49264</v>
      </c>
      <c r="D4164" s="32">
        <v>49340</v>
      </c>
      <c r="E4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65" spans="1:6" x14ac:dyDescent="0.35">
      <c r="A4165" s="3">
        <v>44498281006</v>
      </c>
      <c r="B4165" s="3">
        <v>331</v>
      </c>
      <c r="C4165" s="32">
        <v>49264</v>
      </c>
      <c r="D4165" s="32" t="s">
        <v>87</v>
      </c>
      <c r="E4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6" spans="1:6" x14ac:dyDescent="0.35">
      <c r="A4166" s="3">
        <v>81560955101</v>
      </c>
      <c r="B4166" s="3">
        <v>79</v>
      </c>
      <c r="C4166" s="32">
        <v>49264</v>
      </c>
      <c r="D4166" s="32">
        <v>49312</v>
      </c>
      <c r="E4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67" spans="1:6" x14ac:dyDescent="0.35">
      <c r="A4167" s="3">
        <v>59039656043</v>
      </c>
      <c r="B4167" s="3">
        <v>224</v>
      </c>
      <c r="C4167" s="32">
        <v>49264</v>
      </c>
      <c r="D4167" s="32" t="s">
        <v>87</v>
      </c>
      <c r="E4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8" spans="1:6" x14ac:dyDescent="0.35">
      <c r="A4168" s="3">
        <v>67754122326</v>
      </c>
      <c r="B4168" s="3">
        <v>286</v>
      </c>
      <c r="C4168" s="32">
        <v>49264</v>
      </c>
      <c r="D4168" s="32" t="s">
        <v>87</v>
      </c>
      <c r="E4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9" spans="1:6" x14ac:dyDescent="0.35">
      <c r="A4169" s="3">
        <v>59984470570</v>
      </c>
      <c r="B4169" s="3">
        <v>61</v>
      </c>
      <c r="C4169" s="32">
        <v>49264</v>
      </c>
      <c r="D4169" s="32" t="s">
        <v>87</v>
      </c>
      <c r="E4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70" spans="1:6" x14ac:dyDescent="0.35">
      <c r="A4170" s="3">
        <v>22904292323</v>
      </c>
      <c r="B4170" s="3">
        <v>268</v>
      </c>
      <c r="C4170" s="32">
        <v>49264</v>
      </c>
      <c r="D4170" s="32">
        <v>49299</v>
      </c>
      <c r="E4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71" spans="1:6" x14ac:dyDescent="0.35">
      <c r="A4171" s="3">
        <v>31426692294</v>
      </c>
      <c r="B4171" s="3">
        <v>188</v>
      </c>
      <c r="C4171" s="32">
        <v>49264</v>
      </c>
      <c r="D4171" s="32">
        <v>49292</v>
      </c>
      <c r="E4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72" spans="1:6" x14ac:dyDescent="0.35">
      <c r="A4172" s="3">
        <v>90024020822</v>
      </c>
      <c r="B4172" s="3">
        <v>209</v>
      </c>
      <c r="C4172" s="32">
        <v>49264</v>
      </c>
      <c r="D4172" s="32" t="s">
        <v>87</v>
      </c>
      <c r="E4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73" spans="1:6" x14ac:dyDescent="0.35">
      <c r="A4173" s="3">
        <v>42168464685</v>
      </c>
      <c r="B4173" s="3">
        <v>127</v>
      </c>
      <c r="C4173" s="32">
        <v>49264</v>
      </c>
      <c r="D4173" s="32">
        <v>49304</v>
      </c>
      <c r="E4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74" spans="1:6" x14ac:dyDescent="0.35">
      <c r="A4174" s="3">
        <v>29498818887</v>
      </c>
      <c r="B4174" s="3">
        <v>248</v>
      </c>
      <c r="C4174" s="32">
        <v>49264</v>
      </c>
      <c r="D4174" s="32" t="s">
        <v>87</v>
      </c>
      <c r="E4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75" spans="1:6" x14ac:dyDescent="0.35">
      <c r="A4175" s="3">
        <v>94803224344</v>
      </c>
      <c r="B4175" s="3">
        <v>183</v>
      </c>
      <c r="C4175" s="32">
        <v>49264</v>
      </c>
      <c r="D4175" s="32">
        <v>49287</v>
      </c>
      <c r="E4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76" spans="1:6" x14ac:dyDescent="0.35">
      <c r="A4176" s="3">
        <v>64134527904</v>
      </c>
      <c r="B4176" s="3">
        <v>325</v>
      </c>
      <c r="C4176" s="32">
        <v>49264</v>
      </c>
      <c r="D4176" s="32" t="s">
        <v>87</v>
      </c>
      <c r="E4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77" spans="1:6" x14ac:dyDescent="0.35">
      <c r="A4177" s="3">
        <v>20137768203</v>
      </c>
      <c r="B4177" s="3">
        <v>194</v>
      </c>
      <c r="C4177" s="32">
        <v>49264</v>
      </c>
      <c r="D4177" s="32" t="s">
        <v>87</v>
      </c>
      <c r="E4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78" spans="1:6" x14ac:dyDescent="0.35">
      <c r="A4178" s="3">
        <v>12300872134</v>
      </c>
      <c r="B4178" s="3">
        <v>312</v>
      </c>
      <c r="C4178" s="32">
        <v>49264</v>
      </c>
      <c r="D4178" s="32">
        <v>49272</v>
      </c>
      <c r="E4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179" spans="1:6" x14ac:dyDescent="0.35">
      <c r="A4179" s="3">
        <v>42563412383</v>
      </c>
      <c r="B4179" s="3">
        <v>16</v>
      </c>
      <c r="C4179" s="32">
        <v>49264</v>
      </c>
      <c r="D4179" s="32">
        <v>49354</v>
      </c>
      <c r="E4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180" spans="1:6" x14ac:dyDescent="0.35">
      <c r="A4180" s="3">
        <v>63411221171</v>
      </c>
      <c r="B4180" s="3">
        <v>248</v>
      </c>
      <c r="C4180" s="32">
        <v>49264</v>
      </c>
      <c r="D4180" s="32"/>
      <c r="E4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1" spans="1:6" x14ac:dyDescent="0.35">
      <c r="A4181" s="3">
        <v>81949384213</v>
      </c>
      <c r="B4181" s="3">
        <v>4</v>
      </c>
      <c r="C4181" s="32">
        <v>49264</v>
      </c>
      <c r="D4181" s="32"/>
      <c r="E4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2" spans="1:6" x14ac:dyDescent="0.35">
      <c r="A4182" s="3">
        <v>33873509357</v>
      </c>
      <c r="B4182" s="3">
        <v>181</v>
      </c>
      <c r="C4182" s="32">
        <v>49264</v>
      </c>
      <c r="D4182" s="32"/>
      <c r="E4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3" spans="1:6" x14ac:dyDescent="0.35">
      <c r="A4183" s="3">
        <v>18084650631</v>
      </c>
      <c r="B4183" s="3">
        <v>189</v>
      </c>
      <c r="C4183" s="32">
        <v>49264</v>
      </c>
      <c r="D4183" s="32" t="s">
        <v>87</v>
      </c>
      <c r="E4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4" spans="1:6" x14ac:dyDescent="0.35">
      <c r="A4184" s="3">
        <v>36134028023</v>
      </c>
      <c r="B4184" s="3">
        <v>167</v>
      </c>
      <c r="C4184" s="32">
        <v>49264</v>
      </c>
      <c r="D4184" s="32"/>
      <c r="E4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5" spans="1:6" x14ac:dyDescent="0.35">
      <c r="A4185" s="3">
        <v>65320466044</v>
      </c>
      <c r="B4185" s="3">
        <v>126</v>
      </c>
      <c r="C4185" s="32">
        <v>49264</v>
      </c>
      <c r="D4185" s="32" t="s">
        <v>87</v>
      </c>
      <c r="E4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6" spans="1:6" x14ac:dyDescent="0.35">
      <c r="A4186" s="3">
        <v>12698637272</v>
      </c>
      <c r="B4186" s="3">
        <v>263</v>
      </c>
      <c r="C4186" s="32">
        <v>49265</v>
      </c>
      <c r="D4186" s="32" t="s">
        <v>87</v>
      </c>
      <c r="E4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7" spans="1:6" x14ac:dyDescent="0.35">
      <c r="A4187" s="3">
        <v>86486644846</v>
      </c>
      <c r="B4187" s="3">
        <v>234</v>
      </c>
      <c r="C4187" s="32">
        <v>49265</v>
      </c>
      <c r="D4187" s="32">
        <v>49293</v>
      </c>
      <c r="E4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88" spans="1:6" x14ac:dyDescent="0.35">
      <c r="A4188" s="3">
        <v>89857433923</v>
      </c>
      <c r="B4188" s="3">
        <v>295</v>
      </c>
      <c r="C4188" s="32">
        <v>49265</v>
      </c>
      <c r="D4188" s="32">
        <v>49317</v>
      </c>
      <c r="E4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89" spans="1:6" x14ac:dyDescent="0.35">
      <c r="A4189" s="3">
        <v>65620783084</v>
      </c>
      <c r="B4189" s="3">
        <v>260</v>
      </c>
      <c r="C4189" s="32">
        <v>49265</v>
      </c>
      <c r="D4189" s="32" t="s">
        <v>87</v>
      </c>
      <c r="E4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0" spans="1:6" x14ac:dyDescent="0.35">
      <c r="A4190" s="3">
        <v>18467655177</v>
      </c>
      <c r="B4190" s="3">
        <v>333</v>
      </c>
      <c r="C4190" s="32">
        <v>49265</v>
      </c>
      <c r="D4190" s="32"/>
      <c r="E4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1" spans="1:6" x14ac:dyDescent="0.35">
      <c r="A4191" s="3">
        <v>70832689601</v>
      </c>
      <c r="B4191" s="3">
        <v>245</v>
      </c>
      <c r="C4191" s="32">
        <v>49265</v>
      </c>
      <c r="D4191" s="32" t="s">
        <v>87</v>
      </c>
      <c r="E4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2" spans="1:6" x14ac:dyDescent="0.35">
      <c r="A4192" s="3">
        <v>82799935343</v>
      </c>
      <c r="B4192" s="3">
        <v>113</v>
      </c>
      <c r="C4192" s="32">
        <v>49265</v>
      </c>
      <c r="D4192" s="32" t="s">
        <v>87</v>
      </c>
      <c r="E4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3" spans="1:6" x14ac:dyDescent="0.35">
      <c r="A4193" s="3">
        <v>17232627930</v>
      </c>
      <c r="B4193" s="3">
        <v>73</v>
      </c>
      <c r="C4193" s="32">
        <v>49265</v>
      </c>
      <c r="D4193" s="32" t="s">
        <v>87</v>
      </c>
      <c r="E4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4" spans="1:6" x14ac:dyDescent="0.35">
      <c r="A4194" s="3">
        <v>72944097748</v>
      </c>
      <c r="B4194" s="3">
        <v>85</v>
      </c>
      <c r="C4194" s="32">
        <v>49265</v>
      </c>
      <c r="D4194" s="32" t="s">
        <v>87</v>
      </c>
      <c r="E4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5" spans="1:6" x14ac:dyDescent="0.35">
      <c r="A4195" s="3">
        <v>26074682008</v>
      </c>
      <c r="B4195" s="3">
        <v>47</v>
      </c>
      <c r="C4195" s="32">
        <v>49265</v>
      </c>
      <c r="D4195" s="32">
        <v>49328</v>
      </c>
      <c r="E4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96" spans="1:6" x14ac:dyDescent="0.35">
      <c r="A4196" s="3">
        <v>95318950053</v>
      </c>
      <c r="B4196" s="3">
        <v>123</v>
      </c>
      <c r="C4196" s="32">
        <v>49265</v>
      </c>
      <c r="D4196" s="32" t="s">
        <v>87</v>
      </c>
      <c r="E4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7" spans="1:6" x14ac:dyDescent="0.35">
      <c r="A4197" s="3">
        <v>83481885936</v>
      </c>
      <c r="B4197" s="3">
        <v>151</v>
      </c>
      <c r="C4197" s="32">
        <v>49265</v>
      </c>
      <c r="D4197" s="32"/>
      <c r="E4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8" spans="1:6" x14ac:dyDescent="0.35">
      <c r="A4198" s="3">
        <v>27654721895</v>
      </c>
      <c r="B4198" s="3">
        <v>185</v>
      </c>
      <c r="C4198" s="32">
        <v>49265</v>
      </c>
      <c r="D4198" s="32" t="s">
        <v>87</v>
      </c>
      <c r="E41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9" spans="1:6" x14ac:dyDescent="0.35">
      <c r="A4199" s="3">
        <v>88770137465</v>
      </c>
      <c r="B4199" s="3">
        <v>24</v>
      </c>
      <c r="C4199" s="32">
        <v>49265</v>
      </c>
      <c r="D4199" s="32" t="s">
        <v>87</v>
      </c>
      <c r="E41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0" spans="1:6" x14ac:dyDescent="0.35">
      <c r="A4200" s="3">
        <v>31096658165</v>
      </c>
      <c r="B4200" s="3">
        <v>4</v>
      </c>
      <c r="C4200" s="32">
        <v>49265</v>
      </c>
      <c r="D4200" s="32" t="s">
        <v>87</v>
      </c>
      <c r="E42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1" spans="1:6" x14ac:dyDescent="0.35">
      <c r="A4201" s="3">
        <v>18085620121</v>
      </c>
      <c r="B4201" s="3">
        <v>284</v>
      </c>
      <c r="C4201" s="32">
        <v>49265</v>
      </c>
      <c r="D4201" s="32" t="s">
        <v>87</v>
      </c>
      <c r="E42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2" spans="1:6" x14ac:dyDescent="0.35">
      <c r="A4202" s="3">
        <v>45342932450</v>
      </c>
      <c r="B4202" s="3">
        <v>122</v>
      </c>
      <c r="C4202" s="32">
        <v>49265</v>
      </c>
      <c r="D4202" s="32"/>
      <c r="E42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3" spans="1:6" x14ac:dyDescent="0.35">
      <c r="A4203" s="3">
        <v>89398323256</v>
      </c>
      <c r="B4203" s="3">
        <v>307</v>
      </c>
      <c r="C4203" s="32">
        <v>49265</v>
      </c>
      <c r="D4203" s="32" t="s">
        <v>87</v>
      </c>
      <c r="E42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4" spans="1:6" x14ac:dyDescent="0.35">
      <c r="A4204" s="3">
        <v>82690247477</v>
      </c>
      <c r="B4204" s="3">
        <v>94</v>
      </c>
      <c r="C4204" s="32">
        <v>49265</v>
      </c>
      <c r="D4204" s="32" t="s">
        <v>87</v>
      </c>
      <c r="E42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5" spans="1:6" x14ac:dyDescent="0.35">
      <c r="A4205" s="3">
        <v>41481840506</v>
      </c>
      <c r="B4205" s="3">
        <v>5</v>
      </c>
      <c r="C4205" s="32">
        <v>49265</v>
      </c>
      <c r="D4205" s="32">
        <v>49349</v>
      </c>
      <c r="E42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206" spans="1:6" x14ac:dyDescent="0.35">
      <c r="A4206" s="3">
        <v>90343432275</v>
      </c>
      <c r="B4206" s="3">
        <v>248</v>
      </c>
      <c r="C4206" s="32">
        <v>49265</v>
      </c>
      <c r="D4206" s="32" t="s">
        <v>87</v>
      </c>
      <c r="E42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7" spans="1:6" x14ac:dyDescent="0.35">
      <c r="A4207" s="3">
        <v>46808828159</v>
      </c>
      <c r="B4207" s="3">
        <v>88</v>
      </c>
      <c r="C4207" s="32">
        <v>49265</v>
      </c>
      <c r="D4207" s="32">
        <v>49291</v>
      </c>
      <c r="E42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208" spans="1:6" x14ac:dyDescent="0.35">
      <c r="A4208" s="3">
        <v>76898559704</v>
      </c>
      <c r="B4208" s="3">
        <v>67</v>
      </c>
      <c r="C4208" s="32">
        <v>49265</v>
      </c>
      <c r="D4208" s="32" t="s">
        <v>87</v>
      </c>
      <c r="E42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9" spans="1:6" x14ac:dyDescent="0.35">
      <c r="A4209" s="3">
        <v>52054633037</v>
      </c>
      <c r="B4209" s="3">
        <v>199</v>
      </c>
      <c r="C4209" s="32">
        <v>49265</v>
      </c>
      <c r="D4209" s="32" t="s">
        <v>87</v>
      </c>
      <c r="E42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0" spans="1:6" x14ac:dyDescent="0.35">
      <c r="A4210" s="3">
        <v>52098768824</v>
      </c>
      <c r="B4210" s="3">
        <v>283</v>
      </c>
      <c r="C4210" s="32">
        <v>49265</v>
      </c>
      <c r="D4210" s="32" t="s">
        <v>87</v>
      </c>
      <c r="E42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1" spans="1:6" x14ac:dyDescent="0.35">
      <c r="A4211" s="3">
        <v>44599506307</v>
      </c>
      <c r="B4211" s="3">
        <v>291</v>
      </c>
      <c r="C4211" s="32">
        <v>49265</v>
      </c>
      <c r="D4211" s="32" t="s">
        <v>87</v>
      </c>
      <c r="E42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2" spans="1:6" x14ac:dyDescent="0.35">
      <c r="A4212" s="3">
        <v>83037212775</v>
      </c>
      <c r="B4212" s="3">
        <v>135</v>
      </c>
      <c r="C4212" s="32">
        <v>49265</v>
      </c>
      <c r="D4212" s="32">
        <v>49296</v>
      </c>
      <c r="E42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213" spans="1:6" x14ac:dyDescent="0.35">
      <c r="A4213" s="3">
        <v>72583810257</v>
      </c>
      <c r="B4213" s="3">
        <v>293</v>
      </c>
      <c r="C4213" s="32">
        <v>49265</v>
      </c>
      <c r="D4213" s="32" t="s">
        <v>87</v>
      </c>
      <c r="E42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4" spans="1:6" x14ac:dyDescent="0.35">
      <c r="A4214" s="3">
        <v>72695558763</v>
      </c>
      <c r="B4214" s="3">
        <v>206</v>
      </c>
      <c r="C4214" s="32">
        <v>49265</v>
      </c>
      <c r="D4214" s="32" t="s">
        <v>87</v>
      </c>
      <c r="E42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5" spans="1:6" x14ac:dyDescent="0.35">
      <c r="A4215" s="3">
        <v>46981527014</v>
      </c>
      <c r="B4215" s="3">
        <v>132</v>
      </c>
      <c r="C4215" s="32">
        <v>49265</v>
      </c>
      <c r="D4215" s="32" t="s">
        <v>87</v>
      </c>
      <c r="E42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6" spans="1:6" x14ac:dyDescent="0.35">
      <c r="A4216" s="3">
        <v>87953159256</v>
      </c>
      <c r="B4216" s="3">
        <v>251</v>
      </c>
      <c r="C4216" s="32">
        <v>49265</v>
      </c>
      <c r="D4216" s="32" t="s">
        <v>87</v>
      </c>
      <c r="E42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7" spans="1:6" x14ac:dyDescent="0.35">
      <c r="A4217" s="3">
        <v>37631946141</v>
      </c>
      <c r="B4217" s="3">
        <v>79</v>
      </c>
      <c r="C4217" s="32">
        <v>49266</v>
      </c>
      <c r="D4217" s="32" t="s">
        <v>87</v>
      </c>
      <c r="E42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8" spans="1:6" x14ac:dyDescent="0.35">
      <c r="A4218" s="3">
        <v>87072811160</v>
      </c>
      <c r="B4218" s="3">
        <v>106</v>
      </c>
      <c r="C4218" s="32">
        <v>49266</v>
      </c>
      <c r="D4218" s="32" t="s">
        <v>87</v>
      </c>
      <c r="E42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9" spans="1:6" x14ac:dyDescent="0.35">
      <c r="A4219" s="3">
        <v>34035517710</v>
      </c>
      <c r="B4219" s="3">
        <v>260</v>
      </c>
      <c r="C4219" s="32">
        <v>49266</v>
      </c>
      <c r="D4219" s="32">
        <v>49312</v>
      </c>
      <c r="E42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20" spans="1:6" x14ac:dyDescent="0.35">
      <c r="A4220" s="3">
        <v>24102427880</v>
      </c>
      <c r="B4220" s="3">
        <v>71</v>
      </c>
      <c r="C4220" s="32">
        <v>49266</v>
      </c>
      <c r="D4220" s="32" t="s">
        <v>87</v>
      </c>
      <c r="E42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1" spans="1:6" x14ac:dyDescent="0.35">
      <c r="A4221" s="3">
        <v>56822634299</v>
      </c>
      <c r="B4221" s="3">
        <v>213</v>
      </c>
      <c r="C4221" s="32">
        <v>49266</v>
      </c>
      <c r="D4221" s="32"/>
      <c r="E42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2" spans="1:6" x14ac:dyDescent="0.35">
      <c r="A4222" s="3">
        <v>50312105178</v>
      </c>
      <c r="B4222" s="3">
        <v>260</v>
      </c>
      <c r="C4222" s="32">
        <v>49266</v>
      </c>
      <c r="D4222" s="32" t="s">
        <v>87</v>
      </c>
      <c r="E42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3" spans="1:6" x14ac:dyDescent="0.35">
      <c r="A4223" s="3">
        <v>78087745788</v>
      </c>
      <c r="B4223" s="3">
        <v>207</v>
      </c>
      <c r="C4223" s="32">
        <v>49266</v>
      </c>
      <c r="D4223" s="32" t="s">
        <v>87</v>
      </c>
      <c r="E42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4" spans="1:6" x14ac:dyDescent="0.35">
      <c r="A4224" s="3">
        <v>92409235715</v>
      </c>
      <c r="B4224" s="3">
        <v>243</v>
      </c>
      <c r="C4224" s="32">
        <v>49266</v>
      </c>
      <c r="D4224" s="32" t="s">
        <v>87</v>
      </c>
      <c r="E42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5" spans="1:6" x14ac:dyDescent="0.35">
      <c r="A4225" s="3">
        <v>50991613736</v>
      </c>
      <c r="B4225" s="3">
        <v>256</v>
      </c>
      <c r="C4225" s="32">
        <v>49266</v>
      </c>
      <c r="D4225" s="32" t="s">
        <v>87</v>
      </c>
      <c r="E42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6" spans="1:6" x14ac:dyDescent="0.35">
      <c r="A4226" s="3">
        <v>35929964437</v>
      </c>
      <c r="B4226" s="3">
        <v>102</v>
      </c>
      <c r="C4226" s="32">
        <v>49266</v>
      </c>
      <c r="D4226" s="32" t="s">
        <v>87</v>
      </c>
      <c r="E42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7" spans="1:6" x14ac:dyDescent="0.35">
      <c r="A4227" s="3">
        <v>63029781584</v>
      </c>
      <c r="B4227" s="3">
        <v>99</v>
      </c>
      <c r="C4227" s="32">
        <v>49266</v>
      </c>
      <c r="D4227" s="32">
        <v>49327</v>
      </c>
      <c r="E42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28" spans="1:6" x14ac:dyDescent="0.35">
      <c r="A4228" s="3">
        <v>31750261502</v>
      </c>
      <c r="B4228" s="3">
        <v>39</v>
      </c>
      <c r="C4228" s="32">
        <v>49266</v>
      </c>
      <c r="D4228" s="32" t="s">
        <v>87</v>
      </c>
      <c r="E42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9" spans="1:6" x14ac:dyDescent="0.35">
      <c r="A4229" s="3">
        <v>31079500242</v>
      </c>
      <c r="B4229" s="3">
        <v>202</v>
      </c>
      <c r="C4229" s="32">
        <v>49266</v>
      </c>
      <c r="D4229" s="32" t="s">
        <v>87</v>
      </c>
      <c r="E42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0" spans="1:6" x14ac:dyDescent="0.35">
      <c r="A4230" s="3">
        <v>78001038729</v>
      </c>
      <c r="B4230" s="3">
        <v>146</v>
      </c>
      <c r="C4230" s="32">
        <v>49266</v>
      </c>
      <c r="D4230" s="32"/>
      <c r="E42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1" spans="1:6" x14ac:dyDescent="0.35">
      <c r="A4231" s="3">
        <v>73952029089</v>
      </c>
      <c r="B4231" s="3">
        <v>273</v>
      </c>
      <c r="C4231" s="32">
        <v>49266</v>
      </c>
      <c r="D4231" s="32">
        <v>49282</v>
      </c>
      <c r="E42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232" spans="1:6" x14ac:dyDescent="0.35">
      <c r="A4232" s="3">
        <v>54014086838</v>
      </c>
      <c r="B4232" s="3">
        <v>80</v>
      </c>
      <c r="C4232" s="32">
        <v>49266</v>
      </c>
      <c r="D4232" s="32" t="s">
        <v>87</v>
      </c>
      <c r="E42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3" spans="1:6" x14ac:dyDescent="0.35">
      <c r="A4233" s="3">
        <v>88191603744</v>
      </c>
      <c r="B4233" s="3">
        <v>145</v>
      </c>
      <c r="C4233" s="32">
        <v>49266</v>
      </c>
      <c r="D4233" s="32">
        <v>49320</v>
      </c>
      <c r="E42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34" spans="1:6" x14ac:dyDescent="0.35">
      <c r="A4234" s="3">
        <v>18701327395</v>
      </c>
      <c r="B4234" s="3">
        <v>225</v>
      </c>
      <c r="C4234" s="32">
        <v>49266</v>
      </c>
      <c r="D4234" s="32" t="s">
        <v>87</v>
      </c>
      <c r="E42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5" spans="1:6" x14ac:dyDescent="0.35">
      <c r="A4235" s="3">
        <v>71715021243</v>
      </c>
      <c r="B4235" s="3">
        <v>182</v>
      </c>
      <c r="C4235" s="32">
        <v>49266</v>
      </c>
      <c r="D4235" s="32">
        <v>49326</v>
      </c>
      <c r="E42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36" spans="1:6" x14ac:dyDescent="0.35">
      <c r="A4236" s="3">
        <v>39871956989</v>
      </c>
      <c r="B4236" s="3">
        <v>111</v>
      </c>
      <c r="C4236" s="32">
        <v>49266</v>
      </c>
      <c r="D4236" s="32"/>
      <c r="E42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7" spans="1:6" x14ac:dyDescent="0.35">
      <c r="A4237" s="3">
        <v>17598896285</v>
      </c>
      <c r="B4237" s="3">
        <v>243</v>
      </c>
      <c r="C4237" s="32">
        <v>49266</v>
      </c>
      <c r="D4237" s="32" t="s">
        <v>87</v>
      </c>
      <c r="E42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8" spans="1:6" x14ac:dyDescent="0.35">
      <c r="A4238" s="3">
        <v>98543713499</v>
      </c>
      <c r="B4238" s="3">
        <v>275</v>
      </c>
      <c r="C4238" s="32">
        <v>49266</v>
      </c>
      <c r="D4238" s="32" t="s">
        <v>87</v>
      </c>
      <c r="E42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9" spans="1:6" x14ac:dyDescent="0.35">
      <c r="A4239" s="3">
        <v>53030689131</v>
      </c>
      <c r="B4239" s="3">
        <v>24</v>
      </c>
      <c r="C4239" s="32">
        <v>49266</v>
      </c>
      <c r="D4239" s="32" t="s">
        <v>87</v>
      </c>
      <c r="E42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0" spans="1:6" x14ac:dyDescent="0.35">
      <c r="A4240" s="3">
        <v>12846016709</v>
      </c>
      <c r="B4240" s="3">
        <v>86</v>
      </c>
      <c r="C4240" s="32">
        <v>49266</v>
      </c>
      <c r="D4240" s="32">
        <v>49300</v>
      </c>
      <c r="E42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241" spans="1:6" x14ac:dyDescent="0.35">
      <c r="A4241" s="3">
        <v>66610021519</v>
      </c>
      <c r="B4241" s="3">
        <v>314</v>
      </c>
      <c r="C4241" s="32">
        <v>49266</v>
      </c>
      <c r="D4241" s="32" t="s">
        <v>87</v>
      </c>
      <c r="E42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2" spans="1:6" x14ac:dyDescent="0.35">
      <c r="A4242" s="3">
        <v>59376825520</v>
      </c>
      <c r="B4242" s="3">
        <v>189</v>
      </c>
      <c r="C4242" s="32">
        <v>49266</v>
      </c>
      <c r="D4242" s="32">
        <v>49290</v>
      </c>
      <c r="E42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243" spans="1:6" x14ac:dyDescent="0.35">
      <c r="A4243" s="3">
        <v>50370570397</v>
      </c>
      <c r="B4243" s="3">
        <v>55</v>
      </c>
      <c r="C4243" s="32">
        <v>49267</v>
      </c>
      <c r="D4243" s="32" t="s">
        <v>87</v>
      </c>
      <c r="E42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4" spans="1:6" x14ac:dyDescent="0.35">
      <c r="A4244" s="3">
        <v>13162645740</v>
      </c>
      <c r="B4244" s="3">
        <v>109</v>
      </c>
      <c r="C4244" s="32">
        <v>49267</v>
      </c>
      <c r="D4244" s="32"/>
      <c r="E42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5" spans="1:6" x14ac:dyDescent="0.35">
      <c r="A4245" s="3">
        <v>87234895046</v>
      </c>
      <c r="B4245" s="3">
        <v>116</v>
      </c>
      <c r="C4245" s="32">
        <v>49267</v>
      </c>
      <c r="D4245" s="32">
        <v>49327</v>
      </c>
      <c r="E42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46" spans="1:6" x14ac:dyDescent="0.35">
      <c r="A4246" s="3">
        <v>51230811262</v>
      </c>
      <c r="B4246" s="3">
        <v>118</v>
      </c>
      <c r="C4246" s="32">
        <v>49267</v>
      </c>
      <c r="D4246" s="32" t="s">
        <v>87</v>
      </c>
      <c r="E42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7" spans="1:6" x14ac:dyDescent="0.35">
      <c r="A4247" s="3">
        <v>93672024747</v>
      </c>
      <c r="B4247" s="3">
        <v>59</v>
      </c>
      <c r="C4247" s="32">
        <v>49267</v>
      </c>
      <c r="D4247" s="32" t="s">
        <v>87</v>
      </c>
      <c r="E42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8" spans="1:6" x14ac:dyDescent="0.35">
      <c r="A4248" s="3">
        <v>54884695408</v>
      </c>
      <c r="B4248" s="3">
        <v>283</v>
      </c>
      <c r="C4248" s="32">
        <v>49267</v>
      </c>
      <c r="D4248" s="32" t="s">
        <v>87</v>
      </c>
      <c r="E42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9" spans="1:6" x14ac:dyDescent="0.35">
      <c r="A4249" s="3">
        <v>68882859954</v>
      </c>
      <c r="B4249" s="3">
        <v>178</v>
      </c>
      <c r="C4249" s="32">
        <v>49267</v>
      </c>
      <c r="D4249" s="32" t="s">
        <v>87</v>
      </c>
      <c r="E42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0" spans="1:6" x14ac:dyDescent="0.35">
      <c r="A4250" s="3">
        <v>98590581377</v>
      </c>
      <c r="B4250" s="3">
        <v>134</v>
      </c>
      <c r="C4250" s="32">
        <v>49267</v>
      </c>
      <c r="D4250" s="32" t="s">
        <v>87</v>
      </c>
      <c r="E42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1" spans="1:6" x14ac:dyDescent="0.35">
      <c r="A4251" s="3">
        <v>65685006361</v>
      </c>
      <c r="B4251" s="3">
        <v>173</v>
      </c>
      <c r="C4251" s="32">
        <v>49267</v>
      </c>
      <c r="D4251" s="32">
        <v>49338</v>
      </c>
      <c r="E42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52" spans="1:6" x14ac:dyDescent="0.35">
      <c r="A4252" s="3">
        <v>46164670856</v>
      </c>
      <c r="B4252" s="3">
        <v>229</v>
      </c>
      <c r="C4252" s="32">
        <v>49267</v>
      </c>
      <c r="D4252" s="32"/>
      <c r="E42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3" spans="1:6" x14ac:dyDescent="0.35">
      <c r="A4253" s="3">
        <v>37296429563</v>
      </c>
      <c r="B4253" s="3">
        <v>301</v>
      </c>
      <c r="C4253" s="32">
        <v>49267</v>
      </c>
      <c r="D4253" s="32"/>
      <c r="E42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4" spans="1:6" x14ac:dyDescent="0.35">
      <c r="A4254" s="3">
        <v>65507788999</v>
      </c>
      <c r="B4254" s="3">
        <v>255</v>
      </c>
      <c r="C4254" s="32">
        <v>49267</v>
      </c>
      <c r="D4254" s="32">
        <v>49364</v>
      </c>
      <c r="E42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255" spans="1:6" x14ac:dyDescent="0.35">
      <c r="A4255" s="3">
        <v>59444632427</v>
      </c>
      <c r="B4255" s="3">
        <v>116</v>
      </c>
      <c r="C4255" s="32">
        <v>49267</v>
      </c>
      <c r="D4255" s="32" t="s">
        <v>87</v>
      </c>
      <c r="E42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6" spans="1:6" x14ac:dyDescent="0.35">
      <c r="A4256" s="3">
        <v>75678925969</v>
      </c>
      <c r="B4256" s="3">
        <v>73</v>
      </c>
      <c r="C4256" s="32">
        <v>49267</v>
      </c>
      <c r="D4256" s="32" t="s">
        <v>87</v>
      </c>
      <c r="E42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7" spans="1:6" x14ac:dyDescent="0.35">
      <c r="A4257" s="3">
        <v>61694291162</v>
      </c>
      <c r="B4257" s="3">
        <v>123</v>
      </c>
      <c r="C4257" s="32">
        <v>49267</v>
      </c>
      <c r="D4257" s="32" t="s">
        <v>87</v>
      </c>
      <c r="E42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8" spans="1:6" x14ac:dyDescent="0.35">
      <c r="A4258" s="3">
        <v>14107583990</v>
      </c>
      <c r="B4258" s="3">
        <v>269</v>
      </c>
      <c r="C4258" s="32">
        <v>49267</v>
      </c>
      <c r="D4258" s="32" t="s">
        <v>87</v>
      </c>
      <c r="E42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9" spans="1:6" x14ac:dyDescent="0.35">
      <c r="A4259" s="3">
        <v>31798423441</v>
      </c>
      <c r="B4259" s="3">
        <v>10</v>
      </c>
      <c r="C4259" s="32">
        <v>49267</v>
      </c>
      <c r="D4259" s="32"/>
      <c r="E42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0" spans="1:6" x14ac:dyDescent="0.35">
      <c r="A4260" s="3">
        <v>79884490354</v>
      </c>
      <c r="B4260" s="3">
        <v>256</v>
      </c>
      <c r="C4260" s="32">
        <v>49267</v>
      </c>
      <c r="D4260" s="32" t="s">
        <v>87</v>
      </c>
      <c r="E42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1" spans="1:6" x14ac:dyDescent="0.35">
      <c r="A4261" s="3">
        <v>69167776583</v>
      </c>
      <c r="B4261" s="3">
        <v>31</v>
      </c>
      <c r="C4261" s="32">
        <v>49267</v>
      </c>
      <c r="D4261" s="32" t="s">
        <v>87</v>
      </c>
      <c r="E42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2" spans="1:6" x14ac:dyDescent="0.35">
      <c r="A4262" s="3">
        <v>88523840001</v>
      </c>
      <c r="B4262" s="3">
        <v>155</v>
      </c>
      <c r="C4262" s="32">
        <v>49267</v>
      </c>
      <c r="D4262" s="32">
        <v>49323</v>
      </c>
      <c r="E42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63" spans="1:6" x14ac:dyDescent="0.35">
      <c r="A4263" s="3">
        <v>18070486229</v>
      </c>
      <c r="B4263" s="3">
        <v>20</v>
      </c>
      <c r="C4263" s="32">
        <v>49267</v>
      </c>
      <c r="D4263" s="32" t="s">
        <v>87</v>
      </c>
      <c r="E42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4" spans="1:6" x14ac:dyDescent="0.35">
      <c r="A4264" s="3">
        <v>65068219089</v>
      </c>
      <c r="B4264" s="3">
        <v>321</v>
      </c>
      <c r="C4264" s="32">
        <v>49268</v>
      </c>
      <c r="D4264" s="32" t="s">
        <v>87</v>
      </c>
      <c r="E42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5" spans="1:6" x14ac:dyDescent="0.35">
      <c r="A4265" s="3">
        <v>47814090063</v>
      </c>
      <c r="B4265" s="3">
        <v>212</v>
      </c>
      <c r="C4265" s="32">
        <v>49268</v>
      </c>
      <c r="D4265" s="32" t="s">
        <v>87</v>
      </c>
      <c r="E42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6" spans="1:6" x14ac:dyDescent="0.35">
      <c r="A4266" s="3">
        <v>33217839078</v>
      </c>
      <c r="B4266" s="3">
        <v>334</v>
      </c>
      <c r="C4266" s="32">
        <v>49268</v>
      </c>
      <c r="D4266" s="32">
        <v>49350</v>
      </c>
      <c r="E42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267" spans="1:6" x14ac:dyDescent="0.35">
      <c r="A4267" s="3">
        <v>66001243659</v>
      </c>
      <c r="B4267" s="3">
        <v>45</v>
      </c>
      <c r="C4267" s="32">
        <v>49268</v>
      </c>
      <c r="D4267" s="32" t="s">
        <v>87</v>
      </c>
      <c r="E42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8" spans="1:6" x14ac:dyDescent="0.35">
      <c r="A4268" s="3">
        <v>25073046978</v>
      </c>
      <c r="B4268" s="3">
        <v>83</v>
      </c>
      <c r="C4268" s="32">
        <v>49268</v>
      </c>
      <c r="D4268" s="32">
        <v>49333</v>
      </c>
      <c r="E42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69" spans="1:6" x14ac:dyDescent="0.35">
      <c r="A4269" s="3">
        <v>62279007363</v>
      </c>
      <c r="B4269" s="3">
        <v>120</v>
      </c>
      <c r="C4269" s="32">
        <v>49268</v>
      </c>
      <c r="D4269" s="32"/>
      <c r="E42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0" spans="1:6" x14ac:dyDescent="0.35">
      <c r="A4270" s="3">
        <v>98922471036</v>
      </c>
      <c r="B4270" s="3">
        <v>183</v>
      </c>
      <c r="C4270" s="32">
        <v>49268</v>
      </c>
      <c r="D4270" s="32" t="s">
        <v>87</v>
      </c>
      <c r="E42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1" spans="1:6" x14ac:dyDescent="0.35">
      <c r="A4271" s="3">
        <v>36319986074</v>
      </c>
      <c r="B4271" s="3">
        <v>251</v>
      </c>
      <c r="C4271" s="32">
        <v>49268</v>
      </c>
      <c r="D4271" s="32" t="s">
        <v>87</v>
      </c>
      <c r="E42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2" spans="1:6" x14ac:dyDescent="0.35">
      <c r="A4272" s="3">
        <v>76373319974</v>
      </c>
      <c r="B4272" s="3">
        <v>133</v>
      </c>
      <c r="C4272" s="32">
        <v>49268</v>
      </c>
      <c r="D4272" s="32" t="s">
        <v>87</v>
      </c>
      <c r="E42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3" spans="1:6" x14ac:dyDescent="0.35">
      <c r="A4273" s="3">
        <v>62773294003</v>
      </c>
      <c r="B4273" s="3">
        <v>151</v>
      </c>
      <c r="C4273" s="32">
        <v>49268</v>
      </c>
      <c r="D4273" s="32" t="s">
        <v>87</v>
      </c>
      <c r="E42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4" spans="1:6" x14ac:dyDescent="0.35">
      <c r="A4274" s="3">
        <v>64555196268</v>
      </c>
      <c r="B4274" s="3">
        <v>315</v>
      </c>
      <c r="C4274" s="32">
        <v>49268</v>
      </c>
      <c r="D4274" s="32">
        <v>49348</v>
      </c>
      <c r="E42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275" spans="1:6" x14ac:dyDescent="0.35">
      <c r="A4275" s="3">
        <v>98668457720</v>
      </c>
      <c r="B4275" s="3">
        <v>4</v>
      </c>
      <c r="C4275" s="32">
        <v>49268</v>
      </c>
      <c r="D4275" s="32">
        <v>49269</v>
      </c>
      <c r="E42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276" spans="1:6" x14ac:dyDescent="0.35">
      <c r="A4276" s="3">
        <v>16760651855</v>
      </c>
      <c r="B4276" s="3">
        <v>265</v>
      </c>
      <c r="C4276" s="32">
        <v>49268</v>
      </c>
      <c r="D4276" s="32">
        <v>49325</v>
      </c>
      <c r="E42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77" spans="1:6" x14ac:dyDescent="0.35">
      <c r="A4277" s="3">
        <v>84035655464</v>
      </c>
      <c r="B4277" s="3">
        <v>271</v>
      </c>
      <c r="C4277" s="32">
        <v>49268</v>
      </c>
      <c r="D4277" s="32">
        <v>49270</v>
      </c>
      <c r="E42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278" spans="1:6" x14ac:dyDescent="0.35">
      <c r="A4278" s="3">
        <v>75280412242</v>
      </c>
      <c r="B4278" s="3">
        <v>30</v>
      </c>
      <c r="C4278" s="32">
        <v>49268</v>
      </c>
      <c r="D4278" s="32" t="s">
        <v>87</v>
      </c>
      <c r="E42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9" spans="1:6" x14ac:dyDescent="0.35">
      <c r="A4279" s="3">
        <v>58284880441</v>
      </c>
      <c r="B4279" s="3">
        <v>251</v>
      </c>
      <c r="C4279" s="32">
        <v>49268</v>
      </c>
      <c r="D4279" s="32" t="s">
        <v>87</v>
      </c>
      <c r="E42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0" spans="1:6" x14ac:dyDescent="0.35">
      <c r="A4280" s="3">
        <v>39412044330</v>
      </c>
      <c r="B4280" s="3">
        <v>291</v>
      </c>
      <c r="C4280" s="32">
        <v>49268</v>
      </c>
      <c r="D4280" s="32" t="s">
        <v>87</v>
      </c>
      <c r="E42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1" spans="1:6" x14ac:dyDescent="0.35">
      <c r="A4281" s="3">
        <v>98178258801</v>
      </c>
      <c r="B4281" s="3">
        <v>107</v>
      </c>
      <c r="C4281" s="32">
        <v>49268</v>
      </c>
      <c r="D4281" s="32" t="s">
        <v>87</v>
      </c>
      <c r="E42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2" spans="1:6" x14ac:dyDescent="0.35">
      <c r="A4282" s="3">
        <v>80429463334</v>
      </c>
      <c r="B4282" s="3">
        <v>324</v>
      </c>
      <c r="C4282" s="32">
        <v>49268</v>
      </c>
      <c r="D4282" s="32"/>
      <c r="E42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3" spans="1:6" x14ac:dyDescent="0.35">
      <c r="A4283" s="3">
        <v>11736826939</v>
      </c>
      <c r="B4283" s="3">
        <v>240</v>
      </c>
      <c r="C4283" s="32">
        <v>49268</v>
      </c>
      <c r="D4283" s="32" t="s">
        <v>87</v>
      </c>
      <c r="E42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4" spans="1:6" x14ac:dyDescent="0.35">
      <c r="A4284" s="3">
        <v>27836161973</v>
      </c>
      <c r="B4284" s="3">
        <v>315</v>
      </c>
      <c r="C4284" s="32">
        <v>49268</v>
      </c>
      <c r="D4284" s="32"/>
      <c r="E42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5" spans="1:6" x14ac:dyDescent="0.35">
      <c r="A4285" s="3">
        <v>87149222963</v>
      </c>
      <c r="B4285" s="3">
        <v>261</v>
      </c>
      <c r="C4285" s="32">
        <v>49268</v>
      </c>
      <c r="D4285" s="32" t="s">
        <v>87</v>
      </c>
      <c r="E42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6" spans="1:6" x14ac:dyDescent="0.35">
      <c r="A4286" s="3">
        <v>39866030338</v>
      </c>
      <c r="B4286" s="3">
        <v>19</v>
      </c>
      <c r="C4286" s="32">
        <v>49268</v>
      </c>
      <c r="D4286" s="32" t="s">
        <v>87</v>
      </c>
      <c r="E42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7" spans="1:6" x14ac:dyDescent="0.35">
      <c r="A4287" s="3">
        <v>26000952558</v>
      </c>
      <c r="B4287" s="3">
        <v>328</v>
      </c>
      <c r="C4287" s="32">
        <v>49268</v>
      </c>
      <c r="D4287" s="32" t="s">
        <v>87</v>
      </c>
      <c r="E42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8" spans="1:6" x14ac:dyDescent="0.35">
      <c r="A4288" s="3">
        <v>20905770356</v>
      </c>
      <c r="B4288" s="3">
        <v>144</v>
      </c>
      <c r="C4288" s="32">
        <v>49268</v>
      </c>
      <c r="D4288" s="32" t="s">
        <v>87</v>
      </c>
      <c r="E42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9" spans="1:6" x14ac:dyDescent="0.35">
      <c r="A4289" s="3">
        <v>35735244083</v>
      </c>
      <c r="B4289" s="3">
        <v>225</v>
      </c>
      <c r="C4289" s="32">
        <v>49269</v>
      </c>
      <c r="D4289" s="32" t="s">
        <v>87</v>
      </c>
      <c r="E42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0" spans="1:6" x14ac:dyDescent="0.35">
      <c r="A4290" s="3">
        <v>51226393828</v>
      </c>
      <c r="B4290" s="3">
        <v>207</v>
      </c>
      <c r="C4290" s="32">
        <v>49269</v>
      </c>
      <c r="D4290" s="32" t="s">
        <v>87</v>
      </c>
      <c r="E42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1" spans="1:6" x14ac:dyDescent="0.35">
      <c r="A4291" s="3">
        <v>55800241500</v>
      </c>
      <c r="B4291" s="3">
        <v>139</v>
      </c>
      <c r="C4291" s="32">
        <v>49269</v>
      </c>
      <c r="D4291" s="32"/>
      <c r="E42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2" spans="1:6" x14ac:dyDescent="0.35">
      <c r="A4292" s="3">
        <v>35104413736</v>
      </c>
      <c r="B4292" s="3">
        <v>265</v>
      </c>
      <c r="C4292" s="32">
        <v>49269</v>
      </c>
      <c r="D4292" s="32"/>
      <c r="E42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3" spans="1:6" x14ac:dyDescent="0.35">
      <c r="A4293" s="3">
        <v>31021273415</v>
      </c>
      <c r="B4293" s="3">
        <v>199</v>
      </c>
      <c r="C4293" s="32">
        <v>49269</v>
      </c>
      <c r="D4293" s="32" t="s">
        <v>87</v>
      </c>
      <c r="E42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4" spans="1:6" x14ac:dyDescent="0.35">
      <c r="A4294" s="3">
        <v>36561991052</v>
      </c>
      <c r="B4294" s="3">
        <v>162</v>
      </c>
      <c r="C4294" s="32">
        <v>49269</v>
      </c>
      <c r="D4294" s="32" t="s">
        <v>87</v>
      </c>
      <c r="E42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5" spans="1:6" x14ac:dyDescent="0.35">
      <c r="A4295" s="3">
        <v>89359331926</v>
      </c>
      <c r="B4295" s="3">
        <v>92</v>
      </c>
      <c r="C4295" s="32">
        <v>49269</v>
      </c>
      <c r="D4295" s="32">
        <v>49312</v>
      </c>
      <c r="E42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96" spans="1:6" x14ac:dyDescent="0.35">
      <c r="A4296" s="3">
        <v>18676119644</v>
      </c>
      <c r="B4296" s="3">
        <v>292</v>
      </c>
      <c r="C4296" s="32">
        <v>49269</v>
      </c>
      <c r="D4296" s="32" t="s">
        <v>87</v>
      </c>
      <c r="E42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7" spans="1:6" x14ac:dyDescent="0.35">
      <c r="A4297" s="3">
        <v>54019228798</v>
      </c>
      <c r="B4297" s="3">
        <v>3</v>
      </c>
      <c r="C4297" s="32">
        <v>49269</v>
      </c>
      <c r="D4297" s="32" t="s">
        <v>87</v>
      </c>
      <c r="E42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8" spans="1:6" x14ac:dyDescent="0.35">
      <c r="A4298" s="3">
        <v>94813422740</v>
      </c>
      <c r="B4298" s="3">
        <v>241</v>
      </c>
      <c r="C4298" s="32">
        <v>49269</v>
      </c>
      <c r="D4298" s="32" t="s">
        <v>87</v>
      </c>
      <c r="E42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9" spans="1:6" x14ac:dyDescent="0.35">
      <c r="A4299" s="3">
        <v>90765409843</v>
      </c>
      <c r="B4299" s="3">
        <v>252</v>
      </c>
      <c r="C4299" s="32">
        <v>49269</v>
      </c>
      <c r="D4299" s="32" t="s">
        <v>87</v>
      </c>
      <c r="E42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0" spans="1:6" x14ac:dyDescent="0.35">
      <c r="A4300" s="3">
        <v>36178042663</v>
      </c>
      <c r="B4300" s="3">
        <v>46</v>
      </c>
      <c r="C4300" s="32">
        <v>49269</v>
      </c>
      <c r="D4300" s="32">
        <v>49312</v>
      </c>
      <c r="E43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301" spans="1:6" x14ac:dyDescent="0.35">
      <c r="A4301" s="3">
        <v>55868206515</v>
      </c>
      <c r="B4301" s="3">
        <v>243</v>
      </c>
      <c r="C4301" s="32">
        <v>49269</v>
      </c>
      <c r="D4301" s="32" t="s">
        <v>87</v>
      </c>
      <c r="E43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2" spans="1:6" x14ac:dyDescent="0.35">
      <c r="A4302" s="3">
        <v>99419415781</v>
      </c>
      <c r="B4302" s="3">
        <v>8</v>
      </c>
      <c r="C4302" s="32">
        <v>49269</v>
      </c>
      <c r="D4302" s="32" t="s">
        <v>87</v>
      </c>
      <c r="E43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3" spans="1:6" x14ac:dyDescent="0.35">
      <c r="A4303" s="3">
        <v>66919867849</v>
      </c>
      <c r="B4303" s="3">
        <v>161</v>
      </c>
      <c r="C4303" s="32">
        <v>49269</v>
      </c>
      <c r="D4303" s="32">
        <v>49335</v>
      </c>
      <c r="E43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304" spans="1:6" x14ac:dyDescent="0.35">
      <c r="A4304" s="3">
        <v>71995384413</v>
      </c>
      <c r="B4304" s="3">
        <v>54</v>
      </c>
      <c r="C4304" s="32">
        <v>49269</v>
      </c>
      <c r="D4304" s="32" t="s">
        <v>87</v>
      </c>
      <c r="E43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5" spans="1:6" x14ac:dyDescent="0.35">
      <c r="A4305" s="3">
        <v>95580584902</v>
      </c>
      <c r="B4305" s="3">
        <v>68</v>
      </c>
      <c r="C4305" s="32">
        <v>49269</v>
      </c>
      <c r="D4305" s="32" t="s">
        <v>87</v>
      </c>
      <c r="E43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6" spans="1:6" x14ac:dyDescent="0.35">
      <c r="A4306" s="3">
        <v>34782204276</v>
      </c>
      <c r="B4306" s="3">
        <v>305</v>
      </c>
      <c r="C4306" s="32">
        <v>49269</v>
      </c>
      <c r="D4306" s="32" t="s">
        <v>87</v>
      </c>
      <c r="E43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7" spans="1:6" x14ac:dyDescent="0.35">
      <c r="A4307" s="3">
        <v>22996131808</v>
      </c>
      <c r="B4307" s="3">
        <v>197</v>
      </c>
      <c r="C4307" s="32">
        <v>49269</v>
      </c>
      <c r="D4307" s="32" t="s">
        <v>87</v>
      </c>
      <c r="E43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8" spans="1:6" x14ac:dyDescent="0.35">
      <c r="A4308" s="3">
        <v>83572492495</v>
      </c>
      <c r="B4308" s="3">
        <v>172</v>
      </c>
      <c r="C4308" s="32">
        <v>49269</v>
      </c>
      <c r="D4308" s="32" t="s">
        <v>87</v>
      </c>
      <c r="E43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9" spans="1:6" x14ac:dyDescent="0.35">
      <c r="A4309" s="3">
        <v>92129524955</v>
      </c>
      <c r="B4309" s="3">
        <v>5</v>
      </c>
      <c r="C4309" s="32">
        <v>49269</v>
      </c>
      <c r="D4309" s="32" t="s">
        <v>87</v>
      </c>
      <c r="E43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0" spans="1:6" x14ac:dyDescent="0.35">
      <c r="A4310" s="3">
        <v>78185404509</v>
      </c>
      <c r="B4310" s="3">
        <v>82</v>
      </c>
      <c r="C4310" s="32">
        <v>49269</v>
      </c>
      <c r="D4310" s="32" t="s">
        <v>87</v>
      </c>
      <c r="E43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1" spans="1:6" x14ac:dyDescent="0.35">
      <c r="A4311" s="3">
        <v>49177858995</v>
      </c>
      <c r="B4311" s="3">
        <v>155</v>
      </c>
      <c r="C4311" s="32">
        <v>49269</v>
      </c>
      <c r="D4311" s="32" t="s">
        <v>87</v>
      </c>
      <c r="E43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2" spans="1:6" x14ac:dyDescent="0.35">
      <c r="A4312" s="3">
        <v>52023818447</v>
      </c>
      <c r="B4312" s="3">
        <v>145</v>
      </c>
      <c r="C4312" s="32">
        <v>49270</v>
      </c>
      <c r="D4312" s="32" t="s">
        <v>87</v>
      </c>
      <c r="E43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3" spans="1:6" x14ac:dyDescent="0.35">
      <c r="A4313" s="3">
        <v>22926441682</v>
      </c>
      <c r="B4313" s="3">
        <v>248</v>
      </c>
      <c r="C4313" s="32">
        <v>49270</v>
      </c>
      <c r="D4313" s="32" t="s">
        <v>87</v>
      </c>
      <c r="E43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4" spans="1:6" x14ac:dyDescent="0.35">
      <c r="A4314" s="3">
        <v>45492457300</v>
      </c>
      <c r="B4314" s="3">
        <v>123</v>
      </c>
      <c r="C4314" s="32">
        <v>49270</v>
      </c>
      <c r="D4314" s="32" t="s">
        <v>87</v>
      </c>
      <c r="E43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5" spans="1:6" x14ac:dyDescent="0.35">
      <c r="A4315" s="3">
        <v>39808172054</v>
      </c>
      <c r="B4315" s="3">
        <v>159</v>
      </c>
      <c r="C4315" s="32">
        <v>49270</v>
      </c>
      <c r="D4315" s="32" t="s">
        <v>87</v>
      </c>
      <c r="E43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6" spans="1:6" x14ac:dyDescent="0.35">
      <c r="A4316" s="3">
        <v>33368631202</v>
      </c>
      <c r="B4316" s="3">
        <v>197</v>
      </c>
      <c r="C4316" s="32">
        <v>49270</v>
      </c>
      <c r="D4316" s="32">
        <v>49365</v>
      </c>
      <c r="E43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317" spans="1:6" x14ac:dyDescent="0.35">
      <c r="A4317" s="3">
        <v>59254907711</v>
      </c>
      <c r="B4317" s="3">
        <v>18</v>
      </c>
      <c r="C4317" s="32">
        <v>49270</v>
      </c>
      <c r="D4317" s="32" t="s">
        <v>87</v>
      </c>
      <c r="E43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8" spans="1:6" x14ac:dyDescent="0.35">
      <c r="A4318" s="3">
        <v>68140774138</v>
      </c>
      <c r="B4318" s="3">
        <v>301</v>
      </c>
      <c r="C4318" s="32">
        <v>49270</v>
      </c>
      <c r="D4318" s="32" t="s">
        <v>87</v>
      </c>
      <c r="E43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9" spans="1:6" x14ac:dyDescent="0.35">
      <c r="A4319" s="3">
        <v>75258985616</v>
      </c>
      <c r="B4319" s="3">
        <v>139</v>
      </c>
      <c r="C4319" s="32">
        <v>49270</v>
      </c>
      <c r="D4319" s="32" t="s">
        <v>87</v>
      </c>
      <c r="E43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0" spans="1:6" x14ac:dyDescent="0.35">
      <c r="A4320" s="3">
        <v>53134780086</v>
      </c>
      <c r="B4320" s="3">
        <v>95</v>
      </c>
      <c r="C4320" s="32">
        <v>49270</v>
      </c>
      <c r="D4320" s="32" t="s">
        <v>87</v>
      </c>
      <c r="E43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1" spans="1:6" x14ac:dyDescent="0.35">
      <c r="A4321" s="3">
        <v>59604264455</v>
      </c>
      <c r="B4321" s="3">
        <v>233</v>
      </c>
      <c r="C4321" s="32">
        <v>49270</v>
      </c>
      <c r="D4321" s="32" t="s">
        <v>87</v>
      </c>
      <c r="E43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2" spans="1:6" x14ac:dyDescent="0.35">
      <c r="A4322" s="3">
        <v>76944312784</v>
      </c>
      <c r="B4322" s="3">
        <v>191</v>
      </c>
      <c r="C4322" s="32">
        <v>49270</v>
      </c>
      <c r="D4322" s="32" t="s">
        <v>87</v>
      </c>
      <c r="E43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3" spans="1:6" x14ac:dyDescent="0.35">
      <c r="A4323" s="3">
        <v>95985917820</v>
      </c>
      <c r="B4323" s="3">
        <v>12</v>
      </c>
      <c r="C4323" s="32">
        <v>49270</v>
      </c>
      <c r="D4323" s="32" t="s">
        <v>87</v>
      </c>
      <c r="E43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4" spans="1:6" x14ac:dyDescent="0.35">
      <c r="A4324" s="3">
        <v>47242552789</v>
      </c>
      <c r="B4324" s="3">
        <v>300</v>
      </c>
      <c r="C4324" s="32">
        <v>49270</v>
      </c>
      <c r="D4324" s="32">
        <v>49313</v>
      </c>
      <c r="E43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325" spans="1:6" x14ac:dyDescent="0.35">
      <c r="A4325" s="3">
        <v>79801640063</v>
      </c>
      <c r="B4325" s="3">
        <v>39</v>
      </c>
      <c r="C4325" s="32">
        <v>49270</v>
      </c>
      <c r="D4325" s="32" t="s">
        <v>87</v>
      </c>
      <c r="E43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6" spans="1:6" x14ac:dyDescent="0.35">
      <c r="A4326" s="3">
        <v>36703837356</v>
      </c>
      <c r="B4326" s="3">
        <v>244</v>
      </c>
      <c r="C4326" s="32">
        <v>49270</v>
      </c>
      <c r="D4326" s="32" t="s">
        <v>87</v>
      </c>
      <c r="E43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7" spans="1:6" x14ac:dyDescent="0.35">
      <c r="A4327" s="3">
        <v>59330805550</v>
      </c>
      <c r="B4327" s="3">
        <v>214</v>
      </c>
      <c r="C4327" s="32">
        <v>49270</v>
      </c>
      <c r="D4327" s="32" t="s">
        <v>87</v>
      </c>
      <c r="E43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8" spans="1:6" x14ac:dyDescent="0.35">
      <c r="A4328" s="3">
        <v>16383095766</v>
      </c>
      <c r="B4328" s="3">
        <v>109</v>
      </c>
      <c r="C4328" s="32">
        <v>49270</v>
      </c>
      <c r="D4328" s="32" t="s">
        <v>87</v>
      </c>
      <c r="E43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9" spans="1:6" x14ac:dyDescent="0.35">
      <c r="A4329" s="3">
        <v>54060714489</v>
      </c>
      <c r="B4329" s="3">
        <v>160</v>
      </c>
      <c r="C4329" s="32">
        <v>49270</v>
      </c>
      <c r="D4329" s="32" t="s">
        <v>87</v>
      </c>
      <c r="E43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0" spans="1:6" x14ac:dyDescent="0.35">
      <c r="A4330" s="3">
        <v>87910798088</v>
      </c>
      <c r="B4330" s="3">
        <v>319</v>
      </c>
      <c r="C4330" s="32">
        <v>49270</v>
      </c>
      <c r="D4330" s="32" t="s">
        <v>87</v>
      </c>
      <c r="E43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1" spans="1:6" x14ac:dyDescent="0.35">
      <c r="A4331" s="3">
        <v>81551614370</v>
      </c>
      <c r="B4331" s="3">
        <v>111</v>
      </c>
      <c r="C4331" s="32">
        <v>49270</v>
      </c>
      <c r="D4331" s="32">
        <v>49291</v>
      </c>
      <c r="E43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332" spans="1:6" x14ac:dyDescent="0.35">
      <c r="A4332" s="3">
        <v>40997574398</v>
      </c>
      <c r="B4332" s="3">
        <v>282</v>
      </c>
      <c r="C4332" s="32">
        <v>49271</v>
      </c>
      <c r="D4332" s="32" t="s">
        <v>87</v>
      </c>
      <c r="E43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3" spans="1:6" x14ac:dyDescent="0.35">
      <c r="A4333" s="3">
        <v>84662883166</v>
      </c>
      <c r="B4333" s="3">
        <v>202</v>
      </c>
      <c r="C4333" s="32">
        <v>49271</v>
      </c>
      <c r="D4333" s="32" t="s">
        <v>87</v>
      </c>
      <c r="E43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4" spans="1:6" x14ac:dyDescent="0.35">
      <c r="A4334" s="3">
        <v>87261394857</v>
      </c>
      <c r="B4334" s="3">
        <v>217</v>
      </c>
      <c r="C4334" s="32">
        <v>49271</v>
      </c>
      <c r="D4334" s="32" t="s">
        <v>87</v>
      </c>
      <c r="E43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5" spans="1:6" x14ac:dyDescent="0.35">
      <c r="A4335" s="3">
        <v>97263954840</v>
      </c>
      <c r="B4335" s="3">
        <v>6</v>
      </c>
      <c r="C4335" s="32">
        <v>49271</v>
      </c>
      <c r="D4335" s="32" t="s">
        <v>87</v>
      </c>
      <c r="E43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6" spans="1:6" x14ac:dyDescent="0.35">
      <c r="A4336" s="3">
        <v>28041546507</v>
      </c>
      <c r="B4336" s="3">
        <v>234</v>
      </c>
      <c r="C4336" s="32">
        <v>49271</v>
      </c>
      <c r="D4336" s="32" t="s">
        <v>87</v>
      </c>
      <c r="E43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7" spans="1:6" x14ac:dyDescent="0.35">
      <c r="A4337" s="3">
        <v>73944566144</v>
      </c>
      <c r="B4337" s="3">
        <v>271</v>
      </c>
      <c r="C4337" s="32">
        <v>49271</v>
      </c>
      <c r="D4337" s="32" t="s">
        <v>87</v>
      </c>
      <c r="E43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8" spans="1:6" x14ac:dyDescent="0.35">
      <c r="A4338" s="3">
        <v>30600492397</v>
      </c>
      <c r="B4338" s="3">
        <v>128</v>
      </c>
      <c r="C4338" s="32">
        <v>49271</v>
      </c>
      <c r="D4338" s="32" t="s">
        <v>87</v>
      </c>
      <c r="E43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9" spans="1:6" x14ac:dyDescent="0.35">
      <c r="A4339" s="3">
        <v>22959667528</v>
      </c>
      <c r="B4339" s="3">
        <v>62</v>
      </c>
      <c r="C4339" s="32">
        <v>49271</v>
      </c>
      <c r="D4339" s="32" t="s">
        <v>87</v>
      </c>
      <c r="E43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0" spans="1:6" x14ac:dyDescent="0.35">
      <c r="A4340" s="3">
        <v>90356718998</v>
      </c>
      <c r="B4340" s="3">
        <v>191</v>
      </c>
      <c r="C4340" s="32">
        <v>49271</v>
      </c>
      <c r="D4340" s="32"/>
      <c r="E43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1" spans="1:6" x14ac:dyDescent="0.35">
      <c r="A4341" s="3">
        <v>40820609792</v>
      </c>
      <c r="B4341" s="3">
        <v>332</v>
      </c>
      <c r="C4341" s="32">
        <v>49271</v>
      </c>
      <c r="D4341" s="32">
        <v>49288</v>
      </c>
      <c r="E43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342" spans="1:6" x14ac:dyDescent="0.35">
      <c r="A4342" s="3">
        <v>33467572989</v>
      </c>
      <c r="B4342" s="3">
        <v>39</v>
      </c>
      <c r="C4342" s="32">
        <v>49271</v>
      </c>
      <c r="D4342" s="32"/>
      <c r="E43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3" spans="1:6" x14ac:dyDescent="0.35">
      <c r="A4343" s="3">
        <v>27725222625</v>
      </c>
      <c r="B4343" s="3">
        <v>253</v>
      </c>
      <c r="C4343" s="32">
        <v>49272</v>
      </c>
      <c r="D4343" s="32"/>
      <c r="E43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4" spans="1:6" x14ac:dyDescent="0.35">
      <c r="A4344" s="3">
        <v>47732649103</v>
      </c>
      <c r="B4344" s="3">
        <v>228</v>
      </c>
      <c r="C4344" s="32">
        <v>49272</v>
      </c>
      <c r="D4344" s="32" t="s">
        <v>87</v>
      </c>
      <c r="E43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5" spans="1:6" x14ac:dyDescent="0.35">
      <c r="A4345" s="3">
        <v>20949122028</v>
      </c>
      <c r="B4345" s="3">
        <v>27</v>
      </c>
      <c r="C4345" s="32">
        <v>49272</v>
      </c>
      <c r="D4345" s="32" t="s">
        <v>87</v>
      </c>
      <c r="E43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6" spans="1:6" x14ac:dyDescent="0.35">
      <c r="A4346" s="3">
        <v>14153045437</v>
      </c>
      <c r="B4346" s="3">
        <v>173</v>
      </c>
      <c r="C4346" s="32">
        <v>49272</v>
      </c>
      <c r="D4346" s="32" t="s">
        <v>87</v>
      </c>
      <c r="E43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7" spans="1:6" x14ac:dyDescent="0.35">
      <c r="A4347" s="3">
        <v>80450980221</v>
      </c>
      <c r="B4347" s="3">
        <v>137</v>
      </c>
      <c r="C4347" s="32">
        <v>49272</v>
      </c>
      <c r="D4347" s="32" t="s">
        <v>87</v>
      </c>
      <c r="E43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8" spans="1:6" x14ac:dyDescent="0.35">
      <c r="A4348" s="3">
        <v>66882742440</v>
      </c>
      <c r="B4348" s="3">
        <v>314</v>
      </c>
      <c r="C4348" s="32">
        <v>49272</v>
      </c>
      <c r="D4348" s="32" t="s">
        <v>87</v>
      </c>
      <c r="E43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9" spans="1:6" x14ac:dyDescent="0.35">
      <c r="A4349" s="3">
        <v>99006599416</v>
      </c>
      <c r="B4349" s="3">
        <v>156</v>
      </c>
      <c r="C4349" s="32">
        <v>49272</v>
      </c>
      <c r="D4349" s="32"/>
      <c r="E43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0" spans="1:6" x14ac:dyDescent="0.35">
      <c r="A4350" s="3">
        <v>52877378946</v>
      </c>
      <c r="B4350" s="3">
        <v>220</v>
      </c>
      <c r="C4350" s="32">
        <v>49272</v>
      </c>
      <c r="D4350" s="32" t="s">
        <v>87</v>
      </c>
      <c r="E43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1" spans="1:6" x14ac:dyDescent="0.35">
      <c r="A4351" s="3">
        <v>57356544606</v>
      </c>
      <c r="B4351" s="3">
        <v>257</v>
      </c>
      <c r="C4351" s="32">
        <v>49272</v>
      </c>
      <c r="D4351" s="32" t="s">
        <v>87</v>
      </c>
      <c r="E43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2" spans="1:6" x14ac:dyDescent="0.35">
      <c r="A4352" s="3">
        <v>29394518871</v>
      </c>
      <c r="B4352" s="3">
        <v>38</v>
      </c>
      <c r="C4352" s="32">
        <v>49272</v>
      </c>
      <c r="D4352" s="32" t="s">
        <v>87</v>
      </c>
      <c r="E43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3" spans="1:6" x14ac:dyDescent="0.35">
      <c r="A4353" s="3">
        <v>49154737793</v>
      </c>
      <c r="B4353" s="3">
        <v>283</v>
      </c>
      <c r="C4353" s="32">
        <v>49272</v>
      </c>
      <c r="D4353" s="32" t="s">
        <v>87</v>
      </c>
      <c r="E43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4" spans="1:6" x14ac:dyDescent="0.35">
      <c r="A4354" s="3">
        <v>61728585537</v>
      </c>
      <c r="B4354" s="3">
        <v>16</v>
      </c>
      <c r="C4354" s="32">
        <v>49272</v>
      </c>
      <c r="D4354" s="32" t="s">
        <v>87</v>
      </c>
      <c r="E43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5" spans="1:6" x14ac:dyDescent="0.35">
      <c r="A4355" s="3">
        <v>83410709879</v>
      </c>
      <c r="B4355" s="3">
        <v>323</v>
      </c>
      <c r="C4355" s="32">
        <v>49272</v>
      </c>
      <c r="D4355" s="32"/>
      <c r="E43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6" spans="1:6" x14ac:dyDescent="0.35">
      <c r="A4356" s="3">
        <v>61302373410</v>
      </c>
      <c r="B4356" s="3">
        <v>221</v>
      </c>
      <c r="C4356" s="32">
        <v>49272</v>
      </c>
      <c r="D4356" s="32" t="s">
        <v>87</v>
      </c>
      <c r="E43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7" spans="1:6" x14ac:dyDescent="0.35">
      <c r="A4357" s="3">
        <v>79568296075</v>
      </c>
      <c r="B4357" s="3">
        <v>292</v>
      </c>
      <c r="C4357" s="32">
        <v>49272</v>
      </c>
      <c r="D4357" s="32" t="s">
        <v>87</v>
      </c>
      <c r="E43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8" spans="1:6" x14ac:dyDescent="0.35">
      <c r="A4358" s="3">
        <v>88335015980</v>
      </c>
      <c r="B4358" s="3">
        <v>292</v>
      </c>
      <c r="C4358" s="32">
        <v>49272</v>
      </c>
      <c r="D4358" s="32" t="s">
        <v>87</v>
      </c>
      <c r="E43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9" spans="1:6" x14ac:dyDescent="0.35">
      <c r="A4359" s="3">
        <v>96581137274</v>
      </c>
      <c r="B4359" s="3">
        <v>186</v>
      </c>
      <c r="C4359" s="32">
        <v>49272</v>
      </c>
      <c r="D4359" s="32"/>
      <c r="E43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0" spans="1:6" x14ac:dyDescent="0.35">
      <c r="A4360" s="3">
        <v>94390228783</v>
      </c>
      <c r="B4360" s="3">
        <v>206</v>
      </c>
      <c r="C4360" s="32">
        <v>49272</v>
      </c>
      <c r="D4360" s="32"/>
      <c r="E43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1" spans="1:6" x14ac:dyDescent="0.35">
      <c r="A4361" s="3">
        <v>36385144350</v>
      </c>
      <c r="B4361" s="3">
        <v>178</v>
      </c>
      <c r="C4361" s="32">
        <v>49272</v>
      </c>
      <c r="D4361" s="32">
        <v>49340</v>
      </c>
      <c r="E43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362" spans="1:6" x14ac:dyDescent="0.35">
      <c r="A4362" s="3">
        <v>55359697053</v>
      </c>
      <c r="B4362" s="3">
        <v>162</v>
      </c>
      <c r="C4362" s="32">
        <v>49272</v>
      </c>
      <c r="D4362" s="32" t="s">
        <v>87</v>
      </c>
      <c r="E43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3" spans="1:6" x14ac:dyDescent="0.35">
      <c r="A4363" s="3">
        <v>31426312232</v>
      </c>
      <c r="B4363" s="3">
        <v>232</v>
      </c>
      <c r="C4363" s="32">
        <v>49272</v>
      </c>
      <c r="D4363" s="32" t="s">
        <v>87</v>
      </c>
      <c r="E43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4" spans="1:6" x14ac:dyDescent="0.35">
      <c r="A4364" s="3">
        <v>15119088396</v>
      </c>
      <c r="B4364" s="3">
        <v>174</v>
      </c>
      <c r="C4364" s="32">
        <v>49272</v>
      </c>
      <c r="D4364" s="32" t="s">
        <v>87</v>
      </c>
      <c r="E43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5" spans="1:6" x14ac:dyDescent="0.35">
      <c r="A4365" s="3">
        <v>80636571424</v>
      </c>
      <c r="B4365" s="3">
        <v>144</v>
      </c>
      <c r="C4365" s="32">
        <v>49272</v>
      </c>
      <c r="D4365" s="32" t="s">
        <v>87</v>
      </c>
      <c r="E43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6" spans="1:6" x14ac:dyDescent="0.35">
      <c r="A4366" s="3">
        <v>77604470688</v>
      </c>
      <c r="B4366" s="3">
        <v>333</v>
      </c>
      <c r="C4366" s="32">
        <v>49272</v>
      </c>
      <c r="D4366" s="32" t="s">
        <v>87</v>
      </c>
      <c r="E43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7" spans="1:6" x14ac:dyDescent="0.35">
      <c r="A4367" s="3">
        <v>87307626046</v>
      </c>
      <c r="B4367" s="3">
        <v>154</v>
      </c>
      <c r="C4367" s="32">
        <v>49272</v>
      </c>
      <c r="D4367" s="32" t="s">
        <v>87</v>
      </c>
      <c r="E43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8" spans="1:6" x14ac:dyDescent="0.35">
      <c r="A4368" s="3">
        <v>64865149525</v>
      </c>
      <c r="B4368" s="3">
        <v>157</v>
      </c>
      <c r="C4368" s="32">
        <v>49272</v>
      </c>
      <c r="D4368" s="32" t="s">
        <v>87</v>
      </c>
      <c r="E43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9" spans="1:6" x14ac:dyDescent="0.35">
      <c r="A4369" s="3">
        <v>73004274959</v>
      </c>
      <c r="B4369" s="3">
        <v>28</v>
      </c>
      <c r="C4369" s="32">
        <v>49272</v>
      </c>
      <c r="D4369" s="32" t="s">
        <v>87</v>
      </c>
      <c r="E43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0" spans="1:6" x14ac:dyDescent="0.35">
      <c r="A4370" s="3">
        <v>94209959148</v>
      </c>
      <c r="B4370" s="3">
        <v>92</v>
      </c>
      <c r="C4370" s="32">
        <v>49272</v>
      </c>
      <c r="D4370" s="32" t="s">
        <v>87</v>
      </c>
      <c r="E43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1" spans="1:6" x14ac:dyDescent="0.35">
      <c r="A4371" s="3">
        <v>36847018833</v>
      </c>
      <c r="B4371" s="3">
        <v>263</v>
      </c>
      <c r="C4371" s="32">
        <v>49273</v>
      </c>
      <c r="D4371" s="32" t="s">
        <v>87</v>
      </c>
      <c r="E43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2" spans="1:6" x14ac:dyDescent="0.35">
      <c r="A4372" s="3">
        <v>45914517841</v>
      </c>
      <c r="B4372" s="3">
        <v>173</v>
      </c>
      <c r="C4372" s="32">
        <v>49273</v>
      </c>
      <c r="D4372" s="32" t="s">
        <v>87</v>
      </c>
      <c r="E43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3" spans="1:6" x14ac:dyDescent="0.35">
      <c r="A4373" s="3">
        <v>61494206695</v>
      </c>
      <c r="B4373" s="3">
        <v>32</v>
      </c>
      <c r="C4373" s="32">
        <v>49273</v>
      </c>
      <c r="D4373" s="32">
        <v>49343</v>
      </c>
      <c r="E43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374" spans="1:6" x14ac:dyDescent="0.35">
      <c r="A4374" s="3">
        <v>96531761969</v>
      </c>
      <c r="B4374" s="3">
        <v>304</v>
      </c>
      <c r="C4374" s="32">
        <v>49273</v>
      </c>
      <c r="D4374" s="32" t="s">
        <v>87</v>
      </c>
      <c r="E43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5" spans="1:6" x14ac:dyDescent="0.35">
      <c r="A4375" s="3">
        <v>12736986281</v>
      </c>
      <c r="B4375" s="3">
        <v>268</v>
      </c>
      <c r="C4375" s="32">
        <v>49273</v>
      </c>
      <c r="D4375" s="32" t="s">
        <v>87</v>
      </c>
      <c r="E43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6" spans="1:6" x14ac:dyDescent="0.35">
      <c r="A4376" s="3">
        <v>70238556159</v>
      </c>
      <c r="B4376" s="3">
        <v>113</v>
      </c>
      <c r="C4376" s="32">
        <v>49273</v>
      </c>
      <c r="D4376" s="32" t="s">
        <v>87</v>
      </c>
      <c r="E43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7" spans="1:6" x14ac:dyDescent="0.35">
      <c r="A4377" s="3">
        <v>59998652723</v>
      </c>
      <c r="B4377" s="3">
        <v>192</v>
      </c>
      <c r="C4377" s="32">
        <v>49273</v>
      </c>
      <c r="D4377" s="32"/>
      <c r="E43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8" spans="1:6" x14ac:dyDescent="0.35">
      <c r="A4378" s="3">
        <v>82196778735</v>
      </c>
      <c r="B4378" s="3">
        <v>332</v>
      </c>
      <c r="C4378" s="32">
        <v>49273</v>
      </c>
      <c r="D4378" s="32" t="s">
        <v>87</v>
      </c>
      <c r="E43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9" spans="1:6" x14ac:dyDescent="0.35">
      <c r="A4379" s="3">
        <v>81030984928</v>
      </c>
      <c r="B4379" s="3">
        <v>42</v>
      </c>
      <c r="C4379" s="32">
        <v>49273</v>
      </c>
      <c r="D4379" s="32" t="s">
        <v>87</v>
      </c>
      <c r="E43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80" spans="1:6" x14ac:dyDescent="0.35">
      <c r="A4380" s="3">
        <v>87176127120</v>
      </c>
      <c r="B4380" s="3">
        <v>182</v>
      </c>
      <c r="C4380" s="32">
        <v>49273</v>
      </c>
      <c r="D4380" s="32"/>
      <c r="E43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81" spans="1:6" x14ac:dyDescent="0.35">
      <c r="A4381" s="3">
        <v>75932022880</v>
      </c>
      <c r="B4381" s="3">
        <v>87</v>
      </c>
      <c r="C4381" s="32">
        <v>49273</v>
      </c>
      <c r="D4381" s="32">
        <v>49273</v>
      </c>
      <c r="E43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382" spans="1:6" x14ac:dyDescent="0.35">
      <c r="A4382" s="3">
        <v>64352160360</v>
      </c>
      <c r="B4382" s="3">
        <v>337</v>
      </c>
      <c r="C4382" s="32">
        <v>49273</v>
      </c>
      <c r="D4382" s="32" t="s">
        <v>87</v>
      </c>
      <c r="E43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83" spans="1:6" x14ac:dyDescent="0.35">
      <c r="A4383" s="3">
        <v>47058615002</v>
      </c>
      <c r="B4383" s="3">
        <v>211</v>
      </c>
      <c r="C4383" s="32">
        <v>49273</v>
      </c>
      <c r="D4383" s="32">
        <v>49304</v>
      </c>
      <c r="E43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384" spans="1:6" x14ac:dyDescent="0.35">
      <c r="A4384" s="3">
        <v>13601186592</v>
      </c>
      <c r="B4384" s="3">
        <v>294</v>
      </c>
      <c r="C4384" s="32">
        <v>49273</v>
      </c>
      <c r="D4384" s="32">
        <v>49365</v>
      </c>
      <c r="E43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385" spans="1:6" x14ac:dyDescent="0.35">
      <c r="A4385" s="3">
        <v>56439109113</v>
      </c>
      <c r="B4385" s="3">
        <v>66</v>
      </c>
      <c r="C4385" s="32">
        <v>49273</v>
      </c>
      <c r="D4385" s="32" t="s">
        <v>87</v>
      </c>
      <c r="E43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86" spans="1:6" x14ac:dyDescent="0.35">
      <c r="A4386" s="3">
        <v>79548225375</v>
      </c>
      <c r="B4386" s="3">
        <v>192</v>
      </c>
      <c r="C4386" s="32">
        <v>49273</v>
      </c>
      <c r="D4386" s="32" t="s">
        <v>87</v>
      </c>
      <c r="E43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87" spans="1:6" x14ac:dyDescent="0.35">
      <c r="A4387" s="3">
        <v>97053427106</v>
      </c>
      <c r="B4387" s="3">
        <v>321</v>
      </c>
      <c r="C4387" s="32">
        <v>49273</v>
      </c>
      <c r="D4387" s="32">
        <v>49310</v>
      </c>
      <c r="E43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388" spans="1:6" x14ac:dyDescent="0.35">
      <c r="A4388" s="3">
        <v>84185483929</v>
      </c>
      <c r="B4388" s="3">
        <v>203</v>
      </c>
      <c r="C4388" s="32">
        <v>49273</v>
      </c>
      <c r="D4388" s="32">
        <v>49290</v>
      </c>
      <c r="E43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389" spans="1:6" x14ac:dyDescent="0.35">
      <c r="A4389" s="3">
        <v>45736612866</v>
      </c>
      <c r="B4389" s="3">
        <v>9</v>
      </c>
      <c r="C4389" s="32">
        <v>49273</v>
      </c>
      <c r="D4389" s="32"/>
      <c r="E43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0" spans="1:6" x14ac:dyDescent="0.35">
      <c r="A4390" s="3">
        <v>87595519398</v>
      </c>
      <c r="B4390" s="3">
        <v>175</v>
      </c>
      <c r="C4390" s="32">
        <v>49273</v>
      </c>
      <c r="D4390" s="32"/>
      <c r="E43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1" spans="1:6" x14ac:dyDescent="0.35">
      <c r="A4391" s="3">
        <v>37669411114</v>
      </c>
      <c r="B4391" s="3">
        <v>7</v>
      </c>
      <c r="C4391" s="32">
        <v>49273</v>
      </c>
      <c r="D4391" s="32" t="s">
        <v>87</v>
      </c>
      <c r="E43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2" spans="1:6" x14ac:dyDescent="0.35">
      <c r="A4392" s="3">
        <v>12301713788</v>
      </c>
      <c r="B4392" s="3">
        <v>117</v>
      </c>
      <c r="C4392" s="32">
        <v>49273</v>
      </c>
      <c r="D4392" s="32" t="s">
        <v>87</v>
      </c>
      <c r="E43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3" spans="1:6" x14ac:dyDescent="0.35">
      <c r="A4393" s="3">
        <v>56601096689</v>
      </c>
      <c r="B4393" s="3">
        <v>314</v>
      </c>
      <c r="C4393" s="32">
        <v>49273</v>
      </c>
      <c r="D4393" s="32"/>
      <c r="E43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4" spans="1:6" x14ac:dyDescent="0.35">
      <c r="A4394" s="3">
        <v>75336218247</v>
      </c>
      <c r="B4394" s="3">
        <v>16</v>
      </c>
      <c r="C4394" s="32">
        <v>49273</v>
      </c>
      <c r="D4394" s="32" t="s">
        <v>87</v>
      </c>
      <c r="E43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5" spans="1:6" x14ac:dyDescent="0.35">
      <c r="A4395" s="3">
        <v>66818726574</v>
      </c>
      <c r="B4395" s="3">
        <v>63</v>
      </c>
      <c r="C4395" s="32">
        <v>49274</v>
      </c>
      <c r="D4395" s="32" t="s">
        <v>87</v>
      </c>
      <c r="E43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6" spans="1:6" x14ac:dyDescent="0.35">
      <c r="A4396" s="3">
        <v>53374776573</v>
      </c>
      <c r="B4396" s="3">
        <v>84</v>
      </c>
      <c r="C4396" s="32">
        <v>49274</v>
      </c>
      <c r="D4396" s="32" t="s">
        <v>87</v>
      </c>
      <c r="E43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7" spans="1:6" x14ac:dyDescent="0.35">
      <c r="A4397" s="3">
        <v>15199407618</v>
      </c>
      <c r="B4397" s="3">
        <v>185</v>
      </c>
      <c r="C4397" s="32">
        <v>49274</v>
      </c>
      <c r="D4397" s="32"/>
      <c r="E43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8" spans="1:6" x14ac:dyDescent="0.35">
      <c r="A4398" s="3">
        <v>45921928864</v>
      </c>
      <c r="B4398" s="3">
        <v>9</v>
      </c>
      <c r="C4398" s="32">
        <v>49274</v>
      </c>
      <c r="D4398" s="32" t="s">
        <v>87</v>
      </c>
      <c r="E43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9" spans="1:6" x14ac:dyDescent="0.35">
      <c r="A4399" s="3">
        <v>30101894519</v>
      </c>
      <c r="B4399" s="3">
        <v>301</v>
      </c>
      <c r="C4399" s="32">
        <v>49274</v>
      </c>
      <c r="D4399" s="32" t="s">
        <v>87</v>
      </c>
      <c r="E43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0" spans="1:6" x14ac:dyDescent="0.35">
      <c r="A4400" s="3">
        <v>37470931549</v>
      </c>
      <c r="B4400" s="3">
        <v>175</v>
      </c>
      <c r="C4400" s="32">
        <v>49274</v>
      </c>
      <c r="D4400" s="32" t="s">
        <v>87</v>
      </c>
      <c r="E44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1" spans="1:6" x14ac:dyDescent="0.35">
      <c r="A4401" s="3">
        <v>56386361476</v>
      </c>
      <c r="B4401" s="3">
        <v>275</v>
      </c>
      <c r="C4401" s="32">
        <v>49274</v>
      </c>
      <c r="D4401" s="32">
        <v>49362</v>
      </c>
      <c r="E44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402" spans="1:6" x14ac:dyDescent="0.35">
      <c r="A4402" s="3">
        <v>21291446773</v>
      </c>
      <c r="B4402" s="3">
        <v>54</v>
      </c>
      <c r="C4402" s="32">
        <v>49274</v>
      </c>
      <c r="D4402" s="32" t="s">
        <v>87</v>
      </c>
      <c r="E44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3" spans="1:6" x14ac:dyDescent="0.35">
      <c r="A4403" s="3">
        <v>48129028288</v>
      </c>
      <c r="B4403" s="3">
        <v>171</v>
      </c>
      <c r="C4403" s="32">
        <v>49274</v>
      </c>
      <c r="D4403" s="32" t="s">
        <v>87</v>
      </c>
      <c r="E44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4" spans="1:6" x14ac:dyDescent="0.35">
      <c r="A4404" s="3">
        <v>99326429568</v>
      </c>
      <c r="B4404" s="3">
        <v>312</v>
      </c>
      <c r="C4404" s="32">
        <v>49274</v>
      </c>
      <c r="D4404" s="32"/>
      <c r="E44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5" spans="1:6" x14ac:dyDescent="0.35">
      <c r="A4405" s="3">
        <v>76236844312</v>
      </c>
      <c r="B4405" s="3">
        <v>208</v>
      </c>
      <c r="C4405" s="32">
        <v>49274</v>
      </c>
      <c r="D4405" s="32" t="s">
        <v>87</v>
      </c>
      <c r="E44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6" spans="1:6" x14ac:dyDescent="0.35">
      <c r="A4406" s="3">
        <v>80899852413</v>
      </c>
      <c r="B4406" s="3">
        <v>40</v>
      </c>
      <c r="C4406" s="32">
        <v>49274</v>
      </c>
      <c r="D4406" s="32" t="s">
        <v>87</v>
      </c>
      <c r="E44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7" spans="1:6" x14ac:dyDescent="0.35">
      <c r="A4407" s="3">
        <v>71665296166</v>
      </c>
      <c r="B4407" s="3">
        <v>315</v>
      </c>
      <c r="C4407" s="32">
        <v>49274</v>
      </c>
      <c r="D4407" s="32" t="s">
        <v>87</v>
      </c>
      <c r="E44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8" spans="1:6" x14ac:dyDescent="0.35">
      <c r="A4408" s="3">
        <v>30347081447</v>
      </c>
      <c r="B4408" s="3">
        <v>156</v>
      </c>
      <c r="C4408" s="32">
        <v>49274</v>
      </c>
      <c r="D4408" s="32">
        <v>49356</v>
      </c>
      <c r="E44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409" spans="1:6" x14ac:dyDescent="0.35">
      <c r="A4409" s="3">
        <v>22984085120</v>
      </c>
      <c r="B4409" s="3">
        <v>228</v>
      </c>
      <c r="C4409" s="32">
        <v>49274</v>
      </c>
      <c r="D4409" s="32" t="s">
        <v>87</v>
      </c>
      <c r="E44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0" spans="1:6" x14ac:dyDescent="0.35">
      <c r="A4410" s="3">
        <v>55709499360</v>
      </c>
      <c r="B4410" s="3">
        <v>135</v>
      </c>
      <c r="C4410" s="32">
        <v>49274</v>
      </c>
      <c r="D4410" s="32" t="s">
        <v>87</v>
      </c>
      <c r="E44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1" spans="1:6" x14ac:dyDescent="0.35">
      <c r="A4411" s="3">
        <v>45422941331</v>
      </c>
      <c r="B4411" s="3">
        <v>215</v>
      </c>
      <c r="C4411" s="32">
        <v>49274</v>
      </c>
      <c r="D4411" s="32" t="s">
        <v>87</v>
      </c>
      <c r="E44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2" spans="1:6" x14ac:dyDescent="0.35">
      <c r="A4412" s="3">
        <v>38557881418</v>
      </c>
      <c r="B4412" s="3">
        <v>310</v>
      </c>
      <c r="C4412" s="32">
        <v>49274</v>
      </c>
      <c r="D4412" s="32" t="s">
        <v>87</v>
      </c>
      <c r="E44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3" spans="1:6" x14ac:dyDescent="0.35">
      <c r="A4413" s="3">
        <v>25227939198</v>
      </c>
      <c r="B4413" s="3">
        <v>315</v>
      </c>
      <c r="C4413" s="32">
        <v>49274</v>
      </c>
      <c r="D4413" s="32" t="s">
        <v>87</v>
      </c>
      <c r="E44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4" spans="1:6" x14ac:dyDescent="0.35">
      <c r="A4414" s="3">
        <v>29396600050</v>
      </c>
      <c r="B4414" s="3">
        <v>13</v>
      </c>
      <c r="C4414" s="32">
        <v>49274</v>
      </c>
      <c r="D4414" s="32"/>
      <c r="E44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5" spans="1:6" x14ac:dyDescent="0.35">
      <c r="A4415" s="3">
        <v>17580087925</v>
      </c>
      <c r="B4415" s="3">
        <v>245</v>
      </c>
      <c r="C4415" s="32">
        <v>49274</v>
      </c>
      <c r="D4415" s="32" t="s">
        <v>87</v>
      </c>
      <c r="E44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6" spans="1:6" x14ac:dyDescent="0.35">
      <c r="A4416" s="3">
        <v>96307925569</v>
      </c>
      <c r="B4416" s="3">
        <v>14</v>
      </c>
      <c r="C4416" s="32">
        <v>49274</v>
      </c>
      <c r="D4416" s="32"/>
      <c r="E44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7" spans="1:6" x14ac:dyDescent="0.35">
      <c r="A4417" s="3">
        <v>39918711944</v>
      </c>
      <c r="B4417" s="3">
        <v>118</v>
      </c>
      <c r="C4417" s="32">
        <v>49274</v>
      </c>
      <c r="D4417" s="32" t="s">
        <v>87</v>
      </c>
      <c r="E44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8" spans="1:6" x14ac:dyDescent="0.35">
      <c r="A4418" s="3">
        <v>56868904870</v>
      </c>
      <c r="B4418" s="3">
        <v>210</v>
      </c>
      <c r="C4418" s="32">
        <v>49274</v>
      </c>
      <c r="D4418" s="32" t="s">
        <v>87</v>
      </c>
      <c r="E44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9" spans="1:6" x14ac:dyDescent="0.35">
      <c r="A4419" s="3">
        <v>12402051735</v>
      </c>
      <c r="B4419" s="3">
        <v>254</v>
      </c>
      <c r="C4419" s="32">
        <v>49274</v>
      </c>
      <c r="D4419" s="32">
        <v>49295</v>
      </c>
      <c r="E44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420" spans="1:6" x14ac:dyDescent="0.35">
      <c r="A4420" s="3">
        <v>76356943713</v>
      </c>
      <c r="B4420" s="3">
        <v>268</v>
      </c>
      <c r="C4420" s="32">
        <v>49274</v>
      </c>
      <c r="D4420" s="32">
        <v>49367</v>
      </c>
      <c r="E44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421" spans="1:6" x14ac:dyDescent="0.35">
      <c r="A4421" s="3">
        <v>29444368039</v>
      </c>
      <c r="B4421" s="3">
        <v>226</v>
      </c>
      <c r="C4421" s="32">
        <v>49274</v>
      </c>
      <c r="D4421" s="32" t="s">
        <v>87</v>
      </c>
      <c r="E44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2" spans="1:6" x14ac:dyDescent="0.35">
      <c r="A4422" s="3">
        <v>62857026470</v>
      </c>
      <c r="B4422" s="3">
        <v>275</v>
      </c>
      <c r="C4422" s="32">
        <v>49274</v>
      </c>
      <c r="D4422" s="32" t="s">
        <v>87</v>
      </c>
      <c r="E44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3" spans="1:6" x14ac:dyDescent="0.35">
      <c r="A4423" s="3">
        <v>71179547966</v>
      </c>
      <c r="B4423" s="3">
        <v>125</v>
      </c>
      <c r="C4423" s="32">
        <v>49274</v>
      </c>
      <c r="D4423" s="32">
        <v>49321</v>
      </c>
      <c r="E44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424" spans="1:6" x14ac:dyDescent="0.35">
      <c r="A4424" s="3">
        <v>29740865910</v>
      </c>
      <c r="B4424" s="3">
        <v>277</v>
      </c>
      <c r="C4424" s="32">
        <v>49275</v>
      </c>
      <c r="D4424" s="32" t="s">
        <v>87</v>
      </c>
      <c r="E44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5" spans="1:6" x14ac:dyDescent="0.35">
      <c r="A4425" s="3">
        <v>43604527256</v>
      </c>
      <c r="B4425" s="3">
        <v>274</v>
      </c>
      <c r="C4425" s="32">
        <v>49275</v>
      </c>
      <c r="D4425" s="32"/>
      <c r="E44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6" spans="1:6" x14ac:dyDescent="0.35">
      <c r="A4426" s="3">
        <v>30873619833</v>
      </c>
      <c r="B4426" s="3">
        <v>286</v>
      </c>
      <c r="C4426" s="32">
        <v>49275</v>
      </c>
      <c r="D4426" s="32" t="s">
        <v>87</v>
      </c>
      <c r="E44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7" spans="1:6" x14ac:dyDescent="0.35">
      <c r="A4427" s="3">
        <v>71987675368</v>
      </c>
      <c r="B4427" s="3">
        <v>28</v>
      </c>
      <c r="C4427" s="32">
        <v>49275</v>
      </c>
      <c r="D4427" s="32" t="s">
        <v>87</v>
      </c>
      <c r="E44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8" spans="1:6" x14ac:dyDescent="0.35">
      <c r="A4428" s="3">
        <v>79662914943</v>
      </c>
      <c r="B4428" s="3">
        <v>69</v>
      </c>
      <c r="C4428" s="32">
        <v>49275</v>
      </c>
      <c r="D4428" s="32" t="s">
        <v>87</v>
      </c>
      <c r="E44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9" spans="1:6" x14ac:dyDescent="0.35">
      <c r="A4429" s="3">
        <v>30697506390</v>
      </c>
      <c r="B4429" s="3">
        <v>188</v>
      </c>
      <c r="C4429" s="32">
        <v>49275</v>
      </c>
      <c r="D4429" s="32">
        <v>49301</v>
      </c>
      <c r="E44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430" spans="1:6" x14ac:dyDescent="0.35">
      <c r="A4430" s="3">
        <v>83192032056</v>
      </c>
      <c r="B4430" s="3">
        <v>298</v>
      </c>
      <c r="C4430" s="32">
        <v>49275</v>
      </c>
      <c r="D4430" s="32"/>
      <c r="E44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1" spans="1:6" x14ac:dyDescent="0.35">
      <c r="A4431" s="3">
        <v>41456465546</v>
      </c>
      <c r="B4431" s="3">
        <v>6</v>
      </c>
      <c r="C4431" s="32">
        <v>49275</v>
      </c>
      <c r="D4431" s="32" t="s">
        <v>87</v>
      </c>
      <c r="E44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2" spans="1:6" x14ac:dyDescent="0.35">
      <c r="A4432" s="3">
        <v>17414838629</v>
      </c>
      <c r="B4432" s="3">
        <v>92</v>
      </c>
      <c r="C4432" s="32">
        <v>49275</v>
      </c>
      <c r="D4432" s="32">
        <v>49359</v>
      </c>
      <c r="E44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433" spans="1:6" x14ac:dyDescent="0.35">
      <c r="A4433" s="3">
        <v>39532468489</v>
      </c>
      <c r="B4433" s="3">
        <v>53</v>
      </c>
      <c r="C4433" s="32">
        <v>49275</v>
      </c>
      <c r="D4433" s="32" t="s">
        <v>87</v>
      </c>
      <c r="E44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4" spans="1:6" x14ac:dyDescent="0.35">
      <c r="A4434" s="3">
        <v>59053992093</v>
      </c>
      <c r="B4434" s="3">
        <v>68</v>
      </c>
      <c r="C4434" s="32">
        <v>49275</v>
      </c>
      <c r="D4434" s="32"/>
      <c r="E44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5" spans="1:6" x14ac:dyDescent="0.35">
      <c r="A4435" s="3">
        <v>90707605293</v>
      </c>
      <c r="B4435" s="3">
        <v>206</v>
      </c>
      <c r="C4435" s="32">
        <v>49275</v>
      </c>
      <c r="D4435" s="32">
        <v>49347</v>
      </c>
      <c r="E44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436" spans="1:6" x14ac:dyDescent="0.35">
      <c r="A4436" s="3">
        <v>11951834709</v>
      </c>
      <c r="B4436" s="3">
        <v>136</v>
      </c>
      <c r="C4436" s="32">
        <v>49275</v>
      </c>
      <c r="D4436" s="32" t="s">
        <v>87</v>
      </c>
      <c r="E44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7" spans="1:6" x14ac:dyDescent="0.35">
      <c r="A4437" s="3">
        <v>46235679482</v>
      </c>
      <c r="B4437" s="3">
        <v>70</v>
      </c>
      <c r="C4437" s="32">
        <v>49275</v>
      </c>
      <c r="D4437" s="32" t="s">
        <v>87</v>
      </c>
      <c r="E44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8" spans="1:6" x14ac:dyDescent="0.35">
      <c r="A4438" s="3">
        <v>20036531474</v>
      </c>
      <c r="B4438" s="3">
        <v>23</v>
      </c>
      <c r="C4438" s="32">
        <v>49275</v>
      </c>
      <c r="D4438" s="32" t="s">
        <v>87</v>
      </c>
      <c r="E44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9" spans="1:6" x14ac:dyDescent="0.35">
      <c r="A4439" s="3">
        <v>29009401907</v>
      </c>
      <c r="B4439" s="3">
        <v>60</v>
      </c>
      <c r="C4439" s="32">
        <v>49275</v>
      </c>
      <c r="D4439" s="32" t="s">
        <v>87</v>
      </c>
      <c r="E44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0" spans="1:6" x14ac:dyDescent="0.35">
      <c r="A4440" s="3">
        <v>42029583541</v>
      </c>
      <c r="B4440" s="3">
        <v>334</v>
      </c>
      <c r="C4440" s="32">
        <v>49275</v>
      </c>
      <c r="D4440" s="32" t="s">
        <v>87</v>
      </c>
      <c r="E44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1" spans="1:6" x14ac:dyDescent="0.35">
      <c r="A4441" s="3">
        <v>53502039245</v>
      </c>
      <c r="B4441" s="3">
        <v>324</v>
      </c>
      <c r="C4441" s="32">
        <v>49275</v>
      </c>
      <c r="D4441" s="32" t="s">
        <v>87</v>
      </c>
      <c r="E44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2" spans="1:6" x14ac:dyDescent="0.35">
      <c r="A4442" s="3">
        <v>54035600658</v>
      </c>
      <c r="B4442" s="3">
        <v>161</v>
      </c>
      <c r="C4442" s="32">
        <v>49275</v>
      </c>
      <c r="D4442" s="32" t="s">
        <v>87</v>
      </c>
      <c r="E44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3" spans="1:6" x14ac:dyDescent="0.35">
      <c r="A4443" s="3">
        <v>79575584873</v>
      </c>
      <c r="B4443" s="3">
        <v>227</v>
      </c>
      <c r="C4443" s="32">
        <v>49275</v>
      </c>
      <c r="D4443" s="32" t="s">
        <v>87</v>
      </c>
      <c r="E44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4" spans="1:6" x14ac:dyDescent="0.35">
      <c r="A4444" s="3">
        <v>71740054545</v>
      </c>
      <c r="B4444" s="3">
        <v>53</v>
      </c>
      <c r="C4444" s="32">
        <v>49275</v>
      </c>
      <c r="D4444" s="32" t="s">
        <v>87</v>
      </c>
      <c r="E44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5" spans="1:6" x14ac:dyDescent="0.35">
      <c r="A4445" s="3">
        <v>58332506698</v>
      </c>
      <c r="B4445" s="3">
        <v>261</v>
      </c>
      <c r="C4445" s="32">
        <v>49275</v>
      </c>
      <c r="D4445" s="32" t="s">
        <v>87</v>
      </c>
      <c r="E44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6" spans="1:6" x14ac:dyDescent="0.35">
      <c r="A4446" s="3">
        <v>36790532307</v>
      </c>
      <c r="B4446" s="3">
        <v>45</v>
      </c>
      <c r="C4446" s="32">
        <v>49275</v>
      </c>
      <c r="D4446" s="32">
        <v>49286</v>
      </c>
      <c r="E44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447" spans="1:6" x14ac:dyDescent="0.35">
      <c r="A4447" s="3">
        <v>92583264164</v>
      </c>
      <c r="B4447" s="3">
        <v>7</v>
      </c>
      <c r="C4447" s="32">
        <v>49275</v>
      </c>
      <c r="D4447" s="32">
        <v>49318</v>
      </c>
      <c r="E44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448" spans="1:6" x14ac:dyDescent="0.35">
      <c r="A4448" s="3">
        <v>57575185657</v>
      </c>
      <c r="B4448" s="3">
        <v>38</v>
      </c>
      <c r="C4448" s="32">
        <v>49275</v>
      </c>
      <c r="D4448" s="32" t="s">
        <v>87</v>
      </c>
      <c r="E44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9" spans="1:6" x14ac:dyDescent="0.35">
      <c r="A4449" s="3">
        <v>95265282228</v>
      </c>
      <c r="B4449" s="3">
        <v>3</v>
      </c>
      <c r="C4449" s="32">
        <v>49275</v>
      </c>
      <c r="D4449" s="32" t="s">
        <v>87</v>
      </c>
      <c r="E44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0" spans="1:6" x14ac:dyDescent="0.35">
      <c r="A4450" s="3">
        <v>16403229179</v>
      </c>
      <c r="B4450" s="3">
        <v>62</v>
      </c>
      <c r="C4450" s="32">
        <v>49275</v>
      </c>
      <c r="D4450" s="32" t="s">
        <v>87</v>
      </c>
      <c r="E44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1" spans="1:6" x14ac:dyDescent="0.35">
      <c r="A4451" s="3">
        <v>76360850010</v>
      </c>
      <c r="B4451" s="3">
        <v>293</v>
      </c>
      <c r="C4451" s="32">
        <v>49275</v>
      </c>
      <c r="D4451" s="32" t="s">
        <v>87</v>
      </c>
      <c r="E44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2" spans="1:6" x14ac:dyDescent="0.35">
      <c r="A4452" s="3">
        <v>57906132903</v>
      </c>
      <c r="B4452" s="3">
        <v>177</v>
      </c>
      <c r="C4452" s="32">
        <v>49275</v>
      </c>
      <c r="D4452" s="32" t="s">
        <v>87</v>
      </c>
      <c r="E44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3" spans="1:6" x14ac:dyDescent="0.35">
      <c r="A4453" s="3">
        <v>28400068157</v>
      </c>
      <c r="B4453" s="3">
        <v>43</v>
      </c>
      <c r="C4453" s="32">
        <v>49275</v>
      </c>
      <c r="D4453" s="32" t="s">
        <v>87</v>
      </c>
      <c r="E44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4" spans="1:6" x14ac:dyDescent="0.35">
      <c r="A4454" s="3">
        <v>71454487360</v>
      </c>
      <c r="B4454" s="3">
        <v>293</v>
      </c>
      <c r="C4454" s="32">
        <v>49275</v>
      </c>
      <c r="D4454" s="32" t="s">
        <v>87</v>
      </c>
      <c r="E44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5" spans="1:6" x14ac:dyDescent="0.35">
      <c r="A4455" s="3">
        <v>51423827776</v>
      </c>
      <c r="B4455" s="3">
        <v>261</v>
      </c>
      <c r="C4455" s="32">
        <v>49275</v>
      </c>
      <c r="D4455" s="32">
        <v>49313</v>
      </c>
      <c r="E44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456" spans="1:6" x14ac:dyDescent="0.35">
      <c r="A4456" s="3">
        <v>77512600877</v>
      </c>
      <c r="B4456" s="3">
        <v>232</v>
      </c>
      <c r="C4456" s="32">
        <v>49275</v>
      </c>
      <c r="D4456" s="32" t="s">
        <v>87</v>
      </c>
      <c r="E44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7" spans="1:6" x14ac:dyDescent="0.35">
      <c r="A4457" s="3">
        <v>78443249141</v>
      </c>
      <c r="B4457" s="3">
        <v>199</v>
      </c>
      <c r="C4457" s="32">
        <v>49275</v>
      </c>
      <c r="D4457" s="32" t="s">
        <v>87</v>
      </c>
      <c r="E44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8" spans="1:6" x14ac:dyDescent="0.35">
      <c r="A4458" s="3">
        <v>93167486665</v>
      </c>
      <c r="B4458" s="3">
        <v>266</v>
      </c>
      <c r="C4458" s="32">
        <v>49275</v>
      </c>
      <c r="D4458" s="32" t="s">
        <v>87</v>
      </c>
      <c r="E44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9" spans="1:6" x14ac:dyDescent="0.35">
      <c r="A4459" s="3">
        <v>31513104162</v>
      </c>
      <c r="B4459" s="3">
        <v>262</v>
      </c>
      <c r="C4459" s="32">
        <v>49275</v>
      </c>
      <c r="D4459" s="32" t="s">
        <v>87</v>
      </c>
      <c r="E44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0" spans="1:6" x14ac:dyDescent="0.35">
      <c r="A4460" s="3">
        <v>65955868166</v>
      </c>
      <c r="B4460" s="3">
        <v>192</v>
      </c>
      <c r="C4460" s="32">
        <v>49275</v>
      </c>
      <c r="D4460" s="32" t="s">
        <v>87</v>
      </c>
      <c r="E44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1" spans="1:6" x14ac:dyDescent="0.35">
      <c r="A4461" s="3">
        <v>73922567551</v>
      </c>
      <c r="B4461" s="3">
        <v>197</v>
      </c>
      <c r="C4461" s="32">
        <v>49275</v>
      </c>
      <c r="D4461" s="32" t="s">
        <v>87</v>
      </c>
      <c r="E44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2" spans="1:6" x14ac:dyDescent="0.35">
      <c r="A4462" s="3">
        <v>92983205052</v>
      </c>
      <c r="B4462" s="3">
        <v>137</v>
      </c>
      <c r="C4462" s="32">
        <v>49275</v>
      </c>
      <c r="D4462" s="32">
        <v>49323</v>
      </c>
      <c r="E44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463" spans="1:6" x14ac:dyDescent="0.35">
      <c r="A4463" s="3">
        <v>79454448649</v>
      </c>
      <c r="B4463" s="3">
        <v>170</v>
      </c>
      <c r="C4463" s="32">
        <v>49275</v>
      </c>
      <c r="D4463" s="32" t="s">
        <v>87</v>
      </c>
      <c r="E44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4" spans="1:6" x14ac:dyDescent="0.35">
      <c r="A4464" s="3">
        <v>26385694909</v>
      </c>
      <c r="B4464" s="3">
        <v>172</v>
      </c>
      <c r="C4464" s="32">
        <v>49276</v>
      </c>
      <c r="D4464" s="32" t="s">
        <v>87</v>
      </c>
      <c r="E44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5" spans="1:6" x14ac:dyDescent="0.35">
      <c r="A4465" s="3">
        <v>72467247730</v>
      </c>
      <c r="B4465" s="3">
        <v>121</v>
      </c>
      <c r="C4465" s="32">
        <v>49276</v>
      </c>
      <c r="D4465" s="32" t="s">
        <v>87</v>
      </c>
      <c r="E44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6" spans="1:6" x14ac:dyDescent="0.35">
      <c r="A4466" s="3">
        <v>33931665612</v>
      </c>
      <c r="B4466" s="3">
        <v>206</v>
      </c>
      <c r="C4466" s="32">
        <v>49276</v>
      </c>
      <c r="D4466" s="32" t="s">
        <v>87</v>
      </c>
      <c r="E44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7" spans="1:6" x14ac:dyDescent="0.35">
      <c r="A4467" s="3">
        <v>78711392660</v>
      </c>
      <c r="B4467" s="3">
        <v>41</v>
      </c>
      <c r="C4467" s="32">
        <v>49276</v>
      </c>
      <c r="D4467" s="32" t="s">
        <v>87</v>
      </c>
      <c r="E44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8" spans="1:6" x14ac:dyDescent="0.35">
      <c r="A4468" s="3">
        <v>63324725853</v>
      </c>
      <c r="B4468" s="3">
        <v>307</v>
      </c>
      <c r="C4468" s="32">
        <v>49276</v>
      </c>
      <c r="D4468" s="32" t="s">
        <v>87</v>
      </c>
      <c r="E44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9" spans="1:6" x14ac:dyDescent="0.35">
      <c r="A4469" s="3">
        <v>18984027606</v>
      </c>
      <c r="B4469" s="3">
        <v>233</v>
      </c>
      <c r="C4469" s="32">
        <v>49276</v>
      </c>
      <c r="D4469" s="32" t="s">
        <v>87</v>
      </c>
      <c r="E44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0" spans="1:6" x14ac:dyDescent="0.35">
      <c r="A4470" s="3">
        <v>37749355353</v>
      </c>
      <c r="B4470" s="3">
        <v>320</v>
      </c>
      <c r="C4470" s="32">
        <v>49276</v>
      </c>
      <c r="D4470" s="32"/>
      <c r="E44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1" spans="1:6" x14ac:dyDescent="0.35">
      <c r="A4471" s="3">
        <v>75134143839</v>
      </c>
      <c r="B4471" s="3">
        <v>16</v>
      </c>
      <c r="C4471" s="32">
        <v>49276</v>
      </c>
      <c r="D4471" s="32" t="s">
        <v>87</v>
      </c>
      <c r="E44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2" spans="1:6" x14ac:dyDescent="0.35">
      <c r="A4472" s="3">
        <v>94079045689</v>
      </c>
      <c r="B4472" s="3">
        <v>74</v>
      </c>
      <c r="C4472" s="32">
        <v>49276</v>
      </c>
      <c r="D4472" s="32" t="s">
        <v>87</v>
      </c>
      <c r="E44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3" spans="1:6" x14ac:dyDescent="0.35">
      <c r="A4473" s="3">
        <v>63767459617</v>
      </c>
      <c r="B4473" s="3">
        <v>42</v>
      </c>
      <c r="C4473" s="32">
        <v>49276</v>
      </c>
      <c r="D4473" s="32" t="s">
        <v>87</v>
      </c>
      <c r="E44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4" spans="1:6" x14ac:dyDescent="0.35">
      <c r="A4474" s="3">
        <v>21450752315</v>
      </c>
      <c r="B4474" s="3">
        <v>312</v>
      </c>
      <c r="C4474" s="32">
        <v>49276</v>
      </c>
      <c r="D4474" s="32">
        <v>49306</v>
      </c>
      <c r="E44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475" spans="1:6" x14ac:dyDescent="0.35">
      <c r="A4475" s="3">
        <v>26688152468</v>
      </c>
      <c r="B4475" s="3">
        <v>55</v>
      </c>
      <c r="C4475" s="32">
        <v>49276</v>
      </c>
      <c r="D4475" s="32" t="s">
        <v>87</v>
      </c>
      <c r="E44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6" spans="1:6" x14ac:dyDescent="0.35">
      <c r="A4476" s="3">
        <v>28469636744</v>
      </c>
      <c r="B4476" s="3">
        <v>278</v>
      </c>
      <c r="C4476" s="32">
        <v>49276</v>
      </c>
      <c r="D4476" s="32" t="s">
        <v>87</v>
      </c>
      <c r="E44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7" spans="1:6" x14ac:dyDescent="0.35">
      <c r="A4477" s="3">
        <v>42469427601</v>
      </c>
      <c r="B4477" s="3">
        <v>44</v>
      </c>
      <c r="C4477" s="32">
        <v>49276</v>
      </c>
      <c r="D4477" s="32" t="s">
        <v>87</v>
      </c>
      <c r="E44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8" spans="1:6" x14ac:dyDescent="0.35">
      <c r="A4478" s="3">
        <v>27911215463</v>
      </c>
      <c r="B4478" s="3">
        <v>175</v>
      </c>
      <c r="C4478" s="32">
        <v>49276</v>
      </c>
      <c r="D4478" s="32" t="s">
        <v>87</v>
      </c>
      <c r="E44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9" spans="1:6" x14ac:dyDescent="0.35">
      <c r="A4479" s="3">
        <v>23624147919</v>
      </c>
      <c r="B4479" s="3">
        <v>118</v>
      </c>
      <c r="C4479" s="32">
        <v>49276</v>
      </c>
      <c r="D4479" s="32"/>
      <c r="E44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0" spans="1:6" x14ac:dyDescent="0.35">
      <c r="A4480" s="3">
        <v>42566272988</v>
      </c>
      <c r="B4480" s="3">
        <v>83</v>
      </c>
      <c r="C4480" s="32">
        <v>49276</v>
      </c>
      <c r="D4480" s="32" t="s">
        <v>87</v>
      </c>
      <c r="E44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1" spans="1:6" x14ac:dyDescent="0.35">
      <c r="A4481" s="3">
        <v>86530940303</v>
      </c>
      <c r="B4481" s="3">
        <v>61</v>
      </c>
      <c r="C4481" s="32">
        <v>49276</v>
      </c>
      <c r="D4481" s="32"/>
      <c r="E44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2" spans="1:6" x14ac:dyDescent="0.35">
      <c r="A4482" s="3">
        <v>72313790066</v>
      </c>
      <c r="B4482" s="3">
        <v>228</v>
      </c>
      <c r="C4482" s="32">
        <v>49276</v>
      </c>
      <c r="D4482" s="32" t="s">
        <v>87</v>
      </c>
      <c r="E44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3" spans="1:6" x14ac:dyDescent="0.35">
      <c r="A4483" s="3">
        <v>62981553389</v>
      </c>
      <c r="B4483" s="3">
        <v>55</v>
      </c>
      <c r="C4483" s="32">
        <v>49276</v>
      </c>
      <c r="D4483" s="32" t="s">
        <v>87</v>
      </c>
      <c r="E44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4" spans="1:6" x14ac:dyDescent="0.35">
      <c r="A4484" s="3">
        <v>89908291189</v>
      </c>
      <c r="B4484" s="3">
        <v>288</v>
      </c>
      <c r="C4484" s="32">
        <v>49276</v>
      </c>
      <c r="D4484" s="32" t="s">
        <v>87</v>
      </c>
      <c r="E44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5" spans="1:6" x14ac:dyDescent="0.35">
      <c r="A4485" s="3">
        <v>54517369121</v>
      </c>
      <c r="B4485" s="3">
        <v>340</v>
      </c>
      <c r="C4485" s="32">
        <v>49276</v>
      </c>
      <c r="D4485" s="32"/>
      <c r="E44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6" spans="1:6" x14ac:dyDescent="0.35">
      <c r="A4486" s="3">
        <v>71585684200</v>
      </c>
      <c r="B4486" s="3">
        <v>261</v>
      </c>
      <c r="C4486" s="32">
        <v>49276</v>
      </c>
      <c r="D4486" s="32" t="s">
        <v>87</v>
      </c>
      <c r="E44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7" spans="1:6" x14ac:dyDescent="0.35">
      <c r="A4487" s="3">
        <v>86953553873</v>
      </c>
      <c r="B4487" s="3">
        <v>138</v>
      </c>
      <c r="C4487" s="32">
        <v>49276</v>
      </c>
      <c r="D4487" s="32" t="s">
        <v>87</v>
      </c>
      <c r="E44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8" spans="1:6" x14ac:dyDescent="0.35">
      <c r="A4488" s="3">
        <v>73833881908</v>
      </c>
      <c r="B4488" s="3">
        <v>46</v>
      </c>
      <c r="C4488" s="32">
        <v>49277</v>
      </c>
      <c r="D4488" s="32">
        <v>49307</v>
      </c>
      <c r="E44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489" spans="1:6" x14ac:dyDescent="0.35">
      <c r="A4489" s="3">
        <v>76241247557</v>
      </c>
      <c r="B4489" s="3">
        <v>81</v>
      </c>
      <c r="C4489" s="32">
        <v>49277</v>
      </c>
      <c r="D4489" s="32" t="s">
        <v>87</v>
      </c>
      <c r="E44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0" spans="1:6" x14ac:dyDescent="0.35">
      <c r="A4490" s="3">
        <v>87716314936</v>
      </c>
      <c r="B4490" s="3">
        <v>3</v>
      </c>
      <c r="C4490" s="32">
        <v>49277</v>
      </c>
      <c r="D4490" s="32" t="s">
        <v>87</v>
      </c>
      <c r="E44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1" spans="1:6" x14ac:dyDescent="0.35">
      <c r="A4491" s="3">
        <v>11908150166</v>
      </c>
      <c r="B4491" s="3">
        <v>68</v>
      </c>
      <c r="C4491" s="32">
        <v>49277</v>
      </c>
      <c r="D4491" s="32">
        <v>49303</v>
      </c>
      <c r="E44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492" spans="1:6" x14ac:dyDescent="0.35">
      <c r="A4492" s="3">
        <v>40121472962</v>
      </c>
      <c r="B4492" s="3">
        <v>22</v>
      </c>
      <c r="C4492" s="32">
        <v>49277</v>
      </c>
      <c r="D4492" s="32" t="s">
        <v>87</v>
      </c>
      <c r="E44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3" spans="1:6" x14ac:dyDescent="0.35">
      <c r="A4493" s="3">
        <v>93441312295</v>
      </c>
      <c r="B4493" s="3">
        <v>31</v>
      </c>
      <c r="C4493" s="32">
        <v>49277</v>
      </c>
      <c r="D4493" s="32" t="s">
        <v>87</v>
      </c>
      <c r="E44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4" spans="1:6" x14ac:dyDescent="0.35">
      <c r="A4494" s="3">
        <v>92916111189</v>
      </c>
      <c r="B4494" s="3">
        <v>258</v>
      </c>
      <c r="C4494" s="32">
        <v>49277</v>
      </c>
      <c r="D4494" s="32" t="s">
        <v>87</v>
      </c>
      <c r="E44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5" spans="1:6" x14ac:dyDescent="0.35">
      <c r="A4495" s="3">
        <v>82016804968</v>
      </c>
      <c r="B4495" s="3">
        <v>197</v>
      </c>
      <c r="C4495" s="32">
        <v>49277</v>
      </c>
      <c r="D4495" s="32" t="s">
        <v>87</v>
      </c>
      <c r="E44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6" spans="1:6" x14ac:dyDescent="0.35">
      <c r="A4496" s="3">
        <v>35468842800</v>
      </c>
      <c r="B4496" s="3">
        <v>13</v>
      </c>
      <c r="C4496" s="32">
        <v>49277</v>
      </c>
      <c r="D4496" s="32" t="s">
        <v>87</v>
      </c>
      <c r="E44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7" spans="1:6" x14ac:dyDescent="0.35">
      <c r="A4497" s="3">
        <v>80120727617</v>
      </c>
      <c r="B4497" s="3">
        <v>141</v>
      </c>
      <c r="C4497" s="32">
        <v>49277</v>
      </c>
      <c r="D4497" s="32" t="s">
        <v>87</v>
      </c>
      <c r="E44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8" spans="1:6" x14ac:dyDescent="0.35">
      <c r="A4498" s="3">
        <v>12745549400</v>
      </c>
      <c r="B4498" s="3">
        <v>143</v>
      </c>
      <c r="C4498" s="32">
        <v>49277</v>
      </c>
      <c r="D4498" s="32" t="s">
        <v>87</v>
      </c>
      <c r="E44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9" spans="1:6" x14ac:dyDescent="0.35">
      <c r="A4499" s="3">
        <v>51108246119</v>
      </c>
      <c r="B4499" s="3">
        <v>273</v>
      </c>
      <c r="C4499" s="32">
        <v>49277</v>
      </c>
      <c r="D4499" s="32" t="s">
        <v>87</v>
      </c>
      <c r="E44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0" spans="1:6" x14ac:dyDescent="0.35">
      <c r="A4500" s="3">
        <v>73910691197</v>
      </c>
      <c r="B4500" s="3">
        <v>268</v>
      </c>
      <c r="C4500" s="32">
        <v>49277</v>
      </c>
      <c r="D4500" s="32" t="s">
        <v>87</v>
      </c>
      <c r="E45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1" spans="1:6" x14ac:dyDescent="0.35">
      <c r="A4501" s="3">
        <v>18270055991</v>
      </c>
      <c r="B4501" s="3">
        <v>241</v>
      </c>
      <c r="C4501" s="32">
        <v>49277</v>
      </c>
      <c r="D4501" s="32">
        <v>49356</v>
      </c>
      <c r="E45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502" spans="1:6" x14ac:dyDescent="0.35">
      <c r="A4502" s="3">
        <v>91534604976</v>
      </c>
      <c r="B4502" s="3">
        <v>157</v>
      </c>
      <c r="C4502" s="32">
        <v>49277</v>
      </c>
      <c r="D4502" s="32"/>
      <c r="E45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3" spans="1:6" x14ac:dyDescent="0.35">
      <c r="A4503" s="3">
        <v>15026796053</v>
      </c>
      <c r="B4503" s="3">
        <v>313</v>
      </c>
      <c r="C4503" s="32">
        <v>49277</v>
      </c>
      <c r="D4503" s="32"/>
      <c r="E45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4" spans="1:6" x14ac:dyDescent="0.35">
      <c r="A4504" s="3">
        <v>27246005832</v>
      </c>
      <c r="B4504" s="3">
        <v>221</v>
      </c>
      <c r="C4504" s="32">
        <v>49277</v>
      </c>
      <c r="D4504" s="32"/>
      <c r="E45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5" spans="1:6" x14ac:dyDescent="0.35">
      <c r="A4505" s="3">
        <v>66226512227</v>
      </c>
      <c r="B4505" s="3">
        <v>149</v>
      </c>
      <c r="C4505" s="32">
        <v>49277</v>
      </c>
      <c r="D4505" s="32" t="s">
        <v>87</v>
      </c>
      <c r="E45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6" spans="1:6" x14ac:dyDescent="0.35">
      <c r="A4506" s="3">
        <v>68335981526</v>
      </c>
      <c r="B4506" s="3">
        <v>1</v>
      </c>
      <c r="C4506" s="32">
        <v>49277</v>
      </c>
      <c r="D4506" s="32" t="s">
        <v>87</v>
      </c>
      <c r="E45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7" spans="1:6" x14ac:dyDescent="0.35">
      <c r="A4507" s="3">
        <v>68579997407</v>
      </c>
      <c r="B4507" s="3">
        <v>128</v>
      </c>
      <c r="C4507" s="32">
        <v>49277</v>
      </c>
      <c r="D4507" s="32"/>
      <c r="E45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8" spans="1:6" x14ac:dyDescent="0.35">
      <c r="A4508" s="3">
        <v>60754596586</v>
      </c>
      <c r="B4508" s="3">
        <v>166</v>
      </c>
      <c r="C4508" s="32">
        <v>49277</v>
      </c>
      <c r="D4508" s="32" t="s">
        <v>87</v>
      </c>
      <c r="E45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9" spans="1:6" x14ac:dyDescent="0.35">
      <c r="A4509" s="3">
        <v>84453342707</v>
      </c>
      <c r="B4509" s="3">
        <v>206</v>
      </c>
      <c r="C4509" s="32">
        <v>49277</v>
      </c>
      <c r="D4509" s="32"/>
      <c r="E45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0" spans="1:6" x14ac:dyDescent="0.35">
      <c r="A4510" s="3">
        <v>63350288247</v>
      </c>
      <c r="B4510" s="3">
        <v>14</v>
      </c>
      <c r="C4510" s="32">
        <v>49277</v>
      </c>
      <c r="D4510" s="32"/>
      <c r="E45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1" spans="1:6" x14ac:dyDescent="0.35">
      <c r="A4511" s="3">
        <v>43235971774</v>
      </c>
      <c r="B4511" s="3">
        <v>160</v>
      </c>
      <c r="C4511" s="32">
        <v>49277</v>
      </c>
      <c r="D4511" s="32" t="s">
        <v>87</v>
      </c>
      <c r="E45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2" spans="1:6" x14ac:dyDescent="0.35">
      <c r="A4512" s="3">
        <v>35809616344</v>
      </c>
      <c r="B4512" s="3">
        <v>100</v>
      </c>
      <c r="C4512" s="32">
        <v>49277</v>
      </c>
      <c r="D4512" s="32" t="s">
        <v>87</v>
      </c>
      <c r="E45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3" spans="1:6" x14ac:dyDescent="0.35">
      <c r="A4513" s="3">
        <v>66094413508</v>
      </c>
      <c r="B4513" s="3">
        <v>281</v>
      </c>
      <c r="C4513" s="32">
        <v>49277</v>
      </c>
      <c r="D4513" s="32">
        <v>49365</v>
      </c>
      <c r="E45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514" spans="1:6" x14ac:dyDescent="0.35">
      <c r="A4514" s="3">
        <v>39807373068</v>
      </c>
      <c r="B4514" s="3">
        <v>55</v>
      </c>
      <c r="C4514" s="32">
        <v>49277</v>
      </c>
      <c r="D4514" s="32" t="s">
        <v>87</v>
      </c>
      <c r="E45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5" spans="1:6" x14ac:dyDescent="0.35">
      <c r="A4515" s="3">
        <v>51824716599</v>
      </c>
      <c r="B4515" s="3">
        <v>174</v>
      </c>
      <c r="C4515" s="32">
        <v>49277</v>
      </c>
      <c r="D4515" s="32" t="s">
        <v>87</v>
      </c>
      <c r="E45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6" spans="1:6" x14ac:dyDescent="0.35">
      <c r="A4516" s="3">
        <v>72535105738</v>
      </c>
      <c r="B4516" s="3">
        <v>146</v>
      </c>
      <c r="C4516" s="32">
        <v>49277</v>
      </c>
      <c r="D4516" s="32" t="s">
        <v>87</v>
      </c>
      <c r="E45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7" spans="1:6" x14ac:dyDescent="0.35">
      <c r="A4517" s="3">
        <v>30298780517</v>
      </c>
      <c r="B4517" s="3">
        <v>55</v>
      </c>
      <c r="C4517" s="32">
        <v>49278</v>
      </c>
      <c r="D4517" s="32" t="s">
        <v>87</v>
      </c>
      <c r="E45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8" spans="1:6" x14ac:dyDescent="0.35">
      <c r="A4518" s="3">
        <v>99832378917</v>
      </c>
      <c r="B4518" s="3">
        <v>159</v>
      </c>
      <c r="C4518" s="32">
        <v>49278</v>
      </c>
      <c r="D4518" s="32" t="s">
        <v>87</v>
      </c>
      <c r="E45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9" spans="1:6" x14ac:dyDescent="0.35">
      <c r="A4519" s="3">
        <v>39628150589</v>
      </c>
      <c r="B4519" s="3">
        <v>248</v>
      </c>
      <c r="C4519" s="32">
        <v>49278</v>
      </c>
      <c r="D4519" s="32" t="s">
        <v>87</v>
      </c>
      <c r="E45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0" spans="1:6" x14ac:dyDescent="0.35">
      <c r="A4520" s="3">
        <v>26463626700</v>
      </c>
      <c r="B4520" s="3">
        <v>54</v>
      </c>
      <c r="C4520" s="32">
        <v>49278</v>
      </c>
      <c r="D4520" s="32">
        <v>49337</v>
      </c>
      <c r="E45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521" spans="1:6" x14ac:dyDescent="0.35">
      <c r="A4521" s="3">
        <v>58585862218</v>
      </c>
      <c r="B4521" s="3">
        <v>239</v>
      </c>
      <c r="C4521" s="32">
        <v>49278</v>
      </c>
      <c r="D4521" s="32" t="s">
        <v>87</v>
      </c>
      <c r="E45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2" spans="1:6" x14ac:dyDescent="0.35">
      <c r="A4522" s="3">
        <v>45530773879</v>
      </c>
      <c r="B4522" s="3">
        <v>330</v>
      </c>
      <c r="C4522" s="32">
        <v>49278</v>
      </c>
      <c r="D4522" s="32">
        <v>49291</v>
      </c>
      <c r="E45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523" spans="1:6" x14ac:dyDescent="0.35">
      <c r="A4523" s="3">
        <v>94026047188</v>
      </c>
      <c r="B4523" s="3">
        <v>136</v>
      </c>
      <c r="C4523" s="32">
        <v>49278</v>
      </c>
      <c r="D4523" s="32" t="s">
        <v>87</v>
      </c>
      <c r="E45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4" spans="1:6" x14ac:dyDescent="0.35">
      <c r="A4524" s="3">
        <v>12478520818</v>
      </c>
      <c r="B4524" s="3">
        <v>331</v>
      </c>
      <c r="C4524" s="32">
        <v>49278</v>
      </c>
      <c r="D4524" s="32" t="s">
        <v>87</v>
      </c>
      <c r="E45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5" spans="1:6" x14ac:dyDescent="0.35">
      <c r="A4525" s="3">
        <v>86596874174</v>
      </c>
      <c r="B4525" s="3">
        <v>203</v>
      </c>
      <c r="C4525" s="32">
        <v>49278</v>
      </c>
      <c r="D4525" s="32" t="s">
        <v>87</v>
      </c>
      <c r="E45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6" spans="1:6" x14ac:dyDescent="0.35">
      <c r="A4526" s="3">
        <v>59464176959</v>
      </c>
      <c r="B4526" s="3">
        <v>287</v>
      </c>
      <c r="C4526" s="32">
        <v>49278</v>
      </c>
      <c r="D4526" s="32" t="s">
        <v>87</v>
      </c>
      <c r="E45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7" spans="1:6" x14ac:dyDescent="0.35">
      <c r="A4527" s="3">
        <v>73239809276</v>
      </c>
      <c r="B4527" s="3">
        <v>97</v>
      </c>
      <c r="C4527" s="32">
        <v>49278</v>
      </c>
      <c r="D4527" s="32" t="s">
        <v>87</v>
      </c>
      <c r="E45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8" spans="1:6" x14ac:dyDescent="0.35">
      <c r="A4528" s="3">
        <v>22322404423</v>
      </c>
      <c r="B4528" s="3">
        <v>28</v>
      </c>
      <c r="C4528" s="32">
        <v>49278</v>
      </c>
      <c r="D4528" s="32" t="s">
        <v>87</v>
      </c>
      <c r="E45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9" spans="1:6" x14ac:dyDescent="0.35">
      <c r="A4529" s="3">
        <v>25675323012</v>
      </c>
      <c r="B4529" s="3">
        <v>68</v>
      </c>
      <c r="C4529" s="32">
        <v>49278</v>
      </c>
      <c r="D4529" s="32"/>
      <c r="E45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0" spans="1:6" x14ac:dyDescent="0.35">
      <c r="A4530" s="3">
        <v>75201105312</v>
      </c>
      <c r="B4530" s="3">
        <v>151</v>
      </c>
      <c r="C4530" s="32">
        <v>49278</v>
      </c>
      <c r="D4530" s="32" t="s">
        <v>87</v>
      </c>
      <c r="E45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1" spans="1:6" x14ac:dyDescent="0.35">
      <c r="A4531" s="3">
        <v>65137707376</v>
      </c>
      <c r="B4531" s="3">
        <v>52</v>
      </c>
      <c r="C4531" s="32">
        <v>49278</v>
      </c>
      <c r="D4531" s="32" t="s">
        <v>87</v>
      </c>
      <c r="E45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2" spans="1:6" x14ac:dyDescent="0.35">
      <c r="A4532" s="3">
        <v>97061489162</v>
      </c>
      <c r="B4532" s="3">
        <v>248</v>
      </c>
      <c r="C4532" s="32">
        <v>49278</v>
      </c>
      <c r="D4532" s="32" t="s">
        <v>87</v>
      </c>
      <c r="E45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3" spans="1:6" x14ac:dyDescent="0.35">
      <c r="A4533" s="3">
        <v>24107246619</v>
      </c>
      <c r="B4533" s="3">
        <v>317</v>
      </c>
      <c r="C4533" s="32">
        <v>49278</v>
      </c>
      <c r="D4533" s="32"/>
      <c r="E45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4" spans="1:6" x14ac:dyDescent="0.35">
      <c r="A4534" s="3">
        <v>52410449943</v>
      </c>
      <c r="B4534" s="3">
        <v>219</v>
      </c>
      <c r="C4534" s="32">
        <v>49278</v>
      </c>
      <c r="D4534" s="32" t="s">
        <v>87</v>
      </c>
      <c r="E45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5" spans="1:6" x14ac:dyDescent="0.35">
      <c r="A4535" s="3">
        <v>88023220123</v>
      </c>
      <c r="B4535" s="3">
        <v>160</v>
      </c>
      <c r="C4535" s="32">
        <v>49278</v>
      </c>
      <c r="D4535" s="32"/>
      <c r="E45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6" spans="1:6" x14ac:dyDescent="0.35">
      <c r="A4536" s="3">
        <v>25640387696</v>
      </c>
      <c r="B4536" s="3">
        <v>127</v>
      </c>
      <c r="C4536" s="32">
        <v>49278</v>
      </c>
      <c r="D4536" s="32"/>
      <c r="E45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7" spans="1:6" x14ac:dyDescent="0.35">
      <c r="A4537" s="3">
        <v>80223310833</v>
      </c>
      <c r="B4537" s="3">
        <v>22</v>
      </c>
      <c r="C4537" s="32">
        <v>49278</v>
      </c>
      <c r="D4537" s="32"/>
      <c r="E45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8" spans="1:6" x14ac:dyDescent="0.35">
      <c r="A4538" s="3">
        <v>77740638063</v>
      </c>
      <c r="B4538" s="3">
        <v>156</v>
      </c>
      <c r="C4538" s="32">
        <v>49278</v>
      </c>
      <c r="D4538" s="32" t="s">
        <v>87</v>
      </c>
      <c r="E45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9" spans="1:6" x14ac:dyDescent="0.35">
      <c r="A4539" s="3">
        <v>86302029654</v>
      </c>
      <c r="B4539" s="3">
        <v>118</v>
      </c>
      <c r="C4539" s="32">
        <v>49278</v>
      </c>
      <c r="D4539" s="32" t="s">
        <v>87</v>
      </c>
      <c r="E45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0" spans="1:6" x14ac:dyDescent="0.35">
      <c r="A4540" s="3">
        <v>74528186135</v>
      </c>
      <c r="B4540" s="3">
        <v>99</v>
      </c>
      <c r="C4540" s="32">
        <v>49278</v>
      </c>
      <c r="D4540" s="32" t="s">
        <v>87</v>
      </c>
      <c r="E45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1" spans="1:6" x14ac:dyDescent="0.35">
      <c r="A4541" s="3">
        <v>74660382069</v>
      </c>
      <c r="B4541" s="3">
        <v>307</v>
      </c>
      <c r="C4541" s="32">
        <v>49278</v>
      </c>
      <c r="D4541" s="32" t="s">
        <v>87</v>
      </c>
      <c r="E45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2" spans="1:6" x14ac:dyDescent="0.35">
      <c r="A4542" s="3">
        <v>79458961779</v>
      </c>
      <c r="B4542" s="3">
        <v>221</v>
      </c>
      <c r="C4542" s="32">
        <v>49278</v>
      </c>
      <c r="D4542" s="32" t="s">
        <v>87</v>
      </c>
      <c r="E45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3" spans="1:6" x14ac:dyDescent="0.35">
      <c r="A4543" s="3">
        <v>13553831448</v>
      </c>
      <c r="B4543" s="3">
        <v>201</v>
      </c>
      <c r="C4543" s="32">
        <v>49278</v>
      </c>
      <c r="D4543" s="32" t="s">
        <v>87</v>
      </c>
      <c r="E45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4" spans="1:6" x14ac:dyDescent="0.35">
      <c r="A4544" s="3">
        <v>52278759973</v>
      </c>
      <c r="B4544" s="3">
        <v>319</v>
      </c>
      <c r="C4544" s="32">
        <v>49279</v>
      </c>
      <c r="D4544" s="32"/>
      <c r="E45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5" spans="1:6" x14ac:dyDescent="0.35">
      <c r="A4545" s="3">
        <v>55469429964</v>
      </c>
      <c r="B4545" s="3">
        <v>306</v>
      </c>
      <c r="C4545" s="32">
        <v>49279</v>
      </c>
      <c r="D4545" s="32" t="s">
        <v>87</v>
      </c>
      <c r="E45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6" spans="1:6" x14ac:dyDescent="0.35">
      <c r="A4546" s="3">
        <v>38448606690</v>
      </c>
      <c r="B4546" s="3">
        <v>3</v>
      </c>
      <c r="C4546" s="32">
        <v>49279</v>
      </c>
      <c r="D4546" s="32" t="s">
        <v>87</v>
      </c>
      <c r="E45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7" spans="1:6" x14ac:dyDescent="0.35">
      <c r="A4547" s="3">
        <v>26695796415</v>
      </c>
      <c r="B4547" s="3">
        <v>220</v>
      </c>
      <c r="C4547" s="32">
        <v>49279</v>
      </c>
      <c r="D4547" s="32">
        <v>49325</v>
      </c>
      <c r="E45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548" spans="1:6" x14ac:dyDescent="0.35">
      <c r="A4548" s="3">
        <v>87356834413</v>
      </c>
      <c r="B4548" s="3">
        <v>93</v>
      </c>
      <c r="C4548" s="32">
        <v>49279</v>
      </c>
      <c r="D4548" s="32" t="s">
        <v>87</v>
      </c>
      <c r="E45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9" spans="1:6" x14ac:dyDescent="0.35">
      <c r="A4549" s="3">
        <v>81301608866</v>
      </c>
      <c r="B4549" s="3">
        <v>161</v>
      </c>
      <c r="C4549" s="32">
        <v>49279</v>
      </c>
      <c r="D4549" s="32" t="s">
        <v>87</v>
      </c>
      <c r="E45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0" spans="1:6" x14ac:dyDescent="0.35">
      <c r="A4550" s="3">
        <v>26028923526</v>
      </c>
      <c r="B4550" s="3">
        <v>242</v>
      </c>
      <c r="C4550" s="32">
        <v>49279</v>
      </c>
      <c r="D4550" s="32"/>
      <c r="E45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1" spans="1:6" x14ac:dyDescent="0.35">
      <c r="A4551" s="3">
        <v>50060319161</v>
      </c>
      <c r="B4551" s="3">
        <v>134</v>
      </c>
      <c r="C4551" s="32">
        <v>49279</v>
      </c>
      <c r="D4551" s="32" t="s">
        <v>87</v>
      </c>
      <c r="E45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2" spans="1:6" x14ac:dyDescent="0.35">
      <c r="A4552" s="3">
        <v>83250314291</v>
      </c>
      <c r="B4552" s="3">
        <v>64</v>
      </c>
      <c r="C4552" s="32">
        <v>49279</v>
      </c>
      <c r="D4552" s="32" t="s">
        <v>87</v>
      </c>
      <c r="E45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3" spans="1:6" x14ac:dyDescent="0.35">
      <c r="A4553" s="3">
        <v>24575683658</v>
      </c>
      <c r="B4553" s="3">
        <v>39</v>
      </c>
      <c r="C4553" s="32">
        <v>49279</v>
      </c>
      <c r="D4553" s="32">
        <v>49353</v>
      </c>
      <c r="E45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554" spans="1:6" x14ac:dyDescent="0.35">
      <c r="A4554" s="3">
        <v>35553069934</v>
      </c>
      <c r="B4554" s="3">
        <v>168</v>
      </c>
      <c r="C4554" s="32">
        <v>49279</v>
      </c>
      <c r="D4554" s="32" t="s">
        <v>87</v>
      </c>
      <c r="E45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5" spans="1:6" x14ac:dyDescent="0.35">
      <c r="A4555" s="3">
        <v>74718503193</v>
      </c>
      <c r="B4555" s="3">
        <v>99</v>
      </c>
      <c r="C4555" s="32">
        <v>49279</v>
      </c>
      <c r="D4555" s="32" t="s">
        <v>87</v>
      </c>
      <c r="E45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6" spans="1:6" x14ac:dyDescent="0.35">
      <c r="A4556" s="3">
        <v>59653783896</v>
      </c>
      <c r="B4556" s="3">
        <v>268</v>
      </c>
      <c r="C4556" s="32">
        <v>49279</v>
      </c>
      <c r="D4556" s="32">
        <v>49325</v>
      </c>
      <c r="E45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557" spans="1:6" x14ac:dyDescent="0.35">
      <c r="A4557" s="3">
        <v>76123718430</v>
      </c>
      <c r="B4557" s="3">
        <v>188</v>
      </c>
      <c r="C4557" s="32">
        <v>49279</v>
      </c>
      <c r="D4557" s="32" t="s">
        <v>87</v>
      </c>
      <c r="E45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8" spans="1:6" x14ac:dyDescent="0.35">
      <c r="A4558" s="3">
        <v>29772526684</v>
      </c>
      <c r="B4558" s="3">
        <v>277</v>
      </c>
      <c r="C4558" s="32">
        <v>49279</v>
      </c>
      <c r="D4558" s="32" t="s">
        <v>87</v>
      </c>
      <c r="E45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9" spans="1:6" x14ac:dyDescent="0.35">
      <c r="A4559" s="3">
        <v>69644132535</v>
      </c>
      <c r="B4559" s="3">
        <v>218</v>
      </c>
      <c r="C4559" s="32">
        <v>49279</v>
      </c>
      <c r="D4559" s="32" t="s">
        <v>87</v>
      </c>
      <c r="E45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0" spans="1:6" x14ac:dyDescent="0.35">
      <c r="A4560" s="3">
        <v>60834163315</v>
      </c>
      <c r="B4560" s="3">
        <v>311</v>
      </c>
      <c r="C4560" s="32">
        <v>49279</v>
      </c>
      <c r="D4560" s="32" t="s">
        <v>87</v>
      </c>
      <c r="E45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1" spans="1:6" x14ac:dyDescent="0.35">
      <c r="A4561" s="3">
        <v>44132650737</v>
      </c>
      <c r="B4561" s="3">
        <v>196</v>
      </c>
      <c r="C4561" s="32">
        <v>49279</v>
      </c>
      <c r="D4561" s="32" t="s">
        <v>87</v>
      </c>
      <c r="E45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2" spans="1:6" x14ac:dyDescent="0.35">
      <c r="A4562" s="3">
        <v>87816598737</v>
      </c>
      <c r="B4562" s="3">
        <v>183</v>
      </c>
      <c r="C4562" s="32">
        <v>49279</v>
      </c>
      <c r="D4562" s="32" t="s">
        <v>87</v>
      </c>
      <c r="E45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3" spans="1:6" x14ac:dyDescent="0.35">
      <c r="A4563" s="3">
        <v>39271291411</v>
      </c>
      <c r="B4563" s="3">
        <v>45</v>
      </c>
      <c r="C4563" s="32">
        <v>49279</v>
      </c>
      <c r="D4563" s="32">
        <v>49357</v>
      </c>
      <c r="E45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564" spans="1:6" x14ac:dyDescent="0.35">
      <c r="A4564" s="3">
        <v>23751894876</v>
      </c>
      <c r="B4564" s="3">
        <v>37</v>
      </c>
      <c r="C4564" s="32">
        <v>49279</v>
      </c>
      <c r="D4564" s="32" t="s">
        <v>87</v>
      </c>
      <c r="E45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5" spans="1:6" x14ac:dyDescent="0.35">
      <c r="A4565" s="3">
        <v>75263845886</v>
      </c>
      <c r="B4565" s="3">
        <v>276</v>
      </c>
      <c r="C4565" s="32">
        <v>49279</v>
      </c>
      <c r="D4565" s="32" t="s">
        <v>87</v>
      </c>
      <c r="E45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6" spans="1:6" x14ac:dyDescent="0.35">
      <c r="A4566" s="3">
        <v>67226038622</v>
      </c>
      <c r="B4566" s="3">
        <v>315</v>
      </c>
      <c r="C4566" s="32">
        <v>49279</v>
      </c>
      <c r="D4566" s="32">
        <v>49318</v>
      </c>
      <c r="E45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567" spans="1:6" x14ac:dyDescent="0.35">
      <c r="A4567" s="3">
        <v>12050530714</v>
      </c>
      <c r="B4567" s="3">
        <v>138</v>
      </c>
      <c r="C4567" s="32">
        <v>49279</v>
      </c>
      <c r="D4567" s="32">
        <v>49317</v>
      </c>
      <c r="E45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568" spans="1:6" x14ac:dyDescent="0.35">
      <c r="A4568" s="3">
        <v>61708012047</v>
      </c>
      <c r="B4568" s="3">
        <v>248</v>
      </c>
      <c r="C4568" s="32">
        <v>49279</v>
      </c>
      <c r="D4568" s="32"/>
      <c r="E45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9" spans="1:6" x14ac:dyDescent="0.35">
      <c r="A4569" s="3">
        <v>15891551916</v>
      </c>
      <c r="B4569" s="3">
        <v>186</v>
      </c>
      <c r="C4569" s="32">
        <v>49279</v>
      </c>
      <c r="D4569" s="32" t="s">
        <v>87</v>
      </c>
      <c r="E45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0" spans="1:6" x14ac:dyDescent="0.35">
      <c r="A4570" s="3">
        <v>54119291806</v>
      </c>
      <c r="B4570" s="3">
        <v>243</v>
      </c>
      <c r="C4570" s="32">
        <v>49279</v>
      </c>
      <c r="D4570" s="32">
        <v>49329</v>
      </c>
      <c r="E45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571" spans="1:6" x14ac:dyDescent="0.35">
      <c r="A4571" s="3">
        <v>14800275067</v>
      </c>
      <c r="B4571" s="3">
        <v>105</v>
      </c>
      <c r="C4571" s="32">
        <v>49279</v>
      </c>
      <c r="D4571" s="32" t="s">
        <v>87</v>
      </c>
      <c r="E45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2" spans="1:6" x14ac:dyDescent="0.35">
      <c r="A4572" s="3">
        <v>74327399892</v>
      </c>
      <c r="B4572" s="3">
        <v>281</v>
      </c>
      <c r="C4572" s="32">
        <v>49279</v>
      </c>
      <c r="D4572" s="32" t="s">
        <v>87</v>
      </c>
      <c r="E45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3" spans="1:6" x14ac:dyDescent="0.35">
      <c r="A4573" s="3">
        <v>94005808425</v>
      </c>
      <c r="B4573" s="3">
        <v>134</v>
      </c>
      <c r="C4573" s="32">
        <v>49279</v>
      </c>
      <c r="D4573" s="32" t="s">
        <v>87</v>
      </c>
      <c r="E45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4" spans="1:6" x14ac:dyDescent="0.35">
      <c r="A4574" s="3">
        <v>64053883802</v>
      </c>
      <c r="B4574" s="3">
        <v>120</v>
      </c>
      <c r="C4574" s="32">
        <v>49279</v>
      </c>
      <c r="D4574" s="32" t="s">
        <v>87</v>
      </c>
      <c r="E45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5" spans="1:6" x14ac:dyDescent="0.35">
      <c r="A4575" s="3">
        <v>19836706123</v>
      </c>
      <c r="B4575" s="3">
        <v>126</v>
      </c>
      <c r="C4575" s="32">
        <v>49279</v>
      </c>
      <c r="D4575" s="32"/>
      <c r="E45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6" spans="1:6" x14ac:dyDescent="0.35">
      <c r="A4576" s="3">
        <v>28007327581</v>
      </c>
      <c r="B4576" s="3">
        <v>177</v>
      </c>
      <c r="C4576" s="32">
        <v>49279</v>
      </c>
      <c r="D4576" s="32" t="s">
        <v>87</v>
      </c>
      <c r="E45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7" spans="1:6" x14ac:dyDescent="0.35">
      <c r="A4577" s="3">
        <v>33711814071</v>
      </c>
      <c r="B4577" s="3">
        <v>264</v>
      </c>
      <c r="C4577" s="32">
        <v>49279</v>
      </c>
      <c r="D4577" s="32" t="s">
        <v>87</v>
      </c>
      <c r="E45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8" spans="1:6" x14ac:dyDescent="0.35">
      <c r="A4578" s="3">
        <v>44326553015</v>
      </c>
      <c r="B4578" s="3">
        <v>233</v>
      </c>
      <c r="C4578" s="32">
        <v>49279</v>
      </c>
      <c r="D4578" s="32" t="s">
        <v>87</v>
      </c>
      <c r="E45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9" spans="1:6" x14ac:dyDescent="0.35">
      <c r="A4579" s="3">
        <v>99315671624</v>
      </c>
      <c r="B4579" s="3">
        <v>38</v>
      </c>
      <c r="C4579" s="32">
        <v>49279</v>
      </c>
      <c r="D4579" s="32" t="s">
        <v>87</v>
      </c>
      <c r="E45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0" spans="1:6" x14ac:dyDescent="0.35">
      <c r="A4580" s="3">
        <v>60350358444</v>
      </c>
      <c r="B4580" s="3">
        <v>304</v>
      </c>
      <c r="C4580" s="32">
        <v>49279</v>
      </c>
      <c r="D4580" s="32"/>
      <c r="E45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1" spans="1:6" x14ac:dyDescent="0.35">
      <c r="A4581" s="3">
        <v>73814646216</v>
      </c>
      <c r="B4581" s="3">
        <v>211</v>
      </c>
      <c r="C4581" s="32">
        <v>49279</v>
      </c>
      <c r="D4581" s="32" t="s">
        <v>87</v>
      </c>
      <c r="E45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2" spans="1:6" x14ac:dyDescent="0.35">
      <c r="A4582" s="3">
        <v>95604385641</v>
      </c>
      <c r="B4582" s="3">
        <v>259</v>
      </c>
      <c r="C4582" s="32">
        <v>49279</v>
      </c>
      <c r="D4582" s="32" t="s">
        <v>87</v>
      </c>
      <c r="E45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3" spans="1:6" x14ac:dyDescent="0.35">
      <c r="A4583" s="3">
        <v>44604305895</v>
      </c>
      <c r="B4583" s="3">
        <v>306</v>
      </c>
      <c r="C4583" s="32">
        <v>49279</v>
      </c>
      <c r="D4583" s="32" t="s">
        <v>87</v>
      </c>
      <c r="E45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4" spans="1:6" x14ac:dyDescent="0.35">
      <c r="A4584" s="3">
        <v>93423966867</v>
      </c>
      <c r="B4584" s="3">
        <v>299</v>
      </c>
      <c r="C4584" s="32">
        <v>49280</v>
      </c>
      <c r="D4584" s="32" t="s">
        <v>87</v>
      </c>
      <c r="E45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5" spans="1:6" x14ac:dyDescent="0.35">
      <c r="A4585" s="3">
        <v>20129286870</v>
      </c>
      <c r="B4585" s="3">
        <v>338</v>
      </c>
      <c r="C4585" s="32">
        <v>49280</v>
      </c>
      <c r="D4585" s="32" t="s">
        <v>87</v>
      </c>
      <c r="E45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6" spans="1:6" x14ac:dyDescent="0.35">
      <c r="A4586" s="3">
        <v>24761644889</v>
      </c>
      <c r="B4586" s="3">
        <v>95</v>
      </c>
      <c r="C4586" s="32">
        <v>49280</v>
      </c>
      <c r="D4586" s="32" t="s">
        <v>87</v>
      </c>
      <c r="E45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7" spans="1:6" x14ac:dyDescent="0.35">
      <c r="A4587" s="3">
        <v>13916680524</v>
      </c>
      <c r="B4587" s="3">
        <v>301</v>
      </c>
      <c r="C4587" s="32">
        <v>49280</v>
      </c>
      <c r="D4587" s="32" t="s">
        <v>87</v>
      </c>
      <c r="E45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8" spans="1:6" x14ac:dyDescent="0.35">
      <c r="A4588" s="3">
        <v>39684355525</v>
      </c>
      <c r="B4588" s="3">
        <v>266</v>
      </c>
      <c r="C4588" s="32">
        <v>49280</v>
      </c>
      <c r="D4588" s="32" t="s">
        <v>87</v>
      </c>
      <c r="E45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9" spans="1:6" x14ac:dyDescent="0.35">
      <c r="A4589" s="3">
        <v>92117456499</v>
      </c>
      <c r="B4589" s="3">
        <v>71</v>
      </c>
      <c r="C4589" s="32">
        <v>49280</v>
      </c>
      <c r="D4589" s="32" t="s">
        <v>87</v>
      </c>
      <c r="E45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0" spans="1:6" x14ac:dyDescent="0.35">
      <c r="A4590" s="3">
        <v>25822802819</v>
      </c>
      <c r="B4590" s="3">
        <v>331</v>
      </c>
      <c r="C4590" s="32">
        <v>49280</v>
      </c>
      <c r="D4590" s="32" t="s">
        <v>87</v>
      </c>
      <c r="E45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1" spans="1:6" x14ac:dyDescent="0.35">
      <c r="A4591" s="3">
        <v>99349814697</v>
      </c>
      <c r="B4591" s="3">
        <v>163</v>
      </c>
      <c r="C4591" s="32">
        <v>49280</v>
      </c>
      <c r="D4591" s="32" t="s">
        <v>87</v>
      </c>
      <c r="E45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2" spans="1:6" x14ac:dyDescent="0.35">
      <c r="A4592" s="3">
        <v>75361123200</v>
      </c>
      <c r="B4592" s="3">
        <v>88</v>
      </c>
      <c r="C4592" s="32">
        <v>49280</v>
      </c>
      <c r="D4592" s="32" t="s">
        <v>87</v>
      </c>
      <c r="E45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3" spans="1:6" x14ac:dyDescent="0.35">
      <c r="A4593" s="3">
        <v>57841689142</v>
      </c>
      <c r="B4593" s="3">
        <v>312</v>
      </c>
      <c r="C4593" s="32">
        <v>49280</v>
      </c>
      <c r="D4593" s="32" t="s">
        <v>87</v>
      </c>
      <c r="E45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4" spans="1:6" x14ac:dyDescent="0.35">
      <c r="A4594" s="3">
        <v>35215623585</v>
      </c>
      <c r="B4594" s="3">
        <v>173</v>
      </c>
      <c r="C4594" s="32">
        <v>49280</v>
      </c>
      <c r="D4594" s="32" t="s">
        <v>87</v>
      </c>
      <c r="E45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5" spans="1:6" x14ac:dyDescent="0.35">
      <c r="A4595" s="3">
        <v>35624790703</v>
      </c>
      <c r="B4595" s="3">
        <v>254</v>
      </c>
      <c r="C4595" s="32">
        <v>49280</v>
      </c>
      <c r="D4595" s="32" t="s">
        <v>87</v>
      </c>
      <c r="E45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6" spans="1:6" x14ac:dyDescent="0.35">
      <c r="A4596" s="3">
        <v>60356405373</v>
      </c>
      <c r="B4596" s="3">
        <v>96</v>
      </c>
      <c r="C4596" s="32">
        <v>49280</v>
      </c>
      <c r="D4596" s="32" t="s">
        <v>87</v>
      </c>
      <c r="E45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7" spans="1:6" x14ac:dyDescent="0.35">
      <c r="A4597" s="3">
        <v>90181252948</v>
      </c>
      <c r="B4597" s="3">
        <v>25</v>
      </c>
      <c r="C4597" s="32">
        <v>49280</v>
      </c>
      <c r="D4597" s="32" t="s">
        <v>87</v>
      </c>
      <c r="E45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8" spans="1:6" x14ac:dyDescent="0.35">
      <c r="A4598" s="3">
        <v>54689411378</v>
      </c>
      <c r="B4598" s="3">
        <v>155</v>
      </c>
      <c r="C4598" s="32">
        <v>49280</v>
      </c>
      <c r="D4598" s="32" t="s">
        <v>87</v>
      </c>
      <c r="E45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9" spans="1:6" x14ac:dyDescent="0.35">
      <c r="A4599" s="3">
        <v>44697663754</v>
      </c>
      <c r="B4599" s="3">
        <v>238</v>
      </c>
      <c r="C4599" s="32">
        <v>49280</v>
      </c>
      <c r="D4599" s="32">
        <v>49296</v>
      </c>
      <c r="E45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00" spans="1:6" x14ac:dyDescent="0.35">
      <c r="A4600" s="3">
        <v>13047255464</v>
      </c>
      <c r="B4600" s="3">
        <v>166</v>
      </c>
      <c r="C4600" s="32">
        <v>49280</v>
      </c>
      <c r="D4600" s="32"/>
      <c r="E46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1" spans="1:6" x14ac:dyDescent="0.35">
      <c r="A4601" s="3">
        <v>36187286368</v>
      </c>
      <c r="B4601" s="3">
        <v>313</v>
      </c>
      <c r="C4601" s="32">
        <v>49280</v>
      </c>
      <c r="D4601" s="32" t="s">
        <v>87</v>
      </c>
      <c r="E46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2" spans="1:6" x14ac:dyDescent="0.35">
      <c r="A4602" s="3">
        <v>62408775135</v>
      </c>
      <c r="B4602" s="3">
        <v>165</v>
      </c>
      <c r="C4602" s="32">
        <v>49280</v>
      </c>
      <c r="D4602" s="32">
        <v>49363</v>
      </c>
      <c r="E46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603" spans="1:6" x14ac:dyDescent="0.35">
      <c r="A4603" s="3">
        <v>67494894647</v>
      </c>
      <c r="B4603" s="3">
        <v>42</v>
      </c>
      <c r="C4603" s="32">
        <v>49280</v>
      </c>
      <c r="D4603" s="32" t="s">
        <v>87</v>
      </c>
      <c r="E46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4" spans="1:6" x14ac:dyDescent="0.35">
      <c r="A4604" s="3">
        <v>75442699001</v>
      </c>
      <c r="B4604" s="3">
        <v>163</v>
      </c>
      <c r="C4604" s="32">
        <v>49280</v>
      </c>
      <c r="D4604" s="32"/>
      <c r="E46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5" spans="1:6" x14ac:dyDescent="0.35">
      <c r="A4605" s="3">
        <v>37430919504</v>
      </c>
      <c r="B4605" s="3">
        <v>112</v>
      </c>
      <c r="C4605" s="32">
        <v>49280</v>
      </c>
      <c r="D4605" s="32" t="s">
        <v>87</v>
      </c>
      <c r="E46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6" spans="1:6" x14ac:dyDescent="0.35">
      <c r="A4606" s="3">
        <v>44577667090</v>
      </c>
      <c r="B4606" s="3">
        <v>275</v>
      </c>
      <c r="C4606" s="32">
        <v>49280</v>
      </c>
      <c r="D4606" s="32" t="s">
        <v>87</v>
      </c>
      <c r="E46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7" spans="1:6" x14ac:dyDescent="0.35">
      <c r="A4607" s="3">
        <v>95437212906</v>
      </c>
      <c r="B4607" s="3">
        <v>255</v>
      </c>
      <c r="C4607" s="32">
        <v>49280</v>
      </c>
      <c r="D4607" s="32" t="s">
        <v>87</v>
      </c>
      <c r="E46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8" spans="1:6" x14ac:dyDescent="0.35">
      <c r="A4608" s="3">
        <v>43464031695</v>
      </c>
      <c r="B4608" s="3">
        <v>325</v>
      </c>
      <c r="C4608" s="32">
        <v>49280</v>
      </c>
      <c r="D4608" s="32"/>
      <c r="E46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9" spans="1:6" x14ac:dyDescent="0.35">
      <c r="A4609" s="3">
        <v>92598053378</v>
      </c>
      <c r="B4609" s="3">
        <v>337</v>
      </c>
      <c r="C4609" s="32">
        <v>49280</v>
      </c>
      <c r="D4609" s="32">
        <v>49296</v>
      </c>
      <c r="E46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10" spans="1:6" x14ac:dyDescent="0.35">
      <c r="A4610" s="3">
        <v>23172940088</v>
      </c>
      <c r="B4610" s="3">
        <v>320</v>
      </c>
      <c r="C4610" s="32">
        <v>49280</v>
      </c>
      <c r="D4610" s="32" t="s">
        <v>87</v>
      </c>
      <c r="E46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1" spans="1:6" x14ac:dyDescent="0.35">
      <c r="A4611" s="3">
        <v>49728235791</v>
      </c>
      <c r="B4611" s="3">
        <v>25</v>
      </c>
      <c r="C4611" s="32">
        <v>49280</v>
      </c>
      <c r="D4611" s="32">
        <v>49286</v>
      </c>
      <c r="E46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12" spans="1:6" x14ac:dyDescent="0.35">
      <c r="A4612" s="3">
        <v>38462468995</v>
      </c>
      <c r="B4612" s="3">
        <v>5</v>
      </c>
      <c r="C4612" s="32">
        <v>49280</v>
      </c>
      <c r="D4612" s="32" t="s">
        <v>87</v>
      </c>
      <c r="E46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3" spans="1:6" x14ac:dyDescent="0.35">
      <c r="A4613" s="3">
        <v>47368000064</v>
      </c>
      <c r="B4613" s="3">
        <v>30</v>
      </c>
      <c r="C4613" s="32">
        <v>49280</v>
      </c>
      <c r="D4613" s="32" t="s">
        <v>87</v>
      </c>
      <c r="E46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4" spans="1:6" x14ac:dyDescent="0.35">
      <c r="A4614" s="3">
        <v>26783946747</v>
      </c>
      <c r="B4614" s="3">
        <v>39</v>
      </c>
      <c r="C4614" s="32">
        <v>49281</v>
      </c>
      <c r="D4614" s="32" t="s">
        <v>87</v>
      </c>
      <c r="E46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5" spans="1:6" x14ac:dyDescent="0.35">
      <c r="A4615" s="3">
        <v>28829051288</v>
      </c>
      <c r="B4615" s="3">
        <v>115</v>
      </c>
      <c r="C4615" s="32">
        <v>49281</v>
      </c>
      <c r="D4615" s="32" t="s">
        <v>87</v>
      </c>
      <c r="E46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6" spans="1:6" x14ac:dyDescent="0.35">
      <c r="A4616" s="3">
        <v>65115086271</v>
      </c>
      <c r="B4616" s="3">
        <v>333</v>
      </c>
      <c r="C4616" s="32">
        <v>49281</v>
      </c>
      <c r="D4616" s="32" t="s">
        <v>87</v>
      </c>
      <c r="E46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7" spans="1:6" x14ac:dyDescent="0.35">
      <c r="A4617" s="3">
        <v>47719372159</v>
      </c>
      <c r="B4617" s="3">
        <v>167</v>
      </c>
      <c r="C4617" s="32">
        <v>49281</v>
      </c>
      <c r="D4617" s="32" t="s">
        <v>87</v>
      </c>
      <c r="E46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8" spans="1:6" x14ac:dyDescent="0.35">
      <c r="A4618" s="3">
        <v>69772482052</v>
      </c>
      <c r="B4618" s="3">
        <v>66</v>
      </c>
      <c r="C4618" s="32">
        <v>49281</v>
      </c>
      <c r="D4618" s="32" t="s">
        <v>87</v>
      </c>
      <c r="E46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9" spans="1:6" x14ac:dyDescent="0.35">
      <c r="A4619" s="3">
        <v>69790248699</v>
      </c>
      <c r="B4619" s="3">
        <v>208</v>
      </c>
      <c r="C4619" s="32">
        <v>49281</v>
      </c>
      <c r="D4619" s="32">
        <v>49337</v>
      </c>
      <c r="E46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620" spans="1:6" x14ac:dyDescent="0.35">
      <c r="A4620" s="3">
        <v>50557904702</v>
      </c>
      <c r="B4620" s="3">
        <v>52</v>
      </c>
      <c r="C4620" s="32">
        <v>49281</v>
      </c>
      <c r="D4620" s="32">
        <v>49310</v>
      </c>
      <c r="E46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621" spans="1:6" x14ac:dyDescent="0.35">
      <c r="A4621" s="3">
        <v>30982175482</v>
      </c>
      <c r="B4621" s="3">
        <v>261</v>
      </c>
      <c r="C4621" s="32">
        <v>49281</v>
      </c>
      <c r="D4621" s="32" t="s">
        <v>87</v>
      </c>
      <c r="E46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2" spans="1:6" x14ac:dyDescent="0.35">
      <c r="A4622" s="3">
        <v>47916345167</v>
      </c>
      <c r="B4622" s="3">
        <v>216</v>
      </c>
      <c r="C4622" s="32">
        <v>49281</v>
      </c>
      <c r="D4622" s="32"/>
      <c r="E46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3" spans="1:6" x14ac:dyDescent="0.35">
      <c r="A4623" s="3">
        <v>44093333356</v>
      </c>
      <c r="B4623" s="3">
        <v>8</v>
      </c>
      <c r="C4623" s="32">
        <v>49281</v>
      </c>
      <c r="D4623" s="32" t="s">
        <v>87</v>
      </c>
      <c r="E46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4" spans="1:6" x14ac:dyDescent="0.35">
      <c r="A4624" s="3">
        <v>99810217192</v>
      </c>
      <c r="B4624" s="3">
        <v>172</v>
      </c>
      <c r="C4624" s="32">
        <v>49281</v>
      </c>
      <c r="D4624" s="32" t="s">
        <v>87</v>
      </c>
      <c r="E46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5" spans="1:6" x14ac:dyDescent="0.35">
      <c r="A4625" s="3">
        <v>21196901080</v>
      </c>
      <c r="B4625" s="3">
        <v>29</v>
      </c>
      <c r="C4625" s="32">
        <v>49281</v>
      </c>
      <c r="D4625" s="32">
        <v>49358</v>
      </c>
      <c r="E46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626" spans="1:6" x14ac:dyDescent="0.35">
      <c r="A4626" s="3">
        <v>19715444446</v>
      </c>
      <c r="B4626" s="3">
        <v>94</v>
      </c>
      <c r="C4626" s="32">
        <v>49281</v>
      </c>
      <c r="D4626" s="32" t="s">
        <v>87</v>
      </c>
      <c r="E46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7" spans="1:6" x14ac:dyDescent="0.35">
      <c r="A4627" s="3">
        <v>51010413013</v>
      </c>
      <c r="B4627" s="3">
        <v>234</v>
      </c>
      <c r="C4627" s="32">
        <v>49281</v>
      </c>
      <c r="D4627" s="32" t="s">
        <v>87</v>
      </c>
      <c r="E46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8" spans="1:6" x14ac:dyDescent="0.35">
      <c r="A4628" s="3">
        <v>30713039733</v>
      </c>
      <c r="B4628" s="3">
        <v>295</v>
      </c>
      <c r="C4628" s="32">
        <v>49281</v>
      </c>
      <c r="D4628" s="32">
        <v>49357</v>
      </c>
      <c r="E46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629" spans="1:6" x14ac:dyDescent="0.35">
      <c r="A4629" s="3">
        <v>47908321955</v>
      </c>
      <c r="B4629" s="3">
        <v>189</v>
      </c>
      <c r="C4629" s="32">
        <v>49281</v>
      </c>
      <c r="D4629" s="32" t="s">
        <v>87</v>
      </c>
      <c r="E46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0" spans="1:6" x14ac:dyDescent="0.35">
      <c r="A4630" s="3">
        <v>81328580975</v>
      </c>
      <c r="B4630" s="3">
        <v>241</v>
      </c>
      <c r="C4630" s="32">
        <v>49281</v>
      </c>
      <c r="D4630" s="32" t="s">
        <v>87</v>
      </c>
      <c r="E46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1" spans="1:6" x14ac:dyDescent="0.35">
      <c r="A4631" s="3">
        <v>46178526888</v>
      </c>
      <c r="B4631" s="3">
        <v>77</v>
      </c>
      <c r="C4631" s="32">
        <v>49281</v>
      </c>
      <c r="D4631" s="32" t="s">
        <v>87</v>
      </c>
      <c r="E46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2" spans="1:6" x14ac:dyDescent="0.35">
      <c r="A4632" s="3">
        <v>83085858597</v>
      </c>
      <c r="B4632" s="3">
        <v>71</v>
      </c>
      <c r="C4632" s="32">
        <v>49281</v>
      </c>
      <c r="D4632" s="32">
        <v>49362</v>
      </c>
      <c r="E46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633" spans="1:6" x14ac:dyDescent="0.35">
      <c r="A4633" s="3">
        <v>21877787232</v>
      </c>
      <c r="B4633" s="3">
        <v>197</v>
      </c>
      <c r="C4633" s="32">
        <v>49281</v>
      </c>
      <c r="D4633" s="32" t="s">
        <v>87</v>
      </c>
      <c r="E46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4" spans="1:6" x14ac:dyDescent="0.35">
      <c r="A4634" s="3">
        <v>26730572680</v>
      </c>
      <c r="B4634" s="3">
        <v>32</v>
      </c>
      <c r="C4634" s="32">
        <v>49281</v>
      </c>
      <c r="D4634" s="32" t="s">
        <v>87</v>
      </c>
      <c r="E46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5" spans="1:6" x14ac:dyDescent="0.35">
      <c r="A4635" s="3">
        <v>24736113130</v>
      </c>
      <c r="B4635" s="3">
        <v>242</v>
      </c>
      <c r="C4635" s="32">
        <v>49281</v>
      </c>
      <c r="D4635" s="32">
        <v>49304</v>
      </c>
      <c r="E46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36" spans="1:6" x14ac:dyDescent="0.35">
      <c r="A4636" s="3">
        <v>61685763169</v>
      </c>
      <c r="B4636" s="3">
        <v>327</v>
      </c>
      <c r="C4636" s="32">
        <v>49281</v>
      </c>
      <c r="D4636" s="32">
        <v>49349</v>
      </c>
      <c r="E46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637" spans="1:6" x14ac:dyDescent="0.35">
      <c r="A4637" s="3">
        <v>40056578903</v>
      </c>
      <c r="B4637" s="3">
        <v>75</v>
      </c>
      <c r="C4637" s="32">
        <v>49281</v>
      </c>
      <c r="D4637" s="32" t="s">
        <v>87</v>
      </c>
      <c r="E46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8" spans="1:6" x14ac:dyDescent="0.35">
      <c r="A4638" s="3">
        <v>87278545080</v>
      </c>
      <c r="B4638" s="3">
        <v>270</v>
      </c>
      <c r="C4638" s="32">
        <v>49281</v>
      </c>
      <c r="D4638" s="32">
        <v>49324</v>
      </c>
      <c r="E46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639" spans="1:6" x14ac:dyDescent="0.35">
      <c r="A4639" s="3">
        <v>62246973978</v>
      </c>
      <c r="B4639" s="3">
        <v>207</v>
      </c>
      <c r="C4639" s="32">
        <v>49281</v>
      </c>
      <c r="D4639" s="32" t="s">
        <v>87</v>
      </c>
      <c r="E46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0" spans="1:6" x14ac:dyDescent="0.35">
      <c r="A4640" s="3">
        <v>80008538931</v>
      </c>
      <c r="B4640" s="3">
        <v>314</v>
      </c>
      <c r="C4640" s="32">
        <v>49282</v>
      </c>
      <c r="D4640" s="32">
        <v>49293</v>
      </c>
      <c r="E46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41" spans="1:6" x14ac:dyDescent="0.35">
      <c r="A4641" s="3">
        <v>93437078149</v>
      </c>
      <c r="B4641" s="3">
        <v>310</v>
      </c>
      <c r="C4641" s="32">
        <v>49282</v>
      </c>
      <c r="D4641" s="32" t="s">
        <v>87</v>
      </c>
      <c r="E46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2" spans="1:6" x14ac:dyDescent="0.35">
      <c r="A4642" s="3">
        <v>19359646942</v>
      </c>
      <c r="B4642" s="3">
        <v>211</v>
      </c>
      <c r="C4642" s="32">
        <v>49282</v>
      </c>
      <c r="D4642" s="32" t="s">
        <v>87</v>
      </c>
      <c r="E46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3" spans="1:6" x14ac:dyDescent="0.35">
      <c r="A4643" s="3">
        <v>35060987340</v>
      </c>
      <c r="B4643" s="3">
        <v>296</v>
      </c>
      <c r="C4643" s="32">
        <v>49282</v>
      </c>
      <c r="D4643" s="32" t="s">
        <v>87</v>
      </c>
      <c r="E46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4" spans="1:6" x14ac:dyDescent="0.35">
      <c r="A4644" s="3">
        <v>16013999474</v>
      </c>
      <c r="B4644" s="3">
        <v>100</v>
      </c>
      <c r="C4644" s="32">
        <v>49282</v>
      </c>
      <c r="D4644" s="32" t="s">
        <v>87</v>
      </c>
      <c r="E46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5" spans="1:6" x14ac:dyDescent="0.35">
      <c r="A4645" s="3">
        <v>34845568032</v>
      </c>
      <c r="B4645" s="3">
        <v>4</v>
      </c>
      <c r="C4645" s="32">
        <v>49282</v>
      </c>
      <c r="D4645" s="32" t="s">
        <v>87</v>
      </c>
      <c r="E46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6" spans="1:6" x14ac:dyDescent="0.35">
      <c r="A4646" s="3">
        <v>13312541428</v>
      </c>
      <c r="B4646" s="3">
        <v>49</v>
      </c>
      <c r="C4646" s="32">
        <v>49282</v>
      </c>
      <c r="D4646" s="32" t="s">
        <v>87</v>
      </c>
      <c r="E46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7" spans="1:6" x14ac:dyDescent="0.35">
      <c r="A4647" s="3">
        <v>43662709869</v>
      </c>
      <c r="B4647" s="3">
        <v>152</v>
      </c>
      <c r="C4647" s="32">
        <v>49282</v>
      </c>
      <c r="D4647" s="32" t="s">
        <v>87</v>
      </c>
      <c r="E46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8" spans="1:6" x14ac:dyDescent="0.35">
      <c r="A4648" s="3">
        <v>22385593720</v>
      </c>
      <c r="B4648" s="3">
        <v>216</v>
      </c>
      <c r="C4648" s="32">
        <v>49282</v>
      </c>
      <c r="D4648" s="32" t="s">
        <v>87</v>
      </c>
      <c r="E46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9" spans="1:6" x14ac:dyDescent="0.35">
      <c r="A4649" s="3">
        <v>37177865030</v>
      </c>
      <c r="B4649" s="3">
        <v>191</v>
      </c>
      <c r="C4649" s="32">
        <v>49282</v>
      </c>
      <c r="D4649" s="32">
        <v>49313</v>
      </c>
      <c r="E46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650" spans="1:6" x14ac:dyDescent="0.35">
      <c r="A4650" s="3">
        <v>80539587574</v>
      </c>
      <c r="B4650" s="3">
        <v>154</v>
      </c>
      <c r="C4650" s="32">
        <v>49282</v>
      </c>
      <c r="D4650" s="32"/>
      <c r="E46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1" spans="1:6" x14ac:dyDescent="0.35">
      <c r="A4651" s="3">
        <v>92311743364</v>
      </c>
      <c r="B4651" s="3">
        <v>128</v>
      </c>
      <c r="C4651" s="32">
        <v>49282</v>
      </c>
      <c r="D4651" s="32" t="s">
        <v>87</v>
      </c>
      <c r="E46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2" spans="1:6" x14ac:dyDescent="0.35">
      <c r="A4652" s="3">
        <v>43718267452</v>
      </c>
      <c r="B4652" s="3">
        <v>116</v>
      </c>
      <c r="C4652" s="32">
        <v>49282</v>
      </c>
      <c r="D4652" s="32" t="s">
        <v>87</v>
      </c>
      <c r="E46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3" spans="1:6" x14ac:dyDescent="0.35">
      <c r="A4653" s="3">
        <v>97663049825</v>
      </c>
      <c r="B4653" s="3">
        <v>80</v>
      </c>
      <c r="C4653" s="32">
        <v>49282</v>
      </c>
      <c r="D4653" s="32">
        <v>49316</v>
      </c>
      <c r="E46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654" spans="1:6" x14ac:dyDescent="0.35">
      <c r="A4654" s="3">
        <v>16555458958</v>
      </c>
      <c r="B4654" s="3">
        <v>17</v>
      </c>
      <c r="C4654" s="32">
        <v>49282</v>
      </c>
      <c r="D4654" s="32"/>
      <c r="E46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5" spans="1:6" x14ac:dyDescent="0.35">
      <c r="A4655" s="3">
        <v>29844360445</v>
      </c>
      <c r="B4655" s="3">
        <v>185</v>
      </c>
      <c r="C4655" s="32">
        <v>49282</v>
      </c>
      <c r="D4655" s="32" t="s">
        <v>87</v>
      </c>
      <c r="E46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6" spans="1:6" x14ac:dyDescent="0.35">
      <c r="A4656" s="3">
        <v>59764569829</v>
      </c>
      <c r="B4656" s="3">
        <v>327</v>
      </c>
      <c r="C4656" s="32">
        <v>49282</v>
      </c>
      <c r="D4656" s="32" t="s">
        <v>87</v>
      </c>
      <c r="E46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7" spans="1:6" x14ac:dyDescent="0.35">
      <c r="A4657" s="3">
        <v>69719156486</v>
      </c>
      <c r="B4657" s="3">
        <v>251</v>
      </c>
      <c r="C4657" s="32">
        <v>49282</v>
      </c>
      <c r="D4657" s="32">
        <v>49282</v>
      </c>
      <c r="E46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58" spans="1:6" x14ac:dyDescent="0.35">
      <c r="A4658" s="3">
        <v>50335997038</v>
      </c>
      <c r="B4658" s="3">
        <v>212</v>
      </c>
      <c r="C4658" s="32">
        <v>49282</v>
      </c>
      <c r="D4658" s="32" t="s">
        <v>87</v>
      </c>
      <c r="E46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9" spans="1:6" x14ac:dyDescent="0.35">
      <c r="A4659" s="3">
        <v>98208038134</v>
      </c>
      <c r="B4659" s="3">
        <v>242</v>
      </c>
      <c r="C4659" s="32">
        <v>49282</v>
      </c>
      <c r="D4659" s="32" t="s">
        <v>87</v>
      </c>
      <c r="E46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0" spans="1:6" x14ac:dyDescent="0.35">
      <c r="A4660" s="3">
        <v>33787338028</v>
      </c>
      <c r="B4660" s="3">
        <v>135</v>
      </c>
      <c r="C4660" s="32">
        <v>49282</v>
      </c>
      <c r="D4660" s="32" t="s">
        <v>87</v>
      </c>
      <c r="E46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1" spans="1:6" x14ac:dyDescent="0.35">
      <c r="A4661" s="3">
        <v>29233550885</v>
      </c>
      <c r="B4661" s="3">
        <v>203</v>
      </c>
      <c r="C4661" s="32">
        <v>49282</v>
      </c>
      <c r="D4661" s="32"/>
      <c r="E46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2" spans="1:6" x14ac:dyDescent="0.35">
      <c r="A4662" s="3">
        <v>56194791349</v>
      </c>
      <c r="B4662" s="3">
        <v>213</v>
      </c>
      <c r="C4662" s="32">
        <v>49282</v>
      </c>
      <c r="D4662" s="32" t="s">
        <v>87</v>
      </c>
      <c r="E46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3" spans="1:6" x14ac:dyDescent="0.35">
      <c r="A4663" s="3">
        <v>64938124421</v>
      </c>
      <c r="B4663" s="3">
        <v>260</v>
      </c>
      <c r="C4663" s="32">
        <v>49282</v>
      </c>
      <c r="D4663" s="32"/>
      <c r="E46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4" spans="1:6" x14ac:dyDescent="0.35">
      <c r="A4664" s="3">
        <v>81665294664</v>
      </c>
      <c r="B4664" s="3">
        <v>249</v>
      </c>
      <c r="C4664" s="32">
        <v>49282</v>
      </c>
      <c r="D4664" s="32" t="s">
        <v>87</v>
      </c>
      <c r="E46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5" spans="1:6" x14ac:dyDescent="0.35">
      <c r="A4665" s="3">
        <v>78206200835</v>
      </c>
      <c r="B4665" s="3">
        <v>86</v>
      </c>
      <c r="C4665" s="32">
        <v>49282</v>
      </c>
      <c r="D4665" s="32" t="s">
        <v>87</v>
      </c>
      <c r="E46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6" spans="1:6" x14ac:dyDescent="0.35">
      <c r="A4666" s="3">
        <v>41047371650</v>
      </c>
      <c r="B4666" s="3">
        <v>281</v>
      </c>
      <c r="C4666" s="32">
        <v>49282</v>
      </c>
      <c r="D4666" s="32" t="s">
        <v>87</v>
      </c>
      <c r="E46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7" spans="1:6" x14ac:dyDescent="0.35">
      <c r="A4667" s="3">
        <v>94600782988</v>
      </c>
      <c r="B4667" s="3">
        <v>118</v>
      </c>
      <c r="C4667" s="32">
        <v>49282</v>
      </c>
      <c r="D4667" s="32" t="s">
        <v>87</v>
      </c>
      <c r="E46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8" spans="1:6" x14ac:dyDescent="0.35">
      <c r="A4668" s="3">
        <v>24333375599</v>
      </c>
      <c r="B4668" s="3">
        <v>174</v>
      </c>
      <c r="C4668" s="32">
        <v>49282</v>
      </c>
      <c r="D4668" s="32" t="s">
        <v>87</v>
      </c>
      <c r="E46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9" spans="1:6" x14ac:dyDescent="0.35">
      <c r="A4669" s="3">
        <v>74891276017</v>
      </c>
      <c r="B4669" s="3">
        <v>200</v>
      </c>
      <c r="C4669" s="32">
        <v>49282</v>
      </c>
      <c r="D4669" s="32" t="s">
        <v>87</v>
      </c>
      <c r="E46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0" spans="1:6" x14ac:dyDescent="0.35">
      <c r="A4670" s="3">
        <v>34584915308</v>
      </c>
      <c r="B4670" s="3">
        <v>152</v>
      </c>
      <c r="C4670" s="32">
        <v>49282</v>
      </c>
      <c r="D4670" s="32" t="s">
        <v>87</v>
      </c>
      <c r="E46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1" spans="1:6" x14ac:dyDescent="0.35">
      <c r="A4671" s="3">
        <v>58115768817</v>
      </c>
      <c r="B4671" s="3">
        <v>120</v>
      </c>
      <c r="C4671" s="32">
        <v>49282</v>
      </c>
      <c r="D4671" s="32"/>
      <c r="E46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2" spans="1:6" x14ac:dyDescent="0.35">
      <c r="A4672" s="3">
        <v>83828114694</v>
      </c>
      <c r="B4672" s="3">
        <v>251</v>
      </c>
      <c r="C4672" s="32">
        <v>49283</v>
      </c>
      <c r="D4672" s="32" t="s">
        <v>87</v>
      </c>
      <c r="E46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3" spans="1:6" x14ac:dyDescent="0.35">
      <c r="A4673" s="3">
        <v>82881456442</v>
      </c>
      <c r="B4673" s="3">
        <v>6</v>
      </c>
      <c r="C4673" s="32">
        <v>49283</v>
      </c>
      <c r="D4673" s="32" t="s">
        <v>87</v>
      </c>
      <c r="E46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4" spans="1:6" x14ac:dyDescent="0.35">
      <c r="A4674" s="3">
        <v>78070198109</v>
      </c>
      <c r="B4674" s="3">
        <v>17</v>
      </c>
      <c r="C4674" s="32">
        <v>49283</v>
      </c>
      <c r="D4674" s="32"/>
      <c r="E46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5" spans="1:6" x14ac:dyDescent="0.35">
      <c r="A4675" s="3">
        <v>45072955166</v>
      </c>
      <c r="B4675" s="3">
        <v>124</v>
      </c>
      <c r="C4675" s="32">
        <v>49283</v>
      </c>
      <c r="D4675" s="32" t="s">
        <v>87</v>
      </c>
      <c r="E46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6" spans="1:6" x14ac:dyDescent="0.35">
      <c r="A4676" s="3">
        <v>72245347031</v>
      </c>
      <c r="B4676" s="3">
        <v>276</v>
      </c>
      <c r="C4676" s="32">
        <v>49283</v>
      </c>
      <c r="D4676" s="32"/>
      <c r="E46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7" spans="1:6" x14ac:dyDescent="0.35">
      <c r="A4677" s="3">
        <v>78349687144</v>
      </c>
      <c r="B4677" s="3">
        <v>229</v>
      </c>
      <c r="C4677" s="32">
        <v>49283</v>
      </c>
      <c r="D4677" s="32" t="s">
        <v>87</v>
      </c>
      <c r="E46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8" spans="1:6" x14ac:dyDescent="0.35">
      <c r="A4678" s="3">
        <v>87764060734</v>
      </c>
      <c r="B4678" s="3">
        <v>72</v>
      </c>
      <c r="C4678" s="32">
        <v>49283</v>
      </c>
      <c r="D4678" s="32" t="s">
        <v>87</v>
      </c>
      <c r="E46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9" spans="1:6" x14ac:dyDescent="0.35">
      <c r="A4679" s="3">
        <v>19446491050</v>
      </c>
      <c r="B4679" s="3">
        <v>154</v>
      </c>
      <c r="C4679" s="32">
        <v>49283</v>
      </c>
      <c r="D4679" s="32" t="s">
        <v>87</v>
      </c>
      <c r="E46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0" spans="1:6" x14ac:dyDescent="0.35">
      <c r="A4680" s="3">
        <v>16848570469</v>
      </c>
      <c r="B4680" s="3">
        <v>253</v>
      </c>
      <c r="C4680" s="32">
        <v>49283</v>
      </c>
      <c r="D4680" s="32">
        <v>49305</v>
      </c>
      <c r="E46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81" spans="1:6" x14ac:dyDescent="0.35">
      <c r="A4681" s="3">
        <v>95597763594</v>
      </c>
      <c r="B4681" s="3">
        <v>116</v>
      </c>
      <c r="C4681" s="32">
        <v>49283</v>
      </c>
      <c r="D4681" s="32" t="s">
        <v>87</v>
      </c>
      <c r="E46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2" spans="1:6" x14ac:dyDescent="0.35">
      <c r="A4682" s="3">
        <v>43243538624</v>
      </c>
      <c r="B4682" s="3">
        <v>12</v>
      </c>
      <c r="C4682" s="32">
        <v>49283</v>
      </c>
      <c r="D4682" s="32" t="s">
        <v>87</v>
      </c>
      <c r="E46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3" spans="1:6" x14ac:dyDescent="0.35">
      <c r="A4683" s="3">
        <v>47396140050</v>
      </c>
      <c r="B4683" s="3">
        <v>319</v>
      </c>
      <c r="C4683" s="32">
        <v>49283</v>
      </c>
      <c r="D4683" s="32" t="s">
        <v>87</v>
      </c>
      <c r="E46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4" spans="1:6" x14ac:dyDescent="0.35">
      <c r="A4684" s="3">
        <v>19017185413</v>
      </c>
      <c r="B4684" s="3">
        <v>19</v>
      </c>
      <c r="C4684" s="32">
        <v>49283</v>
      </c>
      <c r="D4684" s="32"/>
      <c r="E46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5" spans="1:6" x14ac:dyDescent="0.35">
      <c r="A4685" s="3">
        <v>15252187586</v>
      </c>
      <c r="B4685" s="3">
        <v>145</v>
      </c>
      <c r="C4685" s="32">
        <v>49283</v>
      </c>
      <c r="D4685" s="32"/>
      <c r="E46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6" spans="1:6" x14ac:dyDescent="0.35">
      <c r="A4686" s="3">
        <v>88897790621</v>
      </c>
      <c r="B4686" s="3">
        <v>140</v>
      </c>
      <c r="C4686" s="32">
        <v>49283</v>
      </c>
      <c r="D4686" s="32" t="s">
        <v>87</v>
      </c>
      <c r="E46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7" spans="1:6" x14ac:dyDescent="0.35">
      <c r="A4687" s="3">
        <v>70355840443</v>
      </c>
      <c r="B4687" s="3">
        <v>178</v>
      </c>
      <c r="C4687" s="32">
        <v>49283</v>
      </c>
      <c r="D4687" s="32"/>
      <c r="E46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8" spans="1:6" x14ac:dyDescent="0.35">
      <c r="A4688" s="3">
        <v>88931436161</v>
      </c>
      <c r="B4688" s="3">
        <v>17</v>
      </c>
      <c r="C4688" s="32">
        <v>49283</v>
      </c>
      <c r="D4688" s="32" t="s">
        <v>87</v>
      </c>
      <c r="E46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9" spans="1:6" x14ac:dyDescent="0.35">
      <c r="A4689" s="3">
        <v>56221570243</v>
      </c>
      <c r="B4689" s="3">
        <v>179</v>
      </c>
      <c r="C4689" s="32">
        <v>49283</v>
      </c>
      <c r="D4689" s="32" t="s">
        <v>87</v>
      </c>
      <c r="E46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0" spans="1:6" x14ac:dyDescent="0.35">
      <c r="A4690" s="3">
        <v>75889004867</v>
      </c>
      <c r="B4690" s="3">
        <v>83</v>
      </c>
      <c r="C4690" s="32">
        <v>49283</v>
      </c>
      <c r="D4690" s="32" t="s">
        <v>87</v>
      </c>
      <c r="E46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1" spans="1:6" x14ac:dyDescent="0.35">
      <c r="A4691" s="3">
        <v>81913000025</v>
      </c>
      <c r="B4691" s="3">
        <v>226</v>
      </c>
      <c r="C4691" s="32">
        <v>49283</v>
      </c>
      <c r="D4691" s="32"/>
      <c r="E46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2" spans="1:6" x14ac:dyDescent="0.35">
      <c r="A4692" s="3">
        <v>37453149062</v>
      </c>
      <c r="B4692" s="3">
        <v>11</v>
      </c>
      <c r="C4692" s="32">
        <v>49283</v>
      </c>
      <c r="D4692" s="32" t="s">
        <v>87</v>
      </c>
      <c r="E46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3" spans="1:6" x14ac:dyDescent="0.35">
      <c r="A4693" s="3">
        <v>61287020020</v>
      </c>
      <c r="B4693" s="3">
        <v>42</v>
      </c>
      <c r="C4693" s="32">
        <v>49283</v>
      </c>
      <c r="D4693" s="32" t="s">
        <v>87</v>
      </c>
      <c r="E46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4" spans="1:6" x14ac:dyDescent="0.35">
      <c r="A4694" s="3">
        <v>24742845982</v>
      </c>
      <c r="B4694" s="3">
        <v>150</v>
      </c>
      <c r="C4694" s="32">
        <v>49283</v>
      </c>
      <c r="D4694" s="32">
        <v>49312</v>
      </c>
      <c r="E46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695" spans="1:6" x14ac:dyDescent="0.35">
      <c r="A4695" s="3">
        <v>24587663244</v>
      </c>
      <c r="B4695" s="3">
        <v>205</v>
      </c>
      <c r="C4695" s="32">
        <v>49283</v>
      </c>
      <c r="D4695" s="32" t="s">
        <v>87</v>
      </c>
      <c r="E46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6" spans="1:6" x14ac:dyDescent="0.35">
      <c r="A4696" s="3">
        <v>95658724314</v>
      </c>
      <c r="B4696" s="3">
        <v>259</v>
      </c>
      <c r="C4696" s="32">
        <v>49283</v>
      </c>
      <c r="D4696" s="32" t="s">
        <v>87</v>
      </c>
      <c r="E46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7" spans="1:6" x14ac:dyDescent="0.35">
      <c r="A4697" s="3">
        <v>70731970990</v>
      </c>
      <c r="B4697" s="3">
        <v>46</v>
      </c>
      <c r="C4697" s="32">
        <v>49283</v>
      </c>
      <c r="D4697" s="32" t="s">
        <v>87</v>
      </c>
      <c r="E46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8" spans="1:6" x14ac:dyDescent="0.35">
      <c r="A4698" s="3">
        <v>31473436141</v>
      </c>
      <c r="B4698" s="3">
        <v>246</v>
      </c>
      <c r="C4698" s="32">
        <v>49283</v>
      </c>
      <c r="D4698" s="32" t="s">
        <v>87</v>
      </c>
      <c r="E46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9" spans="1:6" x14ac:dyDescent="0.35">
      <c r="A4699" s="3">
        <v>98742132009</v>
      </c>
      <c r="B4699" s="3">
        <v>222</v>
      </c>
      <c r="C4699" s="32">
        <v>49283</v>
      </c>
      <c r="D4699" s="32" t="s">
        <v>87</v>
      </c>
      <c r="E46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0" spans="1:6" x14ac:dyDescent="0.35">
      <c r="A4700" s="3">
        <v>46107458837</v>
      </c>
      <c r="B4700" s="3">
        <v>209</v>
      </c>
      <c r="C4700" s="32">
        <v>49283</v>
      </c>
      <c r="D4700" s="32" t="s">
        <v>87</v>
      </c>
      <c r="E47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1" spans="1:6" x14ac:dyDescent="0.35">
      <c r="A4701" s="3">
        <v>13079628719</v>
      </c>
      <c r="B4701" s="3">
        <v>237</v>
      </c>
      <c r="C4701" s="32">
        <v>49284</v>
      </c>
      <c r="D4701" s="32" t="s">
        <v>87</v>
      </c>
      <c r="E47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2" spans="1:6" x14ac:dyDescent="0.35">
      <c r="A4702" s="3">
        <v>91913274554</v>
      </c>
      <c r="B4702" s="3">
        <v>196</v>
      </c>
      <c r="C4702" s="32">
        <v>49284</v>
      </c>
      <c r="D4702" s="32">
        <v>49332</v>
      </c>
      <c r="E47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03" spans="1:6" x14ac:dyDescent="0.35">
      <c r="A4703" s="3">
        <v>46388220767</v>
      </c>
      <c r="B4703" s="3">
        <v>319</v>
      </c>
      <c r="C4703" s="32">
        <v>49284</v>
      </c>
      <c r="D4703" s="32" t="s">
        <v>87</v>
      </c>
      <c r="E47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4" spans="1:6" x14ac:dyDescent="0.35">
      <c r="A4704" s="3">
        <v>32764864465</v>
      </c>
      <c r="B4704" s="3">
        <v>276</v>
      </c>
      <c r="C4704" s="32">
        <v>49284</v>
      </c>
      <c r="D4704" s="32">
        <v>49302</v>
      </c>
      <c r="E47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05" spans="1:6" x14ac:dyDescent="0.35">
      <c r="A4705" s="3">
        <v>76036161820</v>
      </c>
      <c r="B4705" s="3">
        <v>149</v>
      </c>
      <c r="C4705" s="32">
        <v>49284</v>
      </c>
      <c r="D4705" s="32" t="s">
        <v>87</v>
      </c>
      <c r="E47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6" spans="1:6" x14ac:dyDescent="0.35">
      <c r="A4706" s="3">
        <v>35630644221</v>
      </c>
      <c r="B4706" s="3">
        <v>229</v>
      </c>
      <c r="C4706" s="32">
        <v>49284</v>
      </c>
      <c r="D4706" s="32"/>
      <c r="E47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7" spans="1:6" x14ac:dyDescent="0.35">
      <c r="A4707" s="3">
        <v>69989307251</v>
      </c>
      <c r="B4707" s="3">
        <v>147</v>
      </c>
      <c r="C4707" s="32">
        <v>49284</v>
      </c>
      <c r="D4707" s="32" t="s">
        <v>87</v>
      </c>
      <c r="E47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8" spans="1:6" x14ac:dyDescent="0.35">
      <c r="A4708" s="3">
        <v>24197122814</v>
      </c>
      <c r="B4708" s="3">
        <v>176</v>
      </c>
      <c r="C4708" s="32">
        <v>49284</v>
      </c>
      <c r="D4708" s="32" t="s">
        <v>87</v>
      </c>
      <c r="E47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9" spans="1:6" x14ac:dyDescent="0.35">
      <c r="A4709" s="3">
        <v>87919562517</v>
      </c>
      <c r="B4709" s="3">
        <v>215</v>
      </c>
      <c r="C4709" s="32">
        <v>49284</v>
      </c>
      <c r="D4709" s="32" t="s">
        <v>87</v>
      </c>
      <c r="E47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0" spans="1:6" x14ac:dyDescent="0.35">
      <c r="A4710" s="3">
        <v>97326824188</v>
      </c>
      <c r="B4710" s="3">
        <v>35</v>
      </c>
      <c r="C4710" s="32">
        <v>49284</v>
      </c>
      <c r="D4710" s="32" t="s">
        <v>87</v>
      </c>
      <c r="E47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1" spans="1:6" x14ac:dyDescent="0.35">
      <c r="A4711" s="3">
        <v>73290395622</v>
      </c>
      <c r="B4711" s="3">
        <v>251</v>
      </c>
      <c r="C4711" s="32">
        <v>49284</v>
      </c>
      <c r="D4711" s="32">
        <v>49285</v>
      </c>
      <c r="E47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12" spans="1:6" x14ac:dyDescent="0.35">
      <c r="A4712" s="3">
        <v>61326388063</v>
      </c>
      <c r="B4712" s="3">
        <v>182</v>
      </c>
      <c r="C4712" s="32">
        <v>49284</v>
      </c>
      <c r="D4712" s="32" t="s">
        <v>87</v>
      </c>
      <c r="E47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3" spans="1:6" x14ac:dyDescent="0.35">
      <c r="A4713" s="3">
        <v>47075762787</v>
      </c>
      <c r="B4713" s="3">
        <v>285</v>
      </c>
      <c r="C4713" s="32">
        <v>49284</v>
      </c>
      <c r="D4713" s="32"/>
      <c r="E47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4" spans="1:6" x14ac:dyDescent="0.35">
      <c r="A4714" s="3">
        <v>21082185746</v>
      </c>
      <c r="B4714" s="3">
        <v>292</v>
      </c>
      <c r="C4714" s="32">
        <v>49284</v>
      </c>
      <c r="D4714" s="32" t="s">
        <v>87</v>
      </c>
      <c r="E47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5" spans="1:6" x14ac:dyDescent="0.35">
      <c r="A4715" s="3">
        <v>14767611198</v>
      </c>
      <c r="B4715" s="3">
        <v>218</v>
      </c>
      <c r="C4715" s="32">
        <v>49284</v>
      </c>
      <c r="D4715" s="32" t="s">
        <v>87</v>
      </c>
      <c r="E47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6" spans="1:6" x14ac:dyDescent="0.35">
      <c r="A4716" s="3">
        <v>72371257236</v>
      </c>
      <c r="B4716" s="3">
        <v>175</v>
      </c>
      <c r="C4716" s="32">
        <v>49284</v>
      </c>
      <c r="D4716" s="32" t="s">
        <v>87</v>
      </c>
      <c r="E47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7" spans="1:6" x14ac:dyDescent="0.35">
      <c r="A4717" s="3">
        <v>64714494256</v>
      </c>
      <c r="B4717" s="3">
        <v>186</v>
      </c>
      <c r="C4717" s="32">
        <v>49284</v>
      </c>
      <c r="D4717" s="32">
        <v>49318</v>
      </c>
      <c r="E47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18" spans="1:6" x14ac:dyDescent="0.35">
      <c r="A4718" s="3">
        <v>18436143166</v>
      </c>
      <c r="B4718" s="3">
        <v>228</v>
      </c>
      <c r="C4718" s="32">
        <v>49284</v>
      </c>
      <c r="D4718" s="32"/>
      <c r="E47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9" spans="1:6" x14ac:dyDescent="0.35">
      <c r="A4719" s="3">
        <v>51910485339</v>
      </c>
      <c r="B4719" s="3">
        <v>80</v>
      </c>
      <c r="C4719" s="32">
        <v>49284</v>
      </c>
      <c r="D4719" s="32">
        <v>49337</v>
      </c>
      <c r="E47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20" spans="1:6" x14ac:dyDescent="0.35">
      <c r="A4720" s="3">
        <v>39312095260</v>
      </c>
      <c r="B4720" s="3">
        <v>285</v>
      </c>
      <c r="C4720" s="32">
        <v>49284</v>
      </c>
      <c r="D4720" s="32" t="s">
        <v>87</v>
      </c>
      <c r="E47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21" spans="1:6" x14ac:dyDescent="0.35">
      <c r="A4721" s="3">
        <v>15645755628</v>
      </c>
      <c r="B4721" s="3">
        <v>279</v>
      </c>
      <c r="C4721" s="32">
        <v>49284</v>
      </c>
      <c r="D4721" s="32" t="s">
        <v>87</v>
      </c>
      <c r="E47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22" spans="1:6" x14ac:dyDescent="0.35">
      <c r="A4722" s="3">
        <v>50972883425</v>
      </c>
      <c r="B4722" s="3">
        <v>177</v>
      </c>
      <c r="C4722" s="32">
        <v>49284</v>
      </c>
      <c r="D4722" s="32" t="s">
        <v>87</v>
      </c>
      <c r="E47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23" spans="1:6" x14ac:dyDescent="0.35">
      <c r="A4723" s="3">
        <v>11245077816</v>
      </c>
      <c r="B4723" s="3">
        <v>217</v>
      </c>
      <c r="C4723" s="32">
        <v>49284</v>
      </c>
      <c r="D4723" s="32" t="s">
        <v>87</v>
      </c>
      <c r="E47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24" spans="1:6" x14ac:dyDescent="0.35">
      <c r="A4724" s="3">
        <v>17191037345</v>
      </c>
      <c r="B4724" s="3">
        <v>1</v>
      </c>
      <c r="C4724" s="32">
        <v>49284</v>
      </c>
      <c r="D4724" s="32">
        <v>49311</v>
      </c>
      <c r="E47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25" spans="1:6" x14ac:dyDescent="0.35">
      <c r="A4725" s="3">
        <v>18387440458</v>
      </c>
      <c r="B4725" s="3">
        <v>242</v>
      </c>
      <c r="C4725" s="32">
        <v>49284</v>
      </c>
      <c r="D4725" s="32">
        <v>49322</v>
      </c>
      <c r="E47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26" spans="1:6" x14ac:dyDescent="0.35">
      <c r="A4726" s="3">
        <v>42171090419</v>
      </c>
      <c r="B4726" s="3">
        <v>3</v>
      </c>
      <c r="C4726" s="32">
        <v>49284</v>
      </c>
      <c r="D4726" s="32" t="s">
        <v>87</v>
      </c>
      <c r="E47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27" spans="1:6" x14ac:dyDescent="0.35">
      <c r="A4727" s="3">
        <v>34470599245</v>
      </c>
      <c r="B4727" s="3">
        <v>203</v>
      </c>
      <c r="C4727" s="32">
        <v>49284</v>
      </c>
      <c r="D4727" s="32">
        <v>49363</v>
      </c>
      <c r="E47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728" spans="1:6" x14ac:dyDescent="0.35">
      <c r="A4728" s="3">
        <v>85505062998</v>
      </c>
      <c r="B4728" s="3">
        <v>75</v>
      </c>
      <c r="C4728" s="32">
        <v>49284</v>
      </c>
      <c r="D4728" s="32"/>
      <c r="E47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29" spans="1:6" x14ac:dyDescent="0.35">
      <c r="A4729" s="3">
        <v>65900372316</v>
      </c>
      <c r="B4729" s="3">
        <v>261</v>
      </c>
      <c r="C4729" s="32">
        <v>49284</v>
      </c>
      <c r="D4729" s="32" t="s">
        <v>87</v>
      </c>
      <c r="E47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0" spans="1:6" x14ac:dyDescent="0.35">
      <c r="A4730" s="3">
        <v>33525286939</v>
      </c>
      <c r="B4730" s="3">
        <v>73</v>
      </c>
      <c r="C4730" s="32">
        <v>49284</v>
      </c>
      <c r="D4730" s="32">
        <v>49306</v>
      </c>
      <c r="E47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31" spans="1:6" x14ac:dyDescent="0.35">
      <c r="A4731" s="3">
        <v>29330830594</v>
      </c>
      <c r="B4731" s="3">
        <v>268</v>
      </c>
      <c r="C4731" s="32">
        <v>49285</v>
      </c>
      <c r="D4731" s="32" t="s">
        <v>87</v>
      </c>
      <c r="E47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2" spans="1:6" x14ac:dyDescent="0.35">
      <c r="A4732" s="3">
        <v>96901564726</v>
      </c>
      <c r="B4732" s="3">
        <v>197</v>
      </c>
      <c r="C4732" s="32">
        <v>49285</v>
      </c>
      <c r="D4732" s="32"/>
      <c r="E47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3" spans="1:6" x14ac:dyDescent="0.35">
      <c r="A4733" s="3">
        <v>71428653580</v>
      </c>
      <c r="B4733" s="3">
        <v>283</v>
      </c>
      <c r="C4733" s="32">
        <v>49285</v>
      </c>
      <c r="D4733" s="32" t="s">
        <v>87</v>
      </c>
      <c r="E47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4" spans="1:6" x14ac:dyDescent="0.35">
      <c r="A4734" s="3">
        <v>30622416736</v>
      </c>
      <c r="B4734" s="3">
        <v>302</v>
      </c>
      <c r="C4734" s="32">
        <v>49285</v>
      </c>
      <c r="D4734" s="32" t="s">
        <v>87</v>
      </c>
      <c r="E47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5" spans="1:6" x14ac:dyDescent="0.35">
      <c r="A4735" s="3">
        <v>78067164255</v>
      </c>
      <c r="B4735" s="3">
        <v>105</v>
      </c>
      <c r="C4735" s="32">
        <v>49285</v>
      </c>
      <c r="D4735" s="32" t="s">
        <v>87</v>
      </c>
      <c r="E47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6" spans="1:6" x14ac:dyDescent="0.35">
      <c r="A4736" s="3">
        <v>57102004723</v>
      </c>
      <c r="B4736" s="3">
        <v>172</v>
      </c>
      <c r="C4736" s="32">
        <v>49285</v>
      </c>
      <c r="D4736" s="32" t="s">
        <v>87</v>
      </c>
      <c r="E47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7" spans="1:6" x14ac:dyDescent="0.35">
      <c r="A4737" s="3">
        <v>36811365721</v>
      </c>
      <c r="B4737" s="3">
        <v>332</v>
      </c>
      <c r="C4737" s="32">
        <v>49285</v>
      </c>
      <c r="D4737" s="32" t="s">
        <v>87</v>
      </c>
      <c r="E47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8" spans="1:6" x14ac:dyDescent="0.35">
      <c r="A4738" s="3">
        <v>17895468653</v>
      </c>
      <c r="B4738" s="3">
        <v>27</v>
      </c>
      <c r="C4738" s="32">
        <v>49285</v>
      </c>
      <c r="D4738" s="32" t="s">
        <v>87</v>
      </c>
      <c r="E47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9" spans="1:6" x14ac:dyDescent="0.35">
      <c r="A4739" s="3">
        <v>82244726835</v>
      </c>
      <c r="B4739" s="3">
        <v>248</v>
      </c>
      <c r="C4739" s="32">
        <v>49285</v>
      </c>
      <c r="D4739" s="32" t="s">
        <v>87</v>
      </c>
      <c r="E47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0" spans="1:6" x14ac:dyDescent="0.35">
      <c r="A4740" s="3">
        <v>40251618569</v>
      </c>
      <c r="B4740" s="3">
        <v>35</v>
      </c>
      <c r="C4740" s="32">
        <v>49285</v>
      </c>
      <c r="D4740" s="32" t="s">
        <v>87</v>
      </c>
      <c r="E47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1" spans="1:6" x14ac:dyDescent="0.35">
      <c r="A4741" s="3">
        <v>42216104439</v>
      </c>
      <c r="B4741" s="3">
        <v>93</v>
      </c>
      <c r="C4741" s="32">
        <v>49285</v>
      </c>
      <c r="D4741" s="32" t="s">
        <v>87</v>
      </c>
      <c r="E47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2" spans="1:6" x14ac:dyDescent="0.35">
      <c r="A4742" s="3">
        <v>98525707549</v>
      </c>
      <c r="B4742" s="3">
        <v>284</v>
      </c>
      <c r="C4742" s="32">
        <v>49285</v>
      </c>
      <c r="D4742" s="32"/>
      <c r="E47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3" spans="1:6" x14ac:dyDescent="0.35">
      <c r="A4743" s="3">
        <v>41826366887</v>
      </c>
      <c r="B4743" s="3">
        <v>87</v>
      </c>
      <c r="C4743" s="32">
        <v>49285</v>
      </c>
      <c r="D4743" s="32" t="s">
        <v>87</v>
      </c>
      <c r="E47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4" spans="1:6" x14ac:dyDescent="0.35">
      <c r="A4744" s="3">
        <v>37450762682</v>
      </c>
      <c r="B4744" s="3">
        <v>55</v>
      </c>
      <c r="C4744" s="32">
        <v>49285</v>
      </c>
      <c r="D4744" s="32"/>
      <c r="E47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5" spans="1:6" x14ac:dyDescent="0.35">
      <c r="A4745" s="3">
        <v>88320206880</v>
      </c>
      <c r="B4745" s="3">
        <v>203</v>
      </c>
      <c r="C4745" s="32">
        <v>49285</v>
      </c>
      <c r="D4745" s="32"/>
      <c r="E47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6" spans="1:6" x14ac:dyDescent="0.35">
      <c r="A4746" s="3">
        <v>51409558665</v>
      </c>
      <c r="B4746" s="3">
        <v>48</v>
      </c>
      <c r="C4746" s="32">
        <v>49285</v>
      </c>
      <c r="D4746" s="32" t="s">
        <v>87</v>
      </c>
      <c r="E47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7" spans="1:6" x14ac:dyDescent="0.35">
      <c r="A4747" s="3">
        <v>37027537468</v>
      </c>
      <c r="B4747" s="3">
        <v>63</v>
      </c>
      <c r="C4747" s="32">
        <v>49285</v>
      </c>
      <c r="D4747" s="32">
        <v>49289</v>
      </c>
      <c r="E47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48" spans="1:6" x14ac:dyDescent="0.35">
      <c r="A4748" s="3">
        <v>32047713083</v>
      </c>
      <c r="B4748" s="3">
        <v>99</v>
      </c>
      <c r="C4748" s="32">
        <v>49285</v>
      </c>
      <c r="D4748" s="32">
        <v>49363</v>
      </c>
      <c r="E47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749" spans="1:6" x14ac:dyDescent="0.35">
      <c r="A4749" s="3">
        <v>50879217717</v>
      </c>
      <c r="B4749" s="3">
        <v>268</v>
      </c>
      <c r="C4749" s="32">
        <v>49285</v>
      </c>
      <c r="D4749" s="32">
        <v>49343</v>
      </c>
      <c r="E47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750" spans="1:6" x14ac:dyDescent="0.35">
      <c r="A4750" s="3">
        <v>90886483010</v>
      </c>
      <c r="B4750" s="3">
        <v>269</v>
      </c>
      <c r="C4750" s="32">
        <v>49285</v>
      </c>
      <c r="D4750" s="32" t="s">
        <v>87</v>
      </c>
      <c r="E47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1" spans="1:6" x14ac:dyDescent="0.35">
      <c r="A4751" s="3">
        <v>44540100227</v>
      </c>
      <c r="B4751" s="3">
        <v>9</v>
      </c>
      <c r="C4751" s="32">
        <v>49285</v>
      </c>
      <c r="D4751" s="32"/>
      <c r="E47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2" spans="1:6" x14ac:dyDescent="0.35">
      <c r="A4752" s="3">
        <v>36483672449</v>
      </c>
      <c r="B4752" s="3">
        <v>81</v>
      </c>
      <c r="C4752" s="32">
        <v>49285</v>
      </c>
      <c r="D4752" s="32"/>
      <c r="E47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3" spans="1:6" x14ac:dyDescent="0.35">
      <c r="A4753" s="3">
        <v>51702064328</v>
      </c>
      <c r="B4753" s="3">
        <v>152</v>
      </c>
      <c r="C4753" s="32">
        <v>49285</v>
      </c>
      <c r="D4753" s="32" t="s">
        <v>87</v>
      </c>
      <c r="E47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4" spans="1:6" x14ac:dyDescent="0.35">
      <c r="A4754" s="3">
        <v>28168269783</v>
      </c>
      <c r="B4754" s="3">
        <v>143</v>
      </c>
      <c r="C4754" s="32">
        <v>49286</v>
      </c>
      <c r="D4754" s="32" t="s">
        <v>87</v>
      </c>
      <c r="E47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5" spans="1:6" x14ac:dyDescent="0.35">
      <c r="A4755" s="3">
        <v>74829827884</v>
      </c>
      <c r="B4755" s="3">
        <v>328</v>
      </c>
      <c r="C4755" s="32">
        <v>49286</v>
      </c>
      <c r="D4755" s="32" t="s">
        <v>87</v>
      </c>
      <c r="E47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6" spans="1:6" x14ac:dyDescent="0.35">
      <c r="A4756" s="3">
        <v>94123211927</v>
      </c>
      <c r="B4756" s="3">
        <v>189</v>
      </c>
      <c r="C4756" s="32">
        <v>49286</v>
      </c>
      <c r="D4756" s="32" t="s">
        <v>87</v>
      </c>
      <c r="E47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7" spans="1:6" x14ac:dyDescent="0.35">
      <c r="A4757" s="3">
        <v>12027511720</v>
      </c>
      <c r="B4757" s="3">
        <v>7</v>
      </c>
      <c r="C4757" s="32">
        <v>49286</v>
      </c>
      <c r="D4757" s="32" t="s">
        <v>87</v>
      </c>
      <c r="E47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8" spans="1:6" x14ac:dyDescent="0.35">
      <c r="A4758" s="3">
        <v>84579237062</v>
      </c>
      <c r="B4758" s="3">
        <v>302</v>
      </c>
      <c r="C4758" s="32">
        <v>49286</v>
      </c>
      <c r="D4758" s="32"/>
      <c r="E47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9" spans="1:6" x14ac:dyDescent="0.35">
      <c r="A4759" s="3">
        <v>56463516016</v>
      </c>
      <c r="B4759" s="3">
        <v>189</v>
      </c>
      <c r="C4759" s="32">
        <v>49286</v>
      </c>
      <c r="D4759" s="32">
        <v>49292</v>
      </c>
      <c r="E47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60" spans="1:6" x14ac:dyDescent="0.35">
      <c r="A4760" s="3">
        <v>53527664364</v>
      </c>
      <c r="B4760" s="3">
        <v>267</v>
      </c>
      <c r="C4760" s="32">
        <v>49286</v>
      </c>
      <c r="D4760" s="32" t="s">
        <v>87</v>
      </c>
      <c r="E47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1" spans="1:6" x14ac:dyDescent="0.35">
      <c r="A4761" s="3">
        <v>67868860296</v>
      </c>
      <c r="B4761" s="3">
        <v>200</v>
      </c>
      <c r="C4761" s="32">
        <v>49286</v>
      </c>
      <c r="D4761" s="32" t="s">
        <v>87</v>
      </c>
      <c r="E47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2" spans="1:6" x14ac:dyDescent="0.35">
      <c r="A4762" s="3">
        <v>63473733712</v>
      </c>
      <c r="B4762" s="3">
        <v>323</v>
      </c>
      <c r="C4762" s="32">
        <v>49286</v>
      </c>
      <c r="D4762" s="32">
        <v>49354</v>
      </c>
      <c r="E47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763" spans="1:6" x14ac:dyDescent="0.35">
      <c r="A4763" s="3">
        <v>24714530169</v>
      </c>
      <c r="B4763" s="3">
        <v>337</v>
      </c>
      <c r="C4763" s="32">
        <v>49286</v>
      </c>
      <c r="D4763" s="32" t="s">
        <v>87</v>
      </c>
      <c r="E47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4" spans="1:6" x14ac:dyDescent="0.35">
      <c r="A4764" s="3">
        <v>38464914070</v>
      </c>
      <c r="B4764" s="3">
        <v>119</v>
      </c>
      <c r="C4764" s="32">
        <v>49286</v>
      </c>
      <c r="D4764" s="32" t="s">
        <v>87</v>
      </c>
      <c r="E47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5" spans="1:6" x14ac:dyDescent="0.35">
      <c r="A4765" s="3">
        <v>59405265226</v>
      </c>
      <c r="B4765" s="3">
        <v>96</v>
      </c>
      <c r="C4765" s="32">
        <v>49286</v>
      </c>
      <c r="D4765" s="32"/>
      <c r="E47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6" spans="1:6" x14ac:dyDescent="0.35">
      <c r="A4766" s="3">
        <v>36502540429</v>
      </c>
      <c r="B4766" s="3">
        <v>82</v>
      </c>
      <c r="C4766" s="32">
        <v>49286</v>
      </c>
      <c r="D4766" s="32" t="s">
        <v>87</v>
      </c>
      <c r="E47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7" spans="1:6" x14ac:dyDescent="0.35">
      <c r="A4767" s="3">
        <v>74800549448</v>
      </c>
      <c r="B4767" s="3">
        <v>139</v>
      </c>
      <c r="C4767" s="32">
        <v>49286</v>
      </c>
      <c r="D4767" s="32" t="s">
        <v>87</v>
      </c>
      <c r="E47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8" spans="1:6" x14ac:dyDescent="0.35">
      <c r="A4768" s="3">
        <v>43330776594</v>
      </c>
      <c r="B4768" s="3">
        <v>124</v>
      </c>
      <c r="C4768" s="32">
        <v>49286</v>
      </c>
      <c r="D4768" s="32">
        <v>49313</v>
      </c>
      <c r="E47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69" spans="1:6" x14ac:dyDescent="0.35">
      <c r="A4769" s="3">
        <v>34105317369</v>
      </c>
      <c r="B4769" s="3">
        <v>212</v>
      </c>
      <c r="C4769" s="32">
        <v>49286</v>
      </c>
      <c r="D4769" s="32" t="s">
        <v>87</v>
      </c>
      <c r="E47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0" spans="1:6" x14ac:dyDescent="0.35">
      <c r="A4770" s="3">
        <v>32388187315</v>
      </c>
      <c r="B4770" s="3">
        <v>43</v>
      </c>
      <c r="C4770" s="32">
        <v>49286</v>
      </c>
      <c r="D4770" s="32" t="s">
        <v>87</v>
      </c>
      <c r="E47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1" spans="1:6" x14ac:dyDescent="0.35">
      <c r="A4771" s="3">
        <v>79652832778</v>
      </c>
      <c r="B4771" s="3">
        <v>50</v>
      </c>
      <c r="C4771" s="32">
        <v>49286</v>
      </c>
      <c r="D4771" s="32" t="s">
        <v>87</v>
      </c>
      <c r="E47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2" spans="1:6" x14ac:dyDescent="0.35">
      <c r="A4772" s="3">
        <v>70636360833</v>
      </c>
      <c r="B4772" s="3">
        <v>148</v>
      </c>
      <c r="C4772" s="32">
        <v>49286</v>
      </c>
      <c r="D4772" s="32" t="s">
        <v>87</v>
      </c>
      <c r="E47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3" spans="1:6" x14ac:dyDescent="0.35">
      <c r="A4773" s="3">
        <v>72272390428</v>
      </c>
      <c r="B4773" s="3">
        <v>201</v>
      </c>
      <c r="C4773" s="32">
        <v>49286</v>
      </c>
      <c r="D4773" s="32" t="s">
        <v>87</v>
      </c>
      <c r="E47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4" spans="1:6" x14ac:dyDescent="0.35">
      <c r="A4774" s="3">
        <v>60199373454</v>
      </c>
      <c r="B4774" s="3">
        <v>265</v>
      </c>
      <c r="C4774" s="32">
        <v>49286</v>
      </c>
      <c r="D4774" s="32">
        <v>49305</v>
      </c>
      <c r="E47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75" spans="1:6" x14ac:dyDescent="0.35">
      <c r="A4775" s="3">
        <v>74957604989</v>
      </c>
      <c r="B4775" s="3">
        <v>210</v>
      </c>
      <c r="C4775" s="32">
        <v>49286</v>
      </c>
      <c r="D4775" s="32" t="s">
        <v>87</v>
      </c>
      <c r="E47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6" spans="1:6" x14ac:dyDescent="0.35">
      <c r="A4776" s="3">
        <v>20534219618</v>
      </c>
      <c r="B4776" s="3">
        <v>273</v>
      </c>
      <c r="C4776" s="32">
        <v>49286</v>
      </c>
      <c r="D4776" s="32" t="s">
        <v>87</v>
      </c>
      <c r="E47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7" spans="1:6" x14ac:dyDescent="0.35">
      <c r="A4777" s="3">
        <v>60343113151</v>
      </c>
      <c r="B4777" s="3">
        <v>155</v>
      </c>
      <c r="C4777" s="32">
        <v>49286</v>
      </c>
      <c r="D4777" s="32"/>
      <c r="E47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8" spans="1:6" x14ac:dyDescent="0.35">
      <c r="A4778" s="3">
        <v>93045201807</v>
      </c>
      <c r="B4778" s="3">
        <v>30</v>
      </c>
      <c r="C4778" s="32">
        <v>49286</v>
      </c>
      <c r="D4778" s="32"/>
      <c r="E47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9" spans="1:6" x14ac:dyDescent="0.35">
      <c r="A4779" s="3">
        <v>23707594507</v>
      </c>
      <c r="B4779" s="3">
        <v>174</v>
      </c>
      <c r="C4779" s="32">
        <v>49286</v>
      </c>
      <c r="D4779" s="32">
        <v>49307</v>
      </c>
      <c r="E47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80" spans="1:6" x14ac:dyDescent="0.35">
      <c r="A4780" s="3">
        <v>48702489679</v>
      </c>
      <c r="B4780" s="3">
        <v>81</v>
      </c>
      <c r="C4780" s="32">
        <v>49286</v>
      </c>
      <c r="D4780" s="32" t="s">
        <v>87</v>
      </c>
      <c r="E47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1" spans="1:6" x14ac:dyDescent="0.35">
      <c r="A4781" s="3">
        <v>53107894726</v>
      </c>
      <c r="B4781" s="3">
        <v>190</v>
      </c>
      <c r="C4781" s="32">
        <v>49287</v>
      </c>
      <c r="D4781" s="32" t="s">
        <v>87</v>
      </c>
      <c r="E47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2" spans="1:6" x14ac:dyDescent="0.35">
      <c r="A4782" s="3">
        <v>86441232073</v>
      </c>
      <c r="B4782" s="3">
        <v>339</v>
      </c>
      <c r="C4782" s="32">
        <v>49287</v>
      </c>
      <c r="D4782" s="32" t="s">
        <v>87</v>
      </c>
      <c r="E47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3" spans="1:6" x14ac:dyDescent="0.35">
      <c r="A4783" s="3">
        <v>71737862719</v>
      </c>
      <c r="B4783" s="3">
        <v>30</v>
      </c>
      <c r="C4783" s="32">
        <v>49287</v>
      </c>
      <c r="D4783" s="32">
        <v>49320</v>
      </c>
      <c r="E47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84" spans="1:6" x14ac:dyDescent="0.35">
      <c r="A4784" s="3">
        <v>20014837958</v>
      </c>
      <c r="B4784" s="3">
        <v>281</v>
      </c>
      <c r="C4784" s="32">
        <v>49287</v>
      </c>
      <c r="D4784" s="32" t="s">
        <v>87</v>
      </c>
      <c r="E47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5" spans="1:6" x14ac:dyDescent="0.35">
      <c r="A4785" s="3">
        <v>12798124569</v>
      </c>
      <c r="B4785" s="3">
        <v>143</v>
      </c>
      <c r="C4785" s="32">
        <v>49287</v>
      </c>
      <c r="D4785" s="32" t="s">
        <v>87</v>
      </c>
      <c r="E47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6" spans="1:6" x14ac:dyDescent="0.35">
      <c r="A4786" s="3">
        <v>80338506594</v>
      </c>
      <c r="B4786" s="3">
        <v>96</v>
      </c>
      <c r="C4786" s="32">
        <v>49287</v>
      </c>
      <c r="D4786" s="32" t="s">
        <v>87</v>
      </c>
      <c r="E47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7" spans="1:6" x14ac:dyDescent="0.35">
      <c r="A4787" s="3">
        <v>11596527058</v>
      </c>
      <c r="B4787" s="3">
        <v>116</v>
      </c>
      <c r="C4787" s="32">
        <v>49287</v>
      </c>
      <c r="D4787" s="32">
        <v>49355</v>
      </c>
      <c r="E47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788" spans="1:6" x14ac:dyDescent="0.35">
      <c r="A4788" s="3">
        <v>84305946395</v>
      </c>
      <c r="B4788" s="3">
        <v>309</v>
      </c>
      <c r="C4788" s="32">
        <v>49287</v>
      </c>
      <c r="D4788" s="32"/>
      <c r="E47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9" spans="1:6" x14ac:dyDescent="0.35">
      <c r="A4789" s="3">
        <v>64463755224</v>
      </c>
      <c r="B4789" s="3">
        <v>218</v>
      </c>
      <c r="C4789" s="32">
        <v>49287</v>
      </c>
      <c r="D4789" s="32" t="s">
        <v>87</v>
      </c>
      <c r="E47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0" spans="1:6" x14ac:dyDescent="0.35">
      <c r="A4790" s="3">
        <v>82952635170</v>
      </c>
      <c r="B4790" s="3">
        <v>169</v>
      </c>
      <c r="C4790" s="32">
        <v>49287</v>
      </c>
      <c r="D4790" s="32">
        <v>49299</v>
      </c>
      <c r="E47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91" spans="1:6" x14ac:dyDescent="0.35">
      <c r="A4791" s="3">
        <v>44824851874</v>
      </c>
      <c r="B4791" s="3">
        <v>128</v>
      </c>
      <c r="C4791" s="32">
        <v>49287</v>
      </c>
      <c r="D4791" s="32">
        <v>49346</v>
      </c>
      <c r="E47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792" spans="1:6" x14ac:dyDescent="0.35">
      <c r="A4792" s="3">
        <v>20119203844</v>
      </c>
      <c r="B4792" s="3">
        <v>188</v>
      </c>
      <c r="C4792" s="32">
        <v>49287</v>
      </c>
      <c r="D4792" s="32" t="s">
        <v>87</v>
      </c>
      <c r="E47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3" spans="1:6" x14ac:dyDescent="0.35">
      <c r="A4793" s="3">
        <v>77782029730</v>
      </c>
      <c r="B4793" s="3">
        <v>154</v>
      </c>
      <c r="C4793" s="32">
        <v>49287</v>
      </c>
      <c r="D4793" s="32" t="s">
        <v>87</v>
      </c>
      <c r="E47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4" spans="1:6" x14ac:dyDescent="0.35">
      <c r="A4794" s="3">
        <v>30185463573</v>
      </c>
      <c r="B4794" s="3">
        <v>158</v>
      </c>
      <c r="C4794" s="32">
        <v>49287</v>
      </c>
      <c r="D4794" s="32"/>
      <c r="E47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5" spans="1:6" x14ac:dyDescent="0.35">
      <c r="A4795" s="3">
        <v>95408574348</v>
      </c>
      <c r="B4795" s="3">
        <v>183</v>
      </c>
      <c r="C4795" s="32">
        <v>49287</v>
      </c>
      <c r="D4795" s="32" t="s">
        <v>87</v>
      </c>
      <c r="E47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6" spans="1:6" x14ac:dyDescent="0.35">
      <c r="A4796" s="3">
        <v>79771056562</v>
      </c>
      <c r="B4796" s="3">
        <v>334</v>
      </c>
      <c r="C4796" s="32">
        <v>49287</v>
      </c>
      <c r="D4796" s="32" t="s">
        <v>87</v>
      </c>
      <c r="E47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7" spans="1:6" x14ac:dyDescent="0.35">
      <c r="A4797" s="3">
        <v>18094547203</v>
      </c>
      <c r="B4797" s="3">
        <v>105</v>
      </c>
      <c r="C4797" s="32">
        <v>49287</v>
      </c>
      <c r="D4797" s="32" t="s">
        <v>87</v>
      </c>
      <c r="E47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8" spans="1:6" x14ac:dyDescent="0.35">
      <c r="A4798" s="3">
        <v>22950621172</v>
      </c>
      <c r="B4798" s="3">
        <v>218</v>
      </c>
      <c r="C4798" s="32">
        <v>49287</v>
      </c>
      <c r="D4798" s="32" t="s">
        <v>87</v>
      </c>
      <c r="E47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9" spans="1:6" x14ac:dyDescent="0.35">
      <c r="A4799" s="3">
        <v>73610361635</v>
      </c>
      <c r="B4799" s="3">
        <v>211</v>
      </c>
      <c r="C4799" s="32">
        <v>49287</v>
      </c>
      <c r="D4799" s="32" t="s">
        <v>87</v>
      </c>
      <c r="E47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0" spans="1:6" x14ac:dyDescent="0.35">
      <c r="A4800" s="3">
        <v>67761452600</v>
      </c>
      <c r="B4800" s="3">
        <v>247</v>
      </c>
      <c r="C4800" s="32">
        <v>49287</v>
      </c>
      <c r="D4800" s="32"/>
      <c r="E48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1" spans="1:6" x14ac:dyDescent="0.35">
      <c r="A4801" s="3">
        <v>78370546695</v>
      </c>
      <c r="B4801" s="3">
        <v>52</v>
      </c>
      <c r="C4801" s="32">
        <v>49287</v>
      </c>
      <c r="D4801" s="32">
        <v>49303</v>
      </c>
      <c r="E48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802" spans="1:6" x14ac:dyDescent="0.35">
      <c r="A4802" s="3">
        <v>93336531464</v>
      </c>
      <c r="B4802" s="3">
        <v>175</v>
      </c>
      <c r="C4802" s="32">
        <v>49287</v>
      </c>
      <c r="D4802" s="32">
        <v>49289</v>
      </c>
      <c r="E48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803" spans="1:6" x14ac:dyDescent="0.35">
      <c r="A4803" s="3">
        <v>75610000918</v>
      </c>
      <c r="B4803" s="3">
        <v>131</v>
      </c>
      <c r="C4803" s="32">
        <v>49287</v>
      </c>
      <c r="D4803" s="32" t="s">
        <v>87</v>
      </c>
      <c r="E48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4" spans="1:6" x14ac:dyDescent="0.35">
      <c r="A4804" s="3">
        <v>18956029687</v>
      </c>
      <c r="B4804" s="3">
        <v>137</v>
      </c>
      <c r="C4804" s="32">
        <v>49287</v>
      </c>
      <c r="D4804" s="32" t="s">
        <v>87</v>
      </c>
      <c r="E48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5" spans="1:6" x14ac:dyDescent="0.35">
      <c r="A4805" s="3">
        <v>78909646018</v>
      </c>
      <c r="B4805" s="3">
        <v>114</v>
      </c>
      <c r="C4805" s="32">
        <v>49288</v>
      </c>
      <c r="D4805" s="32"/>
      <c r="E48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6" spans="1:6" x14ac:dyDescent="0.35">
      <c r="A4806" s="3">
        <v>77731723155</v>
      </c>
      <c r="B4806" s="3">
        <v>37</v>
      </c>
      <c r="C4806" s="32">
        <v>49288</v>
      </c>
      <c r="D4806" s="32" t="s">
        <v>87</v>
      </c>
      <c r="E48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7" spans="1:6" x14ac:dyDescent="0.35">
      <c r="A4807" s="3">
        <v>56132977027</v>
      </c>
      <c r="B4807" s="3">
        <v>328</v>
      </c>
      <c r="C4807" s="32">
        <v>49288</v>
      </c>
      <c r="D4807" s="32" t="s">
        <v>87</v>
      </c>
      <c r="E48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8" spans="1:6" x14ac:dyDescent="0.35">
      <c r="A4808" s="3">
        <v>81422459269</v>
      </c>
      <c r="B4808" s="3">
        <v>289</v>
      </c>
      <c r="C4808" s="32">
        <v>49288</v>
      </c>
      <c r="D4808" s="32"/>
      <c r="E48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9" spans="1:6" x14ac:dyDescent="0.35">
      <c r="A4809" s="3">
        <v>34883835068</v>
      </c>
      <c r="B4809" s="3">
        <v>308</v>
      </c>
      <c r="C4809" s="32">
        <v>49288</v>
      </c>
      <c r="D4809" s="32" t="s">
        <v>87</v>
      </c>
      <c r="E48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0" spans="1:6" x14ac:dyDescent="0.35">
      <c r="A4810" s="3">
        <v>13182891272</v>
      </c>
      <c r="B4810" s="3">
        <v>331</v>
      </c>
      <c r="C4810" s="32">
        <v>49288</v>
      </c>
      <c r="D4810" s="32">
        <v>49360</v>
      </c>
      <c r="E48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811" spans="1:6" x14ac:dyDescent="0.35">
      <c r="A4811" s="3">
        <v>12834121799</v>
      </c>
      <c r="B4811" s="3">
        <v>235</v>
      </c>
      <c r="C4811" s="32">
        <v>49288</v>
      </c>
      <c r="D4811" s="32" t="s">
        <v>87</v>
      </c>
      <c r="E48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2" spans="1:6" x14ac:dyDescent="0.35">
      <c r="A4812" s="3">
        <v>39860443866</v>
      </c>
      <c r="B4812" s="3">
        <v>36</v>
      </c>
      <c r="C4812" s="32">
        <v>49288</v>
      </c>
      <c r="D4812" s="32" t="s">
        <v>87</v>
      </c>
      <c r="E48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3" spans="1:6" x14ac:dyDescent="0.35">
      <c r="A4813" s="3">
        <v>72804890597</v>
      </c>
      <c r="B4813" s="3">
        <v>263</v>
      </c>
      <c r="C4813" s="32">
        <v>49288</v>
      </c>
      <c r="D4813" s="32" t="s">
        <v>87</v>
      </c>
      <c r="E48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4" spans="1:6" x14ac:dyDescent="0.35">
      <c r="A4814" s="3">
        <v>67879409937</v>
      </c>
      <c r="B4814" s="3">
        <v>223</v>
      </c>
      <c r="C4814" s="32">
        <v>49288</v>
      </c>
      <c r="D4814" s="32" t="s">
        <v>87</v>
      </c>
      <c r="E48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5" spans="1:6" x14ac:dyDescent="0.35">
      <c r="A4815" s="3">
        <v>64252879772</v>
      </c>
      <c r="B4815" s="3">
        <v>118</v>
      </c>
      <c r="C4815" s="32">
        <v>49288</v>
      </c>
      <c r="D4815" s="32" t="s">
        <v>87</v>
      </c>
      <c r="E48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6" spans="1:6" x14ac:dyDescent="0.35">
      <c r="A4816" s="3">
        <v>63768395136</v>
      </c>
      <c r="B4816" s="3">
        <v>41</v>
      </c>
      <c r="C4816" s="32">
        <v>49288</v>
      </c>
      <c r="D4816" s="32">
        <v>49324</v>
      </c>
      <c r="E48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817" spans="1:6" x14ac:dyDescent="0.35">
      <c r="A4817" s="3">
        <v>38412466860</v>
      </c>
      <c r="B4817" s="3">
        <v>57</v>
      </c>
      <c r="C4817" s="32">
        <v>49288</v>
      </c>
      <c r="D4817" s="32" t="s">
        <v>87</v>
      </c>
      <c r="E48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8" spans="1:6" x14ac:dyDescent="0.35">
      <c r="A4818" s="3">
        <v>99578154746</v>
      </c>
      <c r="B4818" s="3">
        <v>201</v>
      </c>
      <c r="C4818" s="32">
        <v>49288</v>
      </c>
      <c r="D4818" s="32">
        <v>49327</v>
      </c>
      <c r="E48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819" spans="1:6" x14ac:dyDescent="0.35">
      <c r="A4819" s="3">
        <v>31459358439</v>
      </c>
      <c r="B4819" s="3">
        <v>240</v>
      </c>
      <c r="C4819" s="32">
        <v>49288</v>
      </c>
      <c r="D4819" s="32" t="s">
        <v>87</v>
      </c>
      <c r="E48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0" spans="1:6" x14ac:dyDescent="0.35">
      <c r="A4820" s="3">
        <v>77237268729</v>
      </c>
      <c r="B4820" s="3">
        <v>209</v>
      </c>
      <c r="C4820" s="32">
        <v>49288</v>
      </c>
      <c r="D4820" s="32" t="s">
        <v>87</v>
      </c>
      <c r="E48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1" spans="1:6" x14ac:dyDescent="0.35">
      <c r="A4821" s="3">
        <v>69763408954</v>
      </c>
      <c r="B4821" s="3">
        <v>186</v>
      </c>
      <c r="C4821" s="32">
        <v>49288</v>
      </c>
      <c r="D4821" s="32" t="s">
        <v>87</v>
      </c>
      <c r="E48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2" spans="1:6" x14ac:dyDescent="0.35">
      <c r="A4822" s="3">
        <v>84658836221</v>
      </c>
      <c r="B4822" s="3">
        <v>333</v>
      </c>
      <c r="C4822" s="32">
        <v>49288</v>
      </c>
      <c r="D4822" s="32" t="s">
        <v>87</v>
      </c>
      <c r="E48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3" spans="1:6" x14ac:dyDescent="0.35">
      <c r="A4823" s="3">
        <v>94512958895</v>
      </c>
      <c r="B4823" s="3">
        <v>163</v>
      </c>
      <c r="C4823" s="32">
        <v>49288</v>
      </c>
      <c r="D4823" s="32" t="s">
        <v>87</v>
      </c>
      <c r="E48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4" spans="1:6" x14ac:dyDescent="0.35">
      <c r="A4824" s="3">
        <v>73473222872</v>
      </c>
      <c r="B4824" s="3">
        <v>102</v>
      </c>
      <c r="C4824" s="32">
        <v>49289</v>
      </c>
      <c r="D4824" s="32"/>
      <c r="E48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5" spans="1:6" x14ac:dyDescent="0.35">
      <c r="A4825" s="3">
        <v>91269555345</v>
      </c>
      <c r="B4825" s="3">
        <v>94</v>
      </c>
      <c r="C4825" s="32">
        <v>49289</v>
      </c>
      <c r="D4825" s="32"/>
      <c r="E48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6" spans="1:6" x14ac:dyDescent="0.35">
      <c r="A4826" s="3">
        <v>97974477780</v>
      </c>
      <c r="B4826" s="3">
        <v>209</v>
      </c>
      <c r="C4826" s="32">
        <v>49289</v>
      </c>
      <c r="D4826" s="32"/>
      <c r="E48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7" spans="1:6" x14ac:dyDescent="0.35">
      <c r="A4827" s="3">
        <v>51273908941</v>
      </c>
      <c r="B4827" s="3">
        <v>165</v>
      </c>
      <c r="C4827" s="32">
        <v>49289</v>
      </c>
      <c r="D4827" s="32">
        <v>49304</v>
      </c>
      <c r="E48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828" spans="1:6" x14ac:dyDescent="0.35">
      <c r="A4828" s="3">
        <v>15676270117</v>
      </c>
      <c r="B4828" s="3">
        <v>197</v>
      </c>
      <c r="C4828" s="32">
        <v>49289</v>
      </c>
      <c r="D4828" s="32" t="s">
        <v>87</v>
      </c>
      <c r="E48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9" spans="1:6" x14ac:dyDescent="0.35">
      <c r="A4829" s="3">
        <v>62258984065</v>
      </c>
      <c r="B4829" s="3">
        <v>150</v>
      </c>
      <c r="C4829" s="32">
        <v>49289</v>
      </c>
      <c r="D4829" s="32" t="s">
        <v>87</v>
      </c>
      <c r="E48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0" spans="1:6" x14ac:dyDescent="0.35">
      <c r="A4830" s="3">
        <v>19718489784</v>
      </c>
      <c r="B4830" s="3">
        <v>315</v>
      </c>
      <c r="C4830" s="32">
        <v>49289</v>
      </c>
      <c r="D4830" s="32" t="s">
        <v>87</v>
      </c>
      <c r="E48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1" spans="1:6" x14ac:dyDescent="0.35">
      <c r="A4831" s="3">
        <v>53337374474</v>
      </c>
      <c r="B4831" s="3">
        <v>2</v>
      </c>
      <c r="C4831" s="32">
        <v>49289</v>
      </c>
      <c r="D4831" s="32" t="s">
        <v>87</v>
      </c>
      <c r="E48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2" spans="1:6" x14ac:dyDescent="0.35">
      <c r="A4832" s="3">
        <v>82355298411</v>
      </c>
      <c r="B4832" s="3">
        <v>43</v>
      </c>
      <c r="C4832" s="32">
        <v>49289</v>
      </c>
      <c r="D4832" s="32" t="s">
        <v>87</v>
      </c>
      <c r="E48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3" spans="1:6" x14ac:dyDescent="0.35">
      <c r="A4833" s="3">
        <v>67218090009</v>
      </c>
      <c r="B4833" s="3">
        <v>244</v>
      </c>
      <c r="C4833" s="32">
        <v>49289</v>
      </c>
      <c r="D4833" s="32" t="s">
        <v>87</v>
      </c>
      <c r="E48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4" spans="1:6" x14ac:dyDescent="0.35">
      <c r="A4834" s="3">
        <v>18084815528</v>
      </c>
      <c r="B4834" s="3">
        <v>299</v>
      </c>
      <c r="C4834" s="32">
        <v>49289</v>
      </c>
      <c r="D4834" s="32" t="s">
        <v>87</v>
      </c>
      <c r="E48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5" spans="1:6" x14ac:dyDescent="0.35">
      <c r="A4835" s="3">
        <v>69289260156</v>
      </c>
      <c r="B4835" s="3">
        <v>88</v>
      </c>
      <c r="C4835" s="32">
        <v>49289</v>
      </c>
      <c r="D4835" s="32" t="s">
        <v>87</v>
      </c>
      <c r="E48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6" spans="1:6" x14ac:dyDescent="0.35">
      <c r="A4836" s="3">
        <v>81478573686</v>
      </c>
      <c r="B4836" s="3">
        <v>194</v>
      </c>
      <c r="C4836" s="32">
        <v>49289</v>
      </c>
      <c r="D4836" s="32">
        <v>49314</v>
      </c>
      <c r="E48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837" spans="1:6" x14ac:dyDescent="0.35">
      <c r="A4837" s="3">
        <v>48403205482</v>
      </c>
      <c r="B4837" s="3">
        <v>181</v>
      </c>
      <c r="C4837" s="32">
        <v>49289</v>
      </c>
      <c r="D4837" s="32"/>
      <c r="E48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8" spans="1:6" x14ac:dyDescent="0.35">
      <c r="A4838" s="3">
        <v>89457011735</v>
      </c>
      <c r="B4838" s="3">
        <v>111</v>
      </c>
      <c r="C4838" s="32">
        <v>49289</v>
      </c>
      <c r="D4838" s="32" t="s">
        <v>87</v>
      </c>
      <c r="E48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9" spans="1:6" x14ac:dyDescent="0.35">
      <c r="A4839" s="3">
        <v>93655386284</v>
      </c>
      <c r="B4839" s="3">
        <v>200</v>
      </c>
      <c r="C4839" s="32">
        <v>49289</v>
      </c>
      <c r="D4839" s="32" t="s">
        <v>87</v>
      </c>
      <c r="E48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0" spans="1:6" x14ac:dyDescent="0.35">
      <c r="A4840" s="3">
        <v>93666109530</v>
      </c>
      <c r="B4840" s="3">
        <v>47</v>
      </c>
      <c r="C4840" s="32">
        <v>49289</v>
      </c>
      <c r="D4840" s="32">
        <v>49354</v>
      </c>
      <c r="E48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841" spans="1:6" x14ac:dyDescent="0.35">
      <c r="A4841" s="3">
        <v>94597161683</v>
      </c>
      <c r="B4841" s="3">
        <v>191</v>
      </c>
      <c r="C4841" s="32">
        <v>49289</v>
      </c>
      <c r="D4841" s="32" t="s">
        <v>87</v>
      </c>
      <c r="E48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2" spans="1:6" x14ac:dyDescent="0.35">
      <c r="A4842" s="3">
        <v>29072726826</v>
      </c>
      <c r="B4842" s="3">
        <v>11</v>
      </c>
      <c r="C4842" s="32">
        <v>49289</v>
      </c>
      <c r="D4842" s="32"/>
      <c r="E48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3" spans="1:6" x14ac:dyDescent="0.35">
      <c r="A4843" s="3">
        <v>79264027970</v>
      </c>
      <c r="B4843" s="3">
        <v>313</v>
      </c>
      <c r="C4843" s="32">
        <v>49289</v>
      </c>
      <c r="D4843" s="32" t="s">
        <v>87</v>
      </c>
      <c r="E48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4" spans="1:6" x14ac:dyDescent="0.35">
      <c r="A4844" s="3">
        <v>53888539800</v>
      </c>
      <c r="B4844" s="3">
        <v>132</v>
      </c>
      <c r="C4844" s="32">
        <v>49289</v>
      </c>
      <c r="D4844" s="32" t="s">
        <v>87</v>
      </c>
      <c r="E48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5" spans="1:6" x14ac:dyDescent="0.35">
      <c r="A4845" s="3">
        <v>66448519322</v>
      </c>
      <c r="B4845" s="3">
        <v>89</v>
      </c>
      <c r="C4845" s="32">
        <v>49289</v>
      </c>
      <c r="D4845" s="32" t="s">
        <v>87</v>
      </c>
      <c r="E48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6" spans="1:6" x14ac:dyDescent="0.35">
      <c r="A4846" s="3">
        <v>62242452883</v>
      </c>
      <c r="B4846" s="3">
        <v>305</v>
      </c>
      <c r="C4846" s="32">
        <v>49289</v>
      </c>
      <c r="D4846" s="32" t="s">
        <v>87</v>
      </c>
      <c r="E48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7" spans="1:6" x14ac:dyDescent="0.35">
      <c r="A4847" s="3">
        <v>68511039532</v>
      </c>
      <c r="B4847" s="3">
        <v>245</v>
      </c>
      <c r="C4847" s="32">
        <v>49289</v>
      </c>
      <c r="D4847" s="32">
        <v>49342</v>
      </c>
      <c r="E48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848" spans="1:6" x14ac:dyDescent="0.35">
      <c r="A4848" s="3">
        <v>70474663296</v>
      </c>
      <c r="B4848" s="3">
        <v>181</v>
      </c>
      <c r="C4848" s="32">
        <v>49289</v>
      </c>
      <c r="D4848" s="32" t="s">
        <v>87</v>
      </c>
      <c r="E48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9" spans="1:6" x14ac:dyDescent="0.35">
      <c r="A4849" s="3">
        <v>98978675041</v>
      </c>
      <c r="B4849" s="3">
        <v>151</v>
      </c>
      <c r="C4849" s="32">
        <v>49289</v>
      </c>
      <c r="D4849" s="32" t="s">
        <v>87</v>
      </c>
      <c r="E48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0" spans="1:6" x14ac:dyDescent="0.35">
      <c r="A4850" s="3">
        <v>19896940018</v>
      </c>
      <c r="B4850" s="3">
        <v>268</v>
      </c>
      <c r="C4850" s="32">
        <v>49289</v>
      </c>
      <c r="D4850" s="32"/>
      <c r="E48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1" spans="1:6" x14ac:dyDescent="0.35">
      <c r="A4851" s="3">
        <v>46907775770</v>
      </c>
      <c r="B4851" s="3">
        <v>331</v>
      </c>
      <c r="C4851" s="32">
        <v>49289</v>
      </c>
      <c r="D4851" s="32" t="s">
        <v>87</v>
      </c>
      <c r="E48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2" spans="1:6" x14ac:dyDescent="0.35">
      <c r="A4852" s="3">
        <v>31691124756</v>
      </c>
      <c r="B4852" s="3">
        <v>33</v>
      </c>
      <c r="C4852" s="32">
        <v>49289</v>
      </c>
      <c r="D4852" s="32">
        <v>49341</v>
      </c>
      <c r="E48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853" spans="1:6" x14ac:dyDescent="0.35">
      <c r="A4853" s="3">
        <v>82729495442</v>
      </c>
      <c r="B4853" s="3">
        <v>207</v>
      </c>
      <c r="C4853" s="32">
        <v>49289</v>
      </c>
      <c r="D4853" s="32" t="s">
        <v>87</v>
      </c>
      <c r="E48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4" spans="1:6" x14ac:dyDescent="0.35">
      <c r="A4854" s="3">
        <v>92224292269</v>
      </c>
      <c r="B4854" s="3">
        <v>265</v>
      </c>
      <c r="C4854" s="32">
        <v>49289</v>
      </c>
      <c r="D4854" s="32" t="s">
        <v>87</v>
      </c>
      <c r="E48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5" spans="1:6" x14ac:dyDescent="0.35">
      <c r="A4855" s="3">
        <v>76876157807</v>
      </c>
      <c r="B4855" s="3">
        <v>0</v>
      </c>
      <c r="C4855" s="32">
        <v>49289</v>
      </c>
      <c r="D4855" s="32" t="s">
        <v>87</v>
      </c>
      <c r="E48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6" spans="1:6" x14ac:dyDescent="0.35">
      <c r="A4856" s="3">
        <v>90996591988</v>
      </c>
      <c r="B4856" s="3">
        <v>106</v>
      </c>
      <c r="C4856" s="32">
        <v>49289</v>
      </c>
      <c r="D4856" s="32" t="s">
        <v>87</v>
      </c>
      <c r="E48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7" spans="1:6" x14ac:dyDescent="0.35">
      <c r="A4857" s="3">
        <v>85898961873</v>
      </c>
      <c r="B4857" s="3">
        <v>251</v>
      </c>
      <c r="C4857" s="32">
        <v>49289</v>
      </c>
      <c r="D4857" s="32" t="s">
        <v>87</v>
      </c>
      <c r="E48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8" spans="1:6" x14ac:dyDescent="0.35">
      <c r="A4858" s="3">
        <v>64188906048</v>
      </c>
      <c r="B4858" s="3">
        <v>317</v>
      </c>
      <c r="C4858" s="32">
        <v>49290</v>
      </c>
      <c r="D4858" s="32" t="s">
        <v>87</v>
      </c>
      <c r="E48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9" spans="1:6" x14ac:dyDescent="0.35">
      <c r="A4859" s="3">
        <v>40370269414</v>
      </c>
      <c r="B4859" s="3">
        <v>229</v>
      </c>
      <c r="C4859" s="32">
        <v>49290</v>
      </c>
      <c r="D4859" s="32" t="s">
        <v>87</v>
      </c>
      <c r="E48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0" spans="1:6" x14ac:dyDescent="0.35">
      <c r="A4860" s="3">
        <v>57207028697</v>
      </c>
      <c r="B4860" s="3">
        <v>187</v>
      </c>
      <c r="C4860" s="32">
        <v>49290</v>
      </c>
      <c r="D4860" s="32"/>
      <c r="E48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1" spans="1:6" x14ac:dyDescent="0.35">
      <c r="A4861" s="3">
        <v>22188566181</v>
      </c>
      <c r="B4861" s="3">
        <v>319</v>
      </c>
      <c r="C4861" s="32">
        <v>49290</v>
      </c>
      <c r="D4861" s="32" t="s">
        <v>87</v>
      </c>
      <c r="E48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2" spans="1:6" x14ac:dyDescent="0.35">
      <c r="A4862" s="3">
        <v>45844576408</v>
      </c>
      <c r="B4862" s="3">
        <v>45</v>
      </c>
      <c r="C4862" s="32">
        <v>49290</v>
      </c>
      <c r="D4862" s="32">
        <v>49306</v>
      </c>
      <c r="E48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863" spans="1:6" x14ac:dyDescent="0.35">
      <c r="A4863" s="3">
        <v>82770694494</v>
      </c>
      <c r="B4863" s="3">
        <v>208</v>
      </c>
      <c r="C4863" s="32">
        <v>49290</v>
      </c>
      <c r="D4863" s="32" t="s">
        <v>87</v>
      </c>
      <c r="E48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4" spans="1:6" x14ac:dyDescent="0.35">
      <c r="A4864" s="3">
        <v>43693426198</v>
      </c>
      <c r="B4864" s="3">
        <v>152</v>
      </c>
      <c r="C4864" s="32">
        <v>49290</v>
      </c>
      <c r="D4864" s="32" t="s">
        <v>87</v>
      </c>
      <c r="E48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5" spans="1:6" x14ac:dyDescent="0.35">
      <c r="A4865" s="3">
        <v>31519380359</v>
      </c>
      <c r="B4865" s="3">
        <v>109</v>
      </c>
      <c r="C4865" s="32">
        <v>49290</v>
      </c>
      <c r="D4865" s="32" t="s">
        <v>87</v>
      </c>
      <c r="E48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6" spans="1:6" x14ac:dyDescent="0.35">
      <c r="A4866" s="3">
        <v>67095919328</v>
      </c>
      <c r="B4866" s="3">
        <v>30</v>
      </c>
      <c r="C4866" s="32">
        <v>49290</v>
      </c>
      <c r="D4866" s="32" t="s">
        <v>87</v>
      </c>
      <c r="E48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7" spans="1:6" x14ac:dyDescent="0.35">
      <c r="A4867" s="3">
        <v>56224881839</v>
      </c>
      <c r="B4867" s="3">
        <v>76</v>
      </c>
      <c r="C4867" s="32">
        <v>49290</v>
      </c>
      <c r="D4867" s="32" t="s">
        <v>87</v>
      </c>
      <c r="E48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8" spans="1:6" x14ac:dyDescent="0.35">
      <c r="A4868" s="3">
        <v>24881288795</v>
      </c>
      <c r="B4868" s="3">
        <v>210</v>
      </c>
      <c r="C4868" s="32">
        <v>49290</v>
      </c>
      <c r="D4868" s="32" t="s">
        <v>87</v>
      </c>
      <c r="E48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9" spans="1:6" x14ac:dyDescent="0.35">
      <c r="A4869" s="3">
        <v>91790158998</v>
      </c>
      <c r="B4869" s="3">
        <v>259</v>
      </c>
      <c r="C4869" s="32">
        <v>49290</v>
      </c>
      <c r="D4869" s="32" t="s">
        <v>87</v>
      </c>
      <c r="E48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0" spans="1:6" x14ac:dyDescent="0.35">
      <c r="A4870" s="3">
        <v>93545976013</v>
      </c>
      <c r="B4870" s="3">
        <v>66</v>
      </c>
      <c r="C4870" s="32">
        <v>49290</v>
      </c>
      <c r="D4870" s="32" t="s">
        <v>87</v>
      </c>
      <c r="E48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1" spans="1:6" x14ac:dyDescent="0.35">
      <c r="A4871" s="3">
        <v>19498868047</v>
      </c>
      <c r="B4871" s="3">
        <v>290</v>
      </c>
      <c r="C4871" s="32">
        <v>49290</v>
      </c>
      <c r="D4871" s="32" t="s">
        <v>87</v>
      </c>
      <c r="E48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2" spans="1:6" x14ac:dyDescent="0.35">
      <c r="A4872" s="3">
        <v>51158109537</v>
      </c>
      <c r="B4872" s="3">
        <v>270</v>
      </c>
      <c r="C4872" s="32">
        <v>49290</v>
      </c>
      <c r="D4872" s="32" t="s">
        <v>87</v>
      </c>
      <c r="E48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3" spans="1:6" x14ac:dyDescent="0.35">
      <c r="A4873" s="3">
        <v>81087578333</v>
      </c>
      <c r="B4873" s="3">
        <v>97</v>
      </c>
      <c r="C4873" s="32">
        <v>49290</v>
      </c>
      <c r="D4873" s="32">
        <v>49320</v>
      </c>
      <c r="E48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874" spans="1:6" x14ac:dyDescent="0.35">
      <c r="A4874" s="3">
        <v>36069797324</v>
      </c>
      <c r="B4874" s="3">
        <v>239</v>
      </c>
      <c r="C4874" s="32">
        <v>49290</v>
      </c>
      <c r="D4874" s="32">
        <v>49325</v>
      </c>
      <c r="E48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875" spans="1:6" x14ac:dyDescent="0.35">
      <c r="A4875" s="3">
        <v>93511905006</v>
      </c>
      <c r="B4875" s="3">
        <v>66</v>
      </c>
      <c r="C4875" s="32">
        <v>49290</v>
      </c>
      <c r="D4875" s="32" t="s">
        <v>87</v>
      </c>
      <c r="E48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6" spans="1:6" x14ac:dyDescent="0.35">
      <c r="A4876" s="3">
        <v>50201695511</v>
      </c>
      <c r="B4876" s="3">
        <v>226</v>
      </c>
      <c r="C4876" s="32">
        <v>49290</v>
      </c>
      <c r="D4876" s="32" t="s">
        <v>87</v>
      </c>
      <c r="E48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7" spans="1:6" x14ac:dyDescent="0.35">
      <c r="A4877" s="3">
        <v>69942340913</v>
      </c>
      <c r="B4877" s="3">
        <v>228</v>
      </c>
      <c r="C4877" s="32">
        <v>49290</v>
      </c>
      <c r="D4877" s="32" t="s">
        <v>87</v>
      </c>
      <c r="E48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8" spans="1:6" x14ac:dyDescent="0.35">
      <c r="A4878" s="3">
        <v>49760735004</v>
      </c>
      <c r="B4878" s="3">
        <v>280</v>
      </c>
      <c r="C4878" s="32">
        <v>49290</v>
      </c>
      <c r="D4878" s="32" t="s">
        <v>87</v>
      </c>
      <c r="E48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9" spans="1:6" x14ac:dyDescent="0.35">
      <c r="A4879" s="3">
        <v>50956431491</v>
      </c>
      <c r="B4879" s="3">
        <v>337</v>
      </c>
      <c r="C4879" s="32">
        <v>49290</v>
      </c>
      <c r="D4879" s="32" t="s">
        <v>87</v>
      </c>
      <c r="E48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0" spans="1:6" x14ac:dyDescent="0.35">
      <c r="A4880" s="3">
        <v>81242527944</v>
      </c>
      <c r="B4880" s="3">
        <v>128</v>
      </c>
      <c r="C4880" s="32">
        <v>49290</v>
      </c>
      <c r="D4880" s="32" t="s">
        <v>87</v>
      </c>
      <c r="E48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1" spans="1:6" x14ac:dyDescent="0.35">
      <c r="A4881" s="3">
        <v>38416894292</v>
      </c>
      <c r="B4881" s="3">
        <v>232</v>
      </c>
      <c r="C4881" s="32">
        <v>49290</v>
      </c>
      <c r="D4881" s="32" t="s">
        <v>87</v>
      </c>
      <c r="E48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2" spans="1:6" x14ac:dyDescent="0.35">
      <c r="A4882" s="3">
        <v>28754448701</v>
      </c>
      <c r="B4882" s="3">
        <v>107</v>
      </c>
      <c r="C4882" s="32">
        <v>49290</v>
      </c>
      <c r="D4882" s="32" t="s">
        <v>87</v>
      </c>
      <c r="E48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3" spans="1:6" x14ac:dyDescent="0.35">
      <c r="A4883" s="3">
        <v>66071623790</v>
      </c>
      <c r="B4883" s="3">
        <v>197</v>
      </c>
      <c r="C4883" s="32">
        <v>49290</v>
      </c>
      <c r="D4883" s="32" t="s">
        <v>87</v>
      </c>
      <c r="E48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4" spans="1:6" x14ac:dyDescent="0.35">
      <c r="A4884" s="3">
        <v>24741280635</v>
      </c>
      <c r="B4884" s="3">
        <v>77</v>
      </c>
      <c r="C4884" s="32">
        <v>49290</v>
      </c>
      <c r="D4884" s="32" t="s">
        <v>87</v>
      </c>
      <c r="E48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5" spans="1:6" x14ac:dyDescent="0.35">
      <c r="A4885" s="3">
        <v>69175897612</v>
      </c>
      <c r="B4885" s="3">
        <v>169</v>
      </c>
      <c r="C4885" s="32">
        <v>49290</v>
      </c>
      <c r="D4885" s="32"/>
      <c r="E48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6" spans="1:6" x14ac:dyDescent="0.35">
      <c r="A4886" s="3">
        <v>13266344549</v>
      </c>
      <c r="B4886" s="3">
        <v>251</v>
      </c>
      <c r="C4886" s="32">
        <v>49290</v>
      </c>
      <c r="D4886" s="32" t="s">
        <v>87</v>
      </c>
      <c r="E48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7" spans="1:6" x14ac:dyDescent="0.35">
      <c r="A4887" s="3">
        <v>11479613922</v>
      </c>
      <c r="B4887" s="3">
        <v>130</v>
      </c>
      <c r="C4887" s="32">
        <v>49290</v>
      </c>
      <c r="D4887" s="32" t="s">
        <v>87</v>
      </c>
      <c r="E48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8" spans="1:6" x14ac:dyDescent="0.35">
      <c r="A4888" s="3">
        <v>37427260033</v>
      </c>
      <c r="B4888" s="3">
        <v>333</v>
      </c>
      <c r="C4888" s="32">
        <v>49290</v>
      </c>
      <c r="D4888" s="32" t="s">
        <v>87</v>
      </c>
      <c r="E48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9" spans="1:6" x14ac:dyDescent="0.35">
      <c r="A4889" s="3">
        <v>31516059321</v>
      </c>
      <c r="B4889" s="3">
        <v>23</v>
      </c>
      <c r="C4889" s="32">
        <v>49290</v>
      </c>
      <c r="D4889" s="32">
        <v>49348</v>
      </c>
      <c r="E48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890" spans="1:6" x14ac:dyDescent="0.35">
      <c r="A4890" s="3">
        <v>82613193378</v>
      </c>
      <c r="B4890" s="3">
        <v>298</v>
      </c>
      <c r="C4890" s="32">
        <v>49290</v>
      </c>
      <c r="D4890" s="32"/>
      <c r="E48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1" spans="1:6" x14ac:dyDescent="0.35">
      <c r="A4891" s="3">
        <v>45324662009</v>
      </c>
      <c r="B4891" s="3">
        <v>117</v>
      </c>
      <c r="C4891" s="32">
        <v>49290</v>
      </c>
      <c r="D4891" s="32" t="s">
        <v>87</v>
      </c>
      <c r="E48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2" spans="1:6" x14ac:dyDescent="0.35">
      <c r="A4892" s="3">
        <v>39349081060</v>
      </c>
      <c r="B4892" s="3">
        <v>103</v>
      </c>
      <c r="C4892" s="32">
        <v>49291</v>
      </c>
      <c r="D4892" s="32" t="s">
        <v>87</v>
      </c>
      <c r="E48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3" spans="1:6" x14ac:dyDescent="0.35">
      <c r="A4893" s="3">
        <v>12331855704</v>
      </c>
      <c r="B4893" s="3">
        <v>205</v>
      </c>
      <c r="C4893" s="32">
        <v>49291</v>
      </c>
      <c r="D4893" s="32"/>
      <c r="E48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4" spans="1:6" x14ac:dyDescent="0.35">
      <c r="A4894" s="3">
        <v>84791305666</v>
      </c>
      <c r="B4894" s="3">
        <v>221</v>
      </c>
      <c r="C4894" s="32">
        <v>49291</v>
      </c>
      <c r="D4894" s="32" t="s">
        <v>87</v>
      </c>
      <c r="E48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5" spans="1:6" x14ac:dyDescent="0.35">
      <c r="A4895" s="3">
        <v>22766035622</v>
      </c>
      <c r="B4895" s="3">
        <v>314</v>
      </c>
      <c r="C4895" s="32">
        <v>49291</v>
      </c>
      <c r="D4895" s="32" t="s">
        <v>87</v>
      </c>
      <c r="E48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6" spans="1:6" x14ac:dyDescent="0.35">
      <c r="A4896" s="3">
        <v>94133533028</v>
      </c>
      <c r="B4896" s="3">
        <v>147</v>
      </c>
      <c r="C4896" s="32">
        <v>49291</v>
      </c>
      <c r="D4896" s="32" t="s">
        <v>87</v>
      </c>
      <c r="E48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7" spans="1:6" x14ac:dyDescent="0.35">
      <c r="A4897" s="3">
        <v>45355634303</v>
      </c>
      <c r="B4897" s="3">
        <v>44</v>
      </c>
      <c r="C4897" s="32">
        <v>49291</v>
      </c>
      <c r="D4897" s="32" t="s">
        <v>87</v>
      </c>
      <c r="E48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8" spans="1:6" x14ac:dyDescent="0.35">
      <c r="A4898" s="3">
        <v>94226838621</v>
      </c>
      <c r="B4898" s="3">
        <v>134</v>
      </c>
      <c r="C4898" s="32">
        <v>49291</v>
      </c>
      <c r="D4898" s="32">
        <v>49361</v>
      </c>
      <c r="E48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899" spans="1:6" x14ac:dyDescent="0.35">
      <c r="A4899" s="3">
        <v>99483922545</v>
      </c>
      <c r="B4899" s="3">
        <v>63</v>
      </c>
      <c r="C4899" s="32">
        <v>49291</v>
      </c>
      <c r="D4899" s="32"/>
      <c r="E48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0" spans="1:6" x14ac:dyDescent="0.35">
      <c r="A4900" s="3">
        <v>82750417023</v>
      </c>
      <c r="B4900" s="3">
        <v>86</v>
      </c>
      <c r="C4900" s="32">
        <v>49291</v>
      </c>
      <c r="D4900" s="32" t="s">
        <v>87</v>
      </c>
      <c r="E49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1" spans="1:6" x14ac:dyDescent="0.35">
      <c r="A4901" s="3">
        <v>16404743736</v>
      </c>
      <c r="B4901" s="3">
        <v>69</v>
      </c>
      <c r="C4901" s="32">
        <v>49291</v>
      </c>
      <c r="D4901" s="32" t="s">
        <v>87</v>
      </c>
      <c r="E49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2" spans="1:6" x14ac:dyDescent="0.35">
      <c r="A4902" s="3">
        <v>91520417010</v>
      </c>
      <c r="B4902" s="3">
        <v>157</v>
      </c>
      <c r="C4902" s="32">
        <v>49291</v>
      </c>
      <c r="D4902" s="32" t="s">
        <v>87</v>
      </c>
      <c r="E49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3" spans="1:6" x14ac:dyDescent="0.35">
      <c r="A4903" s="3">
        <v>78513597040</v>
      </c>
      <c r="B4903" s="3">
        <v>167</v>
      </c>
      <c r="C4903" s="32">
        <v>49291</v>
      </c>
      <c r="D4903" s="32" t="s">
        <v>87</v>
      </c>
      <c r="E49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4" spans="1:6" x14ac:dyDescent="0.35">
      <c r="A4904" s="3">
        <v>23213399782</v>
      </c>
      <c r="B4904" s="3">
        <v>138</v>
      </c>
      <c r="C4904" s="32">
        <v>49291</v>
      </c>
      <c r="D4904" s="32" t="s">
        <v>87</v>
      </c>
      <c r="E49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5" spans="1:6" x14ac:dyDescent="0.35">
      <c r="A4905" s="3">
        <v>68197353888</v>
      </c>
      <c r="B4905" s="3">
        <v>26</v>
      </c>
      <c r="C4905" s="32">
        <v>49291</v>
      </c>
      <c r="D4905" s="32">
        <v>49356</v>
      </c>
      <c r="E49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906" spans="1:6" x14ac:dyDescent="0.35">
      <c r="A4906" s="3">
        <v>16015018581</v>
      </c>
      <c r="B4906" s="3">
        <v>310</v>
      </c>
      <c r="C4906" s="32">
        <v>49291</v>
      </c>
      <c r="D4906" s="32" t="s">
        <v>87</v>
      </c>
      <c r="E49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7" spans="1:6" x14ac:dyDescent="0.35">
      <c r="A4907" s="3">
        <v>40328880497</v>
      </c>
      <c r="B4907" s="3">
        <v>263</v>
      </c>
      <c r="C4907" s="32">
        <v>49291</v>
      </c>
      <c r="D4907" s="32" t="s">
        <v>87</v>
      </c>
      <c r="E49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8" spans="1:6" x14ac:dyDescent="0.35">
      <c r="A4908" s="3">
        <v>23470141503</v>
      </c>
      <c r="B4908" s="3">
        <v>52</v>
      </c>
      <c r="C4908" s="32">
        <v>49291</v>
      </c>
      <c r="D4908" s="32">
        <v>49320</v>
      </c>
      <c r="E49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09" spans="1:6" x14ac:dyDescent="0.35">
      <c r="A4909" s="3">
        <v>16700633181</v>
      </c>
      <c r="B4909" s="3">
        <v>163</v>
      </c>
      <c r="C4909" s="32">
        <v>49291</v>
      </c>
      <c r="D4909" s="32" t="s">
        <v>87</v>
      </c>
      <c r="E49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0" spans="1:6" x14ac:dyDescent="0.35">
      <c r="A4910" s="3">
        <v>47360610316</v>
      </c>
      <c r="B4910" s="3">
        <v>104</v>
      </c>
      <c r="C4910" s="32">
        <v>49291</v>
      </c>
      <c r="D4910" s="32" t="s">
        <v>87</v>
      </c>
      <c r="E49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1" spans="1:6" x14ac:dyDescent="0.35">
      <c r="A4911" s="3">
        <v>37407010596</v>
      </c>
      <c r="B4911" s="3">
        <v>45</v>
      </c>
      <c r="C4911" s="32">
        <v>49291</v>
      </c>
      <c r="D4911" s="32" t="s">
        <v>87</v>
      </c>
      <c r="E49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2" spans="1:6" x14ac:dyDescent="0.35">
      <c r="A4912" s="3">
        <v>31278872160</v>
      </c>
      <c r="B4912" s="3">
        <v>249</v>
      </c>
      <c r="C4912" s="32">
        <v>49291</v>
      </c>
      <c r="D4912" s="32" t="s">
        <v>87</v>
      </c>
      <c r="E49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3" spans="1:6" x14ac:dyDescent="0.35">
      <c r="A4913" s="3">
        <v>11921203685</v>
      </c>
      <c r="B4913" s="3">
        <v>159</v>
      </c>
      <c r="C4913" s="32">
        <v>49291</v>
      </c>
      <c r="D4913" s="32" t="s">
        <v>87</v>
      </c>
      <c r="E49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4" spans="1:6" x14ac:dyDescent="0.35">
      <c r="A4914" s="3">
        <v>12994658170</v>
      </c>
      <c r="B4914" s="3">
        <v>252</v>
      </c>
      <c r="C4914" s="32">
        <v>49291</v>
      </c>
      <c r="D4914" s="32" t="s">
        <v>87</v>
      </c>
      <c r="E49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5" spans="1:6" x14ac:dyDescent="0.35">
      <c r="A4915" s="3">
        <v>54851675737</v>
      </c>
      <c r="B4915" s="3">
        <v>177</v>
      </c>
      <c r="C4915" s="32">
        <v>49291</v>
      </c>
      <c r="D4915" s="32"/>
      <c r="E49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6" spans="1:6" x14ac:dyDescent="0.35">
      <c r="A4916" s="3">
        <v>60089707743</v>
      </c>
      <c r="B4916" s="3">
        <v>213</v>
      </c>
      <c r="C4916" s="32">
        <v>49292</v>
      </c>
      <c r="D4916" s="32" t="s">
        <v>87</v>
      </c>
      <c r="E49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7" spans="1:6" x14ac:dyDescent="0.35">
      <c r="A4917" s="3">
        <v>57858732645</v>
      </c>
      <c r="B4917" s="3">
        <v>74</v>
      </c>
      <c r="C4917" s="32">
        <v>49292</v>
      </c>
      <c r="D4917" s="32" t="s">
        <v>87</v>
      </c>
      <c r="E49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8" spans="1:6" x14ac:dyDescent="0.35">
      <c r="A4918" s="3">
        <v>34466583005</v>
      </c>
      <c r="B4918" s="3">
        <v>35</v>
      </c>
      <c r="C4918" s="32">
        <v>49292</v>
      </c>
      <c r="D4918" s="32" t="s">
        <v>87</v>
      </c>
      <c r="E49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9" spans="1:6" x14ac:dyDescent="0.35">
      <c r="A4919" s="3">
        <v>62242795105</v>
      </c>
      <c r="B4919" s="3">
        <v>190</v>
      </c>
      <c r="C4919" s="32">
        <v>49292</v>
      </c>
      <c r="D4919" s="32" t="s">
        <v>87</v>
      </c>
      <c r="E49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0" spans="1:6" x14ac:dyDescent="0.35">
      <c r="A4920" s="3">
        <v>90279275238</v>
      </c>
      <c r="B4920" s="3">
        <v>167</v>
      </c>
      <c r="C4920" s="32">
        <v>49292</v>
      </c>
      <c r="D4920" s="32">
        <v>49312</v>
      </c>
      <c r="E49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21" spans="1:6" x14ac:dyDescent="0.35">
      <c r="A4921" s="3">
        <v>35332700767</v>
      </c>
      <c r="B4921" s="3">
        <v>106</v>
      </c>
      <c r="C4921" s="32">
        <v>49292</v>
      </c>
      <c r="D4921" s="32" t="s">
        <v>87</v>
      </c>
      <c r="E49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2" spans="1:6" x14ac:dyDescent="0.35">
      <c r="A4922" s="3">
        <v>18656715016</v>
      </c>
      <c r="B4922" s="3">
        <v>279</v>
      </c>
      <c r="C4922" s="32">
        <v>49292</v>
      </c>
      <c r="D4922" s="32" t="s">
        <v>87</v>
      </c>
      <c r="E49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3" spans="1:6" x14ac:dyDescent="0.35">
      <c r="A4923" s="3">
        <v>32143328342</v>
      </c>
      <c r="B4923" s="3">
        <v>260</v>
      </c>
      <c r="C4923" s="32">
        <v>49292</v>
      </c>
      <c r="D4923" s="32" t="s">
        <v>87</v>
      </c>
      <c r="E49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4" spans="1:6" x14ac:dyDescent="0.35">
      <c r="A4924" s="3">
        <v>81980117413</v>
      </c>
      <c r="B4924" s="3">
        <v>290</v>
      </c>
      <c r="C4924" s="32">
        <v>49292</v>
      </c>
      <c r="D4924" s="32" t="s">
        <v>87</v>
      </c>
      <c r="E49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5" spans="1:6" x14ac:dyDescent="0.35">
      <c r="A4925" s="3">
        <v>90978013432</v>
      </c>
      <c r="B4925" s="3">
        <v>196</v>
      </c>
      <c r="C4925" s="32">
        <v>49292</v>
      </c>
      <c r="D4925" s="32" t="s">
        <v>87</v>
      </c>
      <c r="E49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6" spans="1:6" x14ac:dyDescent="0.35">
      <c r="A4926" s="3">
        <v>93383770751</v>
      </c>
      <c r="B4926" s="3">
        <v>48</v>
      </c>
      <c r="C4926" s="32">
        <v>49292</v>
      </c>
      <c r="D4926" s="32" t="s">
        <v>87</v>
      </c>
      <c r="E49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7" spans="1:6" x14ac:dyDescent="0.35">
      <c r="A4927" s="3">
        <v>53714767843</v>
      </c>
      <c r="B4927" s="3">
        <v>320</v>
      </c>
      <c r="C4927" s="32">
        <v>49292</v>
      </c>
      <c r="D4927" s="32" t="s">
        <v>87</v>
      </c>
      <c r="E49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8" spans="1:6" x14ac:dyDescent="0.35">
      <c r="A4928" s="3">
        <v>76030363599</v>
      </c>
      <c r="B4928" s="3">
        <v>156</v>
      </c>
      <c r="C4928" s="32">
        <v>49292</v>
      </c>
      <c r="D4928" s="32" t="s">
        <v>87</v>
      </c>
      <c r="E49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9" spans="1:6" x14ac:dyDescent="0.35">
      <c r="A4929" s="3">
        <v>59412640239</v>
      </c>
      <c r="B4929" s="3">
        <v>268</v>
      </c>
      <c r="C4929" s="32">
        <v>49292</v>
      </c>
      <c r="D4929" s="32">
        <v>49329</v>
      </c>
      <c r="E49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30" spans="1:6" x14ac:dyDescent="0.35">
      <c r="A4930" s="3">
        <v>34655659862</v>
      </c>
      <c r="B4930" s="3">
        <v>112</v>
      </c>
      <c r="C4930" s="32">
        <v>49292</v>
      </c>
      <c r="D4930" s="32" t="s">
        <v>87</v>
      </c>
      <c r="E49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1" spans="1:6" x14ac:dyDescent="0.35">
      <c r="A4931" s="3">
        <v>51371238767</v>
      </c>
      <c r="B4931" s="3">
        <v>39</v>
      </c>
      <c r="C4931" s="32">
        <v>49292</v>
      </c>
      <c r="D4931" s="32">
        <v>49357</v>
      </c>
      <c r="E49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932" spans="1:6" x14ac:dyDescent="0.35">
      <c r="A4932" s="3">
        <v>17618714794</v>
      </c>
      <c r="B4932" s="3">
        <v>104</v>
      </c>
      <c r="C4932" s="32">
        <v>49292</v>
      </c>
      <c r="D4932" s="32" t="s">
        <v>87</v>
      </c>
      <c r="E49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3" spans="1:6" x14ac:dyDescent="0.35">
      <c r="A4933" s="3">
        <v>69681313863</v>
      </c>
      <c r="B4933" s="3">
        <v>175</v>
      </c>
      <c r="C4933" s="32">
        <v>49292</v>
      </c>
      <c r="D4933" s="32" t="s">
        <v>87</v>
      </c>
      <c r="E49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4" spans="1:6" x14ac:dyDescent="0.35">
      <c r="A4934" s="3">
        <v>31188933687</v>
      </c>
      <c r="B4934" s="3">
        <v>161</v>
      </c>
      <c r="C4934" s="32">
        <v>49292</v>
      </c>
      <c r="D4934" s="32"/>
      <c r="E49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5" spans="1:6" x14ac:dyDescent="0.35">
      <c r="A4935" s="3">
        <v>76413684942</v>
      </c>
      <c r="B4935" s="3">
        <v>24</v>
      </c>
      <c r="C4935" s="32">
        <v>49292</v>
      </c>
      <c r="D4935" s="32" t="s">
        <v>87</v>
      </c>
      <c r="E49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6" spans="1:6" x14ac:dyDescent="0.35">
      <c r="A4936" s="3">
        <v>83360234057</v>
      </c>
      <c r="B4936" s="3">
        <v>262</v>
      </c>
      <c r="C4936" s="32">
        <v>49293</v>
      </c>
      <c r="D4936" s="32" t="s">
        <v>87</v>
      </c>
      <c r="E49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7" spans="1:6" x14ac:dyDescent="0.35">
      <c r="A4937" s="3">
        <v>26272800348</v>
      </c>
      <c r="B4937" s="3">
        <v>281</v>
      </c>
      <c r="C4937" s="32">
        <v>49293</v>
      </c>
      <c r="D4937" s="32" t="s">
        <v>87</v>
      </c>
      <c r="E49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8" spans="1:6" x14ac:dyDescent="0.35">
      <c r="A4938" s="3">
        <v>98255614921</v>
      </c>
      <c r="B4938" s="3">
        <v>132</v>
      </c>
      <c r="C4938" s="32">
        <v>49293</v>
      </c>
      <c r="D4938" s="32" t="s">
        <v>87</v>
      </c>
      <c r="E49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9" spans="1:6" x14ac:dyDescent="0.35">
      <c r="A4939" s="3">
        <v>12201631892</v>
      </c>
      <c r="B4939" s="3">
        <v>104</v>
      </c>
      <c r="C4939" s="32">
        <v>49293</v>
      </c>
      <c r="D4939" s="32" t="s">
        <v>87</v>
      </c>
      <c r="E49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0" spans="1:6" x14ac:dyDescent="0.35">
      <c r="A4940" s="3">
        <v>97740523555</v>
      </c>
      <c r="B4940" s="3">
        <v>142</v>
      </c>
      <c r="C4940" s="32">
        <v>49293</v>
      </c>
      <c r="D4940" s="32"/>
      <c r="E49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1" spans="1:6" x14ac:dyDescent="0.35">
      <c r="A4941" s="3">
        <v>36989729625</v>
      </c>
      <c r="B4941" s="3">
        <v>207</v>
      </c>
      <c r="C4941" s="32">
        <v>49293</v>
      </c>
      <c r="D4941" s="32" t="s">
        <v>87</v>
      </c>
      <c r="E49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2" spans="1:6" x14ac:dyDescent="0.35">
      <c r="A4942" s="3">
        <v>22130255998</v>
      </c>
      <c r="B4942" s="3">
        <v>187</v>
      </c>
      <c r="C4942" s="32">
        <v>49293</v>
      </c>
      <c r="D4942" s="32" t="s">
        <v>87</v>
      </c>
      <c r="E49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3" spans="1:6" x14ac:dyDescent="0.35">
      <c r="A4943" s="3">
        <v>45016170733</v>
      </c>
      <c r="B4943" s="3">
        <v>308</v>
      </c>
      <c r="C4943" s="32">
        <v>49293</v>
      </c>
      <c r="D4943" s="32" t="s">
        <v>87</v>
      </c>
      <c r="E49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4" spans="1:6" x14ac:dyDescent="0.35">
      <c r="A4944" s="3">
        <v>53463248774</v>
      </c>
      <c r="B4944" s="3">
        <v>302</v>
      </c>
      <c r="C4944" s="32">
        <v>49293</v>
      </c>
      <c r="D4944" s="32" t="s">
        <v>87</v>
      </c>
      <c r="E49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5" spans="1:6" x14ac:dyDescent="0.35">
      <c r="A4945" s="3">
        <v>48182709087</v>
      </c>
      <c r="B4945" s="3">
        <v>168</v>
      </c>
      <c r="C4945" s="32">
        <v>49293</v>
      </c>
      <c r="D4945" s="32" t="s">
        <v>87</v>
      </c>
      <c r="E49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6" spans="1:6" x14ac:dyDescent="0.35">
      <c r="A4946" s="3">
        <v>58347553774</v>
      </c>
      <c r="B4946" s="3">
        <v>263</v>
      </c>
      <c r="C4946" s="32">
        <v>49293</v>
      </c>
      <c r="D4946" s="32" t="s">
        <v>87</v>
      </c>
      <c r="E49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7" spans="1:6" x14ac:dyDescent="0.35">
      <c r="A4947" s="3">
        <v>87079392351</v>
      </c>
      <c r="B4947" s="3">
        <v>79</v>
      </c>
      <c r="C4947" s="32">
        <v>49293</v>
      </c>
      <c r="D4947" s="32" t="s">
        <v>87</v>
      </c>
      <c r="E49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8" spans="1:6" x14ac:dyDescent="0.35">
      <c r="A4948" s="3">
        <v>29828259522</v>
      </c>
      <c r="B4948" s="3">
        <v>17</v>
      </c>
      <c r="C4948" s="32">
        <v>49293</v>
      </c>
      <c r="D4948" s="32" t="s">
        <v>87</v>
      </c>
      <c r="E49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9" spans="1:6" x14ac:dyDescent="0.35">
      <c r="A4949" s="3">
        <v>43393920153</v>
      </c>
      <c r="B4949" s="3">
        <v>99</v>
      </c>
      <c r="C4949" s="32">
        <v>49293</v>
      </c>
      <c r="D4949" s="32" t="s">
        <v>87</v>
      </c>
      <c r="E49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0" spans="1:6" x14ac:dyDescent="0.35">
      <c r="A4950" s="3">
        <v>46273990244</v>
      </c>
      <c r="B4950" s="3">
        <v>228</v>
      </c>
      <c r="C4950" s="32">
        <v>49293</v>
      </c>
      <c r="D4950" s="32" t="s">
        <v>87</v>
      </c>
      <c r="E49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1" spans="1:6" x14ac:dyDescent="0.35">
      <c r="A4951" s="3">
        <v>29333741588</v>
      </c>
      <c r="B4951" s="3">
        <v>179</v>
      </c>
      <c r="C4951" s="32">
        <v>49293</v>
      </c>
      <c r="D4951" s="32" t="s">
        <v>87</v>
      </c>
      <c r="E49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2" spans="1:6" x14ac:dyDescent="0.35">
      <c r="A4952" s="3">
        <v>70694221882</v>
      </c>
      <c r="B4952" s="3">
        <v>109</v>
      </c>
      <c r="C4952" s="32">
        <v>49293</v>
      </c>
      <c r="D4952" s="32">
        <v>49363</v>
      </c>
      <c r="E49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953" spans="1:6" x14ac:dyDescent="0.35">
      <c r="A4953" s="3">
        <v>96444405960</v>
      </c>
      <c r="B4953" s="3">
        <v>91</v>
      </c>
      <c r="C4953" s="32">
        <v>49293</v>
      </c>
      <c r="D4953" s="32"/>
      <c r="E49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4" spans="1:6" x14ac:dyDescent="0.35">
      <c r="A4954" s="3">
        <v>44198016995</v>
      </c>
      <c r="B4954" s="3">
        <v>34</v>
      </c>
      <c r="C4954" s="32">
        <v>49293</v>
      </c>
      <c r="D4954" s="32" t="s">
        <v>87</v>
      </c>
      <c r="E49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5" spans="1:6" x14ac:dyDescent="0.35">
      <c r="A4955" s="3">
        <v>98096953563</v>
      </c>
      <c r="B4955" s="3">
        <v>266</v>
      </c>
      <c r="C4955" s="32">
        <v>49293</v>
      </c>
      <c r="D4955" s="32">
        <v>49334</v>
      </c>
      <c r="E49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56" spans="1:6" x14ac:dyDescent="0.35">
      <c r="A4956" s="3">
        <v>96426013970</v>
      </c>
      <c r="B4956" s="3">
        <v>291</v>
      </c>
      <c r="C4956" s="32">
        <v>49293</v>
      </c>
      <c r="D4956" s="32" t="s">
        <v>87</v>
      </c>
      <c r="E49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7" spans="1:6" x14ac:dyDescent="0.35">
      <c r="A4957" s="3">
        <v>43856845784</v>
      </c>
      <c r="B4957" s="3">
        <v>148</v>
      </c>
      <c r="C4957" s="32">
        <v>49293</v>
      </c>
      <c r="D4957" s="32">
        <v>49329</v>
      </c>
      <c r="E49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58" spans="1:6" x14ac:dyDescent="0.35">
      <c r="A4958" s="3">
        <v>85947900096</v>
      </c>
      <c r="B4958" s="3">
        <v>177</v>
      </c>
      <c r="C4958" s="32">
        <v>49293</v>
      </c>
      <c r="D4958" s="32"/>
      <c r="E49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9" spans="1:6" x14ac:dyDescent="0.35">
      <c r="A4959" s="3">
        <v>12668027650</v>
      </c>
      <c r="B4959" s="3">
        <v>152</v>
      </c>
      <c r="C4959" s="32">
        <v>49293</v>
      </c>
      <c r="D4959" s="32" t="s">
        <v>87</v>
      </c>
      <c r="E49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0" spans="1:6" x14ac:dyDescent="0.35">
      <c r="A4960" s="3">
        <v>44228541499</v>
      </c>
      <c r="B4960" s="3">
        <v>61</v>
      </c>
      <c r="C4960" s="32">
        <v>49293</v>
      </c>
      <c r="D4960" s="32" t="s">
        <v>87</v>
      </c>
      <c r="E49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1" spans="1:6" x14ac:dyDescent="0.35">
      <c r="A4961" s="3">
        <v>87181083407</v>
      </c>
      <c r="B4961" s="3">
        <v>16</v>
      </c>
      <c r="C4961" s="32">
        <v>49293</v>
      </c>
      <c r="D4961" s="32">
        <v>49306</v>
      </c>
      <c r="E49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962" spans="1:6" x14ac:dyDescent="0.35">
      <c r="A4962" s="3">
        <v>35467148616</v>
      </c>
      <c r="B4962" s="3">
        <v>327</v>
      </c>
      <c r="C4962" s="32">
        <v>49294</v>
      </c>
      <c r="D4962" s="32" t="s">
        <v>87</v>
      </c>
      <c r="E49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3" spans="1:6" x14ac:dyDescent="0.35">
      <c r="A4963" s="3">
        <v>31661913093</v>
      </c>
      <c r="B4963" s="3">
        <v>30</v>
      </c>
      <c r="C4963" s="32">
        <v>49294</v>
      </c>
      <c r="D4963" s="32" t="s">
        <v>87</v>
      </c>
      <c r="E49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4" spans="1:6" x14ac:dyDescent="0.35">
      <c r="A4964" s="3">
        <v>81729646800</v>
      </c>
      <c r="B4964" s="3">
        <v>265</v>
      </c>
      <c r="C4964" s="32">
        <v>49294</v>
      </c>
      <c r="D4964" s="32" t="s">
        <v>87</v>
      </c>
      <c r="E49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5" spans="1:6" x14ac:dyDescent="0.35">
      <c r="A4965" s="3">
        <v>50499062878</v>
      </c>
      <c r="B4965" s="3">
        <v>38</v>
      </c>
      <c r="C4965" s="32">
        <v>49294</v>
      </c>
      <c r="D4965" s="32" t="s">
        <v>87</v>
      </c>
      <c r="E49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6" spans="1:6" x14ac:dyDescent="0.35">
      <c r="A4966" s="3">
        <v>61468501953</v>
      </c>
      <c r="B4966" s="3">
        <v>237</v>
      </c>
      <c r="C4966" s="32">
        <v>49294</v>
      </c>
      <c r="D4966" s="32" t="s">
        <v>87</v>
      </c>
      <c r="E49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7" spans="1:6" x14ac:dyDescent="0.35">
      <c r="A4967" s="3">
        <v>34770330665</v>
      </c>
      <c r="B4967" s="3">
        <v>45</v>
      </c>
      <c r="C4967" s="32">
        <v>49294</v>
      </c>
      <c r="D4967" s="32" t="s">
        <v>87</v>
      </c>
      <c r="E49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8" spans="1:6" x14ac:dyDescent="0.35">
      <c r="A4968" s="3">
        <v>80550775021</v>
      </c>
      <c r="B4968" s="3">
        <v>184</v>
      </c>
      <c r="C4968" s="32">
        <v>49294</v>
      </c>
      <c r="D4968" s="32">
        <v>49324</v>
      </c>
      <c r="E49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69" spans="1:6" x14ac:dyDescent="0.35">
      <c r="A4969" s="3">
        <v>44254419400</v>
      </c>
      <c r="B4969" s="3">
        <v>110</v>
      </c>
      <c r="C4969" s="32">
        <v>49294</v>
      </c>
      <c r="D4969" s="32" t="s">
        <v>87</v>
      </c>
      <c r="E49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0" spans="1:6" x14ac:dyDescent="0.35">
      <c r="A4970" s="3">
        <v>82915247188</v>
      </c>
      <c r="B4970" s="3">
        <v>142</v>
      </c>
      <c r="C4970" s="32">
        <v>49294</v>
      </c>
      <c r="D4970" s="32" t="s">
        <v>87</v>
      </c>
      <c r="E49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1" spans="1:6" x14ac:dyDescent="0.35">
      <c r="A4971" s="3">
        <v>72237222043</v>
      </c>
      <c r="B4971" s="3">
        <v>206</v>
      </c>
      <c r="C4971" s="32">
        <v>49294</v>
      </c>
      <c r="D4971" s="32" t="s">
        <v>87</v>
      </c>
      <c r="E49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2" spans="1:6" x14ac:dyDescent="0.35">
      <c r="A4972" s="3">
        <v>92287150872</v>
      </c>
      <c r="B4972" s="3">
        <v>212</v>
      </c>
      <c r="C4972" s="32">
        <v>49294</v>
      </c>
      <c r="D4972" s="32" t="s">
        <v>87</v>
      </c>
      <c r="E49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3" spans="1:6" x14ac:dyDescent="0.35">
      <c r="A4973" s="3">
        <v>14308005447</v>
      </c>
      <c r="B4973" s="3">
        <v>236</v>
      </c>
      <c r="C4973" s="32">
        <v>49294</v>
      </c>
      <c r="D4973" s="32">
        <v>49315</v>
      </c>
      <c r="E49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74" spans="1:6" x14ac:dyDescent="0.35">
      <c r="A4974" s="3">
        <v>24887059278</v>
      </c>
      <c r="B4974" s="3">
        <v>95</v>
      </c>
      <c r="C4974" s="32">
        <v>49294</v>
      </c>
      <c r="D4974" s="32"/>
      <c r="E49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5" spans="1:6" x14ac:dyDescent="0.35">
      <c r="A4975" s="3">
        <v>74422918492</v>
      </c>
      <c r="B4975" s="3">
        <v>272</v>
      </c>
      <c r="C4975" s="32">
        <v>49294</v>
      </c>
      <c r="D4975" s="32" t="s">
        <v>87</v>
      </c>
      <c r="E49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6" spans="1:6" x14ac:dyDescent="0.35">
      <c r="A4976" s="3">
        <v>92817984198</v>
      </c>
      <c r="B4976" s="3">
        <v>320</v>
      </c>
      <c r="C4976" s="32">
        <v>49294</v>
      </c>
      <c r="D4976" s="32">
        <v>49294</v>
      </c>
      <c r="E49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977" spans="1:6" x14ac:dyDescent="0.35">
      <c r="A4977" s="3">
        <v>46502529389</v>
      </c>
      <c r="B4977" s="3">
        <v>14</v>
      </c>
      <c r="C4977" s="32">
        <v>49294</v>
      </c>
      <c r="D4977" s="32"/>
      <c r="E49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8" spans="1:6" x14ac:dyDescent="0.35">
      <c r="A4978" s="3">
        <v>19695615817</v>
      </c>
      <c r="B4978" s="3">
        <v>10</v>
      </c>
      <c r="C4978" s="32">
        <v>49294</v>
      </c>
      <c r="D4978" s="32" t="s">
        <v>87</v>
      </c>
      <c r="E49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9" spans="1:6" x14ac:dyDescent="0.35">
      <c r="A4979" s="3">
        <v>80773005293</v>
      </c>
      <c r="B4979" s="3">
        <v>259</v>
      </c>
      <c r="C4979" s="32">
        <v>49294</v>
      </c>
      <c r="D4979" s="32" t="s">
        <v>87</v>
      </c>
      <c r="E49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0" spans="1:6" x14ac:dyDescent="0.35">
      <c r="A4980" s="3">
        <v>92809110855</v>
      </c>
      <c r="B4980" s="3">
        <v>70</v>
      </c>
      <c r="C4980" s="32">
        <v>49294</v>
      </c>
      <c r="D4980" s="32" t="s">
        <v>87</v>
      </c>
      <c r="E49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1" spans="1:6" x14ac:dyDescent="0.35">
      <c r="A4981" s="3">
        <v>34664273933</v>
      </c>
      <c r="B4981" s="3">
        <v>158</v>
      </c>
      <c r="C4981" s="32">
        <v>49294</v>
      </c>
      <c r="D4981" s="32">
        <v>49365</v>
      </c>
      <c r="E49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982" spans="1:6" x14ac:dyDescent="0.35">
      <c r="A4982" s="3">
        <v>91968820139</v>
      </c>
      <c r="B4982" s="3">
        <v>63</v>
      </c>
      <c r="C4982" s="32">
        <v>49294</v>
      </c>
      <c r="D4982" s="32">
        <v>49343</v>
      </c>
      <c r="E49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983" spans="1:6" x14ac:dyDescent="0.35">
      <c r="A4983" s="3">
        <v>74793563772</v>
      </c>
      <c r="B4983" s="3">
        <v>140</v>
      </c>
      <c r="C4983" s="32">
        <v>49294</v>
      </c>
      <c r="D4983" s="32" t="s">
        <v>87</v>
      </c>
      <c r="E49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4" spans="1:6" x14ac:dyDescent="0.35">
      <c r="A4984" s="3">
        <v>72551653138</v>
      </c>
      <c r="B4984" s="3">
        <v>258</v>
      </c>
      <c r="C4984" s="32">
        <v>49294</v>
      </c>
      <c r="D4984" s="32">
        <v>49363</v>
      </c>
      <c r="E49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985" spans="1:6" x14ac:dyDescent="0.35">
      <c r="A4985" s="3">
        <v>15269737072</v>
      </c>
      <c r="B4985" s="3">
        <v>215</v>
      </c>
      <c r="C4985" s="32">
        <v>49294</v>
      </c>
      <c r="D4985" s="32" t="s">
        <v>87</v>
      </c>
      <c r="E49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6" spans="1:6" x14ac:dyDescent="0.35">
      <c r="A4986" s="3">
        <v>21558573565</v>
      </c>
      <c r="B4986" s="3">
        <v>322</v>
      </c>
      <c r="C4986" s="32">
        <v>49294</v>
      </c>
      <c r="D4986" s="32">
        <v>49308</v>
      </c>
      <c r="E49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987" spans="1:6" x14ac:dyDescent="0.35">
      <c r="A4987" s="3">
        <v>63712664362</v>
      </c>
      <c r="B4987" s="3">
        <v>203</v>
      </c>
      <c r="C4987" s="32">
        <v>49295</v>
      </c>
      <c r="D4987" s="32" t="s">
        <v>87</v>
      </c>
      <c r="E49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8" spans="1:6" x14ac:dyDescent="0.35">
      <c r="A4988" s="3">
        <v>47481046150</v>
      </c>
      <c r="B4988" s="3">
        <v>54</v>
      </c>
      <c r="C4988" s="32">
        <v>49295</v>
      </c>
      <c r="D4988" s="32" t="s">
        <v>87</v>
      </c>
      <c r="E49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9" spans="1:6" x14ac:dyDescent="0.35">
      <c r="A4989" s="3">
        <v>57863474255</v>
      </c>
      <c r="B4989" s="3">
        <v>266</v>
      </c>
      <c r="C4989" s="32">
        <v>49295</v>
      </c>
      <c r="D4989" s="32" t="s">
        <v>87</v>
      </c>
      <c r="E49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0" spans="1:6" x14ac:dyDescent="0.35">
      <c r="A4990" s="3">
        <v>97082843548</v>
      </c>
      <c r="B4990" s="3">
        <v>127</v>
      </c>
      <c r="C4990" s="32">
        <v>49295</v>
      </c>
      <c r="D4990" s="32" t="s">
        <v>87</v>
      </c>
      <c r="E49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1" spans="1:6" x14ac:dyDescent="0.35">
      <c r="A4991" s="3">
        <v>21136629306</v>
      </c>
      <c r="B4991" s="3">
        <v>273</v>
      </c>
      <c r="C4991" s="32">
        <v>49295</v>
      </c>
      <c r="D4991" s="32" t="s">
        <v>87</v>
      </c>
      <c r="E49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2" spans="1:6" x14ac:dyDescent="0.35">
      <c r="A4992" s="3">
        <v>21251171514</v>
      </c>
      <c r="B4992" s="3">
        <v>111</v>
      </c>
      <c r="C4992" s="32">
        <v>49295</v>
      </c>
      <c r="D4992" s="32" t="s">
        <v>87</v>
      </c>
      <c r="E49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3" spans="1:6" x14ac:dyDescent="0.35">
      <c r="A4993" s="3">
        <v>60990348312</v>
      </c>
      <c r="B4993" s="3">
        <v>197</v>
      </c>
      <c r="C4993" s="32">
        <v>49295</v>
      </c>
      <c r="D4993" s="32" t="s">
        <v>87</v>
      </c>
      <c r="E49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4" spans="1:6" x14ac:dyDescent="0.35">
      <c r="A4994" s="3">
        <v>60057604038</v>
      </c>
      <c r="B4994" s="3">
        <v>244</v>
      </c>
      <c r="C4994" s="32">
        <v>49295</v>
      </c>
      <c r="D4994" s="32"/>
      <c r="E49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5" spans="1:6" x14ac:dyDescent="0.35">
      <c r="A4995" s="3">
        <v>65705829872</v>
      </c>
      <c r="B4995" s="3">
        <v>140</v>
      </c>
      <c r="C4995" s="32">
        <v>49295</v>
      </c>
      <c r="D4995" s="32" t="s">
        <v>87</v>
      </c>
      <c r="E49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6" spans="1:6" x14ac:dyDescent="0.35">
      <c r="A4996" s="3">
        <v>85808290242</v>
      </c>
      <c r="B4996" s="3">
        <v>305</v>
      </c>
      <c r="C4996" s="32">
        <v>49295</v>
      </c>
      <c r="D4996" s="32" t="s">
        <v>87</v>
      </c>
      <c r="E49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7" spans="1:6" x14ac:dyDescent="0.35">
      <c r="A4997" s="3">
        <v>20114400999</v>
      </c>
      <c r="B4997" s="3">
        <v>135</v>
      </c>
      <c r="C4997" s="32">
        <v>49295</v>
      </c>
      <c r="D4997" s="32" t="s">
        <v>87</v>
      </c>
      <c r="E49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8" spans="1:6" x14ac:dyDescent="0.35">
      <c r="A4998" s="3">
        <v>25114820382</v>
      </c>
      <c r="B4998" s="3">
        <v>90</v>
      </c>
      <c r="C4998" s="32">
        <v>49295</v>
      </c>
      <c r="D4998" s="32"/>
      <c r="E49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9" spans="1:6" x14ac:dyDescent="0.35">
      <c r="A4999" s="3">
        <v>79389308717</v>
      </c>
      <c r="B4999" s="3">
        <v>227</v>
      </c>
      <c r="C4999" s="32">
        <v>49295</v>
      </c>
      <c r="D4999" s="32"/>
      <c r="E49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0" spans="1:6" x14ac:dyDescent="0.35">
      <c r="A5000" s="3">
        <v>33455382879</v>
      </c>
      <c r="B5000" s="3">
        <v>35</v>
      </c>
      <c r="C5000" s="32">
        <v>49295</v>
      </c>
      <c r="D5000" s="32" t="s">
        <v>87</v>
      </c>
      <c r="E50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1" spans="1:6" x14ac:dyDescent="0.35">
      <c r="A5001" s="3">
        <v>19692779270</v>
      </c>
      <c r="B5001" s="3">
        <v>131</v>
      </c>
      <c r="C5001" s="32">
        <v>49295</v>
      </c>
      <c r="D5001" s="32">
        <v>49344</v>
      </c>
      <c r="E50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002" spans="1:6" x14ac:dyDescent="0.35">
      <c r="A5002" s="3">
        <v>15045663259</v>
      </c>
      <c r="B5002" s="3">
        <v>162</v>
      </c>
      <c r="C5002" s="32">
        <v>49295</v>
      </c>
      <c r="D5002" s="32" t="s">
        <v>87</v>
      </c>
      <c r="E50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3" spans="1:6" x14ac:dyDescent="0.35">
      <c r="A5003" s="3">
        <v>52026424707</v>
      </c>
      <c r="B5003" s="3">
        <v>218</v>
      </c>
      <c r="C5003" s="32">
        <v>49295</v>
      </c>
      <c r="D5003" s="32" t="s">
        <v>87</v>
      </c>
      <c r="E50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4" spans="1:6" x14ac:dyDescent="0.35">
      <c r="A5004" s="3">
        <v>62672793566</v>
      </c>
      <c r="B5004" s="3">
        <v>318</v>
      </c>
      <c r="C5004" s="32">
        <v>49295</v>
      </c>
      <c r="D5004" s="32"/>
      <c r="E50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5" spans="1:6" x14ac:dyDescent="0.35">
      <c r="A5005" s="3">
        <v>52854392008</v>
      </c>
      <c r="B5005" s="3">
        <v>279</v>
      </c>
      <c r="C5005" s="32">
        <v>49295</v>
      </c>
      <c r="D5005" s="32"/>
      <c r="E50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6" spans="1:6" x14ac:dyDescent="0.35">
      <c r="A5006" s="3">
        <v>65409367864</v>
      </c>
      <c r="B5006" s="3">
        <v>301</v>
      </c>
      <c r="C5006" s="32">
        <v>49295</v>
      </c>
      <c r="D5006" s="32" t="s">
        <v>87</v>
      </c>
      <c r="E50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7" spans="1:6" x14ac:dyDescent="0.35">
      <c r="A5007" s="3">
        <v>45198007238</v>
      </c>
      <c r="B5007" s="3">
        <v>5</v>
      </c>
      <c r="C5007" s="32">
        <v>49295</v>
      </c>
      <c r="D5007" s="32"/>
      <c r="E50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8" spans="1:6" x14ac:dyDescent="0.35">
      <c r="A5008" s="3">
        <v>32257288756</v>
      </c>
      <c r="B5008" s="3">
        <v>107</v>
      </c>
      <c r="C5008" s="32">
        <v>49295</v>
      </c>
      <c r="D5008" s="32" t="s">
        <v>87</v>
      </c>
      <c r="E50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9" spans="1:6" x14ac:dyDescent="0.35">
      <c r="A5009" s="3">
        <v>63565147819</v>
      </c>
      <c r="B5009" s="3">
        <v>311</v>
      </c>
      <c r="C5009" s="32">
        <v>49295</v>
      </c>
      <c r="D5009" s="32" t="s">
        <v>87</v>
      </c>
      <c r="E50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0" spans="1:6" x14ac:dyDescent="0.35">
      <c r="A5010" s="3">
        <v>31816167185</v>
      </c>
      <c r="B5010" s="3">
        <v>141</v>
      </c>
      <c r="C5010" s="32">
        <v>49295</v>
      </c>
      <c r="D5010" s="32" t="s">
        <v>87</v>
      </c>
      <c r="E50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1" spans="1:6" x14ac:dyDescent="0.35">
      <c r="A5011" s="3">
        <v>12376981226</v>
      </c>
      <c r="B5011" s="3">
        <v>137</v>
      </c>
      <c r="C5011" s="32">
        <v>49295</v>
      </c>
      <c r="D5011" s="32">
        <v>49341</v>
      </c>
      <c r="E50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012" spans="1:6" x14ac:dyDescent="0.35">
      <c r="A5012" s="3">
        <v>35372060228</v>
      </c>
      <c r="B5012" s="3">
        <v>234</v>
      </c>
      <c r="C5012" s="32">
        <v>49296</v>
      </c>
      <c r="D5012" s="32" t="s">
        <v>87</v>
      </c>
      <c r="E50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3" spans="1:6" x14ac:dyDescent="0.35">
      <c r="A5013" s="3">
        <v>78072569395</v>
      </c>
      <c r="B5013" s="3">
        <v>302</v>
      </c>
      <c r="C5013" s="32">
        <v>49296</v>
      </c>
      <c r="D5013" s="32" t="s">
        <v>87</v>
      </c>
      <c r="E50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4" spans="1:6" x14ac:dyDescent="0.35">
      <c r="A5014" s="3">
        <v>62695945151</v>
      </c>
      <c r="B5014" s="3">
        <v>325</v>
      </c>
      <c r="C5014" s="32">
        <v>49296</v>
      </c>
      <c r="D5014" s="32" t="s">
        <v>87</v>
      </c>
      <c r="E50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5" spans="1:6" x14ac:dyDescent="0.35">
      <c r="A5015" s="3">
        <v>50760513908</v>
      </c>
      <c r="B5015" s="3">
        <v>23</v>
      </c>
      <c r="C5015" s="32">
        <v>49296</v>
      </c>
      <c r="D5015" s="32">
        <v>49364</v>
      </c>
      <c r="E50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016" spans="1:6" x14ac:dyDescent="0.35">
      <c r="A5016" s="3">
        <v>87717578324</v>
      </c>
      <c r="B5016" s="3">
        <v>164</v>
      </c>
      <c r="C5016" s="32">
        <v>49296</v>
      </c>
      <c r="D5016" s="32" t="s">
        <v>87</v>
      </c>
      <c r="E50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7" spans="1:6" x14ac:dyDescent="0.35">
      <c r="A5017" s="3">
        <v>59876876188</v>
      </c>
      <c r="B5017" s="3">
        <v>237</v>
      </c>
      <c r="C5017" s="32">
        <v>49296</v>
      </c>
      <c r="D5017" s="32" t="s">
        <v>87</v>
      </c>
      <c r="E50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8" spans="1:6" x14ac:dyDescent="0.35">
      <c r="A5018" s="3">
        <v>72963500256</v>
      </c>
      <c r="B5018" s="3">
        <v>228</v>
      </c>
      <c r="C5018" s="32">
        <v>49296</v>
      </c>
      <c r="D5018" s="32"/>
      <c r="E50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9" spans="1:6" x14ac:dyDescent="0.35">
      <c r="A5019" s="3">
        <v>75388181916</v>
      </c>
      <c r="B5019" s="3">
        <v>221</v>
      </c>
      <c r="C5019" s="32">
        <v>49296</v>
      </c>
      <c r="D5019" s="32" t="s">
        <v>87</v>
      </c>
      <c r="E50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0" spans="1:6" x14ac:dyDescent="0.35">
      <c r="A5020" s="3">
        <v>99922621520</v>
      </c>
      <c r="B5020" s="3">
        <v>43</v>
      </c>
      <c r="C5020" s="32">
        <v>49296</v>
      </c>
      <c r="D5020" s="32" t="s">
        <v>87</v>
      </c>
      <c r="E50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1" spans="1:6" x14ac:dyDescent="0.35">
      <c r="A5021" s="3">
        <v>45798224168</v>
      </c>
      <c r="B5021" s="3">
        <v>98</v>
      </c>
      <c r="C5021" s="32">
        <v>49296</v>
      </c>
      <c r="D5021" s="32" t="s">
        <v>87</v>
      </c>
      <c r="E50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2" spans="1:6" x14ac:dyDescent="0.35">
      <c r="A5022" s="3">
        <v>36937251729</v>
      </c>
      <c r="B5022" s="3">
        <v>133</v>
      </c>
      <c r="C5022" s="32">
        <v>49296</v>
      </c>
      <c r="D5022" s="32" t="s">
        <v>87</v>
      </c>
      <c r="E50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3" spans="1:6" x14ac:dyDescent="0.35">
      <c r="A5023" s="3">
        <v>85350454358</v>
      </c>
      <c r="B5023" s="3">
        <v>94</v>
      </c>
      <c r="C5023" s="32">
        <v>49296</v>
      </c>
      <c r="D5023" s="32" t="s">
        <v>87</v>
      </c>
      <c r="E50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4" spans="1:6" x14ac:dyDescent="0.35">
      <c r="A5024" s="3">
        <v>29731466045</v>
      </c>
      <c r="B5024" s="3">
        <v>79</v>
      </c>
      <c r="C5024" s="32">
        <v>49296</v>
      </c>
      <c r="D5024" s="32" t="s">
        <v>87</v>
      </c>
      <c r="E50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5" spans="1:6" x14ac:dyDescent="0.35">
      <c r="A5025" s="3">
        <v>83011385319</v>
      </c>
      <c r="B5025" s="3">
        <v>226</v>
      </c>
      <c r="C5025" s="32">
        <v>49296</v>
      </c>
      <c r="D5025" s="32"/>
      <c r="E50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6" spans="1:6" x14ac:dyDescent="0.35">
      <c r="A5026" s="3">
        <v>67365317448</v>
      </c>
      <c r="B5026" s="3">
        <v>264</v>
      </c>
      <c r="C5026" s="32">
        <v>49296</v>
      </c>
      <c r="D5026" s="32"/>
      <c r="E50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7" spans="1:6" x14ac:dyDescent="0.35">
      <c r="A5027" s="3">
        <v>60427199547</v>
      </c>
      <c r="B5027" s="3">
        <v>264</v>
      </c>
      <c r="C5027" s="32">
        <v>49296</v>
      </c>
      <c r="D5027" s="32" t="s">
        <v>87</v>
      </c>
      <c r="E50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8" spans="1:6" x14ac:dyDescent="0.35">
      <c r="A5028" s="3">
        <v>87864565104</v>
      </c>
      <c r="B5028" s="3">
        <v>90</v>
      </c>
      <c r="C5028" s="32">
        <v>49296</v>
      </c>
      <c r="D5028" s="32" t="s">
        <v>87</v>
      </c>
      <c r="E50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9" spans="1:6" x14ac:dyDescent="0.35">
      <c r="A5029" s="3">
        <v>28833851992</v>
      </c>
      <c r="B5029" s="3">
        <v>96</v>
      </c>
      <c r="C5029" s="32">
        <v>49296</v>
      </c>
      <c r="D5029" s="32" t="s">
        <v>87</v>
      </c>
      <c r="E50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0" spans="1:6" x14ac:dyDescent="0.35">
      <c r="A5030" s="3">
        <v>76709536329</v>
      </c>
      <c r="B5030" s="3">
        <v>193</v>
      </c>
      <c r="C5030" s="32">
        <v>49296</v>
      </c>
      <c r="D5030" s="32" t="s">
        <v>87</v>
      </c>
      <c r="E50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1" spans="1:6" x14ac:dyDescent="0.35">
      <c r="A5031" s="3">
        <v>65496907791</v>
      </c>
      <c r="B5031" s="3">
        <v>239</v>
      </c>
      <c r="C5031" s="32">
        <v>49296</v>
      </c>
      <c r="D5031" s="32" t="s">
        <v>87</v>
      </c>
      <c r="E50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2" spans="1:6" x14ac:dyDescent="0.35">
      <c r="A5032" s="3">
        <v>63686198094</v>
      </c>
      <c r="B5032" s="3">
        <v>66</v>
      </c>
      <c r="C5032" s="32">
        <v>49296</v>
      </c>
      <c r="D5032" s="32"/>
      <c r="E50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3" spans="1:6" x14ac:dyDescent="0.35">
      <c r="A5033" s="3">
        <v>30646489605</v>
      </c>
      <c r="B5033" s="3">
        <v>155</v>
      </c>
      <c r="C5033" s="32">
        <v>49296</v>
      </c>
      <c r="D5033" s="32" t="s">
        <v>87</v>
      </c>
      <c r="E50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4" spans="1:6" x14ac:dyDescent="0.35">
      <c r="A5034" s="3">
        <v>97648732199</v>
      </c>
      <c r="B5034" s="3">
        <v>106</v>
      </c>
      <c r="C5034" s="32">
        <v>49296</v>
      </c>
      <c r="D5034" s="32" t="s">
        <v>87</v>
      </c>
      <c r="E50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5" spans="1:6" x14ac:dyDescent="0.35">
      <c r="A5035" s="3">
        <v>19654334077</v>
      </c>
      <c r="B5035" s="3">
        <v>181</v>
      </c>
      <c r="C5035" s="32">
        <v>49296</v>
      </c>
      <c r="D5035" s="32" t="s">
        <v>87</v>
      </c>
      <c r="E50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6" spans="1:6" x14ac:dyDescent="0.35">
      <c r="A5036" s="3">
        <v>80369617662</v>
      </c>
      <c r="B5036" s="3">
        <v>91</v>
      </c>
      <c r="C5036" s="32">
        <v>49296</v>
      </c>
      <c r="D5036" s="32" t="s">
        <v>87</v>
      </c>
      <c r="E50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7" spans="1:6" x14ac:dyDescent="0.35">
      <c r="A5037" s="3">
        <v>50907655882</v>
      </c>
      <c r="B5037" s="3">
        <v>308</v>
      </c>
      <c r="C5037" s="32">
        <v>49296</v>
      </c>
      <c r="D5037" s="32" t="s">
        <v>87</v>
      </c>
      <c r="E50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8" spans="1:6" x14ac:dyDescent="0.35">
      <c r="A5038" s="3">
        <v>28995310036</v>
      </c>
      <c r="B5038" s="3">
        <v>226</v>
      </c>
      <c r="C5038" s="32">
        <v>49296</v>
      </c>
      <c r="D5038" s="32" t="s">
        <v>87</v>
      </c>
      <c r="E50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9" spans="1:6" x14ac:dyDescent="0.35">
      <c r="A5039" s="3">
        <v>72743820486</v>
      </c>
      <c r="B5039" s="3">
        <v>163</v>
      </c>
      <c r="C5039" s="32">
        <v>49296</v>
      </c>
      <c r="D5039" s="32">
        <v>49325</v>
      </c>
      <c r="E50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040" spans="1:6" x14ac:dyDescent="0.35">
      <c r="A5040" s="3">
        <v>51012659251</v>
      </c>
      <c r="B5040" s="3">
        <v>211</v>
      </c>
      <c r="C5040" s="32">
        <v>49297</v>
      </c>
      <c r="D5040" s="32"/>
      <c r="E50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1" spans="1:6" x14ac:dyDescent="0.35">
      <c r="A5041" s="3">
        <v>13667314580</v>
      </c>
      <c r="B5041" s="3">
        <v>80</v>
      </c>
      <c r="C5041" s="32">
        <v>49297</v>
      </c>
      <c r="D5041" s="32">
        <v>49336</v>
      </c>
      <c r="E50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042" spans="1:6" x14ac:dyDescent="0.35">
      <c r="A5042" s="3">
        <v>75272361038</v>
      </c>
      <c r="B5042" s="3">
        <v>12</v>
      </c>
      <c r="C5042" s="32">
        <v>49297</v>
      </c>
      <c r="D5042" s="32"/>
      <c r="E50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3" spans="1:6" x14ac:dyDescent="0.35">
      <c r="A5043" s="3">
        <v>56730146425</v>
      </c>
      <c r="B5043" s="3">
        <v>108</v>
      </c>
      <c r="C5043" s="32">
        <v>49297</v>
      </c>
      <c r="D5043" s="32" t="s">
        <v>87</v>
      </c>
      <c r="E50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4" spans="1:6" x14ac:dyDescent="0.35">
      <c r="A5044" s="3">
        <v>69301978290</v>
      </c>
      <c r="B5044" s="3">
        <v>171</v>
      </c>
      <c r="C5044" s="32">
        <v>49297</v>
      </c>
      <c r="D5044" s="32" t="s">
        <v>87</v>
      </c>
      <c r="E50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5" spans="1:6" x14ac:dyDescent="0.35">
      <c r="A5045" s="3">
        <v>57151064885</v>
      </c>
      <c r="B5045" s="3">
        <v>293</v>
      </c>
      <c r="C5045" s="32">
        <v>49297</v>
      </c>
      <c r="D5045" s="32" t="s">
        <v>87</v>
      </c>
      <c r="E50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6" spans="1:6" x14ac:dyDescent="0.35">
      <c r="A5046" s="3">
        <v>51417767166</v>
      </c>
      <c r="B5046" s="3">
        <v>39</v>
      </c>
      <c r="C5046" s="32">
        <v>49297</v>
      </c>
      <c r="D5046" s="32">
        <v>49336</v>
      </c>
      <c r="E50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047" spans="1:6" x14ac:dyDescent="0.35">
      <c r="A5047" s="3">
        <v>12738778871</v>
      </c>
      <c r="B5047" s="3">
        <v>77</v>
      </c>
      <c r="C5047" s="32">
        <v>49297</v>
      </c>
      <c r="D5047" s="32" t="s">
        <v>87</v>
      </c>
      <c r="E50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8" spans="1:6" x14ac:dyDescent="0.35">
      <c r="A5048" s="3">
        <v>54574593884</v>
      </c>
      <c r="B5048" s="3">
        <v>164</v>
      </c>
      <c r="C5048" s="32">
        <v>49297</v>
      </c>
      <c r="D5048" s="32" t="s">
        <v>87</v>
      </c>
      <c r="E50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9" spans="1:6" x14ac:dyDescent="0.35">
      <c r="A5049" s="3">
        <v>77955396090</v>
      </c>
      <c r="B5049" s="3">
        <v>106</v>
      </c>
      <c r="C5049" s="32">
        <v>49297</v>
      </c>
      <c r="D5049" s="32"/>
      <c r="E50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0" spans="1:6" x14ac:dyDescent="0.35">
      <c r="A5050" s="3">
        <v>38580820947</v>
      </c>
      <c r="B5050" s="3">
        <v>210</v>
      </c>
      <c r="C5050" s="32">
        <v>49297</v>
      </c>
      <c r="D5050" s="32" t="s">
        <v>87</v>
      </c>
      <c r="E50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1" spans="1:6" x14ac:dyDescent="0.35">
      <c r="A5051" s="3">
        <v>68797989741</v>
      </c>
      <c r="B5051" s="3">
        <v>227</v>
      </c>
      <c r="C5051" s="32">
        <v>49297</v>
      </c>
      <c r="D5051" s="32" t="s">
        <v>87</v>
      </c>
      <c r="E50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2" spans="1:6" x14ac:dyDescent="0.35">
      <c r="A5052" s="3">
        <v>34011933789</v>
      </c>
      <c r="B5052" s="3">
        <v>78</v>
      </c>
      <c r="C5052" s="32">
        <v>49297</v>
      </c>
      <c r="D5052" s="32" t="s">
        <v>87</v>
      </c>
      <c r="E50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3" spans="1:6" x14ac:dyDescent="0.35">
      <c r="A5053" s="3">
        <v>70455759333</v>
      </c>
      <c r="B5053" s="3">
        <v>51</v>
      </c>
      <c r="C5053" s="32">
        <v>49297</v>
      </c>
      <c r="D5053" s="32" t="s">
        <v>87</v>
      </c>
      <c r="E50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4" spans="1:6" x14ac:dyDescent="0.35">
      <c r="A5054" s="3">
        <v>12209041713</v>
      </c>
      <c r="B5054" s="3">
        <v>43</v>
      </c>
      <c r="C5054" s="32">
        <v>49297</v>
      </c>
      <c r="D5054" s="32" t="s">
        <v>87</v>
      </c>
      <c r="E50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5" spans="1:6" x14ac:dyDescent="0.35">
      <c r="A5055" s="3">
        <v>83341092378</v>
      </c>
      <c r="B5055" s="3">
        <v>139</v>
      </c>
      <c r="C5055" s="32">
        <v>49297</v>
      </c>
      <c r="D5055" s="32" t="s">
        <v>87</v>
      </c>
      <c r="E50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6" spans="1:6" x14ac:dyDescent="0.35">
      <c r="A5056" s="3">
        <v>61390959932</v>
      </c>
      <c r="B5056" s="3">
        <v>334</v>
      </c>
      <c r="C5056" s="32">
        <v>49297</v>
      </c>
      <c r="D5056" s="32" t="s">
        <v>87</v>
      </c>
      <c r="E50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7" spans="1:6" x14ac:dyDescent="0.35">
      <c r="A5057" s="3">
        <v>56001341670</v>
      </c>
      <c r="B5057" s="3">
        <v>241</v>
      </c>
      <c r="C5057" s="32">
        <v>49297</v>
      </c>
      <c r="D5057" s="32" t="s">
        <v>87</v>
      </c>
      <c r="E50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8" spans="1:6" x14ac:dyDescent="0.35">
      <c r="A5058" s="3">
        <v>35099789633</v>
      </c>
      <c r="B5058" s="3">
        <v>328</v>
      </c>
      <c r="C5058" s="32">
        <v>49297</v>
      </c>
      <c r="D5058" s="32" t="s">
        <v>87</v>
      </c>
      <c r="E50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9" spans="1:6" x14ac:dyDescent="0.35">
      <c r="A5059" s="3">
        <v>55254937314</v>
      </c>
      <c r="B5059" s="3">
        <v>220</v>
      </c>
      <c r="C5059" s="32">
        <v>49297</v>
      </c>
      <c r="D5059" s="32" t="s">
        <v>87</v>
      </c>
      <c r="E50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0" spans="1:6" x14ac:dyDescent="0.35">
      <c r="A5060" s="3">
        <v>71821189545</v>
      </c>
      <c r="B5060" s="3">
        <v>33</v>
      </c>
      <c r="C5060" s="32">
        <v>49297</v>
      </c>
      <c r="D5060" s="32"/>
      <c r="E50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1" spans="1:6" x14ac:dyDescent="0.35">
      <c r="A5061" s="3">
        <v>50836092723</v>
      </c>
      <c r="B5061" s="3">
        <v>173</v>
      </c>
      <c r="C5061" s="32">
        <v>49297</v>
      </c>
      <c r="D5061" s="32" t="s">
        <v>87</v>
      </c>
      <c r="E50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2" spans="1:6" x14ac:dyDescent="0.35">
      <c r="A5062" s="3">
        <v>45251315129</v>
      </c>
      <c r="B5062" s="3">
        <v>275</v>
      </c>
      <c r="C5062" s="32">
        <v>49297</v>
      </c>
      <c r="D5062" s="32" t="s">
        <v>87</v>
      </c>
      <c r="E50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3" spans="1:6" x14ac:dyDescent="0.35">
      <c r="A5063" s="3">
        <v>50936496743</v>
      </c>
      <c r="B5063" s="3">
        <v>292</v>
      </c>
      <c r="C5063" s="32">
        <v>49297</v>
      </c>
      <c r="D5063" s="32"/>
      <c r="E50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4" spans="1:6" x14ac:dyDescent="0.35">
      <c r="A5064" s="3">
        <v>77287644320</v>
      </c>
      <c r="B5064" s="3">
        <v>51</v>
      </c>
      <c r="C5064" s="32">
        <v>49297</v>
      </c>
      <c r="D5064" s="32" t="s">
        <v>87</v>
      </c>
      <c r="E50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5" spans="1:6" x14ac:dyDescent="0.35">
      <c r="A5065" s="3">
        <v>21905207602</v>
      </c>
      <c r="B5065" s="3">
        <v>232</v>
      </c>
      <c r="C5065" s="32">
        <v>49297</v>
      </c>
      <c r="D5065" s="32"/>
      <c r="E50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6" spans="1:6" x14ac:dyDescent="0.35">
      <c r="A5066" s="3">
        <v>66590523021</v>
      </c>
      <c r="B5066" s="3">
        <v>42</v>
      </c>
      <c r="C5066" s="32">
        <v>49297</v>
      </c>
      <c r="D5066" s="32" t="s">
        <v>87</v>
      </c>
      <c r="E50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7" spans="1:6" x14ac:dyDescent="0.35">
      <c r="A5067" s="3">
        <v>62322220406</v>
      </c>
      <c r="B5067" s="3">
        <v>42</v>
      </c>
      <c r="C5067" s="32">
        <v>49297</v>
      </c>
      <c r="D5067" s="32" t="s">
        <v>87</v>
      </c>
      <c r="E50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8" spans="1:6" x14ac:dyDescent="0.35">
      <c r="A5068" s="3">
        <v>86210082508</v>
      </c>
      <c r="B5068" s="3">
        <v>308</v>
      </c>
      <c r="C5068" s="32">
        <v>49297</v>
      </c>
      <c r="D5068" s="32">
        <v>49327</v>
      </c>
      <c r="E50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069" spans="1:6" x14ac:dyDescent="0.35">
      <c r="A5069" s="3">
        <v>27725317829</v>
      </c>
      <c r="B5069" s="3">
        <v>210</v>
      </c>
      <c r="C5069" s="32">
        <v>49298</v>
      </c>
      <c r="D5069" s="32"/>
      <c r="E50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0" spans="1:6" x14ac:dyDescent="0.35">
      <c r="A5070" s="3">
        <v>17206907128</v>
      </c>
      <c r="B5070" s="3">
        <v>62</v>
      </c>
      <c r="C5070" s="32">
        <v>49298</v>
      </c>
      <c r="D5070" s="32"/>
      <c r="E50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1" spans="1:6" x14ac:dyDescent="0.35">
      <c r="A5071" s="3">
        <v>86239209738</v>
      </c>
      <c r="B5071" s="3">
        <v>193</v>
      </c>
      <c r="C5071" s="32">
        <v>49298</v>
      </c>
      <c r="D5071" s="32" t="s">
        <v>87</v>
      </c>
      <c r="E50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2" spans="1:6" x14ac:dyDescent="0.35">
      <c r="A5072" s="3">
        <v>69805466633</v>
      </c>
      <c r="B5072" s="3">
        <v>253</v>
      </c>
      <c r="C5072" s="32">
        <v>49298</v>
      </c>
      <c r="D5072" s="32" t="s">
        <v>87</v>
      </c>
      <c r="E50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3" spans="1:6" x14ac:dyDescent="0.35">
      <c r="A5073" s="3">
        <v>85341428284</v>
      </c>
      <c r="B5073" s="3">
        <v>283</v>
      </c>
      <c r="C5073" s="32">
        <v>49298</v>
      </c>
      <c r="D5073" s="32"/>
      <c r="E50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4" spans="1:6" x14ac:dyDescent="0.35">
      <c r="A5074" s="3">
        <v>48766368705</v>
      </c>
      <c r="B5074" s="3">
        <v>194</v>
      </c>
      <c r="C5074" s="32">
        <v>49298</v>
      </c>
      <c r="D5074" s="32">
        <v>49304</v>
      </c>
      <c r="E50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5075" spans="1:6" x14ac:dyDescent="0.35">
      <c r="A5075" s="3">
        <v>41033517020</v>
      </c>
      <c r="B5075" s="3">
        <v>59</v>
      </c>
      <c r="C5075" s="32">
        <v>49298</v>
      </c>
      <c r="D5075" s="32"/>
      <c r="E50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6" spans="1:6" x14ac:dyDescent="0.35">
      <c r="A5076" s="3">
        <v>29346404627</v>
      </c>
      <c r="B5076" s="3">
        <v>0</v>
      </c>
      <c r="C5076" s="32">
        <v>49298</v>
      </c>
      <c r="D5076" s="32" t="s">
        <v>87</v>
      </c>
      <c r="E50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7" spans="1:6" x14ac:dyDescent="0.35">
      <c r="A5077" s="3">
        <v>44484207369</v>
      </c>
      <c r="B5077" s="3">
        <v>225</v>
      </c>
      <c r="C5077" s="32">
        <v>49298</v>
      </c>
      <c r="D5077" s="32" t="s">
        <v>87</v>
      </c>
      <c r="E50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8" spans="1:6" x14ac:dyDescent="0.35">
      <c r="A5078" s="3">
        <v>58769933760</v>
      </c>
      <c r="B5078" s="3">
        <v>24</v>
      </c>
      <c r="C5078" s="32">
        <v>49298</v>
      </c>
      <c r="D5078" s="32" t="s">
        <v>87</v>
      </c>
      <c r="E50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9" spans="1:6" x14ac:dyDescent="0.35">
      <c r="A5079" s="3">
        <v>41723446242</v>
      </c>
      <c r="B5079" s="3">
        <v>5</v>
      </c>
      <c r="C5079" s="32">
        <v>49298</v>
      </c>
      <c r="D5079" s="32" t="s">
        <v>87</v>
      </c>
      <c r="E50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0" spans="1:6" x14ac:dyDescent="0.35">
      <c r="A5080" s="3">
        <v>82300735361</v>
      </c>
      <c r="B5080" s="3">
        <v>285</v>
      </c>
      <c r="C5080" s="32">
        <v>49298</v>
      </c>
      <c r="D5080" s="32" t="s">
        <v>87</v>
      </c>
      <c r="E50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1" spans="1:6" x14ac:dyDescent="0.35">
      <c r="A5081" s="3">
        <v>23594291217</v>
      </c>
      <c r="B5081" s="3">
        <v>244</v>
      </c>
      <c r="C5081" s="32">
        <v>49298</v>
      </c>
      <c r="D5081" s="32" t="s">
        <v>87</v>
      </c>
      <c r="E50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2" spans="1:6" x14ac:dyDescent="0.35">
      <c r="A5082" s="3">
        <v>40301350862</v>
      </c>
      <c r="B5082" s="3">
        <v>162</v>
      </c>
      <c r="C5082" s="32">
        <v>49298</v>
      </c>
      <c r="D5082" s="32" t="s">
        <v>87</v>
      </c>
      <c r="E50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3" spans="1:6" x14ac:dyDescent="0.35">
      <c r="A5083" s="3">
        <v>59569061396</v>
      </c>
      <c r="B5083" s="3">
        <v>206</v>
      </c>
      <c r="C5083" s="32">
        <v>49298</v>
      </c>
      <c r="D5083" s="32" t="s">
        <v>87</v>
      </c>
      <c r="E50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4" spans="1:6" x14ac:dyDescent="0.35">
      <c r="A5084" s="3">
        <v>45025831496</v>
      </c>
      <c r="B5084" s="3">
        <v>5</v>
      </c>
      <c r="C5084" s="32">
        <v>49298</v>
      </c>
      <c r="D5084" s="32"/>
      <c r="E50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5" spans="1:6" x14ac:dyDescent="0.35">
      <c r="A5085" s="3">
        <v>23355096159</v>
      </c>
      <c r="B5085" s="3">
        <v>69</v>
      </c>
      <c r="C5085" s="32">
        <v>49298</v>
      </c>
      <c r="D5085" s="32">
        <v>49322</v>
      </c>
      <c r="E50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086" spans="1:6" x14ac:dyDescent="0.35">
      <c r="A5086" s="3">
        <v>77897136977</v>
      </c>
      <c r="B5086" s="3">
        <v>216</v>
      </c>
      <c r="C5086" s="32">
        <v>49298</v>
      </c>
      <c r="D5086" s="32" t="s">
        <v>87</v>
      </c>
      <c r="E50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7" spans="1:6" x14ac:dyDescent="0.35">
      <c r="A5087" s="3">
        <v>87687144750</v>
      </c>
      <c r="B5087" s="3">
        <v>268</v>
      </c>
      <c r="C5087" s="32">
        <v>49298</v>
      </c>
      <c r="D5087" s="32" t="s">
        <v>87</v>
      </c>
      <c r="E50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8" spans="1:6" x14ac:dyDescent="0.35">
      <c r="A5088" s="3">
        <v>75894274058</v>
      </c>
      <c r="B5088" s="3">
        <v>12</v>
      </c>
      <c r="C5088" s="32">
        <v>49298</v>
      </c>
      <c r="D5088" s="32" t="s">
        <v>87</v>
      </c>
      <c r="E50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9" spans="1:6" x14ac:dyDescent="0.35">
      <c r="A5089" s="3">
        <v>48739321158</v>
      </c>
      <c r="B5089" s="3">
        <v>254</v>
      </c>
      <c r="C5089" s="32">
        <v>49298</v>
      </c>
      <c r="D5089" s="32" t="s">
        <v>87</v>
      </c>
      <c r="E50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0" spans="1:6" x14ac:dyDescent="0.35">
      <c r="A5090" s="3">
        <v>80382725593</v>
      </c>
      <c r="B5090" s="3">
        <v>109</v>
      </c>
      <c r="C5090" s="32">
        <v>49298</v>
      </c>
      <c r="D5090" s="32">
        <v>49305</v>
      </c>
      <c r="E50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5091" spans="1:6" x14ac:dyDescent="0.35">
      <c r="A5091" s="3">
        <v>30224615522</v>
      </c>
      <c r="B5091" s="3">
        <v>250</v>
      </c>
      <c r="C5091" s="32">
        <v>49298</v>
      </c>
      <c r="D5091" s="32" t="s">
        <v>87</v>
      </c>
      <c r="E50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2" spans="1:6" x14ac:dyDescent="0.35">
      <c r="A5092" s="3">
        <v>30692559222</v>
      </c>
      <c r="B5092" s="3">
        <v>237</v>
      </c>
      <c r="C5092" s="32">
        <v>49298</v>
      </c>
      <c r="D5092" s="32" t="s">
        <v>87</v>
      </c>
      <c r="E50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3" spans="1:6" x14ac:dyDescent="0.35">
      <c r="A5093" s="3">
        <v>22488346953</v>
      </c>
      <c r="B5093" s="3">
        <v>326</v>
      </c>
      <c r="C5093" s="32">
        <v>49298</v>
      </c>
      <c r="D5093" s="32" t="s">
        <v>87</v>
      </c>
      <c r="E50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4" spans="1:6" x14ac:dyDescent="0.35">
      <c r="A5094" s="3">
        <v>60241456803</v>
      </c>
      <c r="B5094" s="3">
        <v>112</v>
      </c>
      <c r="C5094" s="32">
        <v>49298</v>
      </c>
      <c r="D5094" s="32" t="s">
        <v>87</v>
      </c>
      <c r="E50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5" spans="1:6" x14ac:dyDescent="0.35">
      <c r="A5095" s="3">
        <v>78159882775</v>
      </c>
      <c r="B5095" s="3">
        <v>319</v>
      </c>
      <c r="C5095" s="32">
        <v>49298</v>
      </c>
      <c r="D5095" s="32" t="s">
        <v>87</v>
      </c>
      <c r="E50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6" spans="1:6" x14ac:dyDescent="0.35">
      <c r="A5096" s="3">
        <v>12352494217</v>
      </c>
      <c r="B5096" s="3">
        <v>183</v>
      </c>
      <c r="C5096" s="32">
        <v>49298</v>
      </c>
      <c r="D5096" s="32" t="s">
        <v>87</v>
      </c>
      <c r="E50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7" spans="1:6" x14ac:dyDescent="0.35">
      <c r="A5097" s="3">
        <v>20770495709</v>
      </c>
      <c r="B5097" s="3">
        <v>227</v>
      </c>
      <c r="C5097" s="32">
        <v>49299</v>
      </c>
      <c r="D5097" s="32" t="s">
        <v>87</v>
      </c>
      <c r="E50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8" spans="1:6" x14ac:dyDescent="0.35">
      <c r="A5098" s="3">
        <v>78938249106</v>
      </c>
      <c r="B5098" s="3">
        <v>122</v>
      </c>
      <c r="C5098" s="32">
        <v>49299</v>
      </c>
      <c r="D5098" s="32" t="s">
        <v>87</v>
      </c>
      <c r="E50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9" spans="1:6" x14ac:dyDescent="0.35">
      <c r="A5099" s="3">
        <v>99168803075</v>
      </c>
      <c r="B5099" s="3">
        <v>261</v>
      </c>
      <c r="C5099" s="32">
        <v>49299</v>
      </c>
      <c r="D5099" s="32" t="s">
        <v>87</v>
      </c>
      <c r="E50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0" spans="1:6" x14ac:dyDescent="0.35">
      <c r="A5100" s="3">
        <v>42208072235</v>
      </c>
      <c r="B5100" s="3">
        <v>332</v>
      </c>
      <c r="C5100" s="32">
        <v>49299</v>
      </c>
      <c r="D5100" s="32" t="s">
        <v>87</v>
      </c>
      <c r="E5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1" spans="1:6" x14ac:dyDescent="0.35">
      <c r="A5101" s="3">
        <v>94467171709</v>
      </c>
      <c r="B5101" s="3">
        <v>83</v>
      </c>
      <c r="C5101" s="32">
        <v>49299</v>
      </c>
      <c r="D5101" s="32" t="s">
        <v>87</v>
      </c>
      <c r="E5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2" spans="1:6" x14ac:dyDescent="0.35">
      <c r="A5102" s="3">
        <v>20762297407</v>
      </c>
      <c r="B5102" s="3">
        <v>27</v>
      </c>
      <c r="C5102" s="32">
        <v>49299</v>
      </c>
      <c r="D5102" s="32" t="s">
        <v>87</v>
      </c>
      <c r="E5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3" spans="1:6" x14ac:dyDescent="0.35">
      <c r="A5103" s="3">
        <v>45260880510</v>
      </c>
      <c r="B5103" s="3">
        <v>123</v>
      </c>
      <c r="C5103" s="32">
        <v>49299</v>
      </c>
      <c r="D5103" s="32"/>
      <c r="E5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4" spans="1:6" x14ac:dyDescent="0.35">
      <c r="A5104" s="3">
        <v>12380800726</v>
      </c>
      <c r="B5104" s="3">
        <v>323</v>
      </c>
      <c r="C5104" s="32">
        <v>49299</v>
      </c>
      <c r="D5104" s="32" t="s">
        <v>87</v>
      </c>
      <c r="E5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5" spans="1:6" x14ac:dyDescent="0.35">
      <c r="A5105" s="3">
        <v>30657489616</v>
      </c>
      <c r="B5105" s="3">
        <v>58</v>
      </c>
      <c r="C5105" s="32">
        <v>49299</v>
      </c>
      <c r="D5105" s="32" t="s">
        <v>87</v>
      </c>
      <c r="E5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6" spans="1:6" x14ac:dyDescent="0.35">
      <c r="A5106" s="3">
        <v>74978472658</v>
      </c>
      <c r="B5106" s="3">
        <v>175</v>
      </c>
      <c r="C5106" s="32">
        <v>49299</v>
      </c>
      <c r="D5106" s="32" t="s">
        <v>87</v>
      </c>
      <c r="E5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7" spans="1:6" x14ac:dyDescent="0.35">
      <c r="A5107" s="3">
        <v>80958908095</v>
      </c>
      <c r="B5107" s="3">
        <v>29</v>
      </c>
      <c r="C5107" s="32">
        <v>49299</v>
      </c>
      <c r="D5107" s="32"/>
      <c r="E5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8" spans="1:6" x14ac:dyDescent="0.35">
      <c r="A5108" s="3">
        <v>17800440729</v>
      </c>
      <c r="B5108" s="3">
        <v>259</v>
      </c>
      <c r="C5108" s="32">
        <v>49299</v>
      </c>
      <c r="D5108" s="32" t="s">
        <v>87</v>
      </c>
      <c r="E5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9" spans="1:6" x14ac:dyDescent="0.35">
      <c r="A5109" s="3">
        <v>21747112461</v>
      </c>
      <c r="B5109" s="3">
        <v>233</v>
      </c>
      <c r="C5109" s="32">
        <v>49299</v>
      </c>
      <c r="D5109" s="32" t="s">
        <v>87</v>
      </c>
      <c r="E5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0" spans="1:6" x14ac:dyDescent="0.35">
      <c r="A5110" s="3">
        <v>52681334752</v>
      </c>
      <c r="B5110" s="3">
        <v>173</v>
      </c>
      <c r="C5110" s="32">
        <v>49299</v>
      </c>
      <c r="D5110" s="32" t="s">
        <v>87</v>
      </c>
      <c r="E5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1" spans="1:6" x14ac:dyDescent="0.35">
      <c r="A5111" s="3">
        <v>34399251153</v>
      </c>
      <c r="B5111" s="3">
        <v>61</v>
      </c>
      <c r="C5111" s="32">
        <v>49299</v>
      </c>
      <c r="D5111" s="32" t="s">
        <v>87</v>
      </c>
      <c r="E5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2" spans="1:6" x14ac:dyDescent="0.35">
      <c r="A5112" s="3">
        <v>52228946526</v>
      </c>
      <c r="B5112" s="3">
        <v>292</v>
      </c>
      <c r="C5112" s="32">
        <v>49299</v>
      </c>
      <c r="D5112" s="32" t="s">
        <v>87</v>
      </c>
      <c r="E5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3" spans="1:6" x14ac:dyDescent="0.35">
      <c r="A5113" s="3">
        <v>37337263088</v>
      </c>
      <c r="B5113" s="3">
        <v>74</v>
      </c>
      <c r="C5113" s="32">
        <v>49300</v>
      </c>
      <c r="D5113" s="32"/>
      <c r="E5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4" spans="1:6" x14ac:dyDescent="0.35">
      <c r="A5114" s="3">
        <v>69843263707</v>
      </c>
      <c r="B5114" s="3">
        <v>53</v>
      </c>
      <c r="C5114" s="32">
        <v>49300</v>
      </c>
      <c r="D5114" s="32" t="s">
        <v>87</v>
      </c>
      <c r="E5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5" spans="1:6" x14ac:dyDescent="0.35">
      <c r="A5115" s="3">
        <v>99881292073</v>
      </c>
      <c r="B5115" s="3">
        <v>300</v>
      </c>
      <c r="C5115" s="32">
        <v>49300</v>
      </c>
      <c r="D5115" s="32"/>
      <c r="E5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6" spans="1:6" x14ac:dyDescent="0.35">
      <c r="A5116" s="3">
        <v>69419568107</v>
      </c>
      <c r="B5116" s="3">
        <v>57</v>
      </c>
      <c r="C5116" s="32">
        <v>49300</v>
      </c>
      <c r="D5116" s="32">
        <v>49337</v>
      </c>
      <c r="E5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117" spans="1:6" x14ac:dyDescent="0.35">
      <c r="A5117" s="3">
        <v>18174821086</v>
      </c>
      <c r="B5117" s="3">
        <v>314</v>
      </c>
      <c r="C5117" s="32">
        <v>49300</v>
      </c>
      <c r="D5117" s="32" t="s">
        <v>87</v>
      </c>
      <c r="E5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8" spans="1:6" x14ac:dyDescent="0.35">
      <c r="A5118" s="3">
        <v>17031606503</v>
      </c>
      <c r="B5118" s="3">
        <v>38</v>
      </c>
      <c r="C5118" s="32">
        <v>49300</v>
      </c>
      <c r="D5118" s="32" t="s">
        <v>87</v>
      </c>
      <c r="E5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9" spans="1:6" x14ac:dyDescent="0.35">
      <c r="A5119" s="3">
        <v>99021774450</v>
      </c>
      <c r="B5119" s="3">
        <v>58</v>
      </c>
      <c r="C5119" s="32">
        <v>49300</v>
      </c>
      <c r="D5119" s="32" t="s">
        <v>87</v>
      </c>
      <c r="E5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0" spans="1:6" x14ac:dyDescent="0.35">
      <c r="A5120" s="3">
        <v>77645252410</v>
      </c>
      <c r="B5120" s="3">
        <v>8</v>
      </c>
      <c r="C5120" s="32">
        <v>49300</v>
      </c>
      <c r="D5120" s="32">
        <v>49341</v>
      </c>
      <c r="E5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21" spans="1:6" x14ac:dyDescent="0.35">
      <c r="A5121" s="3">
        <v>98455725514</v>
      </c>
      <c r="B5121" s="3">
        <v>174</v>
      </c>
      <c r="C5121" s="32">
        <v>49300</v>
      </c>
      <c r="D5121" s="32" t="s">
        <v>87</v>
      </c>
      <c r="E5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2" spans="1:6" x14ac:dyDescent="0.35">
      <c r="A5122" s="3">
        <v>96073073933</v>
      </c>
      <c r="B5122" s="3">
        <v>131</v>
      </c>
      <c r="C5122" s="32">
        <v>49300</v>
      </c>
      <c r="D5122" s="32" t="s">
        <v>87</v>
      </c>
      <c r="E5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3" spans="1:6" x14ac:dyDescent="0.35">
      <c r="A5123" s="3">
        <v>93588149535</v>
      </c>
      <c r="B5123" s="3">
        <v>221</v>
      </c>
      <c r="C5123" s="32">
        <v>49300</v>
      </c>
      <c r="D5123" s="32" t="s">
        <v>87</v>
      </c>
      <c r="E5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4" spans="1:6" x14ac:dyDescent="0.35">
      <c r="A5124" s="3">
        <v>52823385876</v>
      </c>
      <c r="B5124" s="3">
        <v>169</v>
      </c>
      <c r="C5124" s="32">
        <v>49300</v>
      </c>
      <c r="D5124" s="32" t="s">
        <v>87</v>
      </c>
      <c r="E5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5" spans="1:6" x14ac:dyDescent="0.35">
      <c r="A5125" s="3">
        <v>96406204455</v>
      </c>
      <c r="B5125" s="3">
        <v>206</v>
      </c>
      <c r="C5125" s="32">
        <v>49300</v>
      </c>
      <c r="D5125" s="32" t="s">
        <v>87</v>
      </c>
      <c r="E5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6" spans="1:6" x14ac:dyDescent="0.35">
      <c r="A5126" s="3">
        <v>79555861804</v>
      </c>
      <c r="B5126" s="3">
        <v>20</v>
      </c>
      <c r="C5126" s="32">
        <v>49300</v>
      </c>
      <c r="D5126" s="32" t="s">
        <v>87</v>
      </c>
      <c r="E5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7" spans="1:6" x14ac:dyDescent="0.35">
      <c r="A5127" s="3">
        <v>39936323255</v>
      </c>
      <c r="B5127" s="3">
        <v>204</v>
      </c>
      <c r="C5127" s="32">
        <v>49300</v>
      </c>
      <c r="D5127" s="32" t="s">
        <v>87</v>
      </c>
      <c r="E5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8" spans="1:6" x14ac:dyDescent="0.35">
      <c r="A5128" s="3">
        <v>72757610566</v>
      </c>
      <c r="B5128" s="3">
        <v>4</v>
      </c>
      <c r="C5128" s="32">
        <v>49300</v>
      </c>
      <c r="D5128" s="32" t="s">
        <v>87</v>
      </c>
      <c r="E5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9" spans="1:6" x14ac:dyDescent="0.35">
      <c r="A5129" s="3">
        <v>95926624201</v>
      </c>
      <c r="B5129" s="3">
        <v>196</v>
      </c>
      <c r="C5129" s="32">
        <v>49300</v>
      </c>
      <c r="D5129" s="32" t="s">
        <v>87</v>
      </c>
      <c r="E5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0" spans="1:6" x14ac:dyDescent="0.35">
      <c r="A5130" s="3">
        <v>69998495905</v>
      </c>
      <c r="B5130" s="3">
        <v>119</v>
      </c>
      <c r="C5130" s="32">
        <v>49300</v>
      </c>
      <c r="D5130" s="32" t="s">
        <v>87</v>
      </c>
      <c r="E5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1" spans="1:6" x14ac:dyDescent="0.35">
      <c r="A5131" s="3">
        <v>71513555131</v>
      </c>
      <c r="B5131" s="3">
        <v>129</v>
      </c>
      <c r="C5131" s="32">
        <v>49300</v>
      </c>
      <c r="D5131" s="32" t="s">
        <v>87</v>
      </c>
      <c r="E5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2" spans="1:6" x14ac:dyDescent="0.35">
      <c r="A5132" s="3">
        <v>58622053383</v>
      </c>
      <c r="B5132" s="3">
        <v>80</v>
      </c>
      <c r="C5132" s="32">
        <v>49300</v>
      </c>
      <c r="D5132" s="32" t="s">
        <v>87</v>
      </c>
      <c r="E5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3" spans="1:6" x14ac:dyDescent="0.35">
      <c r="A5133" s="3">
        <v>85044647536</v>
      </c>
      <c r="B5133" s="3">
        <v>320</v>
      </c>
      <c r="C5133" s="32">
        <v>49300</v>
      </c>
      <c r="D5133" s="32" t="s">
        <v>87</v>
      </c>
      <c r="E5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4" spans="1:6" x14ac:dyDescent="0.35">
      <c r="A5134" s="3">
        <v>13024795103</v>
      </c>
      <c r="B5134" s="3">
        <v>110</v>
      </c>
      <c r="C5134" s="32">
        <v>49300</v>
      </c>
      <c r="D5134" s="32" t="s">
        <v>87</v>
      </c>
      <c r="E5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5" spans="1:6" x14ac:dyDescent="0.35">
      <c r="A5135" s="3">
        <v>64302980735</v>
      </c>
      <c r="B5135" s="3">
        <v>223</v>
      </c>
      <c r="C5135" s="32">
        <v>49300</v>
      </c>
      <c r="D5135" s="32"/>
      <c r="E5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6" spans="1:6" x14ac:dyDescent="0.35">
      <c r="A5136" s="3">
        <v>74019722881</v>
      </c>
      <c r="B5136" s="3">
        <v>281</v>
      </c>
      <c r="C5136" s="32">
        <v>49300</v>
      </c>
      <c r="D5136" s="32" t="s">
        <v>87</v>
      </c>
      <c r="E5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7" spans="1:6" x14ac:dyDescent="0.35">
      <c r="A5137" s="3">
        <v>19091084795</v>
      </c>
      <c r="B5137" s="3">
        <v>50</v>
      </c>
      <c r="C5137" s="32">
        <v>49300</v>
      </c>
      <c r="D5137" s="32" t="s">
        <v>87</v>
      </c>
      <c r="E5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8" spans="1:6" x14ac:dyDescent="0.35">
      <c r="A5138" s="3">
        <v>17050301928</v>
      </c>
      <c r="B5138" s="3">
        <v>206</v>
      </c>
      <c r="C5138" s="32">
        <v>49301</v>
      </c>
      <c r="D5138" s="32">
        <v>49355</v>
      </c>
      <c r="E5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39" spans="1:6" x14ac:dyDescent="0.35">
      <c r="A5139" s="3">
        <v>41664598332</v>
      </c>
      <c r="B5139" s="3">
        <v>321</v>
      </c>
      <c r="C5139" s="32">
        <v>49301</v>
      </c>
      <c r="D5139" s="32" t="s">
        <v>87</v>
      </c>
      <c r="E5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0" spans="1:6" x14ac:dyDescent="0.35">
      <c r="A5140" s="3">
        <v>37077022405</v>
      </c>
      <c r="B5140" s="3">
        <v>187</v>
      </c>
      <c r="C5140" s="32">
        <v>49301</v>
      </c>
      <c r="D5140" s="32" t="s">
        <v>87</v>
      </c>
      <c r="E5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1" spans="1:6" x14ac:dyDescent="0.35">
      <c r="A5141" s="3">
        <v>49476406224</v>
      </c>
      <c r="B5141" s="3">
        <v>122</v>
      </c>
      <c r="C5141" s="32">
        <v>49301</v>
      </c>
      <c r="D5141" s="32" t="s">
        <v>87</v>
      </c>
      <c r="E5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2" spans="1:6" x14ac:dyDescent="0.35">
      <c r="A5142" s="3">
        <v>53167277790</v>
      </c>
      <c r="B5142" s="3">
        <v>227</v>
      </c>
      <c r="C5142" s="32">
        <v>49301</v>
      </c>
      <c r="D5142" s="32" t="s">
        <v>87</v>
      </c>
      <c r="E5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3" spans="1:6" x14ac:dyDescent="0.35">
      <c r="A5143" s="3">
        <v>84068503891</v>
      </c>
      <c r="B5143" s="3">
        <v>230</v>
      </c>
      <c r="C5143" s="32">
        <v>49301</v>
      </c>
      <c r="D5143" s="32" t="s">
        <v>87</v>
      </c>
      <c r="E5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4" spans="1:6" x14ac:dyDescent="0.35">
      <c r="A5144" s="3">
        <v>61846586896</v>
      </c>
      <c r="B5144" s="3">
        <v>176</v>
      </c>
      <c r="C5144" s="32">
        <v>49301</v>
      </c>
      <c r="D5144" s="32" t="s">
        <v>87</v>
      </c>
      <c r="E5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5" spans="1:6" x14ac:dyDescent="0.35">
      <c r="A5145" s="3">
        <v>42625750783</v>
      </c>
      <c r="B5145" s="3">
        <v>270</v>
      </c>
      <c r="C5145" s="32">
        <v>49301</v>
      </c>
      <c r="D5145" s="32"/>
      <c r="E5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6" spans="1:6" x14ac:dyDescent="0.35">
      <c r="A5146" s="3">
        <v>55158656640</v>
      </c>
      <c r="B5146" s="3">
        <v>309</v>
      </c>
      <c r="C5146" s="32">
        <v>49301</v>
      </c>
      <c r="D5146" s="32" t="s">
        <v>87</v>
      </c>
      <c r="E5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7" spans="1:6" x14ac:dyDescent="0.35">
      <c r="A5147" s="3">
        <v>63920158498</v>
      </c>
      <c r="B5147" s="3">
        <v>332</v>
      </c>
      <c r="C5147" s="32">
        <v>49301</v>
      </c>
      <c r="D5147" s="32">
        <v>49315</v>
      </c>
      <c r="E5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148" spans="1:6" x14ac:dyDescent="0.35">
      <c r="A5148" s="3">
        <v>98316566389</v>
      </c>
      <c r="B5148" s="3">
        <v>76</v>
      </c>
      <c r="C5148" s="32">
        <v>49301</v>
      </c>
      <c r="D5148" s="32" t="s">
        <v>87</v>
      </c>
      <c r="E5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9" spans="1:6" x14ac:dyDescent="0.35">
      <c r="A5149" s="3">
        <v>40663361798</v>
      </c>
      <c r="B5149" s="3">
        <v>172</v>
      </c>
      <c r="C5149" s="32">
        <v>49301</v>
      </c>
      <c r="D5149" s="32">
        <v>49360</v>
      </c>
      <c r="E5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50" spans="1:6" x14ac:dyDescent="0.35">
      <c r="A5150" s="3">
        <v>85759992341</v>
      </c>
      <c r="B5150" s="3">
        <v>92</v>
      </c>
      <c r="C5150" s="32">
        <v>49301</v>
      </c>
      <c r="D5150" s="32" t="s">
        <v>87</v>
      </c>
      <c r="E5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1" spans="1:6" x14ac:dyDescent="0.35">
      <c r="A5151" s="3">
        <v>54854676020</v>
      </c>
      <c r="B5151" s="3">
        <v>49</v>
      </c>
      <c r="C5151" s="32">
        <v>49301</v>
      </c>
      <c r="D5151" s="32" t="s">
        <v>87</v>
      </c>
      <c r="E5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2" spans="1:6" x14ac:dyDescent="0.35">
      <c r="A5152" s="3">
        <v>82176720217</v>
      </c>
      <c r="B5152" s="3">
        <v>340</v>
      </c>
      <c r="C5152" s="32">
        <v>49301</v>
      </c>
      <c r="D5152" s="32">
        <v>49311</v>
      </c>
      <c r="E5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153" spans="1:6" x14ac:dyDescent="0.35">
      <c r="A5153" s="3">
        <v>49718769879</v>
      </c>
      <c r="B5153" s="3">
        <v>200</v>
      </c>
      <c r="C5153" s="32">
        <v>49301</v>
      </c>
      <c r="D5153" s="32">
        <v>49351</v>
      </c>
      <c r="E5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54" spans="1:6" x14ac:dyDescent="0.35">
      <c r="A5154" s="3">
        <v>77864343873</v>
      </c>
      <c r="B5154" s="3">
        <v>192</v>
      </c>
      <c r="C5154" s="32">
        <v>49301</v>
      </c>
      <c r="D5154" s="32" t="s">
        <v>87</v>
      </c>
      <c r="E5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5" spans="1:6" x14ac:dyDescent="0.35">
      <c r="A5155" s="3">
        <v>60935697020</v>
      </c>
      <c r="B5155" s="3">
        <v>234</v>
      </c>
      <c r="C5155" s="32">
        <v>49301</v>
      </c>
      <c r="D5155" s="32" t="s">
        <v>87</v>
      </c>
      <c r="E5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6" spans="1:6" x14ac:dyDescent="0.35">
      <c r="A5156" s="3">
        <v>73672352434</v>
      </c>
      <c r="B5156" s="3">
        <v>246</v>
      </c>
      <c r="C5156" s="32">
        <v>49301</v>
      </c>
      <c r="D5156" s="32">
        <v>49340</v>
      </c>
      <c r="E5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157" spans="1:6" x14ac:dyDescent="0.35">
      <c r="A5157" s="3">
        <v>85248329840</v>
      </c>
      <c r="B5157" s="3">
        <v>201</v>
      </c>
      <c r="C5157" s="32">
        <v>49301</v>
      </c>
      <c r="D5157" s="32" t="s">
        <v>87</v>
      </c>
      <c r="E5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8" spans="1:6" x14ac:dyDescent="0.35">
      <c r="A5158" s="3">
        <v>98423003462</v>
      </c>
      <c r="B5158" s="3">
        <v>327</v>
      </c>
      <c r="C5158" s="32">
        <v>49301</v>
      </c>
      <c r="D5158" s="32" t="s">
        <v>87</v>
      </c>
      <c r="E5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9" spans="1:6" x14ac:dyDescent="0.35">
      <c r="A5159" s="3">
        <v>83053253940</v>
      </c>
      <c r="B5159" s="3">
        <v>76</v>
      </c>
      <c r="C5159" s="32">
        <v>49302</v>
      </c>
      <c r="D5159" s="32" t="s">
        <v>87</v>
      </c>
      <c r="E5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0" spans="1:6" x14ac:dyDescent="0.35">
      <c r="A5160" s="3">
        <v>60236226804</v>
      </c>
      <c r="B5160" s="3">
        <v>41</v>
      </c>
      <c r="C5160" s="32">
        <v>49302</v>
      </c>
      <c r="D5160" s="32">
        <v>49304</v>
      </c>
      <c r="E5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5161" spans="1:6" x14ac:dyDescent="0.35">
      <c r="A5161" s="3">
        <v>65084796193</v>
      </c>
      <c r="B5161" s="3">
        <v>127</v>
      </c>
      <c r="C5161" s="32">
        <v>49302</v>
      </c>
      <c r="D5161" s="32" t="s">
        <v>87</v>
      </c>
      <c r="E5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2" spans="1:6" x14ac:dyDescent="0.35">
      <c r="A5162" s="3">
        <v>98087884419</v>
      </c>
      <c r="B5162" s="3">
        <v>152</v>
      </c>
      <c r="C5162" s="32">
        <v>49302</v>
      </c>
      <c r="D5162" s="32"/>
      <c r="E5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3" spans="1:6" x14ac:dyDescent="0.35">
      <c r="A5163" s="3">
        <v>37673168739</v>
      </c>
      <c r="B5163" s="3">
        <v>126</v>
      </c>
      <c r="C5163" s="32">
        <v>49302</v>
      </c>
      <c r="D5163" s="32" t="s">
        <v>87</v>
      </c>
      <c r="E5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4" spans="1:6" x14ac:dyDescent="0.35">
      <c r="A5164" s="3">
        <v>31168533817</v>
      </c>
      <c r="B5164" s="3">
        <v>230</v>
      </c>
      <c r="C5164" s="32">
        <v>49302</v>
      </c>
      <c r="D5164" s="32"/>
      <c r="E5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5" spans="1:6" x14ac:dyDescent="0.35">
      <c r="A5165" s="3">
        <v>47920174875</v>
      </c>
      <c r="B5165" s="3">
        <v>290</v>
      </c>
      <c r="C5165" s="32">
        <v>49302</v>
      </c>
      <c r="D5165" s="32" t="s">
        <v>87</v>
      </c>
      <c r="E5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6" spans="1:6" x14ac:dyDescent="0.35">
      <c r="A5166" s="3">
        <v>25373337030</v>
      </c>
      <c r="B5166" s="3">
        <v>158</v>
      </c>
      <c r="C5166" s="32">
        <v>49302</v>
      </c>
      <c r="D5166" s="32" t="s">
        <v>87</v>
      </c>
      <c r="E5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7" spans="1:6" x14ac:dyDescent="0.35">
      <c r="A5167" s="3">
        <v>85536917444</v>
      </c>
      <c r="B5167" s="3">
        <v>52</v>
      </c>
      <c r="C5167" s="32">
        <v>49302</v>
      </c>
      <c r="D5167" s="32" t="s">
        <v>87</v>
      </c>
      <c r="E5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8" spans="1:6" x14ac:dyDescent="0.35">
      <c r="A5168" s="3">
        <v>54197701148</v>
      </c>
      <c r="B5168" s="3">
        <v>259</v>
      </c>
      <c r="C5168" s="32">
        <v>49302</v>
      </c>
      <c r="D5168" s="32">
        <v>49309</v>
      </c>
      <c r="E5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5169" spans="1:6" x14ac:dyDescent="0.35">
      <c r="A5169" s="3">
        <v>79363536692</v>
      </c>
      <c r="B5169" s="3">
        <v>45</v>
      </c>
      <c r="C5169" s="32">
        <v>49302</v>
      </c>
      <c r="D5169" s="32">
        <v>49358</v>
      </c>
      <c r="E5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70" spans="1:6" x14ac:dyDescent="0.35">
      <c r="A5170" s="3">
        <v>72679162495</v>
      </c>
      <c r="B5170" s="3">
        <v>138</v>
      </c>
      <c r="C5170" s="32">
        <v>49302</v>
      </c>
      <c r="D5170" s="32">
        <v>49356</v>
      </c>
      <c r="E5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71" spans="1:6" x14ac:dyDescent="0.35">
      <c r="A5171" s="3">
        <v>28644377972</v>
      </c>
      <c r="B5171" s="3">
        <v>149</v>
      </c>
      <c r="C5171" s="32">
        <v>49302</v>
      </c>
      <c r="D5171" s="32">
        <v>49363</v>
      </c>
      <c r="E5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72" spans="1:6" x14ac:dyDescent="0.35">
      <c r="A5172" s="3">
        <v>76552561369</v>
      </c>
      <c r="B5172" s="3">
        <v>228</v>
      </c>
      <c r="C5172" s="32">
        <v>49302</v>
      </c>
      <c r="D5172" s="32" t="s">
        <v>87</v>
      </c>
      <c r="E5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3" spans="1:6" x14ac:dyDescent="0.35">
      <c r="A5173" s="3">
        <v>42977992066</v>
      </c>
      <c r="B5173" s="3">
        <v>67</v>
      </c>
      <c r="C5173" s="32">
        <v>49302</v>
      </c>
      <c r="D5173" s="32" t="s">
        <v>87</v>
      </c>
      <c r="E5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4" spans="1:6" x14ac:dyDescent="0.35">
      <c r="A5174" s="3">
        <v>44720686082</v>
      </c>
      <c r="B5174" s="3">
        <v>330</v>
      </c>
      <c r="C5174" s="32">
        <v>49302</v>
      </c>
      <c r="D5174" s="32" t="s">
        <v>87</v>
      </c>
      <c r="E5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5" spans="1:6" x14ac:dyDescent="0.35">
      <c r="A5175" s="3">
        <v>61680260172</v>
      </c>
      <c r="B5175" s="3">
        <v>273</v>
      </c>
      <c r="C5175" s="32">
        <v>49302</v>
      </c>
      <c r="D5175" s="32">
        <v>49349</v>
      </c>
      <c r="E5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76" spans="1:6" x14ac:dyDescent="0.35">
      <c r="A5176" s="3">
        <v>41759245487</v>
      </c>
      <c r="B5176" s="3">
        <v>0</v>
      </c>
      <c r="C5176" s="32">
        <v>49302</v>
      </c>
      <c r="D5176" s="32" t="s">
        <v>87</v>
      </c>
      <c r="E5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7" spans="1:6" x14ac:dyDescent="0.35">
      <c r="A5177" s="3">
        <v>12156536147</v>
      </c>
      <c r="B5177" s="3">
        <v>26</v>
      </c>
      <c r="C5177" s="32">
        <v>49302</v>
      </c>
      <c r="D5177" s="32"/>
      <c r="E5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8" spans="1:6" x14ac:dyDescent="0.35">
      <c r="A5178" s="3">
        <v>96075573612</v>
      </c>
      <c r="B5178" s="3">
        <v>192</v>
      </c>
      <c r="C5178" s="32">
        <v>49302</v>
      </c>
      <c r="D5178" s="32" t="s">
        <v>87</v>
      </c>
      <c r="E5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9" spans="1:6" x14ac:dyDescent="0.35">
      <c r="A5179" s="3">
        <v>51369741156</v>
      </c>
      <c r="B5179" s="3">
        <v>274</v>
      </c>
      <c r="C5179" s="32">
        <v>49302</v>
      </c>
      <c r="D5179" s="32"/>
      <c r="E5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0" spans="1:6" x14ac:dyDescent="0.35">
      <c r="A5180" s="3">
        <v>78762366693</v>
      </c>
      <c r="B5180" s="3">
        <v>2</v>
      </c>
      <c r="C5180" s="32">
        <v>49302</v>
      </c>
      <c r="D5180" s="32">
        <v>49335</v>
      </c>
      <c r="E5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181" spans="1:6" x14ac:dyDescent="0.35">
      <c r="A5181" s="3">
        <v>49788980714</v>
      </c>
      <c r="B5181" s="3">
        <v>309</v>
      </c>
      <c r="C5181" s="32">
        <v>49302</v>
      </c>
      <c r="D5181" s="32"/>
      <c r="E5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2" spans="1:6" x14ac:dyDescent="0.35">
      <c r="A5182" s="3">
        <v>14179992202</v>
      </c>
      <c r="B5182" s="3">
        <v>130</v>
      </c>
      <c r="C5182" s="32">
        <v>49302</v>
      </c>
      <c r="D5182" s="32" t="s">
        <v>87</v>
      </c>
      <c r="E5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3" spans="1:6" x14ac:dyDescent="0.35">
      <c r="A5183" s="3">
        <v>55911326683</v>
      </c>
      <c r="B5183" s="3">
        <v>253</v>
      </c>
      <c r="C5183" s="32">
        <v>49302</v>
      </c>
      <c r="D5183" s="32" t="s">
        <v>87</v>
      </c>
      <c r="E5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4" spans="1:6" x14ac:dyDescent="0.35">
      <c r="A5184" s="3">
        <v>20538250111</v>
      </c>
      <c r="B5184" s="3">
        <v>157</v>
      </c>
      <c r="C5184" s="32">
        <v>49302</v>
      </c>
      <c r="D5184" s="32">
        <v>49318</v>
      </c>
      <c r="E5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185" spans="1:6" x14ac:dyDescent="0.35">
      <c r="A5185" s="3">
        <v>87821113027</v>
      </c>
      <c r="B5185" s="3">
        <v>164</v>
      </c>
      <c r="C5185" s="32">
        <v>49302</v>
      </c>
      <c r="D5185" s="32" t="s">
        <v>87</v>
      </c>
      <c r="E5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6" spans="1:6" x14ac:dyDescent="0.35">
      <c r="A5186" s="3">
        <v>43738729305</v>
      </c>
      <c r="B5186" s="3">
        <v>140</v>
      </c>
      <c r="C5186" s="32">
        <v>49302</v>
      </c>
      <c r="D5186" s="32"/>
      <c r="E5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7" spans="1:6" x14ac:dyDescent="0.35">
      <c r="A5187" s="3">
        <v>65779423762</v>
      </c>
      <c r="B5187" s="3">
        <v>295</v>
      </c>
      <c r="C5187" s="32">
        <v>49303</v>
      </c>
      <c r="D5187" s="32">
        <v>49341</v>
      </c>
      <c r="E5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88" spans="1:6" x14ac:dyDescent="0.35">
      <c r="A5188" s="3">
        <v>14665596204</v>
      </c>
      <c r="B5188" s="3">
        <v>329</v>
      </c>
      <c r="C5188" s="32">
        <v>49303</v>
      </c>
      <c r="D5188" s="32" t="s">
        <v>87</v>
      </c>
      <c r="E5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9" spans="1:6" x14ac:dyDescent="0.35">
      <c r="A5189" s="3">
        <v>82275797964</v>
      </c>
      <c r="B5189" s="3">
        <v>155</v>
      </c>
      <c r="C5189" s="32">
        <v>49303</v>
      </c>
      <c r="D5189" s="32"/>
      <c r="E5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0" spans="1:6" x14ac:dyDescent="0.35">
      <c r="A5190" s="3">
        <v>85616472608</v>
      </c>
      <c r="B5190" s="3">
        <v>193</v>
      </c>
      <c r="C5190" s="32">
        <v>49303</v>
      </c>
      <c r="D5190" s="32">
        <v>49365</v>
      </c>
      <c r="E5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91" spans="1:6" x14ac:dyDescent="0.35">
      <c r="A5191" s="3">
        <v>35212387306</v>
      </c>
      <c r="B5191" s="3">
        <v>312</v>
      </c>
      <c r="C5191" s="32">
        <v>49303</v>
      </c>
      <c r="D5191" s="32" t="s">
        <v>87</v>
      </c>
      <c r="E5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2" spans="1:6" x14ac:dyDescent="0.35">
      <c r="A5192" s="3">
        <v>34725844026</v>
      </c>
      <c r="B5192" s="3">
        <v>81</v>
      </c>
      <c r="C5192" s="32">
        <v>49303</v>
      </c>
      <c r="D5192" s="32" t="s">
        <v>87</v>
      </c>
      <c r="E5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3" spans="1:6" x14ac:dyDescent="0.35">
      <c r="A5193" s="3">
        <v>77313234900</v>
      </c>
      <c r="B5193" s="3">
        <v>129</v>
      </c>
      <c r="C5193" s="32">
        <v>49303</v>
      </c>
      <c r="D5193" s="32" t="s">
        <v>87</v>
      </c>
      <c r="E5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4" spans="1:6" x14ac:dyDescent="0.35">
      <c r="A5194" s="3">
        <v>82557092333</v>
      </c>
      <c r="B5194" s="3">
        <v>170</v>
      </c>
      <c r="C5194" s="32">
        <v>49303</v>
      </c>
      <c r="D5194" s="32" t="s">
        <v>87</v>
      </c>
      <c r="E5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5" spans="1:6" x14ac:dyDescent="0.35">
      <c r="A5195" s="3">
        <v>76336855301</v>
      </c>
      <c r="B5195" s="3">
        <v>202</v>
      </c>
      <c r="C5195" s="32">
        <v>49303</v>
      </c>
      <c r="D5195" s="32" t="s">
        <v>87</v>
      </c>
      <c r="E5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6" spans="1:6" x14ac:dyDescent="0.35">
      <c r="A5196" s="3">
        <v>97631003005</v>
      </c>
      <c r="B5196" s="3">
        <v>229</v>
      </c>
      <c r="C5196" s="32">
        <v>49303</v>
      </c>
      <c r="D5196" s="32"/>
      <c r="E5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7" spans="1:6" x14ac:dyDescent="0.35">
      <c r="A5197" s="3">
        <v>11364461428</v>
      </c>
      <c r="B5197" s="3">
        <v>224</v>
      </c>
      <c r="C5197" s="32">
        <v>49303</v>
      </c>
      <c r="D5197" s="32">
        <v>49347</v>
      </c>
      <c r="E5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98" spans="1:6" x14ac:dyDescent="0.35">
      <c r="A5198" s="3">
        <v>90298713558</v>
      </c>
      <c r="B5198" s="3">
        <v>339</v>
      </c>
      <c r="C5198" s="32">
        <v>49303</v>
      </c>
      <c r="D5198" s="32" t="s">
        <v>87</v>
      </c>
      <c r="E51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9" spans="1:6" x14ac:dyDescent="0.35">
      <c r="A5199" s="3">
        <v>61862795311</v>
      </c>
      <c r="B5199" s="3">
        <v>216</v>
      </c>
      <c r="C5199" s="32">
        <v>49303</v>
      </c>
      <c r="D5199" s="32" t="s">
        <v>87</v>
      </c>
      <c r="E51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0" spans="1:6" x14ac:dyDescent="0.35">
      <c r="A5200" s="3">
        <v>92892054047</v>
      </c>
      <c r="B5200" s="3">
        <v>43</v>
      </c>
      <c r="C5200" s="32">
        <v>49303</v>
      </c>
      <c r="D5200" s="32" t="s">
        <v>87</v>
      </c>
      <c r="E52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1" spans="1:6" x14ac:dyDescent="0.35">
      <c r="A5201" s="3">
        <v>60254847051</v>
      </c>
      <c r="B5201" s="3">
        <v>242</v>
      </c>
      <c r="C5201" s="32">
        <v>49303</v>
      </c>
      <c r="D5201" s="32" t="s">
        <v>87</v>
      </c>
      <c r="E52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2" spans="1:6" x14ac:dyDescent="0.35">
      <c r="A5202" s="3">
        <v>67821266849</v>
      </c>
      <c r="B5202" s="3">
        <v>270</v>
      </c>
      <c r="C5202" s="32">
        <v>49303</v>
      </c>
      <c r="D5202" s="32" t="s">
        <v>87</v>
      </c>
      <c r="E52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3" spans="1:6" x14ac:dyDescent="0.35">
      <c r="A5203" s="3">
        <v>89706208060</v>
      </c>
      <c r="B5203" s="3">
        <v>97</v>
      </c>
      <c r="C5203" s="32">
        <v>49303</v>
      </c>
      <c r="D5203" s="32" t="s">
        <v>87</v>
      </c>
      <c r="E52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4" spans="1:6" x14ac:dyDescent="0.35">
      <c r="A5204" s="3">
        <v>81312184649</v>
      </c>
      <c r="B5204" s="3">
        <v>258</v>
      </c>
      <c r="C5204" s="32">
        <v>49303</v>
      </c>
      <c r="D5204" s="32" t="s">
        <v>87</v>
      </c>
      <c r="E52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5" spans="1:6" x14ac:dyDescent="0.35">
      <c r="A5205" s="3">
        <v>82737055901</v>
      </c>
      <c r="B5205" s="3">
        <v>171</v>
      </c>
      <c r="C5205" s="32">
        <v>49303</v>
      </c>
      <c r="D5205" s="32">
        <v>49328</v>
      </c>
      <c r="E52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06" spans="1:6" x14ac:dyDescent="0.35">
      <c r="A5206" s="3">
        <v>79667771630</v>
      </c>
      <c r="B5206" s="3">
        <v>189</v>
      </c>
      <c r="C5206" s="32">
        <v>49303</v>
      </c>
      <c r="D5206" s="32" t="s">
        <v>87</v>
      </c>
      <c r="E52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7" spans="1:6" x14ac:dyDescent="0.35">
      <c r="A5207" s="3">
        <v>80462125848</v>
      </c>
      <c r="B5207" s="3">
        <v>210</v>
      </c>
      <c r="C5207" s="32">
        <v>49303</v>
      </c>
      <c r="D5207" s="32" t="s">
        <v>87</v>
      </c>
      <c r="E52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8" spans="1:6" x14ac:dyDescent="0.35">
      <c r="A5208" s="3">
        <v>77014543954</v>
      </c>
      <c r="B5208" s="3">
        <v>70</v>
      </c>
      <c r="C5208" s="32">
        <v>49303</v>
      </c>
      <c r="D5208" s="32" t="s">
        <v>87</v>
      </c>
      <c r="E52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9" spans="1:6" x14ac:dyDescent="0.35">
      <c r="A5209" s="3">
        <v>57478889023</v>
      </c>
      <c r="B5209" s="3">
        <v>27</v>
      </c>
      <c r="C5209" s="32">
        <v>49303</v>
      </c>
      <c r="D5209" s="32" t="s">
        <v>87</v>
      </c>
      <c r="E52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0" spans="1:6" x14ac:dyDescent="0.35">
      <c r="A5210" s="3">
        <v>31769625931</v>
      </c>
      <c r="B5210" s="3">
        <v>162</v>
      </c>
      <c r="C5210" s="32">
        <v>49303</v>
      </c>
      <c r="D5210" s="32" t="s">
        <v>87</v>
      </c>
      <c r="E52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1" spans="1:6" x14ac:dyDescent="0.35">
      <c r="A5211" s="3">
        <v>73989872093</v>
      </c>
      <c r="B5211" s="3">
        <v>267</v>
      </c>
      <c r="C5211" s="32">
        <v>49303</v>
      </c>
      <c r="D5211" s="32">
        <v>49324</v>
      </c>
      <c r="E52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12" spans="1:6" x14ac:dyDescent="0.35">
      <c r="A5212" s="3">
        <v>15983451570</v>
      </c>
      <c r="B5212" s="3">
        <v>17</v>
      </c>
      <c r="C5212" s="32">
        <v>49303</v>
      </c>
      <c r="D5212" s="32">
        <v>49325</v>
      </c>
      <c r="E52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13" spans="1:6" x14ac:dyDescent="0.35">
      <c r="A5213" s="3">
        <v>54608634000</v>
      </c>
      <c r="B5213" s="3">
        <v>11</v>
      </c>
      <c r="C5213" s="32">
        <v>49303</v>
      </c>
      <c r="D5213" s="32" t="s">
        <v>87</v>
      </c>
      <c r="E52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4" spans="1:6" x14ac:dyDescent="0.35">
      <c r="A5214" s="3">
        <v>86134241891</v>
      </c>
      <c r="B5214" s="3">
        <v>308</v>
      </c>
      <c r="C5214" s="32">
        <v>49303</v>
      </c>
      <c r="D5214" s="32">
        <v>49318</v>
      </c>
      <c r="E52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15" spans="1:6" x14ac:dyDescent="0.35">
      <c r="A5215" s="3">
        <v>31413605097</v>
      </c>
      <c r="B5215" s="3">
        <v>59</v>
      </c>
      <c r="C5215" s="32">
        <v>49303</v>
      </c>
      <c r="D5215" s="32" t="s">
        <v>87</v>
      </c>
      <c r="E52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6" spans="1:6" x14ac:dyDescent="0.35">
      <c r="A5216" s="3">
        <v>56330054903</v>
      </c>
      <c r="B5216" s="3">
        <v>93</v>
      </c>
      <c r="C5216" s="32">
        <v>49304</v>
      </c>
      <c r="D5216" s="32" t="s">
        <v>87</v>
      </c>
      <c r="E52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7" spans="1:6" x14ac:dyDescent="0.35">
      <c r="A5217" s="3">
        <v>68029407313</v>
      </c>
      <c r="B5217" s="3">
        <v>295</v>
      </c>
      <c r="C5217" s="32">
        <v>49304</v>
      </c>
      <c r="D5217" s="32" t="s">
        <v>87</v>
      </c>
      <c r="E52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8" spans="1:6" x14ac:dyDescent="0.35">
      <c r="A5218" s="3">
        <v>88431379349</v>
      </c>
      <c r="B5218" s="3">
        <v>69</v>
      </c>
      <c r="C5218" s="32">
        <v>49304</v>
      </c>
      <c r="D5218" s="32" t="s">
        <v>87</v>
      </c>
      <c r="E52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9" spans="1:6" x14ac:dyDescent="0.35">
      <c r="A5219" s="3">
        <v>38660805352</v>
      </c>
      <c r="B5219" s="3">
        <v>72</v>
      </c>
      <c r="C5219" s="32">
        <v>49304</v>
      </c>
      <c r="D5219" s="32">
        <v>49315</v>
      </c>
      <c r="E52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20" spans="1:6" x14ac:dyDescent="0.35">
      <c r="A5220" s="3">
        <v>88192418195</v>
      </c>
      <c r="B5220" s="3">
        <v>225</v>
      </c>
      <c r="C5220" s="32">
        <v>49304</v>
      </c>
      <c r="D5220" s="32" t="s">
        <v>87</v>
      </c>
      <c r="E52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1" spans="1:6" x14ac:dyDescent="0.35">
      <c r="A5221" s="3">
        <v>75256707875</v>
      </c>
      <c r="B5221" s="3">
        <v>104</v>
      </c>
      <c r="C5221" s="32">
        <v>49304</v>
      </c>
      <c r="D5221" s="32" t="s">
        <v>87</v>
      </c>
      <c r="E52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2" spans="1:6" x14ac:dyDescent="0.35">
      <c r="A5222" s="3">
        <v>16582190176</v>
      </c>
      <c r="B5222" s="3">
        <v>120</v>
      </c>
      <c r="C5222" s="32">
        <v>49304</v>
      </c>
      <c r="D5222" s="32" t="s">
        <v>87</v>
      </c>
      <c r="E52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3" spans="1:6" x14ac:dyDescent="0.35">
      <c r="A5223" s="3">
        <v>81521458532</v>
      </c>
      <c r="B5223" s="3">
        <v>67</v>
      </c>
      <c r="C5223" s="32">
        <v>49304</v>
      </c>
      <c r="D5223" s="32" t="s">
        <v>87</v>
      </c>
      <c r="E52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4" spans="1:6" x14ac:dyDescent="0.35">
      <c r="A5224" s="3">
        <v>39556130617</v>
      </c>
      <c r="B5224" s="3">
        <v>45</v>
      </c>
      <c r="C5224" s="32">
        <v>49304</v>
      </c>
      <c r="D5224" s="32" t="s">
        <v>87</v>
      </c>
      <c r="E52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5" spans="1:6" x14ac:dyDescent="0.35">
      <c r="A5225" s="3">
        <v>78355546812</v>
      </c>
      <c r="B5225" s="3">
        <v>61</v>
      </c>
      <c r="C5225" s="32">
        <v>49304</v>
      </c>
      <c r="D5225" s="32"/>
      <c r="E52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6" spans="1:6" x14ac:dyDescent="0.35">
      <c r="A5226" s="3">
        <v>28547380248</v>
      </c>
      <c r="B5226" s="3">
        <v>257</v>
      </c>
      <c r="C5226" s="32">
        <v>49304</v>
      </c>
      <c r="D5226" s="32">
        <v>49321</v>
      </c>
      <c r="E52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27" spans="1:6" x14ac:dyDescent="0.35">
      <c r="A5227" s="3">
        <v>32700707165</v>
      </c>
      <c r="B5227" s="3">
        <v>35</v>
      </c>
      <c r="C5227" s="32">
        <v>49304</v>
      </c>
      <c r="D5227" s="32" t="s">
        <v>87</v>
      </c>
      <c r="E52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8" spans="1:6" x14ac:dyDescent="0.35">
      <c r="A5228" s="3">
        <v>26881306508</v>
      </c>
      <c r="B5228" s="3">
        <v>17</v>
      </c>
      <c r="C5228" s="32">
        <v>49304</v>
      </c>
      <c r="D5228" s="32" t="s">
        <v>87</v>
      </c>
      <c r="E52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9" spans="1:6" x14ac:dyDescent="0.35">
      <c r="A5229" s="3">
        <v>41874854472</v>
      </c>
      <c r="B5229" s="3">
        <v>78</v>
      </c>
      <c r="C5229" s="32">
        <v>49304</v>
      </c>
      <c r="D5229" s="32" t="s">
        <v>87</v>
      </c>
      <c r="E52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0" spans="1:6" x14ac:dyDescent="0.35">
      <c r="A5230" s="3">
        <v>48363947069</v>
      </c>
      <c r="B5230" s="3">
        <v>66</v>
      </c>
      <c r="C5230" s="32">
        <v>49304</v>
      </c>
      <c r="D5230" s="32" t="s">
        <v>87</v>
      </c>
      <c r="E52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1" spans="1:6" x14ac:dyDescent="0.35">
      <c r="A5231" s="3">
        <v>29231711986</v>
      </c>
      <c r="B5231" s="3">
        <v>235</v>
      </c>
      <c r="C5231" s="32">
        <v>49304</v>
      </c>
      <c r="D5231" s="32" t="s">
        <v>87</v>
      </c>
      <c r="E52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2" spans="1:6" x14ac:dyDescent="0.35">
      <c r="A5232" s="3">
        <v>18816217669</v>
      </c>
      <c r="B5232" s="3">
        <v>333</v>
      </c>
      <c r="C5232" s="32">
        <v>49304</v>
      </c>
      <c r="D5232" s="32" t="s">
        <v>87</v>
      </c>
      <c r="E52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3" spans="1:6" x14ac:dyDescent="0.35">
      <c r="A5233" s="3">
        <v>17074645514</v>
      </c>
      <c r="B5233" s="3">
        <v>41</v>
      </c>
      <c r="C5233" s="32">
        <v>49304</v>
      </c>
      <c r="D5233" s="32" t="s">
        <v>87</v>
      </c>
      <c r="E52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4" spans="1:6" x14ac:dyDescent="0.35">
      <c r="A5234" s="3">
        <v>65359903933</v>
      </c>
      <c r="B5234" s="3">
        <v>95</v>
      </c>
      <c r="C5234" s="32">
        <v>49304</v>
      </c>
      <c r="D5234" s="32"/>
      <c r="E52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5" spans="1:6" x14ac:dyDescent="0.35">
      <c r="A5235" s="3">
        <v>12712046433</v>
      </c>
      <c r="B5235" s="3">
        <v>135</v>
      </c>
      <c r="C5235" s="32">
        <v>49304</v>
      </c>
      <c r="D5235" s="32" t="s">
        <v>87</v>
      </c>
      <c r="E52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6" spans="1:6" x14ac:dyDescent="0.35">
      <c r="A5236" s="3">
        <v>74761648583</v>
      </c>
      <c r="B5236" s="3">
        <v>122</v>
      </c>
      <c r="C5236" s="32">
        <v>49304</v>
      </c>
      <c r="D5236" s="32" t="s">
        <v>87</v>
      </c>
      <c r="E52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7" spans="1:6" x14ac:dyDescent="0.35">
      <c r="A5237" s="3">
        <v>21677850109</v>
      </c>
      <c r="B5237" s="3">
        <v>118</v>
      </c>
      <c r="C5237" s="32">
        <v>49304</v>
      </c>
      <c r="D5237" s="32" t="s">
        <v>87</v>
      </c>
      <c r="E52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8" spans="1:6" x14ac:dyDescent="0.35">
      <c r="A5238" s="3">
        <v>87910793775</v>
      </c>
      <c r="B5238" s="3">
        <v>212</v>
      </c>
      <c r="C5238" s="32">
        <v>49304</v>
      </c>
      <c r="D5238" s="32" t="s">
        <v>87</v>
      </c>
      <c r="E52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9" spans="1:6" x14ac:dyDescent="0.35">
      <c r="A5239" s="3">
        <v>74352924924</v>
      </c>
      <c r="B5239" s="3">
        <v>29</v>
      </c>
      <c r="C5239" s="32">
        <v>49304</v>
      </c>
      <c r="D5239" s="32" t="s">
        <v>87</v>
      </c>
      <c r="E52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40" spans="1:6" x14ac:dyDescent="0.35">
      <c r="A5240" s="3">
        <v>52456987421</v>
      </c>
      <c r="B5240" s="3">
        <v>41</v>
      </c>
      <c r="C5240" s="32">
        <v>49304</v>
      </c>
      <c r="D5240" s="32">
        <v>49339</v>
      </c>
      <c r="E52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41" spans="1:6" x14ac:dyDescent="0.35">
      <c r="A5241" s="3">
        <v>74584124877</v>
      </c>
      <c r="B5241" s="3">
        <v>17</v>
      </c>
      <c r="C5241" s="32">
        <v>49304</v>
      </c>
      <c r="D5241" s="32" t="s">
        <v>87</v>
      </c>
      <c r="E52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42" spans="1:6" x14ac:dyDescent="0.35">
      <c r="A5242" s="3">
        <v>48191970612</v>
      </c>
      <c r="B5242" s="3">
        <v>148</v>
      </c>
      <c r="C5242" s="32">
        <v>49304</v>
      </c>
      <c r="D5242" s="32" t="s">
        <v>87</v>
      </c>
      <c r="E52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43" spans="1:6" x14ac:dyDescent="0.35">
      <c r="A5243" s="3">
        <v>38884278985</v>
      </c>
      <c r="B5243" s="3">
        <v>191</v>
      </c>
      <c r="C5243" s="32">
        <v>49304</v>
      </c>
      <c r="D5243" s="32">
        <v>49326</v>
      </c>
      <c r="E52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44" spans="1:6" x14ac:dyDescent="0.35">
      <c r="A5244" s="3">
        <v>81040825329</v>
      </c>
      <c r="B5244" s="3">
        <v>250</v>
      </c>
      <c r="C5244" s="32">
        <v>49304</v>
      </c>
      <c r="D5244" s="32" t="s">
        <v>87</v>
      </c>
      <c r="E52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45" spans="1:6" x14ac:dyDescent="0.35">
      <c r="A5245" s="3">
        <v>55389276774</v>
      </c>
      <c r="B5245" s="3">
        <v>119</v>
      </c>
      <c r="C5245" s="32">
        <v>49304</v>
      </c>
      <c r="D5245" s="32">
        <v>49348</v>
      </c>
      <c r="E52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246" spans="1:6" x14ac:dyDescent="0.35">
      <c r="A5246" s="3">
        <v>30053422823</v>
      </c>
      <c r="B5246" s="3">
        <v>25</v>
      </c>
      <c r="C5246" s="32">
        <v>49304</v>
      </c>
      <c r="D5246" s="32">
        <v>49349</v>
      </c>
      <c r="E52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247" spans="1:6" x14ac:dyDescent="0.35">
      <c r="A5247" s="3">
        <v>57520953636</v>
      </c>
      <c r="B5247" s="3">
        <v>327</v>
      </c>
      <c r="C5247" s="32">
        <v>49305</v>
      </c>
      <c r="D5247" s="32">
        <v>49338</v>
      </c>
      <c r="E52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48" spans="1:6" x14ac:dyDescent="0.35">
      <c r="A5248" s="3">
        <v>94131833209</v>
      </c>
      <c r="B5248" s="3">
        <v>153</v>
      </c>
      <c r="C5248" s="32">
        <v>49305</v>
      </c>
      <c r="D5248" s="32" t="s">
        <v>87</v>
      </c>
      <c r="E52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49" spans="1:6" x14ac:dyDescent="0.35">
      <c r="A5249" s="3">
        <v>45020000514</v>
      </c>
      <c r="B5249" s="3">
        <v>24</v>
      </c>
      <c r="C5249" s="32">
        <v>49305</v>
      </c>
      <c r="D5249" s="32" t="s">
        <v>87</v>
      </c>
      <c r="E52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0" spans="1:6" x14ac:dyDescent="0.35">
      <c r="A5250" s="3">
        <v>34584596303</v>
      </c>
      <c r="B5250" s="3">
        <v>339</v>
      </c>
      <c r="C5250" s="32">
        <v>49305</v>
      </c>
      <c r="D5250" s="32" t="s">
        <v>87</v>
      </c>
      <c r="E52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1" spans="1:6" x14ac:dyDescent="0.35">
      <c r="A5251" s="3">
        <v>63899907711</v>
      </c>
      <c r="B5251" s="3">
        <v>70</v>
      </c>
      <c r="C5251" s="32">
        <v>49305</v>
      </c>
      <c r="D5251" s="32" t="s">
        <v>87</v>
      </c>
      <c r="E52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2" spans="1:6" x14ac:dyDescent="0.35">
      <c r="A5252" s="3">
        <v>41643802120</v>
      </c>
      <c r="B5252" s="3">
        <v>110</v>
      </c>
      <c r="C5252" s="32">
        <v>49305</v>
      </c>
      <c r="D5252" s="32"/>
      <c r="E52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3" spans="1:6" x14ac:dyDescent="0.35">
      <c r="A5253" s="3">
        <v>95205002946</v>
      </c>
      <c r="B5253" s="3">
        <v>222</v>
      </c>
      <c r="C5253" s="32">
        <v>49305</v>
      </c>
      <c r="D5253" s="32" t="s">
        <v>87</v>
      </c>
      <c r="E52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4" spans="1:6" x14ac:dyDescent="0.35">
      <c r="A5254" s="3">
        <v>65244060965</v>
      </c>
      <c r="B5254" s="3">
        <v>171</v>
      </c>
      <c r="C5254" s="32">
        <v>49305</v>
      </c>
      <c r="D5254" s="32"/>
      <c r="E52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5" spans="1:6" x14ac:dyDescent="0.35">
      <c r="A5255" s="3">
        <v>25922347457</v>
      </c>
      <c r="B5255" s="3">
        <v>47</v>
      </c>
      <c r="C5255" s="32">
        <v>49305</v>
      </c>
      <c r="D5255" s="32"/>
      <c r="E52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6" spans="1:6" x14ac:dyDescent="0.35">
      <c r="A5256" s="3">
        <v>87469437960</v>
      </c>
      <c r="B5256" s="3">
        <v>250</v>
      </c>
      <c r="C5256" s="32">
        <v>49305</v>
      </c>
      <c r="D5256" s="32"/>
      <c r="E52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7" spans="1:6" x14ac:dyDescent="0.35">
      <c r="A5257" s="3">
        <v>42168593894</v>
      </c>
      <c r="B5257" s="3">
        <v>120</v>
      </c>
      <c r="C5257" s="32">
        <v>49305</v>
      </c>
      <c r="D5257" s="32">
        <v>49347</v>
      </c>
      <c r="E52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258" spans="1:6" x14ac:dyDescent="0.35">
      <c r="A5258" s="3">
        <v>41902730385</v>
      </c>
      <c r="B5258" s="3">
        <v>11</v>
      </c>
      <c r="C5258" s="32">
        <v>49305</v>
      </c>
      <c r="D5258" s="32" t="s">
        <v>87</v>
      </c>
      <c r="E52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9" spans="1:6" x14ac:dyDescent="0.35">
      <c r="A5259" s="3">
        <v>81452714488</v>
      </c>
      <c r="B5259" s="3">
        <v>247</v>
      </c>
      <c r="C5259" s="32">
        <v>49305</v>
      </c>
      <c r="D5259" s="32" t="s">
        <v>87</v>
      </c>
      <c r="E52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0" spans="1:6" x14ac:dyDescent="0.35">
      <c r="A5260" s="3">
        <v>69914794522</v>
      </c>
      <c r="B5260" s="3">
        <v>8</v>
      </c>
      <c r="C5260" s="32">
        <v>49305</v>
      </c>
      <c r="D5260" s="32" t="s">
        <v>87</v>
      </c>
      <c r="E52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1" spans="1:6" x14ac:dyDescent="0.35">
      <c r="A5261" s="3">
        <v>58450424981</v>
      </c>
      <c r="B5261" s="3">
        <v>273</v>
      </c>
      <c r="C5261" s="32">
        <v>49305</v>
      </c>
      <c r="D5261" s="32" t="s">
        <v>87</v>
      </c>
      <c r="E52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2" spans="1:6" x14ac:dyDescent="0.35">
      <c r="A5262" s="3">
        <v>50737135317</v>
      </c>
      <c r="B5262" s="3">
        <v>128</v>
      </c>
      <c r="C5262" s="32">
        <v>49305</v>
      </c>
      <c r="D5262" s="32">
        <v>49344</v>
      </c>
      <c r="E52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263" spans="1:6" x14ac:dyDescent="0.35">
      <c r="A5263" s="3">
        <v>29257125431</v>
      </c>
      <c r="B5263" s="3">
        <v>68</v>
      </c>
      <c r="C5263" s="32">
        <v>49305</v>
      </c>
      <c r="D5263" s="32" t="s">
        <v>87</v>
      </c>
      <c r="E52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4" spans="1:6" x14ac:dyDescent="0.35">
      <c r="A5264" s="3">
        <v>91196276597</v>
      </c>
      <c r="B5264" s="3">
        <v>247</v>
      </c>
      <c r="C5264" s="32">
        <v>49306</v>
      </c>
      <c r="D5264" s="32" t="s">
        <v>87</v>
      </c>
      <c r="E52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5" spans="1:6" x14ac:dyDescent="0.35">
      <c r="A5265" s="3">
        <v>82112206633</v>
      </c>
      <c r="B5265" s="3">
        <v>210</v>
      </c>
      <c r="C5265" s="32">
        <v>49306</v>
      </c>
      <c r="D5265" s="32" t="s">
        <v>87</v>
      </c>
      <c r="E52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6" spans="1:6" x14ac:dyDescent="0.35">
      <c r="A5266" s="3">
        <v>81244488119</v>
      </c>
      <c r="B5266" s="3">
        <v>213</v>
      </c>
      <c r="C5266" s="32">
        <v>49306</v>
      </c>
      <c r="D5266" s="32" t="s">
        <v>87</v>
      </c>
      <c r="E52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7" spans="1:6" x14ac:dyDescent="0.35">
      <c r="A5267" s="3">
        <v>65628851954</v>
      </c>
      <c r="B5267" s="3">
        <v>221</v>
      </c>
      <c r="C5267" s="32">
        <v>49306</v>
      </c>
      <c r="D5267" s="32" t="s">
        <v>87</v>
      </c>
      <c r="E52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8" spans="1:6" x14ac:dyDescent="0.35">
      <c r="A5268" s="3">
        <v>30418681640</v>
      </c>
      <c r="B5268" s="3">
        <v>293</v>
      </c>
      <c r="C5268" s="32">
        <v>49306</v>
      </c>
      <c r="D5268" s="32" t="s">
        <v>87</v>
      </c>
      <c r="E52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9" spans="1:6" x14ac:dyDescent="0.35">
      <c r="A5269" s="3">
        <v>65132581623</v>
      </c>
      <c r="B5269" s="3">
        <v>217</v>
      </c>
      <c r="C5269" s="32">
        <v>49306</v>
      </c>
      <c r="D5269" s="32">
        <v>49330</v>
      </c>
      <c r="E52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70" spans="1:6" x14ac:dyDescent="0.35">
      <c r="A5270" s="3">
        <v>85858159258</v>
      </c>
      <c r="B5270" s="3">
        <v>295</v>
      </c>
      <c r="C5270" s="32">
        <v>49306</v>
      </c>
      <c r="D5270" s="32" t="s">
        <v>87</v>
      </c>
      <c r="E52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71" spans="1:6" x14ac:dyDescent="0.35">
      <c r="A5271" s="3">
        <v>97813000293</v>
      </c>
      <c r="B5271" s="3">
        <v>260</v>
      </c>
      <c r="C5271" s="32">
        <v>49306</v>
      </c>
      <c r="D5271" s="32" t="s">
        <v>87</v>
      </c>
      <c r="E52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72" spans="1:6" x14ac:dyDescent="0.35">
      <c r="A5272" s="3">
        <v>54376289208</v>
      </c>
      <c r="B5272" s="3">
        <v>40</v>
      </c>
      <c r="C5272" s="32">
        <v>49306</v>
      </c>
      <c r="D5272" s="32" t="s">
        <v>87</v>
      </c>
      <c r="E52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73" spans="1:6" x14ac:dyDescent="0.35">
      <c r="A5273" s="3">
        <v>74741652677</v>
      </c>
      <c r="B5273" s="3">
        <v>290</v>
      </c>
      <c r="C5273" s="32">
        <v>49306</v>
      </c>
      <c r="D5273" s="32" t="s">
        <v>87</v>
      </c>
      <c r="E52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74" spans="1:6" x14ac:dyDescent="0.35">
      <c r="A5274" s="3">
        <v>31883715867</v>
      </c>
      <c r="B5274" s="3">
        <v>315</v>
      </c>
      <c r="C5274" s="32">
        <v>49306</v>
      </c>
      <c r="D5274" s="32" t="s">
        <v>87</v>
      </c>
      <c r="E52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75" spans="1:6" x14ac:dyDescent="0.35">
      <c r="A5275" s="3">
        <v>29242960253</v>
      </c>
      <c r="B5275" s="3">
        <v>25</v>
      </c>
      <c r="C5275" s="32">
        <v>49306</v>
      </c>
      <c r="D5275" s="32">
        <v>49330</v>
      </c>
      <c r="E52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76" spans="1:6" x14ac:dyDescent="0.35">
      <c r="A5276" s="3">
        <v>85040595644</v>
      </c>
      <c r="B5276" s="3">
        <v>245</v>
      </c>
      <c r="C5276" s="32">
        <v>49306</v>
      </c>
      <c r="D5276" s="32">
        <v>49333</v>
      </c>
      <c r="E52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77" spans="1:6" x14ac:dyDescent="0.35">
      <c r="A5277" s="3">
        <v>49604456322</v>
      </c>
      <c r="B5277" s="3">
        <v>217</v>
      </c>
      <c r="C5277" s="32">
        <v>49306</v>
      </c>
      <c r="D5277" s="32">
        <v>49339</v>
      </c>
      <c r="E52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78" spans="1:6" x14ac:dyDescent="0.35">
      <c r="A5278" s="3">
        <v>96285913278</v>
      </c>
      <c r="B5278" s="3">
        <v>290</v>
      </c>
      <c r="C5278" s="32">
        <v>49306</v>
      </c>
      <c r="D5278" s="32">
        <v>49343</v>
      </c>
      <c r="E52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279" spans="1:6" x14ac:dyDescent="0.35">
      <c r="A5279" s="3">
        <v>17246432333</v>
      </c>
      <c r="B5279" s="3">
        <v>263</v>
      </c>
      <c r="C5279" s="32">
        <v>49306</v>
      </c>
      <c r="D5279" s="32"/>
      <c r="E52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0" spans="1:6" x14ac:dyDescent="0.35">
      <c r="A5280" s="3">
        <v>21072963024</v>
      </c>
      <c r="B5280" s="3">
        <v>319</v>
      </c>
      <c r="C5280" s="32">
        <v>49306</v>
      </c>
      <c r="D5280" s="32" t="s">
        <v>87</v>
      </c>
      <c r="E52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1" spans="1:6" x14ac:dyDescent="0.35">
      <c r="A5281" s="3">
        <v>23238064782</v>
      </c>
      <c r="B5281" s="3">
        <v>141</v>
      </c>
      <c r="C5281" s="32">
        <v>49306</v>
      </c>
      <c r="D5281" s="32" t="s">
        <v>87</v>
      </c>
      <c r="E52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2" spans="1:6" x14ac:dyDescent="0.35">
      <c r="A5282" s="3">
        <v>50188452386</v>
      </c>
      <c r="B5282" s="3">
        <v>142</v>
      </c>
      <c r="C5282" s="32">
        <v>49306</v>
      </c>
      <c r="D5282" s="32" t="s">
        <v>87</v>
      </c>
      <c r="E52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3" spans="1:6" x14ac:dyDescent="0.35">
      <c r="A5283" s="3">
        <v>62977211362</v>
      </c>
      <c r="B5283" s="3">
        <v>7</v>
      </c>
      <c r="C5283" s="32">
        <v>49306</v>
      </c>
      <c r="D5283" s="32"/>
      <c r="E52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4" spans="1:6" x14ac:dyDescent="0.35">
      <c r="A5284" s="3">
        <v>48088930235</v>
      </c>
      <c r="B5284" s="3">
        <v>21</v>
      </c>
      <c r="C5284" s="32">
        <v>49306</v>
      </c>
      <c r="D5284" s="32"/>
      <c r="E52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5" spans="1:6" x14ac:dyDescent="0.35">
      <c r="A5285" s="3">
        <v>47630689458</v>
      </c>
      <c r="B5285" s="3">
        <v>60</v>
      </c>
      <c r="C5285" s="32">
        <v>49306</v>
      </c>
      <c r="D5285" s="32">
        <v>49313</v>
      </c>
      <c r="E52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86" spans="1:6" x14ac:dyDescent="0.35">
      <c r="A5286" s="3">
        <v>91812691201</v>
      </c>
      <c r="B5286" s="3">
        <v>146</v>
      </c>
      <c r="C5286" s="32">
        <v>49306</v>
      </c>
      <c r="D5286" s="32" t="s">
        <v>87</v>
      </c>
      <c r="E52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7" spans="1:6" x14ac:dyDescent="0.35">
      <c r="A5287" s="3">
        <v>47989648809</v>
      </c>
      <c r="B5287" s="3">
        <v>5</v>
      </c>
      <c r="C5287" s="32">
        <v>49306</v>
      </c>
      <c r="D5287" s="32" t="s">
        <v>87</v>
      </c>
      <c r="E52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8" spans="1:6" x14ac:dyDescent="0.35">
      <c r="A5288" s="3">
        <v>28203898576</v>
      </c>
      <c r="B5288" s="3">
        <v>276</v>
      </c>
      <c r="C5288" s="32">
        <v>49306</v>
      </c>
      <c r="D5288" s="32" t="s">
        <v>87</v>
      </c>
      <c r="E52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9" spans="1:6" x14ac:dyDescent="0.35">
      <c r="A5289" s="3">
        <v>94980296245</v>
      </c>
      <c r="B5289" s="3">
        <v>104</v>
      </c>
      <c r="C5289" s="32">
        <v>49306</v>
      </c>
      <c r="D5289" s="32" t="s">
        <v>87</v>
      </c>
      <c r="E52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0" spans="1:6" x14ac:dyDescent="0.35">
      <c r="A5290" s="3">
        <v>77045446879</v>
      </c>
      <c r="B5290" s="3">
        <v>319</v>
      </c>
      <c r="C5290" s="32">
        <v>49306</v>
      </c>
      <c r="D5290" s="32" t="s">
        <v>87</v>
      </c>
      <c r="E52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1" spans="1:6" x14ac:dyDescent="0.35">
      <c r="A5291" s="3">
        <v>24081426990</v>
      </c>
      <c r="B5291" s="3">
        <v>168</v>
      </c>
      <c r="C5291" s="32">
        <v>49307</v>
      </c>
      <c r="D5291" s="32" t="s">
        <v>87</v>
      </c>
      <c r="E52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2" spans="1:6" x14ac:dyDescent="0.35">
      <c r="A5292" s="3">
        <v>62611159495</v>
      </c>
      <c r="B5292" s="3">
        <v>57</v>
      </c>
      <c r="C5292" s="32">
        <v>49307</v>
      </c>
      <c r="D5292" s="32" t="s">
        <v>87</v>
      </c>
      <c r="E52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3" spans="1:6" x14ac:dyDescent="0.35">
      <c r="A5293" s="3">
        <v>49690849038</v>
      </c>
      <c r="B5293" s="3">
        <v>144</v>
      </c>
      <c r="C5293" s="32">
        <v>49307</v>
      </c>
      <c r="D5293" s="32" t="s">
        <v>87</v>
      </c>
      <c r="E52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4" spans="1:6" x14ac:dyDescent="0.35">
      <c r="A5294" s="3">
        <v>46814937459</v>
      </c>
      <c r="B5294" s="3">
        <v>85</v>
      </c>
      <c r="C5294" s="32">
        <v>49307</v>
      </c>
      <c r="D5294" s="32" t="s">
        <v>87</v>
      </c>
      <c r="E52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5" spans="1:6" x14ac:dyDescent="0.35">
      <c r="A5295" s="3">
        <v>87199059184</v>
      </c>
      <c r="B5295" s="3">
        <v>32</v>
      </c>
      <c r="C5295" s="32">
        <v>49307</v>
      </c>
      <c r="D5295" s="32" t="s">
        <v>87</v>
      </c>
      <c r="E52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6" spans="1:6" x14ac:dyDescent="0.35">
      <c r="A5296" s="3">
        <v>92409934938</v>
      </c>
      <c r="B5296" s="3">
        <v>56</v>
      </c>
      <c r="C5296" s="32">
        <v>49307</v>
      </c>
      <c r="D5296" s="32" t="s">
        <v>87</v>
      </c>
      <c r="E52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7" spans="1:6" x14ac:dyDescent="0.35">
      <c r="A5297" s="3">
        <v>95089931346</v>
      </c>
      <c r="B5297" s="3">
        <v>189</v>
      </c>
      <c r="C5297" s="32">
        <v>49307</v>
      </c>
      <c r="D5297" s="32"/>
      <c r="E52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8" spans="1:6" x14ac:dyDescent="0.35">
      <c r="A5298" s="3">
        <v>41905243730</v>
      </c>
      <c r="B5298" s="3">
        <v>120</v>
      </c>
      <c r="C5298" s="32">
        <v>49307</v>
      </c>
      <c r="D5298" s="32" t="s">
        <v>87</v>
      </c>
      <c r="E52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9" spans="1:6" x14ac:dyDescent="0.35">
      <c r="A5299" s="3">
        <v>39950225810</v>
      </c>
      <c r="B5299" s="3">
        <v>219</v>
      </c>
      <c r="C5299" s="32">
        <v>49307</v>
      </c>
      <c r="D5299" s="32" t="s">
        <v>87</v>
      </c>
      <c r="E52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0" spans="1:6" x14ac:dyDescent="0.35">
      <c r="A5300" s="3">
        <v>60387164509</v>
      </c>
      <c r="B5300" s="3">
        <v>45</v>
      </c>
      <c r="C5300" s="32">
        <v>49307</v>
      </c>
      <c r="D5300" s="32" t="s">
        <v>87</v>
      </c>
      <c r="E53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1" spans="1:6" x14ac:dyDescent="0.35">
      <c r="A5301" s="3">
        <v>94329154576</v>
      </c>
      <c r="B5301" s="3">
        <v>231</v>
      </c>
      <c r="C5301" s="32">
        <v>49307</v>
      </c>
      <c r="D5301" s="32"/>
      <c r="E53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2" spans="1:6" x14ac:dyDescent="0.35">
      <c r="A5302" s="3">
        <v>92233291829</v>
      </c>
      <c r="B5302" s="3">
        <v>276</v>
      </c>
      <c r="C5302" s="32">
        <v>49307</v>
      </c>
      <c r="D5302" s="32" t="s">
        <v>87</v>
      </c>
      <c r="E53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3" spans="1:6" x14ac:dyDescent="0.35">
      <c r="A5303" s="3">
        <v>84227591476</v>
      </c>
      <c r="B5303" s="3">
        <v>60</v>
      </c>
      <c r="C5303" s="32">
        <v>49307</v>
      </c>
      <c r="D5303" s="32" t="s">
        <v>87</v>
      </c>
      <c r="E53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4" spans="1:6" x14ac:dyDescent="0.35">
      <c r="A5304" s="3">
        <v>16018497532</v>
      </c>
      <c r="B5304" s="3">
        <v>93</v>
      </c>
      <c r="C5304" s="32">
        <v>49307</v>
      </c>
      <c r="D5304" s="32" t="s">
        <v>87</v>
      </c>
      <c r="E53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5" spans="1:6" x14ac:dyDescent="0.35">
      <c r="A5305" s="3">
        <v>92171007558</v>
      </c>
      <c r="B5305" s="3">
        <v>214</v>
      </c>
      <c r="C5305" s="32">
        <v>49307</v>
      </c>
      <c r="D5305" s="32" t="s">
        <v>87</v>
      </c>
      <c r="E53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6" spans="1:6" x14ac:dyDescent="0.35">
      <c r="A5306" s="3">
        <v>84102292745</v>
      </c>
      <c r="B5306" s="3">
        <v>228</v>
      </c>
      <c r="C5306" s="32">
        <v>49307</v>
      </c>
      <c r="D5306" s="32" t="s">
        <v>87</v>
      </c>
      <c r="E53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7" spans="1:6" x14ac:dyDescent="0.35">
      <c r="A5307" s="3">
        <v>72441567277</v>
      </c>
      <c r="B5307" s="3">
        <v>320</v>
      </c>
      <c r="C5307" s="32">
        <v>49307</v>
      </c>
      <c r="D5307" s="32" t="s">
        <v>87</v>
      </c>
      <c r="E53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8" spans="1:6" x14ac:dyDescent="0.35">
      <c r="A5308" s="3">
        <v>42338283769</v>
      </c>
      <c r="B5308" s="3">
        <v>147</v>
      </c>
      <c r="C5308" s="32">
        <v>49307</v>
      </c>
      <c r="D5308" s="32" t="s">
        <v>87</v>
      </c>
      <c r="E53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9" spans="1:6" x14ac:dyDescent="0.35">
      <c r="A5309" s="3">
        <v>40042700960</v>
      </c>
      <c r="B5309" s="3">
        <v>126</v>
      </c>
      <c r="C5309" s="32">
        <v>49307</v>
      </c>
      <c r="D5309" s="32" t="s">
        <v>87</v>
      </c>
      <c r="E53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0" spans="1:6" x14ac:dyDescent="0.35">
      <c r="A5310" s="3">
        <v>71384224482</v>
      </c>
      <c r="B5310" s="3">
        <v>266</v>
      </c>
      <c r="C5310" s="32">
        <v>49307</v>
      </c>
      <c r="D5310" s="32"/>
      <c r="E53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1" spans="1:6" x14ac:dyDescent="0.35">
      <c r="A5311" s="3">
        <v>50087326569</v>
      </c>
      <c r="B5311" s="3">
        <v>22</v>
      </c>
      <c r="C5311" s="32">
        <v>49307</v>
      </c>
      <c r="D5311" s="32" t="s">
        <v>87</v>
      </c>
      <c r="E53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2" spans="1:6" x14ac:dyDescent="0.35">
      <c r="A5312" s="3">
        <v>61019132866</v>
      </c>
      <c r="B5312" s="3">
        <v>63</v>
      </c>
      <c r="C5312" s="32">
        <v>49307</v>
      </c>
      <c r="D5312" s="32" t="s">
        <v>87</v>
      </c>
      <c r="E53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3" spans="1:6" x14ac:dyDescent="0.35">
      <c r="A5313" s="3">
        <v>75362514235</v>
      </c>
      <c r="B5313" s="3">
        <v>304</v>
      </c>
      <c r="C5313" s="32">
        <v>49307</v>
      </c>
      <c r="D5313" s="32"/>
      <c r="E53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4" spans="1:6" x14ac:dyDescent="0.35">
      <c r="A5314" s="3">
        <v>48902094898</v>
      </c>
      <c r="B5314" s="3">
        <v>55</v>
      </c>
      <c r="C5314" s="32">
        <v>49307</v>
      </c>
      <c r="D5314" s="32" t="s">
        <v>87</v>
      </c>
      <c r="E53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5" spans="1:6" x14ac:dyDescent="0.35">
      <c r="A5315" s="3">
        <v>81520110621</v>
      </c>
      <c r="B5315" s="3">
        <v>176</v>
      </c>
      <c r="C5315" s="32">
        <v>49307</v>
      </c>
      <c r="D5315" s="32">
        <v>49317</v>
      </c>
      <c r="E53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316" spans="1:6" x14ac:dyDescent="0.35">
      <c r="A5316" s="3">
        <v>49088907448</v>
      </c>
      <c r="B5316" s="3">
        <v>113</v>
      </c>
      <c r="C5316" s="32">
        <v>49307</v>
      </c>
      <c r="D5316" s="32" t="s">
        <v>87</v>
      </c>
      <c r="E53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7" spans="1:6" x14ac:dyDescent="0.35">
      <c r="A5317" s="3">
        <v>98626527052</v>
      </c>
      <c r="B5317" s="3">
        <v>264</v>
      </c>
      <c r="C5317" s="32">
        <v>49308</v>
      </c>
      <c r="D5317" s="32">
        <v>49349</v>
      </c>
      <c r="E53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318" spans="1:6" x14ac:dyDescent="0.35">
      <c r="A5318" s="3">
        <v>65602798748</v>
      </c>
      <c r="B5318" s="3">
        <v>25</v>
      </c>
      <c r="C5318" s="32">
        <v>49308</v>
      </c>
      <c r="D5318" s="32" t="s">
        <v>87</v>
      </c>
      <c r="E53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9" spans="1:6" x14ac:dyDescent="0.35">
      <c r="A5319" s="3">
        <v>94863983791</v>
      </c>
      <c r="B5319" s="3">
        <v>142</v>
      </c>
      <c r="C5319" s="32">
        <v>49308</v>
      </c>
      <c r="D5319" s="32" t="s">
        <v>87</v>
      </c>
      <c r="E53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0" spans="1:6" x14ac:dyDescent="0.35">
      <c r="A5320" s="3">
        <v>62343154660</v>
      </c>
      <c r="B5320" s="3">
        <v>61</v>
      </c>
      <c r="C5320" s="32">
        <v>49308</v>
      </c>
      <c r="D5320" s="32"/>
      <c r="E53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1" spans="1:6" x14ac:dyDescent="0.35">
      <c r="A5321" s="3">
        <v>86362868039</v>
      </c>
      <c r="B5321" s="3">
        <v>204</v>
      </c>
      <c r="C5321" s="32">
        <v>49308</v>
      </c>
      <c r="D5321" s="32" t="s">
        <v>87</v>
      </c>
      <c r="E53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2" spans="1:6" x14ac:dyDescent="0.35">
      <c r="A5322" s="3">
        <v>36602870753</v>
      </c>
      <c r="B5322" s="3">
        <v>118</v>
      </c>
      <c r="C5322" s="32">
        <v>49308</v>
      </c>
      <c r="D5322" s="32">
        <v>49315</v>
      </c>
      <c r="E53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323" spans="1:6" x14ac:dyDescent="0.35">
      <c r="A5323" s="3">
        <v>47021300592</v>
      </c>
      <c r="B5323" s="3">
        <v>15</v>
      </c>
      <c r="C5323" s="32">
        <v>49308</v>
      </c>
      <c r="D5323" s="32" t="s">
        <v>87</v>
      </c>
      <c r="E53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4" spans="1:6" x14ac:dyDescent="0.35">
      <c r="A5324" s="3">
        <v>29046382189</v>
      </c>
      <c r="B5324" s="3">
        <v>154</v>
      </c>
      <c r="C5324" s="32">
        <v>49308</v>
      </c>
      <c r="D5324" s="32" t="s">
        <v>87</v>
      </c>
      <c r="E53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5" spans="1:6" x14ac:dyDescent="0.35">
      <c r="A5325" s="3">
        <v>55160120115</v>
      </c>
      <c r="B5325" s="3">
        <v>205</v>
      </c>
      <c r="C5325" s="32">
        <v>49308</v>
      </c>
      <c r="D5325" s="32" t="s">
        <v>87</v>
      </c>
      <c r="E53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6" spans="1:6" x14ac:dyDescent="0.35">
      <c r="A5326" s="3">
        <v>71618594395</v>
      </c>
      <c r="B5326" s="3">
        <v>223</v>
      </c>
      <c r="C5326" s="32">
        <v>49308</v>
      </c>
      <c r="D5326" s="32" t="s">
        <v>87</v>
      </c>
      <c r="E53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7" spans="1:6" x14ac:dyDescent="0.35">
      <c r="A5327" s="3">
        <v>13116208817</v>
      </c>
      <c r="B5327" s="3">
        <v>247</v>
      </c>
      <c r="C5327" s="32">
        <v>49308</v>
      </c>
      <c r="D5327" s="32">
        <v>49315</v>
      </c>
      <c r="E53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328" spans="1:6" x14ac:dyDescent="0.35">
      <c r="A5328" s="3">
        <v>44358437355</v>
      </c>
      <c r="B5328" s="3">
        <v>162</v>
      </c>
      <c r="C5328" s="32">
        <v>49308</v>
      </c>
      <c r="D5328" s="32" t="s">
        <v>87</v>
      </c>
      <c r="E53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9" spans="1:6" x14ac:dyDescent="0.35">
      <c r="A5329" s="3">
        <v>14595821409</v>
      </c>
      <c r="B5329" s="3">
        <v>236</v>
      </c>
      <c r="C5329" s="32">
        <v>49308</v>
      </c>
      <c r="D5329" s="32"/>
      <c r="E53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0" spans="1:6" x14ac:dyDescent="0.35">
      <c r="A5330" s="3">
        <v>96642308242</v>
      </c>
      <c r="B5330" s="3">
        <v>276</v>
      </c>
      <c r="C5330" s="32">
        <v>49308</v>
      </c>
      <c r="D5330" s="32" t="s">
        <v>87</v>
      </c>
      <c r="E53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1" spans="1:6" x14ac:dyDescent="0.35">
      <c r="A5331" s="3">
        <v>51535786717</v>
      </c>
      <c r="B5331" s="3">
        <v>95</v>
      </c>
      <c r="C5331" s="32">
        <v>49308</v>
      </c>
      <c r="D5331" s="32" t="s">
        <v>87</v>
      </c>
      <c r="E53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2" spans="1:6" x14ac:dyDescent="0.35">
      <c r="A5332" s="3">
        <v>14084278544</v>
      </c>
      <c r="B5332" s="3">
        <v>259</v>
      </c>
      <c r="C5332" s="32">
        <v>49308</v>
      </c>
      <c r="D5332" s="32" t="s">
        <v>87</v>
      </c>
      <c r="E53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3" spans="1:6" x14ac:dyDescent="0.35">
      <c r="A5333" s="3">
        <v>55969449130</v>
      </c>
      <c r="B5333" s="3">
        <v>231</v>
      </c>
      <c r="C5333" s="32">
        <v>49308</v>
      </c>
      <c r="D5333" s="32"/>
      <c r="E53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4" spans="1:6" x14ac:dyDescent="0.35">
      <c r="A5334" s="3">
        <v>96109464167</v>
      </c>
      <c r="B5334" s="3">
        <v>95</v>
      </c>
      <c r="C5334" s="32">
        <v>49308</v>
      </c>
      <c r="D5334" s="32" t="s">
        <v>87</v>
      </c>
      <c r="E53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5" spans="1:6" x14ac:dyDescent="0.35">
      <c r="A5335" s="3">
        <v>62277358072</v>
      </c>
      <c r="B5335" s="3">
        <v>6</v>
      </c>
      <c r="C5335" s="32">
        <v>49308</v>
      </c>
      <c r="D5335" s="32" t="s">
        <v>87</v>
      </c>
      <c r="E53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6" spans="1:6" x14ac:dyDescent="0.35">
      <c r="A5336" s="3">
        <v>23834098693</v>
      </c>
      <c r="B5336" s="3">
        <v>143</v>
      </c>
      <c r="C5336" s="32">
        <v>49308</v>
      </c>
      <c r="D5336" s="32" t="s">
        <v>87</v>
      </c>
      <c r="E53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7" spans="1:6" x14ac:dyDescent="0.35">
      <c r="A5337" s="3">
        <v>81018746250</v>
      </c>
      <c r="B5337" s="3">
        <v>318</v>
      </c>
      <c r="C5337" s="32">
        <v>49308</v>
      </c>
      <c r="D5337" s="32" t="s">
        <v>87</v>
      </c>
      <c r="E53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8" spans="1:6" x14ac:dyDescent="0.35">
      <c r="A5338" s="3">
        <v>63780995588</v>
      </c>
      <c r="B5338" s="3">
        <v>263</v>
      </c>
      <c r="C5338" s="32">
        <v>49308</v>
      </c>
      <c r="D5338" s="32">
        <v>49361</v>
      </c>
      <c r="E53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339" spans="1:6" x14ac:dyDescent="0.35">
      <c r="A5339" s="3">
        <v>26637319457</v>
      </c>
      <c r="B5339" s="3">
        <v>179</v>
      </c>
      <c r="C5339" s="32">
        <v>49308</v>
      </c>
      <c r="D5339" s="32" t="s">
        <v>87</v>
      </c>
      <c r="E53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0" spans="1:6" x14ac:dyDescent="0.35">
      <c r="A5340" s="3">
        <v>99066350204</v>
      </c>
      <c r="B5340" s="3">
        <v>9</v>
      </c>
      <c r="C5340" s="32">
        <v>49309</v>
      </c>
      <c r="D5340" s="32" t="s">
        <v>87</v>
      </c>
      <c r="E53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1" spans="1:6" x14ac:dyDescent="0.35">
      <c r="A5341" s="3">
        <v>63000008080</v>
      </c>
      <c r="B5341" s="3">
        <v>64</v>
      </c>
      <c r="C5341" s="32">
        <v>49309</v>
      </c>
      <c r="D5341" s="32" t="s">
        <v>87</v>
      </c>
      <c r="E53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2" spans="1:6" x14ac:dyDescent="0.35">
      <c r="A5342" s="3">
        <v>75178545978</v>
      </c>
      <c r="B5342" s="3">
        <v>306</v>
      </c>
      <c r="C5342" s="32">
        <v>49309</v>
      </c>
      <c r="D5342" s="32">
        <v>49317</v>
      </c>
      <c r="E53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343" spans="1:6" x14ac:dyDescent="0.35">
      <c r="A5343" s="3">
        <v>48548277101</v>
      </c>
      <c r="B5343" s="3">
        <v>13</v>
      </c>
      <c r="C5343" s="32">
        <v>49309</v>
      </c>
      <c r="D5343" s="32"/>
      <c r="E53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4" spans="1:6" x14ac:dyDescent="0.35">
      <c r="A5344" s="3">
        <v>78766924561</v>
      </c>
      <c r="B5344" s="3">
        <v>149</v>
      </c>
      <c r="C5344" s="32">
        <v>49309</v>
      </c>
      <c r="D5344" s="32" t="s">
        <v>87</v>
      </c>
      <c r="E53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5" spans="1:6" x14ac:dyDescent="0.35">
      <c r="A5345" s="3">
        <v>28732811825</v>
      </c>
      <c r="B5345" s="3">
        <v>107</v>
      </c>
      <c r="C5345" s="32">
        <v>49309</v>
      </c>
      <c r="D5345" s="32"/>
      <c r="E53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6" spans="1:6" x14ac:dyDescent="0.35">
      <c r="A5346" s="3">
        <v>38309389384</v>
      </c>
      <c r="B5346" s="3">
        <v>110</v>
      </c>
      <c r="C5346" s="32">
        <v>49309</v>
      </c>
      <c r="D5346" s="32" t="s">
        <v>87</v>
      </c>
      <c r="E53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7" spans="1:6" x14ac:dyDescent="0.35">
      <c r="A5347" s="3">
        <v>58854119123</v>
      </c>
      <c r="B5347" s="3">
        <v>288</v>
      </c>
      <c r="C5347" s="32">
        <v>49309</v>
      </c>
      <c r="D5347" s="32" t="s">
        <v>87</v>
      </c>
      <c r="E53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8" spans="1:6" x14ac:dyDescent="0.35">
      <c r="A5348" s="3">
        <v>11577844194</v>
      </c>
      <c r="B5348" s="3">
        <v>326</v>
      </c>
      <c r="C5348" s="32">
        <v>49309</v>
      </c>
      <c r="D5348" s="32" t="s">
        <v>87</v>
      </c>
      <c r="E53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9" spans="1:6" x14ac:dyDescent="0.35">
      <c r="A5349" s="3">
        <v>12359969317</v>
      </c>
      <c r="B5349" s="3">
        <v>228</v>
      </c>
      <c r="C5349" s="32">
        <v>49309</v>
      </c>
      <c r="D5349" s="32" t="s">
        <v>87</v>
      </c>
      <c r="E53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0" spans="1:6" x14ac:dyDescent="0.35">
      <c r="A5350" s="3">
        <v>90928034919</v>
      </c>
      <c r="B5350" s="3">
        <v>22</v>
      </c>
      <c r="C5350" s="32">
        <v>49309</v>
      </c>
      <c r="D5350" s="32" t="s">
        <v>87</v>
      </c>
      <c r="E53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1" spans="1:6" x14ac:dyDescent="0.35">
      <c r="A5351" s="3">
        <v>19915832397</v>
      </c>
      <c r="B5351" s="3">
        <v>133</v>
      </c>
      <c r="C5351" s="32">
        <v>49309</v>
      </c>
      <c r="D5351" s="32" t="s">
        <v>87</v>
      </c>
      <c r="E53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2" spans="1:6" x14ac:dyDescent="0.35">
      <c r="A5352" s="3">
        <v>53532225658</v>
      </c>
      <c r="B5352" s="3">
        <v>200</v>
      </c>
      <c r="C5352" s="32">
        <v>49309</v>
      </c>
      <c r="D5352" s="32" t="s">
        <v>87</v>
      </c>
      <c r="E53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3" spans="1:6" x14ac:dyDescent="0.35">
      <c r="A5353" s="3">
        <v>47695737386</v>
      </c>
      <c r="B5353" s="3">
        <v>81</v>
      </c>
      <c r="C5353" s="32">
        <v>49309</v>
      </c>
      <c r="D5353" s="32" t="s">
        <v>87</v>
      </c>
      <c r="E53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4" spans="1:6" x14ac:dyDescent="0.35">
      <c r="A5354" s="3">
        <v>56021076631</v>
      </c>
      <c r="B5354" s="3">
        <v>239</v>
      </c>
      <c r="C5354" s="32">
        <v>49309</v>
      </c>
      <c r="D5354" s="32"/>
      <c r="E53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5" spans="1:6" x14ac:dyDescent="0.35">
      <c r="A5355" s="3">
        <v>21202205551</v>
      </c>
      <c r="B5355" s="3">
        <v>267</v>
      </c>
      <c r="C5355" s="32">
        <v>49309</v>
      </c>
      <c r="D5355" s="32" t="s">
        <v>87</v>
      </c>
      <c r="E53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6" spans="1:6" x14ac:dyDescent="0.35">
      <c r="A5356" s="3">
        <v>32813291288</v>
      </c>
      <c r="B5356" s="3">
        <v>264</v>
      </c>
      <c r="C5356" s="32">
        <v>49309</v>
      </c>
      <c r="D5356" s="32"/>
      <c r="E53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7" spans="1:6" x14ac:dyDescent="0.35">
      <c r="A5357" s="3">
        <v>45572022636</v>
      </c>
      <c r="B5357" s="3">
        <v>22</v>
      </c>
      <c r="C5357" s="32">
        <v>49309</v>
      </c>
      <c r="D5357" s="32">
        <v>49338</v>
      </c>
      <c r="E53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358" spans="1:6" x14ac:dyDescent="0.35">
      <c r="A5358" s="3">
        <v>55179430940</v>
      </c>
      <c r="B5358" s="3">
        <v>157</v>
      </c>
      <c r="C5358" s="32">
        <v>49309</v>
      </c>
      <c r="D5358" s="32" t="s">
        <v>87</v>
      </c>
      <c r="E53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9" spans="1:6" x14ac:dyDescent="0.35">
      <c r="A5359" s="3">
        <v>92016852575</v>
      </c>
      <c r="B5359" s="3">
        <v>184</v>
      </c>
      <c r="C5359" s="32">
        <v>49309</v>
      </c>
      <c r="D5359" s="32" t="s">
        <v>87</v>
      </c>
      <c r="E53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0" spans="1:6" x14ac:dyDescent="0.35">
      <c r="A5360" s="3">
        <v>15032203584</v>
      </c>
      <c r="B5360" s="3">
        <v>19</v>
      </c>
      <c r="C5360" s="32">
        <v>49309</v>
      </c>
      <c r="D5360" s="32"/>
      <c r="E53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1" spans="1:6" x14ac:dyDescent="0.35">
      <c r="A5361" s="3">
        <v>93990018834</v>
      </c>
      <c r="B5361" s="3">
        <v>42</v>
      </c>
      <c r="C5361" s="32">
        <v>49309</v>
      </c>
      <c r="D5361" s="32" t="s">
        <v>87</v>
      </c>
      <c r="E53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2" spans="1:6" x14ac:dyDescent="0.35">
      <c r="A5362" s="3">
        <v>80667468318</v>
      </c>
      <c r="B5362" s="3">
        <v>253</v>
      </c>
      <c r="C5362" s="32">
        <v>49309</v>
      </c>
      <c r="D5362" s="32" t="s">
        <v>87</v>
      </c>
      <c r="E53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3" spans="1:6" x14ac:dyDescent="0.35">
      <c r="A5363" s="3">
        <v>76936879122</v>
      </c>
      <c r="B5363" s="3">
        <v>325</v>
      </c>
      <c r="C5363" s="32">
        <v>49309</v>
      </c>
      <c r="D5363" s="32"/>
      <c r="E53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4" spans="1:6" x14ac:dyDescent="0.35">
      <c r="A5364" s="3">
        <v>55389039174</v>
      </c>
      <c r="B5364" s="3">
        <v>231</v>
      </c>
      <c r="C5364" s="32">
        <v>49309</v>
      </c>
      <c r="D5364" s="32" t="s">
        <v>87</v>
      </c>
      <c r="E53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5" spans="1:6" x14ac:dyDescent="0.35">
      <c r="A5365" s="3">
        <v>45222195678</v>
      </c>
      <c r="B5365" s="3">
        <v>48</v>
      </c>
      <c r="C5365" s="32">
        <v>49309</v>
      </c>
      <c r="D5365" s="32" t="s">
        <v>87</v>
      </c>
      <c r="E53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6" spans="1:6" x14ac:dyDescent="0.35">
      <c r="A5366" s="3">
        <v>95497574674</v>
      </c>
      <c r="B5366" s="3">
        <v>331</v>
      </c>
      <c r="C5366" s="32">
        <v>49309</v>
      </c>
      <c r="D5366" s="32" t="s">
        <v>87</v>
      </c>
      <c r="E53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7" spans="1:6" x14ac:dyDescent="0.35">
      <c r="A5367" s="3">
        <v>81965039930</v>
      </c>
      <c r="B5367" s="3">
        <v>156</v>
      </c>
      <c r="C5367" s="32">
        <v>49310</v>
      </c>
      <c r="D5367" s="32" t="s">
        <v>87</v>
      </c>
      <c r="E53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8" spans="1:6" x14ac:dyDescent="0.35">
      <c r="A5368" s="3">
        <v>62954525738</v>
      </c>
      <c r="B5368" s="3">
        <v>292</v>
      </c>
      <c r="C5368" s="32">
        <v>49310</v>
      </c>
      <c r="D5368" s="32" t="s">
        <v>87</v>
      </c>
      <c r="E53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9" spans="1:6" x14ac:dyDescent="0.35">
      <c r="A5369" s="3">
        <v>80144036637</v>
      </c>
      <c r="B5369" s="3">
        <v>338</v>
      </c>
      <c r="C5369" s="32">
        <v>49310</v>
      </c>
      <c r="D5369" s="32" t="s">
        <v>87</v>
      </c>
      <c r="E53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0" spans="1:6" x14ac:dyDescent="0.35">
      <c r="A5370" s="3">
        <v>15562152949</v>
      </c>
      <c r="B5370" s="3">
        <v>29</v>
      </c>
      <c r="C5370" s="32">
        <v>49310</v>
      </c>
      <c r="D5370" s="32" t="s">
        <v>87</v>
      </c>
      <c r="E53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1" spans="1:6" x14ac:dyDescent="0.35">
      <c r="A5371" s="3">
        <v>43939603585</v>
      </c>
      <c r="B5371" s="3">
        <v>242</v>
      </c>
      <c r="C5371" s="32">
        <v>49310</v>
      </c>
      <c r="D5371" s="32" t="s">
        <v>87</v>
      </c>
      <c r="E53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2" spans="1:6" x14ac:dyDescent="0.35">
      <c r="A5372" s="3">
        <v>12131724111</v>
      </c>
      <c r="B5372" s="3">
        <v>27</v>
      </c>
      <c r="C5372" s="32">
        <v>49310</v>
      </c>
      <c r="D5372" s="32">
        <v>49356</v>
      </c>
      <c r="E53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373" spans="1:6" x14ac:dyDescent="0.35">
      <c r="A5373" s="3">
        <v>96358796672</v>
      </c>
      <c r="B5373" s="3">
        <v>311</v>
      </c>
      <c r="C5373" s="32">
        <v>49310</v>
      </c>
      <c r="D5373" s="32">
        <v>49340</v>
      </c>
      <c r="E53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374" spans="1:6" x14ac:dyDescent="0.35">
      <c r="A5374" s="3">
        <v>28511638210</v>
      </c>
      <c r="B5374" s="3">
        <v>105</v>
      </c>
      <c r="C5374" s="32">
        <v>49310</v>
      </c>
      <c r="D5374" s="32" t="s">
        <v>87</v>
      </c>
      <c r="E53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5" spans="1:6" x14ac:dyDescent="0.35">
      <c r="A5375" s="3">
        <v>23953325743</v>
      </c>
      <c r="B5375" s="3">
        <v>79</v>
      </c>
      <c r="C5375" s="32">
        <v>49310</v>
      </c>
      <c r="D5375" s="32" t="s">
        <v>87</v>
      </c>
      <c r="E53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6" spans="1:6" x14ac:dyDescent="0.35">
      <c r="A5376" s="3">
        <v>74502827622</v>
      </c>
      <c r="B5376" s="3">
        <v>334</v>
      </c>
      <c r="C5376" s="32">
        <v>49310</v>
      </c>
      <c r="D5376" s="32" t="s">
        <v>87</v>
      </c>
      <c r="E53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7" spans="1:6" x14ac:dyDescent="0.35">
      <c r="A5377" s="3">
        <v>99206072996</v>
      </c>
      <c r="B5377" s="3">
        <v>154</v>
      </c>
      <c r="C5377" s="32">
        <v>49310</v>
      </c>
      <c r="D5377" s="32" t="s">
        <v>87</v>
      </c>
      <c r="E53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8" spans="1:6" x14ac:dyDescent="0.35">
      <c r="A5378" s="3">
        <v>66934320425</v>
      </c>
      <c r="B5378" s="3">
        <v>217</v>
      </c>
      <c r="C5378" s="32">
        <v>49310</v>
      </c>
      <c r="D5378" s="32" t="s">
        <v>87</v>
      </c>
      <c r="E53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9" spans="1:6" x14ac:dyDescent="0.35">
      <c r="A5379" s="3">
        <v>11537167361</v>
      </c>
      <c r="B5379" s="3">
        <v>180</v>
      </c>
      <c r="C5379" s="32">
        <v>49310</v>
      </c>
      <c r="D5379" s="32" t="s">
        <v>87</v>
      </c>
      <c r="E53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0" spans="1:6" x14ac:dyDescent="0.35">
      <c r="A5380" s="3">
        <v>98944207737</v>
      </c>
      <c r="B5380" s="3">
        <v>224</v>
      </c>
      <c r="C5380" s="32">
        <v>49310</v>
      </c>
      <c r="D5380" s="32" t="s">
        <v>87</v>
      </c>
      <c r="E53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1" spans="1:6" x14ac:dyDescent="0.35">
      <c r="A5381" s="3">
        <v>71733818813</v>
      </c>
      <c r="B5381" s="3">
        <v>2</v>
      </c>
      <c r="C5381" s="32">
        <v>49310</v>
      </c>
      <c r="D5381" s="32" t="s">
        <v>87</v>
      </c>
      <c r="E53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2" spans="1:6" x14ac:dyDescent="0.35">
      <c r="A5382" s="3">
        <v>61786540499</v>
      </c>
      <c r="B5382" s="3">
        <v>141</v>
      </c>
      <c r="C5382" s="32">
        <v>49310</v>
      </c>
      <c r="D5382" s="32" t="s">
        <v>87</v>
      </c>
      <c r="E53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3" spans="1:6" x14ac:dyDescent="0.35">
      <c r="A5383" s="3">
        <v>26495649262</v>
      </c>
      <c r="B5383" s="3">
        <v>34</v>
      </c>
      <c r="C5383" s="32">
        <v>49310</v>
      </c>
      <c r="D5383" s="32" t="s">
        <v>87</v>
      </c>
      <c r="E53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4" spans="1:6" x14ac:dyDescent="0.35">
      <c r="A5384" s="3">
        <v>97825599767</v>
      </c>
      <c r="B5384" s="3">
        <v>29</v>
      </c>
      <c r="C5384" s="32">
        <v>49310</v>
      </c>
      <c r="D5384" s="32" t="s">
        <v>87</v>
      </c>
      <c r="E53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5" spans="1:6" x14ac:dyDescent="0.35">
      <c r="A5385" s="3">
        <v>36565381918</v>
      </c>
      <c r="B5385" s="3">
        <v>143</v>
      </c>
      <c r="C5385" s="32">
        <v>49310</v>
      </c>
      <c r="D5385" s="32">
        <v>49362</v>
      </c>
      <c r="E53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386" spans="1:6" x14ac:dyDescent="0.35">
      <c r="A5386" s="3">
        <v>61436966901</v>
      </c>
      <c r="B5386" s="3">
        <v>150</v>
      </c>
      <c r="C5386" s="32">
        <v>49310</v>
      </c>
      <c r="D5386" s="32" t="s">
        <v>87</v>
      </c>
      <c r="E53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7" spans="1:6" x14ac:dyDescent="0.35">
      <c r="A5387" s="3">
        <v>74341893827</v>
      </c>
      <c r="B5387" s="3">
        <v>288</v>
      </c>
      <c r="C5387" s="32">
        <v>49310</v>
      </c>
      <c r="D5387" s="32" t="s">
        <v>87</v>
      </c>
      <c r="E53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8" spans="1:6" x14ac:dyDescent="0.35">
      <c r="A5388" s="3">
        <v>20858432674</v>
      </c>
      <c r="B5388" s="3">
        <v>67</v>
      </c>
      <c r="C5388" s="32">
        <v>49310</v>
      </c>
      <c r="D5388" s="32" t="s">
        <v>87</v>
      </c>
      <c r="E53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9" spans="1:6" x14ac:dyDescent="0.35">
      <c r="A5389" s="3">
        <v>99106450867</v>
      </c>
      <c r="B5389" s="3">
        <v>53</v>
      </c>
      <c r="C5389" s="32">
        <v>49310</v>
      </c>
      <c r="D5389" s="32" t="s">
        <v>87</v>
      </c>
      <c r="E53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0" spans="1:6" x14ac:dyDescent="0.35">
      <c r="A5390" s="3">
        <v>60604926661</v>
      </c>
      <c r="B5390" s="3">
        <v>272</v>
      </c>
      <c r="C5390" s="32">
        <v>49310</v>
      </c>
      <c r="D5390" s="32">
        <v>49354</v>
      </c>
      <c r="E53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391" spans="1:6" x14ac:dyDescent="0.35">
      <c r="A5391" s="3">
        <v>14050111046</v>
      </c>
      <c r="B5391" s="3">
        <v>37</v>
      </c>
      <c r="C5391" s="32">
        <v>49310</v>
      </c>
      <c r="D5391" s="32" t="s">
        <v>87</v>
      </c>
      <c r="E53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2" spans="1:6" x14ac:dyDescent="0.35">
      <c r="A5392" s="3">
        <v>65712909977</v>
      </c>
      <c r="B5392" s="3">
        <v>30</v>
      </c>
      <c r="C5392" s="32">
        <v>49310</v>
      </c>
      <c r="D5392" s="32"/>
      <c r="E53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3" spans="1:6" x14ac:dyDescent="0.35">
      <c r="A5393" s="3">
        <v>24323940145</v>
      </c>
      <c r="B5393" s="3">
        <v>151</v>
      </c>
      <c r="C5393" s="32">
        <v>49310</v>
      </c>
      <c r="D5393" s="32" t="s">
        <v>87</v>
      </c>
      <c r="E53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4" spans="1:6" x14ac:dyDescent="0.35">
      <c r="A5394" s="3">
        <v>18577042093</v>
      </c>
      <c r="B5394" s="3">
        <v>255</v>
      </c>
      <c r="C5394" s="32">
        <v>49310</v>
      </c>
      <c r="D5394" s="32" t="s">
        <v>87</v>
      </c>
      <c r="E53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5" spans="1:6" x14ac:dyDescent="0.35">
      <c r="A5395" s="3">
        <v>55747396659</v>
      </c>
      <c r="B5395" s="3">
        <v>34</v>
      </c>
      <c r="C5395" s="32">
        <v>49311</v>
      </c>
      <c r="D5395" s="32"/>
      <c r="E53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6" spans="1:6" x14ac:dyDescent="0.35">
      <c r="A5396" s="3">
        <v>27555999077</v>
      </c>
      <c r="B5396" s="3">
        <v>278</v>
      </c>
      <c r="C5396" s="32">
        <v>49311</v>
      </c>
      <c r="D5396" s="32" t="s">
        <v>87</v>
      </c>
      <c r="E53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7" spans="1:6" x14ac:dyDescent="0.35">
      <c r="A5397" s="3">
        <v>60467791901</v>
      </c>
      <c r="B5397" s="3">
        <v>153</v>
      </c>
      <c r="C5397" s="32">
        <v>49311</v>
      </c>
      <c r="D5397" s="32" t="s">
        <v>87</v>
      </c>
      <c r="E53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8" spans="1:6" x14ac:dyDescent="0.35">
      <c r="A5398" s="3">
        <v>85500046173</v>
      </c>
      <c r="B5398" s="3">
        <v>279</v>
      </c>
      <c r="C5398" s="32">
        <v>49311</v>
      </c>
      <c r="D5398" s="32" t="s">
        <v>87</v>
      </c>
      <c r="E53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9" spans="1:6" x14ac:dyDescent="0.35">
      <c r="A5399" s="3">
        <v>64491512183</v>
      </c>
      <c r="B5399" s="3">
        <v>166</v>
      </c>
      <c r="C5399" s="32">
        <v>49311</v>
      </c>
      <c r="D5399" s="32" t="s">
        <v>87</v>
      </c>
      <c r="E53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0" spans="1:6" x14ac:dyDescent="0.35">
      <c r="A5400" s="3">
        <v>63106682545</v>
      </c>
      <c r="B5400" s="3">
        <v>10</v>
      </c>
      <c r="C5400" s="32">
        <v>49311</v>
      </c>
      <c r="D5400" s="32" t="s">
        <v>87</v>
      </c>
      <c r="E54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1" spans="1:6" x14ac:dyDescent="0.35">
      <c r="A5401" s="3">
        <v>71584702847</v>
      </c>
      <c r="B5401" s="3">
        <v>272</v>
      </c>
      <c r="C5401" s="32">
        <v>49311</v>
      </c>
      <c r="D5401" s="32"/>
      <c r="E54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2" spans="1:6" x14ac:dyDescent="0.35">
      <c r="A5402" s="3">
        <v>66095526882</v>
      </c>
      <c r="B5402" s="3">
        <v>27</v>
      </c>
      <c r="C5402" s="32">
        <v>49311</v>
      </c>
      <c r="D5402" s="32" t="s">
        <v>87</v>
      </c>
      <c r="E54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3" spans="1:6" x14ac:dyDescent="0.35">
      <c r="A5403" s="3">
        <v>43981943209</v>
      </c>
      <c r="B5403" s="3">
        <v>327</v>
      </c>
      <c r="C5403" s="32">
        <v>49311</v>
      </c>
      <c r="D5403" s="32" t="s">
        <v>87</v>
      </c>
      <c r="E54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4" spans="1:6" x14ac:dyDescent="0.35">
      <c r="A5404" s="3">
        <v>64307745248</v>
      </c>
      <c r="B5404" s="3">
        <v>126</v>
      </c>
      <c r="C5404" s="32">
        <v>49311</v>
      </c>
      <c r="D5404" s="32" t="s">
        <v>87</v>
      </c>
      <c r="E54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5" spans="1:6" x14ac:dyDescent="0.35">
      <c r="A5405" s="3">
        <v>67848850957</v>
      </c>
      <c r="B5405" s="3">
        <v>315</v>
      </c>
      <c r="C5405" s="32">
        <v>49311</v>
      </c>
      <c r="D5405" s="32" t="s">
        <v>87</v>
      </c>
      <c r="E54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6" spans="1:6" x14ac:dyDescent="0.35">
      <c r="A5406" s="3">
        <v>18963917017</v>
      </c>
      <c r="B5406" s="3">
        <v>296</v>
      </c>
      <c r="C5406" s="32">
        <v>49311</v>
      </c>
      <c r="D5406" s="32" t="s">
        <v>87</v>
      </c>
      <c r="E54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7" spans="1:6" x14ac:dyDescent="0.35">
      <c r="A5407" s="3">
        <v>42116038903</v>
      </c>
      <c r="B5407" s="3">
        <v>114</v>
      </c>
      <c r="C5407" s="32">
        <v>49311</v>
      </c>
      <c r="D5407" s="32">
        <v>49341</v>
      </c>
      <c r="E54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408" spans="1:6" x14ac:dyDescent="0.35">
      <c r="A5408" s="3">
        <v>58447868518</v>
      </c>
      <c r="B5408" s="3">
        <v>268</v>
      </c>
      <c r="C5408" s="32">
        <v>49311</v>
      </c>
      <c r="D5408" s="32" t="s">
        <v>87</v>
      </c>
      <c r="E54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9" spans="1:6" x14ac:dyDescent="0.35">
      <c r="A5409" s="3">
        <v>12027806844</v>
      </c>
      <c r="B5409" s="3">
        <v>17</v>
      </c>
      <c r="C5409" s="32">
        <v>49311</v>
      </c>
      <c r="D5409" s="32"/>
      <c r="E54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0" spans="1:6" x14ac:dyDescent="0.35">
      <c r="A5410" s="3">
        <v>91592998172</v>
      </c>
      <c r="B5410" s="3">
        <v>38</v>
      </c>
      <c r="C5410" s="32">
        <v>49311</v>
      </c>
      <c r="D5410" s="32"/>
      <c r="E54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1" spans="1:6" x14ac:dyDescent="0.35">
      <c r="A5411" s="3">
        <v>85840454165</v>
      </c>
      <c r="B5411" s="3">
        <v>167</v>
      </c>
      <c r="C5411" s="32">
        <v>49311</v>
      </c>
      <c r="D5411" s="32"/>
      <c r="E54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2" spans="1:6" x14ac:dyDescent="0.35">
      <c r="A5412" s="3">
        <v>37113690395</v>
      </c>
      <c r="B5412" s="3">
        <v>316</v>
      </c>
      <c r="C5412" s="32">
        <v>49311</v>
      </c>
      <c r="D5412" s="32" t="s">
        <v>87</v>
      </c>
      <c r="E54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3" spans="1:6" x14ac:dyDescent="0.35">
      <c r="A5413" s="3">
        <v>73774671839</v>
      </c>
      <c r="B5413" s="3">
        <v>194</v>
      </c>
      <c r="C5413" s="32">
        <v>49311</v>
      </c>
      <c r="D5413" s="32" t="s">
        <v>87</v>
      </c>
      <c r="E54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4" spans="1:6" x14ac:dyDescent="0.35">
      <c r="A5414" s="3">
        <v>66051610320</v>
      </c>
      <c r="B5414" s="3">
        <v>121</v>
      </c>
      <c r="C5414" s="32">
        <v>49311</v>
      </c>
      <c r="D5414" s="32"/>
      <c r="E54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5" spans="1:6" x14ac:dyDescent="0.35">
      <c r="A5415" s="3">
        <v>50794555588</v>
      </c>
      <c r="B5415" s="3">
        <v>154</v>
      </c>
      <c r="C5415" s="32">
        <v>49311</v>
      </c>
      <c r="D5415" s="32" t="s">
        <v>87</v>
      </c>
      <c r="E54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6" spans="1:6" x14ac:dyDescent="0.35">
      <c r="A5416" s="3">
        <v>20495140546</v>
      </c>
      <c r="B5416" s="3">
        <v>41</v>
      </c>
      <c r="C5416" s="32">
        <v>49311</v>
      </c>
      <c r="D5416" s="32">
        <v>49326</v>
      </c>
      <c r="E54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417" spans="1:6" x14ac:dyDescent="0.35">
      <c r="A5417" s="3">
        <v>60096973932</v>
      </c>
      <c r="B5417" s="3">
        <v>11</v>
      </c>
      <c r="C5417" s="32">
        <v>49311</v>
      </c>
      <c r="D5417" s="32"/>
      <c r="E54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8" spans="1:6" x14ac:dyDescent="0.35">
      <c r="A5418" s="3">
        <v>11775025360</v>
      </c>
      <c r="B5418" s="3">
        <v>312</v>
      </c>
      <c r="C5418" s="32">
        <v>49311</v>
      </c>
      <c r="D5418" s="32" t="s">
        <v>87</v>
      </c>
      <c r="E54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9" spans="1:6" x14ac:dyDescent="0.35">
      <c r="A5419" s="3">
        <v>96011546611</v>
      </c>
      <c r="B5419" s="3">
        <v>16</v>
      </c>
      <c r="C5419" s="32">
        <v>49311</v>
      </c>
      <c r="D5419" s="32" t="s">
        <v>87</v>
      </c>
      <c r="E54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0" spans="1:6" x14ac:dyDescent="0.35">
      <c r="A5420" s="3">
        <v>54408602840</v>
      </c>
      <c r="B5420" s="3">
        <v>148</v>
      </c>
      <c r="C5420" s="32">
        <v>49311</v>
      </c>
      <c r="D5420" s="32" t="s">
        <v>87</v>
      </c>
      <c r="E54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1" spans="1:6" x14ac:dyDescent="0.35">
      <c r="A5421" s="3">
        <v>71600502836</v>
      </c>
      <c r="B5421" s="3">
        <v>220</v>
      </c>
      <c r="C5421" s="32">
        <v>49311</v>
      </c>
      <c r="D5421" s="32" t="s">
        <v>87</v>
      </c>
      <c r="E54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2" spans="1:6" x14ac:dyDescent="0.35">
      <c r="A5422" s="3">
        <v>86782400072</v>
      </c>
      <c r="B5422" s="3">
        <v>132</v>
      </c>
      <c r="C5422" s="32">
        <v>49311</v>
      </c>
      <c r="D5422" s="32" t="s">
        <v>87</v>
      </c>
      <c r="E54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3" spans="1:6" x14ac:dyDescent="0.35">
      <c r="A5423" s="3">
        <v>94547017166</v>
      </c>
      <c r="B5423" s="3">
        <v>165</v>
      </c>
      <c r="C5423" s="32">
        <v>49311</v>
      </c>
      <c r="D5423" s="32" t="s">
        <v>87</v>
      </c>
      <c r="E54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4" spans="1:6" x14ac:dyDescent="0.35">
      <c r="A5424" s="3">
        <v>16408939922</v>
      </c>
      <c r="B5424" s="3">
        <v>111</v>
      </c>
      <c r="C5424" s="32">
        <v>49312</v>
      </c>
      <c r="D5424" s="32"/>
      <c r="E54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5" spans="1:6" x14ac:dyDescent="0.35">
      <c r="A5425" s="3">
        <v>35305837800</v>
      </c>
      <c r="B5425" s="3">
        <v>339</v>
      </c>
      <c r="C5425" s="32">
        <v>49312</v>
      </c>
      <c r="D5425" s="32" t="s">
        <v>87</v>
      </c>
      <c r="E54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6" spans="1:6" x14ac:dyDescent="0.35">
      <c r="A5426" s="3">
        <v>28813231581</v>
      </c>
      <c r="B5426" s="3">
        <v>303</v>
      </c>
      <c r="C5426" s="32">
        <v>49312</v>
      </c>
      <c r="D5426" s="32" t="s">
        <v>87</v>
      </c>
      <c r="E54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7" spans="1:6" x14ac:dyDescent="0.35">
      <c r="A5427" s="3">
        <v>66159398371</v>
      </c>
      <c r="B5427" s="3">
        <v>267</v>
      </c>
      <c r="C5427" s="32">
        <v>49312</v>
      </c>
      <c r="D5427" s="32"/>
      <c r="E54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8" spans="1:6" x14ac:dyDescent="0.35">
      <c r="A5428" s="3">
        <v>41930757696</v>
      </c>
      <c r="B5428" s="3">
        <v>291</v>
      </c>
      <c r="C5428" s="32">
        <v>49312</v>
      </c>
      <c r="D5428" s="32" t="s">
        <v>87</v>
      </c>
      <c r="E54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9" spans="1:6" x14ac:dyDescent="0.35">
      <c r="A5429" s="3">
        <v>38529760589</v>
      </c>
      <c r="B5429" s="3">
        <v>13</v>
      </c>
      <c r="C5429" s="32">
        <v>49312</v>
      </c>
      <c r="D5429" s="32" t="s">
        <v>87</v>
      </c>
      <c r="E54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0" spans="1:6" x14ac:dyDescent="0.35">
      <c r="A5430" s="3">
        <v>72362982416</v>
      </c>
      <c r="B5430" s="3">
        <v>148</v>
      </c>
      <c r="C5430" s="32">
        <v>49312</v>
      </c>
      <c r="D5430" s="32" t="s">
        <v>87</v>
      </c>
      <c r="E54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1" spans="1:6" x14ac:dyDescent="0.35">
      <c r="A5431" s="3">
        <v>28980139575</v>
      </c>
      <c r="B5431" s="3">
        <v>64</v>
      </c>
      <c r="C5431" s="32">
        <v>49312</v>
      </c>
      <c r="D5431" s="32" t="s">
        <v>87</v>
      </c>
      <c r="E54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2" spans="1:6" x14ac:dyDescent="0.35">
      <c r="A5432" s="3">
        <v>14319611336</v>
      </c>
      <c r="B5432" s="3">
        <v>145</v>
      </c>
      <c r="C5432" s="32">
        <v>49312</v>
      </c>
      <c r="D5432" s="32" t="s">
        <v>87</v>
      </c>
      <c r="E54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3" spans="1:6" x14ac:dyDescent="0.35">
      <c r="A5433" s="3">
        <v>86444946760</v>
      </c>
      <c r="B5433" s="3">
        <v>133</v>
      </c>
      <c r="C5433" s="32">
        <v>49312</v>
      </c>
      <c r="D5433" s="32" t="s">
        <v>87</v>
      </c>
      <c r="E54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4" spans="1:6" x14ac:dyDescent="0.35">
      <c r="A5434" s="3">
        <v>89887071017</v>
      </c>
      <c r="B5434" s="3">
        <v>252</v>
      </c>
      <c r="C5434" s="32">
        <v>49312</v>
      </c>
      <c r="D5434" s="32" t="s">
        <v>87</v>
      </c>
      <c r="E54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5" spans="1:6" x14ac:dyDescent="0.35">
      <c r="A5435" s="3">
        <v>28174881693</v>
      </c>
      <c r="B5435" s="3">
        <v>240</v>
      </c>
      <c r="C5435" s="32">
        <v>49312</v>
      </c>
      <c r="D5435" s="32" t="s">
        <v>87</v>
      </c>
      <c r="E54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6" spans="1:6" x14ac:dyDescent="0.35">
      <c r="A5436" s="3">
        <v>69314634908</v>
      </c>
      <c r="B5436" s="3">
        <v>2</v>
      </c>
      <c r="C5436" s="32">
        <v>49312</v>
      </c>
      <c r="D5436" s="32" t="s">
        <v>87</v>
      </c>
      <c r="E54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7" spans="1:6" x14ac:dyDescent="0.35">
      <c r="A5437" s="3">
        <v>97220397461</v>
      </c>
      <c r="B5437" s="3">
        <v>74</v>
      </c>
      <c r="C5437" s="32">
        <v>49312</v>
      </c>
      <c r="D5437" s="32" t="s">
        <v>87</v>
      </c>
      <c r="E54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8" spans="1:6" x14ac:dyDescent="0.35">
      <c r="A5438" s="3">
        <v>67014828845</v>
      </c>
      <c r="B5438" s="3">
        <v>97</v>
      </c>
      <c r="C5438" s="32">
        <v>49312</v>
      </c>
      <c r="D5438" s="32"/>
      <c r="E54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9" spans="1:6" x14ac:dyDescent="0.35">
      <c r="A5439" s="3">
        <v>21274915402</v>
      </c>
      <c r="B5439" s="3">
        <v>80</v>
      </c>
      <c r="C5439" s="32">
        <v>49312</v>
      </c>
      <c r="D5439" s="32" t="s">
        <v>87</v>
      </c>
      <c r="E54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0" spans="1:6" x14ac:dyDescent="0.35">
      <c r="A5440" s="3">
        <v>74909237454</v>
      </c>
      <c r="B5440" s="3">
        <v>284</v>
      </c>
      <c r="C5440" s="32">
        <v>49312</v>
      </c>
      <c r="D5440" s="32"/>
      <c r="E54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1" spans="1:6" x14ac:dyDescent="0.35">
      <c r="A5441" s="3">
        <v>46086904443</v>
      </c>
      <c r="B5441" s="3">
        <v>12</v>
      </c>
      <c r="C5441" s="32">
        <v>49312</v>
      </c>
      <c r="D5441" s="32" t="s">
        <v>87</v>
      </c>
      <c r="E54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2" spans="1:6" x14ac:dyDescent="0.35">
      <c r="A5442" s="3">
        <v>54094288898</v>
      </c>
      <c r="B5442" s="3">
        <v>72</v>
      </c>
      <c r="C5442" s="32">
        <v>49312</v>
      </c>
      <c r="D5442" s="32" t="s">
        <v>87</v>
      </c>
      <c r="E54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3" spans="1:6" x14ac:dyDescent="0.35">
      <c r="A5443" s="3">
        <v>46792857653</v>
      </c>
      <c r="B5443" s="3">
        <v>235</v>
      </c>
      <c r="C5443" s="32">
        <v>49312</v>
      </c>
      <c r="D5443" s="32"/>
      <c r="E54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4" spans="1:6" x14ac:dyDescent="0.35">
      <c r="A5444" s="3">
        <v>34331861193</v>
      </c>
      <c r="B5444" s="3">
        <v>48</v>
      </c>
      <c r="C5444" s="32">
        <v>49312</v>
      </c>
      <c r="D5444" s="32" t="s">
        <v>87</v>
      </c>
      <c r="E54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5" spans="1:6" x14ac:dyDescent="0.35">
      <c r="A5445" s="3">
        <v>78579388683</v>
      </c>
      <c r="B5445" s="3">
        <v>184</v>
      </c>
      <c r="C5445" s="32">
        <v>49312</v>
      </c>
      <c r="D5445" s="32" t="s">
        <v>87</v>
      </c>
      <c r="E54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6" spans="1:6" x14ac:dyDescent="0.35">
      <c r="A5446" s="3">
        <v>65175869352</v>
      </c>
      <c r="B5446" s="3">
        <v>45</v>
      </c>
      <c r="C5446" s="32">
        <v>49312</v>
      </c>
      <c r="D5446" s="32" t="s">
        <v>87</v>
      </c>
      <c r="E54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7" spans="1:6" x14ac:dyDescent="0.35">
      <c r="A5447" s="3">
        <v>68705906302</v>
      </c>
      <c r="B5447" s="3">
        <v>62</v>
      </c>
      <c r="C5447" s="32">
        <v>49312</v>
      </c>
      <c r="D5447" s="32">
        <v>49322</v>
      </c>
      <c r="E54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448" spans="1:6" x14ac:dyDescent="0.35">
      <c r="A5448" s="3">
        <v>37603748188</v>
      </c>
      <c r="B5448" s="3">
        <v>147</v>
      </c>
      <c r="C5448" s="32">
        <v>49312</v>
      </c>
      <c r="D5448" s="32" t="s">
        <v>87</v>
      </c>
      <c r="E54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9" spans="1:6" x14ac:dyDescent="0.35">
      <c r="A5449" s="3">
        <v>76773562839</v>
      </c>
      <c r="B5449" s="3">
        <v>118</v>
      </c>
      <c r="C5449" s="32">
        <v>49312</v>
      </c>
      <c r="D5449" s="32" t="s">
        <v>87</v>
      </c>
      <c r="E54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0" spans="1:6" x14ac:dyDescent="0.35">
      <c r="A5450" s="3">
        <v>71404210832</v>
      </c>
      <c r="B5450" s="3">
        <v>268</v>
      </c>
      <c r="C5450" s="32">
        <v>49312</v>
      </c>
      <c r="D5450" s="32"/>
      <c r="E54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1" spans="1:6" x14ac:dyDescent="0.35">
      <c r="A5451" s="3">
        <v>81879453500</v>
      </c>
      <c r="B5451" s="3">
        <v>137</v>
      </c>
      <c r="C5451" s="32">
        <v>49312</v>
      </c>
      <c r="D5451" s="32"/>
      <c r="E54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2" spans="1:6" x14ac:dyDescent="0.35">
      <c r="A5452" s="3">
        <v>39028733541</v>
      </c>
      <c r="B5452" s="3">
        <v>208</v>
      </c>
      <c r="C5452" s="32">
        <v>49312</v>
      </c>
      <c r="D5452" s="32" t="s">
        <v>87</v>
      </c>
      <c r="E54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3" spans="1:6" x14ac:dyDescent="0.35">
      <c r="A5453" s="3">
        <v>37364383160</v>
      </c>
      <c r="B5453" s="3">
        <v>321</v>
      </c>
      <c r="C5453" s="32">
        <v>49312</v>
      </c>
      <c r="D5453" s="32" t="s">
        <v>87</v>
      </c>
      <c r="E54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4" spans="1:6" x14ac:dyDescent="0.35">
      <c r="A5454" s="3">
        <v>43839384356</v>
      </c>
      <c r="B5454" s="3">
        <v>48</v>
      </c>
      <c r="C5454" s="32">
        <v>49312</v>
      </c>
      <c r="D5454" s="32" t="s">
        <v>87</v>
      </c>
      <c r="E54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5" spans="1:6" x14ac:dyDescent="0.35">
      <c r="A5455" s="3">
        <v>81556721068</v>
      </c>
      <c r="B5455" s="3">
        <v>180</v>
      </c>
      <c r="C5455" s="32">
        <v>49313</v>
      </c>
      <c r="D5455" s="32" t="s">
        <v>87</v>
      </c>
      <c r="E54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6" spans="1:6" x14ac:dyDescent="0.35">
      <c r="A5456" s="3">
        <v>63173335126</v>
      </c>
      <c r="B5456" s="3">
        <v>153</v>
      </c>
      <c r="C5456" s="32">
        <v>49313</v>
      </c>
      <c r="D5456" s="32" t="s">
        <v>87</v>
      </c>
      <c r="E54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7" spans="1:6" x14ac:dyDescent="0.35">
      <c r="A5457" s="3">
        <v>33525030246</v>
      </c>
      <c r="B5457" s="3">
        <v>190</v>
      </c>
      <c r="C5457" s="32">
        <v>49313</v>
      </c>
      <c r="D5457" s="32">
        <v>49345</v>
      </c>
      <c r="E54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458" spans="1:6" x14ac:dyDescent="0.35">
      <c r="A5458" s="3">
        <v>34513098056</v>
      </c>
      <c r="B5458" s="3">
        <v>46</v>
      </c>
      <c r="C5458" s="32">
        <v>49313</v>
      </c>
      <c r="D5458" s="32" t="s">
        <v>87</v>
      </c>
      <c r="E54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9" spans="1:6" x14ac:dyDescent="0.35">
      <c r="A5459" s="3">
        <v>22669389683</v>
      </c>
      <c r="B5459" s="3">
        <v>167</v>
      </c>
      <c r="C5459" s="32">
        <v>49313</v>
      </c>
      <c r="D5459" s="32" t="s">
        <v>87</v>
      </c>
      <c r="E54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0" spans="1:6" x14ac:dyDescent="0.35">
      <c r="A5460" s="3">
        <v>35876409693</v>
      </c>
      <c r="B5460" s="3">
        <v>147</v>
      </c>
      <c r="C5460" s="32">
        <v>49313</v>
      </c>
      <c r="D5460" s="32"/>
      <c r="E54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1" spans="1:6" x14ac:dyDescent="0.35">
      <c r="A5461" s="3">
        <v>98523793875</v>
      </c>
      <c r="B5461" s="3">
        <v>134</v>
      </c>
      <c r="C5461" s="32">
        <v>49313</v>
      </c>
      <c r="D5461" s="32">
        <v>49353</v>
      </c>
      <c r="E54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462" spans="1:6" x14ac:dyDescent="0.35">
      <c r="A5462" s="3">
        <v>65293397395</v>
      </c>
      <c r="B5462" s="3">
        <v>51</v>
      </c>
      <c r="C5462" s="32">
        <v>49313</v>
      </c>
      <c r="D5462" s="32" t="s">
        <v>87</v>
      </c>
      <c r="E54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3" spans="1:6" x14ac:dyDescent="0.35">
      <c r="A5463" s="3">
        <v>86927372217</v>
      </c>
      <c r="B5463" s="3">
        <v>133</v>
      </c>
      <c r="C5463" s="32">
        <v>49313</v>
      </c>
      <c r="D5463" s="32" t="s">
        <v>87</v>
      </c>
      <c r="E54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4" spans="1:6" x14ac:dyDescent="0.35">
      <c r="A5464" s="3">
        <v>36542313515</v>
      </c>
      <c r="B5464" s="3">
        <v>141</v>
      </c>
      <c r="C5464" s="32">
        <v>49313</v>
      </c>
      <c r="D5464" s="32">
        <v>49352</v>
      </c>
      <c r="E54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465" spans="1:6" x14ac:dyDescent="0.35">
      <c r="A5465" s="3">
        <v>76040197037</v>
      </c>
      <c r="B5465" s="3">
        <v>157</v>
      </c>
      <c r="C5465" s="32">
        <v>49313</v>
      </c>
      <c r="D5465" s="32" t="s">
        <v>87</v>
      </c>
      <c r="E54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6" spans="1:6" x14ac:dyDescent="0.35">
      <c r="A5466" s="3">
        <v>20982439199</v>
      </c>
      <c r="B5466" s="3">
        <v>209</v>
      </c>
      <c r="C5466" s="32">
        <v>49313</v>
      </c>
      <c r="D5466" s="32" t="s">
        <v>87</v>
      </c>
      <c r="E54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7" spans="1:6" x14ac:dyDescent="0.35">
      <c r="A5467" s="3">
        <v>27563058431</v>
      </c>
      <c r="B5467" s="3">
        <v>248</v>
      </c>
      <c r="C5467" s="32">
        <v>49313</v>
      </c>
      <c r="D5467" s="32" t="s">
        <v>87</v>
      </c>
      <c r="E54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8" spans="1:6" x14ac:dyDescent="0.35">
      <c r="A5468" s="3">
        <v>64541738112</v>
      </c>
      <c r="B5468" s="3">
        <v>119</v>
      </c>
      <c r="C5468" s="32">
        <v>49313</v>
      </c>
      <c r="D5468" s="32" t="s">
        <v>87</v>
      </c>
      <c r="E54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9" spans="1:6" x14ac:dyDescent="0.35">
      <c r="A5469" s="3">
        <v>72367490325</v>
      </c>
      <c r="B5469" s="3">
        <v>144</v>
      </c>
      <c r="C5469" s="32">
        <v>49313</v>
      </c>
      <c r="D5469" s="32" t="s">
        <v>87</v>
      </c>
      <c r="E54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0" spans="1:6" x14ac:dyDescent="0.35">
      <c r="A5470" s="3">
        <v>36209237436</v>
      </c>
      <c r="B5470" s="3">
        <v>233</v>
      </c>
      <c r="C5470" s="32">
        <v>49313</v>
      </c>
      <c r="D5470" s="32" t="s">
        <v>87</v>
      </c>
      <c r="E54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1" spans="1:6" x14ac:dyDescent="0.35">
      <c r="A5471" s="3">
        <v>30774790814</v>
      </c>
      <c r="B5471" s="3">
        <v>50</v>
      </c>
      <c r="C5471" s="32">
        <v>49313</v>
      </c>
      <c r="D5471" s="32" t="s">
        <v>87</v>
      </c>
      <c r="E54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2" spans="1:6" x14ac:dyDescent="0.35">
      <c r="A5472" s="3">
        <v>97917827984</v>
      </c>
      <c r="B5472" s="3">
        <v>277</v>
      </c>
      <c r="C5472" s="32">
        <v>49313</v>
      </c>
      <c r="D5472" s="32"/>
      <c r="E54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3" spans="1:6" x14ac:dyDescent="0.35">
      <c r="A5473" s="3">
        <v>86800105215</v>
      </c>
      <c r="B5473" s="3">
        <v>99</v>
      </c>
      <c r="C5473" s="32">
        <v>49313</v>
      </c>
      <c r="D5473" s="32" t="s">
        <v>87</v>
      </c>
      <c r="E54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4" spans="1:6" x14ac:dyDescent="0.35">
      <c r="A5474" s="3">
        <v>76475959525</v>
      </c>
      <c r="B5474" s="3">
        <v>274</v>
      </c>
      <c r="C5474" s="32">
        <v>49313</v>
      </c>
      <c r="D5474" s="32" t="s">
        <v>87</v>
      </c>
      <c r="E54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5" spans="1:6" x14ac:dyDescent="0.35">
      <c r="A5475" s="3">
        <v>68098618716</v>
      </c>
      <c r="B5475" s="3">
        <v>166</v>
      </c>
      <c r="C5475" s="32">
        <v>49313</v>
      </c>
      <c r="D5475" s="32">
        <v>49338</v>
      </c>
      <c r="E54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476" spans="1:6" x14ac:dyDescent="0.35">
      <c r="A5476" s="3">
        <v>16345452009</v>
      </c>
      <c r="B5476" s="3">
        <v>313</v>
      </c>
      <c r="C5476" s="32">
        <v>49313</v>
      </c>
      <c r="D5476" s="32" t="s">
        <v>87</v>
      </c>
      <c r="E54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7" spans="1:6" x14ac:dyDescent="0.35">
      <c r="A5477" s="3">
        <v>48086361134</v>
      </c>
      <c r="B5477" s="3">
        <v>7</v>
      </c>
      <c r="C5477" s="32">
        <v>49314</v>
      </c>
      <c r="D5477" s="32">
        <v>49357</v>
      </c>
      <c r="E54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478" spans="1:6" x14ac:dyDescent="0.35">
      <c r="A5478" s="3">
        <v>44568676866</v>
      </c>
      <c r="B5478" s="3">
        <v>187</v>
      </c>
      <c r="C5478" s="32">
        <v>49314</v>
      </c>
      <c r="D5478" s="32" t="s">
        <v>87</v>
      </c>
      <c r="E54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9" spans="1:6" x14ac:dyDescent="0.35">
      <c r="A5479" s="3">
        <v>69426639812</v>
      </c>
      <c r="B5479" s="3">
        <v>175</v>
      </c>
      <c r="C5479" s="32">
        <v>49314</v>
      </c>
      <c r="D5479" s="32"/>
      <c r="E54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0" spans="1:6" x14ac:dyDescent="0.35">
      <c r="A5480" s="3">
        <v>60716303999</v>
      </c>
      <c r="B5480" s="3">
        <v>34</v>
      </c>
      <c r="C5480" s="32">
        <v>49314</v>
      </c>
      <c r="D5480" s="32" t="s">
        <v>87</v>
      </c>
      <c r="E54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1" spans="1:6" x14ac:dyDescent="0.35">
      <c r="A5481" s="3">
        <v>72820289491</v>
      </c>
      <c r="B5481" s="3">
        <v>249</v>
      </c>
      <c r="C5481" s="32">
        <v>49314</v>
      </c>
      <c r="D5481" s="32" t="s">
        <v>87</v>
      </c>
      <c r="E54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2" spans="1:6" x14ac:dyDescent="0.35">
      <c r="A5482" s="3">
        <v>83846178149</v>
      </c>
      <c r="B5482" s="3">
        <v>78</v>
      </c>
      <c r="C5482" s="32">
        <v>49314</v>
      </c>
      <c r="D5482" s="32" t="s">
        <v>87</v>
      </c>
      <c r="E54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3" spans="1:6" x14ac:dyDescent="0.35">
      <c r="A5483" s="3">
        <v>40020497728</v>
      </c>
      <c r="B5483" s="3">
        <v>283</v>
      </c>
      <c r="C5483" s="32">
        <v>49314</v>
      </c>
      <c r="D5483" s="32" t="s">
        <v>87</v>
      </c>
      <c r="E54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4" spans="1:6" x14ac:dyDescent="0.35">
      <c r="A5484" s="3">
        <v>60060047208</v>
      </c>
      <c r="B5484" s="3">
        <v>287</v>
      </c>
      <c r="C5484" s="32">
        <v>49314</v>
      </c>
      <c r="D5484" s="32"/>
      <c r="E54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5" spans="1:6" x14ac:dyDescent="0.35">
      <c r="A5485" s="3">
        <v>37572728151</v>
      </c>
      <c r="B5485" s="3">
        <v>188</v>
      </c>
      <c r="C5485" s="32">
        <v>49314</v>
      </c>
      <c r="D5485" s="32"/>
      <c r="E54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6" spans="1:6" x14ac:dyDescent="0.35">
      <c r="A5486" s="3">
        <v>39353809341</v>
      </c>
      <c r="B5486" s="3">
        <v>179</v>
      </c>
      <c r="C5486" s="32">
        <v>49314</v>
      </c>
      <c r="D5486" s="32" t="s">
        <v>87</v>
      </c>
      <c r="E54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7" spans="1:6" x14ac:dyDescent="0.35">
      <c r="A5487" s="3">
        <v>66149467084</v>
      </c>
      <c r="B5487" s="3">
        <v>337</v>
      </c>
      <c r="C5487" s="32">
        <v>49314</v>
      </c>
      <c r="D5487" s="32" t="s">
        <v>87</v>
      </c>
      <c r="E54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8" spans="1:6" x14ac:dyDescent="0.35">
      <c r="A5488" s="3">
        <v>93937624265</v>
      </c>
      <c r="B5488" s="3">
        <v>118</v>
      </c>
      <c r="C5488" s="32">
        <v>49314</v>
      </c>
      <c r="D5488" s="32" t="s">
        <v>87</v>
      </c>
      <c r="E54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9" spans="1:6" x14ac:dyDescent="0.35">
      <c r="A5489" s="3">
        <v>63678070865</v>
      </c>
      <c r="B5489" s="3">
        <v>162</v>
      </c>
      <c r="C5489" s="32">
        <v>49314</v>
      </c>
      <c r="D5489" s="32" t="s">
        <v>87</v>
      </c>
      <c r="E54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0" spans="1:6" x14ac:dyDescent="0.35">
      <c r="A5490" s="3">
        <v>43703855327</v>
      </c>
      <c r="B5490" s="3">
        <v>283</v>
      </c>
      <c r="C5490" s="32">
        <v>49314</v>
      </c>
      <c r="D5490" s="32" t="s">
        <v>87</v>
      </c>
      <c r="E54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1" spans="1:6" x14ac:dyDescent="0.35">
      <c r="A5491" s="3">
        <v>59342795074</v>
      </c>
      <c r="B5491" s="3">
        <v>98</v>
      </c>
      <c r="C5491" s="32">
        <v>49314</v>
      </c>
      <c r="D5491" s="32" t="s">
        <v>87</v>
      </c>
      <c r="E54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2" spans="1:6" x14ac:dyDescent="0.35">
      <c r="A5492" s="3">
        <v>53895008558</v>
      </c>
      <c r="B5492" s="3">
        <v>182</v>
      </c>
      <c r="C5492" s="32">
        <v>49314</v>
      </c>
      <c r="D5492" s="32" t="s">
        <v>87</v>
      </c>
      <c r="E54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3" spans="1:6" x14ac:dyDescent="0.35">
      <c r="A5493" s="3">
        <v>91902601914</v>
      </c>
      <c r="B5493" s="3">
        <v>140</v>
      </c>
      <c r="C5493" s="32">
        <v>49314</v>
      </c>
      <c r="D5493" s="32"/>
      <c r="E54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4" spans="1:6" x14ac:dyDescent="0.35">
      <c r="A5494" s="3">
        <v>90177434119</v>
      </c>
      <c r="B5494" s="3">
        <v>112</v>
      </c>
      <c r="C5494" s="32">
        <v>49314</v>
      </c>
      <c r="D5494" s="32" t="s">
        <v>87</v>
      </c>
      <c r="E54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5" spans="1:6" x14ac:dyDescent="0.35">
      <c r="A5495" s="3">
        <v>73555960539</v>
      </c>
      <c r="B5495" s="3">
        <v>113</v>
      </c>
      <c r="C5495" s="32">
        <v>49314</v>
      </c>
      <c r="D5495" s="32" t="s">
        <v>87</v>
      </c>
      <c r="E54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6" spans="1:6" x14ac:dyDescent="0.35">
      <c r="A5496" s="3">
        <v>82310227144</v>
      </c>
      <c r="B5496" s="3">
        <v>144</v>
      </c>
      <c r="C5496" s="32">
        <v>49314</v>
      </c>
      <c r="D5496" s="32"/>
      <c r="E54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7" spans="1:6" x14ac:dyDescent="0.35">
      <c r="A5497" s="3">
        <v>32560459921</v>
      </c>
      <c r="B5497" s="3">
        <v>94</v>
      </c>
      <c r="C5497" s="32">
        <v>49314</v>
      </c>
      <c r="D5497" s="32" t="s">
        <v>87</v>
      </c>
      <c r="E54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8" spans="1:6" x14ac:dyDescent="0.35">
      <c r="A5498" s="3">
        <v>83267934967</v>
      </c>
      <c r="B5498" s="3">
        <v>219</v>
      </c>
      <c r="C5498" s="32">
        <v>49314</v>
      </c>
      <c r="D5498" s="32" t="s">
        <v>87</v>
      </c>
      <c r="E54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9" spans="1:6" x14ac:dyDescent="0.35">
      <c r="A5499" s="3">
        <v>21343007672</v>
      </c>
      <c r="B5499" s="3">
        <v>337</v>
      </c>
      <c r="C5499" s="32">
        <v>49315</v>
      </c>
      <c r="D5499" s="32" t="s">
        <v>87</v>
      </c>
      <c r="E54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0" spans="1:6" x14ac:dyDescent="0.35">
      <c r="A5500" s="3">
        <v>40531144025</v>
      </c>
      <c r="B5500" s="3">
        <v>126</v>
      </c>
      <c r="C5500" s="32">
        <v>49315</v>
      </c>
      <c r="D5500" s="32" t="s">
        <v>87</v>
      </c>
      <c r="E55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1" spans="1:6" x14ac:dyDescent="0.35">
      <c r="A5501" s="3">
        <v>11509231660</v>
      </c>
      <c r="B5501" s="3">
        <v>39</v>
      </c>
      <c r="C5501" s="32">
        <v>49315</v>
      </c>
      <c r="D5501" s="32" t="s">
        <v>87</v>
      </c>
      <c r="E55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2" spans="1:6" x14ac:dyDescent="0.35">
      <c r="A5502" s="3">
        <v>48852056193</v>
      </c>
      <c r="B5502" s="3">
        <v>316</v>
      </c>
      <c r="C5502" s="32">
        <v>49315</v>
      </c>
      <c r="D5502" s="32" t="s">
        <v>87</v>
      </c>
      <c r="E55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3" spans="1:6" x14ac:dyDescent="0.35">
      <c r="A5503" s="3">
        <v>92453554483</v>
      </c>
      <c r="B5503" s="3">
        <v>154</v>
      </c>
      <c r="C5503" s="32">
        <v>49315</v>
      </c>
      <c r="D5503" s="32">
        <v>49340</v>
      </c>
      <c r="E55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504" spans="1:6" x14ac:dyDescent="0.35">
      <c r="A5504" s="3">
        <v>65170484640</v>
      </c>
      <c r="B5504" s="3">
        <v>225</v>
      </c>
      <c r="C5504" s="32">
        <v>49315</v>
      </c>
      <c r="D5504" s="32" t="s">
        <v>87</v>
      </c>
      <c r="E55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5" spans="1:6" x14ac:dyDescent="0.35">
      <c r="A5505" s="3">
        <v>65829274195</v>
      </c>
      <c r="B5505" s="3">
        <v>293</v>
      </c>
      <c r="C5505" s="32">
        <v>49315</v>
      </c>
      <c r="D5505" s="32">
        <v>49315</v>
      </c>
      <c r="E55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506" spans="1:6" x14ac:dyDescent="0.35">
      <c r="A5506" s="3">
        <v>31836771406</v>
      </c>
      <c r="B5506" s="3">
        <v>301</v>
      </c>
      <c r="C5506" s="32">
        <v>49315</v>
      </c>
      <c r="D5506" s="32" t="s">
        <v>87</v>
      </c>
      <c r="E55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7" spans="1:6" x14ac:dyDescent="0.35">
      <c r="A5507" s="3">
        <v>57422452049</v>
      </c>
      <c r="B5507" s="3">
        <v>38</v>
      </c>
      <c r="C5507" s="32">
        <v>49315</v>
      </c>
      <c r="D5507" s="32" t="s">
        <v>87</v>
      </c>
      <c r="E55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8" spans="1:6" x14ac:dyDescent="0.35">
      <c r="A5508" s="3">
        <v>16758598759</v>
      </c>
      <c r="B5508" s="3">
        <v>72</v>
      </c>
      <c r="C5508" s="32">
        <v>49315</v>
      </c>
      <c r="D5508" s="32" t="s">
        <v>87</v>
      </c>
      <c r="E55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9" spans="1:6" x14ac:dyDescent="0.35">
      <c r="A5509" s="3">
        <v>28635333337</v>
      </c>
      <c r="B5509" s="3">
        <v>220</v>
      </c>
      <c r="C5509" s="32">
        <v>49315</v>
      </c>
      <c r="D5509" s="32" t="s">
        <v>87</v>
      </c>
      <c r="E55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0" spans="1:6" x14ac:dyDescent="0.35">
      <c r="A5510" s="3">
        <v>76847182079</v>
      </c>
      <c r="B5510" s="3">
        <v>133</v>
      </c>
      <c r="C5510" s="32">
        <v>49315</v>
      </c>
      <c r="D5510" s="32"/>
      <c r="E55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1" spans="1:6" x14ac:dyDescent="0.35">
      <c r="A5511" s="3">
        <v>89383996721</v>
      </c>
      <c r="B5511" s="3">
        <v>296</v>
      </c>
      <c r="C5511" s="32">
        <v>49315</v>
      </c>
      <c r="D5511" s="32" t="s">
        <v>87</v>
      </c>
      <c r="E55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2" spans="1:6" x14ac:dyDescent="0.35">
      <c r="A5512" s="3">
        <v>48873304284</v>
      </c>
      <c r="B5512" s="3">
        <v>25</v>
      </c>
      <c r="C5512" s="32">
        <v>49315</v>
      </c>
      <c r="D5512" s="32" t="s">
        <v>87</v>
      </c>
      <c r="E55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3" spans="1:6" x14ac:dyDescent="0.35">
      <c r="A5513" s="3">
        <v>59205666608</v>
      </c>
      <c r="B5513" s="3">
        <v>253</v>
      </c>
      <c r="C5513" s="32">
        <v>49315</v>
      </c>
      <c r="D5513" s="32" t="s">
        <v>87</v>
      </c>
      <c r="E55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4" spans="1:6" x14ac:dyDescent="0.35">
      <c r="A5514" s="3">
        <v>79781178072</v>
      </c>
      <c r="B5514" s="3">
        <v>314</v>
      </c>
      <c r="C5514" s="32">
        <v>49315</v>
      </c>
      <c r="D5514" s="32" t="s">
        <v>87</v>
      </c>
      <c r="E55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5" spans="1:6" x14ac:dyDescent="0.35">
      <c r="A5515" s="3">
        <v>97571876790</v>
      </c>
      <c r="B5515" s="3">
        <v>242</v>
      </c>
      <c r="C5515" s="32">
        <v>49315</v>
      </c>
      <c r="D5515" s="32" t="s">
        <v>87</v>
      </c>
      <c r="E55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6" spans="1:6" x14ac:dyDescent="0.35">
      <c r="A5516" s="3">
        <v>55803102324</v>
      </c>
      <c r="B5516" s="3">
        <v>217</v>
      </c>
      <c r="C5516" s="32">
        <v>49315</v>
      </c>
      <c r="D5516" s="32"/>
      <c r="E55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7" spans="1:6" x14ac:dyDescent="0.35">
      <c r="A5517" s="3">
        <v>59650193894</v>
      </c>
      <c r="B5517" s="3">
        <v>270</v>
      </c>
      <c r="C5517" s="32">
        <v>49315</v>
      </c>
      <c r="D5517" s="32" t="s">
        <v>87</v>
      </c>
      <c r="E55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8" spans="1:6" x14ac:dyDescent="0.35">
      <c r="A5518" s="3">
        <v>17222152937</v>
      </c>
      <c r="B5518" s="3">
        <v>28</v>
      </c>
      <c r="C5518" s="32">
        <v>49315</v>
      </c>
      <c r="D5518" s="32" t="s">
        <v>87</v>
      </c>
      <c r="E55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9" spans="1:6" x14ac:dyDescent="0.35">
      <c r="A5519" s="3">
        <v>92635290095</v>
      </c>
      <c r="B5519" s="3">
        <v>140</v>
      </c>
      <c r="C5519" s="32">
        <v>49315</v>
      </c>
      <c r="D5519" s="32" t="s">
        <v>87</v>
      </c>
      <c r="E55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0" spans="1:6" x14ac:dyDescent="0.35">
      <c r="A5520" s="3">
        <v>43121907307</v>
      </c>
      <c r="B5520" s="3">
        <v>26</v>
      </c>
      <c r="C5520" s="32">
        <v>49315</v>
      </c>
      <c r="D5520" s="32" t="s">
        <v>87</v>
      </c>
      <c r="E55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1" spans="1:6" x14ac:dyDescent="0.35">
      <c r="A5521" s="3">
        <v>57837184281</v>
      </c>
      <c r="B5521" s="3">
        <v>66</v>
      </c>
      <c r="C5521" s="32">
        <v>49315</v>
      </c>
      <c r="D5521" s="32" t="s">
        <v>87</v>
      </c>
      <c r="E55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2" spans="1:6" x14ac:dyDescent="0.35">
      <c r="A5522" s="3">
        <v>14165440474</v>
      </c>
      <c r="B5522" s="3">
        <v>244</v>
      </c>
      <c r="C5522" s="32">
        <v>49315</v>
      </c>
      <c r="D5522" s="32" t="s">
        <v>87</v>
      </c>
      <c r="E55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3" spans="1:6" x14ac:dyDescent="0.35">
      <c r="A5523" s="3">
        <v>38727041316</v>
      </c>
      <c r="B5523" s="3">
        <v>297</v>
      </c>
      <c r="C5523" s="32">
        <v>49315</v>
      </c>
      <c r="D5523" s="32" t="s">
        <v>87</v>
      </c>
      <c r="E55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4" spans="1:6" x14ac:dyDescent="0.35">
      <c r="A5524" s="3">
        <v>47530798031</v>
      </c>
      <c r="B5524" s="3">
        <v>15</v>
      </c>
      <c r="C5524" s="32">
        <v>49315</v>
      </c>
      <c r="D5524" s="32" t="s">
        <v>87</v>
      </c>
      <c r="E55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5" spans="1:6" x14ac:dyDescent="0.35">
      <c r="A5525" s="3">
        <v>40552314401</v>
      </c>
      <c r="B5525" s="3">
        <v>215</v>
      </c>
      <c r="C5525" s="32">
        <v>49315</v>
      </c>
      <c r="D5525" s="32" t="s">
        <v>87</v>
      </c>
      <c r="E55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6" spans="1:6" x14ac:dyDescent="0.35">
      <c r="A5526" s="3">
        <v>79994196901</v>
      </c>
      <c r="B5526" s="3">
        <v>77</v>
      </c>
      <c r="C5526" s="32">
        <v>49315</v>
      </c>
      <c r="D5526" s="32">
        <v>49351</v>
      </c>
      <c r="E55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527" spans="1:6" x14ac:dyDescent="0.35">
      <c r="A5527" s="3">
        <v>70715201953</v>
      </c>
      <c r="B5527" s="3">
        <v>198</v>
      </c>
      <c r="C5527" s="32">
        <v>49315</v>
      </c>
      <c r="D5527" s="32" t="s">
        <v>87</v>
      </c>
      <c r="E55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8" spans="1:6" x14ac:dyDescent="0.35">
      <c r="A5528" s="3">
        <v>87592356922</v>
      </c>
      <c r="B5528" s="3">
        <v>73</v>
      </c>
      <c r="C5528" s="32">
        <v>49315</v>
      </c>
      <c r="D5528" s="32" t="s">
        <v>87</v>
      </c>
      <c r="E55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9" spans="1:6" x14ac:dyDescent="0.35">
      <c r="A5529" s="3">
        <v>12550046734</v>
      </c>
      <c r="B5529" s="3">
        <v>332</v>
      </c>
      <c r="C5529" s="32">
        <v>49315</v>
      </c>
      <c r="D5529" s="32">
        <v>49362</v>
      </c>
      <c r="E55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530" spans="1:6" x14ac:dyDescent="0.35">
      <c r="A5530" s="3">
        <v>49834496996</v>
      </c>
      <c r="B5530" s="3">
        <v>64</v>
      </c>
      <c r="C5530" s="32">
        <v>49316</v>
      </c>
      <c r="D5530" s="32" t="s">
        <v>87</v>
      </c>
      <c r="E55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1" spans="1:6" x14ac:dyDescent="0.35">
      <c r="A5531" s="3">
        <v>59005489210</v>
      </c>
      <c r="B5531" s="3">
        <v>340</v>
      </c>
      <c r="C5531" s="32">
        <v>49316</v>
      </c>
      <c r="D5531" s="32" t="s">
        <v>87</v>
      </c>
      <c r="E55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2" spans="1:6" x14ac:dyDescent="0.35">
      <c r="A5532" s="3">
        <v>32020388358</v>
      </c>
      <c r="B5532" s="3">
        <v>208</v>
      </c>
      <c r="C5532" s="32">
        <v>49316</v>
      </c>
      <c r="D5532" s="32" t="s">
        <v>87</v>
      </c>
      <c r="E55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3" spans="1:6" x14ac:dyDescent="0.35">
      <c r="A5533" s="3">
        <v>85483636586</v>
      </c>
      <c r="B5533" s="3">
        <v>291</v>
      </c>
      <c r="C5533" s="32">
        <v>49316</v>
      </c>
      <c r="D5533" s="32"/>
      <c r="E55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4" spans="1:6" x14ac:dyDescent="0.35">
      <c r="A5534" s="3">
        <v>91847472613</v>
      </c>
      <c r="B5534" s="3">
        <v>49</v>
      </c>
      <c r="C5534" s="32">
        <v>49316</v>
      </c>
      <c r="D5534" s="32" t="s">
        <v>87</v>
      </c>
      <c r="E55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5" spans="1:6" x14ac:dyDescent="0.35">
      <c r="A5535" s="3">
        <v>88439533414</v>
      </c>
      <c r="B5535" s="3">
        <v>301</v>
      </c>
      <c r="C5535" s="32">
        <v>49316</v>
      </c>
      <c r="D5535" s="32"/>
      <c r="E55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6" spans="1:6" x14ac:dyDescent="0.35">
      <c r="A5536" s="3">
        <v>69629973692</v>
      </c>
      <c r="B5536" s="3">
        <v>177</v>
      </c>
      <c r="C5536" s="32">
        <v>49316</v>
      </c>
      <c r="D5536" s="32" t="s">
        <v>87</v>
      </c>
      <c r="E55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7" spans="1:6" x14ac:dyDescent="0.35">
      <c r="A5537" s="3">
        <v>76179297898</v>
      </c>
      <c r="B5537" s="3">
        <v>1</v>
      </c>
      <c r="C5537" s="32">
        <v>49316</v>
      </c>
      <c r="D5537" s="32" t="s">
        <v>87</v>
      </c>
      <c r="E55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8" spans="1:6" x14ac:dyDescent="0.35">
      <c r="A5538" s="3">
        <v>12941920610</v>
      </c>
      <c r="B5538" s="3">
        <v>249</v>
      </c>
      <c r="C5538" s="32">
        <v>49316</v>
      </c>
      <c r="D5538" s="32"/>
      <c r="E55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9" spans="1:6" x14ac:dyDescent="0.35">
      <c r="A5539" s="3">
        <v>20023789651</v>
      </c>
      <c r="B5539" s="3">
        <v>81</v>
      </c>
      <c r="C5539" s="32">
        <v>49316</v>
      </c>
      <c r="D5539" s="32" t="s">
        <v>87</v>
      </c>
      <c r="E55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0" spans="1:6" x14ac:dyDescent="0.35">
      <c r="A5540" s="3">
        <v>71983607605</v>
      </c>
      <c r="B5540" s="3">
        <v>297</v>
      </c>
      <c r="C5540" s="32">
        <v>49316</v>
      </c>
      <c r="D5540" s="32" t="s">
        <v>87</v>
      </c>
      <c r="E55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1" spans="1:6" x14ac:dyDescent="0.35">
      <c r="A5541" s="3">
        <v>70688320237</v>
      </c>
      <c r="B5541" s="3">
        <v>156</v>
      </c>
      <c r="C5541" s="32">
        <v>49316</v>
      </c>
      <c r="D5541" s="32" t="s">
        <v>87</v>
      </c>
      <c r="E55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2" spans="1:6" x14ac:dyDescent="0.35">
      <c r="A5542" s="3">
        <v>25507767374</v>
      </c>
      <c r="B5542" s="3">
        <v>32</v>
      </c>
      <c r="C5542" s="32">
        <v>49316</v>
      </c>
      <c r="D5542" s="32" t="s">
        <v>87</v>
      </c>
      <c r="E55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3" spans="1:6" x14ac:dyDescent="0.35">
      <c r="A5543" s="3">
        <v>70680953441</v>
      </c>
      <c r="B5543" s="3">
        <v>220</v>
      </c>
      <c r="C5543" s="32">
        <v>49316</v>
      </c>
      <c r="D5543" s="32" t="s">
        <v>87</v>
      </c>
      <c r="E55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4" spans="1:6" x14ac:dyDescent="0.35">
      <c r="A5544" s="3">
        <v>74733825443</v>
      </c>
      <c r="B5544" s="3">
        <v>109</v>
      </c>
      <c r="C5544" s="32">
        <v>49316</v>
      </c>
      <c r="D5544" s="32"/>
      <c r="E55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5" spans="1:6" x14ac:dyDescent="0.35">
      <c r="A5545" s="3">
        <v>99248799342</v>
      </c>
      <c r="B5545" s="3">
        <v>78</v>
      </c>
      <c r="C5545" s="32">
        <v>49316</v>
      </c>
      <c r="D5545" s="32" t="s">
        <v>87</v>
      </c>
      <c r="E55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6" spans="1:6" x14ac:dyDescent="0.35">
      <c r="A5546" s="3">
        <v>15375577350</v>
      </c>
      <c r="B5546" s="3">
        <v>290</v>
      </c>
      <c r="C5546" s="32">
        <v>49316</v>
      </c>
      <c r="D5546" s="32" t="s">
        <v>87</v>
      </c>
      <c r="E55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7" spans="1:6" x14ac:dyDescent="0.35">
      <c r="A5547" s="3">
        <v>86993990945</v>
      </c>
      <c r="B5547" s="3">
        <v>317</v>
      </c>
      <c r="C5547" s="32">
        <v>49316</v>
      </c>
      <c r="D5547" s="32" t="s">
        <v>87</v>
      </c>
      <c r="E55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8" spans="1:6" x14ac:dyDescent="0.35">
      <c r="A5548" s="3">
        <v>29412971523</v>
      </c>
      <c r="B5548" s="3">
        <v>289</v>
      </c>
      <c r="C5548" s="32">
        <v>49316</v>
      </c>
      <c r="D5548" s="32" t="s">
        <v>87</v>
      </c>
      <c r="E55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9" spans="1:6" x14ac:dyDescent="0.35">
      <c r="A5549" s="3">
        <v>97159758023</v>
      </c>
      <c r="B5549" s="3">
        <v>335</v>
      </c>
      <c r="C5549" s="32">
        <v>49316</v>
      </c>
      <c r="D5549" s="32">
        <v>49354</v>
      </c>
      <c r="E55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550" spans="1:6" x14ac:dyDescent="0.35">
      <c r="A5550" s="3">
        <v>18816593136</v>
      </c>
      <c r="B5550" s="3">
        <v>27</v>
      </c>
      <c r="C5550" s="32">
        <v>49316</v>
      </c>
      <c r="D5550" s="32" t="s">
        <v>87</v>
      </c>
      <c r="E55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51" spans="1:6" x14ac:dyDescent="0.35">
      <c r="A5551" s="3">
        <v>32236089814</v>
      </c>
      <c r="B5551" s="3">
        <v>313</v>
      </c>
      <c r="C5551" s="32">
        <v>49316</v>
      </c>
      <c r="D5551" s="32">
        <v>49339</v>
      </c>
      <c r="E55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552" spans="1:6" x14ac:dyDescent="0.35">
      <c r="A5552" s="3">
        <v>65204622327</v>
      </c>
      <c r="B5552" s="3">
        <v>240</v>
      </c>
      <c r="C5552" s="32">
        <v>49316</v>
      </c>
      <c r="D5552" s="32">
        <v>49348</v>
      </c>
      <c r="E55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553" spans="1:6" x14ac:dyDescent="0.35">
      <c r="A5553" s="3">
        <v>57177610823</v>
      </c>
      <c r="B5553" s="3">
        <v>167</v>
      </c>
      <c r="C5553" s="32">
        <v>49316</v>
      </c>
      <c r="D5553" s="32">
        <v>49328</v>
      </c>
      <c r="E55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554" spans="1:6" x14ac:dyDescent="0.35">
      <c r="A5554" s="3">
        <v>91346219915</v>
      </c>
      <c r="B5554" s="3">
        <v>95</v>
      </c>
      <c r="C5554" s="32">
        <v>49316</v>
      </c>
      <c r="D5554" s="32" t="s">
        <v>87</v>
      </c>
      <c r="E55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55" spans="1:6" x14ac:dyDescent="0.35">
      <c r="A5555" s="3">
        <v>12845558069</v>
      </c>
      <c r="B5555" s="3">
        <v>170</v>
      </c>
      <c r="C5555" s="32">
        <v>49316</v>
      </c>
      <c r="D5555" s="32" t="s">
        <v>87</v>
      </c>
      <c r="E55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56" spans="1:6" x14ac:dyDescent="0.35">
      <c r="A5556" s="3">
        <v>77502599929</v>
      </c>
      <c r="B5556" s="3">
        <v>14</v>
      </c>
      <c r="C5556" s="32">
        <v>49316</v>
      </c>
      <c r="D5556" s="32"/>
      <c r="E55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57" spans="1:6" x14ac:dyDescent="0.35">
      <c r="A5557" s="3">
        <v>93235271535</v>
      </c>
      <c r="B5557" s="3">
        <v>67</v>
      </c>
      <c r="C5557" s="32">
        <v>49316</v>
      </c>
      <c r="D5557" s="32"/>
      <c r="E55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58" spans="1:6" x14ac:dyDescent="0.35">
      <c r="A5558" s="3">
        <v>26083716947</v>
      </c>
      <c r="B5558" s="3">
        <v>246</v>
      </c>
      <c r="C5558" s="32">
        <v>49317</v>
      </c>
      <c r="D5558" s="32"/>
      <c r="E55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59" spans="1:6" x14ac:dyDescent="0.35">
      <c r="A5559" s="3">
        <v>22365596545</v>
      </c>
      <c r="B5559" s="3">
        <v>12</v>
      </c>
      <c r="C5559" s="32">
        <v>49317</v>
      </c>
      <c r="D5559" s="32" t="s">
        <v>87</v>
      </c>
      <c r="E55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0" spans="1:6" x14ac:dyDescent="0.35">
      <c r="A5560" s="3">
        <v>26008465478</v>
      </c>
      <c r="B5560" s="3">
        <v>58</v>
      </c>
      <c r="C5560" s="32">
        <v>49317</v>
      </c>
      <c r="D5560" s="32" t="s">
        <v>87</v>
      </c>
      <c r="E55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1" spans="1:6" x14ac:dyDescent="0.35">
      <c r="A5561" s="3">
        <v>29293638122</v>
      </c>
      <c r="B5561" s="3">
        <v>299</v>
      </c>
      <c r="C5561" s="32">
        <v>49317</v>
      </c>
      <c r="D5561" s="32" t="s">
        <v>87</v>
      </c>
      <c r="E55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2" spans="1:6" x14ac:dyDescent="0.35">
      <c r="A5562" s="3">
        <v>96416317941</v>
      </c>
      <c r="B5562" s="3">
        <v>332</v>
      </c>
      <c r="C5562" s="32">
        <v>49317</v>
      </c>
      <c r="D5562" s="32" t="s">
        <v>87</v>
      </c>
      <c r="E55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3" spans="1:6" x14ac:dyDescent="0.35">
      <c r="A5563" s="3">
        <v>73655025878</v>
      </c>
      <c r="B5563" s="3">
        <v>51</v>
      </c>
      <c r="C5563" s="32">
        <v>49317</v>
      </c>
      <c r="D5563" s="32"/>
      <c r="E55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4" spans="1:6" x14ac:dyDescent="0.35">
      <c r="A5564" s="3">
        <v>91207513987</v>
      </c>
      <c r="B5564" s="3">
        <v>60</v>
      </c>
      <c r="C5564" s="32">
        <v>49317</v>
      </c>
      <c r="D5564" s="32" t="s">
        <v>87</v>
      </c>
      <c r="E55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5" spans="1:6" x14ac:dyDescent="0.35">
      <c r="A5565" s="3">
        <v>23567226307</v>
      </c>
      <c r="B5565" s="3">
        <v>23</v>
      </c>
      <c r="C5565" s="32">
        <v>49317</v>
      </c>
      <c r="D5565" s="32"/>
      <c r="E55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6" spans="1:6" x14ac:dyDescent="0.35">
      <c r="A5566" s="3">
        <v>66955016169</v>
      </c>
      <c r="B5566" s="3">
        <v>48</v>
      </c>
      <c r="C5566" s="32">
        <v>49317</v>
      </c>
      <c r="D5566" s="32" t="s">
        <v>87</v>
      </c>
      <c r="E55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7" spans="1:6" x14ac:dyDescent="0.35">
      <c r="A5567" s="3">
        <v>40757904750</v>
      </c>
      <c r="B5567" s="3">
        <v>130</v>
      </c>
      <c r="C5567" s="32">
        <v>49317</v>
      </c>
      <c r="D5567" s="32" t="s">
        <v>87</v>
      </c>
      <c r="E55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8" spans="1:6" x14ac:dyDescent="0.35">
      <c r="A5568" s="3">
        <v>86568923768</v>
      </c>
      <c r="B5568" s="3">
        <v>73</v>
      </c>
      <c r="C5568" s="32">
        <v>49317</v>
      </c>
      <c r="D5568" s="32" t="s">
        <v>87</v>
      </c>
      <c r="E55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9" spans="1:6" x14ac:dyDescent="0.35">
      <c r="A5569" s="3">
        <v>37072636669</v>
      </c>
      <c r="B5569" s="3">
        <v>16</v>
      </c>
      <c r="C5569" s="32">
        <v>49317</v>
      </c>
      <c r="D5569" s="32" t="s">
        <v>87</v>
      </c>
      <c r="E55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0" spans="1:6" x14ac:dyDescent="0.35">
      <c r="A5570" s="3">
        <v>23960221403</v>
      </c>
      <c r="B5570" s="3">
        <v>270</v>
      </c>
      <c r="C5570" s="32">
        <v>49317</v>
      </c>
      <c r="D5570" s="32" t="s">
        <v>87</v>
      </c>
      <c r="E55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1" spans="1:6" x14ac:dyDescent="0.35">
      <c r="A5571" s="3">
        <v>77248533495</v>
      </c>
      <c r="B5571" s="3">
        <v>69</v>
      </c>
      <c r="C5571" s="32">
        <v>49317</v>
      </c>
      <c r="D5571" s="32">
        <v>49348</v>
      </c>
      <c r="E55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572" spans="1:6" x14ac:dyDescent="0.35">
      <c r="A5572" s="3">
        <v>36780039477</v>
      </c>
      <c r="B5572" s="3">
        <v>198</v>
      </c>
      <c r="C5572" s="32">
        <v>49317</v>
      </c>
      <c r="D5572" s="32" t="s">
        <v>87</v>
      </c>
      <c r="E55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3" spans="1:6" x14ac:dyDescent="0.35">
      <c r="A5573" s="3">
        <v>29041722789</v>
      </c>
      <c r="B5573" s="3">
        <v>319</v>
      </c>
      <c r="C5573" s="32">
        <v>49317</v>
      </c>
      <c r="D5573" s="32" t="s">
        <v>87</v>
      </c>
      <c r="E55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4" spans="1:6" x14ac:dyDescent="0.35">
      <c r="A5574" s="3">
        <v>15909144874</v>
      </c>
      <c r="B5574" s="3">
        <v>338</v>
      </c>
      <c r="C5574" s="32">
        <v>49317</v>
      </c>
      <c r="D5574" s="32"/>
      <c r="E55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5" spans="1:6" x14ac:dyDescent="0.35">
      <c r="A5575" s="3">
        <v>94731833101</v>
      </c>
      <c r="B5575" s="3">
        <v>86</v>
      </c>
      <c r="C5575" s="32">
        <v>49317</v>
      </c>
      <c r="D5575" s="32" t="s">
        <v>87</v>
      </c>
      <c r="E55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6" spans="1:6" x14ac:dyDescent="0.35">
      <c r="A5576" s="3">
        <v>45731132589</v>
      </c>
      <c r="B5576" s="3">
        <v>265</v>
      </c>
      <c r="C5576" s="32">
        <v>49317</v>
      </c>
      <c r="D5576" s="32" t="s">
        <v>87</v>
      </c>
      <c r="E55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7" spans="1:6" x14ac:dyDescent="0.35">
      <c r="A5577" s="3">
        <v>65841967620</v>
      </c>
      <c r="B5577" s="3">
        <v>120</v>
      </c>
      <c r="C5577" s="32">
        <v>49317</v>
      </c>
      <c r="D5577" s="32" t="s">
        <v>87</v>
      </c>
      <c r="E55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8" spans="1:6" x14ac:dyDescent="0.35">
      <c r="A5578" s="3">
        <v>58894320037</v>
      </c>
      <c r="B5578" s="3">
        <v>49</v>
      </c>
      <c r="C5578" s="32">
        <v>49317</v>
      </c>
      <c r="D5578" s="32"/>
      <c r="E55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9" spans="1:6" x14ac:dyDescent="0.35">
      <c r="A5579" s="3">
        <v>22446226310</v>
      </c>
      <c r="B5579" s="3">
        <v>322</v>
      </c>
      <c r="C5579" s="32">
        <v>49317</v>
      </c>
      <c r="D5579" s="32"/>
      <c r="E55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0" spans="1:6" x14ac:dyDescent="0.35">
      <c r="A5580" s="3">
        <v>37354372171</v>
      </c>
      <c r="B5580" s="3">
        <v>237</v>
      </c>
      <c r="C5580" s="32">
        <v>49317</v>
      </c>
      <c r="D5580" s="32" t="s">
        <v>87</v>
      </c>
      <c r="E55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1" spans="1:6" x14ac:dyDescent="0.35">
      <c r="A5581" s="3">
        <v>67825248327</v>
      </c>
      <c r="B5581" s="3">
        <v>296</v>
      </c>
      <c r="C5581" s="32">
        <v>49317</v>
      </c>
      <c r="D5581" s="32" t="s">
        <v>87</v>
      </c>
      <c r="E55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2" spans="1:6" x14ac:dyDescent="0.35">
      <c r="A5582" s="3">
        <v>23082310871</v>
      </c>
      <c r="B5582" s="3">
        <v>67</v>
      </c>
      <c r="C5582" s="32">
        <v>49317</v>
      </c>
      <c r="D5582" s="32" t="s">
        <v>87</v>
      </c>
      <c r="E55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3" spans="1:6" x14ac:dyDescent="0.35">
      <c r="A5583" s="3">
        <v>98961414827</v>
      </c>
      <c r="B5583" s="3">
        <v>144</v>
      </c>
      <c r="C5583" s="32">
        <v>49317</v>
      </c>
      <c r="D5583" s="32">
        <v>49317</v>
      </c>
      <c r="E55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584" spans="1:6" x14ac:dyDescent="0.35">
      <c r="A5584" s="3">
        <v>85838033234</v>
      </c>
      <c r="B5584" s="3">
        <v>259</v>
      </c>
      <c r="C5584" s="32">
        <v>49317</v>
      </c>
      <c r="D5584" s="32" t="s">
        <v>87</v>
      </c>
      <c r="E55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5" spans="1:6" x14ac:dyDescent="0.35">
      <c r="A5585" s="3">
        <v>24964614976</v>
      </c>
      <c r="B5585" s="3">
        <v>125</v>
      </c>
      <c r="C5585" s="32">
        <v>49318</v>
      </c>
      <c r="D5585" s="32" t="s">
        <v>87</v>
      </c>
      <c r="E55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6" spans="1:6" x14ac:dyDescent="0.35">
      <c r="A5586" s="3">
        <v>35897779909</v>
      </c>
      <c r="B5586" s="3">
        <v>211</v>
      </c>
      <c r="C5586" s="32">
        <v>49318</v>
      </c>
      <c r="D5586" s="32"/>
      <c r="E55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7" spans="1:6" x14ac:dyDescent="0.35">
      <c r="A5587" s="3">
        <v>22113431680</v>
      </c>
      <c r="B5587" s="3">
        <v>136</v>
      </c>
      <c r="C5587" s="32">
        <v>49318</v>
      </c>
      <c r="D5587" s="32" t="s">
        <v>87</v>
      </c>
      <c r="E55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8" spans="1:6" x14ac:dyDescent="0.35">
      <c r="A5588" s="3">
        <v>24360741217</v>
      </c>
      <c r="B5588" s="3">
        <v>64</v>
      </c>
      <c r="C5588" s="32">
        <v>49318</v>
      </c>
      <c r="D5588" s="32" t="s">
        <v>87</v>
      </c>
      <c r="E55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9" spans="1:6" x14ac:dyDescent="0.35">
      <c r="A5589" s="3">
        <v>98163548338</v>
      </c>
      <c r="B5589" s="3">
        <v>24</v>
      </c>
      <c r="C5589" s="32">
        <v>49318</v>
      </c>
      <c r="D5589" s="32" t="s">
        <v>87</v>
      </c>
      <c r="E55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0" spans="1:6" x14ac:dyDescent="0.35">
      <c r="A5590" s="3">
        <v>78020569308</v>
      </c>
      <c r="B5590" s="3">
        <v>123</v>
      </c>
      <c r="C5590" s="32">
        <v>49318</v>
      </c>
      <c r="D5590" s="32"/>
      <c r="E55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1" spans="1:6" x14ac:dyDescent="0.35">
      <c r="A5591" s="3">
        <v>24502460327</v>
      </c>
      <c r="B5591" s="3">
        <v>105</v>
      </c>
      <c r="C5591" s="32">
        <v>49318</v>
      </c>
      <c r="D5591" s="32"/>
      <c r="E55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2" spans="1:6" x14ac:dyDescent="0.35">
      <c r="A5592" s="3">
        <v>93395862545</v>
      </c>
      <c r="B5592" s="3">
        <v>305</v>
      </c>
      <c r="C5592" s="32">
        <v>49318</v>
      </c>
      <c r="D5592" s="32" t="s">
        <v>87</v>
      </c>
      <c r="E55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3" spans="1:6" x14ac:dyDescent="0.35">
      <c r="A5593" s="3">
        <v>22796643217</v>
      </c>
      <c r="B5593" s="3">
        <v>335</v>
      </c>
      <c r="C5593" s="32">
        <v>49318</v>
      </c>
      <c r="D5593" s="32" t="s">
        <v>87</v>
      </c>
      <c r="E55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4" spans="1:6" x14ac:dyDescent="0.35">
      <c r="A5594" s="3">
        <v>82529258795</v>
      </c>
      <c r="B5594" s="3">
        <v>39</v>
      </c>
      <c r="C5594" s="32">
        <v>49318</v>
      </c>
      <c r="D5594" s="32" t="s">
        <v>87</v>
      </c>
      <c r="E55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5" spans="1:6" x14ac:dyDescent="0.35">
      <c r="A5595" s="3">
        <v>85830252879</v>
      </c>
      <c r="B5595" s="3">
        <v>28</v>
      </c>
      <c r="C5595" s="32">
        <v>49318</v>
      </c>
      <c r="D5595" s="32"/>
      <c r="E55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6" spans="1:6" x14ac:dyDescent="0.35">
      <c r="A5596" s="3">
        <v>35426330054</v>
      </c>
      <c r="B5596" s="3">
        <v>64</v>
      </c>
      <c r="C5596" s="32">
        <v>49318</v>
      </c>
      <c r="D5596" s="32" t="s">
        <v>87</v>
      </c>
      <c r="E55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7" spans="1:6" x14ac:dyDescent="0.35">
      <c r="A5597" s="3">
        <v>57147537965</v>
      </c>
      <c r="B5597" s="3">
        <v>277</v>
      </c>
      <c r="C5597" s="32">
        <v>49318</v>
      </c>
      <c r="D5597" s="32" t="s">
        <v>87</v>
      </c>
      <c r="E55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8" spans="1:6" x14ac:dyDescent="0.35">
      <c r="A5598" s="3">
        <v>39060591043</v>
      </c>
      <c r="B5598" s="3">
        <v>124</v>
      </c>
      <c r="C5598" s="32">
        <v>49318</v>
      </c>
      <c r="D5598" s="32"/>
      <c r="E55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9" spans="1:6" x14ac:dyDescent="0.35">
      <c r="A5599" s="3">
        <v>61655784939</v>
      </c>
      <c r="B5599" s="3">
        <v>338</v>
      </c>
      <c r="C5599" s="32">
        <v>49318</v>
      </c>
      <c r="D5599" s="32" t="s">
        <v>87</v>
      </c>
      <c r="E55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0" spans="1:6" x14ac:dyDescent="0.35">
      <c r="A5600" s="3">
        <v>39444118567</v>
      </c>
      <c r="B5600" s="3">
        <v>216</v>
      </c>
      <c r="C5600" s="32">
        <v>49318</v>
      </c>
      <c r="D5600" s="32" t="s">
        <v>87</v>
      </c>
      <c r="E56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1" spans="1:6" x14ac:dyDescent="0.35">
      <c r="A5601" s="3">
        <v>86495227277</v>
      </c>
      <c r="B5601" s="3">
        <v>138</v>
      </c>
      <c r="C5601" s="32">
        <v>49318</v>
      </c>
      <c r="D5601" s="32" t="s">
        <v>87</v>
      </c>
      <c r="E56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2" spans="1:6" x14ac:dyDescent="0.35">
      <c r="A5602" s="3">
        <v>67369537853</v>
      </c>
      <c r="B5602" s="3">
        <v>189</v>
      </c>
      <c r="C5602" s="32">
        <v>49318</v>
      </c>
      <c r="D5602" s="32" t="s">
        <v>87</v>
      </c>
      <c r="E56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3" spans="1:6" x14ac:dyDescent="0.35">
      <c r="A5603" s="3">
        <v>93240252132</v>
      </c>
      <c r="B5603" s="3">
        <v>67</v>
      </c>
      <c r="C5603" s="32">
        <v>49318</v>
      </c>
      <c r="D5603" s="32"/>
      <c r="E56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4" spans="1:6" x14ac:dyDescent="0.35">
      <c r="A5604" s="3">
        <v>78740244033</v>
      </c>
      <c r="B5604" s="3">
        <v>257</v>
      </c>
      <c r="C5604" s="32">
        <v>49318</v>
      </c>
      <c r="D5604" s="32"/>
      <c r="E56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5" spans="1:6" x14ac:dyDescent="0.35">
      <c r="A5605" s="3">
        <v>62597280062</v>
      </c>
      <c r="B5605" s="3">
        <v>193</v>
      </c>
      <c r="C5605" s="32">
        <v>49318</v>
      </c>
      <c r="D5605" s="32" t="s">
        <v>87</v>
      </c>
      <c r="E56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6" spans="1:6" x14ac:dyDescent="0.35">
      <c r="A5606" s="3">
        <v>53998430257</v>
      </c>
      <c r="B5606" s="3">
        <v>277</v>
      </c>
      <c r="C5606" s="32">
        <v>49318</v>
      </c>
      <c r="D5606" s="32" t="s">
        <v>87</v>
      </c>
      <c r="E56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7" spans="1:6" x14ac:dyDescent="0.35">
      <c r="A5607" s="3">
        <v>26939723943</v>
      </c>
      <c r="B5607" s="3">
        <v>240</v>
      </c>
      <c r="C5607" s="32">
        <v>49318</v>
      </c>
      <c r="D5607" s="32"/>
      <c r="E56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8" spans="1:6" x14ac:dyDescent="0.35">
      <c r="A5608" s="3">
        <v>68973045617</v>
      </c>
      <c r="B5608" s="3">
        <v>89</v>
      </c>
      <c r="C5608" s="32">
        <v>49318</v>
      </c>
      <c r="D5608" s="32">
        <v>49332</v>
      </c>
      <c r="E56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09" spans="1:6" x14ac:dyDescent="0.35">
      <c r="A5609" s="3">
        <v>47777891373</v>
      </c>
      <c r="B5609" s="3">
        <v>6</v>
      </c>
      <c r="C5609" s="32">
        <v>49318</v>
      </c>
      <c r="D5609" s="32" t="s">
        <v>87</v>
      </c>
      <c r="E56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0" spans="1:6" x14ac:dyDescent="0.35">
      <c r="A5610" s="3">
        <v>80851378754</v>
      </c>
      <c r="B5610" s="3">
        <v>158</v>
      </c>
      <c r="C5610" s="32">
        <v>49319</v>
      </c>
      <c r="D5610" s="32" t="s">
        <v>87</v>
      </c>
      <c r="E56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1" spans="1:6" x14ac:dyDescent="0.35">
      <c r="A5611" s="3">
        <v>72957558664</v>
      </c>
      <c r="B5611" s="3">
        <v>331</v>
      </c>
      <c r="C5611" s="32">
        <v>49319</v>
      </c>
      <c r="D5611" s="32"/>
      <c r="E56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2" spans="1:6" x14ac:dyDescent="0.35">
      <c r="A5612" s="3">
        <v>29535229926</v>
      </c>
      <c r="B5612" s="3">
        <v>43</v>
      </c>
      <c r="C5612" s="32">
        <v>49319</v>
      </c>
      <c r="D5612" s="32" t="s">
        <v>87</v>
      </c>
      <c r="E56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3" spans="1:6" x14ac:dyDescent="0.35">
      <c r="A5613" s="3">
        <v>19406389445</v>
      </c>
      <c r="B5613" s="3">
        <v>154</v>
      </c>
      <c r="C5613" s="32">
        <v>49319</v>
      </c>
      <c r="D5613" s="32" t="s">
        <v>87</v>
      </c>
      <c r="E56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4" spans="1:6" x14ac:dyDescent="0.35">
      <c r="A5614" s="3">
        <v>99617409345</v>
      </c>
      <c r="B5614" s="3">
        <v>49</v>
      </c>
      <c r="C5614" s="32">
        <v>49319</v>
      </c>
      <c r="D5614" s="32" t="s">
        <v>87</v>
      </c>
      <c r="E56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5" spans="1:6" x14ac:dyDescent="0.35">
      <c r="A5615" s="3">
        <v>15302136338</v>
      </c>
      <c r="B5615" s="3">
        <v>14</v>
      </c>
      <c r="C5615" s="32">
        <v>49319</v>
      </c>
      <c r="D5615" s="32" t="s">
        <v>87</v>
      </c>
      <c r="E56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6" spans="1:6" x14ac:dyDescent="0.35">
      <c r="A5616" s="3">
        <v>44261688035</v>
      </c>
      <c r="B5616" s="3">
        <v>305</v>
      </c>
      <c r="C5616" s="32">
        <v>49319</v>
      </c>
      <c r="D5616" s="32" t="s">
        <v>87</v>
      </c>
      <c r="E56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7" spans="1:6" x14ac:dyDescent="0.35">
      <c r="A5617" s="3">
        <v>86545572257</v>
      </c>
      <c r="B5617" s="3">
        <v>30</v>
      </c>
      <c r="C5617" s="32">
        <v>49319</v>
      </c>
      <c r="D5617" s="32" t="s">
        <v>87</v>
      </c>
      <c r="E56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8" spans="1:6" x14ac:dyDescent="0.35">
      <c r="A5618" s="3">
        <v>43261602152</v>
      </c>
      <c r="B5618" s="3">
        <v>210</v>
      </c>
      <c r="C5618" s="32">
        <v>49319</v>
      </c>
      <c r="D5618" s="32" t="s">
        <v>87</v>
      </c>
      <c r="E56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9" spans="1:6" x14ac:dyDescent="0.35">
      <c r="A5619" s="3">
        <v>96583195680</v>
      </c>
      <c r="B5619" s="3">
        <v>334</v>
      </c>
      <c r="C5619" s="32">
        <v>49319</v>
      </c>
      <c r="D5619" s="32" t="s">
        <v>87</v>
      </c>
      <c r="E56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0" spans="1:6" x14ac:dyDescent="0.35">
      <c r="A5620" s="3">
        <v>63986935786</v>
      </c>
      <c r="B5620" s="3">
        <v>340</v>
      </c>
      <c r="C5620" s="32">
        <v>49319</v>
      </c>
      <c r="D5620" s="32"/>
      <c r="E56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1" spans="1:6" x14ac:dyDescent="0.35">
      <c r="A5621" s="3">
        <v>76396310893</v>
      </c>
      <c r="B5621" s="3">
        <v>261</v>
      </c>
      <c r="C5621" s="32">
        <v>49319</v>
      </c>
      <c r="D5621" s="32" t="s">
        <v>87</v>
      </c>
      <c r="E56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2" spans="1:6" x14ac:dyDescent="0.35">
      <c r="A5622" s="3">
        <v>29158359632</v>
      </c>
      <c r="B5622" s="3">
        <v>213</v>
      </c>
      <c r="C5622" s="32">
        <v>49319</v>
      </c>
      <c r="D5622" s="32">
        <v>49363</v>
      </c>
      <c r="E56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623" spans="1:6" x14ac:dyDescent="0.35">
      <c r="A5623" s="3">
        <v>44870403866</v>
      </c>
      <c r="B5623" s="3">
        <v>316</v>
      </c>
      <c r="C5623" s="32">
        <v>49319</v>
      </c>
      <c r="D5623" s="32">
        <v>49336</v>
      </c>
      <c r="E56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24" spans="1:6" x14ac:dyDescent="0.35">
      <c r="A5624" s="3">
        <v>57154721272</v>
      </c>
      <c r="B5624" s="3">
        <v>263</v>
      </c>
      <c r="C5624" s="32">
        <v>49319</v>
      </c>
      <c r="D5624" s="32" t="s">
        <v>87</v>
      </c>
      <c r="E56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5" spans="1:6" x14ac:dyDescent="0.35">
      <c r="A5625" s="3">
        <v>56902793367</v>
      </c>
      <c r="B5625" s="3">
        <v>14</v>
      </c>
      <c r="C5625" s="32">
        <v>49319</v>
      </c>
      <c r="D5625" s="32" t="s">
        <v>87</v>
      </c>
      <c r="E56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6" spans="1:6" x14ac:dyDescent="0.35">
      <c r="A5626" s="3">
        <v>47684069538</v>
      </c>
      <c r="B5626" s="3">
        <v>284</v>
      </c>
      <c r="C5626" s="32">
        <v>49319</v>
      </c>
      <c r="D5626" s="32" t="s">
        <v>87</v>
      </c>
      <c r="E56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7" spans="1:6" x14ac:dyDescent="0.35">
      <c r="A5627" s="3">
        <v>49043916516</v>
      </c>
      <c r="B5627" s="3">
        <v>231</v>
      </c>
      <c r="C5627" s="32">
        <v>49319</v>
      </c>
      <c r="D5627" s="32" t="s">
        <v>87</v>
      </c>
      <c r="E56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8" spans="1:6" x14ac:dyDescent="0.35">
      <c r="A5628" s="3">
        <v>50427154368</v>
      </c>
      <c r="B5628" s="3">
        <v>314</v>
      </c>
      <c r="C5628" s="32">
        <v>49319</v>
      </c>
      <c r="D5628" s="32" t="s">
        <v>87</v>
      </c>
      <c r="E56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9" spans="1:6" x14ac:dyDescent="0.35">
      <c r="A5629" s="3">
        <v>83111020845</v>
      </c>
      <c r="B5629" s="3">
        <v>177</v>
      </c>
      <c r="C5629" s="32">
        <v>49319</v>
      </c>
      <c r="D5629" s="32" t="s">
        <v>87</v>
      </c>
      <c r="E56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0" spans="1:6" x14ac:dyDescent="0.35">
      <c r="A5630" s="3">
        <v>70370605154</v>
      </c>
      <c r="B5630" s="3">
        <v>328</v>
      </c>
      <c r="C5630" s="32">
        <v>49319</v>
      </c>
      <c r="D5630" s="32" t="s">
        <v>87</v>
      </c>
      <c r="E56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1" spans="1:6" x14ac:dyDescent="0.35">
      <c r="A5631" s="3">
        <v>59984431018</v>
      </c>
      <c r="B5631" s="3">
        <v>196</v>
      </c>
      <c r="C5631" s="32">
        <v>49320</v>
      </c>
      <c r="D5631" s="32" t="s">
        <v>87</v>
      </c>
      <c r="E56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2" spans="1:6" x14ac:dyDescent="0.35">
      <c r="A5632" s="3">
        <v>89340887170</v>
      </c>
      <c r="B5632" s="3">
        <v>312</v>
      </c>
      <c r="C5632" s="32">
        <v>49320</v>
      </c>
      <c r="D5632" s="32" t="s">
        <v>87</v>
      </c>
      <c r="E56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3" spans="1:6" x14ac:dyDescent="0.35">
      <c r="A5633" s="3">
        <v>73393616632</v>
      </c>
      <c r="B5633" s="3">
        <v>171</v>
      </c>
      <c r="C5633" s="32">
        <v>49320</v>
      </c>
      <c r="D5633" s="32"/>
      <c r="E56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4" spans="1:6" x14ac:dyDescent="0.35">
      <c r="A5634" s="3">
        <v>97295131696</v>
      </c>
      <c r="B5634" s="3">
        <v>41</v>
      </c>
      <c r="C5634" s="32">
        <v>49320</v>
      </c>
      <c r="D5634" s="32" t="s">
        <v>87</v>
      </c>
      <c r="E56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5" spans="1:6" x14ac:dyDescent="0.35">
      <c r="A5635" s="3">
        <v>22606095129</v>
      </c>
      <c r="B5635" s="3">
        <v>32</v>
      </c>
      <c r="C5635" s="32">
        <v>49320</v>
      </c>
      <c r="D5635" s="32" t="s">
        <v>87</v>
      </c>
      <c r="E56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6" spans="1:6" x14ac:dyDescent="0.35">
      <c r="A5636" s="3">
        <v>69176227960</v>
      </c>
      <c r="B5636" s="3">
        <v>314</v>
      </c>
      <c r="C5636" s="32">
        <v>49320</v>
      </c>
      <c r="D5636" s="32">
        <v>49339</v>
      </c>
      <c r="E56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37" spans="1:6" x14ac:dyDescent="0.35">
      <c r="A5637" s="3">
        <v>58206209369</v>
      </c>
      <c r="B5637" s="3">
        <v>337</v>
      </c>
      <c r="C5637" s="32">
        <v>49320</v>
      </c>
      <c r="D5637" s="32" t="s">
        <v>87</v>
      </c>
      <c r="E56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8" spans="1:6" x14ac:dyDescent="0.35">
      <c r="A5638" s="3">
        <v>70953792189</v>
      </c>
      <c r="B5638" s="3">
        <v>212</v>
      </c>
      <c r="C5638" s="32">
        <v>49320</v>
      </c>
      <c r="D5638" s="32" t="s">
        <v>87</v>
      </c>
      <c r="E56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9" spans="1:6" x14ac:dyDescent="0.35">
      <c r="A5639" s="3">
        <v>24714586798</v>
      </c>
      <c r="B5639" s="3">
        <v>295</v>
      </c>
      <c r="C5639" s="32">
        <v>49320</v>
      </c>
      <c r="D5639" s="32">
        <v>49357</v>
      </c>
      <c r="E56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640" spans="1:6" x14ac:dyDescent="0.35">
      <c r="A5640" s="3">
        <v>44438288956</v>
      </c>
      <c r="B5640" s="3">
        <v>157</v>
      </c>
      <c r="C5640" s="32">
        <v>49320</v>
      </c>
      <c r="D5640" s="32">
        <v>49335</v>
      </c>
      <c r="E56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41" spans="1:6" x14ac:dyDescent="0.35">
      <c r="A5641" s="3">
        <v>40167412481</v>
      </c>
      <c r="B5641" s="3">
        <v>257</v>
      </c>
      <c r="C5641" s="32">
        <v>49320</v>
      </c>
      <c r="D5641" s="32" t="s">
        <v>87</v>
      </c>
      <c r="E56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2" spans="1:6" x14ac:dyDescent="0.35">
      <c r="A5642" s="3">
        <v>50614784568</v>
      </c>
      <c r="B5642" s="3">
        <v>338</v>
      </c>
      <c r="C5642" s="32">
        <v>49320</v>
      </c>
      <c r="D5642" s="32"/>
      <c r="E56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3" spans="1:6" x14ac:dyDescent="0.35">
      <c r="A5643" s="3">
        <v>13597471081</v>
      </c>
      <c r="B5643" s="3">
        <v>203</v>
      </c>
      <c r="C5643" s="32">
        <v>49320</v>
      </c>
      <c r="D5643" s="32" t="s">
        <v>87</v>
      </c>
      <c r="E56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4" spans="1:6" x14ac:dyDescent="0.35">
      <c r="A5644" s="3">
        <v>38681594116</v>
      </c>
      <c r="B5644" s="3">
        <v>127</v>
      </c>
      <c r="C5644" s="32">
        <v>49320</v>
      </c>
      <c r="D5644" s="32">
        <v>49331</v>
      </c>
      <c r="E56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45" spans="1:6" x14ac:dyDescent="0.35">
      <c r="A5645" s="3">
        <v>19987346660</v>
      </c>
      <c r="B5645" s="3">
        <v>167</v>
      </c>
      <c r="C5645" s="32">
        <v>49320</v>
      </c>
      <c r="D5645" s="32" t="s">
        <v>87</v>
      </c>
      <c r="E56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6" spans="1:6" x14ac:dyDescent="0.35">
      <c r="A5646" s="3">
        <v>86401255194</v>
      </c>
      <c r="B5646" s="3">
        <v>152</v>
      </c>
      <c r="C5646" s="32">
        <v>49320</v>
      </c>
      <c r="D5646" s="32">
        <v>49353</v>
      </c>
      <c r="E56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647" spans="1:6" x14ac:dyDescent="0.35">
      <c r="A5647" s="3">
        <v>33241276178</v>
      </c>
      <c r="B5647" s="3">
        <v>219</v>
      </c>
      <c r="C5647" s="32">
        <v>49320</v>
      </c>
      <c r="D5647" s="32" t="s">
        <v>87</v>
      </c>
      <c r="E56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8" spans="1:6" x14ac:dyDescent="0.35">
      <c r="A5648" s="3">
        <v>19323252063</v>
      </c>
      <c r="B5648" s="3">
        <v>257</v>
      </c>
      <c r="C5648" s="32">
        <v>49320</v>
      </c>
      <c r="D5648" s="32" t="s">
        <v>87</v>
      </c>
      <c r="E56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9" spans="1:6" x14ac:dyDescent="0.35">
      <c r="A5649" s="3">
        <v>86515200659</v>
      </c>
      <c r="B5649" s="3">
        <v>92</v>
      </c>
      <c r="C5649" s="32">
        <v>49320</v>
      </c>
      <c r="D5649" s="32" t="s">
        <v>87</v>
      </c>
      <c r="E56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0" spans="1:6" x14ac:dyDescent="0.35">
      <c r="A5650" s="3">
        <v>64404234918</v>
      </c>
      <c r="B5650" s="3">
        <v>38</v>
      </c>
      <c r="C5650" s="32">
        <v>49321</v>
      </c>
      <c r="D5650" s="32" t="s">
        <v>87</v>
      </c>
      <c r="E56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1" spans="1:6" x14ac:dyDescent="0.35">
      <c r="A5651" s="3">
        <v>95066568890</v>
      </c>
      <c r="B5651" s="3">
        <v>187</v>
      </c>
      <c r="C5651" s="32">
        <v>49321</v>
      </c>
      <c r="D5651" s="32" t="s">
        <v>87</v>
      </c>
      <c r="E56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2" spans="1:6" x14ac:dyDescent="0.35">
      <c r="A5652" s="3">
        <v>86106463597</v>
      </c>
      <c r="B5652" s="3">
        <v>145</v>
      </c>
      <c r="C5652" s="32">
        <v>49321</v>
      </c>
      <c r="D5652" s="32">
        <v>49344</v>
      </c>
      <c r="E56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653" spans="1:6" x14ac:dyDescent="0.35">
      <c r="A5653" s="3">
        <v>53641013533</v>
      </c>
      <c r="B5653" s="3">
        <v>198</v>
      </c>
      <c r="C5653" s="32">
        <v>49321</v>
      </c>
      <c r="D5653" s="32"/>
      <c r="E56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4" spans="1:6" x14ac:dyDescent="0.35">
      <c r="A5654" s="3">
        <v>55028770059</v>
      </c>
      <c r="B5654" s="3">
        <v>331</v>
      </c>
      <c r="C5654" s="32">
        <v>49321</v>
      </c>
      <c r="D5654" s="32" t="s">
        <v>87</v>
      </c>
      <c r="E56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5" spans="1:6" x14ac:dyDescent="0.35">
      <c r="A5655" s="3">
        <v>98589974640</v>
      </c>
      <c r="B5655" s="3">
        <v>327</v>
      </c>
      <c r="C5655" s="32">
        <v>49321</v>
      </c>
      <c r="D5655" s="32" t="s">
        <v>87</v>
      </c>
      <c r="E56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6" spans="1:6" x14ac:dyDescent="0.35">
      <c r="A5656" s="3">
        <v>12698044310</v>
      </c>
      <c r="B5656" s="3">
        <v>238</v>
      </c>
      <c r="C5656" s="32">
        <v>49321</v>
      </c>
      <c r="D5656" s="32" t="s">
        <v>87</v>
      </c>
      <c r="E56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7" spans="1:6" x14ac:dyDescent="0.35">
      <c r="A5657" s="3">
        <v>18334001662</v>
      </c>
      <c r="B5657" s="3">
        <v>17</v>
      </c>
      <c r="C5657" s="32">
        <v>49321</v>
      </c>
      <c r="D5657" s="32" t="s">
        <v>87</v>
      </c>
      <c r="E56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8" spans="1:6" x14ac:dyDescent="0.35">
      <c r="A5658" s="3">
        <v>75388219707</v>
      </c>
      <c r="B5658" s="3">
        <v>145</v>
      </c>
      <c r="C5658" s="32">
        <v>49321</v>
      </c>
      <c r="D5658" s="32" t="s">
        <v>87</v>
      </c>
      <c r="E56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9" spans="1:6" x14ac:dyDescent="0.35">
      <c r="A5659" s="3">
        <v>36491850606</v>
      </c>
      <c r="B5659" s="3">
        <v>244</v>
      </c>
      <c r="C5659" s="32">
        <v>49321</v>
      </c>
      <c r="D5659" s="32"/>
      <c r="E56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0" spans="1:6" x14ac:dyDescent="0.35">
      <c r="A5660" s="3">
        <v>94081571973</v>
      </c>
      <c r="B5660" s="3">
        <v>107</v>
      </c>
      <c r="C5660" s="32">
        <v>49321</v>
      </c>
      <c r="D5660" s="32">
        <v>49354</v>
      </c>
      <c r="E56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661" spans="1:6" x14ac:dyDescent="0.35">
      <c r="A5661" s="3">
        <v>44122108562</v>
      </c>
      <c r="B5661" s="3">
        <v>303</v>
      </c>
      <c r="C5661" s="32">
        <v>49321</v>
      </c>
      <c r="D5661" s="32" t="s">
        <v>87</v>
      </c>
      <c r="E56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2" spans="1:6" x14ac:dyDescent="0.35">
      <c r="A5662" s="3">
        <v>78899709521</v>
      </c>
      <c r="B5662" s="3">
        <v>275</v>
      </c>
      <c r="C5662" s="32">
        <v>49321</v>
      </c>
      <c r="D5662" s="32" t="s">
        <v>87</v>
      </c>
      <c r="E56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3" spans="1:6" x14ac:dyDescent="0.35">
      <c r="A5663" s="3">
        <v>92967442807</v>
      </c>
      <c r="B5663" s="3">
        <v>198</v>
      </c>
      <c r="C5663" s="32">
        <v>49321</v>
      </c>
      <c r="D5663" s="32" t="s">
        <v>87</v>
      </c>
      <c r="E56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4" spans="1:6" x14ac:dyDescent="0.35">
      <c r="A5664" s="3">
        <v>96674318189</v>
      </c>
      <c r="B5664" s="3">
        <v>293</v>
      </c>
      <c r="C5664" s="32">
        <v>49321</v>
      </c>
      <c r="D5664" s="32" t="s">
        <v>87</v>
      </c>
      <c r="E56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5" spans="1:6" x14ac:dyDescent="0.35">
      <c r="A5665" s="3">
        <v>37718569765</v>
      </c>
      <c r="B5665" s="3">
        <v>111</v>
      </c>
      <c r="C5665" s="32">
        <v>49321</v>
      </c>
      <c r="D5665" s="32"/>
      <c r="E56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6" spans="1:6" x14ac:dyDescent="0.35">
      <c r="A5666" s="3">
        <v>31449175874</v>
      </c>
      <c r="B5666" s="3">
        <v>339</v>
      </c>
      <c r="C5666" s="32">
        <v>49321</v>
      </c>
      <c r="D5666" s="32">
        <v>49337</v>
      </c>
      <c r="E56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67" spans="1:6" x14ac:dyDescent="0.35">
      <c r="A5667" s="3">
        <v>45174436039</v>
      </c>
      <c r="B5667" s="3">
        <v>79</v>
      </c>
      <c r="C5667" s="32">
        <v>49321</v>
      </c>
      <c r="D5667" s="32" t="s">
        <v>87</v>
      </c>
      <c r="E56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8" spans="1:6" x14ac:dyDescent="0.35">
      <c r="A5668" s="3">
        <v>32789811584</v>
      </c>
      <c r="B5668" s="3">
        <v>233</v>
      </c>
      <c r="C5668" s="32">
        <v>49321</v>
      </c>
      <c r="D5668" s="32" t="s">
        <v>87</v>
      </c>
      <c r="E56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9" spans="1:6" x14ac:dyDescent="0.35">
      <c r="A5669" s="3">
        <v>94045411878</v>
      </c>
      <c r="B5669" s="3">
        <v>336</v>
      </c>
      <c r="C5669" s="32">
        <v>49321</v>
      </c>
      <c r="D5669" s="32" t="s">
        <v>87</v>
      </c>
      <c r="E56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0" spans="1:6" x14ac:dyDescent="0.35">
      <c r="A5670" s="3">
        <v>76969902542</v>
      </c>
      <c r="B5670" s="3">
        <v>238</v>
      </c>
      <c r="C5670" s="32">
        <v>49321</v>
      </c>
      <c r="D5670" s="32" t="s">
        <v>87</v>
      </c>
      <c r="E56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1" spans="1:6" x14ac:dyDescent="0.35">
      <c r="A5671" s="3">
        <v>92640428871</v>
      </c>
      <c r="B5671" s="3">
        <v>230</v>
      </c>
      <c r="C5671" s="32">
        <v>49321</v>
      </c>
      <c r="D5671" s="32">
        <v>49323</v>
      </c>
      <c r="E56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72" spans="1:6" x14ac:dyDescent="0.35">
      <c r="A5672" s="3">
        <v>75676911446</v>
      </c>
      <c r="B5672" s="3">
        <v>127</v>
      </c>
      <c r="C5672" s="32">
        <v>49321</v>
      </c>
      <c r="D5672" s="32" t="s">
        <v>87</v>
      </c>
      <c r="E56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3" spans="1:6" x14ac:dyDescent="0.35">
      <c r="A5673" s="3">
        <v>98416497228</v>
      </c>
      <c r="B5673" s="3">
        <v>304</v>
      </c>
      <c r="C5673" s="32">
        <v>49321</v>
      </c>
      <c r="D5673" s="32" t="s">
        <v>87</v>
      </c>
      <c r="E56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4" spans="1:6" x14ac:dyDescent="0.35">
      <c r="A5674" s="3">
        <v>62420483058</v>
      </c>
      <c r="B5674" s="3">
        <v>16</v>
      </c>
      <c r="C5674" s="32">
        <v>49321</v>
      </c>
      <c r="D5674" s="32" t="s">
        <v>87</v>
      </c>
      <c r="E56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5" spans="1:6" x14ac:dyDescent="0.35">
      <c r="A5675" s="3">
        <v>58194270783</v>
      </c>
      <c r="B5675" s="3">
        <v>145</v>
      </c>
      <c r="C5675" s="32">
        <v>49321</v>
      </c>
      <c r="D5675" s="32"/>
      <c r="E56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6" spans="1:6" x14ac:dyDescent="0.35">
      <c r="A5676" s="3">
        <v>41934001702</v>
      </c>
      <c r="B5676" s="3">
        <v>146</v>
      </c>
      <c r="C5676" s="32">
        <v>49322</v>
      </c>
      <c r="D5676" s="32" t="s">
        <v>87</v>
      </c>
      <c r="E56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7" spans="1:6" x14ac:dyDescent="0.35">
      <c r="A5677" s="3">
        <v>59537963565</v>
      </c>
      <c r="B5677" s="3">
        <v>170</v>
      </c>
      <c r="C5677" s="32">
        <v>49322</v>
      </c>
      <c r="D5677" s="32" t="s">
        <v>87</v>
      </c>
      <c r="E56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8" spans="1:6" x14ac:dyDescent="0.35">
      <c r="A5678" s="3">
        <v>45180077457</v>
      </c>
      <c r="B5678" s="3">
        <v>322</v>
      </c>
      <c r="C5678" s="32">
        <v>49322</v>
      </c>
      <c r="D5678" s="32" t="s">
        <v>87</v>
      </c>
      <c r="E56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9" spans="1:6" x14ac:dyDescent="0.35">
      <c r="A5679" s="3">
        <v>49431797102</v>
      </c>
      <c r="B5679" s="3">
        <v>11</v>
      </c>
      <c r="C5679" s="32">
        <v>49322</v>
      </c>
      <c r="D5679" s="32">
        <v>49331</v>
      </c>
      <c r="E56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80" spans="1:6" x14ac:dyDescent="0.35">
      <c r="A5680" s="3">
        <v>64709040475</v>
      </c>
      <c r="B5680" s="3">
        <v>53</v>
      </c>
      <c r="C5680" s="32">
        <v>49322</v>
      </c>
      <c r="D5680" s="32" t="s">
        <v>87</v>
      </c>
      <c r="E56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1" spans="1:6" x14ac:dyDescent="0.35">
      <c r="A5681" s="3">
        <v>95043563988</v>
      </c>
      <c r="B5681" s="3">
        <v>23</v>
      </c>
      <c r="C5681" s="32">
        <v>49322</v>
      </c>
      <c r="D5681" s="32" t="s">
        <v>87</v>
      </c>
      <c r="E56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2" spans="1:6" x14ac:dyDescent="0.35">
      <c r="A5682" s="3">
        <v>23625511191</v>
      </c>
      <c r="B5682" s="3">
        <v>148</v>
      </c>
      <c r="C5682" s="32">
        <v>49322</v>
      </c>
      <c r="D5682" s="32" t="s">
        <v>87</v>
      </c>
      <c r="E56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3" spans="1:6" x14ac:dyDescent="0.35">
      <c r="A5683" s="3">
        <v>21001233183</v>
      </c>
      <c r="B5683" s="3">
        <v>260</v>
      </c>
      <c r="C5683" s="32">
        <v>49322</v>
      </c>
      <c r="D5683" s="32"/>
      <c r="E56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4" spans="1:6" x14ac:dyDescent="0.35">
      <c r="A5684" s="3">
        <v>43453903691</v>
      </c>
      <c r="B5684" s="3">
        <v>214</v>
      </c>
      <c r="C5684" s="32">
        <v>49322</v>
      </c>
      <c r="D5684" s="32" t="s">
        <v>87</v>
      </c>
      <c r="E56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5" spans="1:6" x14ac:dyDescent="0.35">
      <c r="A5685" s="3">
        <v>25503006208</v>
      </c>
      <c r="B5685" s="3">
        <v>243</v>
      </c>
      <c r="C5685" s="32">
        <v>49322</v>
      </c>
      <c r="D5685" s="32"/>
      <c r="E56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6" spans="1:6" x14ac:dyDescent="0.35">
      <c r="A5686" s="3">
        <v>56325300366</v>
      </c>
      <c r="B5686" s="3">
        <v>230</v>
      </c>
      <c r="C5686" s="32">
        <v>49322</v>
      </c>
      <c r="D5686" s="32" t="s">
        <v>87</v>
      </c>
      <c r="E56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7" spans="1:6" x14ac:dyDescent="0.35">
      <c r="A5687" s="3">
        <v>58378699915</v>
      </c>
      <c r="B5687" s="3">
        <v>220</v>
      </c>
      <c r="C5687" s="32">
        <v>49322</v>
      </c>
      <c r="D5687" s="32" t="s">
        <v>87</v>
      </c>
      <c r="E56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8" spans="1:6" x14ac:dyDescent="0.35">
      <c r="A5688" s="3">
        <v>83395101033</v>
      </c>
      <c r="B5688" s="3">
        <v>3</v>
      </c>
      <c r="C5688" s="32">
        <v>49322</v>
      </c>
      <c r="D5688" s="32" t="s">
        <v>87</v>
      </c>
      <c r="E56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9" spans="1:6" x14ac:dyDescent="0.35">
      <c r="A5689" s="3">
        <v>28866774913</v>
      </c>
      <c r="B5689" s="3">
        <v>281</v>
      </c>
      <c r="C5689" s="32">
        <v>49322</v>
      </c>
      <c r="D5689" s="32" t="s">
        <v>87</v>
      </c>
      <c r="E56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0" spans="1:6" x14ac:dyDescent="0.35">
      <c r="A5690" s="3">
        <v>78235145045</v>
      </c>
      <c r="B5690" s="3">
        <v>239</v>
      </c>
      <c r="C5690" s="32">
        <v>49322</v>
      </c>
      <c r="D5690" s="32" t="s">
        <v>87</v>
      </c>
      <c r="E56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1" spans="1:6" x14ac:dyDescent="0.35">
      <c r="A5691" s="3">
        <v>35843832460</v>
      </c>
      <c r="B5691" s="3">
        <v>312</v>
      </c>
      <c r="C5691" s="32">
        <v>49322</v>
      </c>
      <c r="D5691" s="32">
        <v>49343</v>
      </c>
      <c r="E56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692" spans="1:6" x14ac:dyDescent="0.35">
      <c r="A5692" s="3">
        <v>44662359635</v>
      </c>
      <c r="B5692" s="3">
        <v>110</v>
      </c>
      <c r="C5692" s="32">
        <v>49322</v>
      </c>
      <c r="D5692" s="32" t="s">
        <v>87</v>
      </c>
      <c r="E56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3" spans="1:6" x14ac:dyDescent="0.35">
      <c r="A5693" s="3">
        <v>22469748467</v>
      </c>
      <c r="B5693" s="3">
        <v>340</v>
      </c>
      <c r="C5693" s="32">
        <v>49322</v>
      </c>
      <c r="D5693" s="32" t="s">
        <v>87</v>
      </c>
      <c r="E56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4" spans="1:6" x14ac:dyDescent="0.35">
      <c r="A5694" s="3">
        <v>66446956809</v>
      </c>
      <c r="B5694" s="3">
        <v>318</v>
      </c>
      <c r="C5694" s="32">
        <v>49322</v>
      </c>
      <c r="D5694" s="32" t="s">
        <v>87</v>
      </c>
      <c r="E56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5" spans="1:6" x14ac:dyDescent="0.35">
      <c r="A5695" s="3">
        <v>89301805986</v>
      </c>
      <c r="B5695" s="3">
        <v>23</v>
      </c>
      <c r="C5695" s="32">
        <v>49322</v>
      </c>
      <c r="D5695" s="32"/>
      <c r="E56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6" spans="1:6" x14ac:dyDescent="0.35">
      <c r="A5696" s="3">
        <v>45302700531</v>
      </c>
      <c r="B5696" s="3">
        <v>71</v>
      </c>
      <c r="C5696" s="32">
        <v>49322</v>
      </c>
      <c r="D5696" s="32"/>
      <c r="E56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7" spans="1:6" x14ac:dyDescent="0.35">
      <c r="A5697" s="3">
        <v>68717609469</v>
      </c>
      <c r="B5697" s="3">
        <v>128</v>
      </c>
      <c r="C5697" s="32">
        <v>49322</v>
      </c>
      <c r="D5697" s="32" t="s">
        <v>87</v>
      </c>
      <c r="E56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8" spans="1:6" x14ac:dyDescent="0.35">
      <c r="A5698" s="3">
        <v>20771839329</v>
      </c>
      <c r="B5698" s="3">
        <v>193</v>
      </c>
      <c r="C5698" s="32">
        <v>49322</v>
      </c>
      <c r="D5698" s="32" t="s">
        <v>87</v>
      </c>
      <c r="E56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9" spans="1:6" x14ac:dyDescent="0.35">
      <c r="A5699" s="3">
        <v>54817849209</v>
      </c>
      <c r="B5699" s="3">
        <v>132</v>
      </c>
      <c r="C5699" s="32">
        <v>49322</v>
      </c>
      <c r="D5699" s="32"/>
      <c r="E56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0" spans="1:6" x14ac:dyDescent="0.35">
      <c r="A5700" s="3">
        <v>20682435776</v>
      </c>
      <c r="B5700" s="3">
        <v>234</v>
      </c>
      <c r="C5700" s="32">
        <v>49322</v>
      </c>
      <c r="D5700" s="32"/>
      <c r="E57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1" spans="1:6" x14ac:dyDescent="0.35">
      <c r="A5701" s="3">
        <v>66697260861</v>
      </c>
      <c r="B5701" s="3">
        <v>137</v>
      </c>
      <c r="C5701" s="32">
        <v>49322</v>
      </c>
      <c r="D5701" s="32" t="s">
        <v>87</v>
      </c>
      <c r="E57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2" spans="1:6" x14ac:dyDescent="0.35">
      <c r="A5702" s="3">
        <v>85903560712</v>
      </c>
      <c r="B5702" s="3">
        <v>303</v>
      </c>
      <c r="C5702" s="32">
        <v>49322</v>
      </c>
      <c r="D5702" s="32" t="s">
        <v>87</v>
      </c>
      <c r="E57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3" spans="1:6" x14ac:dyDescent="0.35">
      <c r="A5703" s="3">
        <v>39752572492</v>
      </c>
      <c r="B5703" s="3">
        <v>327</v>
      </c>
      <c r="C5703" s="32">
        <v>49322</v>
      </c>
      <c r="D5703" s="32" t="s">
        <v>87</v>
      </c>
      <c r="E57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4" spans="1:6" x14ac:dyDescent="0.35">
      <c r="A5704" s="3">
        <v>14145036187</v>
      </c>
      <c r="B5704" s="3">
        <v>50</v>
      </c>
      <c r="C5704" s="32">
        <v>49322</v>
      </c>
      <c r="D5704" s="32"/>
      <c r="E57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5" spans="1:6" x14ac:dyDescent="0.35">
      <c r="A5705" s="3">
        <v>33236654140</v>
      </c>
      <c r="B5705" s="3">
        <v>10</v>
      </c>
      <c r="C5705" s="32">
        <v>49322</v>
      </c>
      <c r="D5705" s="32"/>
      <c r="E57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6" spans="1:6" x14ac:dyDescent="0.35">
      <c r="A5706" s="3">
        <v>34943301697</v>
      </c>
      <c r="B5706" s="3">
        <v>7</v>
      </c>
      <c r="C5706" s="32">
        <v>49323</v>
      </c>
      <c r="D5706" s="32" t="s">
        <v>87</v>
      </c>
      <c r="E57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7" spans="1:6" x14ac:dyDescent="0.35">
      <c r="A5707" s="3">
        <v>68208507985</v>
      </c>
      <c r="B5707" s="3">
        <v>22</v>
      </c>
      <c r="C5707" s="32">
        <v>49323</v>
      </c>
      <c r="D5707" s="32" t="s">
        <v>87</v>
      </c>
      <c r="E57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8" spans="1:6" x14ac:dyDescent="0.35">
      <c r="A5708" s="3">
        <v>40830036420</v>
      </c>
      <c r="B5708" s="3">
        <v>76</v>
      </c>
      <c r="C5708" s="32">
        <v>49323</v>
      </c>
      <c r="D5708" s="32" t="s">
        <v>87</v>
      </c>
      <c r="E57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9" spans="1:6" x14ac:dyDescent="0.35">
      <c r="A5709" s="3">
        <v>19521445941</v>
      </c>
      <c r="B5709" s="3">
        <v>131</v>
      </c>
      <c r="C5709" s="32">
        <v>49323</v>
      </c>
      <c r="D5709" s="32">
        <v>49355</v>
      </c>
      <c r="E57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10" spans="1:6" x14ac:dyDescent="0.35">
      <c r="A5710" s="3">
        <v>89596794201</v>
      </c>
      <c r="B5710" s="3">
        <v>127</v>
      </c>
      <c r="C5710" s="32">
        <v>49323</v>
      </c>
      <c r="D5710" s="32"/>
      <c r="E57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1" spans="1:6" x14ac:dyDescent="0.35">
      <c r="A5711" s="3">
        <v>97804466623</v>
      </c>
      <c r="B5711" s="3">
        <v>50</v>
      </c>
      <c r="C5711" s="32">
        <v>49323</v>
      </c>
      <c r="D5711" s="32"/>
      <c r="E57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2" spans="1:6" x14ac:dyDescent="0.35">
      <c r="A5712" s="3">
        <v>50238403010</v>
      </c>
      <c r="B5712" s="3">
        <v>58</v>
      </c>
      <c r="C5712" s="32">
        <v>49323</v>
      </c>
      <c r="D5712" s="32"/>
      <c r="E57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3" spans="1:6" x14ac:dyDescent="0.35">
      <c r="A5713" s="3">
        <v>23332268975</v>
      </c>
      <c r="B5713" s="3">
        <v>11</v>
      </c>
      <c r="C5713" s="32">
        <v>49323</v>
      </c>
      <c r="D5713" s="32">
        <v>49365</v>
      </c>
      <c r="E57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14" spans="1:6" x14ac:dyDescent="0.35">
      <c r="A5714" s="3">
        <v>63450115197</v>
      </c>
      <c r="B5714" s="3">
        <v>30</v>
      </c>
      <c r="C5714" s="32">
        <v>49323</v>
      </c>
      <c r="D5714" s="32" t="s">
        <v>87</v>
      </c>
      <c r="E57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5" spans="1:6" x14ac:dyDescent="0.35">
      <c r="A5715" s="3">
        <v>46360949369</v>
      </c>
      <c r="B5715" s="3">
        <v>41</v>
      </c>
      <c r="C5715" s="32">
        <v>49323</v>
      </c>
      <c r="D5715" s="32" t="s">
        <v>87</v>
      </c>
      <c r="E57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6" spans="1:6" x14ac:dyDescent="0.35">
      <c r="A5716" s="3">
        <v>83164148927</v>
      </c>
      <c r="B5716" s="3">
        <v>41</v>
      </c>
      <c r="C5716" s="32">
        <v>49323</v>
      </c>
      <c r="D5716" s="32" t="s">
        <v>87</v>
      </c>
      <c r="E57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7" spans="1:6" x14ac:dyDescent="0.35">
      <c r="A5717" s="3">
        <v>57652341175</v>
      </c>
      <c r="B5717" s="3">
        <v>163</v>
      </c>
      <c r="C5717" s="32">
        <v>49323</v>
      </c>
      <c r="D5717" s="32" t="s">
        <v>87</v>
      </c>
      <c r="E57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8" spans="1:6" x14ac:dyDescent="0.35">
      <c r="A5718" s="3">
        <v>78404943719</v>
      </c>
      <c r="B5718" s="3">
        <v>332</v>
      </c>
      <c r="C5718" s="32">
        <v>49323</v>
      </c>
      <c r="D5718" s="32" t="s">
        <v>87</v>
      </c>
      <c r="E57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9" spans="1:6" x14ac:dyDescent="0.35">
      <c r="A5719" s="3">
        <v>83731768970</v>
      </c>
      <c r="B5719" s="3">
        <v>230</v>
      </c>
      <c r="C5719" s="32">
        <v>49323</v>
      </c>
      <c r="D5719" s="32" t="s">
        <v>87</v>
      </c>
      <c r="E57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0" spans="1:6" x14ac:dyDescent="0.35">
      <c r="A5720" s="3">
        <v>37651146954</v>
      </c>
      <c r="B5720" s="3">
        <v>316</v>
      </c>
      <c r="C5720" s="32">
        <v>49323</v>
      </c>
      <c r="D5720" s="32">
        <v>49350</v>
      </c>
      <c r="E57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21" spans="1:6" x14ac:dyDescent="0.35">
      <c r="A5721" s="3">
        <v>76850543794</v>
      </c>
      <c r="B5721" s="3">
        <v>272</v>
      </c>
      <c r="C5721" s="32">
        <v>49323</v>
      </c>
      <c r="D5721" s="32" t="s">
        <v>87</v>
      </c>
      <c r="E57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2" spans="1:6" x14ac:dyDescent="0.35">
      <c r="A5722" s="3">
        <v>87434160502</v>
      </c>
      <c r="B5722" s="3">
        <v>6</v>
      </c>
      <c r="C5722" s="32">
        <v>49323</v>
      </c>
      <c r="D5722" s="32"/>
      <c r="E57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3" spans="1:6" x14ac:dyDescent="0.35">
      <c r="A5723" s="3">
        <v>56988358719</v>
      </c>
      <c r="B5723" s="3">
        <v>90</v>
      </c>
      <c r="C5723" s="32">
        <v>49323</v>
      </c>
      <c r="D5723" s="32" t="s">
        <v>87</v>
      </c>
      <c r="E57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4" spans="1:6" x14ac:dyDescent="0.35">
      <c r="A5724" s="3">
        <v>46597726118</v>
      </c>
      <c r="B5724" s="3">
        <v>291</v>
      </c>
      <c r="C5724" s="32">
        <v>49323</v>
      </c>
      <c r="D5724" s="32" t="s">
        <v>87</v>
      </c>
      <c r="E57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5" spans="1:6" x14ac:dyDescent="0.35">
      <c r="A5725" s="3">
        <v>63141666552</v>
      </c>
      <c r="B5725" s="3">
        <v>272</v>
      </c>
      <c r="C5725" s="32">
        <v>49323</v>
      </c>
      <c r="D5725" s="32"/>
      <c r="E57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6" spans="1:6" x14ac:dyDescent="0.35">
      <c r="A5726" s="3">
        <v>92506895567</v>
      </c>
      <c r="B5726" s="3">
        <v>288</v>
      </c>
      <c r="C5726" s="32">
        <v>49323</v>
      </c>
      <c r="D5726" s="32" t="s">
        <v>87</v>
      </c>
      <c r="E57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7" spans="1:6" x14ac:dyDescent="0.35">
      <c r="A5727" s="3">
        <v>54108657633</v>
      </c>
      <c r="B5727" s="3">
        <v>156</v>
      </c>
      <c r="C5727" s="32">
        <v>49323</v>
      </c>
      <c r="D5727" s="32"/>
      <c r="E57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8" spans="1:6" x14ac:dyDescent="0.35">
      <c r="A5728" s="3">
        <v>47643809143</v>
      </c>
      <c r="B5728" s="3">
        <v>200</v>
      </c>
      <c r="C5728" s="32">
        <v>49323</v>
      </c>
      <c r="D5728" s="32" t="s">
        <v>87</v>
      </c>
      <c r="E57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9" spans="1:6" x14ac:dyDescent="0.35">
      <c r="A5729" s="3">
        <v>94338469244</v>
      </c>
      <c r="B5729" s="3">
        <v>58</v>
      </c>
      <c r="C5729" s="32">
        <v>49324</v>
      </c>
      <c r="D5729" s="32" t="s">
        <v>87</v>
      </c>
      <c r="E57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0" spans="1:6" x14ac:dyDescent="0.35">
      <c r="A5730" s="3">
        <v>88701272799</v>
      </c>
      <c r="B5730" s="3">
        <v>108</v>
      </c>
      <c r="C5730" s="32">
        <v>49324</v>
      </c>
      <c r="D5730" s="32"/>
      <c r="E57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1" spans="1:6" x14ac:dyDescent="0.35">
      <c r="A5731" s="3">
        <v>71559890779</v>
      </c>
      <c r="B5731" s="3">
        <v>188</v>
      </c>
      <c r="C5731" s="32">
        <v>49324</v>
      </c>
      <c r="D5731" s="32" t="s">
        <v>87</v>
      </c>
      <c r="E57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2" spans="1:6" x14ac:dyDescent="0.35">
      <c r="A5732" s="3">
        <v>49015829668</v>
      </c>
      <c r="B5732" s="3">
        <v>211</v>
      </c>
      <c r="C5732" s="32">
        <v>49324</v>
      </c>
      <c r="D5732" s="32" t="s">
        <v>87</v>
      </c>
      <c r="E57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3" spans="1:6" x14ac:dyDescent="0.35">
      <c r="A5733" s="3">
        <v>65460352286</v>
      </c>
      <c r="B5733" s="3">
        <v>231</v>
      </c>
      <c r="C5733" s="32">
        <v>49324</v>
      </c>
      <c r="D5733" s="32" t="s">
        <v>87</v>
      </c>
      <c r="E57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4" spans="1:6" x14ac:dyDescent="0.35">
      <c r="A5734" s="3">
        <v>97524585337</v>
      </c>
      <c r="B5734" s="3">
        <v>336</v>
      </c>
      <c r="C5734" s="32">
        <v>49324</v>
      </c>
      <c r="D5734" s="32" t="s">
        <v>87</v>
      </c>
      <c r="E57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5" spans="1:6" x14ac:dyDescent="0.35">
      <c r="A5735" s="3">
        <v>78569561600</v>
      </c>
      <c r="B5735" s="3">
        <v>1</v>
      </c>
      <c r="C5735" s="32">
        <v>49324</v>
      </c>
      <c r="D5735" s="32" t="s">
        <v>87</v>
      </c>
      <c r="E57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6" spans="1:6" x14ac:dyDescent="0.35">
      <c r="A5736" s="3">
        <v>78876325784</v>
      </c>
      <c r="B5736" s="3">
        <v>82</v>
      </c>
      <c r="C5736" s="32">
        <v>49324</v>
      </c>
      <c r="D5736" s="32" t="s">
        <v>87</v>
      </c>
      <c r="E57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7" spans="1:6" x14ac:dyDescent="0.35">
      <c r="A5737" s="3">
        <v>88034157502</v>
      </c>
      <c r="B5737" s="3">
        <v>31</v>
      </c>
      <c r="C5737" s="32">
        <v>49324</v>
      </c>
      <c r="D5737" s="32" t="s">
        <v>87</v>
      </c>
      <c r="E57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8" spans="1:6" x14ac:dyDescent="0.35">
      <c r="A5738" s="3">
        <v>24049143876</v>
      </c>
      <c r="B5738" s="3">
        <v>65</v>
      </c>
      <c r="C5738" s="32">
        <v>49324</v>
      </c>
      <c r="D5738" s="32" t="s">
        <v>87</v>
      </c>
      <c r="E57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9" spans="1:6" x14ac:dyDescent="0.35">
      <c r="A5739" s="3">
        <v>78827326838</v>
      </c>
      <c r="B5739" s="3">
        <v>257</v>
      </c>
      <c r="C5739" s="32">
        <v>49324</v>
      </c>
      <c r="D5739" s="32" t="s">
        <v>87</v>
      </c>
      <c r="E57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0" spans="1:6" x14ac:dyDescent="0.35">
      <c r="A5740" s="3">
        <v>36994155650</v>
      </c>
      <c r="B5740" s="3">
        <v>268</v>
      </c>
      <c r="C5740" s="32">
        <v>49324</v>
      </c>
      <c r="D5740" s="32" t="s">
        <v>87</v>
      </c>
      <c r="E57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1" spans="1:6" x14ac:dyDescent="0.35">
      <c r="A5741" s="3">
        <v>87088367298</v>
      </c>
      <c r="B5741" s="3">
        <v>108</v>
      </c>
      <c r="C5741" s="32">
        <v>49324</v>
      </c>
      <c r="D5741" s="32">
        <v>49351</v>
      </c>
      <c r="E57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42" spans="1:6" x14ac:dyDescent="0.35">
      <c r="A5742" s="3">
        <v>82896280181</v>
      </c>
      <c r="B5742" s="3">
        <v>308</v>
      </c>
      <c r="C5742" s="32">
        <v>49324</v>
      </c>
      <c r="D5742" s="32" t="s">
        <v>87</v>
      </c>
      <c r="E57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3" spans="1:6" x14ac:dyDescent="0.35">
      <c r="A5743" s="3">
        <v>68758227288</v>
      </c>
      <c r="B5743" s="3">
        <v>183</v>
      </c>
      <c r="C5743" s="32">
        <v>49324</v>
      </c>
      <c r="D5743" s="32" t="s">
        <v>87</v>
      </c>
      <c r="E57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4" spans="1:6" x14ac:dyDescent="0.35">
      <c r="A5744" s="3">
        <v>45943068349</v>
      </c>
      <c r="B5744" s="3">
        <v>164</v>
      </c>
      <c r="C5744" s="32">
        <v>49324</v>
      </c>
      <c r="D5744" s="32" t="s">
        <v>87</v>
      </c>
      <c r="E57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5" spans="1:6" x14ac:dyDescent="0.35">
      <c r="A5745" s="3">
        <v>75905797565</v>
      </c>
      <c r="B5745" s="3">
        <v>18</v>
      </c>
      <c r="C5745" s="32">
        <v>49324</v>
      </c>
      <c r="D5745" s="32" t="s">
        <v>87</v>
      </c>
      <c r="E57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6" spans="1:6" x14ac:dyDescent="0.35">
      <c r="A5746" s="3">
        <v>97935798316</v>
      </c>
      <c r="B5746" s="3">
        <v>42</v>
      </c>
      <c r="C5746" s="32">
        <v>49324</v>
      </c>
      <c r="D5746" s="32" t="s">
        <v>87</v>
      </c>
      <c r="E57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7" spans="1:6" x14ac:dyDescent="0.35">
      <c r="A5747" s="3">
        <v>89624365610</v>
      </c>
      <c r="B5747" s="3">
        <v>308</v>
      </c>
      <c r="C5747" s="32">
        <v>49324</v>
      </c>
      <c r="D5747" s="32" t="s">
        <v>87</v>
      </c>
      <c r="E57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8" spans="1:6" x14ac:dyDescent="0.35">
      <c r="A5748" s="3">
        <v>29557882029</v>
      </c>
      <c r="B5748" s="3">
        <v>79</v>
      </c>
      <c r="C5748" s="32">
        <v>49324</v>
      </c>
      <c r="D5748" s="32" t="s">
        <v>87</v>
      </c>
      <c r="E57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9" spans="1:6" x14ac:dyDescent="0.35">
      <c r="A5749" s="3">
        <v>85267166034</v>
      </c>
      <c r="B5749" s="3">
        <v>223</v>
      </c>
      <c r="C5749" s="32">
        <v>49324</v>
      </c>
      <c r="D5749" s="32" t="s">
        <v>87</v>
      </c>
      <c r="E57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0" spans="1:6" x14ac:dyDescent="0.35">
      <c r="A5750" s="3">
        <v>15301365750</v>
      </c>
      <c r="B5750" s="3">
        <v>228</v>
      </c>
      <c r="C5750" s="32">
        <v>49324</v>
      </c>
      <c r="D5750" s="32" t="s">
        <v>87</v>
      </c>
      <c r="E57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1" spans="1:6" x14ac:dyDescent="0.35">
      <c r="A5751" s="3">
        <v>32342249891</v>
      </c>
      <c r="B5751" s="3">
        <v>102</v>
      </c>
      <c r="C5751" s="32">
        <v>49324</v>
      </c>
      <c r="D5751" s="32"/>
      <c r="E57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2" spans="1:6" x14ac:dyDescent="0.35">
      <c r="A5752" s="3">
        <v>88975536510</v>
      </c>
      <c r="B5752" s="3">
        <v>276</v>
      </c>
      <c r="C5752" s="32">
        <v>49324</v>
      </c>
      <c r="D5752" s="32" t="s">
        <v>87</v>
      </c>
      <c r="E57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3" spans="1:6" x14ac:dyDescent="0.35">
      <c r="A5753" s="3">
        <v>23987759739</v>
      </c>
      <c r="B5753" s="3">
        <v>120</v>
      </c>
      <c r="C5753" s="32">
        <v>49324</v>
      </c>
      <c r="D5753" s="32"/>
      <c r="E57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4" spans="1:6" x14ac:dyDescent="0.35">
      <c r="A5754" s="3">
        <v>34826249894</v>
      </c>
      <c r="B5754" s="3">
        <v>157</v>
      </c>
      <c r="C5754" s="32">
        <v>49324</v>
      </c>
      <c r="D5754" s="32">
        <v>49347</v>
      </c>
      <c r="E57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55" spans="1:6" x14ac:dyDescent="0.35">
      <c r="A5755" s="3">
        <v>39418387636</v>
      </c>
      <c r="B5755" s="3">
        <v>133</v>
      </c>
      <c r="C5755" s="32">
        <v>49324</v>
      </c>
      <c r="D5755" s="32" t="s">
        <v>87</v>
      </c>
      <c r="E57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6" spans="1:6" x14ac:dyDescent="0.35">
      <c r="A5756" s="3">
        <v>58487850122</v>
      </c>
      <c r="B5756" s="3">
        <v>173</v>
      </c>
      <c r="C5756" s="32">
        <v>49324</v>
      </c>
      <c r="D5756" s="32" t="s">
        <v>87</v>
      </c>
      <c r="E57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7" spans="1:6" x14ac:dyDescent="0.35">
      <c r="A5757" s="3">
        <v>77136661099</v>
      </c>
      <c r="B5757" s="3">
        <v>269</v>
      </c>
      <c r="C5757" s="32">
        <v>49324</v>
      </c>
      <c r="D5757" s="32" t="s">
        <v>87</v>
      </c>
      <c r="E57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8" spans="1:6" x14ac:dyDescent="0.35">
      <c r="A5758" s="3">
        <v>81941986496</v>
      </c>
      <c r="B5758" s="3">
        <v>204</v>
      </c>
      <c r="C5758" s="32">
        <v>49324</v>
      </c>
      <c r="D5758" s="32" t="s">
        <v>87</v>
      </c>
      <c r="E57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9" spans="1:6" x14ac:dyDescent="0.35">
      <c r="A5759" s="3">
        <v>14496943949</v>
      </c>
      <c r="B5759" s="3">
        <v>34</v>
      </c>
      <c r="C5759" s="32">
        <v>49324</v>
      </c>
      <c r="D5759" s="32" t="s">
        <v>87</v>
      </c>
      <c r="E57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0" spans="1:6" x14ac:dyDescent="0.35">
      <c r="A5760" s="3">
        <v>65896417746</v>
      </c>
      <c r="B5760" s="3">
        <v>237</v>
      </c>
      <c r="C5760" s="32">
        <v>49325</v>
      </c>
      <c r="D5760" s="32" t="s">
        <v>87</v>
      </c>
      <c r="E57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1" spans="1:6" x14ac:dyDescent="0.35">
      <c r="A5761" s="3">
        <v>17678325091</v>
      </c>
      <c r="B5761" s="3">
        <v>220</v>
      </c>
      <c r="C5761" s="32">
        <v>49325</v>
      </c>
      <c r="D5761" s="32" t="s">
        <v>87</v>
      </c>
      <c r="E57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2" spans="1:6" x14ac:dyDescent="0.35">
      <c r="A5762" s="3">
        <v>29816670240</v>
      </c>
      <c r="B5762" s="3">
        <v>298</v>
      </c>
      <c r="C5762" s="32">
        <v>49325</v>
      </c>
      <c r="D5762" s="32" t="s">
        <v>87</v>
      </c>
      <c r="E57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3" spans="1:6" x14ac:dyDescent="0.35">
      <c r="A5763" s="3">
        <v>56676954020</v>
      </c>
      <c r="B5763" s="3">
        <v>217</v>
      </c>
      <c r="C5763" s="32">
        <v>49325</v>
      </c>
      <c r="D5763" s="32" t="s">
        <v>87</v>
      </c>
      <c r="E57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4" spans="1:6" x14ac:dyDescent="0.35">
      <c r="A5764" s="3">
        <v>78575532331</v>
      </c>
      <c r="B5764" s="3">
        <v>203</v>
      </c>
      <c r="C5764" s="32">
        <v>49325</v>
      </c>
      <c r="D5764" s="32"/>
      <c r="E57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5" spans="1:6" x14ac:dyDescent="0.35">
      <c r="A5765" s="3">
        <v>47005958770</v>
      </c>
      <c r="B5765" s="3">
        <v>303</v>
      </c>
      <c r="C5765" s="32">
        <v>49325</v>
      </c>
      <c r="D5765" s="32" t="s">
        <v>87</v>
      </c>
      <c r="E57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6" spans="1:6" x14ac:dyDescent="0.35">
      <c r="A5766" s="3">
        <v>21865815641</v>
      </c>
      <c r="B5766" s="3">
        <v>147</v>
      </c>
      <c r="C5766" s="32">
        <v>49325</v>
      </c>
      <c r="D5766" s="32" t="s">
        <v>87</v>
      </c>
      <c r="E57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7" spans="1:6" x14ac:dyDescent="0.35">
      <c r="A5767" s="3">
        <v>96468165635</v>
      </c>
      <c r="B5767" s="3">
        <v>63</v>
      </c>
      <c r="C5767" s="32">
        <v>49325</v>
      </c>
      <c r="D5767" s="32" t="s">
        <v>87</v>
      </c>
      <c r="E57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8" spans="1:6" x14ac:dyDescent="0.35">
      <c r="A5768" s="3">
        <v>92436719580</v>
      </c>
      <c r="B5768" s="3">
        <v>2</v>
      </c>
      <c r="C5768" s="32">
        <v>49325</v>
      </c>
      <c r="D5768" s="32" t="s">
        <v>87</v>
      </c>
      <c r="E57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9" spans="1:6" x14ac:dyDescent="0.35">
      <c r="A5769" s="3">
        <v>89493150612</v>
      </c>
      <c r="B5769" s="3">
        <v>117</v>
      </c>
      <c r="C5769" s="32">
        <v>49325</v>
      </c>
      <c r="D5769" s="32" t="s">
        <v>87</v>
      </c>
      <c r="E57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0" spans="1:6" x14ac:dyDescent="0.35">
      <c r="A5770" s="3">
        <v>76588905220</v>
      </c>
      <c r="B5770" s="3">
        <v>18</v>
      </c>
      <c r="C5770" s="32">
        <v>49325</v>
      </c>
      <c r="D5770" s="32" t="s">
        <v>87</v>
      </c>
      <c r="E57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1" spans="1:6" x14ac:dyDescent="0.35">
      <c r="A5771" s="3">
        <v>17141339993</v>
      </c>
      <c r="B5771" s="3">
        <v>162</v>
      </c>
      <c r="C5771" s="32">
        <v>49325</v>
      </c>
      <c r="D5771" s="32" t="s">
        <v>87</v>
      </c>
      <c r="E57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2" spans="1:6" x14ac:dyDescent="0.35">
      <c r="A5772" s="3">
        <v>75736876299</v>
      </c>
      <c r="B5772" s="3">
        <v>219</v>
      </c>
      <c r="C5772" s="32">
        <v>49325</v>
      </c>
      <c r="D5772" s="32">
        <v>49343</v>
      </c>
      <c r="E57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73" spans="1:6" x14ac:dyDescent="0.35">
      <c r="A5773" s="3">
        <v>26958470292</v>
      </c>
      <c r="B5773" s="3">
        <v>107</v>
      </c>
      <c r="C5773" s="32">
        <v>49325</v>
      </c>
      <c r="D5773" s="32" t="s">
        <v>87</v>
      </c>
      <c r="E57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4" spans="1:6" x14ac:dyDescent="0.35">
      <c r="A5774" s="3">
        <v>42736240456</v>
      </c>
      <c r="B5774" s="3">
        <v>22</v>
      </c>
      <c r="C5774" s="32">
        <v>49325</v>
      </c>
      <c r="D5774" s="32" t="s">
        <v>87</v>
      </c>
      <c r="E57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5" spans="1:6" x14ac:dyDescent="0.35">
      <c r="A5775" s="3">
        <v>18145993967</v>
      </c>
      <c r="B5775" s="3">
        <v>234</v>
      </c>
      <c r="C5775" s="32">
        <v>49325</v>
      </c>
      <c r="D5775" s="32">
        <v>49357</v>
      </c>
      <c r="E57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76" spans="1:6" x14ac:dyDescent="0.35">
      <c r="A5776" s="3">
        <v>49515984777</v>
      </c>
      <c r="B5776" s="3">
        <v>246</v>
      </c>
      <c r="C5776" s="32">
        <v>49325</v>
      </c>
      <c r="D5776" s="32" t="s">
        <v>87</v>
      </c>
      <c r="E57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7" spans="1:6" x14ac:dyDescent="0.35">
      <c r="A5777" s="3">
        <v>65211514650</v>
      </c>
      <c r="B5777" s="3">
        <v>246</v>
      </c>
      <c r="C5777" s="32">
        <v>49325</v>
      </c>
      <c r="D5777" s="32" t="s">
        <v>87</v>
      </c>
      <c r="E57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8" spans="1:6" x14ac:dyDescent="0.35">
      <c r="A5778" s="3">
        <v>66568684536</v>
      </c>
      <c r="B5778" s="3">
        <v>338</v>
      </c>
      <c r="C5778" s="32">
        <v>49325</v>
      </c>
      <c r="D5778" s="32" t="s">
        <v>87</v>
      </c>
      <c r="E57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9" spans="1:6" x14ac:dyDescent="0.35">
      <c r="A5779" s="3">
        <v>95970389724</v>
      </c>
      <c r="B5779" s="3">
        <v>183</v>
      </c>
      <c r="C5779" s="32">
        <v>49325</v>
      </c>
      <c r="D5779" s="32" t="s">
        <v>87</v>
      </c>
      <c r="E57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0" spans="1:6" x14ac:dyDescent="0.35">
      <c r="A5780" s="3">
        <v>30753981201</v>
      </c>
      <c r="B5780" s="3">
        <v>86</v>
      </c>
      <c r="C5780" s="32">
        <v>49325</v>
      </c>
      <c r="D5780" s="32"/>
      <c r="E57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1" spans="1:6" x14ac:dyDescent="0.35">
      <c r="A5781" s="3">
        <v>57595692390</v>
      </c>
      <c r="B5781" s="3">
        <v>14</v>
      </c>
      <c r="C5781" s="32">
        <v>49325</v>
      </c>
      <c r="D5781" s="32" t="s">
        <v>87</v>
      </c>
      <c r="E57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2" spans="1:6" x14ac:dyDescent="0.35">
      <c r="A5782" s="3">
        <v>69743382516</v>
      </c>
      <c r="B5782" s="3">
        <v>135</v>
      </c>
      <c r="C5782" s="32">
        <v>49325</v>
      </c>
      <c r="D5782" s="32" t="s">
        <v>87</v>
      </c>
      <c r="E57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3" spans="1:6" x14ac:dyDescent="0.35">
      <c r="A5783" s="3">
        <v>83509530061</v>
      </c>
      <c r="B5783" s="3">
        <v>166</v>
      </c>
      <c r="C5783" s="32">
        <v>49325</v>
      </c>
      <c r="D5783" s="32" t="s">
        <v>87</v>
      </c>
      <c r="E57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4" spans="1:6" x14ac:dyDescent="0.35">
      <c r="A5784" s="3">
        <v>86083150295</v>
      </c>
      <c r="B5784" s="3">
        <v>134</v>
      </c>
      <c r="C5784" s="32">
        <v>49325</v>
      </c>
      <c r="D5784" s="32"/>
      <c r="E57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5" spans="1:6" x14ac:dyDescent="0.35">
      <c r="A5785" s="3">
        <v>21358094870</v>
      </c>
      <c r="B5785" s="3">
        <v>52</v>
      </c>
      <c r="C5785" s="32">
        <v>49325</v>
      </c>
      <c r="D5785" s="32" t="s">
        <v>87</v>
      </c>
      <c r="E57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6" spans="1:6" x14ac:dyDescent="0.35">
      <c r="A5786" s="3">
        <v>50334711560</v>
      </c>
      <c r="B5786" s="3">
        <v>13</v>
      </c>
      <c r="C5786" s="32">
        <v>49325</v>
      </c>
      <c r="D5786" s="32" t="s">
        <v>87</v>
      </c>
      <c r="E57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7" spans="1:6" x14ac:dyDescent="0.35">
      <c r="A5787" s="3">
        <v>24575321781</v>
      </c>
      <c r="B5787" s="3">
        <v>112</v>
      </c>
      <c r="C5787" s="32">
        <v>49326</v>
      </c>
      <c r="D5787" s="32" t="s">
        <v>87</v>
      </c>
      <c r="E57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8" spans="1:6" x14ac:dyDescent="0.35">
      <c r="A5788" s="3">
        <v>86298620493</v>
      </c>
      <c r="B5788" s="3">
        <v>152</v>
      </c>
      <c r="C5788" s="32">
        <v>49326</v>
      </c>
      <c r="D5788" s="32"/>
      <c r="E57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9" spans="1:6" x14ac:dyDescent="0.35">
      <c r="A5789" s="3">
        <v>36137206443</v>
      </c>
      <c r="B5789" s="3">
        <v>131</v>
      </c>
      <c r="C5789" s="32">
        <v>49326</v>
      </c>
      <c r="D5789" s="32" t="s">
        <v>87</v>
      </c>
      <c r="E57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0" spans="1:6" x14ac:dyDescent="0.35">
      <c r="A5790" s="3">
        <v>45282056172</v>
      </c>
      <c r="B5790" s="3">
        <v>104</v>
      </c>
      <c r="C5790" s="32">
        <v>49326</v>
      </c>
      <c r="D5790" s="32" t="s">
        <v>87</v>
      </c>
      <c r="E57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1" spans="1:6" x14ac:dyDescent="0.35">
      <c r="A5791" s="3">
        <v>41077303517</v>
      </c>
      <c r="B5791" s="3">
        <v>151</v>
      </c>
      <c r="C5791" s="32">
        <v>49326</v>
      </c>
      <c r="D5791" s="32" t="s">
        <v>87</v>
      </c>
      <c r="E57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2" spans="1:6" x14ac:dyDescent="0.35">
      <c r="A5792" s="3">
        <v>65686104130</v>
      </c>
      <c r="B5792" s="3">
        <v>166</v>
      </c>
      <c r="C5792" s="32">
        <v>49326</v>
      </c>
      <c r="D5792" s="32" t="s">
        <v>87</v>
      </c>
      <c r="E57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3" spans="1:6" x14ac:dyDescent="0.35">
      <c r="A5793" s="3">
        <v>66186040995</v>
      </c>
      <c r="B5793" s="3">
        <v>143</v>
      </c>
      <c r="C5793" s="32">
        <v>49326</v>
      </c>
      <c r="D5793" s="32"/>
      <c r="E57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4" spans="1:6" x14ac:dyDescent="0.35">
      <c r="A5794" s="3">
        <v>98232404143</v>
      </c>
      <c r="B5794" s="3">
        <v>273</v>
      </c>
      <c r="C5794" s="32">
        <v>49326</v>
      </c>
      <c r="D5794" s="32" t="s">
        <v>87</v>
      </c>
      <c r="E57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5" spans="1:6" x14ac:dyDescent="0.35">
      <c r="A5795" s="3">
        <v>19200770096</v>
      </c>
      <c r="B5795" s="3">
        <v>248</v>
      </c>
      <c r="C5795" s="32">
        <v>49326</v>
      </c>
      <c r="D5795" s="32" t="s">
        <v>87</v>
      </c>
      <c r="E57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6" spans="1:6" x14ac:dyDescent="0.35">
      <c r="A5796" s="3">
        <v>20308267948</v>
      </c>
      <c r="B5796" s="3">
        <v>274</v>
      </c>
      <c r="C5796" s="32">
        <v>49326</v>
      </c>
      <c r="D5796" s="32" t="s">
        <v>87</v>
      </c>
      <c r="E57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7" spans="1:6" x14ac:dyDescent="0.35">
      <c r="A5797" s="3">
        <v>53190040918</v>
      </c>
      <c r="B5797" s="3">
        <v>340</v>
      </c>
      <c r="C5797" s="32">
        <v>49326</v>
      </c>
      <c r="D5797" s="32">
        <v>49344</v>
      </c>
      <c r="E57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98" spans="1:6" x14ac:dyDescent="0.35">
      <c r="A5798" s="3">
        <v>20825917535</v>
      </c>
      <c r="B5798" s="3">
        <v>4</v>
      </c>
      <c r="C5798" s="32">
        <v>49326</v>
      </c>
      <c r="D5798" s="32"/>
      <c r="E57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9" spans="1:6" x14ac:dyDescent="0.35">
      <c r="A5799" s="3">
        <v>64518176370</v>
      </c>
      <c r="B5799" s="3">
        <v>148</v>
      </c>
      <c r="C5799" s="32">
        <v>49326</v>
      </c>
      <c r="D5799" s="32" t="s">
        <v>87</v>
      </c>
      <c r="E57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0" spans="1:6" x14ac:dyDescent="0.35">
      <c r="A5800" s="3">
        <v>47996959689</v>
      </c>
      <c r="B5800" s="3">
        <v>324</v>
      </c>
      <c r="C5800" s="32">
        <v>49326</v>
      </c>
      <c r="D5800" s="32" t="s">
        <v>87</v>
      </c>
      <c r="E58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1" spans="1:6" x14ac:dyDescent="0.35">
      <c r="A5801" s="3">
        <v>96979749738</v>
      </c>
      <c r="B5801" s="3">
        <v>13</v>
      </c>
      <c r="C5801" s="32">
        <v>49326</v>
      </c>
      <c r="D5801" s="32" t="s">
        <v>87</v>
      </c>
      <c r="E58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2" spans="1:6" x14ac:dyDescent="0.35">
      <c r="A5802" s="3">
        <v>33459426555</v>
      </c>
      <c r="B5802" s="3">
        <v>142</v>
      </c>
      <c r="C5802" s="32">
        <v>49326</v>
      </c>
      <c r="D5802" s="32" t="s">
        <v>87</v>
      </c>
      <c r="E58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3" spans="1:6" x14ac:dyDescent="0.35">
      <c r="A5803" s="3">
        <v>20575546781</v>
      </c>
      <c r="B5803" s="3">
        <v>161</v>
      </c>
      <c r="C5803" s="32">
        <v>49326</v>
      </c>
      <c r="D5803" s="32" t="s">
        <v>87</v>
      </c>
      <c r="E58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4" spans="1:6" x14ac:dyDescent="0.35">
      <c r="A5804" s="3">
        <v>57568684273</v>
      </c>
      <c r="B5804" s="3">
        <v>116</v>
      </c>
      <c r="C5804" s="32">
        <v>49327</v>
      </c>
      <c r="D5804" s="32" t="s">
        <v>87</v>
      </c>
      <c r="E58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5" spans="1:6" x14ac:dyDescent="0.35">
      <c r="A5805" s="3">
        <v>41258857622</v>
      </c>
      <c r="B5805" s="3">
        <v>224</v>
      </c>
      <c r="C5805" s="32">
        <v>49327</v>
      </c>
      <c r="D5805" s="32" t="s">
        <v>87</v>
      </c>
      <c r="E58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6" spans="1:6" x14ac:dyDescent="0.35">
      <c r="A5806" s="3">
        <v>53551901177</v>
      </c>
      <c r="B5806" s="3">
        <v>198</v>
      </c>
      <c r="C5806" s="32">
        <v>49327</v>
      </c>
      <c r="D5806" s="32" t="s">
        <v>87</v>
      </c>
      <c r="E58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7" spans="1:6" x14ac:dyDescent="0.35">
      <c r="A5807" s="3">
        <v>27892593023</v>
      </c>
      <c r="B5807" s="3">
        <v>327</v>
      </c>
      <c r="C5807" s="32">
        <v>49327</v>
      </c>
      <c r="D5807" s="32">
        <v>49327</v>
      </c>
      <c r="E58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808" spans="1:6" x14ac:dyDescent="0.35">
      <c r="A5808" s="3">
        <v>19233565404</v>
      </c>
      <c r="B5808" s="3">
        <v>98</v>
      </c>
      <c r="C5808" s="32">
        <v>49327</v>
      </c>
      <c r="D5808" s="32" t="s">
        <v>87</v>
      </c>
      <c r="E58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9" spans="1:6" x14ac:dyDescent="0.35">
      <c r="A5809" s="3">
        <v>18458126787</v>
      </c>
      <c r="B5809" s="3">
        <v>225</v>
      </c>
      <c r="C5809" s="32">
        <v>49327</v>
      </c>
      <c r="D5809" s="32"/>
      <c r="E58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0" spans="1:6" x14ac:dyDescent="0.35">
      <c r="A5810" s="3">
        <v>33926434855</v>
      </c>
      <c r="B5810" s="3">
        <v>20</v>
      </c>
      <c r="C5810" s="32">
        <v>49327</v>
      </c>
      <c r="D5810" s="32" t="s">
        <v>87</v>
      </c>
      <c r="E58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1" spans="1:6" x14ac:dyDescent="0.35">
      <c r="A5811" s="3">
        <v>83717001264</v>
      </c>
      <c r="B5811" s="3">
        <v>38</v>
      </c>
      <c r="C5811" s="32">
        <v>49327</v>
      </c>
      <c r="D5811" s="32" t="s">
        <v>87</v>
      </c>
      <c r="E58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2" spans="1:6" x14ac:dyDescent="0.35">
      <c r="A5812" s="3">
        <v>60778885005</v>
      </c>
      <c r="B5812" s="3">
        <v>240</v>
      </c>
      <c r="C5812" s="32">
        <v>49327</v>
      </c>
      <c r="D5812" s="32" t="s">
        <v>87</v>
      </c>
      <c r="E58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3" spans="1:6" x14ac:dyDescent="0.35">
      <c r="A5813" s="3">
        <v>53021673965</v>
      </c>
      <c r="B5813" s="3">
        <v>265</v>
      </c>
      <c r="C5813" s="32">
        <v>49327</v>
      </c>
      <c r="D5813" s="32" t="s">
        <v>87</v>
      </c>
      <c r="E58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4" spans="1:6" x14ac:dyDescent="0.35">
      <c r="A5814" s="3">
        <v>63013665118</v>
      </c>
      <c r="B5814" s="3">
        <v>107</v>
      </c>
      <c r="C5814" s="32">
        <v>49327</v>
      </c>
      <c r="D5814" s="32"/>
      <c r="E58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5" spans="1:6" x14ac:dyDescent="0.35">
      <c r="A5815" s="3">
        <v>38607269281</v>
      </c>
      <c r="B5815" s="3">
        <v>108</v>
      </c>
      <c r="C5815" s="32">
        <v>49327</v>
      </c>
      <c r="D5815" s="32" t="s">
        <v>87</v>
      </c>
      <c r="E58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6" spans="1:6" x14ac:dyDescent="0.35">
      <c r="A5816" s="3">
        <v>72465111181</v>
      </c>
      <c r="B5816" s="3">
        <v>155</v>
      </c>
      <c r="C5816" s="32">
        <v>49327</v>
      </c>
      <c r="D5816" s="32"/>
      <c r="E58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7" spans="1:6" x14ac:dyDescent="0.35">
      <c r="A5817" s="3">
        <v>88798084134</v>
      </c>
      <c r="B5817" s="3">
        <v>323</v>
      </c>
      <c r="C5817" s="32">
        <v>49327</v>
      </c>
      <c r="D5817" s="32" t="s">
        <v>87</v>
      </c>
      <c r="E58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8" spans="1:6" x14ac:dyDescent="0.35">
      <c r="A5818" s="3">
        <v>80977903532</v>
      </c>
      <c r="B5818" s="3">
        <v>111</v>
      </c>
      <c r="C5818" s="32">
        <v>49327</v>
      </c>
      <c r="D5818" s="32" t="s">
        <v>87</v>
      </c>
      <c r="E58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9" spans="1:6" x14ac:dyDescent="0.35">
      <c r="A5819" s="3">
        <v>24045694542</v>
      </c>
      <c r="B5819" s="3">
        <v>199</v>
      </c>
      <c r="C5819" s="32">
        <v>49327</v>
      </c>
      <c r="D5819" s="32" t="s">
        <v>87</v>
      </c>
      <c r="E58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0" spans="1:6" x14ac:dyDescent="0.35">
      <c r="A5820" s="3">
        <v>88290289808</v>
      </c>
      <c r="B5820" s="3">
        <v>88</v>
      </c>
      <c r="C5820" s="32">
        <v>49327</v>
      </c>
      <c r="D5820" s="32" t="s">
        <v>87</v>
      </c>
      <c r="E58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1" spans="1:6" x14ac:dyDescent="0.35">
      <c r="A5821" s="3">
        <v>33548299312</v>
      </c>
      <c r="B5821" s="3">
        <v>48</v>
      </c>
      <c r="C5821" s="32">
        <v>49327</v>
      </c>
      <c r="D5821" s="32" t="s">
        <v>87</v>
      </c>
      <c r="E58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2" spans="1:6" x14ac:dyDescent="0.35">
      <c r="A5822" s="3">
        <v>45003585087</v>
      </c>
      <c r="B5822" s="3">
        <v>156</v>
      </c>
      <c r="C5822" s="32">
        <v>49327</v>
      </c>
      <c r="D5822" s="32" t="s">
        <v>87</v>
      </c>
      <c r="E58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3" spans="1:6" x14ac:dyDescent="0.35">
      <c r="A5823" s="3">
        <v>38514191549</v>
      </c>
      <c r="B5823" s="3">
        <v>65</v>
      </c>
      <c r="C5823" s="32">
        <v>49327</v>
      </c>
      <c r="D5823" s="32" t="s">
        <v>87</v>
      </c>
      <c r="E58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4" spans="1:6" x14ac:dyDescent="0.35">
      <c r="A5824" s="3">
        <v>60805846742</v>
      </c>
      <c r="B5824" s="3">
        <v>315</v>
      </c>
      <c r="C5824" s="32">
        <v>49327</v>
      </c>
      <c r="D5824" s="32"/>
      <c r="E58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5" spans="1:6" x14ac:dyDescent="0.35">
      <c r="A5825" s="3">
        <v>39520462666</v>
      </c>
      <c r="B5825" s="3">
        <v>58</v>
      </c>
      <c r="C5825" s="32">
        <v>49327</v>
      </c>
      <c r="D5825" s="32" t="s">
        <v>87</v>
      </c>
      <c r="E58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6" spans="1:6" x14ac:dyDescent="0.35">
      <c r="A5826" s="3">
        <v>69681385243</v>
      </c>
      <c r="B5826" s="3">
        <v>22</v>
      </c>
      <c r="C5826" s="32">
        <v>49328</v>
      </c>
      <c r="D5826" s="32" t="s">
        <v>87</v>
      </c>
      <c r="E58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7" spans="1:6" x14ac:dyDescent="0.35">
      <c r="A5827" s="3">
        <v>67097613398</v>
      </c>
      <c r="B5827" s="3">
        <v>162</v>
      </c>
      <c r="C5827" s="32">
        <v>49328</v>
      </c>
      <c r="D5827" s="32" t="s">
        <v>87</v>
      </c>
      <c r="E58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8" spans="1:6" x14ac:dyDescent="0.35">
      <c r="A5828" s="3">
        <v>57164840845</v>
      </c>
      <c r="B5828" s="3">
        <v>81</v>
      </c>
      <c r="C5828" s="32">
        <v>49328</v>
      </c>
      <c r="D5828" s="32" t="s">
        <v>87</v>
      </c>
      <c r="E58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9" spans="1:6" x14ac:dyDescent="0.35">
      <c r="A5829" s="3">
        <v>81885268721</v>
      </c>
      <c r="B5829" s="3">
        <v>188</v>
      </c>
      <c r="C5829" s="32">
        <v>49328</v>
      </c>
      <c r="D5829" s="32"/>
      <c r="E58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0" spans="1:6" x14ac:dyDescent="0.35">
      <c r="A5830" s="3">
        <v>69791536379</v>
      </c>
      <c r="B5830" s="3">
        <v>223</v>
      </c>
      <c r="C5830" s="32">
        <v>49328</v>
      </c>
      <c r="D5830" s="32" t="s">
        <v>87</v>
      </c>
      <c r="E58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1" spans="1:6" x14ac:dyDescent="0.35">
      <c r="A5831" s="3">
        <v>24660021769</v>
      </c>
      <c r="B5831" s="3">
        <v>69</v>
      </c>
      <c r="C5831" s="32">
        <v>49328</v>
      </c>
      <c r="D5831" s="32" t="s">
        <v>87</v>
      </c>
      <c r="E58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2" spans="1:6" x14ac:dyDescent="0.35">
      <c r="A5832" s="3">
        <v>16471783368</v>
      </c>
      <c r="B5832" s="3">
        <v>305</v>
      </c>
      <c r="C5832" s="32">
        <v>49328</v>
      </c>
      <c r="D5832" s="32" t="s">
        <v>87</v>
      </c>
      <c r="E58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3" spans="1:6" x14ac:dyDescent="0.35">
      <c r="A5833" s="3">
        <v>43573431429</v>
      </c>
      <c r="B5833" s="3">
        <v>217</v>
      </c>
      <c r="C5833" s="32">
        <v>49328</v>
      </c>
      <c r="D5833" s="32">
        <v>49337</v>
      </c>
      <c r="E58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834" spans="1:6" x14ac:dyDescent="0.35">
      <c r="A5834" s="3">
        <v>87034751643</v>
      </c>
      <c r="B5834" s="3">
        <v>206</v>
      </c>
      <c r="C5834" s="32">
        <v>49328</v>
      </c>
      <c r="D5834" s="32" t="s">
        <v>87</v>
      </c>
      <c r="E58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5" spans="1:6" x14ac:dyDescent="0.35">
      <c r="A5835" s="3">
        <v>96278006678</v>
      </c>
      <c r="B5835" s="3">
        <v>32</v>
      </c>
      <c r="C5835" s="32">
        <v>49328</v>
      </c>
      <c r="D5835" s="32" t="s">
        <v>87</v>
      </c>
      <c r="E58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6" spans="1:6" x14ac:dyDescent="0.35">
      <c r="A5836" s="3">
        <v>73095882950</v>
      </c>
      <c r="B5836" s="3">
        <v>167</v>
      </c>
      <c r="C5836" s="32">
        <v>49328</v>
      </c>
      <c r="D5836" s="32" t="s">
        <v>87</v>
      </c>
      <c r="E58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7" spans="1:6" x14ac:dyDescent="0.35">
      <c r="A5837" s="3">
        <v>65309187506</v>
      </c>
      <c r="B5837" s="3">
        <v>7</v>
      </c>
      <c r="C5837" s="32">
        <v>49328</v>
      </c>
      <c r="D5837" s="32" t="s">
        <v>87</v>
      </c>
      <c r="E58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8" spans="1:6" x14ac:dyDescent="0.35">
      <c r="A5838" s="3">
        <v>26035340529</v>
      </c>
      <c r="B5838" s="3">
        <v>338</v>
      </c>
      <c r="C5838" s="32">
        <v>49328</v>
      </c>
      <c r="D5838" s="32" t="s">
        <v>87</v>
      </c>
      <c r="E58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9" spans="1:6" x14ac:dyDescent="0.35">
      <c r="A5839" s="3">
        <v>80255239991</v>
      </c>
      <c r="B5839" s="3">
        <v>317</v>
      </c>
      <c r="C5839" s="32">
        <v>49328</v>
      </c>
      <c r="D5839" s="32" t="s">
        <v>87</v>
      </c>
      <c r="E58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0" spans="1:6" x14ac:dyDescent="0.35">
      <c r="A5840" s="3">
        <v>87652556529</v>
      </c>
      <c r="B5840" s="3">
        <v>53</v>
      </c>
      <c r="C5840" s="32">
        <v>49328</v>
      </c>
      <c r="D5840" s="32" t="s">
        <v>87</v>
      </c>
      <c r="E58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1" spans="1:6" x14ac:dyDescent="0.35">
      <c r="A5841" s="3">
        <v>47332803418</v>
      </c>
      <c r="B5841" s="3">
        <v>20</v>
      </c>
      <c r="C5841" s="32">
        <v>49328</v>
      </c>
      <c r="D5841" s="32"/>
      <c r="E58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2" spans="1:6" x14ac:dyDescent="0.35">
      <c r="A5842" s="3">
        <v>72271266323</v>
      </c>
      <c r="B5842" s="3">
        <v>103</v>
      </c>
      <c r="C5842" s="32">
        <v>49328</v>
      </c>
      <c r="D5842" s="32">
        <v>49362</v>
      </c>
      <c r="E58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843" spans="1:6" x14ac:dyDescent="0.35">
      <c r="A5843" s="3">
        <v>77087712961</v>
      </c>
      <c r="B5843" s="3">
        <v>161</v>
      </c>
      <c r="C5843" s="32">
        <v>49328</v>
      </c>
      <c r="D5843" s="32" t="s">
        <v>87</v>
      </c>
      <c r="E58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4" spans="1:6" x14ac:dyDescent="0.35">
      <c r="A5844" s="3">
        <v>95963858996</v>
      </c>
      <c r="B5844" s="3">
        <v>7</v>
      </c>
      <c r="C5844" s="32">
        <v>49328</v>
      </c>
      <c r="D5844" s="32">
        <v>49350</v>
      </c>
      <c r="E58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845" spans="1:6" x14ac:dyDescent="0.35">
      <c r="A5845" s="3">
        <v>97798058466</v>
      </c>
      <c r="B5845" s="3">
        <v>176</v>
      </c>
      <c r="C5845" s="32">
        <v>49328</v>
      </c>
      <c r="D5845" s="32"/>
      <c r="E58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6" spans="1:6" x14ac:dyDescent="0.35">
      <c r="A5846" s="3">
        <v>80159597897</v>
      </c>
      <c r="B5846" s="3">
        <v>43</v>
      </c>
      <c r="C5846" s="32">
        <v>49328</v>
      </c>
      <c r="D5846" s="32" t="s">
        <v>87</v>
      </c>
      <c r="E58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7" spans="1:6" x14ac:dyDescent="0.35">
      <c r="A5847" s="3">
        <v>92384501581</v>
      </c>
      <c r="B5847" s="3">
        <v>17</v>
      </c>
      <c r="C5847" s="32">
        <v>49328</v>
      </c>
      <c r="D5847" s="32" t="s">
        <v>87</v>
      </c>
      <c r="E58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8" spans="1:6" x14ac:dyDescent="0.35">
      <c r="A5848" s="3">
        <v>20470390431</v>
      </c>
      <c r="B5848" s="3">
        <v>309</v>
      </c>
      <c r="C5848" s="32">
        <v>49328</v>
      </c>
      <c r="D5848" s="32" t="s">
        <v>87</v>
      </c>
      <c r="E58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9" spans="1:6" x14ac:dyDescent="0.35">
      <c r="A5849" s="3">
        <v>16564505921</v>
      </c>
      <c r="B5849" s="3">
        <v>146</v>
      </c>
      <c r="C5849" s="32">
        <v>49328</v>
      </c>
      <c r="D5849" s="32" t="s">
        <v>87</v>
      </c>
      <c r="E58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0" spans="1:6" x14ac:dyDescent="0.35">
      <c r="A5850" s="3">
        <v>67619937013</v>
      </c>
      <c r="B5850" s="3">
        <v>227</v>
      </c>
      <c r="C5850" s="32">
        <v>49328</v>
      </c>
      <c r="D5850" s="32"/>
      <c r="E58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1" spans="1:6" x14ac:dyDescent="0.35">
      <c r="A5851" s="3">
        <v>64594679464</v>
      </c>
      <c r="B5851" s="3">
        <v>27</v>
      </c>
      <c r="C5851" s="32">
        <v>49328</v>
      </c>
      <c r="D5851" s="32"/>
      <c r="E58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2" spans="1:6" x14ac:dyDescent="0.35">
      <c r="A5852" s="3">
        <v>76227204072</v>
      </c>
      <c r="B5852" s="3">
        <v>293</v>
      </c>
      <c r="C5852" s="32">
        <v>49328</v>
      </c>
      <c r="D5852" s="32" t="s">
        <v>87</v>
      </c>
      <c r="E58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3" spans="1:6" x14ac:dyDescent="0.35">
      <c r="A5853" s="3">
        <v>11517276339</v>
      </c>
      <c r="B5853" s="3">
        <v>40</v>
      </c>
      <c r="C5853" s="32">
        <v>49328</v>
      </c>
      <c r="D5853" s="32" t="s">
        <v>87</v>
      </c>
      <c r="E58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4" spans="1:6" x14ac:dyDescent="0.35">
      <c r="A5854" s="3">
        <v>21221187067</v>
      </c>
      <c r="B5854" s="3">
        <v>317</v>
      </c>
      <c r="C5854" s="32">
        <v>49328</v>
      </c>
      <c r="D5854" s="32" t="s">
        <v>87</v>
      </c>
      <c r="E58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5" spans="1:6" x14ac:dyDescent="0.35">
      <c r="A5855" s="3">
        <v>32130580896</v>
      </c>
      <c r="B5855" s="3">
        <v>335</v>
      </c>
      <c r="C5855" s="32">
        <v>49328</v>
      </c>
      <c r="D5855" s="32" t="s">
        <v>87</v>
      </c>
      <c r="E58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6" spans="1:6" x14ac:dyDescent="0.35">
      <c r="A5856" s="3">
        <v>13276210131</v>
      </c>
      <c r="B5856" s="3">
        <v>304</v>
      </c>
      <c r="C5856" s="32">
        <v>49328</v>
      </c>
      <c r="D5856" s="32" t="s">
        <v>87</v>
      </c>
      <c r="E58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7" spans="1:6" x14ac:dyDescent="0.35">
      <c r="A5857" s="3">
        <v>34940296731</v>
      </c>
      <c r="B5857" s="3">
        <v>174</v>
      </c>
      <c r="C5857" s="32">
        <v>49328</v>
      </c>
      <c r="D5857" s="32" t="s">
        <v>87</v>
      </c>
      <c r="E58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8" spans="1:6" x14ac:dyDescent="0.35">
      <c r="A5858" s="3">
        <v>96291869454</v>
      </c>
      <c r="B5858" s="3">
        <v>182</v>
      </c>
      <c r="C5858" s="32">
        <v>49329</v>
      </c>
      <c r="D5858" s="32"/>
      <c r="E58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9" spans="1:6" x14ac:dyDescent="0.35">
      <c r="A5859" s="3">
        <v>66389171378</v>
      </c>
      <c r="B5859" s="3">
        <v>334</v>
      </c>
      <c r="C5859" s="32">
        <v>49329</v>
      </c>
      <c r="D5859" s="32" t="s">
        <v>87</v>
      </c>
      <c r="E58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0" spans="1:6" x14ac:dyDescent="0.35">
      <c r="A5860" s="3">
        <v>15168293655</v>
      </c>
      <c r="B5860" s="3">
        <v>203</v>
      </c>
      <c r="C5860" s="32">
        <v>49329</v>
      </c>
      <c r="D5860" s="32" t="s">
        <v>87</v>
      </c>
      <c r="E58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1" spans="1:6" x14ac:dyDescent="0.35">
      <c r="A5861" s="3">
        <v>46733715299</v>
      </c>
      <c r="B5861" s="3">
        <v>286</v>
      </c>
      <c r="C5861" s="32">
        <v>49329</v>
      </c>
      <c r="D5861" s="32" t="s">
        <v>87</v>
      </c>
      <c r="E58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2" spans="1:6" x14ac:dyDescent="0.35">
      <c r="A5862" s="3">
        <v>47690640150</v>
      </c>
      <c r="B5862" s="3">
        <v>274</v>
      </c>
      <c r="C5862" s="32">
        <v>49329</v>
      </c>
      <c r="D5862" s="32" t="s">
        <v>87</v>
      </c>
      <c r="E58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3" spans="1:6" x14ac:dyDescent="0.35">
      <c r="A5863" s="3">
        <v>27226074509</v>
      </c>
      <c r="B5863" s="3">
        <v>61</v>
      </c>
      <c r="C5863" s="32">
        <v>49329</v>
      </c>
      <c r="D5863" s="32" t="s">
        <v>87</v>
      </c>
      <c r="E58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4" spans="1:6" x14ac:dyDescent="0.35">
      <c r="A5864" s="3">
        <v>22046403090</v>
      </c>
      <c r="B5864" s="3">
        <v>81</v>
      </c>
      <c r="C5864" s="32">
        <v>49329</v>
      </c>
      <c r="D5864" s="32" t="s">
        <v>87</v>
      </c>
      <c r="E58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5" spans="1:6" x14ac:dyDescent="0.35">
      <c r="A5865" s="3">
        <v>73539990975</v>
      </c>
      <c r="B5865" s="3">
        <v>229</v>
      </c>
      <c r="C5865" s="32">
        <v>49329</v>
      </c>
      <c r="D5865" s="32" t="s">
        <v>87</v>
      </c>
      <c r="E58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6" spans="1:6" x14ac:dyDescent="0.35">
      <c r="A5866" s="3">
        <v>52835118023</v>
      </c>
      <c r="B5866" s="3">
        <v>258</v>
      </c>
      <c r="C5866" s="32">
        <v>49329</v>
      </c>
      <c r="D5866" s="32" t="s">
        <v>87</v>
      </c>
      <c r="E58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7" spans="1:6" x14ac:dyDescent="0.35">
      <c r="A5867" s="3">
        <v>83063630707</v>
      </c>
      <c r="B5867" s="3">
        <v>125</v>
      </c>
      <c r="C5867" s="32">
        <v>49329</v>
      </c>
      <c r="D5867" s="32" t="s">
        <v>87</v>
      </c>
      <c r="E58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8" spans="1:6" x14ac:dyDescent="0.35">
      <c r="A5868" s="3">
        <v>14409815540</v>
      </c>
      <c r="B5868" s="3">
        <v>113</v>
      </c>
      <c r="C5868" s="32">
        <v>49329</v>
      </c>
      <c r="D5868" s="32" t="s">
        <v>87</v>
      </c>
      <c r="E58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9" spans="1:6" x14ac:dyDescent="0.35">
      <c r="A5869" s="3">
        <v>47735040225</v>
      </c>
      <c r="B5869" s="3">
        <v>64</v>
      </c>
      <c r="C5869" s="32">
        <v>49329</v>
      </c>
      <c r="D5869" s="32" t="s">
        <v>87</v>
      </c>
      <c r="E58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0" spans="1:6" x14ac:dyDescent="0.35">
      <c r="A5870" s="3">
        <v>13407366453</v>
      </c>
      <c r="B5870" s="3">
        <v>112</v>
      </c>
      <c r="C5870" s="32">
        <v>49329</v>
      </c>
      <c r="D5870" s="32" t="s">
        <v>87</v>
      </c>
      <c r="E58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1" spans="1:6" x14ac:dyDescent="0.35">
      <c r="A5871" s="3">
        <v>80381621626</v>
      </c>
      <c r="B5871" s="3">
        <v>150</v>
      </c>
      <c r="C5871" s="32">
        <v>49329</v>
      </c>
      <c r="D5871" s="32"/>
      <c r="E58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2" spans="1:6" x14ac:dyDescent="0.35">
      <c r="A5872" s="3">
        <v>44116998666</v>
      </c>
      <c r="B5872" s="3">
        <v>3</v>
      </c>
      <c r="C5872" s="32">
        <v>49329</v>
      </c>
      <c r="D5872" s="32" t="s">
        <v>87</v>
      </c>
      <c r="E58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3" spans="1:6" x14ac:dyDescent="0.35">
      <c r="A5873" s="3">
        <v>66222351413</v>
      </c>
      <c r="B5873" s="3">
        <v>277</v>
      </c>
      <c r="C5873" s="32">
        <v>49329</v>
      </c>
      <c r="D5873" s="32"/>
      <c r="E58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4" spans="1:6" x14ac:dyDescent="0.35">
      <c r="A5874" s="3">
        <v>73946836326</v>
      </c>
      <c r="B5874" s="3">
        <v>249</v>
      </c>
      <c r="C5874" s="32">
        <v>49329</v>
      </c>
      <c r="D5874" s="32" t="s">
        <v>87</v>
      </c>
      <c r="E58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5" spans="1:6" x14ac:dyDescent="0.35">
      <c r="A5875" s="3">
        <v>92061057282</v>
      </c>
      <c r="B5875" s="3">
        <v>264</v>
      </c>
      <c r="C5875" s="32">
        <v>49329</v>
      </c>
      <c r="D5875" s="32" t="s">
        <v>87</v>
      </c>
      <c r="E58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6" spans="1:6" x14ac:dyDescent="0.35">
      <c r="A5876" s="3">
        <v>88723569782</v>
      </c>
      <c r="B5876" s="3">
        <v>225</v>
      </c>
      <c r="C5876" s="32">
        <v>49329</v>
      </c>
      <c r="D5876" s="32" t="s">
        <v>87</v>
      </c>
      <c r="E58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7" spans="1:6" x14ac:dyDescent="0.35">
      <c r="A5877" s="3">
        <v>54393185698</v>
      </c>
      <c r="B5877" s="3">
        <v>314</v>
      </c>
      <c r="C5877" s="32">
        <v>49329</v>
      </c>
      <c r="D5877" s="32" t="s">
        <v>87</v>
      </c>
      <c r="E58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8" spans="1:6" x14ac:dyDescent="0.35">
      <c r="A5878" s="3">
        <v>33832195033</v>
      </c>
      <c r="B5878" s="3">
        <v>134</v>
      </c>
      <c r="C5878" s="32">
        <v>49329</v>
      </c>
      <c r="D5878" s="32" t="s">
        <v>87</v>
      </c>
      <c r="E58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9" spans="1:6" x14ac:dyDescent="0.35">
      <c r="A5879" s="3">
        <v>49712430084</v>
      </c>
      <c r="B5879" s="3">
        <v>340</v>
      </c>
      <c r="C5879" s="32">
        <v>49329</v>
      </c>
      <c r="D5879" s="32"/>
      <c r="E58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0" spans="1:6" x14ac:dyDescent="0.35">
      <c r="A5880" s="3">
        <v>44998369576</v>
      </c>
      <c r="B5880" s="3">
        <v>219</v>
      </c>
      <c r="C5880" s="32">
        <v>49329</v>
      </c>
      <c r="D5880" s="32"/>
      <c r="E58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1" spans="1:6" x14ac:dyDescent="0.35">
      <c r="A5881" s="3">
        <v>28786149113</v>
      </c>
      <c r="B5881" s="3">
        <v>238</v>
      </c>
      <c r="C5881" s="32">
        <v>49329</v>
      </c>
      <c r="D5881" s="32">
        <v>49341</v>
      </c>
      <c r="E58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882" spans="1:6" x14ac:dyDescent="0.35">
      <c r="A5882" s="3">
        <v>75924929569</v>
      </c>
      <c r="B5882" s="3">
        <v>235</v>
      </c>
      <c r="C5882" s="32">
        <v>49329</v>
      </c>
      <c r="D5882" s="32" t="s">
        <v>87</v>
      </c>
      <c r="E58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3" spans="1:6" x14ac:dyDescent="0.35">
      <c r="A5883" s="3">
        <v>90684709647</v>
      </c>
      <c r="B5883" s="3">
        <v>251</v>
      </c>
      <c r="C5883" s="32">
        <v>49329</v>
      </c>
      <c r="D5883" s="32" t="s">
        <v>87</v>
      </c>
      <c r="E58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4" spans="1:6" x14ac:dyDescent="0.35">
      <c r="A5884" s="3">
        <v>24109331552</v>
      </c>
      <c r="B5884" s="3">
        <v>298</v>
      </c>
      <c r="C5884" s="32">
        <v>49329</v>
      </c>
      <c r="D5884" s="32" t="s">
        <v>87</v>
      </c>
      <c r="E58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5" spans="1:6" x14ac:dyDescent="0.35">
      <c r="A5885" s="3">
        <v>58468898014</v>
      </c>
      <c r="B5885" s="3">
        <v>98</v>
      </c>
      <c r="C5885" s="32">
        <v>49330</v>
      </c>
      <c r="D5885" s="32" t="s">
        <v>87</v>
      </c>
      <c r="E58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6" spans="1:6" x14ac:dyDescent="0.35">
      <c r="A5886" s="3">
        <v>61250163481</v>
      </c>
      <c r="B5886" s="3">
        <v>217</v>
      </c>
      <c r="C5886" s="32">
        <v>49330</v>
      </c>
      <c r="D5886" s="32" t="s">
        <v>87</v>
      </c>
      <c r="E58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7" spans="1:6" x14ac:dyDescent="0.35">
      <c r="A5887" s="3">
        <v>17497122522</v>
      </c>
      <c r="B5887" s="3">
        <v>89</v>
      </c>
      <c r="C5887" s="32">
        <v>49330</v>
      </c>
      <c r="D5887" s="32" t="s">
        <v>87</v>
      </c>
      <c r="E58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8" spans="1:6" x14ac:dyDescent="0.35">
      <c r="A5888" s="3">
        <v>38994158799</v>
      </c>
      <c r="B5888" s="3">
        <v>101</v>
      </c>
      <c r="C5888" s="32">
        <v>49330</v>
      </c>
      <c r="D5888" s="32">
        <v>49344</v>
      </c>
      <c r="E58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889" spans="1:6" x14ac:dyDescent="0.35">
      <c r="A5889" s="3">
        <v>49742584050</v>
      </c>
      <c r="B5889" s="3">
        <v>129</v>
      </c>
      <c r="C5889" s="32">
        <v>49330</v>
      </c>
      <c r="D5889" s="32" t="s">
        <v>87</v>
      </c>
      <c r="E58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0" spans="1:6" x14ac:dyDescent="0.35">
      <c r="A5890" s="3">
        <v>25825272222</v>
      </c>
      <c r="B5890" s="3">
        <v>181</v>
      </c>
      <c r="C5890" s="32">
        <v>49330</v>
      </c>
      <c r="D5890" s="32" t="s">
        <v>87</v>
      </c>
      <c r="E58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1" spans="1:6" x14ac:dyDescent="0.35">
      <c r="A5891" s="3">
        <v>19206452531</v>
      </c>
      <c r="B5891" s="3">
        <v>46</v>
      </c>
      <c r="C5891" s="32">
        <v>49330</v>
      </c>
      <c r="D5891" s="32" t="s">
        <v>87</v>
      </c>
      <c r="E58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2" spans="1:6" x14ac:dyDescent="0.35">
      <c r="A5892" s="3">
        <v>66484706965</v>
      </c>
      <c r="B5892" s="3">
        <v>117</v>
      </c>
      <c r="C5892" s="32">
        <v>49330</v>
      </c>
      <c r="D5892" s="32" t="s">
        <v>87</v>
      </c>
      <c r="E58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3" spans="1:6" x14ac:dyDescent="0.35">
      <c r="A5893" s="3">
        <v>72364237674</v>
      </c>
      <c r="B5893" s="3">
        <v>171</v>
      </c>
      <c r="C5893" s="32">
        <v>49330</v>
      </c>
      <c r="D5893" s="32" t="s">
        <v>87</v>
      </c>
      <c r="E58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4" spans="1:6" x14ac:dyDescent="0.35">
      <c r="A5894" s="3">
        <v>25065020338</v>
      </c>
      <c r="B5894" s="3">
        <v>130</v>
      </c>
      <c r="C5894" s="32">
        <v>49330</v>
      </c>
      <c r="D5894" s="32" t="s">
        <v>87</v>
      </c>
      <c r="E58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5" spans="1:6" x14ac:dyDescent="0.35">
      <c r="A5895" s="3">
        <v>24713250657</v>
      </c>
      <c r="B5895" s="3">
        <v>97</v>
      </c>
      <c r="C5895" s="32">
        <v>49330</v>
      </c>
      <c r="D5895" s="32">
        <v>49344</v>
      </c>
      <c r="E58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896" spans="1:6" x14ac:dyDescent="0.35">
      <c r="A5896" s="3">
        <v>37478085192</v>
      </c>
      <c r="B5896" s="3">
        <v>144</v>
      </c>
      <c r="C5896" s="32">
        <v>49330</v>
      </c>
      <c r="D5896" s="32" t="s">
        <v>87</v>
      </c>
      <c r="E58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7" spans="1:6" x14ac:dyDescent="0.35">
      <c r="A5897" s="3">
        <v>13408412679</v>
      </c>
      <c r="B5897" s="3">
        <v>301</v>
      </c>
      <c r="C5897" s="32">
        <v>49330</v>
      </c>
      <c r="D5897" s="32"/>
      <c r="E58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8" spans="1:6" x14ac:dyDescent="0.35">
      <c r="A5898" s="3">
        <v>38322240486</v>
      </c>
      <c r="B5898" s="3">
        <v>38</v>
      </c>
      <c r="C5898" s="32">
        <v>49330</v>
      </c>
      <c r="D5898" s="32"/>
      <c r="E58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9" spans="1:6" x14ac:dyDescent="0.35">
      <c r="A5899" s="3">
        <v>13701533418</v>
      </c>
      <c r="B5899" s="3">
        <v>191</v>
      </c>
      <c r="C5899" s="32">
        <v>49330</v>
      </c>
      <c r="D5899" s="32" t="s">
        <v>87</v>
      </c>
      <c r="E58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0" spans="1:6" x14ac:dyDescent="0.35">
      <c r="A5900" s="3">
        <v>18315255931</v>
      </c>
      <c r="B5900" s="3">
        <v>64</v>
      </c>
      <c r="C5900" s="32">
        <v>49330</v>
      </c>
      <c r="D5900" s="32" t="s">
        <v>87</v>
      </c>
      <c r="E59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1" spans="1:6" x14ac:dyDescent="0.35">
      <c r="A5901" s="3">
        <v>86368842256</v>
      </c>
      <c r="B5901" s="3">
        <v>291</v>
      </c>
      <c r="C5901" s="32">
        <v>49330</v>
      </c>
      <c r="D5901" s="32" t="s">
        <v>87</v>
      </c>
      <c r="E59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2" spans="1:6" x14ac:dyDescent="0.35">
      <c r="A5902" s="3">
        <v>86594195503</v>
      </c>
      <c r="B5902" s="3">
        <v>138</v>
      </c>
      <c r="C5902" s="32">
        <v>49330</v>
      </c>
      <c r="D5902" s="32">
        <v>49332</v>
      </c>
      <c r="E59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903" spans="1:6" x14ac:dyDescent="0.35">
      <c r="A5903" s="3">
        <v>85927736864</v>
      </c>
      <c r="B5903" s="3">
        <v>157</v>
      </c>
      <c r="C5903" s="32">
        <v>49330</v>
      </c>
      <c r="D5903" s="32" t="s">
        <v>87</v>
      </c>
      <c r="E59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4" spans="1:6" x14ac:dyDescent="0.35">
      <c r="A5904" s="3">
        <v>81349305965</v>
      </c>
      <c r="B5904" s="3">
        <v>51</v>
      </c>
      <c r="C5904" s="32">
        <v>49330</v>
      </c>
      <c r="D5904" s="32"/>
      <c r="E59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5" spans="1:6" x14ac:dyDescent="0.35">
      <c r="A5905" s="3">
        <v>54182574923</v>
      </c>
      <c r="B5905" s="3">
        <v>107</v>
      </c>
      <c r="C5905" s="32">
        <v>49330</v>
      </c>
      <c r="D5905" s="32" t="s">
        <v>87</v>
      </c>
      <c r="E59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6" spans="1:6" x14ac:dyDescent="0.35">
      <c r="A5906" s="3">
        <v>48210718213</v>
      </c>
      <c r="B5906" s="3">
        <v>175</v>
      </c>
      <c r="C5906" s="32">
        <v>49330</v>
      </c>
      <c r="D5906" s="32" t="s">
        <v>87</v>
      </c>
      <c r="E59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7" spans="1:6" x14ac:dyDescent="0.35">
      <c r="A5907" s="3">
        <v>56887269020</v>
      </c>
      <c r="B5907" s="3">
        <v>26</v>
      </c>
      <c r="C5907" s="32">
        <v>49330</v>
      </c>
      <c r="D5907" s="32" t="s">
        <v>87</v>
      </c>
      <c r="E59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8" spans="1:6" x14ac:dyDescent="0.35">
      <c r="A5908" s="3">
        <v>99430689014</v>
      </c>
      <c r="B5908" s="3">
        <v>9</v>
      </c>
      <c r="C5908" s="32">
        <v>49330</v>
      </c>
      <c r="D5908" s="32"/>
      <c r="E59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9" spans="1:6" x14ac:dyDescent="0.35">
      <c r="A5909" s="3">
        <v>56615227919</v>
      </c>
      <c r="B5909" s="3">
        <v>267</v>
      </c>
      <c r="C5909" s="32">
        <v>49330</v>
      </c>
      <c r="D5909" s="32" t="s">
        <v>87</v>
      </c>
      <c r="E59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0" spans="1:6" x14ac:dyDescent="0.35">
      <c r="A5910" s="3">
        <v>46633302913</v>
      </c>
      <c r="B5910" s="3">
        <v>314</v>
      </c>
      <c r="C5910" s="32">
        <v>49330</v>
      </c>
      <c r="D5910" s="32" t="s">
        <v>87</v>
      </c>
      <c r="E59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1" spans="1:6" x14ac:dyDescent="0.35">
      <c r="A5911" s="3">
        <v>71228361117</v>
      </c>
      <c r="B5911" s="3">
        <v>278</v>
      </c>
      <c r="C5911" s="32">
        <v>49330</v>
      </c>
      <c r="D5911" s="32"/>
      <c r="E59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2" spans="1:6" x14ac:dyDescent="0.35">
      <c r="A5912" s="3">
        <v>78751815781</v>
      </c>
      <c r="B5912" s="3">
        <v>157</v>
      </c>
      <c r="C5912" s="32">
        <v>49331</v>
      </c>
      <c r="D5912" s="32" t="s">
        <v>87</v>
      </c>
      <c r="E59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3" spans="1:6" x14ac:dyDescent="0.35">
      <c r="A5913" s="3">
        <v>77517652937</v>
      </c>
      <c r="B5913" s="3">
        <v>246</v>
      </c>
      <c r="C5913" s="32">
        <v>49331</v>
      </c>
      <c r="D5913" s="32" t="s">
        <v>87</v>
      </c>
      <c r="E59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4" spans="1:6" x14ac:dyDescent="0.35">
      <c r="A5914" s="3">
        <v>76905248824</v>
      </c>
      <c r="B5914" s="3">
        <v>176</v>
      </c>
      <c r="C5914" s="32">
        <v>49331</v>
      </c>
      <c r="D5914" s="32" t="s">
        <v>87</v>
      </c>
      <c r="E59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5" spans="1:6" x14ac:dyDescent="0.35">
      <c r="A5915" s="3">
        <v>95422484658</v>
      </c>
      <c r="B5915" s="3">
        <v>127</v>
      </c>
      <c r="C5915" s="32">
        <v>49331</v>
      </c>
      <c r="D5915" s="32"/>
      <c r="E59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6" spans="1:6" x14ac:dyDescent="0.35">
      <c r="A5916" s="3">
        <v>82844295835</v>
      </c>
      <c r="B5916" s="3">
        <v>132</v>
      </c>
      <c r="C5916" s="32">
        <v>49331</v>
      </c>
      <c r="D5916" s="32" t="s">
        <v>87</v>
      </c>
      <c r="E59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7" spans="1:6" x14ac:dyDescent="0.35">
      <c r="A5917" s="3">
        <v>23069937676</v>
      </c>
      <c r="B5917" s="3">
        <v>257</v>
      </c>
      <c r="C5917" s="32">
        <v>49331</v>
      </c>
      <c r="D5917" s="32" t="s">
        <v>87</v>
      </c>
      <c r="E59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8" spans="1:6" x14ac:dyDescent="0.35">
      <c r="A5918" s="3">
        <v>87932576043</v>
      </c>
      <c r="B5918" s="3">
        <v>133</v>
      </c>
      <c r="C5918" s="32">
        <v>49331</v>
      </c>
      <c r="D5918" s="32" t="s">
        <v>87</v>
      </c>
      <c r="E59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9" spans="1:6" x14ac:dyDescent="0.35">
      <c r="A5919" s="3">
        <v>31167953463</v>
      </c>
      <c r="B5919" s="3">
        <v>336</v>
      </c>
      <c r="C5919" s="32">
        <v>49331</v>
      </c>
      <c r="D5919" s="32" t="s">
        <v>87</v>
      </c>
      <c r="E59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0" spans="1:6" x14ac:dyDescent="0.35">
      <c r="A5920" s="3">
        <v>77936283147</v>
      </c>
      <c r="B5920" s="3">
        <v>330</v>
      </c>
      <c r="C5920" s="32">
        <v>49331</v>
      </c>
      <c r="D5920" s="32" t="s">
        <v>87</v>
      </c>
      <c r="E59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1" spans="1:6" x14ac:dyDescent="0.35">
      <c r="A5921" s="3">
        <v>88395830324</v>
      </c>
      <c r="B5921" s="3">
        <v>82</v>
      </c>
      <c r="C5921" s="32">
        <v>49331</v>
      </c>
      <c r="D5921" s="32" t="s">
        <v>87</v>
      </c>
      <c r="E59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2" spans="1:6" x14ac:dyDescent="0.35">
      <c r="A5922" s="3">
        <v>29815378984</v>
      </c>
      <c r="B5922" s="3">
        <v>42</v>
      </c>
      <c r="C5922" s="32">
        <v>49331</v>
      </c>
      <c r="D5922" s="32" t="s">
        <v>87</v>
      </c>
      <c r="E59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3" spans="1:6" x14ac:dyDescent="0.35">
      <c r="A5923" s="3">
        <v>18304388389</v>
      </c>
      <c r="B5923" s="3">
        <v>208</v>
      </c>
      <c r="C5923" s="32">
        <v>49331</v>
      </c>
      <c r="D5923" s="32" t="s">
        <v>87</v>
      </c>
      <c r="E59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4" spans="1:6" x14ac:dyDescent="0.35">
      <c r="A5924" s="3">
        <v>30947560525</v>
      </c>
      <c r="B5924" s="3">
        <v>290</v>
      </c>
      <c r="C5924" s="32">
        <v>49331</v>
      </c>
      <c r="D5924" s="32"/>
      <c r="E59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5" spans="1:6" x14ac:dyDescent="0.35">
      <c r="A5925" s="3">
        <v>31172169840</v>
      </c>
      <c r="B5925" s="3">
        <v>188</v>
      </c>
      <c r="C5925" s="32">
        <v>49331</v>
      </c>
      <c r="D5925" s="32" t="s">
        <v>87</v>
      </c>
      <c r="E59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6" spans="1:6" x14ac:dyDescent="0.35">
      <c r="A5926" s="3">
        <v>14487527377</v>
      </c>
      <c r="B5926" s="3">
        <v>14</v>
      </c>
      <c r="C5926" s="32">
        <v>49331</v>
      </c>
      <c r="D5926" s="32" t="s">
        <v>87</v>
      </c>
      <c r="E59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7" spans="1:6" x14ac:dyDescent="0.35">
      <c r="A5927" s="3">
        <v>16471762368</v>
      </c>
      <c r="B5927" s="3">
        <v>298</v>
      </c>
      <c r="C5927" s="32">
        <v>49331</v>
      </c>
      <c r="D5927" s="32" t="s">
        <v>87</v>
      </c>
      <c r="E59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8" spans="1:6" x14ac:dyDescent="0.35">
      <c r="A5928" s="3">
        <v>70201773234</v>
      </c>
      <c r="B5928" s="3">
        <v>68</v>
      </c>
      <c r="C5928" s="32">
        <v>49331</v>
      </c>
      <c r="D5928" s="32" t="s">
        <v>87</v>
      </c>
      <c r="E59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9" spans="1:6" x14ac:dyDescent="0.35">
      <c r="A5929" s="3">
        <v>23868170373</v>
      </c>
      <c r="B5929" s="3">
        <v>7</v>
      </c>
      <c r="C5929" s="32">
        <v>49331</v>
      </c>
      <c r="D5929" s="32" t="s">
        <v>87</v>
      </c>
      <c r="E59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0" spans="1:6" x14ac:dyDescent="0.35">
      <c r="A5930" s="3">
        <v>89875573969</v>
      </c>
      <c r="B5930" s="3">
        <v>225</v>
      </c>
      <c r="C5930" s="32">
        <v>49331</v>
      </c>
      <c r="D5930" s="32" t="s">
        <v>87</v>
      </c>
      <c r="E59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1" spans="1:6" x14ac:dyDescent="0.35">
      <c r="A5931" s="3">
        <v>72312250883</v>
      </c>
      <c r="B5931" s="3">
        <v>105</v>
      </c>
      <c r="C5931" s="32">
        <v>49331</v>
      </c>
      <c r="D5931" s="32" t="s">
        <v>87</v>
      </c>
      <c r="E59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2" spans="1:6" x14ac:dyDescent="0.35">
      <c r="A5932" s="3">
        <v>43744305219</v>
      </c>
      <c r="B5932" s="3">
        <v>206</v>
      </c>
      <c r="C5932" s="32">
        <v>49331</v>
      </c>
      <c r="D5932" s="32" t="s">
        <v>87</v>
      </c>
      <c r="E59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3" spans="1:6" x14ac:dyDescent="0.35">
      <c r="A5933" s="3">
        <v>56385687133</v>
      </c>
      <c r="B5933" s="3">
        <v>107</v>
      </c>
      <c r="C5933" s="32">
        <v>49331</v>
      </c>
      <c r="D5933" s="32"/>
      <c r="E59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4" spans="1:6" x14ac:dyDescent="0.35">
      <c r="A5934" s="3">
        <v>87368147155</v>
      </c>
      <c r="B5934" s="3">
        <v>334</v>
      </c>
      <c r="C5934" s="32">
        <v>49331</v>
      </c>
      <c r="D5934" s="32" t="s">
        <v>87</v>
      </c>
      <c r="E59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5" spans="1:6" x14ac:dyDescent="0.35">
      <c r="A5935" s="3">
        <v>13271937750</v>
      </c>
      <c r="B5935" s="3">
        <v>4</v>
      </c>
      <c r="C5935" s="32">
        <v>49331</v>
      </c>
      <c r="D5935" s="32" t="s">
        <v>87</v>
      </c>
      <c r="E59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6" spans="1:6" x14ac:dyDescent="0.35">
      <c r="A5936" s="3">
        <v>48521764937</v>
      </c>
      <c r="B5936" s="3">
        <v>331</v>
      </c>
      <c r="C5936" s="32">
        <v>49331</v>
      </c>
      <c r="D5936" s="32" t="s">
        <v>87</v>
      </c>
      <c r="E59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7" spans="1:6" x14ac:dyDescent="0.35">
      <c r="A5937" s="3">
        <v>49936522136</v>
      </c>
      <c r="B5937" s="3">
        <v>95</v>
      </c>
      <c r="C5937" s="32">
        <v>49331</v>
      </c>
      <c r="D5937" s="32" t="s">
        <v>87</v>
      </c>
      <c r="E59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8" spans="1:6" x14ac:dyDescent="0.35">
      <c r="A5938" s="3">
        <v>88071610990</v>
      </c>
      <c r="B5938" s="3">
        <v>84</v>
      </c>
      <c r="C5938" s="32">
        <v>49332</v>
      </c>
      <c r="D5938" s="32" t="s">
        <v>87</v>
      </c>
      <c r="E59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9" spans="1:6" x14ac:dyDescent="0.35">
      <c r="A5939" s="3">
        <v>35636609257</v>
      </c>
      <c r="B5939" s="3">
        <v>223</v>
      </c>
      <c r="C5939" s="32">
        <v>49332</v>
      </c>
      <c r="D5939" s="32" t="s">
        <v>87</v>
      </c>
      <c r="E59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0" spans="1:6" x14ac:dyDescent="0.35">
      <c r="A5940" s="3">
        <v>37665573312</v>
      </c>
      <c r="B5940" s="3">
        <v>65</v>
      </c>
      <c r="C5940" s="32">
        <v>49332</v>
      </c>
      <c r="D5940" s="32" t="s">
        <v>87</v>
      </c>
      <c r="E59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1" spans="1:6" x14ac:dyDescent="0.35">
      <c r="A5941" s="3">
        <v>39927253405</v>
      </c>
      <c r="B5941" s="3">
        <v>67</v>
      </c>
      <c r="C5941" s="32">
        <v>49332</v>
      </c>
      <c r="D5941" s="32" t="s">
        <v>87</v>
      </c>
      <c r="E59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2" spans="1:6" x14ac:dyDescent="0.35">
      <c r="A5942" s="3">
        <v>12185545149</v>
      </c>
      <c r="B5942" s="3">
        <v>332</v>
      </c>
      <c r="C5942" s="32">
        <v>49332</v>
      </c>
      <c r="D5942" s="32" t="s">
        <v>87</v>
      </c>
      <c r="E59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3" spans="1:6" x14ac:dyDescent="0.35">
      <c r="A5943" s="3">
        <v>38744713646</v>
      </c>
      <c r="B5943" s="3">
        <v>115</v>
      </c>
      <c r="C5943" s="32">
        <v>49332</v>
      </c>
      <c r="D5943" s="32">
        <v>49356</v>
      </c>
      <c r="E59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944" spans="1:6" x14ac:dyDescent="0.35">
      <c r="A5944" s="3">
        <v>70587639627</v>
      </c>
      <c r="B5944" s="3">
        <v>93</v>
      </c>
      <c r="C5944" s="32">
        <v>49332</v>
      </c>
      <c r="D5944" s="32"/>
      <c r="E59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5" spans="1:6" x14ac:dyDescent="0.35">
      <c r="A5945" s="3">
        <v>81085098492</v>
      </c>
      <c r="B5945" s="3">
        <v>315</v>
      </c>
      <c r="C5945" s="32">
        <v>49332</v>
      </c>
      <c r="D5945" s="32"/>
      <c r="E59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6" spans="1:6" x14ac:dyDescent="0.35">
      <c r="A5946" s="3">
        <v>55000359054</v>
      </c>
      <c r="B5946" s="3">
        <v>186</v>
      </c>
      <c r="C5946" s="32">
        <v>49332</v>
      </c>
      <c r="D5946" s="32"/>
      <c r="E59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7" spans="1:6" x14ac:dyDescent="0.35">
      <c r="A5947" s="3">
        <v>82366303691</v>
      </c>
      <c r="B5947" s="3">
        <v>106</v>
      </c>
      <c r="C5947" s="32">
        <v>49332</v>
      </c>
      <c r="D5947" s="32" t="s">
        <v>87</v>
      </c>
      <c r="E59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8" spans="1:6" x14ac:dyDescent="0.35">
      <c r="A5948" s="3">
        <v>46512234080</v>
      </c>
      <c r="B5948" s="3">
        <v>221</v>
      </c>
      <c r="C5948" s="32">
        <v>49332</v>
      </c>
      <c r="D5948" s="32" t="s">
        <v>87</v>
      </c>
      <c r="E59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9" spans="1:6" x14ac:dyDescent="0.35">
      <c r="A5949" s="3">
        <v>65545355786</v>
      </c>
      <c r="B5949" s="3">
        <v>254</v>
      </c>
      <c r="C5949" s="32">
        <v>49332</v>
      </c>
      <c r="D5949" s="32"/>
      <c r="E59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0" spans="1:6" x14ac:dyDescent="0.35">
      <c r="A5950" s="3">
        <v>47771862596</v>
      </c>
      <c r="B5950" s="3">
        <v>128</v>
      </c>
      <c r="C5950" s="32">
        <v>49332</v>
      </c>
      <c r="D5950" s="32" t="s">
        <v>87</v>
      </c>
      <c r="E59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1" spans="1:6" x14ac:dyDescent="0.35">
      <c r="A5951" s="3">
        <v>78836409509</v>
      </c>
      <c r="B5951" s="3">
        <v>158</v>
      </c>
      <c r="C5951" s="32">
        <v>49332</v>
      </c>
      <c r="D5951" s="32" t="s">
        <v>87</v>
      </c>
      <c r="E59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2" spans="1:6" x14ac:dyDescent="0.35">
      <c r="A5952" s="3">
        <v>65251527231</v>
      </c>
      <c r="B5952" s="3">
        <v>186</v>
      </c>
      <c r="C5952" s="32">
        <v>49332</v>
      </c>
      <c r="D5952" s="32" t="s">
        <v>87</v>
      </c>
      <c r="E59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3" spans="1:6" x14ac:dyDescent="0.35">
      <c r="A5953" s="3">
        <v>42484244376</v>
      </c>
      <c r="B5953" s="3">
        <v>324</v>
      </c>
      <c r="C5953" s="32">
        <v>49332</v>
      </c>
      <c r="D5953" s="32">
        <v>49343</v>
      </c>
      <c r="E59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954" spans="1:6" x14ac:dyDescent="0.35">
      <c r="A5954" s="3">
        <v>79252919590</v>
      </c>
      <c r="B5954" s="3">
        <v>179</v>
      </c>
      <c r="C5954" s="32">
        <v>49332</v>
      </c>
      <c r="D5954" s="32" t="s">
        <v>87</v>
      </c>
      <c r="E59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5" spans="1:6" x14ac:dyDescent="0.35">
      <c r="A5955" s="3">
        <v>67691820499</v>
      </c>
      <c r="B5955" s="3">
        <v>166</v>
      </c>
      <c r="C5955" s="32">
        <v>49332</v>
      </c>
      <c r="D5955" s="32"/>
      <c r="E59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6" spans="1:6" x14ac:dyDescent="0.35">
      <c r="A5956" s="3">
        <v>24606487747</v>
      </c>
      <c r="B5956" s="3">
        <v>241</v>
      </c>
      <c r="C5956" s="32">
        <v>49332</v>
      </c>
      <c r="D5956" s="32" t="s">
        <v>87</v>
      </c>
      <c r="E59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7" spans="1:6" x14ac:dyDescent="0.35">
      <c r="A5957" s="3">
        <v>57973698134</v>
      </c>
      <c r="B5957" s="3">
        <v>326</v>
      </c>
      <c r="C5957" s="32">
        <v>49333</v>
      </c>
      <c r="D5957" s="32" t="s">
        <v>87</v>
      </c>
      <c r="E59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8" spans="1:6" x14ac:dyDescent="0.35">
      <c r="A5958" s="3">
        <v>38985516325</v>
      </c>
      <c r="B5958" s="3">
        <v>245</v>
      </c>
      <c r="C5958" s="32">
        <v>49333</v>
      </c>
      <c r="D5958" s="32" t="s">
        <v>87</v>
      </c>
      <c r="E59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9" spans="1:6" x14ac:dyDescent="0.35">
      <c r="A5959" s="3">
        <v>80404542023</v>
      </c>
      <c r="B5959" s="3">
        <v>135</v>
      </c>
      <c r="C5959" s="32">
        <v>49333</v>
      </c>
      <c r="D5959" s="32" t="s">
        <v>87</v>
      </c>
      <c r="E59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0" spans="1:6" x14ac:dyDescent="0.35">
      <c r="A5960" s="3">
        <v>77495490734</v>
      </c>
      <c r="B5960" s="3">
        <v>221</v>
      </c>
      <c r="C5960" s="32">
        <v>49333</v>
      </c>
      <c r="D5960" s="32" t="s">
        <v>87</v>
      </c>
      <c r="E59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1" spans="1:6" x14ac:dyDescent="0.35">
      <c r="A5961" s="3">
        <v>94521486117</v>
      </c>
      <c r="B5961" s="3">
        <v>194</v>
      </c>
      <c r="C5961" s="32">
        <v>49333</v>
      </c>
      <c r="D5961" s="32" t="s">
        <v>87</v>
      </c>
      <c r="E59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2" spans="1:6" x14ac:dyDescent="0.35">
      <c r="A5962" s="3">
        <v>67971786453</v>
      </c>
      <c r="B5962" s="3">
        <v>63</v>
      </c>
      <c r="C5962" s="32">
        <v>49333</v>
      </c>
      <c r="D5962" s="32"/>
      <c r="E59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3" spans="1:6" x14ac:dyDescent="0.35">
      <c r="A5963" s="3">
        <v>76883888154</v>
      </c>
      <c r="B5963" s="3">
        <v>333</v>
      </c>
      <c r="C5963" s="32">
        <v>49333</v>
      </c>
      <c r="D5963" s="32" t="s">
        <v>87</v>
      </c>
      <c r="E59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4" spans="1:6" x14ac:dyDescent="0.35">
      <c r="A5964" s="3">
        <v>12839079263</v>
      </c>
      <c r="B5964" s="3">
        <v>48</v>
      </c>
      <c r="C5964" s="32">
        <v>49333</v>
      </c>
      <c r="D5964" s="32" t="s">
        <v>87</v>
      </c>
      <c r="E59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5" spans="1:6" x14ac:dyDescent="0.35">
      <c r="A5965" s="3">
        <v>67755389538</v>
      </c>
      <c r="B5965" s="3">
        <v>214</v>
      </c>
      <c r="C5965" s="32">
        <v>49333</v>
      </c>
      <c r="D5965" s="32" t="s">
        <v>87</v>
      </c>
      <c r="E59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6" spans="1:6" x14ac:dyDescent="0.35">
      <c r="A5966" s="3">
        <v>69335924676</v>
      </c>
      <c r="B5966" s="3">
        <v>39</v>
      </c>
      <c r="C5966" s="32">
        <v>49333</v>
      </c>
      <c r="D5966" s="32" t="s">
        <v>87</v>
      </c>
      <c r="E59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7" spans="1:6" x14ac:dyDescent="0.35">
      <c r="A5967" s="3">
        <v>92718120824</v>
      </c>
      <c r="B5967" s="3">
        <v>173</v>
      </c>
      <c r="C5967" s="32">
        <v>49333</v>
      </c>
      <c r="D5967" s="32" t="s">
        <v>87</v>
      </c>
      <c r="E59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8" spans="1:6" x14ac:dyDescent="0.35">
      <c r="A5968" s="3">
        <v>77857380535</v>
      </c>
      <c r="B5968" s="3">
        <v>225</v>
      </c>
      <c r="C5968" s="32">
        <v>49333</v>
      </c>
      <c r="D5968" s="32" t="s">
        <v>87</v>
      </c>
      <c r="E59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9" spans="1:6" x14ac:dyDescent="0.35">
      <c r="A5969" s="3">
        <v>87058364618</v>
      </c>
      <c r="B5969" s="3">
        <v>68</v>
      </c>
      <c r="C5969" s="32">
        <v>49333</v>
      </c>
      <c r="D5969" s="32" t="s">
        <v>87</v>
      </c>
      <c r="E59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0" spans="1:6" x14ac:dyDescent="0.35">
      <c r="A5970" s="3">
        <v>78479431415</v>
      </c>
      <c r="B5970" s="3">
        <v>183</v>
      </c>
      <c r="C5970" s="32">
        <v>49333</v>
      </c>
      <c r="D5970" s="32" t="s">
        <v>87</v>
      </c>
      <c r="E59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1" spans="1:6" x14ac:dyDescent="0.35">
      <c r="A5971" s="3">
        <v>74796657167</v>
      </c>
      <c r="B5971" s="3">
        <v>198</v>
      </c>
      <c r="C5971" s="32">
        <v>49333</v>
      </c>
      <c r="D5971" s="32" t="s">
        <v>87</v>
      </c>
      <c r="E59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2" spans="1:6" x14ac:dyDescent="0.35">
      <c r="A5972" s="3">
        <v>55220427205</v>
      </c>
      <c r="B5972" s="3">
        <v>200</v>
      </c>
      <c r="C5972" s="32">
        <v>49333</v>
      </c>
      <c r="D5972" s="32" t="s">
        <v>87</v>
      </c>
      <c r="E59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3" spans="1:6" x14ac:dyDescent="0.35">
      <c r="A5973" s="3">
        <v>76023901791</v>
      </c>
      <c r="B5973" s="3">
        <v>107</v>
      </c>
      <c r="C5973" s="32">
        <v>49333</v>
      </c>
      <c r="D5973" s="32" t="s">
        <v>87</v>
      </c>
      <c r="E59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4" spans="1:6" x14ac:dyDescent="0.35">
      <c r="A5974" s="3">
        <v>65992186436</v>
      </c>
      <c r="B5974" s="3">
        <v>319</v>
      </c>
      <c r="C5974" s="32">
        <v>49333</v>
      </c>
      <c r="D5974" s="32" t="s">
        <v>87</v>
      </c>
      <c r="E59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5" spans="1:6" x14ac:dyDescent="0.35">
      <c r="A5975" s="3">
        <v>77957160771</v>
      </c>
      <c r="B5975" s="3">
        <v>179</v>
      </c>
      <c r="C5975" s="32">
        <v>49333</v>
      </c>
      <c r="D5975" s="32" t="s">
        <v>87</v>
      </c>
      <c r="E59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6" spans="1:6" x14ac:dyDescent="0.35">
      <c r="A5976" s="3">
        <v>36218248809</v>
      </c>
      <c r="B5976" s="3">
        <v>105</v>
      </c>
      <c r="C5976" s="32">
        <v>49333</v>
      </c>
      <c r="D5976" s="32" t="s">
        <v>87</v>
      </c>
      <c r="E59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7" spans="1:6" x14ac:dyDescent="0.35">
      <c r="A5977" s="3">
        <v>21203661739</v>
      </c>
      <c r="B5977" s="3">
        <v>226</v>
      </c>
      <c r="C5977" s="32">
        <v>49333</v>
      </c>
      <c r="D5977" s="32"/>
      <c r="E59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8" spans="1:6" x14ac:dyDescent="0.35">
      <c r="A5978" s="3">
        <v>53917164202</v>
      </c>
      <c r="B5978" s="3">
        <v>72</v>
      </c>
      <c r="C5978" s="32">
        <v>49333</v>
      </c>
      <c r="D5978" s="32" t="s">
        <v>87</v>
      </c>
      <c r="E59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9" spans="1:6" x14ac:dyDescent="0.35">
      <c r="A5979" s="3">
        <v>62476235224</v>
      </c>
      <c r="B5979" s="3">
        <v>72</v>
      </c>
      <c r="C5979" s="32">
        <v>49333</v>
      </c>
      <c r="D5979" s="32" t="s">
        <v>87</v>
      </c>
      <c r="E59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0" spans="1:6" x14ac:dyDescent="0.35">
      <c r="A5980" s="3">
        <v>61380541824</v>
      </c>
      <c r="B5980" s="3">
        <v>258</v>
      </c>
      <c r="C5980" s="32">
        <v>49333</v>
      </c>
      <c r="D5980" s="32" t="s">
        <v>87</v>
      </c>
      <c r="E59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1" spans="1:6" x14ac:dyDescent="0.35">
      <c r="A5981" s="3">
        <v>54889318301</v>
      </c>
      <c r="B5981" s="3">
        <v>152</v>
      </c>
      <c r="C5981" s="32">
        <v>49333</v>
      </c>
      <c r="D5981" s="32" t="s">
        <v>87</v>
      </c>
      <c r="E59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2" spans="1:6" x14ac:dyDescent="0.35">
      <c r="A5982" s="3">
        <v>16759434809</v>
      </c>
      <c r="B5982" s="3">
        <v>292</v>
      </c>
      <c r="C5982" s="32">
        <v>49333</v>
      </c>
      <c r="D5982" s="32" t="s">
        <v>87</v>
      </c>
      <c r="E59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3" spans="1:6" x14ac:dyDescent="0.35">
      <c r="A5983" s="3">
        <v>92102907722</v>
      </c>
      <c r="B5983" s="3">
        <v>270</v>
      </c>
      <c r="C5983" s="32">
        <v>49333</v>
      </c>
      <c r="D5983" s="32" t="s">
        <v>87</v>
      </c>
      <c r="E59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4" spans="1:6" x14ac:dyDescent="0.35">
      <c r="A5984" s="3">
        <v>51809906087</v>
      </c>
      <c r="B5984" s="3">
        <v>197</v>
      </c>
      <c r="C5984" s="32">
        <v>49333</v>
      </c>
      <c r="D5984" s="32">
        <v>49339</v>
      </c>
      <c r="E59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985" spans="1:6" x14ac:dyDescent="0.35">
      <c r="A5985" s="3">
        <v>28521681782</v>
      </c>
      <c r="B5985" s="3">
        <v>65</v>
      </c>
      <c r="C5985" s="32">
        <v>49334</v>
      </c>
      <c r="D5985" s="32" t="s">
        <v>87</v>
      </c>
      <c r="E59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6" spans="1:6" x14ac:dyDescent="0.35">
      <c r="A5986" s="3">
        <v>13134676717</v>
      </c>
      <c r="B5986" s="3">
        <v>30</v>
      </c>
      <c r="C5986" s="32">
        <v>49334</v>
      </c>
      <c r="D5986" s="32"/>
      <c r="E59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7" spans="1:6" x14ac:dyDescent="0.35">
      <c r="A5987" s="3">
        <v>33712816063</v>
      </c>
      <c r="B5987" s="3">
        <v>310</v>
      </c>
      <c r="C5987" s="32">
        <v>49334</v>
      </c>
      <c r="D5987" s="32" t="s">
        <v>87</v>
      </c>
      <c r="E59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8" spans="1:6" x14ac:dyDescent="0.35">
      <c r="A5988" s="3">
        <v>99263861732</v>
      </c>
      <c r="B5988" s="3">
        <v>75</v>
      </c>
      <c r="C5988" s="32">
        <v>49334</v>
      </c>
      <c r="D5988" s="32" t="s">
        <v>87</v>
      </c>
      <c r="E59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9" spans="1:6" x14ac:dyDescent="0.35">
      <c r="A5989" s="3">
        <v>18947255372</v>
      </c>
      <c r="B5989" s="3">
        <v>319</v>
      </c>
      <c r="C5989" s="32">
        <v>49334</v>
      </c>
      <c r="D5989" s="32"/>
      <c r="E59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0" spans="1:6" x14ac:dyDescent="0.35">
      <c r="A5990" s="3">
        <v>22232756641</v>
      </c>
      <c r="B5990" s="3">
        <v>308</v>
      </c>
      <c r="C5990" s="32">
        <v>49334</v>
      </c>
      <c r="D5990" s="32" t="s">
        <v>87</v>
      </c>
      <c r="E59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1" spans="1:6" x14ac:dyDescent="0.35">
      <c r="A5991" s="3">
        <v>49352603484</v>
      </c>
      <c r="B5991" s="3">
        <v>127</v>
      </c>
      <c r="C5991" s="32">
        <v>49334</v>
      </c>
      <c r="D5991" s="32">
        <v>49348</v>
      </c>
      <c r="E59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992" spans="1:6" x14ac:dyDescent="0.35">
      <c r="A5992" s="3">
        <v>38234757674</v>
      </c>
      <c r="B5992" s="3">
        <v>226</v>
      </c>
      <c r="C5992" s="32">
        <v>49334</v>
      </c>
      <c r="D5992" s="32" t="s">
        <v>87</v>
      </c>
      <c r="E59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3" spans="1:6" x14ac:dyDescent="0.35">
      <c r="A5993" s="3">
        <v>46603527046</v>
      </c>
      <c r="B5993" s="3">
        <v>210</v>
      </c>
      <c r="C5993" s="32">
        <v>49334</v>
      </c>
      <c r="D5993" s="32" t="s">
        <v>87</v>
      </c>
      <c r="E59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4" spans="1:6" x14ac:dyDescent="0.35">
      <c r="A5994" s="3">
        <v>62619949337</v>
      </c>
      <c r="B5994" s="3">
        <v>157</v>
      </c>
      <c r="C5994" s="32">
        <v>49334</v>
      </c>
      <c r="D5994" s="32" t="s">
        <v>87</v>
      </c>
      <c r="E59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5" spans="1:6" x14ac:dyDescent="0.35">
      <c r="A5995" s="3">
        <v>51310642433</v>
      </c>
      <c r="B5995" s="3">
        <v>67</v>
      </c>
      <c r="C5995" s="32">
        <v>49334</v>
      </c>
      <c r="D5995" s="32" t="s">
        <v>87</v>
      </c>
      <c r="E59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6" spans="1:6" x14ac:dyDescent="0.35">
      <c r="A5996" s="3">
        <v>80156800410</v>
      </c>
      <c r="B5996" s="3">
        <v>130</v>
      </c>
      <c r="C5996" s="32">
        <v>49334</v>
      </c>
      <c r="D5996" s="32">
        <v>49342</v>
      </c>
      <c r="E59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997" spans="1:6" x14ac:dyDescent="0.35">
      <c r="A5997" s="3">
        <v>11339200243</v>
      </c>
      <c r="B5997" s="3">
        <v>84</v>
      </c>
      <c r="C5997" s="32">
        <v>49334</v>
      </c>
      <c r="D5997" s="32" t="s">
        <v>87</v>
      </c>
      <c r="E59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8" spans="1:6" x14ac:dyDescent="0.35">
      <c r="A5998" s="3">
        <v>92943063953</v>
      </c>
      <c r="B5998" s="3">
        <v>14</v>
      </c>
      <c r="C5998" s="32">
        <v>49334</v>
      </c>
      <c r="D5998" s="32" t="s">
        <v>87</v>
      </c>
      <c r="E59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9" spans="1:6" x14ac:dyDescent="0.35">
      <c r="A5999" s="3">
        <v>17704135294</v>
      </c>
      <c r="B5999" s="3">
        <v>91</v>
      </c>
      <c r="C5999" s="32">
        <v>49334</v>
      </c>
      <c r="D5999" s="32"/>
      <c r="E59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0" spans="1:6" x14ac:dyDescent="0.35">
      <c r="A6000" s="3">
        <v>80600932962</v>
      </c>
      <c r="B6000" s="3">
        <v>114</v>
      </c>
      <c r="C6000" s="32">
        <v>49334</v>
      </c>
      <c r="D6000" s="32" t="s">
        <v>87</v>
      </c>
      <c r="E60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1" spans="1:6" x14ac:dyDescent="0.35">
      <c r="A6001" s="3">
        <v>86392533966</v>
      </c>
      <c r="B6001" s="3">
        <v>127</v>
      </c>
      <c r="C6001" s="32">
        <v>49334</v>
      </c>
      <c r="D6001" s="32">
        <v>49365</v>
      </c>
      <c r="E60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002" spans="1:6" x14ac:dyDescent="0.35">
      <c r="A6002" s="3">
        <v>76124438212</v>
      </c>
      <c r="B6002" s="3">
        <v>177</v>
      </c>
      <c r="C6002" s="32">
        <v>49334</v>
      </c>
      <c r="D6002" s="32" t="s">
        <v>87</v>
      </c>
      <c r="E60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3" spans="1:6" x14ac:dyDescent="0.35">
      <c r="A6003" s="3">
        <v>36603031463</v>
      </c>
      <c r="B6003" s="3">
        <v>16</v>
      </c>
      <c r="C6003" s="32">
        <v>49334</v>
      </c>
      <c r="D6003" s="32"/>
      <c r="E60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4" spans="1:6" x14ac:dyDescent="0.35">
      <c r="A6004" s="3">
        <v>69457448149</v>
      </c>
      <c r="B6004" s="3">
        <v>245</v>
      </c>
      <c r="C6004" s="32">
        <v>49334</v>
      </c>
      <c r="D6004" s="32" t="s">
        <v>87</v>
      </c>
      <c r="E60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5" spans="1:6" x14ac:dyDescent="0.35">
      <c r="A6005" s="3">
        <v>31117028599</v>
      </c>
      <c r="B6005" s="3">
        <v>48</v>
      </c>
      <c r="C6005" s="32">
        <v>49334</v>
      </c>
      <c r="D6005" s="32"/>
      <c r="E60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6" spans="1:6" x14ac:dyDescent="0.35">
      <c r="A6006" s="3">
        <v>26531992797</v>
      </c>
      <c r="B6006" s="3">
        <v>47</v>
      </c>
      <c r="C6006" s="32">
        <v>49334</v>
      </c>
      <c r="D6006" s="32" t="s">
        <v>87</v>
      </c>
      <c r="E60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7" spans="1:6" x14ac:dyDescent="0.35">
      <c r="A6007" s="3">
        <v>16146120154</v>
      </c>
      <c r="B6007" s="3">
        <v>249</v>
      </c>
      <c r="C6007" s="32">
        <v>49334</v>
      </c>
      <c r="D6007" s="32" t="s">
        <v>87</v>
      </c>
      <c r="E60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8" spans="1:6" x14ac:dyDescent="0.35">
      <c r="A6008" s="3">
        <v>84862334118</v>
      </c>
      <c r="B6008" s="3">
        <v>243</v>
      </c>
      <c r="C6008" s="32">
        <v>49334</v>
      </c>
      <c r="D6008" s="32" t="s">
        <v>87</v>
      </c>
      <c r="E60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9" spans="1:6" x14ac:dyDescent="0.35">
      <c r="A6009" s="3">
        <v>95481038690</v>
      </c>
      <c r="B6009" s="3">
        <v>224</v>
      </c>
      <c r="C6009" s="32">
        <v>49334</v>
      </c>
      <c r="D6009" s="32"/>
      <c r="E60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0" spans="1:6" x14ac:dyDescent="0.35">
      <c r="A6010" s="3">
        <v>94535830584</v>
      </c>
      <c r="B6010" s="3">
        <v>286</v>
      </c>
      <c r="C6010" s="32">
        <v>49334</v>
      </c>
      <c r="D6010" s="32" t="s">
        <v>87</v>
      </c>
      <c r="E60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1" spans="1:6" x14ac:dyDescent="0.35">
      <c r="A6011" s="3">
        <v>95340134885</v>
      </c>
      <c r="B6011" s="3">
        <v>104</v>
      </c>
      <c r="C6011" s="32">
        <v>49334</v>
      </c>
      <c r="D6011" s="32" t="s">
        <v>87</v>
      </c>
      <c r="E60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2" spans="1:6" x14ac:dyDescent="0.35">
      <c r="A6012" s="3">
        <v>66527594253</v>
      </c>
      <c r="B6012" s="3">
        <v>12</v>
      </c>
      <c r="C6012" s="32">
        <v>49334</v>
      </c>
      <c r="D6012" s="32" t="s">
        <v>87</v>
      </c>
      <c r="E60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3" spans="1:6" x14ac:dyDescent="0.35">
      <c r="A6013" s="3">
        <v>85033413798</v>
      </c>
      <c r="B6013" s="3">
        <v>199</v>
      </c>
      <c r="C6013" s="32">
        <v>49334</v>
      </c>
      <c r="D6013" s="32" t="s">
        <v>87</v>
      </c>
      <c r="E60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4" spans="1:6" x14ac:dyDescent="0.35">
      <c r="A6014" s="3">
        <v>26998353648</v>
      </c>
      <c r="B6014" s="3">
        <v>327</v>
      </c>
      <c r="C6014" s="32">
        <v>49334</v>
      </c>
      <c r="D6014" s="32">
        <v>49342</v>
      </c>
      <c r="E60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015" spans="1:6" x14ac:dyDescent="0.35">
      <c r="A6015" s="3">
        <v>63315293745</v>
      </c>
      <c r="B6015" s="3">
        <v>121</v>
      </c>
      <c r="C6015" s="32">
        <v>49334</v>
      </c>
      <c r="D6015" s="32" t="s">
        <v>87</v>
      </c>
      <c r="E60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6" spans="1:6" x14ac:dyDescent="0.35">
      <c r="A6016" s="3">
        <v>98593474774</v>
      </c>
      <c r="B6016" s="3">
        <v>236</v>
      </c>
      <c r="C6016" s="32">
        <v>49334</v>
      </c>
      <c r="D6016" s="32" t="s">
        <v>87</v>
      </c>
      <c r="E60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7" spans="1:6" x14ac:dyDescent="0.35">
      <c r="A6017" s="3">
        <v>27872565755</v>
      </c>
      <c r="B6017" s="3">
        <v>165</v>
      </c>
      <c r="C6017" s="32">
        <v>49334</v>
      </c>
      <c r="D6017" s="32" t="s">
        <v>87</v>
      </c>
      <c r="E60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8" spans="1:6" x14ac:dyDescent="0.35">
      <c r="A6018" s="3">
        <v>14536029993</v>
      </c>
      <c r="B6018" s="3">
        <v>237</v>
      </c>
      <c r="C6018" s="32">
        <v>49335</v>
      </c>
      <c r="D6018" s="32" t="s">
        <v>87</v>
      </c>
      <c r="E60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9" spans="1:6" x14ac:dyDescent="0.35">
      <c r="A6019" s="3">
        <v>68553708859</v>
      </c>
      <c r="B6019" s="3">
        <v>201</v>
      </c>
      <c r="C6019" s="32">
        <v>49335</v>
      </c>
      <c r="D6019" s="32" t="s">
        <v>87</v>
      </c>
      <c r="E60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0" spans="1:6" x14ac:dyDescent="0.35">
      <c r="A6020" s="3">
        <v>87366970987</v>
      </c>
      <c r="B6020" s="3">
        <v>17</v>
      </c>
      <c r="C6020" s="32">
        <v>49335</v>
      </c>
      <c r="D6020" s="32" t="s">
        <v>87</v>
      </c>
      <c r="E60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1" spans="1:6" x14ac:dyDescent="0.35">
      <c r="A6021" s="3">
        <v>92962625111</v>
      </c>
      <c r="B6021" s="3">
        <v>226</v>
      </c>
      <c r="C6021" s="32">
        <v>49335</v>
      </c>
      <c r="D6021" s="32"/>
      <c r="E60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2" spans="1:6" x14ac:dyDescent="0.35">
      <c r="A6022" s="3">
        <v>97989126023</v>
      </c>
      <c r="B6022" s="3">
        <v>297</v>
      </c>
      <c r="C6022" s="32">
        <v>49335</v>
      </c>
      <c r="D6022" s="32" t="s">
        <v>87</v>
      </c>
      <c r="E60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3" spans="1:6" x14ac:dyDescent="0.35">
      <c r="A6023" s="3">
        <v>31913265866</v>
      </c>
      <c r="B6023" s="3">
        <v>33</v>
      </c>
      <c r="C6023" s="32">
        <v>49335</v>
      </c>
      <c r="D6023" s="32" t="s">
        <v>87</v>
      </c>
      <c r="E60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4" spans="1:6" x14ac:dyDescent="0.35">
      <c r="A6024" s="3">
        <v>54912296755</v>
      </c>
      <c r="B6024" s="3">
        <v>29</v>
      </c>
      <c r="C6024" s="32">
        <v>49335</v>
      </c>
      <c r="D6024" s="32" t="s">
        <v>87</v>
      </c>
      <c r="E60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5" spans="1:6" x14ac:dyDescent="0.35">
      <c r="A6025" s="3">
        <v>81827490309</v>
      </c>
      <c r="B6025" s="3">
        <v>298</v>
      </c>
      <c r="C6025" s="32">
        <v>49335</v>
      </c>
      <c r="D6025" s="32" t="s">
        <v>87</v>
      </c>
      <c r="E60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6" spans="1:6" x14ac:dyDescent="0.35">
      <c r="A6026" s="3">
        <v>76912419755</v>
      </c>
      <c r="B6026" s="3">
        <v>240</v>
      </c>
      <c r="C6026" s="32">
        <v>49335</v>
      </c>
      <c r="D6026" s="32" t="s">
        <v>87</v>
      </c>
      <c r="E60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7" spans="1:6" x14ac:dyDescent="0.35">
      <c r="A6027" s="3">
        <v>66092650003</v>
      </c>
      <c r="B6027" s="3">
        <v>180</v>
      </c>
      <c r="C6027" s="32">
        <v>49335</v>
      </c>
      <c r="D6027" s="32" t="s">
        <v>87</v>
      </c>
      <c r="E60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8" spans="1:6" x14ac:dyDescent="0.35">
      <c r="A6028" s="3">
        <v>37018776758</v>
      </c>
      <c r="B6028" s="3">
        <v>75</v>
      </c>
      <c r="C6028" s="32">
        <v>49335</v>
      </c>
      <c r="D6028" s="32" t="s">
        <v>87</v>
      </c>
      <c r="E60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9" spans="1:6" x14ac:dyDescent="0.35">
      <c r="A6029" s="3">
        <v>24578304910</v>
      </c>
      <c r="B6029" s="3">
        <v>106</v>
      </c>
      <c r="C6029" s="32">
        <v>49335</v>
      </c>
      <c r="D6029" s="32" t="s">
        <v>87</v>
      </c>
      <c r="E60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0" spans="1:6" x14ac:dyDescent="0.35">
      <c r="A6030" s="3">
        <v>76819387984</v>
      </c>
      <c r="B6030" s="3">
        <v>44</v>
      </c>
      <c r="C6030" s="32">
        <v>49335</v>
      </c>
      <c r="D6030" s="32" t="s">
        <v>87</v>
      </c>
      <c r="E60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1" spans="1:6" x14ac:dyDescent="0.35">
      <c r="A6031" s="3">
        <v>58073174289</v>
      </c>
      <c r="B6031" s="3">
        <v>311</v>
      </c>
      <c r="C6031" s="32">
        <v>49335</v>
      </c>
      <c r="D6031" s="32" t="s">
        <v>87</v>
      </c>
      <c r="E60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2" spans="1:6" x14ac:dyDescent="0.35">
      <c r="A6032" s="3">
        <v>32491024423</v>
      </c>
      <c r="B6032" s="3">
        <v>330</v>
      </c>
      <c r="C6032" s="32">
        <v>49335</v>
      </c>
      <c r="D6032" s="32" t="s">
        <v>87</v>
      </c>
      <c r="E60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3" spans="1:6" x14ac:dyDescent="0.35">
      <c r="A6033" s="3">
        <v>77639821576</v>
      </c>
      <c r="B6033" s="3">
        <v>239</v>
      </c>
      <c r="C6033" s="32">
        <v>49335</v>
      </c>
      <c r="D6033" s="32" t="s">
        <v>87</v>
      </c>
      <c r="E60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4" spans="1:6" x14ac:dyDescent="0.35">
      <c r="A6034" s="3">
        <v>57437445399</v>
      </c>
      <c r="B6034" s="3">
        <v>309</v>
      </c>
      <c r="C6034" s="32">
        <v>49335</v>
      </c>
      <c r="D6034" s="32" t="s">
        <v>87</v>
      </c>
      <c r="E60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5" spans="1:6" x14ac:dyDescent="0.35">
      <c r="A6035" s="3">
        <v>19760820790</v>
      </c>
      <c r="B6035" s="3">
        <v>207</v>
      </c>
      <c r="C6035" s="32">
        <v>49335</v>
      </c>
      <c r="D6035" s="32" t="s">
        <v>87</v>
      </c>
      <c r="E60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6" spans="1:6" x14ac:dyDescent="0.35">
      <c r="A6036" s="3">
        <v>23155564906</v>
      </c>
      <c r="B6036" s="3">
        <v>284</v>
      </c>
      <c r="C6036" s="32">
        <v>49335</v>
      </c>
      <c r="D6036" s="32" t="s">
        <v>87</v>
      </c>
      <c r="E60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7" spans="1:6" x14ac:dyDescent="0.35">
      <c r="A6037" s="3">
        <v>48470928039</v>
      </c>
      <c r="B6037" s="3">
        <v>286</v>
      </c>
      <c r="C6037" s="32">
        <v>49335</v>
      </c>
      <c r="D6037" s="32" t="s">
        <v>87</v>
      </c>
      <c r="E60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8" spans="1:6" x14ac:dyDescent="0.35">
      <c r="A6038" s="3">
        <v>62951378064</v>
      </c>
      <c r="B6038" s="3">
        <v>317</v>
      </c>
      <c r="C6038" s="32">
        <v>49335</v>
      </c>
      <c r="D6038" s="32" t="s">
        <v>87</v>
      </c>
      <c r="E60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9" spans="1:6" x14ac:dyDescent="0.35">
      <c r="A6039" s="3">
        <v>93433682050</v>
      </c>
      <c r="B6039" s="3">
        <v>316</v>
      </c>
      <c r="C6039" s="32">
        <v>49335</v>
      </c>
      <c r="D6039" s="32"/>
      <c r="E60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0" spans="1:6" x14ac:dyDescent="0.35">
      <c r="A6040" s="3">
        <v>33332601805</v>
      </c>
      <c r="B6040" s="3">
        <v>95</v>
      </c>
      <c r="C6040" s="32">
        <v>49335</v>
      </c>
      <c r="D6040" s="32" t="s">
        <v>87</v>
      </c>
      <c r="E60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1" spans="1:6" x14ac:dyDescent="0.35">
      <c r="A6041" s="3">
        <v>30490358224</v>
      </c>
      <c r="B6041" s="3">
        <v>257</v>
      </c>
      <c r="C6041" s="32">
        <v>49335</v>
      </c>
      <c r="D6041" s="32"/>
      <c r="E60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2" spans="1:6" x14ac:dyDescent="0.35">
      <c r="A6042" s="3">
        <v>16396456278</v>
      </c>
      <c r="B6042" s="3">
        <v>205</v>
      </c>
      <c r="C6042" s="32">
        <v>49335</v>
      </c>
      <c r="D6042" s="32" t="s">
        <v>87</v>
      </c>
      <c r="E60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3" spans="1:6" x14ac:dyDescent="0.35">
      <c r="A6043" s="3">
        <v>70620430036</v>
      </c>
      <c r="B6043" s="3">
        <v>166</v>
      </c>
      <c r="C6043" s="32">
        <v>49335</v>
      </c>
      <c r="D6043" s="32" t="s">
        <v>87</v>
      </c>
      <c r="E60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4" spans="1:6" x14ac:dyDescent="0.35">
      <c r="A6044" s="3">
        <v>64840117812</v>
      </c>
      <c r="B6044" s="3">
        <v>106</v>
      </c>
      <c r="C6044" s="32">
        <v>49335</v>
      </c>
      <c r="D6044" s="32" t="s">
        <v>87</v>
      </c>
      <c r="E60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5" spans="1:6" x14ac:dyDescent="0.35">
      <c r="A6045" s="3">
        <v>60615165152</v>
      </c>
      <c r="B6045" s="3">
        <v>109</v>
      </c>
      <c r="C6045" s="32">
        <v>49336</v>
      </c>
      <c r="D6045" s="32" t="s">
        <v>87</v>
      </c>
      <c r="E60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6" spans="1:6" x14ac:dyDescent="0.35">
      <c r="A6046" s="3">
        <v>16416794119</v>
      </c>
      <c r="B6046" s="3">
        <v>78</v>
      </c>
      <c r="C6046" s="32">
        <v>49336</v>
      </c>
      <c r="D6046" s="32"/>
      <c r="E60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7" spans="1:6" x14ac:dyDescent="0.35">
      <c r="A6047" s="3">
        <v>16630440440</v>
      </c>
      <c r="B6047" s="3">
        <v>146</v>
      </c>
      <c r="C6047" s="32">
        <v>49336</v>
      </c>
      <c r="D6047" s="32" t="s">
        <v>87</v>
      </c>
      <c r="E60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8" spans="1:6" x14ac:dyDescent="0.35">
      <c r="A6048" s="3">
        <v>39754421918</v>
      </c>
      <c r="B6048" s="3">
        <v>129</v>
      </c>
      <c r="C6048" s="32">
        <v>49336</v>
      </c>
      <c r="D6048" s="32" t="s">
        <v>87</v>
      </c>
      <c r="E60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9" spans="1:6" x14ac:dyDescent="0.35">
      <c r="A6049" s="3">
        <v>13482538505</v>
      </c>
      <c r="B6049" s="3">
        <v>186</v>
      </c>
      <c r="C6049" s="32">
        <v>49336</v>
      </c>
      <c r="D6049" s="32" t="s">
        <v>87</v>
      </c>
      <c r="E60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0" spans="1:6" x14ac:dyDescent="0.35">
      <c r="A6050" s="3">
        <v>42106654415</v>
      </c>
      <c r="B6050" s="3">
        <v>59</v>
      </c>
      <c r="C6050" s="32">
        <v>49336</v>
      </c>
      <c r="D6050" s="32" t="s">
        <v>87</v>
      </c>
      <c r="E60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1" spans="1:6" x14ac:dyDescent="0.35">
      <c r="A6051" s="3">
        <v>51174909054</v>
      </c>
      <c r="B6051" s="3">
        <v>178</v>
      </c>
      <c r="C6051" s="32">
        <v>49336</v>
      </c>
      <c r="D6051" s="32">
        <v>49348</v>
      </c>
      <c r="E60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052" spans="1:6" x14ac:dyDescent="0.35">
      <c r="A6052" s="3">
        <v>42292023160</v>
      </c>
      <c r="B6052" s="3">
        <v>227</v>
      </c>
      <c r="C6052" s="32">
        <v>49336</v>
      </c>
      <c r="D6052" s="32" t="s">
        <v>87</v>
      </c>
      <c r="E60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3" spans="1:6" x14ac:dyDescent="0.35">
      <c r="A6053" s="3">
        <v>55212567625</v>
      </c>
      <c r="B6053" s="3">
        <v>84</v>
      </c>
      <c r="C6053" s="32">
        <v>49336</v>
      </c>
      <c r="D6053" s="32" t="s">
        <v>87</v>
      </c>
      <c r="E60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4" spans="1:6" x14ac:dyDescent="0.35">
      <c r="A6054" s="3">
        <v>45524223131</v>
      </c>
      <c r="B6054" s="3">
        <v>21</v>
      </c>
      <c r="C6054" s="32">
        <v>49336</v>
      </c>
      <c r="D6054" s="32" t="s">
        <v>87</v>
      </c>
      <c r="E60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5" spans="1:6" x14ac:dyDescent="0.35">
      <c r="A6055" s="3">
        <v>66626160718</v>
      </c>
      <c r="B6055" s="3">
        <v>110</v>
      </c>
      <c r="C6055" s="32">
        <v>49336</v>
      </c>
      <c r="D6055" s="32" t="s">
        <v>87</v>
      </c>
      <c r="E60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6" spans="1:6" x14ac:dyDescent="0.35">
      <c r="A6056" s="3">
        <v>93659116707</v>
      </c>
      <c r="B6056" s="3">
        <v>176</v>
      </c>
      <c r="C6056" s="32">
        <v>49336</v>
      </c>
      <c r="D6056" s="32" t="s">
        <v>87</v>
      </c>
      <c r="E60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7" spans="1:6" x14ac:dyDescent="0.35">
      <c r="A6057" s="3">
        <v>19373005745</v>
      </c>
      <c r="B6057" s="3">
        <v>139</v>
      </c>
      <c r="C6057" s="32">
        <v>49336</v>
      </c>
      <c r="D6057" s="32" t="s">
        <v>87</v>
      </c>
      <c r="E60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8" spans="1:6" x14ac:dyDescent="0.35">
      <c r="A6058" s="3">
        <v>58807641560</v>
      </c>
      <c r="B6058" s="3">
        <v>266</v>
      </c>
      <c r="C6058" s="32">
        <v>49336</v>
      </c>
      <c r="D6058" s="32" t="s">
        <v>87</v>
      </c>
      <c r="E60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9" spans="1:6" x14ac:dyDescent="0.35">
      <c r="A6059" s="3">
        <v>66173795901</v>
      </c>
      <c r="B6059" s="3">
        <v>316</v>
      </c>
      <c r="C6059" s="32">
        <v>49336</v>
      </c>
      <c r="D6059" s="32"/>
      <c r="E60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0" spans="1:6" x14ac:dyDescent="0.35">
      <c r="A6060" s="3">
        <v>51953866215</v>
      </c>
      <c r="B6060" s="3">
        <v>254</v>
      </c>
      <c r="C6060" s="32">
        <v>49336</v>
      </c>
      <c r="D6060" s="32" t="s">
        <v>87</v>
      </c>
      <c r="E60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1" spans="1:6" x14ac:dyDescent="0.35">
      <c r="A6061" s="3">
        <v>89397654946</v>
      </c>
      <c r="B6061" s="3">
        <v>213</v>
      </c>
      <c r="C6061" s="32">
        <v>49336</v>
      </c>
      <c r="D6061" s="32"/>
      <c r="E60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2" spans="1:6" x14ac:dyDescent="0.35">
      <c r="A6062" s="3">
        <v>49392645289</v>
      </c>
      <c r="B6062" s="3">
        <v>109</v>
      </c>
      <c r="C6062" s="32">
        <v>49336</v>
      </c>
      <c r="D6062" s="32" t="s">
        <v>87</v>
      </c>
      <c r="E60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3" spans="1:6" x14ac:dyDescent="0.35">
      <c r="A6063" s="3">
        <v>11258157034</v>
      </c>
      <c r="B6063" s="3">
        <v>104</v>
      </c>
      <c r="C6063" s="32">
        <v>49336</v>
      </c>
      <c r="D6063" s="32" t="s">
        <v>87</v>
      </c>
      <c r="E60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4" spans="1:6" x14ac:dyDescent="0.35">
      <c r="A6064" s="3">
        <v>54713060273</v>
      </c>
      <c r="B6064" s="3">
        <v>115</v>
      </c>
      <c r="C6064" s="32">
        <v>49336</v>
      </c>
      <c r="D6064" s="32" t="s">
        <v>87</v>
      </c>
      <c r="E60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5" spans="1:6" x14ac:dyDescent="0.35">
      <c r="A6065" s="3">
        <v>59725234342</v>
      </c>
      <c r="B6065" s="3">
        <v>111</v>
      </c>
      <c r="C6065" s="32">
        <v>49336</v>
      </c>
      <c r="D6065" s="32" t="s">
        <v>87</v>
      </c>
      <c r="E60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6" spans="1:6" x14ac:dyDescent="0.35">
      <c r="A6066" s="3">
        <v>65070133117</v>
      </c>
      <c r="B6066" s="3">
        <v>191</v>
      </c>
      <c r="C6066" s="32">
        <v>49336</v>
      </c>
      <c r="D6066" s="32" t="s">
        <v>87</v>
      </c>
      <c r="E60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7" spans="1:6" x14ac:dyDescent="0.35">
      <c r="A6067" s="3">
        <v>60552724442</v>
      </c>
      <c r="B6067" s="3">
        <v>156</v>
      </c>
      <c r="C6067" s="32">
        <v>49336</v>
      </c>
      <c r="D6067" s="32" t="s">
        <v>87</v>
      </c>
      <c r="E60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8" spans="1:6" x14ac:dyDescent="0.35">
      <c r="A6068" s="3">
        <v>93255182507</v>
      </c>
      <c r="B6068" s="3">
        <v>202</v>
      </c>
      <c r="C6068" s="32">
        <v>49336</v>
      </c>
      <c r="D6068" s="32" t="s">
        <v>87</v>
      </c>
      <c r="E60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9" spans="1:6" x14ac:dyDescent="0.35">
      <c r="A6069" s="3">
        <v>45385912612</v>
      </c>
      <c r="B6069" s="3">
        <v>283</v>
      </c>
      <c r="C6069" s="32">
        <v>49336</v>
      </c>
      <c r="D6069" s="32" t="s">
        <v>87</v>
      </c>
      <c r="E60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0" spans="1:6" x14ac:dyDescent="0.35">
      <c r="A6070" s="3">
        <v>84387188899</v>
      </c>
      <c r="B6070" s="3">
        <v>232</v>
      </c>
      <c r="C6070" s="32">
        <v>49336</v>
      </c>
      <c r="D6070" s="32" t="s">
        <v>87</v>
      </c>
      <c r="E60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1" spans="1:6" x14ac:dyDescent="0.35">
      <c r="A6071" s="3">
        <v>12637189303</v>
      </c>
      <c r="B6071" s="3">
        <v>76</v>
      </c>
      <c r="C6071" s="32">
        <v>49337</v>
      </c>
      <c r="D6071" s="32" t="s">
        <v>87</v>
      </c>
      <c r="E60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2" spans="1:6" x14ac:dyDescent="0.35">
      <c r="A6072" s="3">
        <v>30346016756</v>
      </c>
      <c r="B6072" s="3">
        <v>218</v>
      </c>
      <c r="C6072" s="32">
        <v>49337</v>
      </c>
      <c r="D6072" s="32" t="s">
        <v>87</v>
      </c>
      <c r="E60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3" spans="1:6" x14ac:dyDescent="0.35">
      <c r="A6073" s="3">
        <v>91118387343</v>
      </c>
      <c r="B6073" s="3">
        <v>215</v>
      </c>
      <c r="C6073" s="32">
        <v>49337</v>
      </c>
      <c r="D6073" s="32" t="s">
        <v>87</v>
      </c>
      <c r="E60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4" spans="1:6" x14ac:dyDescent="0.35">
      <c r="A6074" s="3">
        <v>50740227179</v>
      </c>
      <c r="B6074" s="3">
        <v>143</v>
      </c>
      <c r="C6074" s="32">
        <v>49337</v>
      </c>
      <c r="D6074" s="32"/>
      <c r="E60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5" spans="1:6" x14ac:dyDescent="0.35">
      <c r="A6075" s="3">
        <v>26133362490</v>
      </c>
      <c r="B6075" s="3">
        <v>277</v>
      </c>
      <c r="C6075" s="32">
        <v>49337</v>
      </c>
      <c r="D6075" s="32"/>
      <c r="E60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6" spans="1:6" x14ac:dyDescent="0.35">
      <c r="A6076" s="3">
        <v>80324130495</v>
      </c>
      <c r="B6076" s="3">
        <v>156</v>
      </c>
      <c r="C6076" s="32">
        <v>49337</v>
      </c>
      <c r="D6076" s="32" t="s">
        <v>87</v>
      </c>
      <c r="E60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7" spans="1:6" x14ac:dyDescent="0.35">
      <c r="A6077" s="3">
        <v>61413574579</v>
      </c>
      <c r="B6077" s="3">
        <v>290</v>
      </c>
      <c r="C6077" s="32">
        <v>49337</v>
      </c>
      <c r="D6077" s="32">
        <v>49360</v>
      </c>
      <c r="E60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078" spans="1:6" x14ac:dyDescent="0.35">
      <c r="A6078" s="3">
        <v>66176048461</v>
      </c>
      <c r="B6078" s="3">
        <v>340</v>
      </c>
      <c r="C6078" s="32">
        <v>49337</v>
      </c>
      <c r="D6078" s="32" t="s">
        <v>87</v>
      </c>
      <c r="E60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9" spans="1:6" x14ac:dyDescent="0.35">
      <c r="A6079" s="3">
        <v>82749830229</v>
      </c>
      <c r="B6079" s="3">
        <v>231</v>
      </c>
      <c r="C6079" s="32">
        <v>49337</v>
      </c>
      <c r="D6079" s="32" t="s">
        <v>87</v>
      </c>
      <c r="E60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0" spans="1:6" x14ac:dyDescent="0.35">
      <c r="A6080" s="3">
        <v>79958740626</v>
      </c>
      <c r="B6080" s="3">
        <v>51</v>
      </c>
      <c r="C6080" s="32">
        <v>49337</v>
      </c>
      <c r="D6080" s="32" t="s">
        <v>87</v>
      </c>
      <c r="E60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1" spans="1:6" x14ac:dyDescent="0.35">
      <c r="A6081" s="3">
        <v>95494162547</v>
      </c>
      <c r="B6081" s="3">
        <v>47</v>
      </c>
      <c r="C6081" s="32">
        <v>49337</v>
      </c>
      <c r="D6081" s="32"/>
      <c r="E60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2" spans="1:6" x14ac:dyDescent="0.35">
      <c r="A6082" s="3">
        <v>82047827139</v>
      </c>
      <c r="B6082" s="3">
        <v>147</v>
      </c>
      <c r="C6082" s="32">
        <v>49337</v>
      </c>
      <c r="D6082" s="32"/>
      <c r="E60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3" spans="1:6" x14ac:dyDescent="0.35">
      <c r="A6083" s="3">
        <v>69850091569</v>
      </c>
      <c r="B6083" s="3">
        <v>339</v>
      </c>
      <c r="C6083" s="32">
        <v>49337</v>
      </c>
      <c r="D6083" s="32" t="s">
        <v>87</v>
      </c>
      <c r="E60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4" spans="1:6" x14ac:dyDescent="0.35">
      <c r="A6084" s="3">
        <v>31418345881</v>
      </c>
      <c r="B6084" s="3">
        <v>3</v>
      </c>
      <c r="C6084" s="32">
        <v>49337</v>
      </c>
      <c r="D6084" s="32" t="s">
        <v>87</v>
      </c>
      <c r="E60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5" spans="1:6" x14ac:dyDescent="0.35">
      <c r="A6085" s="3">
        <v>51650490221</v>
      </c>
      <c r="B6085" s="3">
        <v>57</v>
      </c>
      <c r="C6085" s="32">
        <v>49337</v>
      </c>
      <c r="D6085" s="32" t="s">
        <v>87</v>
      </c>
      <c r="E60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6" spans="1:6" x14ac:dyDescent="0.35">
      <c r="A6086" s="3">
        <v>52524089490</v>
      </c>
      <c r="B6086" s="3">
        <v>59</v>
      </c>
      <c r="C6086" s="32">
        <v>49337</v>
      </c>
      <c r="D6086" s="32" t="s">
        <v>87</v>
      </c>
      <c r="E60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7" spans="1:6" x14ac:dyDescent="0.35">
      <c r="A6087" s="3">
        <v>54236705843</v>
      </c>
      <c r="B6087" s="3">
        <v>90</v>
      </c>
      <c r="C6087" s="32">
        <v>49337</v>
      </c>
      <c r="D6087" s="32" t="s">
        <v>87</v>
      </c>
      <c r="E60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8" spans="1:6" x14ac:dyDescent="0.35">
      <c r="A6088" s="3">
        <v>56119254692</v>
      </c>
      <c r="B6088" s="3">
        <v>46</v>
      </c>
      <c r="C6088" s="32">
        <v>49337</v>
      </c>
      <c r="D6088" s="32" t="s">
        <v>87</v>
      </c>
      <c r="E60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9" spans="1:6" x14ac:dyDescent="0.35">
      <c r="A6089" s="3">
        <v>51532988936</v>
      </c>
      <c r="B6089" s="3">
        <v>74</v>
      </c>
      <c r="C6089" s="32">
        <v>49337</v>
      </c>
      <c r="D6089" s="32" t="s">
        <v>87</v>
      </c>
      <c r="E60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0" spans="1:6" x14ac:dyDescent="0.35">
      <c r="A6090" s="3">
        <v>19898135107</v>
      </c>
      <c r="B6090" s="3">
        <v>235</v>
      </c>
      <c r="C6090" s="32">
        <v>49337</v>
      </c>
      <c r="D6090" s="32" t="s">
        <v>87</v>
      </c>
      <c r="E60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1" spans="1:6" x14ac:dyDescent="0.35">
      <c r="A6091" s="3">
        <v>87276780804</v>
      </c>
      <c r="B6091" s="3">
        <v>226</v>
      </c>
      <c r="C6091" s="32">
        <v>49337</v>
      </c>
      <c r="D6091" s="32" t="s">
        <v>87</v>
      </c>
      <c r="E60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2" spans="1:6" x14ac:dyDescent="0.35">
      <c r="A6092" s="3">
        <v>69193174152</v>
      </c>
      <c r="B6092" s="3">
        <v>182</v>
      </c>
      <c r="C6092" s="32">
        <v>49337</v>
      </c>
      <c r="D6092" s="32" t="s">
        <v>87</v>
      </c>
      <c r="E60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3" spans="1:6" x14ac:dyDescent="0.35">
      <c r="A6093" s="3">
        <v>76176931351</v>
      </c>
      <c r="B6093" s="3">
        <v>120</v>
      </c>
      <c r="C6093" s="32">
        <v>49338</v>
      </c>
      <c r="D6093" s="32" t="s">
        <v>87</v>
      </c>
      <c r="E60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4" spans="1:6" x14ac:dyDescent="0.35">
      <c r="A6094" s="3">
        <v>18891839484</v>
      </c>
      <c r="B6094" s="3">
        <v>25</v>
      </c>
      <c r="C6094" s="32">
        <v>49338</v>
      </c>
      <c r="D6094" s="32"/>
      <c r="E60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5" spans="1:6" x14ac:dyDescent="0.35">
      <c r="A6095" s="3">
        <v>47724528943</v>
      </c>
      <c r="B6095" s="3">
        <v>199</v>
      </c>
      <c r="C6095" s="32">
        <v>49338</v>
      </c>
      <c r="D6095" s="32" t="s">
        <v>87</v>
      </c>
      <c r="E60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6" spans="1:6" x14ac:dyDescent="0.35">
      <c r="A6096" s="3">
        <v>97737041557</v>
      </c>
      <c r="B6096" s="3">
        <v>214</v>
      </c>
      <c r="C6096" s="32">
        <v>49338</v>
      </c>
      <c r="D6096" s="32" t="s">
        <v>87</v>
      </c>
      <c r="E60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7" spans="1:6" x14ac:dyDescent="0.35">
      <c r="A6097" s="3">
        <v>45512372244</v>
      </c>
      <c r="B6097" s="3">
        <v>322</v>
      </c>
      <c r="C6097" s="32">
        <v>49338</v>
      </c>
      <c r="D6097" s="32" t="s">
        <v>87</v>
      </c>
      <c r="E60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8" spans="1:6" x14ac:dyDescent="0.35">
      <c r="A6098" s="3">
        <v>87477854423</v>
      </c>
      <c r="B6098" s="3">
        <v>134</v>
      </c>
      <c r="C6098" s="32">
        <v>49338</v>
      </c>
      <c r="D6098" s="32">
        <v>49354</v>
      </c>
      <c r="E60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099" spans="1:6" x14ac:dyDescent="0.35">
      <c r="A6099" s="3">
        <v>83765531837</v>
      </c>
      <c r="B6099" s="3">
        <v>278</v>
      </c>
      <c r="C6099" s="32">
        <v>49338</v>
      </c>
      <c r="D6099" s="32">
        <v>49356</v>
      </c>
      <c r="E60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00" spans="1:6" x14ac:dyDescent="0.35">
      <c r="A6100" s="3">
        <v>66850018462</v>
      </c>
      <c r="B6100" s="3">
        <v>185</v>
      </c>
      <c r="C6100" s="32">
        <v>49338</v>
      </c>
      <c r="D6100" s="32" t="s">
        <v>87</v>
      </c>
      <c r="E6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1" spans="1:6" x14ac:dyDescent="0.35">
      <c r="A6101" s="3">
        <v>17465421659</v>
      </c>
      <c r="B6101" s="3">
        <v>217</v>
      </c>
      <c r="C6101" s="32">
        <v>49338</v>
      </c>
      <c r="D6101" s="32">
        <v>49363</v>
      </c>
      <c r="E6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02" spans="1:6" x14ac:dyDescent="0.35">
      <c r="A6102" s="3">
        <v>34006972816</v>
      </c>
      <c r="B6102" s="3">
        <v>91</v>
      </c>
      <c r="C6102" s="32">
        <v>49338</v>
      </c>
      <c r="D6102" s="32" t="s">
        <v>87</v>
      </c>
      <c r="E6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3" spans="1:6" x14ac:dyDescent="0.35">
      <c r="A6103" s="3">
        <v>25203848674</v>
      </c>
      <c r="B6103" s="3">
        <v>67</v>
      </c>
      <c r="C6103" s="32">
        <v>49338</v>
      </c>
      <c r="D6103" s="32" t="s">
        <v>87</v>
      </c>
      <c r="E6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4" spans="1:6" x14ac:dyDescent="0.35">
      <c r="A6104" s="3">
        <v>22474371823</v>
      </c>
      <c r="B6104" s="3">
        <v>48</v>
      </c>
      <c r="C6104" s="32">
        <v>49338</v>
      </c>
      <c r="D6104" s="32" t="s">
        <v>87</v>
      </c>
      <c r="E6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5" spans="1:6" x14ac:dyDescent="0.35">
      <c r="A6105" s="3">
        <v>80277139381</v>
      </c>
      <c r="B6105" s="3">
        <v>147</v>
      </c>
      <c r="C6105" s="32">
        <v>49338</v>
      </c>
      <c r="D6105" s="32">
        <v>49361</v>
      </c>
      <c r="E6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06" spans="1:6" x14ac:dyDescent="0.35">
      <c r="A6106" s="3">
        <v>58330949185</v>
      </c>
      <c r="B6106" s="3">
        <v>192</v>
      </c>
      <c r="C6106" s="32">
        <v>49338</v>
      </c>
      <c r="D6106" s="32" t="s">
        <v>87</v>
      </c>
      <c r="E6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7" spans="1:6" x14ac:dyDescent="0.35">
      <c r="A6107" s="3">
        <v>93956297896</v>
      </c>
      <c r="B6107" s="3">
        <v>207</v>
      </c>
      <c r="C6107" s="32">
        <v>49338</v>
      </c>
      <c r="D6107" s="32" t="s">
        <v>87</v>
      </c>
      <c r="E6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8" spans="1:6" x14ac:dyDescent="0.35">
      <c r="A6108" s="3">
        <v>46813714338</v>
      </c>
      <c r="B6108" s="3">
        <v>60</v>
      </c>
      <c r="C6108" s="32">
        <v>49338</v>
      </c>
      <c r="D6108" s="32"/>
      <c r="E6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9" spans="1:6" x14ac:dyDescent="0.35">
      <c r="A6109" s="3">
        <v>40451579588</v>
      </c>
      <c r="B6109" s="3">
        <v>310</v>
      </c>
      <c r="C6109" s="32">
        <v>49338</v>
      </c>
      <c r="D6109" s="32" t="s">
        <v>87</v>
      </c>
      <c r="E6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0" spans="1:6" x14ac:dyDescent="0.35">
      <c r="A6110" s="3">
        <v>50729944925</v>
      </c>
      <c r="B6110" s="3">
        <v>57</v>
      </c>
      <c r="C6110" s="32">
        <v>49338</v>
      </c>
      <c r="D6110" s="32" t="s">
        <v>87</v>
      </c>
      <c r="E6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1" spans="1:6" x14ac:dyDescent="0.35">
      <c r="A6111" s="3">
        <v>32014405973</v>
      </c>
      <c r="B6111" s="3">
        <v>106</v>
      </c>
      <c r="C6111" s="32">
        <v>49338</v>
      </c>
      <c r="D6111" s="32" t="s">
        <v>87</v>
      </c>
      <c r="E6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2" spans="1:6" x14ac:dyDescent="0.35">
      <c r="A6112" s="3">
        <v>69255992754</v>
      </c>
      <c r="B6112" s="3">
        <v>8</v>
      </c>
      <c r="C6112" s="32">
        <v>49338</v>
      </c>
      <c r="D6112" s="32"/>
      <c r="E6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3" spans="1:6" x14ac:dyDescent="0.35">
      <c r="A6113" s="3">
        <v>36514347083</v>
      </c>
      <c r="B6113" s="3">
        <v>272</v>
      </c>
      <c r="C6113" s="32">
        <v>49338</v>
      </c>
      <c r="D6113" s="32" t="s">
        <v>87</v>
      </c>
      <c r="E6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4" spans="1:6" x14ac:dyDescent="0.35">
      <c r="A6114" s="3">
        <v>60143043996</v>
      </c>
      <c r="B6114" s="3">
        <v>124</v>
      </c>
      <c r="C6114" s="32">
        <v>49338</v>
      </c>
      <c r="D6114" s="32" t="s">
        <v>87</v>
      </c>
      <c r="E6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5" spans="1:6" x14ac:dyDescent="0.35">
      <c r="A6115" s="3">
        <v>57051659467</v>
      </c>
      <c r="B6115" s="3">
        <v>334</v>
      </c>
      <c r="C6115" s="32">
        <v>49338</v>
      </c>
      <c r="D6115" s="32" t="s">
        <v>87</v>
      </c>
      <c r="E6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6" spans="1:6" x14ac:dyDescent="0.35">
      <c r="A6116" s="3">
        <v>95454829176</v>
      </c>
      <c r="B6116" s="3">
        <v>215</v>
      </c>
      <c r="C6116" s="32">
        <v>49338</v>
      </c>
      <c r="D6116" s="32" t="s">
        <v>87</v>
      </c>
      <c r="E6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7" spans="1:6" x14ac:dyDescent="0.35">
      <c r="A6117" s="3">
        <v>53240309565</v>
      </c>
      <c r="B6117" s="3">
        <v>1</v>
      </c>
      <c r="C6117" s="32">
        <v>49338</v>
      </c>
      <c r="D6117" s="32" t="s">
        <v>87</v>
      </c>
      <c r="E6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8" spans="1:6" x14ac:dyDescent="0.35">
      <c r="A6118" s="3">
        <v>40386055528</v>
      </c>
      <c r="B6118" s="3">
        <v>248</v>
      </c>
      <c r="C6118" s="32">
        <v>49338</v>
      </c>
      <c r="D6118" s="32"/>
      <c r="E6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9" spans="1:6" x14ac:dyDescent="0.35">
      <c r="A6119" s="3">
        <v>27088222050</v>
      </c>
      <c r="B6119" s="3">
        <v>316</v>
      </c>
      <c r="C6119" s="32">
        <v>49338</v>
      </c>
      <c r="D6119" s="32"/>
      <c r="E6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0" spans="1:6" x14ac:dyDescent="0.35">
      <c r="A6120" s="3">
        <v>30229834226</v>
      </c>
      <c r="B6120" s="3">
        <v>90</v>
      </c>
      <c r="C6120" s="32">
        <v>49339</v>
      </c>
      <c r="D6120" s="32" t="s">
        <v>87</v>
      </c>
      <c r="E6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1" spans="1:6" x14ac:dyDescent="0.35">
      <c r="A6121" s="3">
        <v>68398605170</v>
      </c>
      <c r="B6121" s="3">
        <v>9</v>
      </c>
      <c r="C6121" s="32">
        <v>49339</v>
      </c>
      <c r="D6121" s="32" t="s">
        <v>87</v>
      </c>
      <c r="E6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2" spans="1:6" x14ac:dyDescent="0.35">
      <c r="A6122" s="3">
        <v>51845754022</v>
      </c>
      <c r="B6122" s="3">
        <v>201</v>
      </c>
      <c r="C6122" s="32">
        <v>49339</v>
      </c>
      <c r="D6122" s="32">
        <v>49345</v>
      </c>
      <c r="E6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23" spans="1:6" x14ac:dyDescent="0.35">
      <c r="A6123" s="3">
        <v>90587615735</v>
      </c>
      <c r="B6123" s="3">
        <v>148</v>
      </c>
      <c r="C6123" s="32">
        <v>49339</v>
      </c>
      <c r="D6123" s="32" t="s">
        <v>87</v>
      </c>
      <c r="E6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4" spans="1:6" x14ac:dyDescent="0.35">
      <c r="A6124" s="3">
        <v>22548081097</v>
      </c>
      <c r="B6124" s="3">
        <v>307</v>
      </c>
      <c r="C6124" s="32">
        <v>49339</v>
      </c>
      <c r="D6124" s="32">
        <v>49364</v>
      </c>
      <c r="E6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25" spans="1:6" x14ac:dyDescent="0.35">
      <c r="A6125" s="3">
        <v>38936120982</v>
      </c>
      <c r="B6125" s="3">
        <v>121</v>
      </c>
      <c r="C6125" s="32">
        <v>49339</v>
      </c>
      <c r="D6125" s="32" t="s">
        <v>87</v>
      </c>
      <c r="E6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6" spans="1:6" x14ac:dyDescent="0.35">
      <c r="A6126" s="3">
        <v>32096508707</v>
      </c>
      <c r="B6126" s="3">
        <v>289</v>
      </c>
      <c r="C6126" s="32">
        <v>49339</v>
      </c>
      <c r="D6126" s="32" t="s">
        <v>87</v>
      </c>
      <c r="E6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7" spans="1:6" x14ac:dyDescent="0.35">
      <c r="A6127" s="3">
        <v>75003954674</v>
      </c>
      <c r="B6127" s="3">
        <v>111</v>
      </c>
      <c r="C6127" s="32">
        <v>49339</v>
      </c>
      <c r="D6127" s="32" t="s">
        <v>87</v>
      </c>
      <c r="E6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8" spans="1:6" x14ac:dyDescent="0.35">
      <c r="A6128" s="3">
        <v>66938030220</v>
      </c>
      <c r="B6128" s="3">
        <v>238</v>
      </c>
      <c r="C6128" s="32">
        <v>49339</v>
      </c>
      <c r="D6128" s="32" t="s">
        <v>87</v>
      </c>
      <c r="E6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9" spans="1:6" x14ac:dyDescent="0.35">
      <c r="A6129" s="3">
        <v>32375721132</v>
      </c>
      <c r="B6129" s="3">
        <v>250</v>
      </c>
      <c r="C6129" s="32">
        <v>49339</v>
      </c>
      <c r="D6129" s="32" t="s">
        <v>87</v>
      </c>
      <c r="E6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0" spans="1:6" x14ac:dyDescent="0.35">
      <c r="A6130" s="3">
        <v>35391061307</v>
      </c>
      <c r="B6130" s="3">
        <v>232</v>
      </c>
      <c r="C6130" s="32">
        <v>49339</v>
      </c>
      <c r="D6130" s="32" t="s">
        <v>87</v>
      </c>
      <c r="E6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1" spans="1:6" x14ac:dyDescent="0.35">
      <c r="A6131" s="3">
        <v>27815647582</v>
      </c>
      <c r="B6131" s="3">
        <v>101</v>
      </c>
      <c r="C6131" s="32">
        <v>49339</v>
      </c>
      <c r="D6131" s="32" t="s">
        <v>87</v>
      </c>
      <c r="E6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2" spans="1:6" x14ac:dyDescent="0.35">
      <c r="A6132" s="3">
        <v>40322729885</v>
      </c>
      <c r="B6132" s="3">
        <v>132</v>
      </c>
      <c r="C6132" s="32">
        <v>49339</v>
      </c>
      <c r="D6132" s="32">
        <v>49356</v>
      </c>
      <c r="E6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33" spans="1:6" x14ac:dyDescent="0.35">
      <c r="A6133" s="3">
        <v>64594879599</v>
      </c>
      <c r="B6133" s="3">
        <v>48</v>
      </c>
      <c r="C6133" s="32">
        <v>49339</v>
      </c>
      <c r="D6133" s="32"/>
      <c r="E6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4" spans="1:6" x14ac:dyDescent="0.35">
      <c r="A6134" s="3">
        <v>98833522360</v>
      </c>
      <c r="B6134" s="3">
        <v>132</v>
      </c>
      <c r="C6134" s="32">
        <v>49339</v>
      </c>
      <c r="D6134" s="32" t="s">
        <v>87</v>
      </c>
      <c r="E6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5" spans="1:6" x14ac:dyDescent="0.35">
      <c r="A6135" s="3">
        <v>89168296853</v>
      </c>
      <c r="B6135" s="3">
        <v>292</v>
      </c>
      <c r="C6135" s="32">
        <v>49339</v>
      </c>
      <c r="D6135" s="32" t="s">
        <v>87</v>
      </c>
      <c r="E6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6" spans="1:6" x14ac:dyDescent="0.35">
      <c r="A6136" s="3">
        <v>52183974020</v>
      </c>
      <c r="B6136" s="3">
        <v>200</v>
      </c>
      <c r="C6136" s="32">
        <v>49339</v>
      </c>
      <c r="D6136" s="32" t="s">
        <v>87</v>
      </c>
      <c r="E6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7" spans="1:6" x14ac:dyDescent="0.35">
      <c r="A6137" s="3">
        <v>16073943944</v>
      </c>
      <c r="B6137" s="3">
        <v>37</v>
      </c>
      <c r="C6137" s="32">
        <v>49339</v>
      </c>
      <c r="D6137" s="32" t="s">
        <v>87</v>
      </c>
      <c r="E6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8" spans="1:6" x14ac:dyDescent="0.35">
      <c r="A6138" s="3">
        <v>34085258293</v>
      </c>
      <c r="B6138" s="3">
        <v>31</v>
      </c>
      <c r="C6138" s="32">
        <v>49339</v>
      </c>
      <c r="D6138" s="32" t="s">
        <v>87</v>
      </c>
      <c r="E6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9" spans="1:6" x14ac:dyDescent="0.35">
      <c r="A6139" s="3">
        <v>45709320556</v>
      </c>
      <c r="B6139" s="3">
        <v>155</v>
      </c>
      <c r="C6139" s="32">
        <v>49339</v>
      </c>
      <c r="D6139" s="32" t="s">
        <v>87</v>
      </c>
      <c r="E6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0" spans="1:6" x14ac:dyDescent="0.35">
      <c r="A6140" s="3">
        <v>50350186880</v>
      </c>
      <c r="B6140" s="3">
        <v>286</v>
      </c>
      <c r="C6140" s="32">
        <v>49339</v>
      </c>
      <c r="D6140" s="32">
        <v>49354</v>
      </c>
      <c r="E6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41" spans="1:6" x14ac:dyDescent="0.35">
      <c r="A6141" s="3">
        <v>78407697041</v>
      </c>
      <c r="B6141" s="3">
        <v>167</v>
      </c>
      <c r="C6141" s="32">
        <v>49339</v>
      </c>
      <c r="D6141" s="32" t="s">
        <v>87</v>
      </c>
      <c r="E6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2" spans="1:6" x14ac:dyDescent="0.35">
      <c r="A6142" s="3">
        <v>21312861808</v>
      </c>
      <c r="B6142" s="3">
        <v>98</v>
      </c>
      <c r="C6142" s="32">
        <v>49339</v>
      </c>
      <c r="D6142" s="32" t="s">
        <v>87</v>
      </c>
      <c r="E6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3" spans="1:6" x14ac:dyDescent="0.35">
      <c r="A6143" s="3">
        <v>50319538088</v>
      </c>
      <c r="B6143" s="3">
        <v>151</v>
      </c>
      <c r="C6143" s="32">
        <v>49339</v>
      </c>
      <c r="D6143" s="32"/>
      <c r="E6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4" spans="1:6" x14ac:dyDescent="0.35">
      <c r="A6144" s="3">
        <v>83690615399</v>
      </c>
      <c r="B6144" s="3">
        <v>74</v>
      </c>
      <c r="C6144" s="32">
        <v>49339</v>
      </c>
      <c r="D6144" s="32" t="s">
        <v>87</v>
      </c>
      <c r="E6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5" spans="1:6" x14ac:dyDescent="0.35">
      <c r="A6145" s="3">
        <v>88494368240</v>
      </c>
      <c r="B6145" s="3">
        <v>319</v>
      </c>
      <c r="C6145" s="32">
        <v>49339</v>
      </c>
      <c r="D6145" s="32" t="s">
        <v>87</v>
      </c>
      <c r="E6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6" spans="1:6" x14ac:dyDescent="0.35">
      <c r="A6146" s="3">
        <v>62003613315</v>
      </c>
      <c r="B6146" s="3">
        <v>266</v>
      </c>
      <c r="C6146" s="32">
        <v>49340</v>
      </c>
      <c r="D6146" s="32" t="s">
        <v>87</v>
      </c>
      <c r="E6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7" spans="1:6" x14ac:dyDescent="0.35">
      <c r="A6147" s="3">
        <v>24972913061</v>
      </c>
      <c r="B6147" s="3">
        <v>231</v>
      </c>
      <c r="C6147" s="32">
        <v>49340</v>
      </c>
      <c r="D6147" s="32" t="s">
        <v>87</v>
      </c>
      <c r="E6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8" spans="1:6" x14ac:dyDescent="0.35">
      <c r="A6148" s="3">
        <v>16498747593</v>
      </c>
      <c r="B6148" s="3">
        <v>24</v>
      </c>
      <c r="C6148" s="32">
        <v>49340</v>
      </c>
      <c r="D6148" s="32"/>
      <c r="E6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9" spans="1:6" x14ac:dyDescent="0.35">
      <c r="A6149" s="3">
        <v>14386625958</v>
      </c>
      <c r="B6149" s="3">
        <v>15</v>
      </c>
      <c r="C6149" s="32">
        <v>49340</v>
      </c>
      <c r="D6149" s="32">
        <v>49353</v>
      </c>
      <c r="E6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50" spans="1:6" x14ac:dyDescent="0.35">
      <c r="A6150" s="3">
        <v>99433789617</v>
      </c>
      <c r="B6150" s="3">
        <v>126</v>
      </c>
      <c r="C6150" s="32">
        <v>49340</v>
      </c>
      <c r="D6150" s="32" t="s">
        <v>87</v>
      </c>
      <c r="E6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1" spans="1:6" x14ac:dyDescent="0.35">
      <c r="A6151" s="3">
        <v>72621862023</v>
      </c>
      <c r="B6151" s="3">
        <v>231</v>
      </c>
      <c r="C6151" s="32">
        <v>49340</v>
      </c>
      <c r="D6151" s="32" t="s">
        <v>87</v>
      </c>
      <c r="E6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2" spans="1:6" x14ac:dyDescent="0.35">
      <c r="A6152" s="3">
        <v>17788850756</v>
      </c>
      <c r="B6152" s="3">
        <v>154</v>
      </c>
      <c r="C6152" s="32">
        <v>49340</v>
      </c>
      <c r="D6152" s="32"/>
      <c r="E6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3" spans="1:6" x14ac:dyDescent="0.35">
      <c r="A6153" s="3">
        <v>92283404171</v>
      </c>
      <c r="B6153" s="3">
        <v>96</v>
      </c>
      <c r="C6153" s="32">
        <v>49340</v>
      </c>
      <c r="D6153" s="32">
        <v>49344</v>
      </c>
      <c r="E6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54" spans="1:6" x14ac:dyDescent="0.35">
      <c r="A6154" s="3">
        <v>93074953957</v>
      </c>
      <c r="B6154" s="3">
        <v>138</v>
      </c>
      <c r="C6154" s="32">
        <v>49340</v>
      </c>
      <c r="D6154" s="32" t="s">
        <v>87</v>
      </c>
      <c r="E6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5" spans="1:6" x14ac:dyDescent="0.35">
      <c r="A6155" s="3">
        <v>44674602764</v>
      </c>
      <c r="B6155" s="3">
        <v>63</v>
      </c>
      <c r="C6155" s="32">
        <v>49340</v>
      </c>
      <c r="D6155" s="32">
        <v>49366</v>
      </c>
      <c r="E6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56" spans="1:6" x14ac:dyDescent="0.35">
      <c r="A6156" s="3">
        <v>97953543559</v>
      </c>
      <c r="B6156" s="3">
        <v>128</v>
      </c>
      <c r="C6156" s="32">
        <v>49340</v>
      </c>
      <c r="D6156" s="32" t="s">
        <v>87</v>
      </c>
      <c r="E6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7" spans="1:6" x14ac:dyDescent="0.35">
      <c r="A6157" s="3">
        <v>61190594110</v>
      </c>
      <c r="B6157" s="3">
        <v>228</v>
      </c>
      <c r="C6157" s="32">
        <v>49340</v>
      </c>
      <c r="D6157" s="32" t="s">
        <v>87</v>
      </c>
      <c r="E6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8" spans="1:6" x14ac:dyDescent="0.35">
      <c r="A6158" s="3">
        <v>12876986724</v>
      </c>
      <c r="B6158" s="3">
        <v>268</v>
      </c>
      <c r="C6158" s="32">
        <v>49340</v>
      </c>
      <c r="D6158" s="32" t="s">
        <v>87</v>
      </c>
      <c r="E6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9" spans="1:6" x14ac:dyDescent="0.35">
      <c r="A6159" s="3">
        <v>60773629463</v>
      </c>
      <c r="B6159" s="3">
        <v>184</v>
      </c>
      <c r="C6159" s="32">
        <v>49340</v>
      </c>
      <c r="D6159" s="32" t="s">
        <v>87</v>
      </c>
      <c r="E6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0" spans="1:6" x14ac:dyDescent="0.35">
      <c r="A6160" s="3">
        <v>87335387339</v>
      </c>
      <c r="B6160" s="3">
        <v>174</v>
      </c>
      <c r="C6160" s="32">
        <v>49340</v>
      </c>
      <c r="D6160" s="32" t="s">
        <v>87</v>
      </c>
      <c r="E6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1" spans="1:6" x14ac:dyDescent="0.35">
      <c r="A6161" s="3">
        <v>13206708906</v>
      </c>
      <c r="B6161" s="3">
        <v>252</v>
      </c>
      <c r="C6161" s="32">
        <v>49340</v>
      </c>
      <c r="D6161" s="32" t="s">
        <v>87</v>
      </c>
      <c r="E6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2" spans="1:6" x14ac:dyDescent="0.35">
      <c r="A6162" s="3">
        <v>17684932280</v>
      </c>
      <c r="B6162" s="3">
        <v>68</v>
      </c>
      <c r="C6162" s="32">
        <v>49340</v>
      </c>
      <c r="D6162" s="32" t="s">
        <v>87</v>
      </c>
      <c r="E6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3" spans="1:6" x14ac:dyDescent="0.35">
      <c r="A6163" s="3">
        <v>63971971685</v>
      </c>
      <c r="B6163" s="3">
        <v>312</v>
      </c>
      <c r="C6163" s="32">
        <v>49340</v>
      </c>
      <c r="D6163" s="32" t="s">
        <v>87</v>
      </c>
      <c r="E6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4" spans="1:6" x14ac:dyDescent="0.35">
      <c r="A6164" s="3">
        <v>61693197066</v>
      </c>
      <c r="B6164" s="3">
        <v>211</v>
      </c>
      <c r="C6164" s="32">
        <v>49340</v>
      </c>
      <c r="D6164" s="32"/>
      <c r="E6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5" spans="1:6" x14ac:dyDescent="0.35">
      <c r="A6165" s="3">
        <v>92428257047</v>
      </c>
      <c r="B6165" s="3">
        <v>78</v>
      </c>
      <c r="C6165" s="32">
        <v>49340</v>
      </c>
      <c r="D6165" s="32" t="s">
        <v>87</v>
      </c>
      <c r="E6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6" spans="1:6" x14ac:dyDescent="0.35">
      <c r="A6166" s="3">
        <v>20811056972</v>
      </c>
      <c r="B6166" s="3">
        <v>173</v>
      </c>
      <c r="C6166" s="32">
        <v>49340</v>
      </c>
      <c r="D6166" s="32"/>
      <c r="E6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7" spans="1:6" x14ac:dyDescent="0.35">
      <c r="A6167" s="3">
        <v>26020298425</v>
      </c>
      <c r="B6167" s="3">
        <v>300</v>
      </c>
      <c r="C6167" s="32">
        <v>49340</v>
      </c>
      <c r="D6167" s="32" t="s">
        <v>87</v>
      </c>
      <c r="E6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8" spans="1:6" x14ac:dyDescent="0.35">
      <c r="A6168" s="3">
        <v>46826559783</v>
      </c>
      <c r="B6168" s="3">
        <v>222</v>
      </c>
      <c r="C6168" s="32">
        <v>49341</v>
      </c>
      <c r="D6168" s="32"/>
      <c r="E6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9" spans="1:6" x14ac:dyDescent="0.35">
      <c r="A6169" s="3">
        <v>67027268047</v>
      </c>
      <c r="B6169" s="3">
        <v>120</v>
      </c>
      <c r="C6169" s="32">
        <v>49341</v>
      </c>
      <c r="D6169" s="32"/>
      <c r="E6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0" spans="1:6" x14ac:dyDescent="0.35">
      <c r="A6170" s="3">
        <v>91531837122</v>
      </c>
      <c r="B6170" s="3">
        <v>196</v>
      </c>
      <c r="C6170" s="32">
        <v>49341</v>
      </c>
      <c r="D6170" s="32" t="s">
        <v>87</v>
      </c>
      <c r="E6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1" spans="1:6" x14ac:dyDescent="0.35">
      <c r="A6171" s="3">
        <v>58220797895</v>
      </c>
      <c r="B6171" s="3">
        <v>307</v>
      </c>
      <c r="C6171" s="32">
        <v>49341</v>
      </c>
      <c r="D6171" s="32" t="s">
        <v>87</v>
      </c>
      <c r="E6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2" spans="1:6" x14ac:dyDescent="0.35">
      <c r="A6172" s="3">
        <v>81288150258</v>
      </c>
      <c r="B6172" s="3">
        <v>21</v>
      </c>
      <c r="C6172" s="32">
        <v>49341</v>
      </c>
      <c r="D6172" s="32"/>
      <c r="E6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3" spans="1:6" x14ac:dyDescent="0.35">
      <c r="A6173" s="3">
        <v>35477567984</v>
      </c>
      <c r="B6173" s="3">
        <v>166</v>
      </c>
      <c r="C6173" s="32">
        <v>49341</v>
      </c>
      <c r="D6173" s="32" t="s">
        <v>87</v>
      </c>
      <c r="E6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4" spans="1:6" x14ac:dyDescent="0.35">
      <c r="A6174" s="3">
        <v>53704124999</v>
      </c>
      <c r="B6174" s="3">
        <v>287</v>
      </c>
      <c r="C6174" s="32">
        <v>49341</v>
      </c>
      <c r="D6174" s="32" t="s">
        <v>87</v>
      </c>
      <c r="E6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5" spans="1:6" x14ac:dyDescent="0.35">
      <c r="A6175" s="3">
        <v>37151411428</v>
      </c>
      <c r="B6175" s="3">
        <v>30</v>
      </c>
      <c r="C6175" s="32">
        <v>49341</v>
      </c>
      <c r="D6175" s="32">
        <v>49365</v>
      </c>
      <c r="E6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76" spans="1:6" x14ac:dyDescent="0.35">
      <c r="A6176" s="3">
        <v>45831267915</v>
      </c>
      <c r="B6176" s="3">
        <v>171</v>
      </c>
      <c r="C6176" s="32">
        <v>49341</v>
      </c>
      <c r="D6176" s="32"/>
      <c r="E6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7" spans="1:6" x14ac:dyDescent="0.35">
      <c r="A6177" s="3">
        <v>67348652085</v>
      </c>
      <c r="B6177" s="3">
        <v>140</v>
      </c>
      <c r="C6177" s="32">
        <v>49341</v>
      </c>
      <c r="D6177" s="32" t="s">
        <v>87</v>
      </c>
      <c r="E6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8" spans="1:6" x14ac:dyDescent="0.35">
      <c r="A6178" s="3">
        <v>65887254150</v>
      </c>
      <c r="B6178" s="3">
        <v>144</v>
      </c>
      <c r="C6178" s="32">
        <v>49341</v>
      </c>
      <c r="D6178" s="32" t="s">
        <v>87</v>
      </c>
      <c r="E6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9" spans="1:6" x14ac:dyDescent="0.35">
      <c r="A6179" s="3">
        <v>37530687254</v>
      </c>
      <c r="B6179" s="3">
        <v>246</v>
      </c>
      <c r="C6179" s="32">
        <v>49341</v>
      </c>
      <c r="D6179" s="32">
        <v>49358</v>
      </c>
      <c r="E6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80" spans="1:6" x14ac:dyDescent="0.35">
      <c r="A6180" s="3">
        <v>79391054292</v>
      </c>
      <c r="B6180" s="3">
        <v>155</v>
      </c>
      <c r="C6180" s="32">
        <v>49341</v>
      </c>
      <c r="D6180" s="32" t="s">
        <v>87</v>
      </c>
      <c r="E6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1" spans="1:6" x14ac:dyDescent="0.35">
      <c r="A6181" s="3">
        <v>64185844294</v>
      </c>
      <c r="B6181" s="3">
        <v>231</v>
      </c>
      <c r="C6181" s="32">
        <v>49341</v>
      </c>
      <c r="D6181" s="32" t="s">
        <v>87</v>
      </c>
      <c r="E6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2" spans="1:6" x14ac:dyDescent="0.35">
      <c r="A6182" s="3">
        <v>82318449911</v>
      </c>
      <c r="B6182" s="3">
        <v>286</v>
      </c>
      <c r="C6182" s="32">
        <v>49341</v>
      </c>
      <c r="D6182" s="32" t="s">
        <v>87</v>
      </c>
      <c r="E6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3" spans="1:6" x14ac:dyDescent="0.35">
      <c r="A6183" s="3">
        <v>86545411132</v>
      </c>
      <c r="B6183" s="3">
        <v>275</v>
      </c>
      <c r="C6183" s="32">
        <v>49341</v>
      </c>
      <c r="D6183" s="32" t="s">
        <v>87</v>
      </c>
      <c r="E6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4" spans="1:6" x14ac:dyDescent="0.35">
      <c r="A6184" s="3">
        <v>67380321749</v>
      </c>
      <c r="B6184" s="3">
        <v>141</v>
      </c>
      <c r="C6184" s="32">
        <v>49341</v>
      </c>
      <c r="D6184" s="32"/>
      <c r="E6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5" spans="1:6" x14ac:dyDescent="0.35">
      <c r="A6185" s="3">
        <v>23450439927</v>
      </c>
      <c r="B6185" s="3">
        <v>205</v>
      </c>
      <c r="C6185" s="32">
        <v>49341</v>
      </c>
      <c r="D6185" s="32" t="s">
        <v>87</v>
      </c>
      <c r="E6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6" spans="1:6" x14ac:dyDescent="0.35">
      <c r="A6186" s="3">
        <v>97983610866</v>
      </c>
      <c r="B6186" s="3">
        <v>155</v>
      </c>
      <c r="C6186" s="32">
        <v>49341</v>
      </c>
      <c r="D6186" s="32">
        <v>49355</v>
      </c>
      <c r="E6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87" spans="1:6" x14ac:dyDescent="0.35">
      <c r="A6187" s="3">
        <v>75498811916</v>
      </c>
      <c r="B6187" s="3">
        <v>199</v>
      </c>
      <c r="C6187" s="32">
        <v>49341</v>
      </c>
      <c r="D6187" s="32" t="s">
        <v>87</v>
      </c>
      <c r="E6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8" spans="1:6" x14ac:dyDescent="0.35">
      <c r="A6188" s="3">
        <v>22103457500</v>
      </c>
      <c r="B6188" s="3">
        <v>89</v>
      </c>
      <c r="C6188" s="32">
        <v>49341</v>
      </c>
      <c r="D6188" s="32" t="s">
        <v>87</v>
      </c>
      <c r="E6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9" spans="1:6" x14ac:dyDescent="0.35">
      <c r="A6189" s="3">
        <v>61355664622</v>
      </c>
      <c r="B6189" s="3">
        <v>165</v>
      </c>
      <c r="C6189" s="32">
        <v>49341</v>
      </c>
      <c r="D6189" s="32" t="s">
        <v>87</v>
      </c>
      <c r="E6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0" spans="1:6" x14ac:dyDescent="0.35">
      <c r="A6190" s="3">
        <v>11509691958</v>
      </c>
      <c r="B6190" s="3">
        <v>7</v>
      </c>
      <c r="C6190" s="32">
        <v>49341</v>
      </c>
      <c r="D6190" s="32">
        <v>49344</v>
      </c>
      <c r="E6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91" spans="1:6" x14ac:dyDescent="0.35">
      <c r="A6191" s="3">
        <v>41613137500</v>
      </c>
      <c r="B6191" s="3">
        <v>111</v>
      </c>
      <c r="C6191" s="32">
        <v>49341</v>
      </c>
      <c r="D6191" s="32" t="s">
        <v>87</v>
      </c>
      <c r="E6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2" spans="1:6" x14ac:dyDescent="0.35">
      <c r="A6192" s="3">
        <v>84025499550</v>
      </c>
      <c r="B6192" s="3">
        <v>250</v>
      </c>
      <c r="C6192" s="32">
        <v>49341</v>
      </c>
      <c r="D6192" s="32" t="s">
        <v>87</v>
      </c>
      <c r="E6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3" spans="1:6" x14ac:dyDescent="0.35">
      <c r="A6193" s="3">
        <v>27419898799</v>
      </c>
      <c r="B6193" s="3">
        <v>239</v>
      </c>
      <c r="C6193" s="32">
        <v>49341</v>
      </c>
      <c r="D6193" s="32" t="s">
        <v>87</v>
      </c>
      <c r="E6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4" spans="1:6" x14ac:dyDescent="0.35">
      <c r="A6194" s="3">
        <v>76243576063</v>
      </c>
      <c r="B6194" s="3">
        <v>294</v>
      </c>
      <c r="C6194" s="32">
        <v>49341</v>
      </c>
      <c r="D6194" s="32" t="s">
        <v>87</v>
      </c>
      <c r="E6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5" spans="1:6" x14ac:dyDescent="0.35">
      <c r="A6195" s="3">
        <v>57754509206</v>
      </c>
      <c r="B6195" s="3">
        <v>63</v>
      </c>
      <c r="C6195" s="32">
        <v>49341</v>
      </c>
      <c r="D6195" s="32" t="s">
        <v>87</v>
      </c>
      <c r="E6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6" spans="1:6" x14ac:dyDescent="0.35">
      <c r="A6196" s="3">
        <v>28014932384</v>
      </c>
      <c r="B6196" s="3">
        <v>139</v>
      </c>
      <c r="C6196" s="32">
        <v>49341</v>
      </c>
      <c r="D6196" s="32" t="s">
        <v>87</v>
      </c>
      <c r="E6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7" spans="1:6" x14ac:dyDescent="0.35">
      <c r="A6197" s="3">
        <v>42931957786</v>
      </c>
      <c r="B6197" s="3">
        <v>79</v>
      </c>
      <c r="C6197" s="32">
        <v>49341</v>
      </c>
      <c r="D6197" s="32" t="s">
        <v>87</v>
      </c>
      <c r="E6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8" spans="1:6" x14ac:dyDescent="0.35">
      <c r="A6198" s="3">
        <v>85855446991</v>
      </c>
      <c r="B6198" s="3">
        <v>236</v>
      </c>
      <c r="C6198" s="32">
        <v>49341</v>
      </c>
      <c r="D6198" s="32">
        <v>49344</v>
      </c>
      <c r="E6198" s="3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8" s="34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99" spans="1:6" x14ac:dyDescent="0.35">
      <c r="A6199" s="3">
        <v>23626656811</v>
      </c>
      <c r="B6199" s="3">
        <v>80</v>
      </c>
      <c r="C6199" s="32">
        <v>49342</v>
      </c>
      <c r="D6199" s="32" t="s">
        <v>87</v>
      </c>
      <c r="E61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0" spans="1:6" x14ac:dyDescent="0.35">
      <c r="A6200" s="3">
        <v>64190786756</v>
      </c>
      <c r="B6200" s="3">
        <v>170</v>
      </c>
      <c r="C6200" s="32">
        <v>49342</v>
      </c>
      <c r="D6200" s="32" t="s">
        <v>87</v>
      </c>
      <c r="E62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1" spans="1:6" x14ac:dyDescent="0.35">
      <c r="A6201" s="3">
        <v>45844765996</v>
      </c>
      <c r="B6201" s="3">
        <v>30</v>
      </c>
      <c r="C6201" s="32">
        <v>49342</v>
      </c>
      <c r="D6201" s="32" t="s">
        <v>87</v>
      </c>
      <c r="E62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2" spans="1:6" x14ac:dyDescent="0.35">
      <c r="A6202" s="3">
        <v>23689621650</v>
      </c>
      <c r="B6202" s="3">
        <v>200</v>
      </c>
      <c r="C6202" s="32">
        <v>49342</v>
      </c>
      <c r="D6202" s="32"/>
      <c r="E62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3" spans="1:6" x14ac:dyDescent="0.35">
      <c r="A6203" s="3">
        <v>20032408476</v>
      </c>
      <c r="B6203" s="3">
        <v>16</v>
      </c>
      <c r="C6203" s="32">
        <v>49342</v>
      </c>
      <c r="D6203" s="32" t="s">
        <v>87</v>
      </c>
      <c r="E62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4" spans="1:6" x14ac:dyDescent="0.35">
      <c r="A6204" s="3">
        <v>98039472289</v>
      </c>
      <c r="B6204" s="3">
        <v>55</v>
      </c>
      <c r="C6204" s="32">
        <v>49342</v>
      </c>
      <c r="D6204" s="32"/>
      <c r="E62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5" spans="1:6" x14ac:dyDescent="0.35">
      <c r="A6205" s="3">
        <v>33890171262</v>
      </c>
      <c r="B6205" s="3">
        <v>290</v>
      </c>
      <c r="C6205" s="32">
        <v>49342</v>
      </c>
      <c r="D6205" s="32"/>
      <c r="E62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6" spans="1:6" x14ac:dyDescent="0.35">
      <c r="A6206" s="3">
        <v>25554017546</v>
      </c>
      <c r="B6206" s="3">
        <v>201</v>
      </c>
      <c r="C6206" s="32">
        <v>49342</v>
      </c>
      <c r="D6206" s="32" t="s">
        <v>87</v>
      </c>
      <c r="E62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7" spans="1:6" x14ac:dyDescent="0.35">
      <c r="A6207" s="3">
        <v>41878765616</v>
      </c>
      <c r="B6207" s="3">
        <v>250</v>
      </c>
      <c r="C6207" s="32">
        <v>49342</v>
      </c>
      <c r="D6207" s="32"/>
      <c r="E62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8" spans="1:6" x14ac:dyDescent="0.35">
      <c r="A6208" s="3">
        <v>92088688442</v>
      </c>
      <c r="B6208" s="3">
        <v>77</v>
      </c>
      <c r="C6208" s="32">
        <v>49342</v>
      </c>
      <c r="D6208" s="32" t="s">
        <v>87</v>
      </c>
      <c r="E62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9" spans="1:6" x14ac:dyDescent="0.35">
      <c r="A6209" s="3">
        <v>22117014786</v>
      </c>
      <c r="B6209" s="3">
        <v>235</v>
      </c>
      <c r="C6209" s="32">
        <v>49342</v>
      </c>
      <c r="D6209" s="32" t="s">
        <v>87</v>
      </c>
      <c r="E62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0" spans="1:6" x14ac:dyDescent="0.35">
      <c r="A6210" s="3">
        <v>68013927117</v>
      </c>
      <c r="B6210" s="3">
        <v>49</v>
      </c>
      <c r="C6210" s="32">
        <v>49342</v>
      </c>
      <c r="D6210" s="32" t="s">
        <v>87</v>
      </c>
      <c r="E62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1" spans="1:6" x14ac:dyDescent="0.35">
      <c r="A6211" s="3">
        <v>29585887066</v>
      </c>
      <c r="B6211" s="3">
        <v>323</v>
      </c>
      <c r="C6211" s="32">
        <v>49342</v>
      </c>
      <c r="D6211" s="32" t="s">
        <v>87</v>
      </c>
      <c r="E62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2" spans="1:6" x14ac:dyDescent="0.35">
      <c r="A6212" s="3">
        <v>22379556689</v>
      </c>
      <c r="B6212" s="3">
        <v>207</v>
      </c>
      <c r="C6212" s="32">
        <v>49342</v>
      </c>
      <c r="D6212" s="32">
        <v>49367</v>
      </c>
      <c r="E62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13" spans="1:6" x14ac:dyDescent="0.35">
      <c r="A6213" s="3">
        <v>20265830648</v>
      </c>
      <c r="B6213" s="3">
        <v>317</v>
      </c>
      <c r="C6213" s="32">
        <v>49342</v>
      </c>
      <c r="D6213" s="32" t="s">
        <v>87</v>
      </c>
      <c r="E62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4" spans="1:6" x14ac:dyDescent="0.35">
      <c r="A6214" s="3">
        <v>76578763635</v>
      </c>
      <c r="B6214" s="3">
        <v>324</v>
      </c>
      <c r="C6214" s="32">
        <v>49342</v>
      </c>
      <c r="D6214" s="32" t="s">
        <v>87</v>
      </c>
      <c r="E62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5" spans="1:6" x14ac:dyDescent="0.35">
      <c r="A6215" s="3">
        <v>28075579992</v>
      </c>
      <c r="B6215" s="3">
        <v>268</v>
      </c>
      <c r="C6215" s="32">
        <v>49342</v>
      </c>
      <c r="D6215" s="32" t="s">
        <v>87</v>
      </c>
      <c r="E62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6" spans="1:6" x14ac:dyDescent="0.35">
      <c r="A6216" s="3">
        <v>20244346716</v>
      </c>
      <c r="B6216" s="3">
        <v>280</v>
      </c>
      <c r="C6216" s="32">
        <v>49342</v>
      </c>
      <c r="D6216" s="32"/>
      <c r="E62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7" spans="1:6" x14ac:dyDescent="0.35">
      <c r="A6217" s="3">
        <v>26269478393</v>
      </c>
      <c r="B6217" s="3">
        <v>308</v>
      </c>
      <c r="C6217" s="32">
        <v>49342</v>
      </c>
      <c r="D6217" s="32" t="s">
        <v>87</v>
      </c>
      <c r="E62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8" spans="1:6" x14ac:dyDescent="0.35">
      <c r="A6218" s="3">
        <v>46389020411</v>
      </c>
      <c r="B6218" s="3">
        <v>121</v>
      </c>
      <c r="C6218" s="32">
        <v>49342</v>
      </c>
      <c r="D6218" s="32" t="s">
        <v>87</v>
      </c>
      <c r="E62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9" spans="1:6" x14ac:dyDescent="0.35">
      <c r="A6219" s="3">
        <v>91491568746</v>
      </c>
      <c r="B6219" s="3">
        <v>48</v>
      </c>
      <c r="C6219" s="32">
        <v>49342</v>
      </c>
      <c r="D6219" s="32" t="s">
        <v>87</v>
      </c>
      <c r="E62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0" spans="1:6" x14ac:dyDescent="0.35">
      <c r="A6220" s="3">
        <v>77333058125</v>
      </c>
      <c r="B6220" s="3">
        <v>65</v>
      </c>
      <c r="C6220" s="32">
        <v>49342</v>
      </c>
      <c r="D6220" s="32"/>
      <c r="E62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1" spans="1:6" x14ac:dyDescent="0.35">
      <c r="A6221" s="3">
        <v>29513228753</v>
      </c>
      <c r="B6221" s="3">
        <v>85</v>
      </c>
      <c r="C6221" s="32">
        <v>49342</v>
      </c>
      <c r="D6221" s="32" t="s">
        <v>87</v>
      </c>
      <c r="E62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2" spans="1:6" x14ac:dyDescent="0.35">
      <c r="A6222" s="3">
        <v>82696761945</v>
      </c>
      <c r="B6222" s="3">
        <v>257</v>
      </c>
      <c r="C6222" s="32">
        <v>49342</v>
      </c>
      <c r="D6222" s="32">
        <v>49349</v>
      </c>
      <c r="E62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23" spans="1:6" x14ac:dyDescent="0.35">
      <c r="A6223" s="3">
        <v>54735997410</v>
      </c>
      <c r="B6223" s="3">
        <v>200</v>
      </c>
      <c r="C6223" s="32">
        <v>49342</v>
      </c>
      <c r="D6223" s="32" t="s">
        <v>87</v>
      </c>
      <c r="E62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4" spans="1:6" x14ac:dyDescent="0.35">
      <c r="A6224" s="3">
        <v>58553486056</v>
      </c>
      <c r="B6224" s="3">
        <v>281</v>
      </c>
      <c r="C6224" s="32">
        <v>49342</v>
      </c>
      <c r="D6224" s="32"/>
      <c r="E62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5" spans="1:6" x14ac:dyDescent="0.35">
      <c r="A6225" s="3">
        <v>95822000023</v>
      </c>
      <c r="B6225" s="3">
        <v>73</v>
      </c>
      <c r="C6225" s="32">
        <v>49342</v>
      </c>
      <c r="D6225" s="32" t="s">
        <v>87</v>
      </c>
      <c r="E62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6" spans="1:6" x14ac:dyDescent="0.35">
      <c r="A6226" s="3">
        <v>21386172298</v>
      </c>
      <c r="B6226" s="3">
        <v>70</v>
      </c>
      <c r="C6226" s="32">
        <v>49342</v>
      </c>
      <c r="D6226" s="32" t="s">
        <v>87</v>
      </c>
      <c r="E62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7" spans="1:6" x14ac:dyDescent="0.35">
      <c r="A6227" s="3">
        <v>37343617035</v>
      </c>
      <c r="B6227" s="3">
        <v>190</v>
      </c>
      <c r="C6227" s="32">
        <v>49342</v>
      </c>
      <c r="D6227" s="32"/>
      <c r="E62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8" spans="1:6" x14ac:dyDescent="0.35">
      <c r="A6228" s="3">
        <v>30344289021</v>
      </c>
      <c r="B6228" s="3">
        <v>291</v>
      </c>
      <c r="C6228" s="32">
        <v>49342</v>
      </c>
      <c r="D6228" s="32" t="s">
        <v>87</v>
      </c>
      <c r="E62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9" spans="1:6" x14ac:dyDescent="0.35">
      <c r="A6229" s="3">
        <v>22288639798</v>
      </c>
      <c r="B6229" s="3">
        <v>87</v>
      </c>
      <c r="C6229" s="32">
        <v>49342</v>
      </c>
      <c r="D6229" s="32" t="s">
        <v>87</v>
      </c>
      <c r="E62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0" spans="1:6" x14ac:dyDescent="0.35">
      <c r="A6230" s="3">
        <v>56650973324</v>
      </c>
      <c r="B6230" s="3">
        <v>277</v>
      </c>
      <c r="C6230" s="32">
        <v>49343</v>
      </c>
      <c r="D6230" s="32" t="s">
        <v>87</v>
      </c>
      <c r="E62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1" spans="1:6" x14ac:dyDescent="0.35">
      <c r="A6231" s="3">
        <v>34722205512</v>
      </c>
      <c r="B6231" s="3">
        <v>177</v>
      </c>
      <c r="C6231" s="32">
        <v>49343</v>
      </c>
      <c r="D6231" s="32"/>
      <c r="E62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2" spans="1:6" x14ac:dyDescent="0.35">
      <c r="A6232" s="39">
        <v>86559991494</v>
      </c>
      <c r="B6232" s="39">
        <v>267</v>
      </c>
      <c r="C6232" s="40">
        <v>49343</v>
      </c>
      <c r="D6232" s="40"/>
      <c r="E6232" s="39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2" s="34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3" spans="1:6" x14ac:dyDescent="0.35">
      <c r="A6233" s="3">
        <v>79715603949</v>
      </c>
      <c r="B6233" s="3">
        <v>78</v>
      </c>
      <c r="C6233" s="32">
        <v>49343</v>
      </c>
      <c r="D6233" s="32" t="s">
        <v>87</v>
      </c>
      <c r="E62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4" spans="1:6" x14ac:dyDescent="0.35">
      <c r="A6234" s="3">
        <v>47318366476</v>
      </c>
      <c r="B6234" s="3">
        <v>92</v>
      </c>
      <c r="C6234" s="32">
        <v>49343</v>
      </c>
      <c r="D6234" s="32" t="s">
        <v>87</v>
      </c>
      <c r="E62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5" spans="1:6" x14ac:dyDescent="0.35">
      <c r="A6235" s="3">
        <v>61595212042</v>
      </c>
      <c r="B6235" s="3">
        <v>41</v>
      </c>
      <c r="C6235" s="32">
        <v>49343</v>
      </c>
      <c r="D6235" s="32" t="s">
        <v>87</v>
      </c>
      <c r="E62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6" spans="1:6" x14ac:dyDescent="0.35">
      <c r="A6236" s="3">
        <v>13749732736</v>
      </c>
      <c r="B6236" s="3">
        <v>211</v>
      </c>
      <c r="C6236" s="32">
        <v>49343</v>
      </c>
      <c r="D6236" s="32"/>
      <c r="E62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7" spans="1:6" x14ac:dyDescent="0.35">
      <c r="A6237" s="3">
        <v>52115262100</v>
      </c>
      <c r="B6237" s="3">
        <v>261</v>
      </c>
      <c r="C6237" s="32">
        <v>49343</v>
      </c>
      <c r="D6237" s="32" t="s">
        <v>87</v>
      </c>
      <c r="E62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8" spans="1:6" x14ac:dyDescent="0.35">
      <c r="A6238" s="3">
        <v>25857434994</v>
      </c>
      <c r="B6238" s="3">
        <v>187</v>
      </c>
      <c r="C6238" s="32">
        <v>49343</v>
      </c>
      <c r="D6238" s="32" t="s">
        <v>87</v>
      </c>
      <c r="E62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9" spans="1:6" x14ac:dyDescent="0.35">
      <c r="A6239" s="3">
        <v>73092080269</v>
      </c>
      <c r="B6239" s="3">
        <v>15</v>
      </c>
      <c r="C6239" s="32">
        <v>49343</v>
      </c>
      <c r="D6239" s="32" t="s">
        <v>87</v>
      </c>
      <c r="E62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0" spans="1:6" x14ac:dyDescent="0.35">
      <c r="A6240" s="3">
        <v>55500734233</v>
      </c>
      <c r="B6240" s="3">
        <v>81</v>
      </c>
      <c r="C6240" s="32">
        <v>49343</v>
      </c>
      <c r="D6240" s="32" t="s">
        <v>87</v>
      </c>
      <c r="E62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1" spans="1:6" x14ac:dyDescent="0.35">
      <c r="A6241" s="3">
        <v>73170708653</v>
      </c>
      <c r="B6241" s="3">
        <v>312</v>
      </c>
      <c r="C6241" s="32">
        <v>49343</v>
      </c>
      <c r="D6241" s="32" t="s">
        <v>87</v>
      </c>
      <c r="E62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2" spans="1:6" x14ac:dyDescent="0.35">
      <c r="A6242" s="3">
        <v>40334420533</v>
      </c>
      <c r="B6242" s="3">
        <v>62</v>
      </c>
      <c r="C6242" s="32">
        <v>49343</v>
      </c>
      <c r="D6242" s="32" t="s">
        <v>87</v>
      </c>
      <c r="E62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3" spans="1:6" x14ac:dyDescent="0.35">
      <c r="A6243" s="3">
        <v>42119587348</v>
      </c>
      <c r="B6243" s="3">
        <v>27</v>
      </c>
      <c r="C6243" s="32">
        <v>49343</v>
      </c>
      <c r="D6243" s="32" t="s">
        <v>87</v>
      </c>
      <c r="E62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4" spans="1:6" x14ac:dyDescent="0.35">
      <c r="A6244" s="3">
        <v>56179311490</v>
      </c>
      <c r="B6244" s="3">
        <v>44</v>
      </c>
      <c r="C6244" s="32">
        <v>49343</v>
      </c>
      <c r="D6244" s="32" t="s">
        <v>87</v>
      </c>
      <c r="E62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5" spans="1:6" x14ac:dyDescent="0.35">
      <c r="A6245" s="3">
        <v>14144435029</v>
      </c>
      <c r="B6245" s="3">
        <v>251</v>
      </c>
      <c r="C6245" s="32">
        <v>49343</v>
      </c>
      <c r="D6245" s="32" t="s">
        <v>87</v>
      </c>
      <c r="E62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6" spans="1:6" x14ac:dyDescent="0.35">
      <c r="A6246" s="3">
        <v>31950452287</v>
      </c>
      <c r="B6246" s="3">
        <v>317</v>
      </c>
      <c r="C6246" s="32">
        <v>49343</v>
      </c>
      <c r="D6246" s="32"/>
      <c r="E62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7" spans="1:6" x14ac:dyDescent="0.35">
      <c r="A6247" s="3">
        <v>97313763562</v>
      </c>
      <c r="B6247" s="3">
        <v>320</v>
      </c>
      <c r="C6247" s="32">
        <v>49343</v>
      </c>
      <c r="D6247" s="32" t="s">
        <v>87</v>
      </c>
      <c r="E62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8" spans="1:6" x14ac:dyDescent="0.35">
      <c r="A6248" s="3">
        <v>22786263149</v>
      </c>
      <c r="B6248" s="3">
        <v>207</v>
      </c>
      <c r="C6248" s="32">
        <v>49343</v>
      </c>
      <c r="D6248" s="32" t="s">
        <v>87</v>
      </c>
      <c r="E62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9" spans="1:6" x14ac:dyDescent="0.35">
      <c r="A6249" s="3">
        <v>79953800051</v>
      </c>
      <c r="B6249" s="3">
        <v>180</v>
      </c>
      <c r="C6249" s="32">
        <v>49343</v>
      </c>
      <c r="D6249" s="32" t="s">
        <v>87</v>
      </c>
      <c r="E62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0" spans="1:6" x14ac:dyDescent="0.35">
      <c r="A6250" s="3">
        <v>99438124981</v>
      </c>
      <c r="B6250" s="3">
        <v>94</v>
      </c>
      <c r="C6250" s="32">
        <v>49343</v>
      </c>
      <c r="D6250" s="32" t="s">
        <v>87</v>
      </c>
      <c r="E62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1" spans="1:6" x14ac:dyDescent="0.35">
      <c r="A6251" s="3">
        <v>52734423995</v>
      </c>
      <c r="B6251" s="3">
        <v>200</v>
      </c>
      <c r="C6251" s="32">
        <v>49343</v>
      </c>
      <c r="D6251" s="32" t="s">
        <v>87</v>
      </c>
      <c r="E62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2" spans="1:6" x14ac:dyDescent="0.35">
      <c r="A6252" s="3">
        <v>72372918841</v>
      </c>
      <c r="B6252" s="3">
        <v>275</v>
      </c>
      <c r="C6252" s="32">
        <v>49343</v>
      </c>
      <c r="D6252" s="32"/>
      <c r="E62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3" spans="1:6" x14ac:dyDescent="0.35">
      <c r="A6253" s="3">
        <v>88350080544</v>
      </c>
      <c r="B6253" s="3">
        <v>162</v>
      </c>
      <c r="C6253" s="32">
        <v>49343</v>
      </c>
      <c r="D6253" s="32" t="s">
        <v>87</v>
      </c>
      <c r="E62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4" spans="1:6" x14ac:dyDescent="0.35">
      <c r="A6254" s="3">
        <v>97304770010</v>
      </c>
      <c r="B6254" s="3">
        <v>9</v>
      </c>
      <c r="C6254" s="32">
        <v>49343</v>
      </c>
      <c r="D6254" s="32" t="s">
        <v>87</v>
      </c>
      <c r="E62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5" spans="1:6" x14ac:dyDescent="0.35">
      <c r="A6255" s="3">
        <v>72632233673</v>
      </c>
      <c r="B6255" s="3">
        <v>152</v>
      </c>
      <c r="C6255" s="32">
        <v>49343</v>
      </c>
      <c r="D6255" s="32" t="s">
        <v>87</v>
      </c>
      <c r="E62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6" spans="1:6" x14ac:dyDescent="0.35">
      <c r="A6256" s="3">
        <v>80866253696</v>
      </c>
      <c r="B6256" s="3">
        <v>279</v>
      </c>
      <c r="C6256" s="32">
        <v>49343</v>
      </c>
      <c r="D6256" s="32" t="s">
        <v>87</v>
      </c>
      <c r="E62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7" spans="1:6" x14ac:dyDescent="0.35">
      <c r="A6257" s="3">
        <v>86211652555</v>
      </c>
      <c r="B6257" s="3">
        <v>284</v>
      </c>
      <c r="C6257" s="32">
        <v>49343</v>
      </c>
      <c r="D6257" s="32" t="s">
        <v>87</v>
      </c>
      <c r="E62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8" spans="1:6" x14ac:dyDescent="0.35">
      <c r="A6258" s="3">
        <v>40678988597</v>
      </c>
      <c r="B6258" s="3">
        <v>140</v>
      </c>
      <c r="C6258" s="32">
        <v>49343</v>
      </c>
      <c r="D6258" s="32">
        <v>49348</v>
      </c>
      <c r="E62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59" spans="1:6" x14ac:dyDescent="0.35">
      <c r="A6259" s="3">
        <v>51888556052</v>
      </c>
      <c r="B6259" s="3">
        <v>196</v>
      </c>
      <c r="C6259" s="32">
        <v>49343</v>
      </c>
      <c r="D6259" s="32"/>
      <c r="E62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0" spans="1:6" x14ac:dyDescent="0.35">
      <c r="A6260" s="3">
        <v>43303576552</v>
      </c>
      <c r="B6260" s="3">
        <v>293</v>
      </c>
      <c r="C6260" s="32">
        <v>49343</v>
      </c>
      <c r="D6260" s="32" t="s">
        <v>87</v>
      </c>
      <c r="E62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1" spans="1:6" x14ac:dyDescent="0.35">
      <c r="A6261" s="3">
        <v>85695655934</v>
      </c>
      <c r="B6261" s="3">
        <v>20</v>
      </c>
      <c r="C6261" s="32">
        <v>49343</v>
      </c>
      <c r="D6261" s="32" t="s">
        <v>87</v>
      </c>
      <c r="E62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2" spans="1:6" x14ac:dyDescent="0.35">
      <c r="A6262" s="3">
        <v>71120635771</v>
      </c>
      <c r="B6262" s="3">
        <v>317</v>
      </c>
      <c r="C6262" s="32">
        <v>49344</v>
      </c>
      <c r="D6262" s="32" t="s">
        <v>87</v>
      </c>
      <c r="E62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3" spans="1:6" x14ac:dyDescent="0.35">
      <c r="A6263" s="3">
        <v>28444939350</v>
      </c>
      <c r="B6263" s="3">
        <v>314</v>
      </c>
      <c r="C6263" s="32">
        <v>49344</v>
      </c>
      <c r="D6263" s="32"/>
      <c r="E62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4" spans="1:6" x14ac:dyDescent="0.35">
      <c r="A6264" s="3">
        <v>24768832284</v>
      </c>
      <c r="B6264" s="3">
        <v>226</v>
      </c>
      <c r="C6264" s="32">
        <v>49344</v>
      </c>
      <c r="D6264" s="32" t="s">
        <v>87</v>
      </c>
      <c r="E62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5" spans="1:6" x14ac:dyDescent="0.35">
      <c r="A6265" s="3">
        <v>63667294007</v>
      </c>
      <c r="B6265" s="3">
        <v>98</v>
      </c>
      <c r="C6265" s="32">
        <v>49344</v>
      </c>
      <c r="D6265" s="32" t="s">
        <v>87</v>
      </c>
      <c r="E62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6" spans="1:6" x14ac:dyDescent="0.35">
      <c r="A6266" s="3">
        <v>22180108875</v>
      </c>
      <c r="B6266" s="3">
        <v>57</v>
      </c>
      <c r="C6266" s="32">
        <v>49344</v>
      </c>
      <c r="D6266" s="32" t="s">
        <v>87</v>
      </c>
      <c r="E62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7" spans="1:6" x14ac:dyDescent="0.35">
      <c r="A6267" s="3">
        <v>74257491767</v>
      </c>
      <c r="B6267" s="3">
        <v>87</v>
      </c>
      <c r="C6267" s="32">
        <v>49344</v>
      </c>
      <c r="D6267" s="32"/>
      <c r="E62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8" spans="1:6" x14ac:dyDescent="0.35">
      <c r="A6268" s="3">
        <v>22677431574</v>
      </c>
      <c r="B6268" s="3">
        <v>175</v>
      </c>
      <c r="C6268" s="32">
        <v>49344</v>
      </c>
      <c r="D6268" s="32"/>
      <c r="E62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9" spans="1:6" x14ac:dyDescent="0.35">
      <c r="A6269" s="3">
        <v>20126271574</v>
      </c>
      <c r="B6269" s="3">
        <v>18</v>
      </c>
      <c r="C6269" s="32">
        <v>49344</v>
      </c>
      <c r="D6269" s="32" t="s">
        <v>87</v>
      </c>
      <c r="E62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0" spans="1:6" x14ac:dyDescent="0.35">
      <c r="A6270" s="3">
        <v>28030094237</v>
      </c>
      <c r="B6270" s="3">
        <v>208</v>
      </c>
      <c r="C6270" s="32">
        <v>49344</v>
      </c>
      <c r="D6270" s="32" t="s">
        <v>87</v>
      </c>
      <c r="E62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1" spans="1:6" x14ac:dyDescent="0.35">
      <c r="A6271" s="3">
        <v>52106581821</v>
      </c>
      <c r="B6271" s="3">
        <v>238</v>
      </c>
      <c r="C6271" s="32">
        <v>49344</v>
      </c>
      <c r="D6271" s="32" t="s">
        <v>87</v>
      </c>
      <c r="E62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2" spans="1:6" x14ac:dyDescent="0.35">
      <c r="A6272" s="3">
        <v>53687325399</v>
      </c>
      <c r="B6272" s="3">
        <v>125</v>
      </c>
      <c r="C6272" s="32">
        <v>49344</v>
      </c>
      <c r="D6272" s="32" t="s">
        <v>87</v>
      </c>
      <c r="E62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3" spans="1:6" x14ac:dyDescent="0.35">
      <c r="A6273" s="3">
        <v>69024191744</v>
      </c>
      <c r="B6273" s="3">
        <v>109</v>
      </c>
      <c r="C6273" s="32">
        <v>49344</v>
      </c>
      <c r="D6273" s="32" t="s">
        <v>87</v>
      </c>
      <c r="E62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4" spans="1:6" x14ac:dyDescent="0.35">
      <c r="A6274" s="3">
        <v>26379863331</v>
      </c>
      <c r="B6274" s="3">
        <v>31</v>
      </c>
      <c r="C6274" s="32">
        <v>49344</v>
      </c>
      <c r="D6274" s="32" t="s">
        <v>87</v>
      </c>
      <c r="E62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5" spans="1:6" x14ac:dyDescent="0.35">
      <c r="A6275" s="3">
        <v>14439410588</v>
      </c>
      <c r="B6275" s="3">
        <v>94</v>
      </c>
      <c r="C6275" s="32">
        <v>49344</v>
      </c>
      <c r="D6275" s="32" t="s">
        <v>87</v>
      </c>
      <c r="E62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6" spans="1:6" x14ac:dyDescent="0.35">
      <c r="A6276" s="3">
        <v>88498553321</v>
      </c>
      <c r="B6276" s="3">
        <v>226</v>
      </c>
      <c r="C6276" s="32">
        <v>49344</v>
      </c>
      <c r="D6276" s="32">
        <v>49354</v>
      </c>
      <c r="E62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77" spans="1:6" x14ac:dyDescent="0.35">
      <c r="A6277" s="3">
        <v>16873780207</v>
      </c>
      <c r="B6277" s="3">
        <v>289</v>
      </c>
      <c r="C6277" s="32">
        <v>49344</v>
      </c>
      <c r="D6277" s="32"/>
      <c r="E62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8" spans="1:6" x14ac:dyDescent="0.35">
      <c r="A6278" s="3">
        <v>73885670294</v>
      </c>
      <c r="B6278" s="3">
        <v>148</v>
      </c>
      <c r="C6278" s="32">
        <v>49344</v>
      </c>
      <c r="D6278" s="32" t="s">
        <v>87</v>
      </c>
      <c r="E62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9" spans="1:6" x14ac:dyDescent="0.35">
      <c r="A6279" s="3">
        <v>42469624258</v>
      </c>
      <c r="B6279" s="3">
        <v>161</v>
      </c>
      <c r="C6279" s="32">
        <v>49344</v>
      </c>
      <c r="D6279" s="32" t="s">
        <v>87</v>
      </c>
      <c r="E62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0" spans="1:6" x14ac:dyDescent="0.35">
      <c r="A6280" s="3">
        <v>46979155985</v>
      </c>
      <c r="B6280" s="3">
        <v>320</v>
      </c>
      <c r="C6280" s="32">
        <v>49344</v>
      </c>
      <c r="D6280" s="32" t="s">
        <v>87</v>
      </c>
      <c r="E62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1" spans="1:6" x14ac:dyDescent="0.35">
      <c r="A6281" s="3">
        <v>50503405166</v>
      </c>
      <c r="B6281" s="3">
        <v>197</v>
      </c>
      <c r="C6281" s="32">
        <v>49344</v>
      </c>
      <c r="D6281" s="32" t="s">
        <v>87</v>
      </c>
      <c r="E62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2" spans="1:6" x14ac:dyDescent="0.35">
      <c r="A6282" s="3">
        <v>53708842703</v>
      </c>
      <c r="B6282" s="3">
        <v>211</v>
      </c>
      <c r="C6282" s="32">
        <v>49344</v>
      </c>
      <c r="D6282" s="32" t="s">
        <v>87</v>
      </c>
      <c r="E62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3" spans="1:6" x14ac:dyDescent="0.35">
      <c r="A6283" s="3">
        <v>70811916600</v>
      </c>
      <c r="B6283" s="3">
        <v>255</v>
      </c>
      <c r="C6283" s="32">
        <v>49344</v>
      </c>
      <c r="D6283" s="32" t="s">
        <v>87</v>
      </c>
      <c r="E62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4" spans="1:6" x14ac:dyDescent="0.35">
      <c r="A6284" s="3">
        <v>72078082697</v>
      </c>
      <c r="B6284" s="3">
        <v>20</v>
      </c>
      <c r="C6284" s="32">
        <v>49344</v>
      </c>
      <c r="D6284" s="32"/>
      <c r="E62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5" spans="1:6" x14ac:dyDescent="0.35">
      <c r="A6285" s="3">
        <v>84612233231</v>
      </c>
      <c r="B6285" s="3">
        <v>290</v>
      </c>
      <c r="C6285" s="32">
        <v>49344</v>
      </c>
      <c r="D6285" s="32">
        <v>49358</v>
      </c>
      <c r="E62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86" spans="1:6" x14ac:dyDescent="0.35">
      <c r="A6286" s="3">
        <v>36535940644</v>
      </c>
      <c r="B6286" s="3">
        <v>192</v>
      </c>
      <c r="C6286" s="32">
        <v>49344</v>
      </c>
      <c r="D6286" s="32" t="s">
        <v>87</v>
      </c>
      <c r="E62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7" spans="1:6" x14ac:dyDescent="0.35">
      <c r="A6287" s="3">
        <v>28968368912</v>
      </c>
      <c r="B6287" s="3">
        <v>16</v>
      </c>
      <c r="C6287" s="32">
        <v>49344</v>
      </c>
      <c r="D6287" s="32" t="s">
        <v>87</v>
      </c>
      <c r="E62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8" spans="1:6" x14ac:dyDescent="0.35">
      <c r="A6288" s="3">
        <v>29438873138</v>
      </c>
      <c r="B6288" s="3">
        <v>142</v>
      </c>
      <c r="C6288" s="32">
        <v>49344</v>
      </c>
      <c r="D6288" s="32" t="s">
        <v>87</v>
      </c>
      <c r="E62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9" spans="1:6" x14ac:dyDescent="0.35">
      <c r="A6289" s="3">
        <v>96730629939</v>
      </c>
      <c r="B6289" s="3">
        <v>327</v>
      </c>
      <c r="C6289" s="32">
        <v>49344</v>
      </c>
      <c r="D6289" s="32" t="s">
        <v>87</v>
      </c>
      <c r="E62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0" spans="1:6" x14ac:dyDescent="0.35">
      <c r="A6290" s="3">
        <v>52608254328</v>
      </c>
      <c r="B6290" s="3">
        <v>157</v>
      </c>
      <c r="C6290" s="32">
        <v>49344</v>
      </c>
      <c r="D6290" s="32">
        <v>49367</v>
      </c>
      <c r="E62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91" spans="1:6" x14ac:dyDescent="0.35">
      <c r="A6291" s="3">
        <v>19289882294</v>
      </c>
      <c r="B6291" s="3">
        <v>26</v>
      </c>
      <c r="C6291" s="32">
        <v>49344</v>
      </c>
      <c r="D6291" s="32" t="s">
        <v>87</v>
      </c>
      <c r="E62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2" spans="1:6" x14ac:dyDescent="0.35">
      <c r="A6292" s="3">
        <v>60951108059</v>
      </c>
      <c r="B6292" s="3">
        <v>191</v>
      </c>
      <c r="C6292" s="32">
        <v>49344</v>
      </c>
      <c r="D6292" s="32" t="s">
        <v>87</v>
      </c>
      <c r="E62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3" spans="1:6" x14ac:dyDescent="0.35">
      <c r="A6293" s="3">
        <v>84634093963</v>
      </c>
      <c r="B6293" s="3">
        <v>150</v>
      </c>
      <c r="C6293" s="32">
        <v>49344</v>
      </c>
      <c r="D6293" s="32" t="s">
        <v>87</v>
      </c>
      <c r="E62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4" spans="1:6" x14ac:dyDescent="0.35">
      <c r="A6294" s="3">
        <v>72127269314</v>
      </c>
      <c r="B6294" s="3">
        <v>115</v>
      </c>
      <c r="C6294" s="32">
        <v>49344</v>
      </c>
      <c r="D6294" s="32" t="s">
        <v>87</v>
      </c>
      <c r="E62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5" spans="1:6" x14ac:dyDescent="0.35">
      <c r="A6295" s="3">
        <v>66970874901</v>
      </c>
      <c r="B6295" s="3">
        <v>259</v>
      </c>
      <c r="C6295" s="32">
        <v>49345</v>
      </c>
      <c r="D6295" s="32" t="s">
        <v>87</v>
      </c>
      <c r="E62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6" spans="1:6" x14ac:dyDescent="0.35">
      <c r="A6296" s="3">
        <v>40636294566</v>
      </c>
      <c r="B6296" s="3">
        <v>240</v>
      </c>
      <c r="C6296" s="32">
        <v>49345</v>
      </c>
      <c r="D6296" s="32" t="s">
        <v>87</v>
      </c>
      <c r="E62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7" spans="1:6" x14ac:dyDescent="0.35">
      <c r="A6297" s="3">
        <v>51092398901</v>
      </c>
      <c r="B6297" s="3">
        <v>314</v>
      </c>
      <c r="C6297" s="32">
        <v>49345</v>
      </c>
      <c r="D6297" s="32">
        <v>49368</v>
      </c>
      <c r="E62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98" spans="1:6" x14ac:dyDescent="0.35">
      <c r="A6298" s="3">
        <v>26284538146</v>
      </c>
      <c r="B6298" s="3">
        <v>47</v>
      </c>
      <c r="C6298" s="32">
        <v>49345</v>
      </c>
      <c r="D6298" s="32"/>
      <c r="E62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9" spans="1:6" x14ac:dyDescent="0.35">
      <c r="A6299" s="3">
        <v>34745726111</v>
      </c>
      <c r="B6299" s="3">
        <v>301</v>
      </c>
      <c r="C6299" s="32">
        <v>49345</v>
      </c>
      <c r="D6299" s="32" t="s">
        <v>87</v>
      </c>
      <c r="E62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0" spans="1:6" x14ac:dyDescent="0.35">
      <c r="A6300" s="3">
        <v>86369072734</v>
      </c>
      <c r="B6300" s="3">
        <v>3</v>
      </c>
      <c r="C6300" s="32">
        <v>49345</v>
      </c>
      <c r="D6300" s="32" t="s">
        <v>87</v>
      </c>
      <c r="E63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1" spans="1:6" x14ac:dyDescent="0.35">
      <c r="A6301" s="3">
        <v>94596022352</v>
      </c>
      <c r="B6301" s="3">
        <v>8</v>
      </c>
      <c r="C6301" s="32">
        <v>49345</v>
      </c>
      <c r="D6301" s="32"/>
      <c r="E63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2" spans="1:6" x14ac:dyDescent="0.35">
      <c r="A6302" s="3">
        <v>58665209273</v>
      </c>
      <c r="B6302" s="3">
        <v>324</v>
      </c>
      <c r="C6302" s="32">
        <v>49345</v>
      </c>
      <c r="D6302" s="32">
        <v>49358</v>
      </c>
      <c r="E63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303" spans="1:6" x14ac:dyDescent="0.35">
      <c r="A6303" s="3">
        <v>39145536725</v>
      </c>
      <c r="B6303" s="3">
        <v>305</v>
      </c>
      <c r="C6303" s="32">
        <v>49345</v>
      </c>
      <c r="D6303" s="32" t="s">
        <v>87</v>
      </c>
      <c r="E63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4" spans="1:6" x14ac:dyDescent="0.35">
      <c r="A6304" s="3">
        <v>15557043973</v>
      </c>
      <c r="B6304" s="3">
        <v>55</v>
      </c>
      <c r="C6304" s="32">
        <v>49345</v>
      </c>
      <c r="D6304" s="32" t="s">
        <v>87</v>
      </c>
      <c r="E63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5" spans="1:6" x14ac:dyDescent="0.35">
      <c r="A6305" s="3">
        <v>79526814776</v>
      </c>
      <c r="B6305" s="3">
        <v>53</v>
      </c>
      <c r="C6305" s="32">
        <v>49345</v>
      </c>
      <c r="D6305" s="32" t="s">
        <v>87</v>
      </c>
      <c r="E63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6" spans="1:6" x14ac:dyDescent="0.35">
      <c r="A6306" s="3">
        <v>49687084116</v>
      </c>
      <c r="B6306" s="3">
        <v>184</v>
      </c>
      <c r="C6306" s="32">
        <v>49345</v>
      </c>
      <c r="D6306" s="32"/>
      <c r="E63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7" spans="1:6" x14ac:dyDescent="0.35">
      <c r="A6307" s="3">
        <v>34920931383</v>
      </c>
      <c r="B6307" s="3">
        <v>82</v>
      </c>
      <c r="C6307" s="32">
        <v>49345</v>
      </c>
      <c r="D6307" s="32"/>
      <c r="E63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8" spans="1:6" x14ac:dyDescent="0.35">
      <c r="A6308" s="3">
        <v>74123707500</v>
      </c>
      <c r="B6308" s="3">
        <v>239</v>
      </c>
      <c r="C6308" s="32">
        <v>49345</v>
      </c>
      <c r="D6308" s="32" t="s">
        <v>87</v>
      </c>
      <c r="E63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9" spans="1:6" x14ac:dyDescent="0.35">
      <c r="A6309" s="3">
        <v>88878958217</v>
      </c>
      <c r="B6309" s="3">
        <v>71</v>
      </c>
      <c r="C6309" s="32">
        <v>49345</v>
      </c>
      <c r="D6309" s="32" t="s">
        <v>87</v>
      </c>
      <c r="E63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0" spans="1:6" x14ac:dyDescent="0.35">
      <c r="A6310" s="3">
        <v>85821905152</v>
      </c>
      <c r="B6310" s="3">
        <v>262</v>
      </c>
      <c r="C6310" s="32">
        <v>49345</v>
      </c>
      <c r="D6310" s="32" t="s">
        <v>87</v>
      </c>
      <c r="E63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1" spans="1:6" x14ac:dyDescent="0.35">
      <c r="A6311" s="3">
        <v>51145319748</v>
      </c>
      <c r="B6311" s="3">
        <v>233</v>
      </c>
      <c r="C6311" s="32">
        <v>49345</v>
      </c>
      <c r="D6311" s="32"/>
      <c r="E63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2" spans="1:6" x14ac:dyDescent="0.35">
      <c r="A6312" s="3">
        <v>76696912451</v>
      </c>
      <c r="B6312" s="3">
        <v>272</v>
      </c>
      <c r="C6312" s="32">
        <v>49345</v>
      </c>
      <c r="D6312" s="32" t="s">
        <v>87</v>
      </c>
      <c r="E63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3" spans="1:6" x14ac:dyDescent="0.35">
      <c r="A6313" s="3">
        <v>52117244196</v>
      </c>
      <c r="B6313" s="3">
        <v>131</v>
      </c>
      <c r="C6313" s="32">
        <v>49345</v>
      </c>
      <c r="D6313" s="32" t="s">
        <v>87</v>
      </c>
      <c r="E63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4" spans="1:6" x14ac:dyDescent="0.35">
      <c r="A6314" s="3">
        <v>54723707258</v>
      </c>
      <c r="B6314" s="3">
        <v>235</v>
      </c>
      <c r="C6314" s="32">
        <v>49345</v>
      </c>
      <c r="D6314" s="32" t="s">
        <v>87</v>
      </c>
      <c r="E63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5" spans="1:6" x14ac:dyDescent="0.35">
      <c r="A6315" s="3">
        <v>67182278491</v>
      </c>
      <c r="B6315" s="3">
        <v>255</v>
      </c>
      <c r="C6315" s="32">
        <v>49345</v>
      </c>
      <c r="D6315" s="32" t="s">
        <v>87</v>
      </c>
      <c r="E63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6" spans="1:6" x14ac:dyDescent="0.35">
      <c r="A6316" s="3">
        <v>85842806498</v>
      </c>
      <c r="B6316" s="3">
        <v>238</v>
      </c>
      <c r="C6316" s="32">
        <v>49345</v>
      </c>
      <c r="D6316" s="32" t="s">
        <v>87</v>
      </c>
      <c r="E63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7" spans="1:6" x14ac:dyDescent="0.35">
      <c r="A6317" s="3">
        <v>52372156598</v>
      </c>
      <c r="B6317" s="3">
        <v>48</v>
      </c>
      <c r="C6317" s="32">
        <v>49345</v>
      </c>
      <c r="D6317" s="32" t="s">
        <v>87</v>
      </c>
      <c r="E63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8" spans="1:6" x14ac:dyDescent="0.35">
      <c r="A6318" s="3">
        <v>21163348576</v>
      </c>
      <c r="B6318" s="3">
        <v>263</v>
      </c>
      <c r="C6318" s="32">
        <v>49345</v>
      </c>
      <c r="D6318" s="32"/>
      <c r="E63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9" spans="1:6" x14ac:dyDescent="0.35">
      <c r="A6319" s="3">
        <v>42915026234</v>
      </c>
      <c r="B6319" s="3">
        <v>88</v>
      </c>
      <c r="C6319" s="32">
        <v>49345</v>
      </c>
      <c r="D6319" s="32" t="s">
        <v>87</v>
      </c>
      <c r="E63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0" spans="1:6" x14ac:dyDescent="0.35">
      <c r="A6320" s="3">
        <v>98531812725</v>
      </c>
      <c r="B6320" s="3">
        <v>41</v>
      </c>
      <c r="C6320" s="32">
        <v>49345</v>
      </c>
      <c r="D6320" s="32" t="s">
        <v>87</v>
      </c>
      <c r="E63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1" spans="1:6" x14ac:dyDescent="0.35">
      <c r="A6321" s="3">
        <v>16996484263</v>
      </c>
      <c r="B6321" s="3">
        <v>131</v>
      </c>
      <c r="C6321" s="32">
        <v>49345</v>
      </c>
      <c r="D6321" s="32" t="s">
        <v>87</v>
      </c>
      <c r="E63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2" spans="1:6" x14ac:dyDescent="0.35">
      <c r="A6322" s="3">
        <v>66574224517</v>
      </c>
      <c r="B6322" s="3">
        <v>331</v>
      </c>
      <c r="C6322" s="32">
        <v>49345</v>
      </c>
      <c r="D6322" s="32" t="s">
        <v>87</v>
      </c>
      <c r="E63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3" spans="1:6" x14ac:dyDescent="0.35">
      <c r="A6323" s="3">
        <v>60783910464</v>
      </c>
      <c r="B6323" s="3">
        <v>8</v>
      </c>
      <c r="C6323" s="32">
        <v>49345</v>
      </c>
      <c r="D6323" s="32"/>
      <c r="E63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4" spans="1:6" x14ac:dyDescent="0.35">
      <c r="A6324" s="3">
        <v>24960630176</v>
      </c>
      <c r="B6324" s="3">
        <v>296</v>
      </c>
      <c r="C6324" s="32">
        <v>49345</v>
      </c>
      <c r="D6324" s="32" t="s">
        <v>87</v>
      </c>
      <c r="E63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5" spans="1:6" x14ac:dyDescent="0.35">
      <c r="A6325" s="3">
        <v>14018942061</v>
      </c>
      <c r="B6325" s="3">
        <v>301</v>
      </c>
      <c r="C6325" s="32">
        <v>49345</v>
      </c>
      <c r="D6325" s="32"/>
      <c r="E63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6" spans="1:6" x14ac:dyDescent="0.35">
      <c r="A6326" s="3">
        <v>88872544417</v>
      </c>
      <c r="B6326" s="3">
        <v>239</v>
      </c>
      <c r="C6326" s="32">
        <v>49345</v>
      </c>
      <c r="D6326" s="32" t="s">
        <v>87</v>
      </c>
      <c r="E63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7" spans="1:6" x14ac:dyDescent="0.35">
      <c r="A6327" s="3">
        <v>30803663120</v>
      </c>
      <c r="B6327" s="3">
        <v>117</v>
      </c>
      <c r="C6327" s="32">
        <v>49345</v>
      </c>
      <c r="D6327" s="32" t="s">
        <v>87</v>
      </c>
      <c r="E63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8" spans="1:6" x14ac:dyDescent="0.35">
      <c r="A6328" s="3">
        <v>40002448196</v>
      </c>
      <c r="B6328" s="3">
        <v>242</v>
      </c>
      <c r="C6328" s="32">
        <v>49345</v>
      </c>
      <c r="D6328" s="32"/>
      <c r="E63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9" spans="1:6" x14ac:dyDescent="0.35">
      <c r="A6329" s="3">
        <v>33718779359</v>
      </c>
      <c r="B6329" s="3">
        <v>310</v>
      </c>
      <c r="C6329" s="32">
        <v>49345</v>
      </c>
      <c r="D6329" s="32" t="s">
        <v>87</v>
      </c>
      <c r="E63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0" spans="1:6" x14ac:dyDescent="0.35">
      <c r="A6330" s="3">
        <v>11623754872</v>
      </c>
      <c r="B6330" s="3">
        <v>301</v>
      </c>
      <c r="C6330" s="32">
        <v>49345</v>
      </c>
      <c r="D6330" s="32" t="s">
        <v>87</v>
      </c>
      <c r="E63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1" spans="1:6" x14ac:dyDescent="0.35">
      <c r="A6331" s="3">
        <v>65010783114</v>
      </c>
      <c r="B6331" s="3">
        <v>160</v>
      </c>
      <c r="C6331" s="32">
        <v>49346</v>
      </c>
      <c r="D6331" s="32" t="s">
        <v>87</v>
      </c>
      <c r="E63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2" spans="1:6" x14ac:dyDescent="0.35">
      <c r="A6332" s="3">
        <v>16132060841</v>
      </c>
      <c r="B6332" s="3">
        <v>16</v>
      </c>
      <c r="C6332" s="32">
        <v>49346</v>
      </c>
      <c r="D6332" s="32" t="s">
        <v>87</v>
      </c>
      <c r="E63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3" spans="1:6" x14ac:dyDescent="0.35">
      <c r="A6333" s="3">
        <v>27623799732</v>
      </c>
      <c r="B6333" s="3">
        <v>167</v>
      </c>
      <c r="C6333" s="32">
        <v>49346</v>
      </c>
      <c r="D6333" s="32" t="s">
        <v>87</v>
      </c>
      <c r="E63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4" spans="1:6" x14ac:dyDescent="0.35">
      <c r="A6334" s="3">
        <v>75565362395</v>
      </c>
      <c r="B6334" s="3">
        <v>324</v>
      </c>
      <c r="C6334" s="32">
        <v>49346</v>
      </c>
      <c r="D6334" s="32"/>
      <c r="E63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5" spans="1:6" x14ac:dyDescent="0.35">
      <c r="A6335" s="3">
        <v>28769420254</v>
      </c>
      <c r="B6335" s="3">
        <v>257</v>
      </c>
      <c r="C6335" s="32">
        <v>49346</v>
      </c>
      <c r="D6335" s="32">
        <v>49358</v>
      </c>
      <c r="E63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336" spans="1:6" x14ac:dyDescent="0.35">
      <c r="A6336" s="3">
        <v>62180045206</v>
      </c>
      <c r="B6336" s="3">
        <v>298</v>
      </c>
      <c r="C6336" s="32">
        <v>49346</v>
      </c>
      <c r="D6336" s="32" t="s">
        <v>87</v>
      </c>
      <c r="E63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7" spans="1:6" x14ac:dyDescent="0.35">
      <c r="A6337" s="3">
        <v>89790511008</v>
      </c>
      <c r="B6337" s="3">
        <v>247</v>
      </c>
      <c r="C6337" s="32">
        <v>49346</v>
      </c>
      <c r="D6337" s="32" t="s">
        <v>87</v>
      </c>
      <c r="E63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8" spans="1:6" x14ac:dyDescent="0.35">
      <c r="A6338" s="3">
        <v>52786370129</v>
      </c>
      <c r="B6338" s="3">
        <v>299</v>
      </c>
      <c r="C6338" s="32">
        <v>49346</v>
      </c>
      <c r="D6338" s="32" t="s">
        <v>87</v>
      </c>
      <c r="E63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9" spans="1:6" x14ac:dyDescent="0.35">
      <c r="A6339" s="3">
        <v>82600400549</v>
      </c>
      <c r="B6339" s="3">
        <v>158</v>
      </c>
      <c r="C6339" s="32">
        <v>49346</v>
      </c>
      <c r="D6339" s="32" t="s">
        <v>87</v>
      </c>
      <c r="E63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0" spans="1:6" x14ac:dyDescent="0.35">
      <c r="A6340" s="3">
        <v>90607591313</v>
      </c>
      <c r="B6340" s="3">
        <v>177</v>
      </c>
      <c r="C6340" s="32">
        <v>49346</v>
      </c>
      <c r="D6340" s="32"/>
      <c r="E63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1" spans="1:6" x14ac:dyDescent="0.35">
      <c r="A6341" s="3">
        <v>54038878940</v>
      </c>
      <c r="B6341" s="3">
        <v>165</v>
      </c>
      <c r="C6341" s="32">
        <v>49346</v>
      </c>
      <c r="D6341" s="32" t="s">
        <v>87</v>
      </c>
      <c r="E63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2" spans="1:6" x14ac:dyDescent="0.35">
      <c r="A6342" s="3">
        <v>29386694721</v>
      </c>
      <c r="B6342" s="3">
        <v>42</v>
      </c>
      <c r="C6342" s="32">
        <v>49346</v>
      </c>
      <c r="D6342" s="32" t="s">
        <v>87</v>
      </c>
      <c r="E63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3" spans="1:6" x14ac:dyDescent="0.35">
      <c r="A6343" s="3">
        <v>88231981402</v>
      </c>
      <c r="B6343" s="3">
        <v>73</v>
      </c>
      <c r="C6343" s="32">
        <v>49346</v>
      </c>
      <c r="D6343" s="32" t="s">
        <v>87</v>
      </c>
      <c r="E63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4" spans="1:6" x14ac:dyDescent="0.35">
      <c r="A6344" s="3">
        <v>70322422340</v>
      </c>
      <c r="B6344" s="3">
        <v>309</v>
      </c>
      <c r="C6344" s="32">
        <v>49346</v>
      </c>
      <c r="D6344" s="32" t="s">
        <v>87</v>
      </c>
      <c r="E63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5" spans="1:6" x14ac:dyDescent="0.35">
      <c r="A6345" s="3">
        <v>21173710336</v>
      </c>
      <c r="B6345" s="3">
        <v>257</v>
      </c>
      <c r="C6345" s="32">
        <v>49346</v>
      </c>
      <c r="D6345" s="32" t="s">
        <v>87</v>
      </c>
      <c r="E63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6" spans="1:6" x14ac:dyDescent="0.35">
      <c r="A6346" s="3">
        <v>37279720405</v>
      </c>
      <c r="B6346" s="3">
        <v>192</v>
      </c>
      <c r="C6346" s="32">
        <v>49346</v>
      </c>
      <c r="D6346" s="32" t="s">
        <v>87</v>
      </c>
      <c r="E63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7" spans="1:6" x14ac:dyDescent="0.35">
      <c r="A6347" s="3">
        <v>52097241788</v>
      </c>
      <c r="B6347" s="3">
        <v>36</v>
      </c>
      <c r="C6347" s="32">
        <v>49346</v>
      </c>
      <c r="D6347" s="32" t="s">
        <v>87</v>
      </c>
      <c r="E63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8" spans="1:6" x14ac:dyDescent="0.35">
      <c r="A6348" s="3">
        <v>71023020788</v>
      </c>
      <c r="B6348" s="3">
        <v>104</v>
      </c>
      <c r="C6348" s="32">
        <v>49346</v>
      </c>
      <c r="D6348" s="32" t="s">
        <v>87</v>
      </c>
      <c r="E63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9" spans="1:6" x14ac:dyDescent="0.35">
      <c r="A6349" s="3">
        <v>58214167194</v>
      </c>
      <c r="B6349" s="3">
        <v>144</v>
      </c>
      <c r="C6349" s="32">
        <v>49346</v>
      </c>
      <c r="D6349" s="32" t="s">
        <v>87</v>
      </c>
      <c r="E63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0" spans="1:6" x14ac:dyDescent="0.35">
      <c r="A6350" s="3">
        <v>80811960772</v>
      </c>
      <c r="B6350" s="3">
        <v>180</v>
      </c>
      <c r="C6350" s="32">
        <v>49346</v>
      </c>
      <c r="D6350" s="32">
        <v>49358</v>
      </c>
      <c r="E63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351" spans="1:6" x14ac:dyDescent="0.35">
      <c r="A6351" s="3">
        <v>80241663281</v>
      </c>
      <c r="B6351" s="3">
        <v>30</v>
      </c>
      <c r="C6351" s="32">
        <v>49346</v>
      </c>
      <c r="D6351" s="32" t="s">
        <v>87</v>
      </c>
      <c r="E63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2" spans="1:6" x14ac:dyDescent="0.35">
      <c r="A6352" s="3">
        <v>37790796297</v>
      </c>
      <c r="B6352" s="3">
        <v>313</v>
      </c>
      <c r="C6352" s="32">
        <v>49346</v>
      </c>
      <c r="D6352" s="32"/>
      <c r="E63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3" spans="1:6" x14ac:dyDescent="0.35">
      <c r="A6353" s="3">
        <v>39427579881</v>
      </c>
      <c r="B6353" s="3">
        <v>199</v>
      </c>
      <c r="C6353" s="32">
        <v>49346</v>
      </c>
      <c r="D6353" s="32" t="s">
        <v>87</v>
      </c>
      <c r="E63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4" spans="1:6" x14ac:dyDescent="0.35">
      <c r="A6354" s="3">
        <v>88807410737</v>
      </c>
      <c r="B6354" s="3">
        <v>138</v>
      </c>
      <c r="C6354" s="32">
        <v>49346</v>
      </c>
      <c r="D6354" s="32"/>
      <c r="E63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5" spans="1:6" x14ac:dyDescent="0.35">
      <c r="A6355" s="3">
        <v>36791967303</v>
      </c>
      <c r="B6355" s="3">
        <v>189</v>
      </c>
      <c r="C6355" s="32">
        <v>49346</v>
      </c>
      <c r="D6355" s="32" t="s">
        <v>87</v>
      </c>
      <c r="E63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6" spans="1:6" x14ac:dyDescent="0.35">
      <c r="A6356" s="3">
        <v>24369407521</v>
      </c>
      <c r="B6356" s="3">
        <v>309</v>
      </c>
      <c r="C6356" s="32">
        <v>49346</v>
      </c>
      <c r="D6356" s="32"/>
      <c r="E63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7" spans="1:6" x14ac:dyDescent="0.35">
      <c r="A6357" s="3">
        <v>73819164774</v>
      </c>
      <c r="B6357" s="3">
        <v>29</v>
      </c>
      <c r="C6357" s="32">
        <v>49346</v>
      </c>
      <c r="D6357" s="32">
        <v>49366</v>
      </c>
      <c r="E63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358" spans="1:6" x14ac:dyDescent="0.35">
      <c r="A6358" s="3">
        <v>67367815610</v>
      </c>
      <c r="B6358" s="3">
        <v>177</v>
      </c>
      <c r="C6358" s="32">
        <v>49346</v>
      </c>
      <c r="D6358" s="32" t="s">
        <v>87</v>
      </c>
      <c r="E63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9" spans="1:6" x14ac:dyDescent="0.35">
      <c r="A6359" s="3">
        <v>38188304887</v>
      </c>
      <c r="B6359" s="3">
        <v>222</v>
      </c>
      <c r="C6359" s="32">
        <v>49347</v>
      </c>
      <c r="D6359" s="32" t="s">
        <v>87</v>
      </c>
      <c r="E63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0" spans="1:6" x14ac:dyDescent="0.35">
      <c r="A6360" s="3">
        <v>98996216983</v>
      </c>
      <c r="B6360" s="3">
        <v>188</v>
      </c>
      <c r="C6360" s="32">
        <v>49347</v>
      </c>
      <c r="D6360" s="32" t="s">
        <v>87</v>
      </c>
      <c r="E63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1" spans="1:6" x14ac:dyDescent="0.35">
      <c r="A6361" s="3">
        <v>52102510676</v>
      </c>
      <c r="B6361" s="3">
        <v>139</v>
      </c>
      <c r="C6361" s="32">
        <v>49347</v>
      </c>
      <c r="D6361" s="32" t="s">
        <v>87</v>
      </c>
      <c r="E63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2" spans="1:6" x14ac:dyDescent="0.35">
      <c r="A6362" s="3">
        <v>15015616490</v>
      </c>
      <c r="B6362" s="3">
        <v>240</v>
      </c>
      <c r="C6362" s="32">
        <v>49347</v>
      </c>
      <c r="D6362" s="32" t="s">
        <v>87</v>
      </c>
      <c r="E63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3" spans="1:6" x14ac:dyDescent="0.35">
      <c r="A6363" s="3">
        <v>15126025240</v>
      </c>
      <c r="B6363" s="3">
        <v>41</v>
      </c>
      <c r="C6363" s="32">
        <v>49347</v>
      </c>
      <c r="D6363" s="32" t="s">
        <v>87</v>
      </c>
      <c r="E63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4" spans="1:6" x14ac:dyDescent="0.35">
      <c r="A6364" s="3">
        <v>82023155905</v>
      </c>
      <c r="B6364" s="3">
        <v>189</v>
      </c>
      <c r="C6364" s="32">
        <v>49347</v>
      </c>
      <c r="D6364" s="32" t="s">
        <v>87</v>
      </c>
      <c r="E63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5" spans="1:6" x14ac:dyDescent="0.35">
      <c r="A6365" s="3">
        <v>84819174271</v>
      </c>
      <c r="B6365" s="3">
        <v>62</v>
      </c>
      <c r="C6365" s="32">
        <v>49347</v>
      </c>
      <c r="D6365" s="32" t="s">
        <v>87</v>
      </c>
      <c r="E63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6" spans="1:6" x14ac:dyDescent="0.35">
      <c r="A6366" s="3">
        <v>57230442141</v>
      </c>
      <c r="B6366" s="3">
        <v>34</v>
      </c>
      <c r="C6366" s="32">
        <v>49347</v>
      </c>
      <c r="D6366" s="32" t="s">
        <v>87</v>
      </c>
      <c r="E63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7" spans="1:6" x14ac:dyDescent="0.35">
      <c r="A6367" s="3">
        <v>38895505012</v>
      </c>
      <c r="B6367" s="3">
        <v>243</v>
      </c>
      <c r="C6367" s="32">
        <v>49347</v>
      </c>
      <c r="D6367" s="32" t="s">
        <v>87</v>
      </c>
      <c r="E63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8" spans="1:6" x14ac:dyDescent="0.35">
      <c r="A6368" s="3">
        <v>81997706151</v>
      </c>
      <c r="B6368" s="3">
        <v>285</v>
      </c>
      <c r="C6368" s="32">
        <v>49347</v>
      </c>
      <c r="D6368" s="32" t="s">
        <v>87</v>
      </c>
      <c r="E63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9" spans="1:6" x14ac:dyDescent="0.35">
      <c r="A6369" s="3">
        <v>46326168962</v>
      </c>
      <c r="B6369" s="3">
        <v>140</v>
      </c>
      <c r="C6369" s="32">
        <v>49347</v>
      </c>
      <c r="D6369" s="32" t="s">
        <v>87</v>
      </c>
      <c r="E63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0" spans="1:6" x14ac:dyDescent="0.35">
      <c r="A6370" s="3">
        <v>34866494664</v>
      </c>
      <c r="B6370" s="3">
        <v>24</v>
      </c>
      <c r="C6370" s="32">
        <v>49347</v>
      </c>
      <c r="D6370" s="32" t="s">
        <v>87</v>
      </c>
      <c r="E63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1" spans="1:6" x14ac:dyDescent="0.35">
      <c r="A6371" s="3">
        <v>65973597591</v>
      </c>
      <c r="B6371" s="3">
        <v>313</v>
      </c>
      <c r="C6371" s="32">
        <v>49347</v>
      </c>
      <c r="D6371" s="32"/>
      <c r="E63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2" spans="1:6" x14ac:dyDescent="0.35">
      <c r="A6372" s="3">
        <v>79816205658</v>
      </c>
      <c r="B6372" s="3">
        <v>84</v>
      </c>
      <c r="C6372" s="32">
        <v>49347</v>
      </c>
      <c r="D6372" s="32" t="s">
        <v>87</v>
      </c>
      <c r="E63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3" spans="1:6" x14ac:dyDescent="0.35">
      <c r="A6373" s="3">
        <v>96842631884</v>
      </c>
      <c r="B6373" s="3">
        <v>123</v>
      </c>
      <c r="C6373" s="32">
        <v>49347</v>
      </c>
      <c r="D6373" s="32"/>
      <c r="E63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4" spans="1:6" x14ac:dyDescent="0.35">
      <c r="A6374" s="3">
        <v>97952074459</v>
      </c>
      <c r="B6374" s="3">
        <v>90</v>
      </c>
      <c r="C6374" s="32">
        <v>49347</v>
      </c>
      <c r="D6374" s="32" t="s">
        <v>87</v>
      </c>
      <c r="E63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5" spans="1:6" x14ac:dyDescent="0.35">
      <c r="A6375" s="3">
        <v>13274969291</v>
      </c>
      <c r="B6375" s="3">
        <v>80</v>
      </c>
      <c r="C6375" s="32">
        <v>49347</v>
      </c>
      <c r="D6375" s="32" t="s">
        <v>87</v>
      </c>
      <c r="E63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6" spans="1:6" x14ac:dyDescent="0.35">
      <c r="A6376" s="3">
        <v>67239735087</v>
      </c>
      <c r="B6376" s="3">
        <v>208</v>
      </c>
      <c r="C6376" s="32">
        <v>49347</v>
      </c>
      <c r="D6376" s="32"/>
      <c r="E63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7" spans="1:6" x14ac:dyDescent="0.35">
      <c r="A6377" s="3">
        <v>53071978484</v>
      </c>
      <c r="B6377" s="3">
        <v>224</v>
      </c>
      <c r="C6377" s="32">
        <v>49347</v>
      </c>
      <c r="D6377" s="32" t="s">
        <v>87</v>
      </c>
      <c r="E63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8" spans="1:6" x14ac:dyDescent="0.35">
      <c r="A6378" s="3">
        <v>29928322388</v>
      </c>
      <c r="B6378" s="3">
        <v>114</v>
      </c>
      <c r="C6378" s="32">
        <v>49347</v>
      </c>
      <c r="D6378" s="32" t="s">
        <v>87</v>
      </c>
      <c r="E63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9" spans="1:6" x14ac:dyDescent="0.35">
      <c r="A6379" s="3">
        <v>66609470953</v>
      </c>
      <c r="B6379" s="3">
        <v>151</v>
      </c>
      <c r="C6379" s="32">
        <v>49347</v>
      </c>
      <c r="D6379" s="32" t="s">
        <v>87</v>
      </c>
      <c r="E63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0" spans="1:6" x14ac:dyDescent="0.35">
      <c r="A6380" s="3">
        <v>52343650092</v>
      </c>
      <c r="B6380" s="3">
        <v>181</v>
      </c>
      <c r="C6380" s="32">
        <v>49347</v>
      </c>
      <c r="D6380" s="32"/>
      <c r="E63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1" spans="1:6" x14ac:dyDescent="0.35">
      <c r="A6381" s="3">
        <v>19266236742</v>
      </c>
      <c r="B6381" s="3">
        <v>297</v>
      </c>
      <c r="C6381" s="32">
        <v>49347</v>
      </c>
      <c r="D6381" s="32">
        <v>49348</v>
      </c>
      <c r="E63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382" spans="1:6" x14ac:dyDescent="0.35">
      <c r="A6382" s="3">
        <v>45440522557</v>
      </c>
      <c r="B6382" s="3">
        <v>64</v>
      </c>
      <c r="C6382" s="32">
        <v>49347</v>
      </c>
      <c r="D6382" s="32" t="s">
        <v>87</v>
      </c>
      <c r="E63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3" spans="1:6" x14ac:dyDescent="0.35">
      <c r="A6383" s="3">
        <v>94180560413</v>
      </c>
      <c r="B6383" s="3">
        <v>165</v>
      </c>
      <c r="C6383" s="32">
        <v>49347</v>
      </c>
      <c r="D6383" s="32" t="s">
        <v>87</v>
      </c>
      <c r="E63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4" spans="1:6" x14ac:dyDescent="0.35">
      <c r="A6384" s="3">
        <v>45853781562</v>
      </c>
      <c r="B6384" s="3">
        <v>68</v>
      </c>
      <c r="C6384" s="32">
        <v>49347</v>
      </c>
      <c r="D6384" s="32" t="s">
        <v>87</v>
      </c>
      <c r="E63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5" spans="1:6" x14ac:dyDescent="0.35">
      <c r="A6385" s="3">
        <v>55465237021</v>
      </c>
      <c r="B6385" s="3">
        <v>243</v>
      </c>
      <c r="C6385" s="32">
        <v>49347</v>
      </c>
      <c r="D6385" s="32"/>
      <c r="E63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6" spans="1:6" x14ac:dyDescent="0.35">
      <c r="A6386" s="3">
        <v>97659240044</v>
      </c>
      <c r="B6386" s="3">
        <v>96</v>
      </c>
      <c r="C6386" s="32">
        <v>49348</v>
      </c>
      <c r="D6386" s="32" t="s">
        <v>87</v>
      </c>
      <c r="E63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7" spans="1:6" x14ac:dyDescent="0.35">
      <c r="A6387" s="3">
        <v>94792145334</v>
      </c>
      <c r="B6387" s="3">
        <v>5</v>
      </c>
      <c r="C6387" s="32">
        <v>49348</v>
      </c>
      <c r="D6387" s="32"/>
      <c r="E63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8" spans="1:6" x14ac:dyDescent="0.35">
      <c r="A6388" s="3">
        <v>71192980090</v>
      </c>
      <c r="B6388" s="3">
        <v>18</v>
      </c>
      <c r="C6388" s="32">
        <v>49348</v>
      </c>
      <c r="D6388" s="32" t="s">
        <v>87</v>
      </c>
      <c r="E63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9" spans="1:6" x14ac:dyDescent="0.35">
      <c r="A6389" s="3">
        <v>47860285525</v>
      </c>
      <c r="B6389" s="3">
        <v>135</v>
      </c>
      <c r="C6389" s="32">
        <v>49348</v>
      </c>
      <c r="D6389" s="32" t="s">
        <v>87</v>
      </c>
      <c r="E63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0" spans="1:6" x14ac:dyDescent="0.35">
      <c r="A6390" s="3">
        <v>85223849446</v>
      </c>
      <c r="B6390" s="3">
        <v>25</v>
      </c>
      <c r="C6390" s="32">
        <v>49348</v>
      </c>
      <c r="D6390" s="32" t="s">
        <v>87</v>
      </c>
      <c r="E63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1" spans="1:6" x14ac:dyDescent="0.35">
      <c r="A6391" s="3">
        <v>68760678506</v>
      </c>
      <c r="B6391" s="3">
        <v>166</v>
      </c>
      <c r="C6391" s="32">
        <v>49348</v>
      </c>
      <c r="D6391" s="32" t="s">
        <v>87</v>
      </c>
      <c r="E63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2" spans="1:6" x14ac:dyDescent="0.35">
      <c r="A6392" s="3">
        <v>57517616650</v>
      </c>
      <c r="B6392" s="3">
        <v>21</v>
      </c>
      <c r="C6392" s="32">
        <v>49348</v>
      </c>
      <c r="D6392" s="32" t="s">
        <v>87</v>
      </c>
      <c r="E63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3" spans="1:6" x14ac:dyDescent="0.35">
      <c r="A6393" s="3">
        <v>36672955017</v>
      </c>
      <c r="B6393" s="3">
        <v>4</v>
      </c>
      <c r="C6393" s="32">
        <v>49348</v>
      </c>
      <c r="D6393" s="32" t="s">
        <v>87</v>
      </c>
      <c r="E63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4" spans="1:6" x14ac:dyDescent="0.35">
      <c r="A6394" s="3">
        <v>39167669194</v>
      </c>
      <c r="B6394" s="3">
        <v>120</v>
      </c>
      <c r="C6394" s="32">
        <v>49348</v>
      </c>
      <c r="D6394" s="32">
        <v>49349</v>
      </c>
      <c r="E63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395" spans="1:6" x14ac:dyDescent="0.35">
      <c r="A6395" s="3">
        <v>73196954208</v>
      </c>
      <c r="B6395" s="3">
        <v>148</v>
      </c>
      <c r="C6395" s="32">
        <v>49348</v>
      </c>
      <c r="D6395" s="32" t="s">
        <v>87</v>
      </c>
      <c r="E63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6" spans="1:6" x14ac:dyDescent="0.35">
      <c r="A6396" s="3">
        <v>20772673537</v>
      </c>
      <c r="B6396" s="3">
        <v>27</v>
      </c>
      <c r="C6396" s="32">
        <v>49348</v>
      </c>
      <c r="D6396" s="32" t="s">
        <v>87</v>
      </c>
      <c r="E63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7" spans="1:6" x14ac:dyDescent="0.35">
      <c r="A6397" s="3">
        <v>62901377304</v>
      </c>
      <c r="B6397" s="3">
        <v>77</v>
      </c>
      <c r="C6397" s="32">
        <v>49348</v>
      </c>
      <c r="D6397" s="32" t="s">
        <v>87</v>
      </c>
      <c r="E63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8" spans="1:6" x14ac:dyDescent="0.35">
      <c r="A6398" s="3">
        <v>90083167040</v>
      </c>
      <c r="B6398" s="3">
        <v>132</v>
      </c>
      <c r="C6398" s="32">
        <v>49348</v>
      </c>
      <c r="D6398" s="32" t="s">
        <v>87</v>
      </c>
      <c r="E63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9" spans="1:6" x14ac:dyDescent="0.35">
      <c r="A6399" s="3">
        <v>40327804847</v>
      </c>
      <c r="B6399" s="3">
        <v>154</v>
      </c>
      <c r="C6399" s="32">
        <v>49348</v>
      </c>
      <c r="D6399" s="32" t="s">
        <v>87</v>
      </c>
      <c r="E63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0" spans="1:6" x14ac:dyDescent="0.35">
      <c r="A6400" s="3">
        <v>26203320569</v>
      </c>
      <c r="B6400" s="3">
        <v>218</v>
      </c>
      <c r="C6400" s="32">
        <v>49348</v>
      </c>
      <c r="D6400" s="32" t="s">
        <v>87</v>
      </c>
      <c r="E64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1" spans="1:6" x14ac:dyDescent="0.35">
      <c r="A6401" s="3">
        <v>93833380128</v>
      </c>
      <c r="B6401" s="3">
        <v>308</v>
      </c>
      <c r="C6401" s="32">
        <v>49348</v>
      </c>
      <c r="D6401" s="32" t="s">
        <v>87</v>
      </c>
      <c r="E64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2" spans="1:6" x14ac:dyDescent="0.35">
      <c r="A6402" s="3">
        <v>80347176327</v>
      </c>
      <c r="B6402" s="3">
        <v>136</v>
      </c>
      <c r="C6402" s="32">
        <v>49348</v>
      </c>
      <c r="D6402" s="32"/>
      <c r="E64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3" spans="1:6" x14ac:dyDescent="0.35">
      <c r="A6403" s="3">
        <v>93964110907</v>
      </c>
      <c r="B6403" s="3">
        <v>187</v>
      </c>
      <c r="C6403" s="32">
        <v>49348</v>
      </c>
      <c r="D6403" s="32" t="s">
        <v>87</v>
      </c>
      <c r="E64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4" spans="1:6" x14ac:dyDescent="0.35">
      <c r="A6404" s="3">
        <v>33688675279</v>
      </c>
      <c r="B6404" s="3">
        <v>61</v>
      </c>
      <c r="C6404" s="32">
        <v>49348</v>
      </c>
      <c r="D6404" s="32" t="s">
        <v>87</v>
      </c>
      <c r="E64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5" spans="1:6" x14ac:dyDescent="0.35">
      <c r="A6405" s="3">
        <v>95732560011</v>
      </c>
      <c r="B6405" s="3">
        <v>62</v>
      </c>
      <c r="C6405" s="32">
        <v>49348</v>
      </c>
      <c r="D6405" s="32" t="s">
        <v>87</v>
      </c>
      <c r="E64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6" spans="1:6" x14ac:dyDescent="0.35">
      <c r="A6406" s="3">
        <v>61515377026</v>
      </c>
      <c r="B6406" s="3">
        <v>140</v>
      </c>
      <c r="C6406" s="32">
        <v>49348</v>
      </c>
      <c r="D6406" s="32"/>
      <c r="E64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7" spans="1:6" x14ac:dyDescent="0.35">
      <c r="A6407" s="3">
        <v>57634280952</v>
      </c>
      <c r="B6407" s="3">
        <v>196</v>
      </c>
      <c r="C6407" s="32">
        <v>49348</v>
      </c>
      <c r="D6407" s="32" t="s">
        <v>87</v>
      </c>
      <c r="E64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8" spans="1:6" x14ac:dyDescent="0.35">
      <c r="A6408" s="3">
        <v>31536362538</v>
      </c>
      <c r="B6408" s="3">
        <v>71</v>
      </c>
      <c r="C6408" s="32">
        <v>49348</v>
      </c>
      <c r="D6408" s="32" t="s">
        <v>87</v>
      </c>
      <c r="E64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9" spans="1:6" x14ac:dyDescent="0.35">
      <c r="A6409" s="3">
        <v>89472495034</v>
      </c>
      <c r="B6409" s="3">
        <v>243</v>
      </c>
      <c r="C6409" s="32">
        <v>49348</v>
      </c>
      <c r="D6409" s="32" t="s">
        <v>87</v>
      </c>
      <c r="E64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0" spans="1:6" x14ac:dyDescent="0.35">
      <c r="A6410" s="3">
        <v>61785185942</v>
      </c>
      <c r="B6410" s="3">
        <v>44</v>
      </c>
      <c r="C6410" s="32">
        <v>49348</v>
      </c>
      <c r="D6410" s="32"/>
      <c r="E64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1" spans="1:6" x14ac:dyDescent="0.35">
      <c r="A6411" s="3">
        <v>67064348524</v>
      </c>
      <c r="B6411" s="3">
        <v>8</v>
      </c>
      <c r="C6411" s="32">
        <v>49348</v>
      </c>
      <c r="D6411" s="32"/>
      <c r="E64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2" spans="1:6" x14ac:dyDescent="0.35">
      <c r="A6412" s="3">
        <v>75514926268</v>
      </c>
      <c r="B6412" s="3">
        <v>227</v>
      </c>
      <c r="C6412" s="32">
        <v>49348</v>
      </c>
      <c r="D6412" s="32" t="s">
        <v>87</v>
      </c>
      <c r="E64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3" spans="1:6" x14ac:dyDescent="0.35">
      <c r="A6413" s="3">
        <v>84706445362</v>
      </c>
      <c r="B6413" s="3">
        <v>100</v>
      </c>
      <c r="C6413" s="32">
        <v>49348</v>
      </c>
      <c r="D6413" s="32" t="s">
        <v>87</v>
      </c>
      <c r="E64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4" spans="1:6" x14ac:dyDescent="0.35">
      <c r="A6414" s="3">
        <v>93550905344</v>
      </c>
      <c r="B6414" s="3">
        <v>320</v>
      </c>
      <c r="C6414" s="32">
        <v>49348</v>
      </c>
      <c r="D6414" s="32" t="s">
        <v>87</v>
      </c>
      <c r="E64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5" spans="1:6" x14ac:dyDescent="0.35">
      <c r="A6415" s="3">
        <v>54642550925</v>
      </c>
      <c r="B6415" s="3">
        <v>139</v>
      </c>
      <c r="C6415" s="32">
        <v>49349</v>
      </c>
      <c r="D6415" s="32" t="s">
        <v>87</v>
      </c>
      <c r="E64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6" spans="1:6" x14ac:dyDescent="0.35">
      <c r="A6416" s="3">
        <v>88520315894</v>
      </c>
      <c r="B6416" s="3">
        <v>220</v>
      </c>
      <c r="C6416" s="32">
        <v>49349</v>
      </c>
      <c r="D6416" s="32"/>
      <c r="E64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7" spans="1:6" x14ac:dyDescent="0.35">
      <c r="A6417" s="3">
        <v>97419020337</v>
      </c>
      <c r="B6417" s="3">
        <v>16</v>
      </c>
      <c r="C6417" s="32">
        <v>49349</v>
      </c>
      <c r="D6417" s="32" t="s">
        <v>87</v>
      </c>
      <c r="E64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8" spans="1:6" x14ac:dyDescent="0.35">
      <c r="A6418" s="3">
        <v>73407183396</v>
      </c>
      <c r="B6418" s="3">
        <v>178</v>
      </c>
      <c r="C6418" s="32">
        <v>49349</v>
      </c>
      <c r="D6418" s="32">
        <v>49355</v>
      </c>
      <c r="E64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419" spans="1:6" x14ac:dyDescent="0.35">
      <c r="A6419" s="3">
        <v>75374238819</v>
      </c>
      <c r="B6419" s="3">
        <v>212</v>
      </c>
      <c r="C6419" s="32">
        <v>49349</v>
      </c>
      <c r="D6419" s="32" t="s">
        <v>87</v>
      </c>
      <c r="E64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0" spans="1:6" x14ac:dyDescent="0.35">
      <c r="A6420" s="3">
        <v>65178995498</v>
      </c>
      <c r="B6420" s="3">
        <v>213</v>
      </c>
      <c r="C6420" s="32">
        <v>49349</v>
      </c>
      <c r="D6420" s="32" t="s">
        <v>87</v>
      </c>
      <c r="E64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1" spans="1:6" x14ac:dyDescent="0.35">
      <c r="A6421" s="3">
        <v>35357876602</v>
      </c>
      <c r="B6421" s="3">
        <v>48</v>
      </c>
      <c r="C6421" s="32">
        <v>49349</v>
      </c>
      <c r="D6421" s="32"/>
      <c r="E64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2" spans="1:6" x14ac:dyDescent="0.35">
      <c r="A6422" s="3">
        <v>24345918719</v>
      </c>
      <c r="B6422" s="3">
        <v>26</v>
      </c>
      <c r="C6422" s="32">
        <v>49349</v>
      </c>
      <c r="D6422" s="32" t="s">
        <v>87</v>
      </c>
      <c r="E64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3" spans="1:6" x14ac:dyDescent="0.35">
      <c r="A6423" s="3">
        <v>77595059385</v>
      </c>
      <c r="B6423" s="3">
        <v>84</v>
      </c>
      <c r="C6423" s="32">
        <v>49349</v>
      </c>
      <c r="D6423" s="32" t="s">
        <v>87</v>
      </c>
      <c r="E64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4" spans="1:6" x14ac:dyDescent="0.35">
      <c r="A6424" s="3">
        <v>58474274445</v>
      </c>
      <c r="B6424" s="3">
        <v>211</v>
      </c>
      <c r="C6424" s="32">
        <v>49349</v>
      </c>
      <c r="D6424" s="32" t="s">
        <v>87</v>
      </c>
      <c r="E64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5" spans="1:6" x14ac:dyDescent="0.35">
      <c r="A6425" s="3">
        <v>45494862716</v>
      </c>
      <c r="B6425" s="3">
        <v>82</v>
      </c>
      <c r="C6425" s="32">
        <v>49349</v>
      </c>
      <c r="D6425" s="32" t="s">
        <v>87</v>
      </c>
      <c r="E64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6" spans="1:6" x14ac:dyDescent="0.35">
      <c r="A6426" s="3">
        <v>91597347282</v>
      </c>
      <c r="B6426" s="3">
        <v>319</v>
      </c>
      <c r="C6426" s="32">
        <v>49349</v>
      </c>
      <c r="D6426" s="32" t="s">
        <v>87</v>
      </c>
      <c r="E64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7" spans="1:6" x14ac:dyDescent="0.35">
      <c r="A6427" s="3">
        <v>95172189189</v>
      </c>
      <c r="B6427" s="3">
        <v>91</v>
      </c>
      <c r="C6427" s="32">
        <v>49349</v>
      </c>
      <c r="D6427" s="32" t="s">
        <v>87</v>
      </c>
      <c r="E64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8" spans="1:6" x14ac:dyDescent="0.35">
      <c r="A6428" s="3">
        <v>88457607156</v>
      </c>
      <c r="B6428" s="3">
        <v>130</v>
      </c>
      <c r="C6428" s="32">
        <v>49349</v>
      </c>
      <c r="D6428" s="32"/>
      <c r="E64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9" spans="1:6" x14ac:dyDescent="0.35">
      <c r="A6429" s="3">
        <v>36488117522</v>
      </c>
      <c r="B6429" s="3">
        <v>125</v>
      </c>
      <c r="C6429" s="32">
        <v>49349</v>
      </c>
      <c r="D6429" s="32"/>
      <c r="E64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0" spans="1:6" x14ac:dyDescent="0.35">
      <c r="A6430" s="3">
        <v>11904380768</v>
      </c>
      <c r="B6430" s="3">
        <v>117</v>
      </c>
      <c r="C6430" s="32">
        <v>49349</v>
      </c>
      <c r="D6430" s="32" t="s">
        <v>87</v>
      </c>
      <c r="E64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1" spans="1:6" x14ac:dyDescent="0.35">
      <c r="A6431" s="3">
        <v>60512081187</v>
      </c>
      <c r="B6431" s="3">
        <v>323</v>
      </c>
      <c r="C6431" s="32">
        <v>49349</v>
      </c>
      <c r="D6431" s="32" t="s">
        <v>87</v>
      </c>
      <c r="E64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2" spans="1:6" x14ac:dyDescent="0.35">
      <c r="A6432" s="3">
        <v>57811533028</v>
      </c>
      <c r="B6432" s="3">
        <v>47</v>
      </c>
      <c r="C6432" s="32">
        <v>49349</v>
      </c>
      <c r="D6432" s="32" t="s">
        <v>87</v>
      </c>
      <c r="E64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3" spans="1:6" x14ac:dyDescent="0.35">
      <c r="A6433" s="3">
        <v>20209727977</v>
      </c>
      <c r="B6433" s="3">
        <v>26</v>
      </c>
      <c r="C6433" s="32">
        <v>49349</v>
      </c>
      <c r="D6433" s="32" t="s">
        <v>87</v>
      </c>
      <c r="E64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4" spans="1:6" x14ac:dyDescent="0.35">
      <c r="A6434" s="3">
        <v>46459228514</v>
      </c>
      <c r="B6434" s="3">
        <v>297</v>
      </c>
      <c r="C6434" s="32">
        <v>49349</v>
      </c>
      <c r="D6434" s="32" t="s">
        <v>87</v>
      </c>
      <c r="E64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5" spans="1:6" x14ac:dyDescent="0.35">
      <c r="A6435" s="3">
        <v>81974396270</v>
      </c>
      <c r="B6435" s="3">
        <v>33</v>
      </c>
      <c r="C6435" s="32">
        <v>49349</v>
      </c>
      <c r="D6435" s="32" t="s">
        <v>87</v>
      </c>
      <c r="E64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6" spans="1:6" x14ac:dyDescent="0.35">
      <c r="A6436" s="3">
        <v>98429088097</v>
      </c>
      <c r="B6436" s="3">
        <v>150</v>
      </c>
      <c r="C6436" s="32">
        <v>49349</v>
      </c>
      <c r="D6436" s="32" t="s">
        <v>87</v>
      </c>
      <c r="E64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7" spans="1:6" x14ac:dyDescent="0.35">
      <c r="A6437" s="3">
        <v>76479482031</v>
      </c>
      <c r="B6437" s="3">
        <v>174</v>
      </c>
      <c r="C6437" s="32">
        <v>49349</v>
      </c>
      <c r="D6437" s="32" t="s">
        <v>87</v>
      </c>
      <c r="E64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8" spans="1:6" x14ac:dyDescent="0.35">
      <c r="A6438" s="3">
        <v>78074198012</v>
      </c>
      <c r="B6438" s="3">
        <v>64</v>
      </c>
      <c r="C6438" s="32">
        <v>49349</v>
      </c>
      <c r="D6438" s="32" t="s">
        <v>87</v>
      </c>
      <c r="E64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9" spans="1:6" x14ac:dyDescent="0.35">
      <c r="A6439" s="3">
        <v>77203758940</v>
      </c>
      <c r="B6439" s="3">
        <v>194</v>
      </c>
      <c r="C6439" s="32">
        <v>49349</v>
      </c>
      <c r="D6439" s="32" t="s">
        <v>87</v>
      </c>
      <c r="E64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0" spans="1:6" x14ac:dyDescent="0.35">
      <c r="A6440" s="3">
        <v>72491545201</v>
      </c>
      <c r="B6440" s="3">
        <v>147</v>
      </c>
      <c r="C6440" s="32">
        <v>49349</v>
      </c>
      <c r="D6440" s="32"/>
      <c r="E64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1" spans="1:6" x14ac:dyDescent="0.35">
      <c r="A6441" s="3">
        <v>83466501242</v>
      </c>
      <c r="B6441" s="3">
        <v>234</v>
      </c>
      <c r="C6441" s="32">
        <v>49349</v>
      </c>
      <c r="D6441" s="32"/>
      <c r="E64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2" spans="1:6" x14ac:dyDescent="0.35">
      <c r="A6442" s="3">
        <v>13418119618</v>
      </c>
      <c r="B6442" s="3">
        <v>316</v>
      </c>
      <c r="C6442" s="32">
        <v>49349</v>
      </c>
      <c r="D6442" s="32" t="s">
        <v>87</v>
      </c>
      <c r="E64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3" spans="1:6" x14ac:dyDescent="0.35">
      <c r="A6443" s="3">
        <v>55797532862</v>
      </c>
      <c r="B6443" s="3">
        <v>86</v>
      </c>
      <c r="C6443" s="32">
        <v>49349</v>
      </c>
      <c r="D6443" s="32" t="s">
        <v>87</v>
      </c>
      <c r="E64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4" spans="1:6" x14ac:dyDescent="0.35">
      <c r="A6444" s="3">
        <v>86678249313</v>
      </c>
      <c r="B6444" s="3">
        <v>125</v>
      </c>
      <c r="C6444" s="32">
        <v>49349</v>
      </c>
      <c r="D6444" s="32" t="s">
        <v>87</v>
      </c>
      <c r="E64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5" spans="1:6" x14ac:dyDescent="0.35">
      <c r="A6445" s="3">
        <v>78202556261</v>
      </c>
      <c r="B6445" s="3">
        <v>137</v>
      </c>
      <c r="C6445" s="32">
        <v>49349</v>
      </c>
      <c r="D6445" s="32" t="s">
        <v>87</v>
      </c>
      <c r="E64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6" spans="1:6" x14ac:dyDescent="0.35">
      <c r="A6446" s="3">
        <v>43528386081</v>
      </c>
      <c r="B6446" s="3">
        <v>320</v>
      </c>
      <c r="C6446" s="32">
        <v>49349</v>
      </c>
      <c r="D6446" s="32" t="s">
        <v>87</v>
      </c>
      <c r="E64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7" spans="1:6" x14ac:dyDescent="0.35">
      <c r="A6447" s="3">
        <v>85845574377</v>
      </c>
      <c r="B6447" s="3">
        <v>142</v>
      </c>
      <c r="C6447" s="32">
        <v>49349</v>
      </c>
      <c r="D6447" s="32" t="s">
        <v>87</v>
      </c>
      <c r="E64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8" spans="1:6" x14ac:dyDescent="0.35">
      <c r="A6448" s="3">
        <v>65581077789</v>
      </c>
      <c r="B6448" s="3">
        <v>0</v>
      </c>
      <c r="C6448" s="32">
        <v>49349</v>
      </c>
      <c r="D6448" s="32"/>
      <c r="E64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9" spans="1:6" x14ac:dyDescent="0.35">
      <c r="A6449" s="3">
        <v>92464655779</v>
      </c>
      <c r="B6449" s="3">
        <v>79</v>
      </c>
      <c r="C6449" s="32">
        <v>49349</v>
      </c>
      <c r="D6449" s="32">
        <v>49358</v>
      </c>
      <c r="E64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450" spans="1:6" x14ac:dyDescent="0.35">
      <c r="A6450" s="3">
        <v>54464216743</v>
      </c>
      <c r="B6450" s="3">
        <v>239</v>
      </c>
      <c r="C6450" s="32">
        <v>49349</v>
      </c>
      <c r="D6450" s="32"/>
      <c r="E64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1" spans="1:6" x14ac:dyDescent="0.35">
      <c r="A6451" s="3">
        <v>68728031180</v>
      </c>
      <c r="B6451" s="3">
        <v>12</v>
      </c>
      <c r="C6451" s="32">
        <v>49349</v>
      </c>
      <c r="D6451" s="32" t="s">
        <v>87</v>
      </c>
      <c r="E64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2" spans="1:6" x14ac:dyDescent="0.35">
      <c r="A6452" s="3">
        <v>41694467988</v>
      </c>
      <c r="B6452" s="3">
        <v>208</v>
      </c>
      <c r="C6452" s="32">
        <v>49350</v>
      </c>
      <c r="D6452" s="32" t="s">
        <v>87</v>
      </c>
      <c r="E64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3" spans="1:6" x14ac:dyDescent="0.35">
      <c r="A6453" s="3">
        <v>28458266166</v>
      </c>
      <c r="B6453" s="3">
        <v>61</v>
      </c>
      <c r="C6453" s="32">
        <v>49350</v>
      </c>
      <c r="D6453" s="32" t="s">
        <v>87</v>
      </c>
      <c r="E64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4" spans="1:6" x14ac:dyDescent="0.35">
      <c r="A6454" s="3">
        <v>20356108567</v>
      </c>
      <c r="B6454" s="3">
        <v>254</v>
      </c>
      <c r="C6454" s="32">
        <v>49350</v>
      </c>
      <c r="D6454" s="32" t="s">
        <v>87</v>
      </c>
      <c r="E64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5" spans="1:6" x14ac:dyDescent="0.35">
      <c r="A6455" s="3">
        <v>22258130534</v>
      </c>
      <c r="B6455" s="3">
        <v>116</v>
      </c>
      <c r="C6455" s="32">
        <v>49350</v>
      </c>
      <c r="D6455" s="32" t="s">
        <v>87</v>
      </c>
      <c r="E64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6" spans="1:6" x14ac:dyDescent="0.35">
      <c r="A6456" s="3">
        <v>20919033400</v>
      </c>
      <c r="B6456" s="3">
        <v>326</v>
      </c>
      <c r="C6456" s="32">
        <v>49350</v>
      </c>
      <c r="D6456" s="32" t="s">
        <v>87</v>
      </c>
      <c r="E64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7" spans="1:6" x14ac:dyDescent="0.35">
      <c r="A6457" s="3">
        <v>99136880812</v>
      </c>
      <c r="B6457" s="3">
        <v>199</v>
      </c>
      <c r="C6457" s="32">
        <v>49350</v>
      </c>
      <c r="D6457" s="32" t="s">
        <v>87</v>
      </c>
      <c r="E64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8" spans="1:6" x14ac:dyDescent="0.35">
      <c r="A6458" s="3">
        <v>95318578783</v>
      </c>
      <c r="B6458" s="3">
        <v>260</v>
      </c>
      <c r="C6458" s="32">
        <v>49350</v>
      </c>
      <c r="D6458" s="32" t="s">
        <v>87</v>
      </c>
      <c r="E64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9" spans="1:6" x14ac:dyDescent="0.35">
      <c r="A6459" s="3">
        <v>13007862180</v>
      </c>
      <c r="B6459" s="3">
        <v>3</v>
      </c>
      <c r="C6459" s="32">
        <v>49350</v>
      </c>
      <c r="D6459" s="32">
        <v>49367</v>
      </c>
      <c r="E64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460" spans="1:6" x14ac:dyDescent="0.35">
      <c r="A6460" s="3">
        <v>33745843522</v>
      </c>
      <c r="B6460" s="3">
        <v>211</v>
      </c>
      <c r="C6460" s="32">
        <v>49350</v>
      </c>
      <c r="D6460" s="32" t="s">
        <v>87</v>
      </c>
      <c r="E64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1" spans="1:6" x14ac:dyDescent="0.35">
      <c r="A6461" s="3">
        <v>68480485230</v>
      </c>
      <c r="B6461" s="3">
        <v>238</v>
      </c>
      <c r="C6461" s="32">
        <v>49350</v>
      </c>
      <c r="D6461" s="32" t="s">
        <v>87</v>
      </c>
      <c r="E64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2" spans="1:6" x14ac:dyDescent="0.35">
      <c r="A6462" s="3">
        <v>82308737481</v>
      </c>
      <c r="B6462" s="3">
        <v>123</v>
      </c>
      <c r="C6462" s="32">
        <v>49350</v>
      </c>
      <c r="D6462" s="32" t="s">
        <v>87</v>
      </c>
      <c r="E64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3" spans="1:6" x14ac:dyDescent="0.35">
      <c r="A6463" s="3">
        <v>39913291458</v>
      </c>
      <c r="B6463" s="3">
        <v>14</v>
      </c>
      <c r="C6463" s="32">
        <v>49350</v>
      </c>
      <c r="D6463" s="32"/>
      <c r="E64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4" spans="1:6" x14ac:dyDescent="0.35">
      <c r="A6464" s="3">
        <v>42529027288</v>
      </c>
      <c r="B6464" s="3">
        <v>284</v>
      </c>
      <c r="C6464" s="32">
        <v>49350</v>
      </c>
      <c r="D6464" s="32" t="s">
        <v>87</v>
      </c>
      <c r="E64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5" spans="1:6" x14ac:dyDescent="0.35">
      <c r="A6465" s="3">
        <v>74089798159</v>
      </c>
      <c r="B6465" s="3">
        <v>209</v>
      </c>
      <c r="C6465" s="32">
        <v>49350</v>
      </c>
      <c r="D6465" s="32" t="s">
        <v>87</v>
      </c>
      <c r="E64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6" spans="1:6" x14ac:dyDescent="0.35">
      <c r="A6466" s="3">
        <v>71362482832</v>
      </c>
      <c r="B6466" s="3">
        <v>204</v>
      </c>
      <c r="C6466" s="32">
        <v>49350</v>
      </c>
      <c r="D6466" s="32"/>
      <c r="E64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7" spans="1:6" x14ac:dyDescent="0.35">
      <c r="A6467" s="3">
        <v>65445125484</v>
      </c>
      <c r="B6467" s="3">
        <v>248</v>
      </c>
      <c r="C6467" s="32">
        <v>49350</v>
      </c>
      <c r="D6467" s="32"/>
      <c r="E64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8" spans="1:6" x14ac:dyDescent="0.35">
      <c r="A6468" s="3">
        <v>87215182722</v>
      </c>
      <c r="B6468" s="3">
        <v>138</v>
      </c>
      <c r="C6468" s="32">
        <v>49350</v>
      </c>
      <c r="D6468" s="32" t="s">
        <v>87</v>
      </c>
      <c r="E64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9" spans="1:6" x14ac:dyDescent="0.35">
      <c r="A6469" s="3">
        <v>24018155102</v>
      </c>
      <c r="B6469" s="3">
        <v>340</v>
      </c>
      <c r="C6469" s="32">
        <v>49350</v>
      </c>
      <c r="D6469" s="32" t="s">
        <v>87</v>
      </c>
      <c r="E64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0" spans="1:6" x14ac:dyDescent="0.35">
      <c r="A6470" s="3">
        <v>62666649794</v>
      </c>
      <c r="B6470" s="3">
        <v>127</v>
      </c>
      <c r="C6470" s="32">
        <v>49350</v>
      </c>
      <c r="D6470" s="32" t="s">
        <v>87</v>
      </c>
      <c r="E64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1" spans="1:6" x14ac:dyDescent="0.35">
      <c r="A6471" s="3">
        <v>62009355914</v>
      </c>
      <c r="B6471" s="3">
        <v>207</v>
      </c>
      <c r="C6471" s="32">
        <v>49350</v>
      </c>
      <c r="D6471" s="32" t="s">
        <v>87</v>
      </c>
      <c r="E64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2" spans="1:6" x14ac:dyDescent="0.35">
      <c r="A6472" s="3">
        <v>29349411008</v>
      </c>
      <c r="B6472" s="3">
        <v>3</v>
      </c>
      <c r="C6472" s="32">
        <v>49350</v>
      </c>
      <c r="D6472" s="32" t="s">
        <v>87</v>
      </c>
      <c r="E64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3" spans="1:6" x14ac:dyDescent="0.35">
      <c r="A6473" s="3">
        <v>20482526292</v>
      </c>
      <c r="B6473" s="3">
        <v>329</v>
      </c>
      <c r="C6473" s="32">
        <v>49350</v>
      </c>
      <c r="D6473" s="32" t="s">
        <v>87</v>
      </c>
      <c r="E64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4" spans="1:6" x14ac:dyDescent="0.35">
      <c r="A6474" s="3">
        <v>17361016423</v>
      </c>
      <c r="B6474" s="3">
        <v>334</v>
      </c>
      <c r="C6474" s="32">
        <v>49350</v>
      </c>
      <c r="D6474" s="32"/>
      <c r="E64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5" spans="1:6" x14ac:dyDescent="0.35">
      <c r="A6475" s="3">
        <v>85295503777</v>
      </c>
      <c r="B6475" s="3">
        <v>7</v>
      </c>
      <c r="C6475" s="32">
        <v>49350</v>
      </c>
      <c r="D6475" s="32" t="s">
        <v>87</v>
      </c>
      <c r="E64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6" spans="1:6" x14ac:dyDescent="0.35">
      <c r="A6476" s="3">
        <v>39406900619</v>
      </c>
      <c r="B6476" s="3">
        <v>47</v>
      </c>
      <c r="C6476" s="32">
        <v>49350</v>
      </c>
      <c r="D6476" s="32" t="s">
        <v>87</v>
      </c>
      <c r="E64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7" spans="1:6" x14ac:dyDescent="0.35">
      <c r="A6477" s="3">
        <v>25476537267</v>
      </c>
      <c r="B6477" s="3">
        <v>179</v>
      </c>
      <c r="C6477" s="32">
        <v>49351</v>
      </c>
      <c r="D6477" s="32" t="s">
        <v>87</v>
      </c>
      <c r="E64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8" spans="1:6" x14ac:dyDescent="0.35">
      <c r="A6478" s="3">
        <v>86999712102</v>
      </c>
      <c r="B6478" s="3">
        <v>205</v>
      </c>
      <c r="C6478" s="32">
        <v>49351</v>
      </c>
      <c r="D6478" s="32" t="s">
        <v>87</v>
      </c>
      <c r="E64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9" spans="1:6" x14ac:dyDescent="0.35">
      <c r="A6479" s="3">
        <v>39858080883</v>
      </c>
      <c r="B6479" s="3">
        <v>130</v>
      </c>
      <c r="C6479" s="32">
        <v>49351</v>
      </c>
      <c r="D6479" s="32" t="s">
        <v>87</v>
      </c>
      <c r="E64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0" spans="1:6" x14ac:dyDescent="0.35">
      <c r="A6480" s="3">
        <v>42415276099</v>
      </c>
      <c r="B6480" s="3">
        <v>143</v>
      </c>
      <c r="C6480" s="32">
        <v>49351</v>
      </c>
      <c r="D6480" s="32" t="s">
        <v>87</v>
      </c>
      <c r="E64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1" spans="1:6" x14ac:dyDescent="0.35">
      <c r="A6481" s="3">
        <v>57411480428</v>
      </c>
      <c r="B6481" s="3">
        <v>246</v>
      </c>
      <c r="C6481" s="32">
        <v>49351</v>
      </c>
      <c r="D6481" s="32" t="s">
        <v>87</v>
      </c>
      <c r="E64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2" spans="1:6" x14ac:dyDescent="0.35">
      <c r="A6482" s="3">
        <v>71408281126</v>
      </c>
      <c r="B6482" s="3">
        <v>326</v>
      </c>
      <c r="C6482" s="32">
        <v>49351</v>
      </c>
      <c r="D6482" s="32" t="s">
        <v>87</v>
      </c>
      <c r="E64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3" spans="1:6" x14ac:dyDescent="0.35">
      <c r="A6483" s="3">
        <v>30363017692</v>
      </c>
      <c r="B6483" s="3">
        <v>164</v>
      </c>
      <c r="C6483" s="32">
        <v>49351</v>
      </c>
      <c r="D6483" s="32" t="s">
        <v>87</v>
      </c>
      <c r="E64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4" spans="1:6" x14ac:dyDescent="0.35">
      <c r="A6484" s="3">
        <v>31923585762</v>
      </c>
      <c r="B6484" s="3">
        <v>105</v>
      </c>
      <c r="C6484" s="32">
        <v>49351</v>
      </c>
      <c r="D6484" s="32" t="s">
        <v>87</v>
      </c>
      <c r="E64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5" spans="1:6" x14ac:dyDescent="0.35">
      <c r="A6485" s="3">
        <v>77576563358</v>
      </c>
      <c r="B6485" s="3">
        <v>16</v>
      </c>
      <c r="C6485" s="32">
        <v>49351</v>
      </c>
      <c r="D6485" s="32" t="s">
        <v>87</v>
      </c>
      <c r="E64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6" spans="1:6" x14ac:dyDescent="0.35">
      <c r="A6486" s="3">
        <v>23620949905</v>
      </c>
      <c r="B6486" s="3">
        <v>57</v>
      </c>
      <c r="C6486" s="32">
        <v>49351</v>
      </c>
      <c r="D6486" s="32" t="s">
        <v>87</v>
      </c>
      <c r="E64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7" spans="1:6" x14ac:dyDescent="0.35">
      <c r="A6487" s="3">
        <v>52315165339</v>
      </c>
      <c r="B6487" s="3">
        <v>71</v>
      </c>
      <c r="C6487" s="32">
        <v>49351</v>
      </c>
      <c r="D6487" s="32"/>
      <c r="E64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8" spans="1:6" x14ac:dyDescent="0.35">
      <c r="A6488" s="3">
        <v>60211979276</v>
      </c>
      <c r="B6488" s="3">
        <v>195</v>
      </c>
      <c r="C6488" s="32">
        <v>49351</v>
      </c>
      <c r="D6488" s="32"/>
      <c r="E64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9" spans="1:6" x14ac:dyDescent="0.35">
      <c r="A6489" s="3">
        <v>48404309561</v>
      </c>
      <c r="B6489" s="3">
        <v>229</v>
      </c>
      <c r="C6489" s="32">
        <v>49351</v>
      </c>
      <c r="D6489" s="32" t="s">
        <v>87</v>
      </c>
      <c r="E64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0" spans="1:6" x14ac:dyDescent="0.35">
      <c r="A6490" s="3">
        <v>31082265177</v>
      </c>
      <c r="B6490" s="3">
        <v>78</v>
      </c>
      <c r="C6490" s="32">
        <v>49351</v>
      </c>
      <c r="D6490" s="32" t="s">
        <v>87</v>
      </c>
      <c r="E64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1" spans="1:6" x14ac:dyDescent="0.35">
      <c r="A6491" s="3">
        <v>56592124299</v>
      </c>
      <c r="B6491" s="3">
        <v>198</v>
      </c>
      <c r="C6491" s="32">
        <v>49351</v>
      </c>
      <c r="D6491" s="32" t="s">
        <v>87</v>
      </c>
      <c r="E64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2" spans="1:6" x14ac:dyDescent="0.35">
      <c r="A6492" s="3">
        <v>96382689903</v>
      </c>
      <c r="B6492" s="3">
        <v>53</v>
      </c>
      <c r="C6492" s="32">
        <v>49351</v>
      </c>
      <c r="D6492" s="32" t="s">
        <v>87</v>
      </c>
      <c r="E64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3" spans="1:6" x14ac:dyDescent="0.35">
      <c r="A6493" s="3">
        <v>76900360602</v>
      </c>
      <c r="B6493" s="3">
        <v>85</v>
      </c>
      <c r="C6493" s="32">
        <v>49351</v>
      </c>
      <c r="D6493" s="32"/>
      <c r="E64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4" spans="1:6" x14ac:dyDescent="0.35">
      <c r="A6494" s="3">
        <v>96633678958</v>
      </c>
      <c r="B6494" s="3">
        <v>327</v>
      </c>
      <c r="C6494" s="32">
        <v>49351</v>
      </c>
      <c r="D6494" s="32" t="s">
        <v>87</v>
      </c>
      <c r="E64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5" spans="1:6" x14ac:dyDescent="0.35">
      <c r="A6495" s="3">
        <v>96684762910</v>
      </c>
      <c r="B6495" s="3">
        <v>265</v>
      </c>
      <c r="C6495" s="32">
        <v>49351</v>
      </c>
      <c r="D6495" s="32"/>
      <c r="E64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6" spans="1:6" x14ac:dyDescent="0.35">
      <c r="A6496" s="3">
        <v>87453677698</v>
      </c>
      <c r="B6496" s="3">
        <v>229</v>
      </c>
      <c r="C6496" s="32">
        <v>49351</v>
      </c>
      <c r="D6496" s="32" t="s">
        <v>87</v>
      </c>
      <c r="E64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7" spans="1:6" x14ac:dyDescent="0.35">
      <c r="A6497" s="3">
        <v>36176599682</v>
      </c>
      <c r="B6497" s="3">
        <v>181</v>
      </c>
      <c r="C6497" s="32">
        <v>49351</v>
      </c>
      <c r="D6497" s="32" t="s">
        <v>87</v>
      </c>
      <c r="E64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8" spans="1:6" x14ac:dyDescent="0.35">
      <c r="A6498" s="3">
        <v>79721786910</v>
      </c>
      <c r="B6498" s="3">
        <v>175</v>
      </c>
      <c r="C6498" s="32">
        <v>49351</v>
      </c>
      <c r="D6498" s="32" t="s">
        <v>87</v>
      </c>
      <c r="E64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9" spans="1:6" x14ac:dyDescent="0.35">
      <c r="A6499" s="3">
        <v>53071407061</v>
      </c>
      <c r="B6499" s="3">
        <v>280</v>
      </c>
      <c r="C6499" s="32">
        <v>49351</v>
      </c>
      <c r="D6499" s="32"/>
      <c r="E64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0" spans="1:6" x14ac:dyDescent="0.35">
      <c r="A6500" s="3">
        <v>53044717339</v>
      </c>
      <c r="B6500" s="3">
        <v>318</v>
      </c>
      <c r="C6500" s="32">
        <v>49351</v>
      </c>
      <c r="D6500" s="32"/>
      <c r="E65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1" spans="1:6" x14ac:dyDescent="0.35">
      <c r="A6501" s="3">
        <v>22658223801</v>
      </c>
      <c r="B6501" s="3">
        <v>130</v>
      </c>
      <c r="C6501" s="32">
        <v>49351</v>
      </c>
      <c r="D6501" s="32" t="s">
        <v>87</v>
      </c>
      <c r="E65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2" spans="1:6" x14ac:dyDescent="0.35">
      <c r="A6502" s="3">
        <v>63154742632</v>
      </c>
      <c r="B6502" s="3">
        <v>330</v>
      </c>
      <c r="C6502" s="32">
        <v>49351</v>
      </c>
      <c r="D6502" s="32">
        <v>49359</v>
      </c>
      <c r="E65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503" spans="1:6" x14ac:dyDescent="0.35">
      <c r="A6503" s="3">
        <v>14460616281</v>
      </c>
      <c r="B6503" s="3">
        <v>11</v>
      </c>
      <c r="C6503" s="32">
        <v>49351</v>
      </c>
      <c r="D6503" s="32" t="s">
        <v>87</v>
      </c>
      <c r="E65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4" spans="1:6" x14ac:dyDescent="0.35">
      <c r="A6504" s="3">
        <v>87493467461</v>
      </c>
      <c r="B6504" s="3">
        <v>53</v>
      </c>
      <c r="C6504" s="32">
        <v>49351</v>
      </c>
      <c r="D6504" s="32" t="s">
        <v>87</v>
      </c>
      <c r="E65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5" spans="1:6" x14ac:dyDescent="0.35">
      <c r="A6505" s="3">
        <v>12843077674</v>
      </c>
      <c r="B6505" s="3">
        <v>162</v>
      </c>
      <c r="C6505" s="32">
        <v>49351</v>
      </c>
      <c r="D6505" s="32" t="s">
        <v>87</v>
      </c>
      <c r="E65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6" spans="1:6" x14ac:dyDescent="0.35">
      <c r="A6506" s="3">
        <v>99467404358</v>
      </c>
      <c r="B6506" s="3">
        <v>114</v>
      </c>
      <c r="C6506" s="32">
        <v>49351</v>
      </c>
      <c r="D6506" s="32" t="s">
        <v>87</v>
      </c>
      <c r="E65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7" spans="1:6" x14ac:dyDescent="0.35">
      <c r="A6507" s="3">
        <v>19276774219</v>
      </c>
      <c r="B6507" s="3">
        <v>75</v>
      </c>
      <c r="C6507" s="32">
        <v>49351</v>
      </c>
      <c r="D6507" s="32" t="s">
        <v>87</v>
      </c>
      <c r="E65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8" spans="1:6" x14ac:dyDescent="0.35">
      <c r="A6508" s="3">
        <v>91404044931</v>
      </c>
      <c r="B6508" s="3">
        <v>98</v>
      </c>
      <c r="C6508" s="32">
        <v>49351</v>
      </c>
      <c r="D6508" s="32" t="s">
        <v>87</v>
      </c>
      <c r="E65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9" spans="1:6" x14ac:dyDescent="0.35">
      <c r="A6509" s="3">
        <v>26806199378</v>
      </c>
      <c r="B6509" s="3">
        <v>226</v>
      </c>
      <c r="C6509" s="32">
        <v>49351</v>
      </c>
      <c r="D6509" s="32" t="s">
        <v>87</v>
      </c>
      <c r="E65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0" spans="1:6" x14ac:dyDescent="0.35">
      <c r="A6510" s="3">
        <v>72322624584</v>
      </c>
      <c r="B6510" s="3">
        <v>208</v>
      </c>
      <c r="C6510" s="32">
        <v>49352</v>
      </c>
      <c r="D6510" s="32" t="s">
        <v>87</v>
      </c>
      <c r="E65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1" spans="1:6" x14ac:dyDescent="0.35">
      <c r="A6511" s="3">
        <v>56490474303</v>
      </c>
      <c r="B6511" s="3">
        <v>14</v>
      </c>
      <c r="C6511" s="32">
        <v>49352</v>
      </c>
      <c r="D6511" s="32" t="s">
        <v>87</v>
      </c>
      <c r="E65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2" spans="1:6" x14ac:dyDescent="0.35">
      <c r="A6512" s="3">
        <v>17226109463</v>
      </c>
      <c r="B6512" s="3">
        <v>114</v>
      </c>
      <c r="C6512" s="32">
        <v>49352</v>
      </c>
      <c r="D6512" s="32" t="s">
        <v>87</v>
      </c>
      <c r="E65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3" spans="1:6" x14ac:dyDescent="0.35">
      <c r="A6513" s="3">
        <v>22479289481</v>
      </c>
      <c r="B6513" s="3">
        <v>105</v>
      </c>
      <c r="C6513" s="32">
        <v>49352</v>
      </c>
      <c r="D6513" s="32" t="s">
        <v>87</v>
      </c>
      <c r="E65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4" spans="1:6" x14ac:dyDescent="0.35">
      <c r="A6514" s="3">
        <v>60659622276</v>
      </c>
      <c r="B6514" s="3">
        <v>63</v>
      </c>
      <c r="C6514" s="32">
        <v>49352</v>
      </c>
      <c r="D6514" s="32" t="s">
        <v>87</v>
      </c>
      <c r="E65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5" spans="1:6" x14ac:dyDescent="0.35">
      <c r="A6515" s="3">
        <v>91953580328</v>
      </c>
      <c r="B6515" s="3">
        <v>25</v>
      </c>
      <c r="C6515" s="32">
        <v>49352</v>
      </c>
      <c r="D6515" s="32" t="s">
        <v>87</v>
      </c>
      <c r="E65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6" spans="1:6" x14ac:dyDescent="0.35">
      <c r="A6516" s="3">
        <v>71712658338</v>
      </c>
      <c r="B6516" s="3">
        <v>249</v>
      </c>
      <c r="C6516" s="32">
        <v>49352</v>
      </c>
      <c r="D6516" s="32" t="s">
        <v>87</v>
      </c>
      <c r="E65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7" spans="1:6" x14ac:dyDescent="0.35">
      <c r="A6517" s="3">
        <v>82719080779</v>
      </c>
      <c r="B6517" s="3">
        <v>295</v>
      </c>
      <c r="C6517" s="32">
        <v>49352</v>
      </c>
      <c r="D6517" s="32">
        <v>49362</v>
      </c>
      <c r="E65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518" spans="1:6" x14ac:dyDescent="0.35">
      <c r="A6518" s="3">
        <v>28655311789</v>
      </c>
      <c r="B6518" s="3">
        <v>200</v>
      </c>
      <c r="C6518" s="32">
        <v>49352</v>
      </c>
      <c r="D6518" s="32" t="s">
        <v>87</v>
      </c>
      <c r="E65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9" spans="1:6" x14ac:dyDescent="0.35">
      <c r="A6519" s="3">
        <v>20347742864</v>
      </c>
      <c r="B6519" s="3">
        <v>261</v>
      </c>
      <c r="C6519" s="32">
        <v>49352</v>
      </c>
      <c r="D6519" s="32" t="s">
        <v>87</v>
      </c>
      <c r="E65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0" spans="1:6" x14ac:dyDescent="0.35">
      <c r="A6520" s="3">
        <v>99143470737</v>
      </c>
      <c r="B6520" s="3">
        <v>163</v>
      </c>
      <c r="C6520" s="32">
        <v>49352</v>
      </c>
      <c r="D6520" s="32"/>
      <c r="E65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1" spans="1:6" x14ac:dyDescent="0.35">
      <c r="A6521" s="3">
        <v>41480519182</v>
      </c>
      <c r="B6521" s="3">
        <v>331</v>
      </c>
      <c r="C6521" s="32">
        <v>49352</v>
      </c>
      <c r="D6521" s="32" t="s">
        <v>87</v>
      </c>
      <c r="E65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2" spans="1:6" x14ac:dyDescent="0.35">
      <c r="A6522" s="3">
        <v>23924666019</v>
      </c>
      <c r="B6522" s="3">
        <v>219</v>
      </c>
      <c r="C6522" s="32">
        <v>49352</v>
      </c>
      <c r="D6522" s="32" t="s">
        <v>87</v>
      </c>
      <c r="E65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3" spans="1:6" x14ac:dyDescent="0.35">
      <c r="A6523" s="3">
        <v>56086394916</v>
      </c>
      <c r="B6523" s="3">
        <v>302</v>
      </c>
      <c r="C6523" s="32">
        <v>49352</v>
      </c>
      <c r="D6523" s="32" t="s">
        <v>87</v>
      </c>
      <c r="E65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4" spans="1:6" x14ac:dyDescent="0.35">
      <c r="A6524" s="3">
        <v>39529265016</v>
      </c>
      <c r="B6524" s="3">
        <v>145</v>
      </c>
      <c r="C6524" s="32">
        <v>49352</v>
      </c>
      <c r="D6524" s="32" t="s">
        <v>87</v>
      </c>
      <c r="E65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5" spans="1:6" x14ac:dyDescent="0.35">
      <c r="A6525" s="3">
        <v>87076925335</v>
      </c>
      <c r="B6525" s="3">
        <v>98</v>
      </c>
      <c r="C6525" s="32">
        <v>49352</v>
      </c>
      <c r="D6525" s="32"/>
      <c r="E65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6" spans="1:6" x14ac:dyDescent="0.35">
      <c r="A6526" s="3">
        <v>40769478419</v>
      </c>
      <c r="B6526" s="3">
        <v>232</v>
      </c>
      <c r="C6526" s="32">
        <v>49352</v>
      </c>
      <c r="D6526" s="32" t="s">
        <v>87</v>
      </c>
      <c r="E65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7" spans="1:6" x14ac:dyDescent="0.35">
      <c r="A6527" s="3">
        <v>28112954752</v>
      </c>
      <c r="B6527" s="3">
        <v>229</v>
      </c>
      <c r="C6527" s="32">
        <v>49352</v>
      </c>
      <c r="D6527" s="32"/>
      <c r="E65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8" spans="1:6" x14ac:dyDescent="0.35">
      <c r="A6528" s="3">
        <v>45867135920</v>
      </c>
      <c r="B6528" s="3">
        <v>135</v>
      </c>
      <c r="C6528" s="32">
        <v>49352</v>
      </c>
      <c r="D6528" s="32" t="s">
        <v>87</v>
      </c>
      <c r="E65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9" spans="1:6" x14ac:dyDescent="0.35">
      <c r="A6529" s="3">
        <v>57645427343</v>
      </c>
      <c r="B6529" s="3">
        <v>101</v>
      </c>
      <c r="C6529" s="32">
        <v>49352</v>
      </c>
      <c r="D6529" s="32" t="s">
        <v>87</v>
      </c>
      <c r="E65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0" spans="1:6" x14ac:dyDescent="0.35">
      <c r="A6530" s="3">
        <v>92979427492</v>
      </c>
      <c r="B6530" s="3">
        <v>230</v>
      </c>
      <c r="C6530" s="32">
        <v>49352</v>
      </c>
      <c r="D6530" s="32" t="s">
        <v>87</v>
      </c>
      <c r="E65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1" spans="1:6" x14ac:dyDescent="0.35">
      <c r="A6531" s="3">
        <v>49929182599</v>
      </c>
      <c r="B6531" s="3">
        <v>9</v>
      </c>
      <c r="C6531" s="32">
        <v>49352</v>
      </c>
      <c r="D6531" s="32" t="s">
        <v>87</v>
      </c>
      <c r="E65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2" spans="1:6" x14ac:dyDescent="0.35">
      <c r="A6532" s="3">
        <v>61571102111</v>
      </c>
      <c r="B6532" s="3">
        <v>8</v>
      </c>
      <c r="C6532" s="32">
        <v>49352</v>
      </c>
      <c r="D6532" s="32" t="s">
        <v>87</v>
      </c>
      <c r="E65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3" spans="1:6" x14ac:dyDescent="0.35">
      <c r="A6533" s="3">
        <v>88278867112</v>
      </c>
      <c r="B6533" s="3">
        <v>118</v>
      </c>
      <c r="C6533" s="32">
        <v>49352</v>
      </c>
      <c r="D6533" s="32" t="s">
        <v>87</v>
      </c>
      <c r="E65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4" spans="1:6" x14ac:dyDescent="0.35">
      <c r="A6534" s="3">
        <v>58720076167</v>
      </c>
      <c r="B6534" s="3">
        <v>49</v>
      </c>
      <c r="C6534" s="32">
        <v>49352</v>
      </c>
      <c r="D6534" s="32"/>
      <c r="E65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5" spans="1:6" x14ac:dyDescent="0.35">
      <c r="A6535" s="3">
        <v>13565858595</v>
      </c>
      <c r="B6535" s="3">
        <v>51</v>
      </c>
      <c r="C6535" s="32">
        <v>49352</v>
      </c>
      <c r="D6535" s="32" t="s">
        <v>87</v>
      </c>
      <c r="E65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6" spans="1:6" x14ac:dyDescent="0.35">
      <c r="A6536" s="3">
        <v>57860040288</v>
      </c>
      <c r="B6536" s="3">
        <v>155</v>
      </c>
      <c r="C6536" s="32">
        <v>49352</v>
      </c>
      <c r="D6536" s="32" t="s">
        <v>87</v>
      </c>
      <c r="E65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7" spans="1:6" x14ac:dyDescent="0.35">
      <c r="A6537" s="3">
        <v>63834957920</v>
      </c>
      <c r="B6537" s="3">
        <v>248</v>
      </c>
      <c r="C6537" s="32">
        <v>49352</v>
      </c>
      <c r="D6537" s="32"/>
      <c r="E65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8" spans="1:6" x14ac:dyDescent="0.35">
      <c r="A6538" s="3">
        <v>15770027148</v>
      </c>
      <c r="B6538" s="3">
        <v>140</v>
      </c>
      <c r="C6538" s="32">
        <v>49352</v>
      </c>
      <c r="D6538" s="32" t="s">
        <v>87</v>
      </c>
      <c r="E65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9" spans="1:6" x14ac:dyDescent="0.35">
      <c r="A6539" s="3">
        <v>79475930951</v>
      </c>
      <c r="B6539" s="3">
        <v>32</v>
      </c>
      <c r="C6539" s="32">
        <v>49352</v>
      </c>
      <c r="D6539" s="32" t="s">
        <v>87</v>
      </c>
      <c r="E65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0" spans="1:6" x14ac:dyDescent="0.35">
      <c r="A6540" s="3">
        <v>86029754710</v>
      </c>
      <c r="B6540" s="3">
        <v>126</v>
      </c>
      <c r="C6540" s="32">
        <v>49352</v>
      </c>
      <c r="D6540" s="32" t="s">
        <v>87</v>
      </c>
      <c r="E65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1" spans="1:6" x14ac:dyDescent="0.35">
      <c r="A6541" s="3">
        <v>92204322593</v>
      </c>
      <c r="B6541" s="3">
        <v>222</v>
      </c>
      <c r="C6541" s="32">
        <v>49352</v>
      </c>
      <c r="D6541" s="32" t="s">
        <v>87</v>
      </c>
      <c r="E65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2" spans="1:6" x14ac:dyDescent="0.35">
      <c r="A6542" s="3">
        <v>93141922802</v>
      </c>
      <c r="B6542" s="3">
        <v>216</v>
      </c>
      <c r="C6542" s="32">
        <v>49352</v>
      </c>
      <c r="D6542" s="32" t="s">
        <v>87</v>
      </c>
      <c r="E65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3" spans="1:6" x14ac:dyDescent="0.35">
      <c r="A6543" s="3">
        <v>77723002253</v>
      </c>
      <c r="B6543" s="3">
        <v>232</v>
      </c>
      <c r="C6543" s="32">
        <v>49352</v>
      </c>
      <c r="D6543" s="32" t="s">
        <v>87</v>
      </c>
      <c r="E65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4" spans="1:6" x14ac:dyDescent="0.35">
      <c r="A6544" s="3">
        <v>63160916312</v>
      </c>
      <c r="B6544" s="3">
        <v>92</v>
      </c>
      <c r="C6544" s="32">
        <v>49352</v>
      </c>
      <c r="D6544" s="32" t="s">
        <v>87</v>
      </c>
      <c r="E65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5" spans="1:6" x14ac:dyDescent="0.35">
      <c r="A6545" s="3">
        <v>86755850046</v>
      </c>
      <c r="B6545" s="3">
        <v>95</v>
      </c>
      <c r="C6545" s="32">
        <v>49353</v>
      </c>
      <c r="D6545" s="32" t="s">
        <v>87</v>
      </c>
      <c r="E65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6" spans="1:6" x14ac:dyDescent="0.35">
      <c r="A6546" s="3">
        <v>56909302308</v>
      </c>
      <c r="B6546" s="3">
        <v>329</v>
      </c>
      <c r="C6546" s="32">
        <v>49353</v>
      </c>
      <c r="D6546" s="32" t="s">
        <v>87</v>
      </c>
      <c r="E65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7" spans="1:6" x14ac:dyDescent="0.35">
      <c r="A6547" s="3">
        <v>51559204982</v>
      </c>
      <c r="B6547" s="3">
        <v>161</v>
      </c>
      <c r="C6547" s="32">
        <v>49353</v>
      </c>
      <c r="D6547" s="32" t="s">
        <v>87</v>
      </c>
      <c r="E65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8" spans="1:6" x14ac:dyDescent="0.35">
      <c r="A6548" s="3">
        <v>11131943951</v>
      </c>
      <c r="B6548" s="3">
        <v>39</v>
      </c>
      <c r="C6548" s="32">
        <v>49353</v>
      </c>
      <c r="D6548" s="32"/>
      <c r="E65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9" spans="1:6" x14ac:dyDescent="0.35">
      <c r="A6549" s="3">
        <v>78907112938</v>
      </c>
      <c r="B6549" s="3">
        <v>39</v>
      </c>
      <c r="C6549" s="32">
        <v>49353</v>
      </c>
      <c r="D6549" s="32" t="s">
        <v>87</v>
      </c>
      <c r="E65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0" spans="1:6" x14ac:dyDescent="0.35">
      <c r="A6550" s="3">
        <v>70827547170</v>
      </c>
      <c r="B6550" s="3">
        <v>77</v>
      </c>
      <c r="C6550" s="32">
        <v>49353</v>
      </c>
      <c r="D6550" s="32" t="s">
        <v>87</v>
      </c>
      <c r="E65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1" spans="1:6" x14ac:dyDescent="0.35">
      <c r="A6551" s="3">
        <v>30307763733</v>
      </c>
      <c r="B6551" s="3">
        <v>24</v>
      </c>
      <c r="C6551" s="32">
        <v>49353</v>
      </c>
      <c r="D6551" s="32" t="s">
        <v>87</v>
      </c>
      <c r="E65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2" spans="1:6" x14ac:dyDescent="0.35">
      <c r="A6552" s="3">
        <v>32209050312</v>
      </c>
      <c r="B6552" s="3">
        <v>209</v>
      </c>
      <c r="C6552" s="32">
        <v>49353</v>
      </c>
      <c r="D6552" s="32" t="s">
        <v>87</v>
      </c>
      <c r="E65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3" spans="1:6" x14ac:dyDescent="0.35">
      <c r="A6553" s="3">
        <v>41612350468</v>
      </c>
      <c r="B6553" s="3">
        <v>89</v>
      </c>
      <c r="C6553" s="32">
        <v>49353</v>
      </c>
      <c r="D6553" s="32">
        <v>49353</v>
      </c>
      <c r="E65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554" spans="1:6" x14ac:dyDescent="0.35">
      <c r="A6554" s="3">
        <v>45929953771</v>
      </c>
      <c r="B6554" s="3">
        <v>158</v>
      </c>
      <c r="C6554" s="32">
        <v>49353</v>
      </c>
      <c r="D6554" s="32" t="s">
        <v>87</v>
      </c>
      <c r="E65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5" spans="1:6" x14ac:dyDescent="0.35">
      <c r="A6555" s="3">
        <v>50779853722</v>
      </c>
      <c r="B6555" s="3">
        <v>226</v>
      </c>
      <c r="C6555" s="32">
        <v>49353</v>
      </c>
      <c r="D6555" s="32"/>
      <c r="E65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6" spans="1:6" x14ac:dyDescent="0.35">
      <c r="A6556" s="3">
        <v>17253976006</v>
      </c>
      <c r="B6556" s="3">
        <v>87</v>
      </c>
      <c r="C6556" s="32">
        <v>49353</v>
      </c>
      <c r="D6556" s="32"/>
      <c r="E65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7" spans="1:6" x14ac:dyDescent="0.35">
      <c r="A6557" s="3">
        <v>20494498535</v>
      </c>
      <c r="B6557" s="3">
        <v>116</v>
      </c>
      <c r="C6557" s="32">
        <v>49353</v>
      </c>
      <c r="D6557" s="32" t="s">
        <v>87</v>
      </c>
      <c r="E65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8" spans="1:6" x14ac:dyDescent="0.35">
      <c r="A6558" s="3">
        <v>78944464254</v>
      </c>
      <c r="B6558" s="3">
        <v>6</v>
      </c>
      <c r="C6558" s="32">
        <v>49353</v>
      </c>
      <c r="D6558" s="32" t="s">
        <v>87</v>
      </c>
      <c r="E65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9" spans="1:6" x14ac:dyDescent="0.35">
      <c r="A6559" s="3">
        <v>48300230991</v>
      </c>
      <c r="B6559" s="3">
        <v>273</v>
      </c>
      <c r="C6559" s="32">
        <v>49353</v>
      </c>
      <c r="D6559" s="32" t="s">
        <v>87</v>
      </c>
      <c r="E65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0" spans="1:6" x14ac:dyDescent="0.35">
      <c r="A6560" s="3">
        <v>56190461071</v>
      </c>
      <c r="B6560" s="3">
        <v>153</v>
      </c>
      <c r="C6560" s="32">
        <v>49353</v>
      </c>
      <c r="D6560" s="32" t="s">
        <v>87</v>
      </c>
      <c r="E65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1" spans="1:6" x14ac:dyDescent="0.35">
      <c r="A6561" s="3">
        <v>11801828706</v>
      </c>
      <c r="B6561" s="3">
        <v>10</v>
      </c>
      <c r="C6561" s="32">
        <v>49353</v>
      </c>
      <c r="D6561" s="32"/>
      <c r="E65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2" spans="1:6" x14ac:dyDescent="0.35">
      <c r="A6562" s="3">
        <v>49208235116</v>
      </c>
      <c r="B6562" s="3">
        <v>127</v>
      </c>
      <c r="C6562" s="32">
        <v>49353</v>
      </c>
      <c r="D6562" s="32" t="s">
        <v>87</v>
      </c>
      <c r="E65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3" spans="1:6" x14ac:dyDescent="0.35">
      <c r="A6563" s="3">
        <v>29224487786</v>
      </c>
      <c r="B6563" s="3">
        <v>250</v>
      </c>
      <c r="C6563" s="32">
        <v>49353</v>
      </c>
      <c r="D6563" s="32"/>
      <c r="E65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4" spans="1:6" x14ac:dyDescent="0.35">
      <c r="A6564" s="3">
        <v>72799922599</v>
      </c>
      <c r="B6564" s="3">
        <v>210</v>
      </c>
      <c r="C6564" s="32">
        <v>49353</v>
      </c>
      <c r="D6564" s="32"/>
      <c r="E65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5" spans="1:6" x14ac:dyDescent="0.35">
      <c r="A6565" s="3">
        <v>41025777108</v>
      </c>
      <c r="B6565" s="3">
        <v>171</v>
      </c>
      <c r="C6565" s="32">
        <v>49353</v>
      </c>
      <c r="D6565" s="32" t="s">
        <v>87</v>
      </c>
      <c r="E65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6" spans="1:6" x14ac:dyDescent="0.35">
      <c r="A6566" s="3">
        <v>97842440101</v>
      </c>
      <c r="B6566" s="3">
        <v>159</v>
      </c>
      <c r="C6566" s="32">
        <v>49353</v>
      </c>
      <c r="D6566" s="32" t="s">
        <v>87</v>
      </c>
      <c r="E65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7" spans="1:6" x14ac:dyDescent="0.35">
      <c r="A6567" s="3">
        <v>39575928295</v>
      </c>
      <c r="B6567" s="3">
        <v>278</v>
      </c>
      <c r="C6567" s="32">
        <v>49353</v>
      </c>
      <c r="D6567" s="32"/>
      <c r="E65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8" spans="1:6" x14ac:dyDescent="0.35">
      <c r="A6568" s="3">
        <v>77191349201</v>
      </c>
      <c r="B6568" s="3">
        <v>38</v>
      </c>
      <c r="C6568" s="32">
        <v>49353</v>
      </c>
      <c r="D6568" s="32" t="s">
        <v>87</v>
      </c>
      <c r="E65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9" spans="1:6" x14ac:dyDescent="0.35">
      <c r="A6569" s="3">
        <v>52317689099</v>
      </c>
      <c r="B6569" s="3">
        <v>251</v>
      </c>
      <c r="C6569" s="32">
        <v>49353</v>
      </c>
      <c r="D6569" s="32" t="s">
        <v>87</v>
      </c>
      <c r="E65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0" spans="1:6" x14ac:dyDescent="0.35">
      <c r="A6570" s="3">
        <v>65487691157</v>
      </c>
      <c r="B6570" s="3">
        <v>234</v>
      </c>
      <c r="C6570" s="32">
        <v>49353</v>
      </c>
      <c r="D6570" s="32" t="s">
        <v>87</v>
      </c>
      <c r="E65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1" spans="1:6" x14ac:dyDescent="0.35">
      <c r="A6571" s="3">
        <v>25368848931</v>
      </c>
      <c r="B6571" s="3">
        <v>137</v>
      </c>
      <c r="C6571" s="32">
        <v>49353</v>
      </c>
      <c r="D6571" s="32" t="s">
        <v>87</v>
      </c>
      <c r="E65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2" spans="1:6" x14ac:dyDescent="0.35">
      <c r="A6572" s="3">
        <v>94713733091</v>
      </c>
      <c r="B6572" s="3">
        <v>81</v>
      </c>
      <c r="C6572" s="32">
        <v>49353</v>
      </c>
      <c r="D6572" s="32" t="s">
        <v>87</v>
      </c>
      <c r="E65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3" spans="1:6" x14ac:dyDescent="0.35">
      <c r="A6573" s="3">
        <v>96592530868</v>
      </c>
      <c r="B6573" s="3">
        <v>13</v>
      </c>
      <c r="C6573" s="32">
        <v>49353</v>
      </c>
      <c r="D6573" s="32" t="s">
        <v>87</v>
      </c>
      <c r="E65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4" spans="1:6" x14ac:dyDescent="0.35">
      <c r="A6574" s="3">
        <v>85957749889</v>
      </c>
      <c r="B6574" s="3">
        <v>317</v>
      </c>
      <c r="C6574" s="32">
        <v>49353</v>
      </c>
      <c r="D6574" s="32" t="s">
        <v>87</v>
      </c>
      <c r="E65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5" spans="1:6" x14ac:dyDescent="0.35">
      <c r="A6575" s="3">
        <v>56431587025</v>
      </c>
      <c r="B6575" s="3">
        <v>48</v>
      </c>
      <c r="C6575" s="32">
        <v>49353</v>
      </c>
      <c r="D6575" s="32" t="s">
        <v>87</v>
      </c>
      <c r="E65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6" spans="1:6" x14ac:dyDescent="0.35">
      <c r="A6576" s="3">
        <v>44113254869</v>
      </c>
      <c r="B6576" s="3">
        <v>108</v>
      </c>
      <c r="C6576" s="32">
        <v>49353</v>
      </c>
      <c r="D6576" s="32"/>
      <c r="E65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7" spans="1:6" x14ac:dyDescent="0.35">
      <c r="A6577" s="3">
        <v>28861206282</v>
      </c>
      <c r="B6577" s="3">
        <v>128</v>
      </c>
      <c r="C6577" s="32">
        <v>49353</v>
      </c>
      <c r="D6577" s="32" t="s">
        <v>87</v>
      </c>
      <c r="E65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8" spans="1:6" x14ac:dyDescent="0.35">
      <c r="A6578" s="3">
        <v>40542509956</v>
      </c>
      <c r="B6578" s="3">
        <v>261</v>
      </c>
      <c r="C6578" s="32">
        <v>49353</v>
      </c>
      <c r="D6578" s="32" t="s">
        <v>87</v>
      </c>
      <c r="E65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9" spans="1:6" x14ac:dyDescent="0.35">
      <c r="A6579" s="3">
        <v>53390691563</v>
      </c>
      <c r="B6579" s="3">
        <v>49</v>
      </c>
      <c r="C6579" s="32">
        <v>49353</v>
      </c>
      <c r="D6579" s="32" t="s">
        <v>87</v>
      </c>
      <c r="E65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0" spans="1:6" x14ac:dyDescent="0.35">
      <c r="A6580" s="3">
        <v>97968418616</v>
      </c>
      <c r="B6580" s="3">
        <v>167</v>
      </c>
      <c r="C6580" s="32">
        <v>49353</v>
      </c>
      <c r="D6580" s="32" t="s">
        <v>87</v>
      </c>
      <c r="E65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1" spans="1:6" x14ac:dyDescent="0.35">
      <c r="A6581" s="3">
        <v>17605421737</v>
      </c>
      <c r="B6581" s="3">
        <v>226</v>
      </c>
      <c r="C6581" s="32">
        <v>49353</v>
      </c>
      <c r="D6581" s="32"/>
      <c r="E65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2" spans="1:6" x14ac:dyDescent="0.35">
      <c r="A6582" s="3">
        <v>46056329366</v>
      </c>
      <c r="B6582" s="3">
        <v>248</v>
      </c>
      <c r="C6582" s="32">
        <v>49353</v>
      </c>
      <c r="D6582" s="32" t="s">
        <v>87</v>
      </c>
      <c r="E65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3" spans="1:6" x14ac:dyDescent="0.35">
      <c r="A6583" s="3">
        <v>82246084699</v>
      </c>
      <c r="B6583" s="3">
        <v>0</v>
      </c>
      <c r="C6583" s="32">
        <v>49353</v>
      </c>
      <c r="D6583" s="32" t="s">
        <v>87</v>
      </c>
      <c r="E65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4" spans="1:6" x14ac:dyDescent="0.35">
      <c r="A6584" s="3">
        <v>51189044211</v>
      </c>
      <c r="B6584" s="3">
        <v>219</v>
      </c>
      <c r="C6584" s="32">
        <v>49353</v>
      </c>
      <c r="D6584" s="32" t="s">
        <v>87</v>
      </c>
      <c r="E65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5" spans="1:6" x14ac:dyDescent="0.35">
      <c r="A6585" s="3">
        <v>73966943234</v>
      </c>
      <c r="B6585" s="3">
        <v>305</v>
      </c>
      <c r="C6585" s="32">
        <v>49354</v>
      </c>
      <c r="D6585" s="32" t="s">
        <v>87</v>
      </c>
      <c r="E65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6" spans="1:6" x14ac:dyDescent="0.35">
      <c r="A6586" s="3">
        <v>16713130283</v>
      </c>
      <c r="B6586" s="3">
        <v>6</v>
      </c>
      <c r="C6586" s="32">
        <v>49354</v>
      </c>
      <c r="D6586" s="32" t="s">
        <v>87</v>
      </c>
      <c r="E65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7" spans="1:6" x14ac:dyDescent="0.35">
      <c r="A6587" s="3">
        <v>73182149976</v>
      </c>
      <c r="B6587" s="3">
        <v>316</v>
      </c>
      <c r="C6587" s="32">
        <v>49354</v>
      </c>
      <c r="D6587" s="32" t="s">
        <v>87</v>
      </c>
      <c r="E65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8" spans="1:6" x14ac:dyDescent="0.35">
      <c r="A6588" s="3">
        <v>69832116530</v>
      </c>
      <c r="B6588" s="3">
        <v>68</v>
      </c>
      <c r="C6588" s="32">
        <v>49354</v>
      </c>
      <c r="D6588" s="32" t="s">
        <v>87</v>
      </c>
      <c r="E65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9" spans="1:6" x14ac:dyDescent="0.35">
      <c r="A6589" s="3">
        <v>58619507385</v>
      </c>
      <c r="B6589" s="3">
        <v>135</v>
      </c>
      <c r="C6589" s="32">
        <v>49354</v>
      </c>
      <c r="D6589" s="32" t="s">
        <v>87</v>
      </c>
      <c r="E65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0" spans="1:6" x14ac:dyDescent="0.35">
      <c r="A6590" s="3">
        <v>39435844379</v>
      </c>
      <c r="B6590" s="3">
        <v>142</v>
      </c>
      <c r="C6590" s="32">
        <v>49354</v>
      </c>
      <c r="D6590" s="32" t="s">
        <v>87</v>
      </c>
      <c r="E65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1" spans="1:6" x14ac:dyDescent="0.35">
      <c r="A6591" s="3">
        <v>98869271881</v>
      </c>
      <c r="B6591" s="3">
        <v>158</v>
      </c>
      <c r="C6591" s="32">
        <v>49354</v>
      </c>
      <c r="D6591" s="32"/>
      <c r="E65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2" spans="1:6" x14ac:dyDescent="0.35">
      <c r="A6592" s="3">
        <v>20460997215</v>
      </c>
      <c r="B6592" s="3">
        <v>75</v>
      </c>
      <c r="C6592" s="32">
        <v>49354</v>
      </c>
      <c r="D6592" s="32" t="s">
        <v>87</v>
      </c>
      <c r="E65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3" spans="1:6" x14ac:dyDescent="0.35">
      <c r="A6593" s="3">
        <v>96068941421</v>
      </c>
      <c r="B6593" s="3">
        <v>333</v>
      </c>
      <c r="C6593" s="32">
        <v>49354</v>
      </c>
      <c r="D6593" s="32" t="s">
        <v>87</v>
      </c>
      <c r="E65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4" spans="1:6" x14ac:dyDescent="0.35">
      <c r="A6594" s="3">
        <v>61765345606</v>
      </c>
      <c r="B6594" s="3">
        <v>67</v>
      </c>
      <c r="C6594" s="32">
        <v>49354</v>
      </c>
      <c r="D6594" s="32" t="s">
        <v>87</v>
      </c>
      <c r="E65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5" spans="1:6" x14ac:dyDescent="0.35">
      <c r="A6595" s="3">
        <v>40392841555</v>
      </c>
      <c r="B6595" s="3">
        <v>267</v>
      </c>
      <c r="C6595" s="32">
        <v>49354</v>
      </c>
      <c r="D6595" s="32" t="s">
        <v>87</v>
      </c>
      <c r="E65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6" spans="1:6" x14ac:dyDescent="0.35">
      <c r="A6596" s="3">
        <v>50445414452</v>
      </c>
      <c r="B6596" s="3">
        <v>100</v>
      </c>
      <c r="C6596" s="32">
        <v>49354</v>
      </c>
      <c r="D6596" s="32" t="s">
        <v>87</v>
      </c>
      <c r="E65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7" spans="1:6" x14ac:dyDescent="0.35">
      <c r="A6597" s="3">
        <v>60901429200</v>
      </c>
      <c r="B6597" s="3">
        <v>246</v>
      </c>
      <c r="C6597" s="32">
        <v>49354</v>
      </c>
      <c r="D6597" s="32" t="s">
        <v>87</v>
      </c>
      <c r="E65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8" spans="1:6" x14ac:dyDescent="0.35">
      <c r="A6598" s="3">
        <v>30037406355</v>
      </c>
      <c r="B6598" s="3">
        <v>73</v>
      </c>
      <c r="C6598" s="32">
        <v>49354</v>
      </c>
      <c r="D6598" s="32" t="s">
        <v>87</v>
      </c>
      <c r="E65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9" spans="1:6" x14ac:dyDescent="0.35">
      <c r="A6599" s="3">
        <v>57845552242</v>
      </c>
      <c r="B6599" s="3">
        <v>188</v>
      </c>
      <c r="C6599" s="32">
        <v>49354</v>
      </c>
      <c r="D6599" s="32" t="s">
        <v>87</v>
      </c>
      <c r="E65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0" spans="1:6" x14ac:dyDescent="0.35">
      <c r="A6600" s="3">
        <v>59771478419</v>
      </c>
      <c r="B6600" s="3">
        <v>173</v>
      </c>
      <c r="C6600" s="32">
        <v>49354</v>
      </c>
      <c r="D6600" s="32"/>
      <c r="E66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1" spans="1:6" x14ac:dyDescent="0.35">
      <c r="A6601" s="3">
        <v>22579906815</v>
      </c>
      <c r="B6601" s="3">
        <v>154</v>
      </c>
      <c r="C6601" s="32">
        <v>49354</v>
      </c>
      <c r="D6601" s="32" t="s">
        <v>87</v>
      </c>
      <c r="E66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2" spans="1:6" x14ac:dyDescent="0.35">
      <c r="A6602" s="3">
        <v>50018361863</v>
      </c>
      <c r="B6602" s="3">
        <v>310</v>
      </c>
      <c r="C6602" s="32">
        <v>49354</v>
      </c>
      <c r="D6602" s="32">
        <v>49362</v>
      </c>
      <c r="E66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603" spans="1:6" x14ac:dyDescent="0.35">
      <c r="A6603" s="3">
        <v>86648977354</v>
      </c>
      <c r="B6603" s="3">
        <v>43</v>
      </c>
      <c r="C6603" s="32">
        <v>49354</v>
      </c>
      <c r="D6603" s="32" t="s">
        <v>87</v>
      </c>
      <c r="E66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4" spans="1:6" x14ac:dyDescent="0.35">
      <c r="A6604" s="3">
        <v>56166008776</v>
      </c>
      <c r="B6604" s="3">
        <v>58</v>
      </c>
      <c r="C6604" s="32">
        <v>49354</v>
      </c>
      <c r="D6604" s="32" t="s">
        <v>87</v>
      </c>
      <c r="E66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5" spans="1:6" x14ac:dyDescent="0.35">
      <c r="A6605" s="3">
        <v>38218479942</v>
      </c>
      <c r="B6605" s="3">
        <v>106</v>
      </c>
      <c r="C6605" s="32">
        <v>49354</v>
      </c>
      <c r="D6605" s="32" t="s">
        <v>87</v>
      </c>
      <c r="E66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6" spans="1:6" x14ac:dyDescent="0.35">
      <c r="A6606" s="3">
        <v>41066741526</v>
      </c>
      <c r="B6606" s="3">
        <v>236</v>
      </c>
      <c r="C6606" s="32">
        <v>49354</v>
      </c>
      <c r="D6606" s="32" t="s">
        <v>87</v>
      </c>
      <c r="E66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7" spans="1:6" x14ac:dyDescent="0.35">
      <c r="A6607" s="3">
        <v>24278142527</v>
      </c>
      <c r="B6607" s="3">
        <v>276</v>
      </c>
      <c r="C6607" s="32">
        <v>49354</v>
      </c>
      <c r="D6607" s="32" t="s">
        <v>87</v>
      </c>
      <c r="E66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8" spans="1:6" x14ac:dyDescent="0.35">
      <c r="A6608" s="3">
        <v>47040201065</v>
      </c>
      <c r="B6608" s="3">
        <v>299</v>
      </c>
      <c r="C6608" s="32">
        <v>49354</v>
      </c>
      <c r="D6608" s="32"/>
      <c r="E66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9" spans="1:6" x14ac:dyDescent="0.35">
      <c r="A6609" s="3">
        <v>43666527724</v>
      </c>
      <c r="B6609" s="3">
        <v>265</v>
      </c>
      <c r="C6609" s="32">
        <v>49354</v>
      </c>
      <c r="D6609" s="32" t="s">
        <v>87</v>
      </c>
      <c r="E66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0" spans="1:6" x14ac:dyDescent="0.35">
      <c r="A6610" s="3">
        <v>98368704199</v>
      </c>
      <c r="B6610" s="3">
        <v>216</v>
      </c>
      <c r="C6610" s="32">
        <v>49354</v>
      </c>
      <c r="D6610" s="32" t="s">
        <v>87</v>
      </c>
      <c r="E66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1" spans="1:6" x14ac:dyDescent="0.35">
      <c r="A6611" s="3">
        <v>66383421824</v>
      </c>
      <c r="B6611" s="3">
        <v>189</v>
      </c>
      <c r="C6611" s="32">
        <v>49354</v>
      </c>
      <c r="D6611" s="32"/>
      <c r="E66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2" spans="1:6" x14ac:dyDescent="0.35">
      <c r="A6612" s="3">
        <v>22315197147</v>
      </c>
      <c r="B6612" s="3">
        <v>223</v>
      </c>
      <c r="C6612" s="32">
        <v>49354</v>
      </c>
      <c r="D6612" s="32" t="s">
        <v>87</v>
      </c>
      <c r="E66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3" spans="1:6" x14ac:dyDescent="0.35">
      <c r="A6613" s="3">
        <v>84158098083</v>
      </c>
      <c r="B6613" s="3">
        <v>133</v>
      </c>
      <c r="C6613" s="32">
        <v>49354</v>
      </c>
      <c r="D6613" s="32">
        <v>49365</v>
      </c>
      <c r="E66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614" spans="1:6" x14ac:dyDescent="0.35">
      <c r="A6614" s="3">
        <v>57741949575</v>
      </c>
      <c r="B6614" s="3">
        <v>53</v>
      </c>
      <c r="C6614" s="32">
        <v>49354</v>
      </c>
      <c r="D6614" s="32" t="s">
        <v>87</v>
      </c>
      <c r="E66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5" spans="1:6" x14ac:dyDescent="0.35">
      <c r="A6615" s="3">
        <v>53594244218</v>
      </c>
      <c r="B6615" s="3">
        <v>166</v>
      </c>
      <c r="C6615" s="32">
        <v>49354</v>
      </c>
      <c r="D6615" s="32" t="s">
        <v>87</v>
      </c>
      <c r="E66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6" spans="1:6" x14ac:dyDescent="0.35">
      <c r="A6616" s="3">
        <v>77176277326</v>
      </c>
      <c r="B6616" s="3">
        <v>8</v>
      </c>
      <c r="C6616" s="32">
        <v>49354</v>
      </c>
      <c r="D6616" s="32" t="s">
        <v>87</v>
      </c>
      <c r="E66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7" spans="1:6" x14ac:dyDescent="0.35">
      <c r="A6617" s="3">
        <v>23999516195</v>
      </c>
      <c r="B6617" s="3">
        <v>199</v>
      </c>
      <c r="C6617" s="32">
        <v>49354</v>
      </c>
      <c r="D6617" s="32" t="s">
        <v>87</v>
      </c>
      <c r="E66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8" spans="1:6" x14ac:dyDescent="0.35">
      <c r="A6618" s="3">
        <v>12893363180</v>
      </c>
      <c r="B6618" s="3">
        <v>44</v>
      </c>
      <c r="C6618" s="32">
        <v>49354</v>
      </c>
      <c r="D6618" s="32"/>
      <c r="E66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9" spans="1:6" x14ac:dyDescent="0.35">
      <c r="A6619" s="3">
        <v>70141365684</v>
      </c>
      <c r="B6619" s="3">
        <v>197</v>
      </c>
      <c r="C6619" s="32">
        <v>49354</v>
      </c>
      <c r="D6619" s="32" t="s">
        <v>87</v>
      </c>
      <c r="E66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0" spans="1:6" x14ac:dyDescent="0.35">
      <c r="A6620" s="3">
        <v>81952073835</v>
      </c>
      <c r="B6620" s="3">
        <v>115</v>
      </c>
      <c r="C6620" s="32">
        <v>49354</v>
      </c>
      <c r="D6620" s="32"/>
      <c r="E66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1" spans="1:6" x14ac:dyDescent="0.35">
      <c r="A6621" s="3">
        <v>13270694199</v>
      </c>
      <c r="B6621" s="3">
        <v>162</v>
      </c>
      <c r="C6621" s="32">
        <v>49354</v>
      </c>
      <c r="D6621" s="32" t="s">
        <v>87</v>
      </c>
      <c r="E66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2" spans="1:6" x14ac:dyDescent="0.35">
      <c r="A6622" s="3">
        <v>99059028961</v>
      </c>
      <c r="B6622" s="3">
        <v>213</v>
      </c>
      <c r="C6622" s="32">
        <v>49354</v>
      </c>
      <c r="D6622" s="32" t="s">
        <v>87</v>
      </c>
      <c r="E66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3" spans="1:6" x14ac:dyDescent="0.35">
      <c r="A6623" s="3">
        <v>87113552201</v>
      </c>
      <c r="B6623" s="3">
        <v>335</v>
      </c>
      <c r="C6623" s="32">
        <v>49355</v>
      </c>
      <c r="D6623" s="32" t="s">
        <v>87</v>
      </c>
      <c r="E66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4" spans="1:6" x14ac:dyDescent="0.35">
      <c r="A6624" s="3">
        <v>68403250288</v>
      </c>
      <c r="B6624" s="3">
        <v>259</v>
      </c>
      <c r="C6624" s="32">
        <v>49355</v>
      </c>
      <c r="D6624" s="32" t="s">
        <v>87</v>
      </c>
      <c r="E66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5" spans="1:6" x14ac:dyDescent="0.35">
      <c r="A6625" s="3">
        <v>43158077850</v>
      </c>
      <c r="B6625" s="3">
        <v>283</v>
      </c>
      <c r="C6625" s="32">
        <v>49355</v>
      </c>
      <c r="D6625" s="32" t="s">
        <v>87</v>
      </c>
      <c r="E66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6" spans="1:6" x14ac:dyDescent="0.35">
      <c r="A6626" s="3">
        <v>99946183582</v>
      </c>
      <c r="B6626" s="3">
        <v>311</v>
      </c>
      <c r="C6626" s="32">
        <v>49355</v>
      </c>
      <c r="D6626" s="32" t="s">
        <v>87</v>
      </c>
      <c r="E66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7" spans="1:6" x14ac:dyDescent="0.35">
      <c r="A6627" s="3">
        <v>56010456360</v>
      </c>
      <c r="B6627" s="3">
        <v>163</v>
      </c>
      <c r="C6627" s="32">
        <v>49355</v>
      </c>
      <c r="D6627" s="32" t="s">
        <v>87</v>
      </c>
      <c r="E66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8" spans="1:6" x14ac:dyDescent="0.35">
      <c r="A6628" s="3">
        <v>69183012547</v>
      </c>
      <c r="B6628" s="3">
        <v>276</v>
      </c>
      <c r="C6628" s="32">
        <v>49355</v>
      </c>
      <c r="D6628" s="32">
        <v>49367</v>
      </c>
      <c r="E66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629" spans="1:6" x14ac:dyDescent="0.35">
      <c r="A6629" s="3">
        <v>90056229174</v>
      </c>
      <c r="B6629" s="3">
        <v>135</v>
      </c>
      <c r="C6629" s="32">
        <v>49355</v>
      </c>
      <c r="D6629" s="32" t="s">
        <v>87</v>
      </c>
      <c r="E66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0" spans="1:6" x14ac:dyDescent="0.35">
      <c r="A6630" s="3">
        <v>74253639966</v>
      </c>
      <c r="B6630" s="3">
        <v>167</v>
      </c>
      <c r="C6630" s="32">
        <v>49355</v>
      </c>
      <c r="D6630" s="32" t="s">
        <v>87</v>
      </c>
      <c r="E66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1" spans="1:6" x14ac:dyDescent="0.35">
      <c r="A6631" s="3">
        <v>57494197803</v>
      </c>
      <c r="B6631" s="3">
        <v>154</v>
      </c>
      <c r="C6631" s="32">
        <v>49355</v>
      </c>
      <c r="D6631" s="32" t="s">
        <v>87</v>
      </c>
      <c r="E66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2" spans="1:6" x14ac:dyDescent="0.35">
      <c r="A6632" s="3">
        <v>64874806319</v>
      </c>
      <c r="B6632" s="3">
        <v>150</v>
      </c>
      <c r="C6632" s="32">
        <v>49355</v>
      </c>
      <c r="D6632" s="32" t="s">
        <v>87</v>
      </c>
      <c r="E66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3" spans="1:6" x14ac:dyDescent="0.35">
      <c r="A6633" s="3">
        <v>14192855949</v>
      </c>
      <c r="B6633" s="3">
        <v>121</v>
      </c>
      <c r="C6633" s="32">
        <v>49355</v>
      </c>
      <c r="D6633" s="32" t="s">
        <v>87</v>
      </c>
      <c r="E66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4" spans="1:6" x14ac:dyDescent="0.35">
      <c r="A6634" s="3">
        <v>31171412524</v>
      </c>
      <c r="B6634" s="3">
        <v>330</v>
      </c>
      <c r="C6634" s="32">
        <v>49355</v>
      </c>
      <c r="D6634" s="32"/>
      <c r="E66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5" spans="1:6" x14ac:dyDescent="0.35">
      <c r="A6635" s="3">
        <v>75746011545</v>
      </c>
      <c r="B6635" s="3">
        <v>167</v>
      </c>
      <c r="C6635" s="32">
        <v>49355</v>
      </c>
      <c r="D6635" s="32" t="s">
        <v>87</v>
      </c>
      <c r="E66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6" spans="1:6" x14ac:dyDescent="0.35">
      <c r="A6636" s="3">
        <v>92790819712</v>
      </c>
      <c r="B6636" s="3">
        <v>250</v>
      </c>
      <c r="C6636" s="32">
        <v>49355</v>
      </c>
      <c r="D6636" s="32" t="s">
        <v>87</v>
      </c>
      <c r="E66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7" spans="1:6" x14ac:dyDescent="0.35">
      <c r="A6637" s="3">
        <v>21027987407</v>
      </c>
      <c r="B6637" s="3">
        <v>150</v>
      </c>
      <c r="C6637" s="32">
        <v>49355</v>
      </c>
      <c r="D6637" s="32" t="s">
        <v>87</v>
      </c>
      <c r="E66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8" spans="1:6" x14ac:dyDescent="0.35">
      <c r="A6638" s="3">
        <v>20849965045</v>
      </c>
      <c r="B6638" s="3">
        <v>262</v>
      </c>
      <c r="C6638" s="32">
        <v>49355</v>
      </c>
      <c r="D6638" s="32" t="s">
        <v>87</v>
      </c>
      <c r="E66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9" spans="1:6" x14ac:dyDescent="0.35">
      <c r="A6639" s="3">
        <v>45708762043</v>
      </c>
      <c r="B6639" s="3">
        <v>172</v>
      </c>
      <c r="C6639" s="32">
        <v>49355</v>
      </c>
      <c r="D6639" s="32" t="s">
        <v>87</v>
      </c>
      <c r="E66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0" spans="1:6" x14ac:dyDescent="0.35">
      <c r="A6640" s="3">
        <v>41727182080</v>
      </c>
      <c r="B6640" s="3">
        <v>276</v>
      </c>
      <c r="C6640" s="32">
        <v>49355</v>
      </c>
      <c r="D6640" s="32" t="s">
        <v>87</v>
      </c>
      <c r="E66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1" spans="1:6" x14ac:dyDescent="0.35">
      <c r="A6641" s="3">
        <v>31985175126</v>
      </c>
      <c r="B6641" s="3">
        <v>220</v>
      </c>
      <c r="C6641" s="32">
        <v>49355</v>
      </c>
      <c r="D6641" s="32" t="s">
        <v>87</v>
      </c>
      <c r="E66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2" spans="1:6" x14ac:dyDescent="0.35">
      <c r="A6642" s="3">
        <v>68378095241</v>
      </c>
      <c r="B6642" s="3">
        <v>44</v>
      </c>
      <c r="C6642" s="32">
        <v>49355</v>
      </c>
      <c r="D6642" s="32" t="s">
        <v>87</v>
      </c>
      <c r="E66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3" spans="1:6" x14ac:dyDescent="0.35">
      <c r="A6643" s="3">
        <v>49559595754</v>
      </c>
      <c r="B6643" s="3">
        <v>47</v>
      </c>
      <c r="C6643" s="32">
        <v>49355</v>
      </c>
      <c r="D6643" s="32" t="s">
        <v>87</v>
      </c>
      <c r="E66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4" spans="1:6" x14ac:dyDescent="0.35">
      <c r="A6644" s="3">
        <v>91788043108</v>
      </c>
      <c r="B6644" s="3">
        <v>317</v>
      </c>
      <c r="C6644" s="32">
        <v>49355</v>
      </c>
      <c r="D6644" s="32" t="s">
        <v>87</v>
      </c>
      <c r="E66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5" spans="1:6" x14ac:dyDescent="0.35">
      <c r="A6645" s="3">
        <v>97536242493</v>
      </c>
      <c r="B6645" s="3">
        <v>65</v>
      </c>
      <c r="C6645" s="32">
        <v>49355</v>
      </c>
      <c r="D6645" s="32" t="s">
        <v>87</v>
      </c>
      <c r="E66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6" spans="1:6" x14ac:dyDescent="0.35">
      <c r="A6646" s="3">
        <v>24282936898</v>
      </c>
      <c r="B6646" s="3">
        <v>204</v>
      </c>
      <c r="C6646" s="32">
        <v>49355</v>
      </c>
      <c r="D6646" s="32" t="s">
        <v>87</v>
      </c>
      <c r="E66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7" spans="1:6" x14ac:dyDescent="0.35">
      <c r="A6647" s="3">
        <v>83583355192</v>
      </c>
      <c r="B6647" s="3">
        <v>248</v>
      </c>
      <c r="C6647" s="32">
        <v>49355</v>
      </c>
      <c r="D6647" s="32" t="s">
        <v>87</v>
      </c>
      <c r="E66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8" spans="1:6" x14ac:dyDescent="0.35">
      <c r="A6648" s="3">
        <v>99049271926</v>
      </c>
      <c r="B6648" s="3">
        <v>116</v>
      </c>
      <c r="C6648" s="32">
        <v>49355</v>
      </c>
      <c r="D6648" s="32">
        <v>49355</v>
      </c>
      <c r="E66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649" spans="1:6" x14ac:dyDescent="0.35">
      <c r="A6649" s="3">
        <v>51585601772</v>
      </c>
      <c r="B6649" s="3">
        <v>245</v>
      </c>
      <c r="C6649" s="32">
        <v>49355</v>
      </c>
      <c r="D6649" s="32" t="s">
        <v>87</v>
      </c>
      <c r="E66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0" spans="1:6" x14ac:dyDescent="0.35">
      <c r="A6650" s="3">
        <v>51846300522</v>
      </c>
      <c r="B6650" s="3">
        <v>132</v>
      </c>
      <c r="C6650" s="32">
        <v>49355</v>
      </c>
      <c r="D6650" s="32"/>
      <c r="E66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1" spans="1:6" x14ac:dyDescent="0.35">
      <c r="A6651" s="3">
        <v>68713798129</v>
      </c>
      <c r="B6651" s="3">
        <v>164</v>
      </c>
      <c r="C6651" s="32">
        <v>49355</v>
      </c>
      <c r="D6651" s="32" t="s">
        <v>87</v>
      </c>
      <c r="E66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2" spans="1:6" x14ac:dyDescent="0.35">
      <c r="A6652" s="3">
        <v>76365461738</v>
      </c>
      <c r="B6652" s="3">
        <v>239</v>
      </c>
      <c r="C6652" s="32">
        <v>49355</v>
      </c>
      <c r="D6652" s="32" t="s">
        <v>87</v>
      </c>
      <c r="E66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3" spans="1:6" x14ac:dyDescent="0.35">
      <c r="A6653" s="3">
        <v>23567946820</v>
      </c>
      <c r="B6653" s="3">
        <v>205</v>
      </c>
      <c r="C6653" s="32">
        <v>49356</v>
      </c>
      <c r="D6653" s="32" t="s">
        <v>87</v>
      </c>
      <c r="E66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4" spans="1:6" x14ac:dyDescent="0.35">
      <c r="A6654" s="3">
        <v>48326515030</v>
      </c>
      <c r="B6654" s="3">
        <v>55</v>
      </c>
      <c r="C6654" s="32">
        <v>49356</v>
      </c>
      <c r="D6654" s="32" t="s">
        <v>87</v>
      </c>
      <c r="E66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5" spans="1:6" x14ac:dyDescent="0.35">
      <c r="A6655" s="3">
        <v>48611467217</v>
      </c>
      <c r="B6655" s="3">
        <v>214</v>
      </c>
      <c r="C6655" s="32">
        <v>49356</v>
      </c>
      <c r="D6655" s="32" t="s">
        <v>87</v>
      </c>
      <c r="E66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6" spans="1:6" x14ac:dyDescent="0.35">
      <c r="A6656" s="3">
        <v>52794517120</v>
      </c>
      <c r="B6656" s="3">
        <v>10</v>
      </c>
      <c r="C6656" s="32">
        <v>49356</v>
      </c>
      <c r="D6656" s="32">
        <v>49358</v>
      </c>
      <c r="E66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657" spans="1:6" x14ac:dyDescent="0.35">
      <c r="A6657" s="3">
        <v>59301082899</v>
      </c>
      <c r="B6657" s="3">
        <v>314</v>
      </c>
      <c r="C6657" s="32">
        <v>49356</v>
      </c>
      <c r="D6657" s="32" t="s">
        <v>87</v>
      </c>
      <c r="E66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8" spans="1:6" x14ac:dyDescent="0.35">
      <c r="A6658" s="3">
        <v>38772752189</v>
      </c>
      <c r="B6658" s="3">
        <v>294</v>
      </c>
      <c r="C6658" s="32">
        <v>49356</v>
      </c>
      <c r="D6658" s="32" t="s">
        <v>87</v>
      </c>
      <c r="E66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9" spans="1:6" x14ac:dyDescent="0.35">
      <c r="A6659" s="3">
        <v>69023200239</v>
      </c>
      <c r="B6659" s="3">
        <v>174</v>
      </c>
      <c r="C6659" s="32">
        <v>49356</v>
      </c>
      <c r="D6659" s="32" t="s">
        <v>87</v>
      </c>
      <c r="E66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0" spans="1:6" x14ac:dyDescent="0.35">
      <c r="A6660" s="3">
        <v>15221308964</v>
      </c>
      <c r="B6660" s="3">
        <v>39</v>
      </c>
      <c r="C6660" s="32">
        <v>49356</v>
      </c>
      <c r="D6660" s="32" t="s">
        <v>87</v>
      </c>
      <c r="E66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1" spans="1:6" x14ac:dyDescent="0.35">
      <c r="A6661" s="3">
        <v>55261606276</v>
      </c>
      <c r="B6661" s="3">
        <v>181</v>
      </c>
      <c r="C6661" s="32">
        <v>49356</v>
      </c>
      <c r="D6661" s="32" t="s">
        <v>87</v>
      </c>
      <c r="E66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2" spans="1:6" x14ac:dyDescent="0.35">
      <c r="A6662" s="3">
        <v>62198590163</v>
      </c>
      <c r="B6662" s="3">
        <v>322</v>
      </c>
      <c r="C6662" s="32">
        <v>49356</v>
      </c>
      <c r="D6662" s="32" t="s">
        <v>87</v>
      </c>
      <c r="E66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3" spans="1:6" x14ac:dyDescent="0.35">
      <c r="A6663" s="3">
        <v>97289928905</v>
      </c>
      <c r="B6663" s="3">
        <v>276</v>
      </c>
      <c r="C6663" s="32">
        <v>49356</v>
      </c>
      <c r="D6663" s="32" t="s">
        <v>87</v>
      </c>
      <c r="E66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4" spans="1:6" x14ac:dyDescent="0.35">
      <c r="A6664" s="3">
        <v>66119569483</v>
      </c>
      <c r="B6664" s="3">
        <v>327</v>
      </c>
      <c r="C6664" s="32">
        <v>49356</v>
      </c>
      <c r="D6664" s="32" t="s">
        <v>87</v>
      </c>
      <c r="E66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5" spans="1:6" x14ac:dyDescent="0.35">
      <c r="A6665" s="3">
        <v>91624540036</v>
      </c>
      <c r="B6665" s="3">
        <v>154</v>
      </c>
      <c r="C6665" s="32">
        <v>49356</v>
      </c>
      <c r="D6665" s="32" t="s">
        <v>87</v>
      </c>
      <c r="E66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6" spans="1:6" x14ac:dyDescent="0.35">
      <c r="A6666" s="3">
        <v>43022631528</v>
      </c>
      <c r="B6666" s="3">
        <v>334</v>
      </c>
      <c r="C6666" s="32">
        <v>49356</v>
      </c>
      <c r="D6666" s="32" t="s">
        <v>87</v>
      </c>
      <c r="E66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7" spans="1:6" x14ac:dyDescent="0.35">
      <c r="A6667" s="3">
        <v>87149483936</v>
      </c>
      <c r="B6667" s="3">
        <v>220</v>
      </c>
      <c r="C6667" s="32">
        <v>49356</v>
      </c>
      <c r="D6667" s="32">
        <v>49359</v>
      </c>
      <c r="E66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668" spans="1:6" x14ac:dyDescent="0.35">
      <c r="A6668" s="3">
        <v>98991941729</v>
      </c>
      <c r="B6668" s="3">
        <v>228</v>
      </c>
      <c r="C6668" s="32">
        <v>49356</v>
      </c>
      <c r="D6668" s="32" t="s">
        <v>87</v>
      </c>
      <c r="E66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9" spans="1:6" x14ac:dyDescent="0.35">
      <c r="A6669" s="3">
        <v>66924402337</v>
      </c>
      <c r="B6669" s="3">
        <v>106</v>
      </c>
      <c r="C6669" s="32">
        <v>49356</v>
      </c>
      <c r="D6669" s="32" t="s">
        <v>87</v>
      </c>
      <c r="E66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0" spans="1:6" x14ac:dyDescent="0.35">
      <c r="A6670" s="3">
        <v>32718206287</v>
      </c>
      <c r="B6670" s="3">
        <v>181</v>
      </c>
      <c r="C6670" s="32">
        <v>49356</v>
      </c>
      <c r="D6670" s="32" t="s">
        <v>87</v>
      </c>
      <c r="E66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1" spans="1:6" x14ac:dyDescent="0.35">
      <c r="A6671" s="3">
        <v>51717336284</v>
      </c>
      <c r="B6671" s="3">
        <v>150</v>
      </c>
      <c r="C6671" s="32">
        <v>49356</v>
      </c>
      <c r="D6671" s="32" t="s">
        <v>87</v>
      </c>
      <c r="E66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2" spans="1:6" x14ac:dyDescent="0.35">
      <c r="A6672" s="3">
        <v>19000728065</v>
      </c>
      <c r="B6672" s="3">
        <v>222</v>
      </c>
      <c r="C6672" s="32">
        <v>49356</v>
      </c>
      <c r="D6672" s="32"/>
      <c r="E66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3" spans="1:6" x14ac:dyDescent="0.35">
      <c r="A6673" s="3">
        <v>18170349905</v>
      </c>
      <c r="B6673" s="3">
        <v>193</v>
      </c>
      <c r="C6673" s="32">
        <v>49356</v>
      </c>
      <c r="D6673" s="32" t="s">
        <v>87</v>
      </c>
      <c r="E66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4" spans="1:6" x14ac:dyDescent="0.35">
      <c r="A6674" s="3">
        <v>52272771220</v>
      </c>
      <c r="B6674" s="3">
        <v>94</v>
      </c>
      <c r="C6674" s="32">
        <v>49356</v>
      </c>
      <c r="D6674" s="32" t="s">
        <v>87</v>
      </c>
      <c r="E66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5" spans="1:6" x14ac:dyDescent="0.35">
      <c r="A6675" s="3">
        <v>78960460221</v>
      </c>
      <c r="B6675" s="3">
        <v>246</v>
      </c>
      <c r="C6675" s="32">
        <v>49356</v>
      </c>
      <c r="D6675" s="32" t="s">
        <v>87</v>
      </c>
      <c r="E66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6" spans="1:6" x14ac:dyDescent="0.35">
      <c r="A6676" s="3">
        <v>32899038389</v>
      </c>
      <c r="B6676" s="3">
        <v>76</v>
      </c>
      <c r="C6676" s="32">
        <v>49356</v>
      </c>
      <c r="D6676" s="32" t="s">
        <v>87</v>
      </c>
      <c r="E66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7" spans="1:6" x14ac:dyDescent="0.35">
      <c r="A6677" s="3">
        <v>30101645296</v>
      </c>
      <c r="B6677" s="3">
        <v>332</v>
      </c>
      <c r="C6677" s="32">
        <v>49356</v>
      </c>
      <c r="D6677" s="32" t="s">
        <v>87</v>
      </c>
      <c r="E66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8" spans="1:6" x14ac:dyDescent="0.35">
      <c r="A6678" s="3">
        <v>21253244595</v>
      </c>
      <c r="B6678" s="3">
        <v>102</v>
      </c>
      <c r="C6678" s="32">
        <v>49356</v>
      </c>
      <c r="D6678" s="32"/>
      <c r="E66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9" spans="1:6" x14ac:dyDescent="0.35">
      <c r="A6679" s="3">
        <v>86788358071</v>
      </c>
      <c r="B6679" s="3">
        <v>267</v>
      </c>
      <c r="C6679" s="32">
        <v>49356</v>
      </c>
      <c r="D6679" s="32"/>
      <c r="E66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0" spans="1:6" x14ac:dyDescent="0.35">
      <c r="A6680" s="3">
        <v>19535421003</v>
      </c>
      <c r="B6680" s="3">
        <v>225</v>
      </c>
      <c r="C6680" s="32">
        <v>49356</v>
      </c>
      <c r="D6680" s="32" t="s">
        <v>87</v>
      </c>
      <c r="E66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1" spans="1:6" x14ac:dyDescent="0.35">
      <c r="A6681" s="3">
        <v>60849402787</v>
      </c>
      <c r="B6681" s="3">
        <v>124</v>
      </c>
      <c r="C6681" s="32">
        <v>49356</v>
      </c>
      <c r="D6681" s="32" t="s">
        <v>87</v>
      </c>
      <c r="E66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2" spans="1:6" x14ac:dyDescent="0.35">
      <c r="A6682" s="3">
        <v>81104137195</v>
      </c>
      <c r="B6682" s="3">
        <v>166</v>
      </c>
      <c r="C6682" s="32">
        <v>49356</v>
      </c>
      <c r="D6682" s="32"/>
      <c r="E66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3" spans="1:6" x14ac:dyDescent="0.35">
      <c r="A6683" s="3">
        <v>53521865501</v>
      </c>
      <c r="B6683" s="3">
        <v>9</v>
      </c>
      <c r="C6683" s="32">
        <v>49356</v>
      </c>
      <c r="D6683" s="32" t="s">
        <v>87</v>
      </c>
      <c r="E66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4" spans="1:6" x14ac:dyDescent="0.35">
      <c r="A6684" s="3">
        <v>35868428507</v>
      </c>
      <c r="B6684" s="3">
        <v>47</v>
      </c>
      <c r="C6684" s="32">
        <v>49356</v>
      </c>
      <c r="D6684" s="32" t="s">
        <v>87</v>
      </c>
      <c r="E66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5" spans="1:6" x14ac:dyDescent="0.35">
      <c r="A6685" s="3">
        <v>25428619307</v>
      </c>
      <c r="B6685" s="3">
        <v>252</v>
      </c>
      <c r="C6685" s="32">
        <v>49357</v>
      </c>
      <c r="D6685" s="32" t="s">
        <v>87</v>
      </c>
      <c r="E66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6" spans="1:6" x14ac:dyDescent="0.35">
      <c r="A6686" s="3">
        <v>97784050351</v>
      </c>
      <c r="B6686" s="3">
        <v>68</v>
      </c>
      <c r="C6686" s="32">
        <v>49357</v>
      </c>
      <c r="D6686" s="32" t="s">
        <v>87</v>
      </c>
      <c r="E66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7" spans="1:6" x14ac:dyDescent="0.35">
      <c r="A6687" s="3">
        <v>50595452897</v>
      </c>
      <c r="B6687" s="3">
        <v>243</v>
      </c>
      <c r="C6687" s="32">
        <v>49357</v>
      </c>
      <c r="D6687" s="32" t="s">
        <v>87</v>
      </c>
      <c r="E66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8" spans="1:6" x14ac:dyDescent="0.35">
      <c r="A6688" s="3">
        <v>73629195479</v>
      </c>
      <c r="B6688" s="3">
        <v>73</v>
      </c>
      <c r="C6688" s="32">
        <v>49357</v>
      </c>
      <c r="D6688" s="32"/>
      <c r="E66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9" spans="1:6" x14ac:dyDescent="0.35">
      <c r="A6689" s="3">
        <v>45152526113</v>
      </c>
      <c r="B6689" s="3">
        <v>304</v>
      </c>
      <c r="C6689" s="32">
        <v>49357</v>
      </c>
      <c r="D6689" s="32" t="s">
        <v>87</v>
      </c>
      <c r="E66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0" spans="1:6" x14ac:dyDescent="0.35">
      <c r="A6690" s="3">
        <v>85280784363</v>
      </c>
      <c r="B6690" s="3">
        <v>300</v>
      </c>
      <c r="C6690" s="32">
        <v>49357</v>
      </c>
      <c r="D6690" s="32" t="s">
        <v>87</v>
      </c>
      <c r="E66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1" spans="1:6" x14ac:dyDescent="0.35">
      <c r="A6691" s="3">
        <v>53962641176</v>
      </c>
      <c r="B6691" s="3">
        <v>164</v>
      </c>
      <c r="C6691" s="32">
        <v>49357</v>
      </c>
      <c r="D6691" s="32" t="s">
        <v>87</v>
      </c>
      <c r="E66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2" spans="1:6" x14ac:dyDescent="0.35">
      <c r="A6692" s="3">
        <v>56954305714</v>
      </c>
      <c r="B6692" s="3">
        <v>262</v>
      </c>
      <c r="C6692" s="32">
        <v>49357</v>
      </c>
      <c r="D6692" s="32"/>
      <c r="E66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3" spans="1:6" x14ac:dyDescent="0.35">
      <c r="A6693" s="3">
        <v>82331490422</v>
      </c>
      <c r="B6693" s="3">
        <v>124</v>
      </c>
      <c r="C6693" s="32">
        <v>49357</v>
      </c>
      <c r="D6693" s="32"/>
      <c r="E66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4" spans="1:6" x14ac:dyDescent="0.35">
      <c r="A6694" s="3">
        <v>60271682148</v>
      </c>
      <c r="B6694" s="3">
        <v>276</v>
      </c>
      <c r="C6694" s="32">
        <v>49357</v>
      </c>
      <c r="D6694" s="32" t="s">
        <v>87</v>
      </c>
      <c r="E66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5" spans="1:6" x14ac:dyDescent="0.35">
      <c r="A6695" s="3">
        <v>31885437308</v>
      </c>
      <c r="B6695" s="3">
        <v>23</v>
      </c>
      <c r="C6695" s="32">
        <v>49357</v>
      </c>
      <c r="D6695" s="32" t="s">
        <v>87</v>
      </c>
      <c r="E66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6" spans="1:6" x14ac:dyDescent="0.35">
      <c r="A6696" s="3">
        <v>89500788802</v>
      </c>
      <c r="B6696" s="3">
        <v>105</v>
      </c>
      <c r="C6696" s="32">
        <v>49357</v>
      </c>
      <c r="D6696" s="32"/>
      <c r="E66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7" spans="1:6" x14ac:dyDescent="0.35">
      <c r="A6697" s="3">
        <v>68480676604</v>
      </c>
      <c r="B6697" s="3">
        <v>46</v>
      </c>
      <c r="C6697" s="32">
        <v>49357</v>
      </c>
      <c r="D6697" s="32" t="s">
        <v>87</v>
      </c>
      <c r="E66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8" spans="1:6" x14ac:dyDescent="0.35">
      <c r="A6698" s="3">
        <v>90206474462</v>
      </c>
      <c r="B6698" s="3">
        <v>283</v>
      </c>
      <c r="C6698" s="32">
        <v>49357</v>
      </c>
      <c r="D6698" s="32" t="s">
        <v>87</v>
      </c>
      <c r="E66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9" spans="1:6" x14ac:dyDescent="0.35">
      <c r="A6699" s="3">
        <v>93747449654</v>
      </c>
      <c r="B6699" s="3">
        <v>138</v>
      </c>
      <c r="C6699" s="32">
        <v>49357</v>
      </c>
      <c r="D6699" s="32" t="s">
        <v>87</v>
      </c>
      <c r="E66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0" spans="1:6" x14ac:dyDescent="0.35">
      <c r="A6700" s="3">
        <v>35850316476</v>
      </c>
      <c r="B6700" s="3">
        <v>216</v>
      </c>
      <c r="C6700" s="32">
        <v>49357</v>
      </c>
      <c r="D6700" s="32" t="s">
        <v>87</v>
      </c>
      <c r="E67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1" spans="1:6" x14ac:dyDescent="0.35">
      <c r="A6701" s="3">
        <v>34436495839</v>
      </c>
      <c r="B6701" s="3">
        <v>266</v>
      </c>
      <c r="C6701" s="32">
        <v>49357</v>
      </c>
      <c r="D6701" s="32" t="s">
        <v>87</v>
      </c>
      <c r="E67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2" spans="1:6" x14ac:dyDescent="0.35">
      <c r="A6702" s="3">
        <v>74617680430</v>
      </c>
      <c r="B6702" s="3">
        <v>61</v>
      </c>
      <c r="C6702" s="32">
        <v>49357</v>
      </c>
      <c r="D6702" s="32">
        <v>49368</v>
      </c>
      <c r="E67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703" spans="1:6" x14ac:dyDescent="0.35">
      <c r="A6703" s="3">
        <v>26153608336</v>
      </c>
      <c r="B6703" s="3">
        <v>95</v>
      </c>
      <c r="C6703" s="32">
        <v>49357</v>
      </c>
      <c r="D6703" s="32" t="s">
        <v>87</v>
      </c>
      <c r="E67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4" spans="1:6" x14ac:dyDescent="0.35">
      <c r="A6704" s="3">
        <v>44608046947</v>
      </c>
      <c r="B6704" s="3">
        <v>10</v>
      </c>
      <c r="C6704" s="32">
        <v>49357</v>
      </c>
      <c r="D6704" s="32" t="s">
        <v>87</v>
      </c>
      <c r="E67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5" spans="1:6" x14ac:dyDescent="0.35">
      <c r="A6705" s="3">
        <v>55690462273</v>
      </c>
      <c r="B6705" s="3">
        <v>278</v>
      </c>
      <c r="C6705" s="32">
        <v>49357</v>
      </c>
      <c r="D6705" s="32"/>
      <c r="E67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6" spans="1:6" x14ac:dyDescent="0.35">
      <c r="A6706" s="3">
        <v>43562079387</v>
      </c>
      <c r="B6706" s="3">
        <v>304</v>
      </c>
      <c r="C6706" s="32">
        <v>49358</v>
      </c>
      <c r="D6706" s="32" t="s">
        <v>87</v>
      </c>
      <c r="E67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7" spans="1:6" x14ac:dyDescent="0.35">
      <c r="A6707" s="3">
        <v>76955823552</v>
      </c>
      <c r="B6707" s="3">
        <v>188</v>
      </c>
      <c r="C6707" s="32">
        <v>49358</v>
      </c>
      <c r="D6707" s="32" t="s">
        <v>87</v>
      </c>
      <c r="E67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8" spans="1:6" x14ac:dyDescent="0.35">
      <c r="A6708" s="3">
        <v>94437550060</v>
      </c>
      <c r="B6708" s="3">
        <v>223</v>
      </c>
      <c r="C6708" s="32">
        <v>49358</v>
      </c>
      <c r="D6708" s="32" t="s">
        <v>87</v>
      </c>
      <c r="E67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9" spans="1:6" x14ac:dyDescent="0.35">
      <c r="A6709" s="3">
        <v>28486051428</v>
      </c>
      <c r="B6709" s="3">
        <v>139</v>
      </c>
      <c r="C6709" s="32">
        <v>49358</v>
      </c>
      <c r="D6709" s="32" t="s">
        <v>87</v>
      </c>
      <c r="E67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0" spans="1:6" x14ac:dyDescent="0.35">
      <c r="A6710" s="3">
        <v>28402879502</v>
      </c>
      <c r="B6710" s="3">
        <v>50</v>
      </c>
      <c r="C6710" s="32">
        <v>49358</v>
      </c>
      <c r="D6710" s="32">
        <v>49364</v>
      </c>
      <c r="E67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711" spans="1:6" x14ac:dyDescent="0.35">
      <c r="A6711" s="3">
        <v>45526417817</v>
      </c>
      <c r="B6711" s="3">
        <v>340</v>
      </c>
      <c r="C6711" s="32">
        <v>49358</v>
      </c>
      <c r="D6711" s="32" t="s">
        <v>87</v>
      </c>
      <c r="E67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2" spans="1:6" x14ac:dyDescent="0.35">
      <c r="A6712" s="3">
        <v>51342459573</v>
      </c>
      <c r="B6712" s="3">
        <v>338</v>
      </c>
      <c r="C6712" s="32">
        <v>49358</v>
      </c>
      <c r="D6712" s="32" t="s">
        <v>87</v>
      </c>
      <c r="E67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3" spans="1:6" x14ac:dyDescent="0.35">
      <c r="A6713" s="3">
        <v>94043202199</v>
      </c>
      <c r="B6713" s="3">
        <v>125</v>
      </c>
      <c r="C6713" s="32">
        <v>49358</v>
      </c>
      <c r="D6713" s="32" t="s">
        <v>87</v>
      </c>
      <c r="E67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4" spans="1:6" x14ac:dyDescent="0.35">
      <c r="A6714" s="3">
        <v>49361116565</v>
      </c>
      <c r="B6714" s="3">
        <v>230</v>
      </c>
      <c r="C6714" s="32">
        <v>49358</v>
      </c>
      <c r="D6714" s="32" t="s">
        <v>87</v>
      </c>
      <c r="E67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5" spans="1:6" x14ac:dyDescent="0.35">
      <c r="A6715" s="3">
        <v>54551071669</v>
      </c>
      <c r="B6715" s="3">
        <v>249</v>
      </c>
      <c r="C6715" s="32">
        <v>49358</v>
      </c>
      <c r="D6715" s="32" t="s">
        <v>87</v>
      </c>
      <c r="E67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6" spans="1:6" x14ac:dyDescent="0.35">
      <c r="A6716" s="3">
        <v>59118423895</v>
      </c>
      <c r="B6716" s="3">
        <v>157</v>
      </c>
      <c r="C6716" s="32">
        <v>49358</v>
      </c>
      <c r="D6716" s="32" t="s">
        <v>87</v>
      </c>
      <c r="E67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7" spans="1:6" x14ac:dyDescent="0.35">
      <c r="A6717" s="3">
        <v>14290280421</v>
      </c>
      <c r="B6717" s="3">
        <v>217</v>
      </c>
      <c r="C6717" s="32">
        <v>49358</v>
      </c>
      <c r="D6717" s="32" t="s">
        <v>87</v>
      </c>
      <c r="E67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8" spans="1:6" x14ac:dyDescent="0.35">
      <c r="A6718" s="3">
        <v>49794083460</v>
      </c>
      <c r="B6718" s="3">
        <v>144</v>
      </c>
      <c r="C6718" s="32">
        <v>49358</v>
      </c>
      <c r="D6718" s="32">
        <v>49365</v>
      </c>
      <c r="E67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719" spans="1:6" x14ac:dyDescent="0.35">
      <c r="A6719" s="3">
        <v>45565435062</v>
      </c>
      <c r="B6719" s="3">
        <v>5</v>
      </c>
      <c r="C6719" s="32">
        <v>49358</v>
      </c>
      <c r="D6719" s="32" t="s">
        <v>87</v>
      </c>
      <c r="E67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0" spans="1:6" x14ac:dyDescent="0.35">
      <c r="A6720" s="3">
        <v>78679412562</v>
      </c>
      <c r="B6720" s="3">
        <v>229</v>
      </c>
      <c r="C6720" s="32">
        <v>49358</v>
      </c>
      <c r="D6720" s="32" t="s">
        <v>87</v>
      </c>
      <c r="E67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1" spans="1:6" x14ac:dyDescent="0.35">
      <c r="A6721" s="3">
        <v>54321923047</v>
      </c>
      <c r="B6721" s="3">
        <v>336</v>
      </c>
      <c r="C6721" s="32">
        <v>49358</v>
      </c>
      <c r="D6721" s="32" t="s">
        <v>87</v>
      </c>
      <c r="E67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2" spans="1:6" x14ac:dyDescent="0.35">
      <c r="A6722" s="3">
        <v>70860625466</v>
      </c>
      <c r="B6722" s="3">
        <v>270</v>
      </c>
      <c r="C6722" s="32">
        <v>49358</v>
      </c>
      <c r="D6722" s="32" t="s">
        <v>87</v>
      </c>
      <c r="E67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3" spans="1:6" x14ac:dyDescent="0.35">
      <c r="A6723" s="3">
        <v>75984020178</v>
      </c>
      <c r="B6723" s="3">
        <v>302</v>
      </c>
      <c r="C6723" s="32">
        <v>49358</v>
      </c>
      <c r="D6723" s="32" t="s">
        <v>87</v>
      </c>
      <c r="E67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4" spans="1:6" x14ac:dyDescent="0.35">
      <c r="A6724" s="3">
        <v>78830782288</v>
      </c>
      <c r="B6724" s="3">
        <v>81</v>
      </c>
      <c r="C6724" s="32">
        <v>49358</v>
      </c>
      <c r="D6724" s="32" t="s">
        <v>87</v>
      </c>
      <c r="E67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5" spans="1:6" x14ac:dyDescent="0.35">
      <c r="A6725" s="3">
        <v>53790246865</v>
      </c>
      <c r="B6725" s="3">
        <v>141</v>
      </c>
      <c r="C6725" s="32">
        <v>49358</v>
      </c>
      <c r="D6725" s="32" t="s">
        <v>87</v>
      </c>
      <c r="E67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6" spans="1:6" x14ac:dyDescent="0.35">
      <c r="A6726" s="3">
        <v>95902474147</v>
      </c>
      <c r="B6726" s="3">
        <v>255</v>
      </c>
      <c r="C6726" s="32">
        <v>49358</v>
      </c>
      <c r="D6726" s="32"/>
      <c r="E67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7" spans="1:6" x14ac:dyDescent="0.35">
      <c r="A6727" s="3">
        <v>57819830861</v>
      </c>
      <c r="B6727" s="3">
        <v>123</v>
      </c>
      <c r="C6727" s="32">
        <v>49358</v>
      </c>
      <c r="D6727" s="32"/>
      <c r="E67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8" spans="1:6" x14ac:dyDescent="0.35">
      <c r="A6728" s="3">
        <v>37598428621</v>
      </c>
      <c r="B6728" s="3">
        <v>328</v>
      </c>
      <c r="C6728" s="32">
        <v>49359</v>
      </c>
      <c r="D6728" s="32" t="s">
        <v>87</v>
      </c>
      <c r="E67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9" spans="1:6" x14ac:dyDescent="0.35">
      <c r="A6729" s="3">
        <v>16764269307</v>
      </c>
      <c r="B6729" s="3">
        <v>88</v>
      </c>
      <c r="C6729" s="32">
        <v>49359</v>
      </c>
      <c r="D6729" s="32" t="s">
        <v>87</v>
      </c>
      <c r="E67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0" spans="1:6" x14ac:dyDescent="0.35">
      <c r="A6730" s="3">
        <v>31905269724</v>
      </c>
      <c r="B6730" s="3">
        <v>47</v>
      </c>
      <c r="C6730" s="32">
        <v>49359</v>
      </c>
      <c r="D6730" s="32" t="s">
        <v>87</v>
      </c>
      <c r="E67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1" spans="1:6" x14ac:dyDescent="0.35">
      <c r="A6731" s="3">
        <v>13611933707</v>
      </c>
      <c r="B6731" s="3">
        <v>310</v>
      </c>
      <c r="C6731" s="32">
        <v>49359</v>
      </c>
      <c r="D6731" s="32"/>
      <c r="E67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2" spans="1:6" x14ac:dyDescent="0.35">
      <c r="A6732" s="3">
        <v>24303771230</v>
      </c>
      <c r="B6732" s="3">
        <v>172</v>
      </c>
      <c r="C6732" s="32">
        <v>49359</v>
      </c>
      <c r="D6732" s="32"/>
      <c r="E67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3" spans="1:6" x14ac:dyDescent="0.35">
      <c r="A6733" s="3">
        <v>17691776386</v>
      </c>
      <c r="B6733" s="3">
        <v>253</v>
      </c>
      <c r="C6733" s="32">
        <v>49359</v>
      </c>
      <c r="D6733" s="32"/>
      <c r="E67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4" spans="1:6" x14ac:dyDescent="0.35">
      <c r="A6734" s="3">
        <v>49490673165</v>
      </c>
      <c r="B6734" s="3">
        <v>34</v>
      </c>
      <c r="C6734" s="32">
        <v>49359</v>
      </c>
      <c r="D6734" s="32" t="s">
        <v>87</v>
      </c>
      <c r="E67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5" spans="1:6" x14ac:dyDescent="0.35">
      <c r="A6735" s="3">
        <v>49297896072</v>
      </c>
      <c r="B6735" s="3">
        <v>271</v>
      </c>
      <c r="C6735" s="32">
        <v>49359</v>
      </c>
      <c r="D6735" s="32" t="s">
        <v>87</v>
      </c>
      <c r="E67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6" spans="1:6" x14ac:dyDescent="0.35">
      <c r="A6736" s="3">
        <v>96498225764</v>
      </c>
      <c r="B6736" s="3">
        <v>326</v>
      </c>
      <c r="C6736" s="32">
        <v>49359</v>
      </c>
      <c r="D6736" s="32" t="s">
        <v>87</v>
      </c>
      <c r="E67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7" spans="1:6" x14ac:dyDescent="0.35">
      <c r="A6737" s="3">
        <v>20781644720</v>
      </c>
      <c r="B6737" s="3">
        <v>105</v>
      </c>
      <c r="C6737" s="32">
        <v>49359</v>
      </c>
      <c r="D6737" s="32" t="s">
        <v>87</v>
      </c>
      <c r="E67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8" spans="1:6" x14ac:dyDescent="0.35">
      <c r="A6738" s="3">
        <v>84476101796</v>
      </c>
      <c r="B6738" s="3">
        <v>172</v>
      </c>
      <c r="C6738" s="32">
        <v>49359</v>
      </c>
      <c r="D6738" s="32" t="s">
        <v>87</v>
      </c>
      <c r="E67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9" spans="1:6" x14ac:dyDescent="0.35">
      <c r="A6739" s="3">
        <v>95109048747</v>
      </c>
      <c r="B6739" s="3">
        <v>270</v>
      </c>
      <c r="C6739" s="32">
        <v>49359</v>
      </c>
      <c r="D6739" s="32" t="s">
        <v>87</v>
      </c>
      <c r="E67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0" spans="1:6" x14ac:dyDescent="0.35">
      <c r="A6740" s="3">
        <v>38402849130</v>
      </c>
      <c r="B6740" s="3">
        <v>19</v>
      </c>
      <c r="C6740" s="32">
        <v>49359</v>
      </c>
      <c r="D6740" s="32" t="s">
        <v>87</v>
      </c>
      <c r="E67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1" spans="1:6" x14ac:dyDescent="0.35">
      <c r="A6741" s="3">
        <v>79566401571</v>
      </c>
      <c r="B6741" s="3">
        <v>177</v>
      </c>
      <c r="C6741" s="32">
        <v>49359</v>
      </c>
      <c r="D6741" s="32" t="s">
        <v>87</v>
      </c>
      <c r="E67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2" spans="1:6" x14ac:dyDescent="0.35">
      <c r="A6742" s="3">
        <v>63765903906</v>
      </c>
      <c r="B6742" s="3">
        <v>25</v>
      </c>
      <c r="C6742" s="32">
        <v>49359</v>
      </c>
      <c r="D6742" s="32" t="s">
        <v>87</v>
      </c>
      <c r="E67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3" spans="1:6" x14ac:dyDescent="0.35">
      <c r="A6743" s="3">
        <v>69021971496</v>
      </c>
      <c r="B6743" s="3">
        <v>232</v>
      </c>
      <c r="C6743" s="32">
        <v>49359</v>
      </c>
      <c r="D6743" s="32" t="s">
        <v>87</v>
      </c>
      <c r="E67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4" spans="1:6" x14ac:dyDescent="0.35">
      <c r="A6744" s="3">
        <v>23513011898</v>
      </c>
      <c r="B6744" s="3">
        <v>227</v>
      </c>
      <c r="C6744" s="32">
        <v>49359</v>
      </c>
      <c r="D6744" s="32"/>
      <c r="E67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5" spans="1:6" x14ac:dyDescent="0.35">
      <c r="A6745" s="3">
        <v>28921235730</v>
      </c>
      <c r="B6745" s="3">
        <v>325</v>
      </c>
      <c r="C6745" s="32">
        <v>49359</v>
      </c>
      <c r="D6745" s="32"/>
      <c r="E67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6" spans="1:6" x14ac:dyDescent="0.35">
      <c r="A6746" s="3">
        <v>24598086878</v>
      </c>
      <c r="B6746" s="3">
        <v>98</v>
      </c>
      <c r="C6746" s="32">
        <v>49359</v>
      </c>
      <c r="D6746" s="32" t="s">
        <v>87</v>
      </c>
      <c r="E67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7" spans="1:6" x14ac:dyDescent="0.35">
      <c r="A6747" s="3">
        <v>34109454015</v>
      </c>
      <c r="B6747" s="3">
        <v>198</v>
      </c>
      <c r="C6747" s="32">
        <v>49359</v>
      </c>
      <c r="D6747" s="32" t="s">
        <v>87</v>
      </c>
      <c r="E67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8" spans="1:6" x14ac:dyDescent="0.35">
      <c r="A6748" s="3">
        <v>42555670318</v>
      </c>
      <c r="B6748" s="3">
        <v>38</v>
      </c>
      <c r="C6748" s="32">
        <v>49359</v>
      </c>
      <c r="D6748" s="32" t="s">
        <v>87</v>
      </c>
      <c r="E67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9" spans="1:6" x14ac:dyDescent="0.35">
      <c r="A6749" s="3">
        <v>77771467188</v>
      </c>
      <c r="B6749" s="3">
        <v>39</v>
      </c>
      <c r="C6749" s="32">
        <v>49359</v>
      </c>
      <c r="D6749" s="32"/>
      <c r="E67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0" spans="1:6" x14ac:dyDescent="0.35">
      <c r="A6750" s="3">
        <v>20948994074</v>
      </c>
      <c r="B6750" s="3">
        <v>62</v>
      </c>
      <c r="C6750" s="32">
        <v>49359</v>
      </c>
      <c r="D6750" s="32" t="s">
        <v>87</v>
      </c>
      <c r="E67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1" spans="1:6" x14ac:dyDescent="0.35">
      <c r="A6751" s="3">
        <v>65941231231</v>
      </c>
      <c r="B6751" s="3">
        <v>244</v>
      </c>
      <c r="C6751" s="32">
        <v>49359</v>
      </c>
      <c r="D6751" s="32" t="s">
        <v>87</v>
      </c>
      <c r="E67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2" spans="1:6" x14ac:dyDescent="0.35">
      <c r="A6752" s="3">
        <v>39156443322</v>
      </c>
      <c r="B6752" s="3">
        <v>186</v>
      </c>
      <c r="C6752" s="32">
        <v>49359</v>
      </c>
      <c r="D6752" s="32" t="s">
        <v>87</v>
      </c>
      <c r="E67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3" spans="1:6" x14ac:dyDescent="0.35">
      <c r="A6753" s="3">
        <v>72423668710</v>
      </c>
      <c r="B6753" s="3">
        <v>203</v>
      </c>
      <c r="C6753" s="32">
        <v>49359</v>
      </c>
      <c r="D6753" s="32" t="s">
        <v>87</v>
      </c>
      <c r="E67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4" spans="1:6" x14ac:dyDescent="0.35">
      <c r="A6754" s="3">
        <v>54999426231</v>
      </c>
      <c r="B6754" s="3">
        <v>192</v>
      </c>
      <c r="C6754" s="32">
        <v>49360</v>
      </c>
      <c r="D6754" s="32" t="s">
        <v>87</v>
      </c>
      <c r="E67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5" spans="1:6" x14ac:dyDescent="0.35">
      <c r="A6755" s="3">
        <v>52188135041</v>
      </c>
      <c r="B6755" s="3">
        <v>198</v>
      </c>
      <c r="C6755" s="32">
        <v>49360</v>
      </c>
      <c r="D6755" s="32" t="s">
        <v>87</v>
      </c>
      <c r="E67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6" spans="1:6" x14ac:dyDescent="0.35">
      <c r="A6756" s="3">
        <v>80648806819</v>
      </c>
      <c r="B6756" s="3">
        <v>167</v>
      </c>
      <c r="C6756" s="32">
        <v>49360</v>
      </c>
      <c r="D6756" s="32"/>
      <c r="E67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7" spans="1:6" x14ac:dyDescent="0.35">
      <c r="A6757" s="3">
        <v>98556109350</v>
      </c>
      <c r="B6757" s="3">
        <v>11</v>
      </c>
      <c r="C6757" s="32">
        <v>49360</v>
      </c>
      <c r="D6757" s="32" t="s">
        <v>87</v>
      </c>
      <c r="E67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8" spans="1:6" x14ac:dyDescent="0.35">
      <c r="A6758" s="3">
        <v>62447819947</v>
      </c>
      <c r="B6758" s="3">
        <v>292</v>
      </c>
      <c r="C6758" s="32">
        <v>49360</v>
      </c>
      <c r="D6758" s="32"/>
      <c r="E67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9" spans="1:6" x14ac:dyDescent="0.35">
      <c r="A6759" s="3">
        <v>19442102175</v>
      </c>
      <c r="B6759" s="3">
        <v>209</v>
      </c>
      <c r="C6759" s="32">
        <v>49360</v>
      </c>
      <c r="D6759" s="32" t="s">
        <v>87</v>
      </c>
      <c r="E67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0" spans="1:6" x14ac:dyDescent="0.35">
      <c r="A6760" s="3">
        <v>35100878523</v>
      </c>
      <c r="B6760" s="3">
        <v>186</v>
      </c>
      <c r="C6760" s="32">
        <v>49360</v>
      </c>
      <c r="D6760" s="32"/>
      <c r="E67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1" spans="1:6" x14ac:dyDescent="0.35">
      <c r="A6761" s="3">
        <v>60001412874</v>
      </c>
      <c r="B6761" s="3">
        <v>279</v>
      </c>
      <c r="C6761" s="32">
        <v>49360</v>
      </c>
      <c r="D6761" s="32" t="s">
        <v>87</v>
      </c>
      <c r="E67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2" spans="1:6" x14ac:dyDescent="0.35">
      <c r="A6762" s="3">
        <v>14944275974</v>
      </c>
      <c r="B6762" s="3">
        <v>314</v>
      </c>
      <c r="C6762" s="32">
        <v>49360</v>
      </c>
      <c r="D6762" s="32" t="s">
        <v>87</v>
      </c>
      <c r="E67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3" spans="1:6" x14ac:dyDescent="0.35">
      <c r="A6763" s="3">
        <v>50920020110</v>
      </c>
      <c r="B6763" s="3">
        <v>283</v>
      </c>
      <c r="C6763" s="32">
        <v>49360</v>
      </c>
      <c r="D6763" s="32" t="s">
        <v>87</v>
      </c>
      <c r="E67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4" spans="1:6" x14ac:dyDescent="0.35">
      <c r="A6764" s="3">
        <v>47317098148</v>
      </c>
      <c r="B6764" s="3">
        <v>205</v>
      </c>
      <c r="C6764" s="32">
        <v>49360</v>
      </c>
      <c r="D6764" s="32" t="s">
        <v>87</v>
      </c>
      <c r="E67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5" spans="1:6" x14ac:dyDescent="0.35">
      <c r="A6765" s="3">
        <v>26794456598</v>
      </c>
      <c r="B6765" s="3">
        <v>31</v>
      </c>
      <c r="C6765" s="32">
        <v>49360</v>
      </c>
      <c r="D6765" s="32" t="s">
        <v>87</v>
      </c>
      <c r="E67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6" spans="1:6" x14ac:dyDescent="0.35">
      <c r="A6766" s="3">
        <v>82540310619</v>
      </c>
      <c r="B6766" s="3">
        <v>262</v>
      </c>
      <c r="C6766" s="32">
        <v>49360</v>
      </c>
      <c r="D6766" s="32"/>
      <c r="E67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7" spans="1:6" x14ac:dyDescent="0.35">
      <c r="A6767" s="3">
        <v>78893336668</v>
      </c>
      <c r="B6767" s="3">
        <v>144</v>
      </c>
      <c r="C6767" s="32">
        <v>49360</v>
      </c>
      <c r="D6767" s="32"/>
      <c r="E67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8" spans="1:6" x14ac:dyDescent="0.35">
      <c r="A6768" s="3">
        <v>30357352593</v>
      </c>
      <c r="B6768" s="3">
        <v>132</v>
      </c>
      <c r="C6768" s="32">
        <v>49360</v>
      </c>
      <c r="D6768" s="32" t="s">
        <v>87</v>
      </c>
      <c r="E67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9" spans="1:6" x14ac:dyDescent="0.35">
      <c r="A6769" s="3">
        <v>37436585552</v>
      </c>
      <c r="B6769" s="3">
        <v>203</v>
      </c>
      <c r="C6769" s="32">
        <v>49360</v>
      </c>
      <c r="D6769" s="32" t="s">
        <v>87</v>
      </c>
      <c r="E67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0" spans="1:6" x14ac:dyDescent="0.35">
      <c r="A6770" s="3">
        <v>36029118579</v>
      </c>
      <c r="B6770" s="3">
        <v>1</v>
      </c>
      <c r="C6770" s="32">
        <v>49360</v>
      </c>
      <c r="D6770" s="32" t="s">
        <v>87</v>
      </c>
      <c r="E67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1" spans="1:6" x14ac:dyDescent="0.35">
      <c r="A6771" s="3">
        <v>48819642698</v>
      </c>
      <c r="B6771" s="3">
        <v>190</v>
      </c>
      <c r="C6771" s="32">
        <v>49360</v>
      </c>
      <c r="D6771" s="32" t="s">
        <v>87</v>
      </c>
      <c r="E67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2" spans="1:6" x14ac:dyDescent="0.35">
      <c r="A6772" s="3">
        <v>51641687464</v>
      </c>
      <c r="B6772" s="3">
        <v>230</v>
      </c>
      <c r="C6772" s="32">
        <v>49360</v>
      </c>
      <c r="D6772" s="32" t="s">
        <v>87</v>
      </c>
      <c r="E67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3" spans="1:6" x14ac:dyDescent="0.35">
      <c r="A6773" s="3">
        <v>76746640859</v>
      </c>
      <c r="B6773" s="3">
        <v>178</v>
      </c>
      <c r="C6773" s="32">
        <v>49360</v>
      </c>
      <c r="D6773" s="32" t="s">
        <v>87</v>
      </c>
      <c r="E67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4" spans="1:6" x14ac:dyDescent="0.35">
      <c r="A6774" s="3">
        <v>68627432786</v>
      </c>
      <c r="B6774" s="3">
        <v>181</v>
      </c>
      <c r="C6774" s="32">
        <v>49360</v>
      </c>
      <c r="D6774" s="32" t="s">
        <v>87</v>
      </c>
      <c r="E67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5" spans="1:6" x14ac:dyDescent="0.35">
      <c r="A6775" s="3">
        <v>31961047569</v>
      </c>
      <c r="B6775" s="3">
        <v>35</v>
      </c>
      <c r="C6775" s="32">
        <v>49360</v>
      </c>
      <c r="D6775" s="32" t="s">
        <v>87</v>
      </c>
      <c r="E67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6" spans="1:6" x14ac:dyDescent="0.35">
      <c r="A6776" s="3">
        <v>73406569128</v>
      </c>
      <c r="B6776" s="3">
        <v>316</v>
      </c>
      <c r="C6776" s="32">
        <v>49360</v>
      </c>
      <c r="D6776" s="32"/>
      <c r="E67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7" spans="1:6" x14ac:dyDescent="0.35">
      <c r="A6777" s="3">
        <v>98548600746</v>
      </c>
      <c r="B6777" s="3">
        <v>168</v>
      </c>
      <c r="C6777" s="32">
        <v>49360</v>
      </c>
      <c r="D6777" s="32" t="s">
        <v>87</v>
      </c>
      <c r="E67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8" spans="1:6" x14ac:dyDescent="0.35">
      <c r="A6778" s="3">
        <v>92610064229</v>
      </c>
      <c r="B6778" s="3">
        <v>159</v>
      </c>
      <c r="C6778" s="32">
        <v>49360</v>
      </c>
      <c r="D6778" s="32" t="s">
        <v>87</v>
      </c>
      <c r="E67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9" spans="1:6" x14ac:dyDescent="0.35">
      <c r="A6779" s="3">
        <v>68866730881</v>
      </c>
      <c r="B6779" s="3">
        <v>279</v>
      </c>
      <c r="C6779" s="32">
        <v>49360</v>
      </c>
      <c r="D6779" s="32" t="s">
        <v>87</v>
      </c>
      <c r="E67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0" spans="1:6" x14ac:dyDescent="0.35">
      <c r="A6780" s="3">
        <v>16799274808</v>
      </c>
      <c r="B6780" s="3">
        <v>26</v>
      </c>
      <c r="C6780" s="32">
        <v>49360</v>
      </c>
      <c r="D6780" s="32" t="s">
        <v>87</v>
      </c>
      <c r="E67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1" spans="1:6" x14ac:dyDescent="0.35">
      <c r="A6781" s="3">
        <v>57915073302</v>
      </c>
      <c r="B6781" s="3">
        <v>140</v>
      </c>
      <c r="C6781" s="32">
        <v>49361</v>
      </c>
      <c r="D6781" s="32" t="s">
        <v>87</v>
      </c>
      <c r="E67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2" spans="1:6" x14ac:dyDescent="0.35">
      <c r="A6782" s="3">
        <v>54851334240</v>
      </c>
      <c r="B6782" s="3">
        <v>42</v>
      </c>
      <c r="C6782" s="32">
        <v>49361</v>
      </c>
      <c r="D6782" s="32" t="s">
        <v>87</v>
      </c>
      <c r="E67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3" spans="1:6" x14ac:dyDescent="0.35">
      <c r="A6783" s="3">
        <v>54951899906</v>
      </c>
      <c r="B6783" s="3">
        <v>113</v>
      </c>
      <c r="C6783" s="32">
        <v>49361</v>
      </c>
      <c r="D6783" s="32" t="s">
        <v>87</v>
      </c>
      <c r="E67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4" spans="1:6" x14ac:dyDescent="0.35">
      <c r="A6784" s="3">
        <v>69910502763</v>
      </c>
      <c r="B6784" s="3">
        <v>323</v>
      </c>
      <c r="C6784" s="32">
        <v>49361</v>
      </c>
      <c r="D6784" s="32" t="s">
        <v>87</v>
      </c>
      <c r="E67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5" spans="1:6" x14ac:dyDescent="0.35">
      <c r="A6785" s="3">
        <v>16451308925</v>
      </c>
      <c r="B6785" s="3">
        <v>300</v>
      </c>
      <c r="C6785" s="32">
        <v>49361</v>
      </c>
      <c r="D6785" s="32"/>
      <c r="E67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6" spans="1:6" x14ac:dyDescent="0.35">
      <c r="A6786" s="3">
        <v>65498367242</v>
      </c>
      <c r="B6786" s="3">
        <v>313</v>
      </c>
      <c r="C6786" s="32">
        <v>49361</v>
      </c>
      <c r="D6786" s="32"/>
      <c r="E67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7" spans="1:6" x14ac:dyDescent="0.35">
      <c r="A6787" s="3">
        <v>89041183448</v>
      </c>
      <c r="B6787" s="3">
        <v>71</v>
      </c>
      <c r="C6787" s="32">
        <v>49361</v>
      </c>
      <c r="D6787" s="32"/>
      <c r="E67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8" spans="1:6" x14ac:dyDescent="0.35">
      <c r="A6788" s="3">
        <v>35933753502</v>
      </c>
      <c r="B6788" s="3">
        <v>71</v>
      </c>
      <c r="C6788" s="32">
        <v>49361</v>
      </c>
      <c r="D6788" s="32" t="s">
        <v>87</v>
      </c>
      <c r="E67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9" spans="1:6" x14ac:dyDescent="0.35">
      <c r="A6789" s="3">
        <v>85407965551</v>
      </c>
      <c r="B6789" s="3">
        <v>132</v>
      </c>
      <c r="C6789" s="32">
        <v>49361</v>
      </c>
      <c r="D6789" s="32" t="s">
        <v>87</v>
      </c>
      <c r="E67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0" spans="1:6" x14ac:dyDescent="0.35">
      <c r="A6790" s="3">
        <v>40790632197</v>
      </c>
      <c r="B6790" s="3">
        <v>271</v>
      </c>
      <c r="C6790" s="32">
        <v>49361</v>
      </c>
      <c r="D6790" s="32"/>
      <c r="E67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1" spans="1:6" x14ac:dyDescent="0.35">
      <c r="A6791" s="3">
        <v>52148456761</v>
      </c>
      <c r="B6791" s="3">
        <v>215</v>
      </c>
      <c r="C6791" s="32">
        <v>49361</v>
      </c>
      <c r="D6791" s="32" t="s">
        <v>87</v>
      </c>
      <c r="E67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2" spans="1:6" x14ac:dyDescent="0.35">
      <c r="A6792" s="3">
        <v>38525099137</v>
      </c>
      <c r="B6792" s="3">
        <v>281</v>
      </c>
      <c r="C6792" s="32">
        <v>49361</v>
      </c>
      <c r="D6792" s="32" t="s">
        <v>87</v>
      </c>
      <c r="E67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3" spans="1:6" x14ac:dyDescent="0.35">
      <c r="A6793" s="3">
        <v>31079569004</v>
      </c>
      <c r="B6793" s="3">
        <v>171</v>
      </c>
      <c r="C6793" s="32">
        <v>49361</v>
      </c>
      <c r="D6793" s="32"/>
      <c r="E67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4" spans="1:6" x14ac:dyDescent="0.35">
      <c r="A6794" s="3">
        <v>32442327828</v>
      </c>
      <c r="B6794" s="3">
        <v>242</v>
      </c>
      <c r="C6794" s="32">
        <v>49361</v>
      </c>
      <c r="D6794" s="32" t="s">
        <v>87</v>
      </c>
      <c r="E67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5" spans="1:6" x14ac:dyDescent="0.35">
      <c r="A6795" s="3">
        <v>36542405237</v>
      </c>
      <c r="B6795" s="3">
        <v>154</v>
      </c>
      <c r="C6795" s="32">
        <v>49361</v>
      </c>
      <c r="D6795" s="32"/>
      <c r="E67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6" spans="1:6" x14ac:dyDescent="0.35">
      <c r="A6796" s="3">
        <v>97331915373</v>
      </c>
      <c r="B6796" s="3">
        <v>22</v>
      </c>
      <c r="C6796" s="32">
        <v>49361</v>
      </c>
      <c r="D6796" s="32" t="s">
        <v>87</v>
      </c>
      <c r="E67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7" spans="1:6" x14ac:dyDescent="0.35">
      <c r="A6797" s="3">
        <v>94605003802</v>
      </c>
      <c r="B6797" s="3">
        <v>214</v>
      </c>
      <c r="C6797" s="32">
        <v>49361</v>
      </c>
      <c r="D6797" s="32"/>
      <c r="E67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8" spans="1:6" x14ac:dyDescent="0.35">
      <c r="A6798" s="3">
        <v>74067557492</v>
      </c>
      <c r="B6798" s="3">
        <v>39</v>
      </c>
      <c r="C6798" s="32">
        <v>49361</v>
      </c>
      <c r="D6798" s="32"/>
      <c r="E67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9" spans="1:6" x14ac:dyDescent="0.35">
      <c r="A6799" s="3">
        <v>72527003482</v>
      </c>
      <c r="B6799" s="3">
        <v>146</v>
      </c>
      <c r="C6799" s="32">
        <v>49361</v>
      </c>
      <c r="D6799" s="32" t="s">
        <v>87</v>
      </c>
      <c r="E67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0" spans="1:6" x14ac:dyDescent="0.35">
      <c r="A6800" s="3">
        <v>50421224368</v>
      </c>
      <c r="B6800" s="3">
        <v>175</v>
      </c>
      <c r="C6800" s="32">
        <v>49361</v>
      </c>
      <c r="D6800" s="32" t="s">
        <v>87</v>
      </c>
      <c r="E68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1" spans="1:6" x14ac:dyDescent="0.35">
      <c r="A6801" s="3">
        <v>43152102644</v>
      </c>
      <c r="B6801" s="3">
        <v>246</v>
      </c>
      <c r="C6801" s="32">
        <v>49361</v>
      </c>
      <c r="D6801" s="32" t="s">
        <v>87</v>
      </c>
      <c r="E68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2" spans="1:6" x14ac:dyDescent="0.35">
      <c r="A6802" s="3">
        <v>82872904417</v>
      </c>
      <c r="B6802" s="3">
        <v>194</v>
      </c>
      <c r="C6802" s="32">
        <v>49361</v>
      </c>
      <c r="D6802" s="32"/>
      <c r="E68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3" spans="1:6" x14ac:dyDescent="0.35">
      <c r="A6803" s="3">
        <v>75105985210</v>
      </c>
      <c r="B6803" s="3">
        <v>196</v>
      </c>
      <c r="C6803" s="32">
        <v>49361</v>
      </c>
      <c r="D6803" s="32" t="s">
        <v>87</v>
      </c>
      <c r="E68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4" spans="1:6" x14ac:dyDescent="0.35">
      <c r="A6804" s="3">
        <v>50020601844</v>
      </c>
      <c r="B6804" s="3">
        <v>238</v>
      </c>
      <c r="C6804" s="32">
        <v>49361</v>
      </c>
      <c r="D6804" s="32" t="s">
        <v>87</v>
      </c>
      <c r="E68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5" spans="1:6" x14ac:dyDescent="0.35">
      <c r="A6805" s="3">
        <v>81516001736</v>
      </c>
      <c r="B6805" s="3">
        <v>30</v>
      </c>
      <c r="C6805" s="32">
        <v>49361</v>
      </c>
      <c r="D6805" s="32" t="s">
        <v>87</v>
      </c>
      <c r="E68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6" spans="1:6" x14ac:dyDescent="0.35">
      <c r="A6806" s="3">
        <v>72517894659</v>
      </c>
      <c r="B6806" s="3">
        <v>185</v>
      </c>
      <c r="C6806" s="32">
        <v>49361</v>
      </c>
      <c r="D6806" s="32"/>
      <c r="E68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7" spans="1:6" x14ac:dyDescent="0.35">
      <c r="A6807" s="3">
        <v>69937007131</v>
      </c>
      <c r="B6807" s="3">
        <v>96</v>
      </c>
      <c r="C6807" s="32">
        <v>49361</v>
      </c>
      <c r="D6807" s="32" t="s">
        <v>87</v>
      </c>
      <c r="E68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8" spans="1:6" x14ac:dyDescent="0.35">
      <c r="A6808" s="3">
        <v>72253605128</v>
      </c>
      <c r="B6808" s="3">
        <v>186</v>
      </c>
      <c r="C6808" s="32">
        <v>49361</v>
      </c>
      <c r="D6808" s="32"/>
      <c r="E68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9" spans="1:6" x14ac:dyDescent="0.35">
      <c r="A6809" s="3">
        <v>44046176758</v>
      </c>
      <c r="B6809" s="3">
        <v>15</v>
      </c>
      <c r="C6809" s="32">
        <v>49362</v>
      </c>
      <c r="D6809" s="32" t="s">
        <v>87</v>
      </c>
      <c r="E68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0" spans="1:6" x14ac:dyDescent="0.35">
      <c r="A6810" s="3">
        <v>82968616422</v>
      </c>
      <c r="B6810" s="3">
        <v>77</v>
      </c>
      <c r="C6810" s="32">
        <v>49362</v>
      </c>
      <c r="D6810" s="32" t="s">
        <v>87</v>
      </c>
      <c r="E68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1" spans="1:6" x14ac:dyDescent="0.35">
      <c r="A6811" s="3">
        <v>76754375036</v>
      </c>
      <c r="B6811" s="3">
        <v>245</v>
      </c>
      <c r="C6811" s="32">
        <v>49362</v>
      </c>
      <c r="D6811" s="32"/>
      <c r="E68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2" spans="1:6" x14ac:dyDescent="0.35">
      <c r="A6812" s="3">
        <v>22396524044</v>
      </c>
      <c r="B6812" s="3">
        <v>310</v>
      </c>
      <c r="C6812" s="32">
        <v>49362</v>
      </c>
      <c r="D6812" s="32"/>
      <c r="E68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3" spans="1:6" x14ac:dyDescent="0.35">
      <c r="A6813" s="3">
        <v>56724562419</v>
      </c>
      <c r="B6813" s="3">
        <v>277</v>
      </c>
      <c r="C6813" s="32">
        <v>49362</v>
      </c>
      <c r="D6813" s="32" t="s">
        <v>87</v>
      </c>
      <c r="E68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4" spans="1:6" x14ac:dyDescent="0.35">
      <c r="A6814" s="3">
        <v>91762064970</v>
      </c>
      <c r="B6814" s="3">
        <v>303</v>
      </c>
      <c r="C6814" s="32">
        <v>49362</v>
      </c>
      <c r="D6814" s="32" t="s">
        <v>87</v>
      </c>
      <c r="E68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5" spans="1:6" x14ac:dyDescent="0.35">
      <c r="A6815" s="3">
        <v>44981276008</v>
      </c>
      <c r="B6815" s="3">
        <v>201</v>
      </c>
      <c r="C6815" s="32">
        <v>49362</v>
      </c>
      <c r="D6815" s="32" t="s">
        <v>87</v>
      </c>
      <c r="E68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6" spans="1:6" x14ac:dyDescent="0.35">
      <c r="A6816" s="3">
        <v>34943494425</v>
      </c>
      <c r="B6816" s="3">
        <v>298</v>
      </c>
      <c r="C6816" s="32">
        <v>49362</v>
      </c>
      <c r="D6816" s="32" t="s">
        <v>87</v>
      </c>
      <c r="E68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7" spans="1:6" x14ac:dyDescent="0.35">
      <c r="A6817" s="3">
        <v>75711356299</v>
      </c>
      <c r="B6817" s="3">
        <v>107</v>
      </c>
      <c r="C6817" s="32">
        <v>49362</v>
      </c>
      <c r="D6817" s="32" t="s">
        <v>87</v>
      </c>
      <c r="E68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8" spans="1:6" x14ac:dyDescent="0.35">
      <c r="A6818" s="3">
        <v>89906604733</v>
      </c>
      <c r="B6818" s="3">
        <v>236</v>
      </c>
      <c r="C6818" s="32">
        <v>49362</v>
      </c>
      <c r="D6818" s="32" t="s">
        <v>87</v>
      </c>
      <c r="E68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9" spans="1:6" x14ac:dyDescent="0.35">
      <c r="A6819" s="3">
        <v>16028364877</v>
      </c>
      <c r="B6819" s="3">
        <v>240</v>
      </c>
      <c r="C6819" s="32">
        <v>49362</v>
      </c>
      <c r="D6819" s="32" t="s">
        <v>87</v>
      </c>
      <c r="E68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0" spans="1:6" x14ac:dyDescent="0.35">
      <c r="A6820" s="3">
        <v>22797491317</v>
      </c>
      <c r="B6820" s="3">
        <v>52</v>
      </c>
      <c r="C6820" s="32">
        <v>49362</v>
      </c>
      <c r="D6820" s="32" t="s">
        <v>87</v>
      </c>
      <c r="E68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1" spans="1:6" x14ac:dyDescent="0.35">
      <c r="A6821" s="3">
        <v>64780253081</v>
      </c>
      <c r="B6821" s="3">
        <v>58</v>
      </c>
      <c r="C6821" s="32">
        <v>49362</v>
      </c>
      <c r="D6821" s="32">
        <v>49366</v>
      </c>
      <c r="E68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822" spans="1:6" x14ac:dyDescent="0.35">
      <c r="A6822" s="3">
        <v>40662089188</v>
      </c>
      <c r="B6822" s="3">
        <v>141</v>
      </c>
      <c r="C6822" s="32">
        <v>49362</v>
      </c>
      <c r="D6822" s="32" t="s">
        <v>87</v>
      </c>
      <c r="E68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3" spans="1:6" x14ac:dyDescent="0.35">
      <c r="A6823" s="3">
        <v>26993174350</v>
      </c>
      <c r="B6823" s="3">
        <v>148</v>
      </c>
      <c r="C6823" s="32">
        <v>49362</v>
      </c>
      <c r="D6823" s="32" t="s">
        <v>87</v>
      </c>
      <c r="E68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4" spans="1:6" x14ac:dyDescent="0.35">
      <c r="A6824" s="3">
        <v>47181408704</v>
      </c>
      <c r="B6824" s="3">
        <v>214</v>
      </c>
      <c r="C6824" s="32">
        <v>49362</v>
      </c>
      <c r="D6824" s="32" t="s">
        <v>87</v>
      </c>
      <c r="E68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5" spans="1:6" x14ac:dyDescent="0.35">
      <c r="A6825" s="3">
        <v>38005474753</v>
      </c>
      <c r="B6825" s="3">
        <v>251</v>
      </c>
      <c r="C6825" s="32">
        <v>49362</v>
      </c>
      <c r="D6825" s="32" t="s">
        <v>87</v>
      </c>
      <c r="E68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6" spans="1:6" x14ac:dyDescent="0.35">
      <c r="A6826" s="3">
        <v>23634534879</v>
      </c>
      <c r="B6826" s="3">
        <v>248</v>
      </c>
      <c r="C6826" s="32">
        <v>49362</v>
      </c>
      <c r="D6826" s="32" t="s">
        <v>87</v>
      </c>
      <c r="E68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7" spans="1:6" x14ac:dyDescent="0.35">
      <c r="A6827" s="3">
        <v>69002513811</v>
      </c>
      <c r="B6827" s="3">
        <v>116</v>
      </c>
      <c r="C6827" s="32">
        <v>49362</v>
      </c>
      <c r="D6827" s="32" t="s">
        <v>87</v>
      </c>
      <c r="E68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8" spans="1:6" x14ac:dyDescent="0.35">
      <c r="A6828" s="3">
        <v>19491423592</v>
      </c>
      <c r="B6828" s="3">
        <v>317</v>
      </c>
      <c r="C6828" s="32">
        <v>49362</v>
      </c>
      <c r="D6828" s="32" t="s">
        <v>87</v>
      </c>
      <c r="E68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9" spans="1:6" x14ac:dyDescent="0.35">
      <c r="A6829" s="3">
        <v>94818508730</v>
      </c>
      <c r="B6829" s="3">
        <v>166</v>
      </c>
      <c r="C6829" s="32">
        <v>49362</v>
      </c>
      <c r="D6829" s="32" t="s">
        <v>87</v>
      </c>
      <c r="E68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0" spans="1:6" x14ac:dyDescent="0.35">
      <c r="A6830" s="3">
        <v>64557807994</v>
      </c>
      <c r="B6830" s="3">
        <v>112</v>
      </c>
      <c r="C6830" s="32">
        <v>49362</v>
      </c>
      <c r="D6830" s="32" t="s">
        <v>87</v>
      </c>
      <c r="E68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1" spans="1:6" x14ac:dyDescent="0.35">
      <c r="A6831" s="3">
        <v>69631609913</v>
      </c>
      <c r="B6831" s="3">
        <v>160</v>
      </c>
      <c r="C6831" s="32">
        <v>49362</v>
      </c>
      <c r="D6831" s="32" t="s">
        <v>87</v>
      </c>
      <c r="E68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2" spans="1:6" x14ac:dyDescent="0.35">
      <c r="A6832" s="3">
        <v>58129032628</v>
      </c>
      <c r="B6832" s="3">
        <v>244</v>
      </c>
      <c r="C6832" s="32">
        <v>49362</v>
      </c>
      <c r="D6832" s="32"/>
      <c r="E68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3" spans="1:6" x14ac:dyDescent="0.35">
      <c r="A6833" s="3">
        <v>49858752397</v>
      </c>
      <c r="B6833" s="3">
        <v>138</v>
      </c>
      <c r="C6833" s="32">
        <v>49362</v>
      </c>
      <c r="D6833" s="32"/>
      <c r="E68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4" spans="1:6" x14ac:dyDescent="0.35">
      <c r="A6834" s="3">
        <v>65324362710</v>
      </c>
      <c r="B6834" s="3">
        <v>266</v>
      </c>
      <c r="C6834" s="32">
        <v>49362</v>
      </c>
      <c r="D6834" s="32" t="s">
        <v>87</v>
      </c>
      <c r="E68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5" spans="1:6" x14ac:dyDescent="0.35">
      <c r="A6835" s="3">
        <v>34731108001</v>
      </c>
      <c r="B6835" s="3">
        <v>249</v>
      </c>
      <c r="C6835" s="32">
        <v>49362</v>
      </c>
      <c r="D6835" s="32"/>
      <c r="E68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6" spans="1:6" x14ac:dyDescent="0.35">
      <c r="A6836" s="3">
        <v>54843650525</v>
      </c>
      <c r="B6836" s="3">
        <v>24</v>
      </c>
      <c r="C6836" s="32">
        <v>49362</v>
      </c>
      <c r="D6836" s="32" t="s">
        <v>87</v>
      </c>
      <c r="E68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7" spans="1:6" x14ac:dyDescent="0.35">
      <c r="A6837" s="3">
        <v>16182543185</v>
      </c>
      <c r="B6837" s="3">
        <v>144</v>
      </c>
      <c r="C6837" s="32">
        <v>49363</v>
      </c>
      <c r="D6837" s="32" t="s">
        <v>87</v>
      </c>
      <c r="E68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8" spans="1:6" x14ac:dyDescent="0.35">
      <c r="A6838" s="3">
        <v>50775804111</v>
      </c>
      <c r="B6838" s="3">
        <v>93</v>
      </c>
      <c r="C6838" s="32">
        <v>49363</v>
      </c>
      <c r="D6838" s="32" t="s">
        <v>87</v>
      </c>
      <c r="E68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9" spans="1:6" x14ac:dyDescent="0.35">
      <c r="A6839" s="3">
        <v>58683876614</v>
      </c>
      <c r="B6839" s="3">
        <v>130</v>
      </c>
      <c r="C6839" s="32">
        <v>49363</v>
      </c>
      <c r="D6839" s="32" t="s">
        <v>87</v>
      </c>
      <c r="E68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0" spans="1:6" x14ac:dyDescent="0.35">
      <c r="A6840" s="3">
        <v>14400693618</v>
      </c>
      <c r="B6840" s="3">
        <v>9</v>
      </c>
      <c r="C6840" s="32">
        <v>49363</v>
      </c>
      <c r="D6840" s="32" t="s">
        <v>87</v>
      </c>
      <c r="E68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1" spans="1:6" x14ac:dyDescent="0.35">
      <c r="A6841" s="3">
        <v>25793813097</v>
      </c>
      <c r="B6841" s="3">
        <v>23</v>
      </c>
      <c r="C6841" s="32">
        <v>49363</v>
      </c>
      <c r="D6841" s="32" t="s">
        <v>87</v>
      </c>
      <c r="E68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2" spans="1:6" x14ac:dyDescent="0.35">
      <c r="A6842" s="3">
        <v>11229905140</v>
      </c>
      <c r="B6842" s="3">
        <v>230</v>
      </c>
      <c r="C6842" s="32">
        <v>49363</v>
      </c>
      <c r="D6842" s="32" t="s">
        <v>87</v>
      </c>
      <c r="E68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3" spans="1:6" x14ac:dyDescent="0.35">
      <c r="A6843" s="3">
        <v>94121046528</v>
      </c>
      <c r="B6843" s="3">
        <v>61</v>
      </c>
      <c r="C6843" s="32">
        <v>49363</v>
      </c>
      <c r="D6843" s="32" t="s">
        <v>87</v>
      </c>
      <c r="E68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4" spans="1:6" x14ac:dyDescent="0.35">
      <c r="A6844" s="3">
        <v>56709787228</v>
      </c>
      <c r="B6844" s="3">
        <v>108</v>
      </c>
      <c r="C6844" s="32">
        <v>49363</v>
      </c>
      <c r="D6844" s="32" t="s">
        <v>87</v>
      </c>
      <c r="E68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5" spans="1:6" x14ac:dyDescent="0.35">
      <c r="A6845" s="3">
        <v>68192813365</v>
      </c>
      <c r="B6845" s="3">
        <v>86</v>
      </c>
      <c r="C6845" s="32">
        <v>49363</v>
      </c>
      <c r="D6845" s="32" t="s">
        <v>87</v>
      </c>
      <c r="E68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6" spans="1:6" x14ac:dyDescent="0.35">
      <c r="A6846" s="3">
        <v>99049586231</v>
      </c>
      <c r="B6846" s="3">
        <v>177</v>
      </c>
      <c r="C6846" s="32">
        <v>49363</v>
      </c>
      <c r="D6846" s="32" t="s">
        <v>87</v>
      </c>
      <c r="E68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7" spans="1:6" x14ac:dyDescent="0.35">
      <c r="A6847" s="3">
        <v>39387804948</v>
      </c>
      <c r="B6847" s="3">
        <v>291</v>
      </c>
      <c r="C6847" s="32">
        <v>49363</v>
      </c>
      <c r="D6847" s="32" t="s">
        <v>87</v>
      </c>
      <c r="E68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8" spans="1:6" x14ac:dyDescent="0.35">
      <c r="A6848" s="3">
        <v>44962485535</v>
      </c>
      <c r="B6848" s="3">
        <v>258</v>
      </c>
      <c r="C6848" s="32">
        <v>49363</v>
      </c>
      <c r="D6848" s="32" t="s">
        <v>87</v>
      </c>
      <c r="E68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9" spans="1:6" x14ac:dyDescent="0.35">
      <c r="A6849" s="3">
        <v>17966158579</v>
      </c>
      <c r="B6849" s="3">
        <v>259</v>
      </c>
      <c r="C6849" s="32">
        <v>49363</v>
      </c>
      <c r="D6849" s="32" t="s">
        <v>87</v>
      </c>
      <c r="E68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0" spans="1:6" x14ac:dyDescent="0.35">
      <c r="A6850" s="3">
        <v>57123301925</v>
      </c>
      <c r="B6850" s="3">
        <v>267</v>
      </c>
      <c r="C6850" s="32">
        <v>49363</v>
      </c>
      <c r="D6850" s="32" t="s">
        <v>87</v>
      </c>
      <c r="E68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1" spans="1:6" x14ac:dyDescent="0.35">
      <c r="A6851" s="3">
        <v>37180180625</v>
      </c>
      <c r="B6851" s="3">
        <v>101</v>
      </c>
      <c r="C6851" s="32">
        <v>49363</v>
      </c>
      <c r="D6851" s="32"/>
      <c r="E68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2" spans="1:6" x14ac:dyDescent="0.35">
      <c r="A6852" s="3">
        <v>25943585847</v>
      </c>
      <c r="B6852" s="3">
        <v>242</v>
      </c>
      <c r="C6852" s="32">
        <v>49363</v>
      </c>
      <c r="D6852" s="32" t="s">
        <v>87</v>
      </c>
      <c r="E68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3" spans="1:6" x14ac:dyDescent="0.35">
      <c r="A6853" s="3">
        <v>25629828952</v>
      </c>
      <c r="B6853" s="3">
        <v>217</v>
      </c>
      <c r="C6853" s="32">
        <v>49363</v>
      </c>
      <c r="D6853" s="32" t="s">
        <v>87</v>
      </c>
      <c r="E68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4" spans="1:6" x14ac:dyDescent="0.35">
      <c r="A6854" s="3">
        <v>66588124299</v>
      </c>
      <c r="B6854" s="3">
        <v>139</v>
      </c>
      <c r="C6854" s="32">
        <v>49363</v>
      </c>
      <c r="D6854" s="32" t="s">
        <v>87</v>
      </c>
      <c r="E68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5" spans="1:6" x14ac:dyDescent="0.35">
      <c r="A6855" s="3">
        <v>13508823813</v>
      </c>
      <c r="B6855" s="3">
        <v>144</v>
      </c>
      <c r="C6855" s="32">
        <v>49363</v>
      </c>
      <c r="D6855" s="32" t="s">
        <v>87</v>
      </c>
      <c r="E68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6" spans="1:6" x14ac:dyDescent="0.35">
      <c r="A6856" s="3">
        <v>64520341743</v>
      </c>
      <c r="B6856" s="3">
        <v>289</v>
      </c>
      <c r="C6856" s="32">
        <v>49363</v>
      </c>
      <c r="D6856" s="32" t="s">
        <v>87</v>
      </c>
      <c r="E68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7" spans="1:6" x14ac:dyDescent="0.35">
      <c r="A6857" s="3">
        <v>68104944203</v>
      </c>
      <c r="B6857" s="3">
        <v>24</v>
      </c>
      <c r="C6857" s="32">
        <v>49363</v>
      </c>
      <c r="D6857" s="32" t="s">
        <v>87</v>
      </c>
      <c r="E68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8" spans="1:6" x14ac:dyDescent="0.35">
      <c r="A6858" s="3">
        <v>82678794543</v>
      </c>
      <c r="B6858" s="3">
        <v>263</v>
      </c>
      <c r="C6858" s="32">
        <v>49363</v>
      </c>
      <c r="D6858" s="32" t="s">
        <v>87</v>
      </c>
      <c r="E68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9" spans="1:6" x14ac:dyDescent="0.35">
      <c r="A6859" s="3">
        <v>15251649234</v>
      </c>
      <c r="B6859" s="3">
        <v>8</v>
      </c>
      <c r="C6859" s="32">
        <v>49363</v>
      </c>
      <c r="D6859" s="32"/>
      <c r="E68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0" spans="1:6" x14ac:dyDescent="0.35">
      <c r="A6860" s="3">
        <v>39178699922</v>
      </c>
      <c r="B6860" s="3">
        <v>309</v>
      </c>
      <c r="C6860" s="32">
        <v>49363</v>
      </c>
      <c r="D6860" s="32" t="s">
        <v>87</v>
      </c>
      <c r="E68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1" spans="1:6" x14ac:dyDescent="0.35">
      <c r="A6861" s="3">
        <v>92544080830</v>
      </c>
      <c r="B6861" s="3">
        <v>64</v>
      </c>
      <c r="C6861" s="32">
        <v>49364</v>
      </c>
      <c r="D6861" s="32"/>
      <c r="E68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2" spans="1:6" x14ac:dyDescent="0.35">
      <c r="A6862" s="3">
        <v>47465403293</v>
      </c>
      <c r="B6862" s="3">
        <v>144</v>
      </c>
      <c r="C6862" s="32">
        <v>49364</v>
      </c>
      <c r="D6862" s="32" t="s">
        <v>87</v>
      </c>
      <c r="E68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3" spans="1:6" x14ac:dyDescent="0.35">
      <c r="A6863" s="3">
        <v>29557172584</v>
      </c>
      <c r="B6863" s="3">
        <v>7</v>
      </c>
      <c r="C6863" s="32">
        <v>49364</v>
      </c>
      <c r="D6863" s="32"/>
      <c r="E68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4" spans="1:6" x14ac:dyDescent="0.35">
      <c r="A6864" s="3">
        <v>15643888693</v>
      </c>
      <c r="B6864" s="3">
        <v>11</v>
      </c>
      <c r="C6864" s="32">
        <v>49364</v>
      </c>
      <c r="D6864" s="32" t="s">
        <v>87</v>
      </c>
      <c r="E68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5" spans="1:6" x14ac:dyDescent="0.35">
      <c r="A6865" s="3">
        <v>22016040838</v>
      </c>
      <c r="B6865" s="3">
        <v>254</v>
      </c>
      <c r="C6865" s="32">
        <v>49364</v>
      </c>
      <c r="D6865" s="32" t="s">
        <v>87</v>
      </c>
      <c r="E68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6" spans="1:6" x14ac:dyDescent="0.35">
      <c r="A6866" s="3">
        <v>84057041982</v>
      </c>
      <c r="B6866" s="3">
        <v>233</v>
      </c>
      <c r="C6866" s="32">
        <v>49364</v>
      </c>
      <c r="D6866" s="32" t="s">
        <v>87</v>
      </c>
      <c r="E68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7" spans="1:6" x14ac:dyDescent="0.35">
      <c r="A6867" s="3">
        <v>98429594884</v>
      </c>
      <c r="B6867" s="3">
        <v>126</v>
      </c>
      <c r="C6867" s="32">
        <v>49364</v>
      </c>
      <c r="D6867" s="32" t="s">
        <v>87</v>
      </c>
      <c r="E68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8" spans="1:6" x14ac:dyDescent="0.35">
      <c r="A6868" s="3">
        <v>44112343513</v>
      </c>
      <c r="B6868" s="3">
        <v>236</v>
      </c>
      <c r="C6868" s="32">
        <v>49364</v>
      </c>
      <c r="D6868" s="32"/>
      <c r="E68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9" spans="1:6" x14ac:dyDescent="0.35">
      <c r="A6869" s="3">
        <v>47245951035</v>
      </c>
      <c r="B6869" s="3">
        <v>309</v>
      </c>
      <c r="C6869" s="32">
        <v>49364</v>
      </c>
      <c r="D6869" s="32"/>
      <c r="E68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0" spans="1:6" x14ac:dyDescent="0.35">
      <c r="A6870" s="3">
        <v>91322884561</v>
      </c>
      <c r="B6870" s="3">
        <v>321</v>
      </c>
      <c r="C6870" s="32">
        <v>49364</v>
      </c>
      <c r="D6870" s="32" t="s">
        <v>87</v>
      </c>
      <c r="E68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1" spans="1:6" x14ac:dyDescent="0.35">
      <c r="A6871" s="3">
        <v>94812513103</v>
      </c>
      <c r="B6871" s="3">
        <v>114</v>
      </c>
      <c r="C6871" s="32">
        <v>49364</v>
      </c>
      <c r="D6871" s="32" t="s">
        <v>87</v>
      </c>
      <c r="E68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2" spans="1:6" x14ac:dyDescent="0.35">
      <c r="A6872" s="3">
        <v>93322566291</v>
      </c>
      <c r="B6872" s="3">
        <v>111</v>
      </c>
      <c r="C6872" s="32">
        <v>49364</v>
      </c>
      <c r="D6872" s="32" t="s">
        <v>87</v>
      </c>
      <c r="E68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3" spans="1:6" x14ac:dyDescent="0.35">
      <c r="A6873" s="3">
        <v>93049045825</v>
      </c>
      <c r="B6873" s="3">
        <v>97</v>
      </c>
      <c r="C6873" s="32">
        <v>49364</v>
      </c>
      <c r="D6873" s="32"/>
      <c r="E68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4" spans="1:6" x14ac:dyDescent="0.35">
      <c r="A6874" s="3">
        <v>46825136260</v>
      </c>
      <c r="B6874" s="3">
        <v>252</v>
      </c>
      <c r="C6874" s="32">
        <v>49364</v>
      </c>
      <c r="D6874" s="32" t="s">
        <v>87</v>
      </c>
      <c r="E68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5" spans="1:6" x14ac:dyDescent="0.35">
      <c r="A6875" s="3">
        <v>69204451336</v>
      </c>
      <c r="B6875" s="3">
        <v>207</v>
      </c>
      <c r="C6875" s="32">
        <v>49364</v>
      </c>
      <c r="D6875" s="32" t="s">
        <v>87</v>
      </c>
      <c r="E68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6" spans="1:6" x14ac:dyDescent="0.35">
      <c r="A6876" s="3">
        <v>59374072898</v>
      </c>
      <c r="B6876" s="3">
        <v>267</v>
      </c>
      <c r="C6876" s="32">
        <v>49364</v>
      </c>
      <c r="D6876" s="32" t="s">
        <v>87</v>
      </c>
      <c r="E68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7" spans="1:6" x14ac:dyDescent="0.35">
      <c r="A6877" s="3">
        <v>25218615965</v>
      </c>
      <c r="B6877" s="3">
        <v>120</v>
      </c>
      <c r="C6877" s="32">
        <v>49364</v>
      </c>
      <c r="D6877" s="32" t="s">
        <v>87</v>
      </c>
      <c r="E68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8" spans="1:6" x14ac:dyDescent="0.35">
      <c r="A6878" s="3">
        <v>16071898216</v>
      </c>
      <c r="B6878" s="3">
        <v>9</v>
      </c>
      <c r="C6878" s="32">
        <v>49364</v>
      </c>
      <c r="D6878" s="32" t="s">
        <v>87</v>
      </c>
      <c r="E68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9" spans="1:6" x14ac:dyDescent="0.35">
      <c r="A6879" s="3">
        <v>27908893062</v>
      </c>
      <c r="B6879" s="3">
        <v>265</v>
      </c>
      <c r="C6879" s="32">
        <v>49364</v>
      </c>
      <c r="D6879" s="32" t="s">
        <v>87</v>
      </c>
      <c r="E68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0" spans="1:6" x14ac:dyDescent="0.35">
      <c r="A6880" s="3">
        <v>99533429391</v>
      </c>
      <c r="B6880" s="3">
        <v>57</v>
      </c>
      <c r="C6880" s="32">
        <v>49364</v>
      </c>
      <c r="D6880" s="32" t="s">
        <v>87</v>
      </c>
      <c r="E68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1" spans="1:6" x14ac:dyDescent="0.35">
      <c r="A6881" s="3">
        <v>51404570717</v>
      </c>
      <c r="B6881" s="3">
        <v>56</v>
      </c>
      <c r="C6881" s="32">
        <v>49364</v>
      </c>
      <c r="D6881" s="32"/>
      <c r="E68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2" spans="1:6" x14ac:dyDescent="0.35">
      <c r="A6882" s="3">
        <v>24469995099</v>
      </c>
      <c r="B6882" s="3">
        <v>139</v>
      </c>
      <c r="C6882" s="32">
        <v>49364</v>
      </c>
      <c r="D6882" s="32" t="s">
        <v>87</v>
      </c>
      <c r="E68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3" spans="1:6" x14ac:dyDescent="0.35">
      <c r="A6883" s="3">
        <v>51949156698</v>
      </c>
      <c r="B6883" s="3">
        <v>31</v>
      </c>
      <c r="C6883" s="32">
        <v>49364</v>
      </c>
      <c r="D6883" s="32" t="s">
        <v>87</v>
      </c>
      <c r="E68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4" spans="1:6" x14ac:dyDescent="0.35">
      <c r="A6884" s="3">
        <v>58273021329</v>
      </c>
      <c r="B6884" s="3">
        <v>115</v>
      </c>
      <c r="C6884" s="32">
        <v>49364</v>
      </c>
      <c r="D6884" s="32" t="s">
        <v>87</v>
      </c>
      <c r="E68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5" spans="1:6" x14ac:dyDescent="0.35">
      <c r="A6885" s="3">
        <v>51629048386</v>
      </c>
      <c r="B6885" s="3">
        <v>106</v>
      </c>
      <c r="C6885" s="32">
        <v>49364</v>
      </c>
      <c r="D6885" s="32" t="s">
        <v>87</v>
      </c>
      <c r="E68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6" spans="1:6" x14ac:dyDescent="0.35">
      <c r="A6886" s="3">
        <v>39829892666</v>
      </c>
      <c r="B6886" s="3">
        <v>6</v>
      </c>
      <c r="C6886" s="32">
        <v>49364</v>
      </c>
      <c r="D6886" s="32" t="s">
        <v>87</v>
      </c>
      <c r="E68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7" spans="1:6" x14ac:dyDescent="0.35">
      <c r="A6887" s="3">
        <v>74006095411</v>
      </c>
      <c r="B6887" s="3">
        <v>49</v>
      </c>
      <c r="C6887" s="32">
        <v>49364</v>
      </c>
      <c r="D6887" s="32"/>
      <c r="E68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8" spans="1:6" x14ac:dyDescent="0.35">
      <c r="A6888" s="3">
        <v>86529322561</v>
      </c>
      <c r="B6888" s="3">
        <v>157</v>
      </c>
      <c r="C6888" s="32">
        <v>49365</v>
      </c>
      <c r="D6888" s="32" t="s">
        <v>87</v>
      </c>
      <c r="E68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9" spans="1:6" x14ac:dyDescent="0.35">
      <c r="A6889" s="3">
        <v>71988767090</v>
      </c>
      <c r="B6889" s="3">
        <v>257</v>
      </c>
      <c r="C6889" s="32">
        <v>49365</v>
      </c>
      <c r="D6889" s="32" t="s">
        <v>87</v>
      </c>
      <c r="E68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0" spans="1:6" x14ac:dyDescent="0.35">
      <c r="A6890" s="3">
        <v>63578184863</v>
      </c>
      <c r="B6890" s="3">
        <v>220</v>
      </c>
      <c r="C6890" s="32">
        <v>49365</v>
      </c>
      <c r="D6890" s="32" t="s">
        <v>87</v>
      </c>
      <c r="E68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1" spans="1:6" x14ac:dyDescent="0.35">
      <c r="A6891" s="3">
        <v>76320919380</v>
      </c>
      <c r="B6891" s="3">
        <v>83</v>
      </c>
      <c r="C6891" s="32">
        <v>49365</v>
      </c>
      <c r="D6891" s="32" t="s">
        <v>87</v>
      </c>
      <c r="E68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2" spans="1:6" x14ac:dyDescent="0.35">
      <c r="A6892" s="3">
        <v>35363761259</v>
      </c>
      <c r="B6892" s="3">
        <v>340</v>
      </c>
      <c r="C6892" s="32">
        <v>49365</v>
      </c>
      <c r="D6892" s="32" t="s">
        <v>87</v>
      </c>
      <c r="E68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3" spans="1:6" x14ac:dyDescent="0.35">
      <c r="A6893" s="3">
        <v>12199543598</v>
      </c>
      <c r="B6893" s="3">
        <v>226</v>
      </c>
      <c r="C6893" s="32">
        <v>49365</v>
      </c>
      <c r="D6893" s="32"/>
      <c r="E68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4" spans="1:6" x14ac:dyDescent="0.35">
      <c r="A6894" s="3">
        <v>53847772294</v>
      </c>
      <c r="B6894" s="3">
        <v>195</v>
      </c>
      <c r="C6894" s="32">
        <v>49365</v>
      </c>
      <c r="D6894" s="32" t="s">
        <v>87</v>
      </c>
      <c r="E68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5" spans="1:6" x14ac:dyDescent="0.35">
      <c r="A6895" s="3">
        <v>46345600398</v>
      </c>
      <c r="B6895" s="3">
        <v>171</v>
      </c>
      <c r="C6895" s="32">
        <v>49365</v>
      </c>
      <c r="D6895" s="32" t="s">
        <v>87</v>
      </c>
      <c r="E68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6" spans="1:6" x14ac:dyDescent="0.35">
      <c r="A6896" s="3">
        <v>53966804631</v>
      </c>
      <c r="B6896" s="3">
        <v>182</v>
      </c>
      <c r="C6896" s="32">
        <v>49365</v>
      </c>
      <c r="D6896" s="32" t="s">
        <v>87</v>
      </c>
      <c r="E68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7" spans="1:6" x14ac:dyDescent="0.35">
      <c r="A6897" s="3">
        <v>31223841141</v>
      </c>
      <c r="B6897" s="3">
        <v>283</v>
      </c>
      <c r="C6897" s="32">
        <v>49365</v>
      </c>
      <c r="D6897" s="32" t="s">
        <v>87</v>
      </c>
      <c r="E68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8" spans="1:6" x14ac:dyDescent="0.35">
      <c r="A6898" s="3">
        <v>56907741517</v>
      </c>
      <c r="B6898" s="3">
        <v>146</v>
      </c>
      <c r="C6898" s="32">
        <v>49365</v>
      </c>
      <c r="D6898" s="32" t="s">
        <v>87</v>
      </c>
      <c r="E68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9" spans="1:6" x14ac:dyDescent="0.35">
      <c r="A6899" s="3">
        <v>54338358292</v>
      </c>
      <c r="B6899" s="3">
        <v>301</v>
      </c>
      <c r="C6899" s="32">
        <v>49365</v>
      </c>
      <c r="D6899" s="32" t="s">
        <v>87</v>
      </c>
      <c r="E68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0" spans="1:6" x14ac:dyDescent="0.35">
      <c r="A6900" s="3">
        <v>48374673930</v>
      </c>
      <c r="B6900" s="3">
        <v>77</v>
      </c>
      <c r="C6900" s="32">
        <v>49365</v>
      </c>
      <c r="D6900" s="32" t="s">
        <v>87</v>
      </c>
      <c r="E69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1" spans="1:6" x14ac:dyDescent="0.35">
      <c r="A6901" s="3">
        <v>79860606018</v>
      </c>
      <c r="B6901" s="3">
        <v>209</v>
      </c>
      <c r="C6901" s="32">
        <v>49365</v>
      </c>
      <c r="D6901" s="32" t="s">
        <v>87</v>
      </c>
      <c r="E69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2" spans="1:6" x14ac:dyDescent="0.35">
      <c r="A6902" s="3">
        <v>80373616684</v>
      </c>
      <c r="B6902" s="3">
        <v>91</v>
      </c>
      <c r="C6902" s="32">
        <v>49365</v>
      </c>
      <c r="D6902" s="32" t="s">
        <v>87</v>
      </c>
      <c r="E69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3" spans="1:6" x14ac:dyDescent="0.35">
      <c r="A6903" s="3">
        <v>32634616489</v>
      </c>
      <c r="B6903" s="3">
        <v>220</v>
      </c>
      <c r="C6903" s="32">
        <v>49365</v>
      </c>
      <c r="D6903" s="32" t="s">
        <v>87</v>
      </c>
      <c r="E69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4" spans="1:6" x14ac:dyDescent="0.35">
      <c r="A6904" s="3">
        <v>43766917532</v>
      </c>
      <c r="B6904" s="3">
        <v>317</v>
      </c>
      <c r="C6904" s="32">
        <v>49365</v>
      </c>
      <c r="D6904" s="32" t="s">
        <v>87</v>
      </c>
      <c r="E69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5" spans="1:6" x14ac:dyDescent="0.35">
      <c r="A6905" s="3">
        <v>96274347917</v>
      </c>
      <c r="B6905" s="3">
        <v>140</v>
      </c>
      <c r="C6905" s="32">
        <v>49365</v>
      </c>
      <c r="D6905" s="32" t="s">
        <v>87</v>
      </c>
      <c r="E69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6" spans="1:6" x14ac:dyDescent="0.35">
      <c r="A6906" s="3">
        <v>16327799668</v>
      </c>
      <c r="B6906" s="3">
        <v>71</v>
      </c>
      <c r="C6906" s="32">
        <v>49365</v>
      </c>
      <c r="D6906" s="32" t="s">
        <v>87</v>
      </c>
      <c r="E69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7" spans="1:6" x14ac:dyDescent="0.35">
      <c r="A6907" s="3">
        <v>46308354664</v>
      </c>
      <c r="B6907" s="3">
        <v>257</v>
      </c>
      <c r="C6907" s="32">
        <v>49365</v>
      </c>
      <c r="D6907" s="32" t="s">
        <v>87</v>
      </c>
      <c r="E69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8" spans="1:6" x14ac:dyDescent="0.35">
      <c r="A6908" s="3">
        <v>27926547704</v>
      </c>
      <c r="B6908" s="3">
        <v>194</v>
      </c>
      <c r="C6908" s="32">
        <v>49365</v>
      </c>
      <c r="D6908" s="32" t="s">
        <v>87</v>
      </c>
      <c r="E69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9" spans="1:6" x14ac:dyDescent="0.35">
      <c r="A6909" s="3">
        <v>63109644752</v>
      </c>
      <c r="B6909" s="3">
        <v>321</v>
      </c>
      <c r="C6909" s="32">
        <v>49365</v>
      </c>
      <c r="D6909" s="32"/>
      <c r="E69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0" spans="1:6" x14ac:dyDescent="0.35">
      <c r="A6910" s="3">
        <v>46306711457</v>
      </c>
      <c r="B6910" s="3">
        <v>257</v>
      </c>
      <c r="C6910" s="32">
        <v>49365</v>
      </c>
      <c r="D6910" s="32" t="s">
        <v>87</v>
      </c>
      <c r="E69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1" spans="1:6" x14ac:dyDescent="0.35">
      <c r="A6911" s="3">
        <v>92179408848</v>
      </c>
      <c r="B6911" s="3">
        <v>221</v>
      </c>
      <c r="C6911" s="32">
        <v>49365</v>
      </c>
      <c r="D6911" s="32"/>
      <c r="E69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2" spans="1:6" x14ac:dyDescent="0.35">
      <c r="A6912" s="3">
        <v>44840424841</v>
      </c>
      <c r="B6912" s="3">
        <v>58</v>
      </c>
      <c r="C6912" s="32">
        <v>49365</v>
      </c>
      <c r="D6912" s="32" t="s">
        <v>87</v>
      </c>
      <c r="E69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3" spans="1:6" x14ac:dyDescent="0.35">
      <c r="A6913" s="3">
        <v>13459450765</v>
      </c>
      <c r="B6913" s="3">
        <v>149</v>
      </c>
      <c r="C6913" s="32">
        <v>49365</v>
      </c>
      <c r="D6913" s="32" t="s">
        <v>87</v>
      </c>
      <c r="E69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4" spans="1:6" x14ac:dyDescent="0.35">
      <c r="A6914" s="3">
        <v>81466390804</v>
      </c>
      <c r="B6914" s="3">
        <v>18</v>
      </c>
      <c r="C6914" s="32">
        <v>49365</v>
      </c>
      <c r="D6914" s="32" t="s">
        <v>87</v>
      </c>
      <c r="E69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5" spans="1:6" x14ac:dyDescent="0.35">
      <c r="A6915" s="3">
        <v>27024975164</v>
      </c>
      <c r="B6915" s="3">
        <v>42</v>
      </c>
      <c r="C6915" s="32">
        <v>49365</v>
      </c>
      <c r="D6915" s="32" t="s">
        <v>87</v>
      </c>
      <c r="E69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6" spans="1:6" x14ac:dyDescent="0.35">
      <c r="A6916" s="3">
        <v>96154022847</v>
      </c>
      <c r="B6916" s="3">
        <v>94</v>
      </c>
      <c r="C6916" s="32">
        <v>49365</v>
      </c>
      <c r="D6916" s="32" t="s">
        <v>87</v>
      </c>
      <c r="E69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7" spans="1:6" x14ac:dyDescent="0.35">
      <c r="A6917" s="3">
        <v>86279141810</v>
      </c>
      <c r="B6917" s="3">
        <v>317</v>
      </c>
      <c r="C6917" s="32">
        <v>49366</v>
      </c>
      <c r="D6917" s="32" t="s">
        <v>87</v>
      </c>
      <c r="E69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8" spans="1:6" x14ac:dyDescent="0.35">
      <c r="A6918" s="3">
        <v>48487111088</v>
      </c>
      <c r="B6918" s="3">
        <v>216</v>
      </c>
      <c r="C6918" s="32">
        <v>49366</v>
      </c>
      <c r="D6918" s="32" t="s">
        <v>87</v>
      </c>
      <c r="E69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9" spans="1:6" x14ac:dyDescent="0.35">
      <c r="A6919" s="3">
        <v>20046243340</v>
      </c>
      <c r="B6919" s="3">
        <v>244</v>
      </c>
      <c r="C6919" s="32">
        <v>49366</v>
      </c>
      <c r="D6919" s="32" t="s">
        <v>87</v>
      </c>
      <c r="E69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0" spans="1:6" x14ac:dyDescent="0.35">
      <c r="A6920" s="3">
        <v>35839598858</v>
      </c>
      <c r="B6920" s="3">
        <v>326</v>
      </c>
      <c r="C6920" s="32">
        <v>49366</v>
      </c>
      <c r="D6920" s="32" t="s">
        <v>87</v>
      </c>
      <c r="E69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1" spans="1:6" x14ac:dyDescent="0.35">
      <c r="A6921" s="3">
        <v>61651364357</v>
      </c>
      <c r="B6921" s="3">
        <v>93</v>
      </c>
      <c r="C6921" s="32">
        <v>49366</v>
      </c>
      <c r="D6921" s="32" t="s">
        <v>87</v>
      </c>
      <c r="E69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2" spans="1:6" x14ac:dyDescent="0.35">
      <c r="A6922" s="3">
        <v>58706791481</v>
      </c>
      <c r="B6922" s="3">
        <v>115</v>
      </c>
      <c r="C6922" s="32">
        <v>49366</v>
      </c>
      <c r="D6922" s="32" t="s">
        <v>87</v>
      </c>
      <c r="E69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3" spans="1:6" x14ac:dyDescent="0.35">
      <c r="A6923" s="3">
        <v>56920513663</v>
      </c>
      <c r="B6923" s="3">
        <v>220</v>
      </c>
      <c r="C6923" s="32">
        <v>49366</v>
      </c>
      <c r="D6923" s="32" t="s">
        <v>87</v>
      </c>
      <c r="E69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4" spans="1:6" x14ac:dyDescent="0.35">
      <c r="A6924" s="3">
        <v>20575674327</v>
      </c>
      <c r="B6924" s="3">
        <v>10</v>
      </c>
      <c r="C6924" s="32">
        <v>49366</v>
      </c>
      <c r="D6924" s="32" t="s">
        <v>87</v>
      </c>
      <c r="E69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5" spans="1:6" x14ac:dyDescent="0.35">
      <c r="A6925" s="3">
        <v>84371695415</v>
      </c>
      <c r="B6925" s="3">
        <v>24</v>
      </c>
      <c r="C6925" s="32">
        <v>49366</v>
      </c>
      <c r="D6925" s="32" t="s">
        <v>87</v>
      </c>
      <c r="E69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6" spans="1:6" x14ac:dyDescent="0.35">
      <c r="A6926" s="3">
        <v>27160193643</v>
      </c>
      <c r="B6926" s="3">
        <v>288</v>
      </c>
      <c r="C6926" s="32">
        <v>49366</v>
      </c>
      <c r="D6926" s="32"/>
      <c r="E69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7" spans="1:6" x14ac:dyDescent="0.35">
      <c r="A6927" s="3">
        <v>40736678895</v>
      </c>
      <c r="B6927" s="3">
        <v>302</v>
      </c>
      <c r="C6927" s="32">
        <v>49366</v>
      </c>
      <c r="D6927" s="32" t="s">
        <v>87</v>
      </c>
      <c r="E69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8" spans="1:6" x14ac:dyDescent="0.35">
      <c r="A6928" s="3">
        <v>86594910261</v>
      </c>
      <c r="B6928" s="3">
        <v>113</v>
      </c>
      <c r="C6928" s="32">
        <v>49366</v>
      </c>
      <c r="D6928" s="32" t="s">
        <v>87</v>
      </c>
      <c r="E69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9" spans="1:6" x14ac:dyDescent="0.35">
      <c r="A6929" s="3">
        <v>36913316198</v>
      </c>
      <c r="B6929" s="3">
        <v>182</v>
      </c>
      <c r="C6929" s="32">
        <v>49366</v>
      </c>
      <c r="D6929" s="32" t="s">
        <v>87</v>
      </c>
      <c r="E69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0" spans="1:6" x14ac:dyDescent="0.35">
      <c r="A6930" s="3">
        <v>16894988531</v>
      </c>
      <c r="B6930" s="3">
        <v>193</v>
      </c>
      <c r="C6930" s="32">
        <v>49366</v>
      </c>
      <c r="D6930" s="32"/>
      <c r="E69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1" spans="1:6" x14ac:dyDescent="0.35">
      <c r="A6931" s="3">
        <v>59581585824</v>
      </c>
      <c r="B6931" s="3">
        <v>201</v>
      </c>
      <c r="C6931" s="32">
        <v>49366</v>
      </c>
      <c r="D6931" s="32" t="s">
        <v>87</v>
      </c>
      <c r="E69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2" spans="1:6" x14ac:dyDescent="0.35">
      <c r="A6932" s="3">
        <v>92984187667</v>
      </c>
      <c r="B6932" s="3">
        <v>51</v>
      </c>
      <c r="C6932" s="32">
        <v>49366</v>
      </c>
      <c r="D6932" s="32" t="s">
        <v>87</v>
      </c>
      <c r="E69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3" spans="1:6" x14ac:dyDescent="0.35">
      <c r="A6933" s="3">
        <v>34089378606</v>
      </c>
      <c r="B6933" s="3">
        <v>336</v>
      </c>
      <c r="C6933" s="32">
        <v>49366</v>
      </c>
      <c r="D6933" s="32" t="s">
        <v>87</v>
      </c>
      <c r="E69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4" spans="1:6" x14ac:dyDescent="0.35">
      <c r="A6934" s="3">
        <v>78702271238</v>
      </c>
      <c r="B6934" s="3">
        <v>40</v>
      </c>
      <c r="C6934" s="32">
        <v>49366</v>
      </c>
      <c r="D6934" s="32" t="s">
        <v>87</v>
      </c>
      <c r="E69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5" spans="1:6" x14ac:dyDescent="0.35">
      <c r="A6935" s="3">
        <v>96985251826</v>
      </c>
      <c r="B6935" s="3">
        <v>81</v>
      </c>
      <c r="C6935" s="32">
        <v>49366</v>
      </c>
      <c r="D6935" s="32" t="s">
        <v>87</v>
      </c>
      <c r="E69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6" spans="1:6" x14ac:dyDescent="0.35">
      <c r="A6936" s="3">
        <v>62472906009</v>
      </c>
      <c r="B6936" s="3">
        <v>202</v>
      </c>
      <c r="C6936" s="32">
        <v>49366</v>
      </c>
      <c r="D6936" s="32" t="s">
        <v>87</v>
      </c>
      <c r="E69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7" spans="1:6" x14ac:dyDescent="0.35">
      <c r="A6937" s="3">
        <v>74002014739</v>
      </c>
      <c r="B6937" s="3">
        <v>322</v>
      </c>
      <c r="C6937" s="32">
        <v>49366</v>
      </c>
      <c r="D6937" s="32" t="s">
        <v>87</v>
      </c>
      <c r="E69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8" spans="1:6" x14ac:dyDescent="0.35">
      <c r="A6938" s="3">
        <v>87558534029</v>
      </c>
      <c r="B6938" s="3">
        <v>274</v>
      </c>
      <c r="C6938" s="32">
        <v>49367</v>
      </c>
      <c r="D6938" s="32" t="s">
        <v>87</v>
      </c>
      <c r="E69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9" spans="1:6" x14ac:dyDescent="0.35">
      <c r="A6939" s="3">
        <v>70568072836</v>
      </c>
      <c r="B6939" s="3">
        <v>38</v>
      </c>
      <c r="C6939" s="32">
        <v>49367</v>
      </c>
      <c r="D6939" s="32" t="s">
        <v>87</v>
      </c>
      <c r="E69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0" spans="1:6" x14ac:dyDescent="0.35">
      <c r="A6940" s="3">
        <v>66576872043</v>
      </c>
      <c r="B6940" s="3">
        <v>85</v>
      </c>
      <c r="C6940" s="32">
        <v>49367</v>
      </c>
      <c r="D6940" s="32" t="s">
        <v>87</v>
      </c>
      <c r="E69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1" spans="1:6" x14ac:dyDescent="0.35">
      <c r="A6941" s="3">
        <v>16096420170</v>
      </c>
      <c r="B6941" s="3">
        <v>25</v>
      </c>
      <c r="C6941" s="32">
        <v>49367</v>
      </c>
      <c r="D6941" s="32" t="s">
        <v>87</v>
      </c>
      <c r="E69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2" spans="1:6" x14ac:dyDescent="0.35">
      <c r="A6942" s="3">
        <v>99634426476</v>
      </c>
      <c r="B6942" s="3">
        <v>8</v>
      </c>
      <c r="C6942" s="32">
        <v>49367</v>
      </c>
      <c r="D6942" s="32" t="s">
        <v>87</v>
      </c>
      <c r="E69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3" spans="1:6" x14ac:dyDescent="0.35">
      <c r="A6943" s="3">
        <v>83714902804</v>
      </c>
      <c r="B6943" s="3">
        <v>215</v>
      </c>
      <c r="C6943" s="32">
        <v>49367</v>
      </c>
      <c r="D6943" s="32" t="s">
        <v>87</v>
      </c>
      <c r="E69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4" spans="1:6" x14ac:dyDescent="0.35">
      <c r="A6944" s="3">
        <v>58634048762</v>
      </c>
      <c r="B6944" s="3">
        <v>20</v>
      </c>
      <c r="C6944" s="32">
        <v>49367</v>
      </c>
      <c r="D6944" s="32" t="s">
        <v>87</v>
      </c>
      <c r="E69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5" spans="1:6" x14ac:dyDescent="0.35">
      <c r="A6945" s="3">
        <v>59241978774</v>
      </c>
      <c r="B6945" s="3">
        <v>279</v>
      </c>
      <c r="C6945" s="32">
        <v>49367</v>
      </c>
      <c r="D6945" s="32" t="s">
        <v>87</v>
      </c>
      <c r="E69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6" spans="1:6" x14ac:dyDescent="0.35">
      <c r="A6946" s="3">
        <v>28805789433</v>
      </c>
      <c r="B6946" s="3">
        <v>88</v>
      </c>
      <c r="C6946" s="32">
        <v>49367</v>
      </c>
      <c r="D6946" s="32" t="s">
        <v>87</v>
      </c>
      <c r="E69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7" spans="1:6" x14ac:dyDescent="0.35">
      <c r="A6947" s="3">
        <v>71799067042</v>
      </c>
      <c r="B6947" s="3">
        <v>311</v>
      </c>
      <c r="C6947" s="32">
        <v>49367</v>
      </c>
      <c r="D6947" s="32" t="s">
        <v>87</v>
      </c>
      <c r="E69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8" spans="1:6" x14ac:dyDescent="0.35">
      <c r="A6948" s="3">
        <v>35368813442</v>
      </c>
      <c r="B6948" s="3">
        <v>276</v>
      </c>
      <c r="C6948" s="32">
        <v>49367</v>
      </c>
      <c r="D6948" s="32"/>
      <c r="E69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9" spans="1:6" x14ac:dyDescent="0.35">
      <c r="A6949" s="3">
        <v>28929714371</v>
      </c>
      <c r="B6949" s="3">
        <v>80</v>
      </c>
      <c r="C6949" s="32">
        <v>49367</v>
      </c>
      <c r="D6949" s="32" t="s">
        <v>87</v>
      </c>
      <c r="E69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0" spans="1:6" x14ac:dyDescent="0.35">
      <c r="A6950" s="3">
        <v>69822529940</v>
      </c>
      <c r="B6950" s="3">
        <v>296</v>
      </c>
      <c r="C6950" s="32">
        <v>49367</v>
      </c>
      <c r="D6950" s="32" t="s">
        <v>87</v>
      </c>
      <c r="E69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1" spans="1:6" x14ac:dyDescent="0.35">
      <c r="A6951" s="3">
        <v>34904818456</v>
      </c>
      <c r="B6951" s="3">
        <v>167</v>
      </c>
      <c r="C6951" s="32">
        <v>49367</v>
      </c>
      <c r="D6951" s="32" t="s">
        <v>87</v>
      </c>
      <c r="E69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2" spans="1:6" x14ac:dyDescent="0.35">
      <c r="A6952" s="3">
        <v>19200779974</v>
      </c>
      <c r="B6952" s="3">
        <v>195</v>
      </c>
      <c r="C6952" s="32">
        <v>49367</v>
      </c>
      <c r="D6952" s="32" t="s">
        <v>87</v>
      </c>
      <c r="E69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3" spans="1:6" x14ac:dyDescent="0.35">
      <c r="A6953" s="3">
        <v>37112582284</v>
      </c>
      <c r="B6953" s="3">
        <v>101</v>
      </c>
      <c r="C6953" s="32">
        <v>49367</v>
      </c>
      <c r="D6953" s="32" t="s">
        <v>87</v>
      </c>
      <c r="E69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4" spans="1:6" x14ac:dyDescent="0.35">
      <c r="A6954" s="3">
        <v>26731188163</v>
      </c>
      <c r="B6954" s="3">
        <v>118</v>
      </c>
      <c r="C6954" s="32">
        <v>49367</v>
      </c>
      <c r="D6954" s="32" t="s">
        <v>87</v>
      </c>
      <c r="E69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5" spans="1:6" x14ac:dyDescent="0.35">
      <c r="A6955" s="3">
        <v>63274842696</v>
      </c>
      <c r="B6955" s="3">
        <v>209</v>
      </c>
      <c r="C6955" s="32">
        <v>49367</v>
      </c>
      <c r="D6955" s="32" t="s">
        <v>87</v>
      </c>
      <c r="E69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6" spans="1:6" x14ac:dyDescent="0.35">
      <c r="A6956" s="3">
        <v>49129170428</v>
      </c>
      <c r="B6956" s="3">
        <v>145</v>
      </c>
      <c r="C6956" s="32">
        <v>49367</v>
      </c>
      <c r="D6956" s="32" t="s">
        <v>87</v>
      </c>
      <c r="E69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7" spans="1:6" x14ac:dyDescent="0.35">
      <c r="A6957" s="3">
        <v>17481628715</v>
      </c>
      <c r="B6957" s="3">
        <v>271</v>
      </c>
      <c r="C6957" s="32">
        <v>49367</v>
      </c>
      <c r="D6957" s="32" t="s">
        <v>87</v>
      </c>
      <c r="E69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8" spans="1:6" x14ac:dyDescent="0.35">
      <c r="A6958" s="3">
        <v>45106126166</v>
      </c>
      <c r="B6958" s="3">
        <v>261</v>
      </c>
      <c r="C6958" s="32">
        <v>49367</v>
      </c>
      <c r="D6958" s="32" t="s">
        <v>87</v>
      </c>
      <c r="E69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9" spans="1:6" x14ac:dyDescent="0.35">
      <c r="A6959" s="3">
        <v>96905010822</v>
      </c>
      <c r="B6959" s="3">
        <v>319</v>
      </c>
      <c r="C6959" s="32">
        <v>49367</v>
      </c>
      <c r="D6959" s="32"/>
      <c r="E69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0" spans="1:6" x14ac:dyDescent="0.35">
      <c r="A6960" s="3">
        <v>74850841021</v>
      </c>
      <c r="B6960" s="3">
        <v>265</v>
      </c>
      <c r="C6960" s="32">
        <v>49367</v>
      </c>
      <c r="D6960" s="32" t="s">
        <v>87</v>
      </c>
      <c r="E69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1" spans="1:6" x14ac:dyDescent="0.35">
      <c r="A6961" s="3">
        <v>95002683944</v>
      </c>
      <c r="B6961" s="3">
        <v>321</v>
      </c>
      <c r="C6961" s="32">
        <v>49367</v>
      </c>
      <c r="D6961" s="32" t="s">
        <v>87</v>
      </c>
      <c r="E69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2" spans="1:6" x14ac:dyDescent="0.35">
      <c r="A6962" s="3">
        <v>73580774294</v>
      </c>
      <c r="B6962" s="3">
        <v>149</v>
      </c>
      <c r="C6962" s="32">
        <v>49367</v>
      </c>
      <c r="D6962" s="32"/>
      <c r="E69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3" spans="1:6" x14ac:dyDescent="0.35">
      <c r="A6963" s="3">
        <v>23324297598</v>
      </c>
      <c r="B6963" s="3">
        <v>142</v>
      </c>
      <c r="C6963" s="32">
        <v>49367</v>
      </c>
      <c r="D6963" s="32" t="s">
        <v>87</v>
      </c>
      <c r="E69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4" spans="1:6" x14ac:dyDescent="0.35">
      <c r="A6964" s="3">
        <v>50550407491</v>
      </c>
      <c r="B6964" s="3">
        <v>291</v>
      </c>
      <c r="C6964" s="32">
        <v>49367</v>
      </c>
      <c r="D6964" s="32"/>
      <c r="E69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5" spans="1:6" x14ac:dyDescent="0.35">
      <c r="A6965" s="3">
        <v>47226159241</v>
      </c>
      <c r="B6965" s="3">
        <v>325</v>
      </c>
      <c r="C6965" s="32">
        <v>49367</v>
      </c>
      <c r="D6965" s="32" t="s">
        <v>87</v>
      </c>
      <c r="E69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6" spans="1:6" x14ac:dyDescent="0.35">
      <c r="A6966" s="3">
        <v>16069134525</v>
      </c>
      <c r="B6966" s="3">
        <v>154</v>
      </c>
      <c r="C6966" s="32">
        <v>49367</v>
      </c>
      <c r="D6966" s="32" t="s">
        <v>87</v>
      </c>
      <c r="E69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7" spans="1:6" x14ac:dyDescent="0.35">
      <c r="A6967" s="3">
        <v>25289642468</v>
      </c>
      <c r="B6967" s="3">
        <v>112</v>
      </c>
      <c r="C6967" s="32">
        <v>49367</v>
      </c>
      <c r="D6967" s="32"/>
      <c r="E69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8" spans="1:6" x14ac:dyDescent="0.35">
      <c r="A6968" s="3">
        <v>23357766149</v>
      </c>
      <c r="B6968" s="3">
        <v>265</v>
      </c>
      <c r="C6968" s="32">
        <v>49367</v>
      </c>
      <c r="D6968" s="32" t="s">
        <v>87</v>
      </c>
      <c r="E69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9" spans="1:6" x14ac:dyDescent="0.35">
      <c r="A6969" s="3">
        <v>96019285080</v>
      </c>
      <c r="B6969" s="3">
        <v>120</v>
      </c>
      <c r="C6969" s="32">
        <v>49367</v>
      </c>
      <c r="D6969" s="32" t="s">
        <v>87</v>
      </c>
      <c r="E69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0" spans="1:6" x14ac:dyDescent="0.35">
      <c r="A6970" s="3">
        <v>29547510228</v>
      </c>
      <c r="B6970" s="3">
        <v>5</v>
      </c>
      <c r="C6970" s="32">
        <v>49367</v>
      </c>
      <c r="D6970" s="32" t="s">
        <v>87</v>
      </c>
      <c r="E69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1" spans="1:6" x14ac:dyDescent="0.35">
      <c r="A6971" s="3">
        <v>91104421555</v>
      </c>
      <c r="B6971" s="3">
        <v>14</v>
      </c>
      <c r="C6971" s="32">
        <v>49367</v>
      </c>
      <c r="D6971" s="32" t="s">
        <v>87</v>
      </c>
      <c r="E69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2" spans="1:6" x14ac:dyDescent="0.35">
      <c r="A6972" s="3">
        <v>54182500332</v>
      </c>
      <c r="B6972" s="3">
        <v>316</v>
      </c>
      <c r="C6972" s="32">
        <v>49367</v>
      </c>
      <c r="D6972" s="32" t="s">
        <v>87</v>
      </c>
      <c r="E69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3" spans="1:6" x14ac:dyDescent="0.35">
      <c r="A6973" s="3">
        <v>22596479806</v>
      </c>
      <c r="B6973" s="3">
        <v>323</v>
      </c>
      <c r="C6973" s="32">
        <v>49367</v>
      </c>
      <c r="D6973" s="32" t="s">
        <v>87</v>
      </c>
      <c r="E69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4" spans="1:6" x14ac:dyDescent="0.35">
      <c r="A6974" s="3">
        <v>34028537242</v>
      </c>
      <c r="B6974" s="3">
        <v>32</v>
      </c>
      <c r="C6974" s="32">
        <v>49367</v>
      </c>
      <c r="D6974" s="32" t="s">
        <v>87</v>
      </c>
      <c r="E69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5" spans="1:6" x14ac:dyDescent="0.35">
      <c r="A6975" s="3">
        <v>60889543664</v>
      </c>
      <c r="B6975" s="3">
        <v>209</v>
      </c>
      <c r="C6975" s="32">
        <v>49368</v>
      </c>
      <c r="D6975" s="32" t="s">
        <v>87</v>
      </c>
      <c r="E69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6" spans="1:6" x14ac:dyDescent="0.35">
      <c r="A6976" s="3">
        <v>34214758912</v>
      </c>
      <c r="B6976" s="3">
        <v>320</v>
      </c>
      <c r="C6976" s="32">
        <v>49368</v>
      </c>
      <c r="D6976" s="32" t="s">
        <v>87</v>
      </c>
      <c r="E69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7" spans="1:6" x14ac:dyDescent="0.35">
      <c r="A6977" s="3">
        <v>59933477144</v>
      </c>
      <c r="B6977" s="3">
        <v>215</v>
      </c>
      <c r="C6977" s="32">
        <v>49368</v>
      </c>
      <c r="D6977" s="32"/>
      <c r="E69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8" spans="1:6" x14ac:dyDescent="0.35">
      <c r="A6978" s="3">
        <v>89178220318</v>
      </c>
      <c r="B6978" s="3">
        <v>288</v>
      </c>
      <c r="C6978" s="32">
        <v>49368</v>
      </c>
      <c r="D6978" s="32" t="s">
        <v>87</v>
      </c>
      <c r="E69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9" spans="1:6" x14ac:dyDescent="0.35">
      <c r="A6979" s="3">
        <v>47243211414</v>
      </c>
      <c r="B6979" s="3">
        <v>169</v>
      </c>
      <c r="C6979" s="32">
        <v>49368</v>
      </c>
      <c r="D6979" s="32" t="s">
        <v>87</v>
      </c>
      <c r="E69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0" spans="1:6" x14ac:dyDescent="0.35">
      <c r="A6980" s="3">
        <v>89458494105</v>
      </c>
      <c r="B6980" s="3">
        <v>207</v>
      </c>
      <c r="C6980" s="32">
        <v>49368</v>
      </c>
      <c r="D6980" s="32" t="s">
        <v>87</v>
      </c>
      <c r="E69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1" spans="1:6" x14ac:dyDescent="0.35">
      <c r="A6981" s="3">
        <v>86788128374</v>
      </c>
      <c r="B6981" s="3">
        <v>235</v>
      </c>
      <c r="C6981" s="32">
        <v>49368</v>
      </c>
      <c r="D6981" s="32" t="s">
        <v>87</v>
      </c>
      <c r="E69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2" spans="1:6" x14ac:dyDescent="0.35">
      <c r="A6982" s="3">
        <v>14980830575</v>
      </c>
      <c r="B6982" s="3">
        <v>54</v>
      </c>
      <c r="C6982" s="32">
        <v>49368</v>
      </c>
      <c r="D6982" s="32" t="s">
        <v>87</v>
      </c>
      <c r="E69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3" spans="1:6" x14ac:dyDescent="0.35">
      <c r="A6983" s="3">
        <v>52410381925</v>
      </c>
      <c r="B6983" s="3">
        <v>94</v>
      </c>
      <c r="C6983" s="32">
        <v>49368</v>
      </c>
      <c r="D6983" s="32"/>
      <c r="E69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4" spans="1:6" x14ac:dyDescent="0.35">
      <c r="A6984" s="3">
        <v>50509593924</v>
      </c>
      <c r="B6984" s="3">
        <v>107</v>
      </c>
      <c r="C6984" s="32">
        <v>49368</v>
      </c>
      <c r="D6984" s="32"/>
      <c r="E69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5" spans="1:6" x14ac:dyDescent="0.35">
      <c r="A6985" s="3">
        <v>37807438846</v>
      </c>
      <c r="B6985" s="3">
        <v>112</v>
      </c>
      <c r="C6985" s="32">
        <v>49368</v>
      </c>
      <c r="D6985" s="32" t="s">
        <v>87</v>
      </c>
      <c r="E69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6" spans="1:6" x14ac:dyDescent="0.35">
      <c r="A6986" s="3">
        <v>68007949151</v>
      </c>
      <c r="B6986" s="3">
        <v>74</v>
      </c>
      <c r="C6986" s="32">
        <v>49368</v>
      </c>
      <c r="D6986" s="32"/>
      <c r="E69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7" spans="1:6" x14ac:dyDescent="0.35">
      <c r="A6987" s="3">
        <v>61843901150</v>
      </c>
      <c r="B6987" s="3">
        <v>310</v>
      </c>
      <c r="C6987" s="32">
        <v>49368</v>
      </c>
      <c r="D6987" s="32" t="s">
        <v>87</v>
      </c>
      <c r="E69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8" spans="1:6" x14ac:dyDescent="0.35">
      <c r="A6988" s="3">
        <v>12420666068</v>
      </c>
      <c r="B6988" s="3">
        <v>8</v>
      </c>
      <c r="C6988" s="32">
        <v>49368</v>
      </c>
      <c r="D6988" s="32" t="s">
        <v>87</v>
      </c>
      <c r="E69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9" spans="1:6" x14ac:dyDescent="0.35">
      <c r="A6989" s="3">
        <v>28805629262</v>
      </c>
      <c r="B6989" s="3">
        <v>174</v>
      </c>
      <c r="C6989" s="32">
        <v>49368</v>
      </c>
      <c r="D6989" s="32" t="s">
        <v>87</v>
      </c>
      <c r="E69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0" spans="1:6" x14ac:dyDescent="0.35">
      <c r="A6990" s="3">
        <v>14541021549</v>
      </c>
      <c r="B6990" s="3">
        <v>270</v>
      </c>
      <c r="C6990" s="32">
        <v>49368</v>
      </c>
      <c r="D6990" s="32"/>
      <c r="E69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1" spans="1:6" x14ac:dyDescent="0.35">
      <c r="A6991" s="3">
        <v>41335152607</v>
      </c>
      <c r="B6991" s="3">
        <v>87</v>
      </c>
      <c r="C6991" s="32">
        <v>49368</v>
      </c>
      <c r="D6991" s="32" t="s">
        <v>87</v>
      </c>
      <c r="E69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2" spans="1:6" x14ac:dyDescent="0.35">
      <c r="A6992" s="3">
        <v>93610627014</v>
      </c>
      <c r="B6992" s="3">
        <v>94</v>
      </c>
      <c r="C6992" s="32">
        <v>49368</v>
      </c>
      <c r="D6992" s="32" t="s">
        <v>87</v>
      </c>
      <c r="E69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3" spans="1:6" x14ac:dyDescent="0.35">
      <c r="A6993" s="3">
        <v>26913687232</v>
      </c>
      <c r="B6993" s="3">
        <v>38</v>
      </c>
      <c r="C6993" s="32">
        <v>49368</v>
      </c>
      <c r="D6993" s="32"/>
      <c r="E69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4" spans="1:6" x14ac:dyDescent="0.35">
      <c r="A6994" s="3">
        <v>29961222038</v>
      </c>
      <c r="B6994" s="3">
        <v>265</v>
      </c>
      <c r="C6994" s="32">
        <v>49368</v>
      </c>
      <c r="D6994" s="32" t="s">
        <v>87</v>
      </c>
      <c r="E69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5" spans="1:6" x14ac:dyDescent="0.35">
      <c r="A6995" s="3">
        <v>51457182913</v>
      </c>
      <c r="B6995" s="3">
        <v>122</v>
      </c>
      <c r="C6995" s="32">
        <v>49368</v>
      </c>
      <c r="D6995" s="32" t="s">
        <v>87</v>
      </c>
      <c r="E69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6" spans="1:6" x14ac:dyDescent="0.35">
      <c r="A6996" s="3">
        <v>43860210109</v>
      </c>
      <c r="B6996" s="3">
        <v>163</v>
      </c>
      <c r="C6996" s="32">
        <v>49368</v>
      </c>
      <c r="D6996" s="32" t="s">
        <v>87</v>
      </c>
      <c r="E69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7" spans="1:6" x14ac:dyDescent="0.35">
      <c r="A6997" s="3">
        <v>94775853649</v>
      </c>
      <c r="B6997" s="3">
        <v>307</v>
      </c>
      <c r="C6997" s="32">
        <v>49368</v>
      </c>
      <c r="D6997" s="32" t="s">
        <v>87</v>
      </c>
      <c r="E69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8" spans="1:6" x14ac:dyDescent="0.35">
      <c r="A6998" s="3">
        <v>53463907534</v>
      </c>
      <c r="B6998" s="3">
        <v>135</v>
      </c>
      <c r="C6998" s="32">
        <v>49368</v>
      </c>
      <c r="D6998" s="32" t="s">
        <v>87</v>
      </c>
      <c r="E69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9" spans="1:6" x14ac:dyDescent="0.35">
      <c r="A6999" s="3">
        <v>11137290602</v>
      </c>
      <c r="B6999" s="3">
        <v>41</v>
      </c>
      <c r="C6999" s="32">
        <v>49368</v>
      </c>
      <c r="D6999" s="32" t="s">
        <v>87</v>
      </c>
      <c r="E69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0" spans="1:6" x14ac:dyDescent="0.35">
      <c r="A7000" s="3">
        <v>13128200115</v>
      </c>
      <c r="B7000" s="3">
        <v>232</v>
      </c>
      <c r="C7000" s="32">
        <v>49368</v>
      </c>
      <c r="D7000" s="32" t="s">
        <v>87</v>
      </c>
      <c r="E70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1" spans="1:6" x14ac:dyDescent="0.35">
      <c r="A7001" s="3">
        <v>26446560666</v>
      </c>
      <c r="B7001" s="3">
        <v>270</v>
      </c>
      <c r="C7001" s="32">
        <v>49368</v>
      </c>
      <c r="D7001" s="32" t="s">
        <v>87</v>
      </c>
      <c r="E70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2" spans="1:6" x14ac:dyDescent="0.35">
      <c r="A7002" s="3">
        <v>41800574377</v>
      </c>
      <c r="B7002" s="3">
        <v>34</v>
      </c>
      <c r="C7002" s="32">
        <v>49368</v>
      </c>
      <c r="D7002" s="32" t="s">
        <v>87</v>
      </c>
      <c r="E70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3" spans="1:6" x14ac:dyDescent="0.35">
      <c r="A7003" s="3">
        <v>17713787700</v>
      </c>
      <c r="B7003" s="3">
        <v>0</v>
      </c>
      <c r="C7003" s="32">
        <v>49368</v>
      </c>
      <c r="D7003" s="32" t="s">
        <v>87</v>
      </c>
      <c r="E70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4" spans="1:6" x14ac:dyDescent="0.35">
      <c r="A7004" s="3">
        <v>63914475460</v>
      </c>
      <c r="B7004" s="3">
        <v>47</v>
      </c>
      <c r="C7004" s="32">
        <v>49368</v>
      </c>
      <c r="D7004" s="32" t="s">
        <v>87</v>
      </c>
      <c r="E70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5" spans="1:6" x14ac:dyDescent="0.35">
      <c r="A7005" s="3">
        <v>48513982217</v>
      </c>
      <c r="B7005" s="3">
        <v>215</v>
      </c>
      <c r="C7005" s="32">
        <v>49368</v>
      </c>
      <c r="D7005" s="32" t="s">
        <v>87</v>
      </c>
      <c r="E70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6" spans="1:6" x14ac:dyDescent="0.35">
      <c r="A7006" s="39">
        <v>48223153319</v>
      </c>
      <c r="B7006" s="39">
        <v>203</v>
      </c>
      <c r="C7006" s="40">
        <v>49368</v>
      </c>
      <c r="D7006" s="40" t="s">
        <v>87</v>
      </c>
      <c r="E7006" s="39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6" s="34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</sheetData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B0CE-2E8F-4894-B4E2-0E148EC5CAA7}">
  <sheetPr codeName="Planilha2">
    <tabColor rgb="FF4A0816"/>
  </sheetPr>
  <dimension ref="B2:BH1048576"/>
  <sheetViews>
    <sheetView showGridLines="0" zoomScaleNormal="100" workbookViewId="0">
      <selection activeCell="AR2" sqref="AR2"/>
    </sheetView>
  </sheetViews>
  <sheetFormatPr defaultRowHeight="14.5" x14ac:dyDescent="0.35"/>
  <cols>
    <col min="3" max="3" width="17.6328125" bestFit="1" customWidth="1"/>
    <col min="4" max="4" width="13.36328125" bestFit="1" customWidth="1"/>
    <col min="5" max="5" width="17.6328125" bestFit="1" customWidth="1"/>
    <col min="6" max="6" width="12.90625" customWidth="1"/>
    <col min="7" max="7" width="17.6328125" bestFit="1" customWidth="1"/>
    <col min="8" max="8" width="13.36328125" bestFit="1" customWidth="1"/>
    <col min="9" max="9" width="17.6328125" bestFit="1" customWidth="1"/>
    <col min="13" max="13" width="10" bestFit="1" customWidth="1"/>
    <col min="14" max="14" width="8.81640625" customWidth="1"/>
    <col min="15" max="15" width="18.6328125" bestFit="1" customWidth="1"/>
    <col min="16" max="16" width="8.81640625" customWidth="1"/>
    <col min="17" max="17" width="18.6328125" customWidth="1"/>
    <col min="20" max="20" width="18.6328125" bestFit="1" customWidth="1"/>
    <col min="23" max="23" width="15" bestFit="1" customWidth="1"/>
    <col min="24" max="24" width="15" customWidth="1"/>
    <col min="26" max="26" width="19.1796875" bestFit="1" customWidth="1"/>
    <col min="27" max="27" width="11.54296875" bestFit="1" customWidth="1"/>
    <col min="28" max="28" width="11.81640625" bestFit="1" customWidth="1"/>
    <col min="29" max="29" width="38.453125" bestFit="1" customWidth="1"/>
    <col min="30" max="30" width="19.08984375" bestFit="1" customWidth="1"/>
    <col min="32" max="32" width="8.90625"/>
    <col min="33" max="33" width="19.08984375" bestFit="1" customWidth="1"/>
    <col min="35" max="35" width="11.81640625" bestFit="1" customWidth="1"/>
    <col min="36" max="36" width="10.54296875" bestFit="1" customWidth="1"/>
    <col min="38" max="38" width="10.1796875" bestFit="1" customWidth="1"/>
    <col min="40" max="40" width="19.90625" bestFit="1" customWidth="1"/>
    <col min="41" max="41" width="26.54296875" bestFit="1" customWidth="1"/>
    <col min="43" max="43" width="15.1796875" bestFit="1" customWidth="1"/>
    <col min="44" max="44" width="8.90625" style="1"/>
    <col min="46" max="46" width="8.54296875" bestFit="1" customWidth="1"/>
    <col min="47" max="47" width="19.90625" bestFit="1" customWidth="1"/>
    <col min="48" max="48" width="26.54296875" bestFit="1" customWidth="1"/>
    <col min="50" max="50" width="8.54296875" bestFit="1" customWidth="1"/>
    <col min="51" max="51" width="26.54296875" bestFit="1" customWidth="1"/>
    <col min="53" max="53" width="15.1796875" bestFit="1" customWidth="1"/>
    <col min="56" max="56" width="23.81640625" bestFit="1" customWidth="1"/>
    <col min="57" max="57" width="20.1796875" bestFit="1" customWidth="1"/>
    <col min="59" max="59" width="22.6328125" bestFit="1" customWidth="1"/>
  </cols>
  <sheetData>
    <row r="2" spans="2:60" x14ac:dyDescent="0.35">
      <c r="B2" s="26" t="s">
        <v>39</v>
      </c>
      <c r="C2" s="26" t="s">
        <v>53</v>
      </c>
      <c r="D2" s="26" t="s">
        <v>40</v>
      </c>
      <c r="E2" s="26" t="s">
        <v>51</v>
      </c>
      <c r="F2" s="10"/>
      <c r="G2" s="26" t="s">
        <v>53</v>
      </c>
      <c r="H2" s="26" t="s">
        <v>40</v>
      </c>
      <c r="I2" s="26" t="s">
        <v>51</v>
      </c>
      <c r="K2" s="26" t="s">
        <v>9</v>
      </c>
      <c r="M2" s="26" t="s">
        <v>10</v>
      </c>
      <c r="O2" s="26" t="s">
        <v>11</v>
      </c>
      <c r="P2" s="10"/>
      <c r="Q2" s="26" t="s">
        <v>32</v>
      </c>
      <c r="S2" s="26" t="s">
        <v>19</v>
      </c>
      <c r="T2" s="26" t="s">
        <v>26</v>
      </c>
      <c r="U2" s="26" t="s">
        <v>4</v>
      </c>
      <c r="V2" s="26" t="s">
        <v>25</v>
      </c>
      <c r="W2" s="23" t="s">
        <v>27</v>
      </c>
      <c r="X2" s="26" t="s">
        <v>19</v>
      </c>
      <c r="Z2" s="26" t="s">
        <v>67</v>
      </c>
      <c r="AA2" s="26" t="s">
        <v>62</v>
      </c>
      <c r="AB2" s="26" t="s">
        <v>63</v>
      </c>
      <c r="AC2" s="26" t="s">
        <v>61</v>
      </c>
      <c r="AD2" s="26" t="s">
        <v>65</v>
      </c>
      <c r="AE2" s="26" t="s">
        <v>19</v>
      </c>
      <c r="AF2" s="10"/>
      <c r="AG2" s="26" t="s">
        <v>65</v>
      </c>
      <c r="AI2" s="26" t="s">
        <v>35</v>
      </c>
      <c r="AJ2" s="26" t="s">
        <v>36</v>
      </c>
      <c r="AL2" s="26" t="s">
        <v>66</v>
      </c>
      <c r="AM2" s="26" t="s">
        <v>4</v>
      </c>
      <c r="AN2" s="27" t="s">
        <v>54</v>
      </c>
      <c r="AO2" s="27" t="s">
        <v>55</v>
      </c>
      <c r="AQ2" s="26" t="s">
        <v>56</v>
      </c>
      <c r="AR2" s="3">
        <f>VLOOKUP($AG$3,'Gráfico Controle de Resultados'!$F$5:$H$16,2,FALSE)</f>
        <v>0.22222222222222221</v>
      </c>
      <c r="AT2" s="26" t="s">
        <v>19</v>
      </c>
      <c r="AU2" s="26" t="s">
        <v>54</v>
      </c>
      <c r="AV2" s="26" t="s">
        <v>55</v>
      </c>
      <c r="AX2" s="26" t="s">
        <v>19</v>
      </c>
      <c r="AY2" s="26" t="s">
        <v>55</v>
      </c>
      <c r="BA2" s="26" t="s">
        <v>56</v>
      </c>
      <c r="BB2" s="3">
        <f>VLOOKUP(AG6,'Gráfico Controle de Resultados'!$M$5:$O$12,2,FALSE)</f>
        <v>0</v>
      </c>
      <c r="BD2" s="26" t="s">
        <v>69</v>
      </c>
      <c r="BE2" s="3">
        <f>ROWS('Gráfico Controle de Resultados'!C12:C31)-COUNTBLANK('Gráfico Controle de Resultados'!C12:C31)</f>
        <v>0</v>
      </c>
      <c r="BG2" s="23" t="s">
        <v>80</v>
      </c>
      <c r="BH2" s="3">
        <f>ROWS('Gráfico Controle de Resultados'!S:S)-COUNTBLANK('Gráfico Controle de Resultados'!S:S)-2</f>
        <v>19</v>
      </c>
    </row>
    <row r="3" spans="2:60" x14ac:dyDescent="0.35">
      <c r="B3" s="11" t="str">
        <f>"%"</f>
        <v>%</v>
      </c>
      <c r="C3" s="11" t="s">
        <v>30</v>
      </c>
      <c r="D3" s="3" t="str">
        <f>"0%"</f>
        <v>0%</v>
      </c>
      <c r="E3" s="3" t="s">
        <v>52</v>
      </c>
      <c r="F3" s="1"/>
      <c r="G3" s="3" t="str">
        <f>VLOOKUP('Gráfico Controle de Resultados'!C5,Auxiliar!B:C,2,FALSE)</f>
        <v>%</v>
      </c>
      <c r="H3" s="3" t="str">
        <f>VLOOKUP('Gráfico Controle de Resultados'!C5,Auxiliar!B:D,3,FALSE)</f>
        <v>0,0%</v>
      </c>
      <c r="I3" s="3" t="str">
        <f>VLOOKUP('Gráfico Controle de Resultados'!C5,Auxiliar!B:E,4,FALSE)</f>
        <v>0,0%;"";""</v>
      </c>
      <c r="K3" s="3">
        <v>2025</v>
      </c>
      <c r="M3" s="3" t="s">
        <v>12</v>
      </c>
      <c r="O3" s="3" t="s">
        <v>14</v>
      </c>
      <c r="P3" s="1"/>
      <c r="Q3" s="3" t="s">
        <v>33</v>
      </c>
      <c r="S3" s="3">
        <f>1</f>
        <v>1</v>
      </c>
      <c r="T3" s="7">
        <f>DATE('Gráfico Controle de Resultados'!$C$9,Auxiliar!U3,Auxiliar!V3)</f>
        <v>49310</v>
      </c>
      <c r="U3" s="3">
        <v>1</v>
      </c>
      <c r="V3" s="3">
        <v>1</v>
      </c>
      <c r="W3" s="22">
        <f>WEEKDAY(T3)</f>
        <v>2</v>
      </c>
      <c r="X3" s="3">
        <f>S3</f>
        <v>1</v>
      </c>
      <c r="Z3" s="3" t="str">
        <f t="shared" ref="Z3:Z34" si="0">"Semana "&amp;AE3</f>
        <v>Semana 1</v>
      </c>
      <c r="AA3" s="14">
        <f t="shared" ref="AA3:AA34" si="1">VLOOKUP(AE3,$S$3:$T$367,2,FALSE)</f>
        <v>49310</v>
      </c>
      <c r="AB3" s="14">
        <f>AA4-1</f>
        <v>49315</v>
      </c>
      <c r="AC3" s="8" t="str">
        <f>"Semana "&amp;AE3&amp;": de "&amp;TEXT(AA3,"dd/mmm/aaaa")&amp;" a "&amp;TEXT(AB3,"dd/mmm/aaaa")</f>
        <v>Semana 1: de 01/jan/2035 a 06/jan/2035</v>
      </c>
      <c r="AD3" s="4">
        <f t="shared" ref="AD3:AD34" si="2">VLOOKUP(MONTH(AA3),$AL$3:$AM$14,2,FALSE)</f>
        <v>49310</v>
      </c>
      <c r="AE3" s="3">
        <f>1</f>
        <v>1</v>
      </c>
      <c r="AF3" s="1"/>
      <c r="AG3" s="4">
        <f>VLOOKUP('Gráfico Controle de Resultados'!C10,Auxiliar!$AC$3:$AD$55,2,FALSE)</f>
        <v>49310</v>
      </c>
      <c r="AI3" s="8" t="str">
        <f>IF('Gráfico Controle de Resultados'!$C$6="Cima","Real &gt;= Meta", "Real &lt;= Meta")</f>
        <v>Real &lt;= Meta</v>
      </c>
      <c r="AJ3" s="8" t="str">
        <f>IF('Gráfico Controle de Resultados'!$C$6="Cima","Real &lt; Meta", "Real &gt; Meta")</f>
        <v>Real &gt; Meta</v>
      </c>
      <c r="AL3" s="3">
        <v>1</v>
      </c>
      <c r="AM3" s="4">
        <f>'Gráfico Controle de Resultados'!F5</f>
        <v>49310</v>
      </c>
      <c r="AN3" s="3">
        <f>COUNTIF('Gráfico Controle de Resultados'!W:W,Auxiliar!AM3)</f>
        <v>0</v>
      </c>
      <c r="AO3" s="3">
        <f>AN3</f>
        <v>0</v>
      </c>
      <c r="AQ3" s="26" t="s">
        <v>57</v>
      </c>
      <c r="AR3" s="3">
        <f>VLOOKUP($AG$3,'Gráfico Controle de Resultados'!$F$5:$H$16,3,FALSE)</f>
        <v>0.21184929971664709</v>
      </c>
      <c r="AT3" s="3">
        <v>1</v>
      </c>
      <c r="AU3" s="3">
        <f>COUNTIF('Gráfico Controle de Resultados'!X:X,Auxiliar!AT3)</f>
        <v>0</v>
      </c>
      <c r="AV3" s="3">
        <f>AU3</f>
        <v>0</v>
      </c>
      <c r="AX3" s="3">
        <f>'Gráfico Controle de Resultados'!M5</f>
        <v>1</v>
      </c>
      <c r="AY3" s="3">
        <f>VLOOKUP(AX3,$AT$3:$AV$55,3,FALSE)</f>
        <v>0</v>
      </c>
      <c r="BA3" s="26" t="s">
        <v>57</v>
      </c>
      <c r="BB3" s="3">
        <f>VLOOKUP(AG6,'Gráfico Controle de Resultados'!$M$5:$O$12,3,FALSE)</f>
        <v>0</v>
      </c>
      <c r="BD3" s="26" t="s">
        <v>70</v>
      </c>
      <c r="BE3" s="20" t="str">
        <f>'Gráfico Controle de Resultados'!C12&amp;"; "&amp;'Gráfico Controle de Resultados'!C13&amp;"; "&amp;'Gráfico Controle de Resultados'!C14&amp;"; "&amp;'Gráfico Controle de Resultados'!C15&amp;"; "&amp;'Gráfico Controle de Resultados'!C16&amp;"; "&amp;'Gráfico Controle de Resultados'!C17&amp;"; "&amp;'Gráfico Controle de Resultados'!C18&amp;"; "&amp;'Gráfico Controle de Resultados'!C19&amp;"; "&amp;'Gráfico Controle de Resultados'!C20&amp;"; "&amp;'Gráfico Controle de Resultados'!C21&amp;"; "&amp;'Gráfico Controle de Resultados'!C22&amp;"; "&amp;'Gráfico Controle de Resultados'!C23&amp;"; "&amp;'Gráfico Controle de Resultados'!C24&amp;"; "&amp;'Gráfico Controle de Resultados'!C25&amp;"; "&amp;'Gráfico Controle de Resultados'!C26&amp;"; "&amp;'Gráfico Controle de Resultados'!C27&amp;"; "&amp;'Gráfico Controle de Resultados'!C28&amp;"; "&amp;'Gráfico Controle de Resultados'!C29&amp;"; "&amp;'Gráfico Controle de Resultados'!C30&amp;"; "&amp;'Gráfico Controle de Resultados'!C31</f>
        <v xml:space="preserve">; ; ; ; ; ; ; ; ; ; ; ; ; ; ; ; ; ; ; </v>
      </c>
    </row>
    <row r="4" spans="2:60" x14ac:dyDescent="0.35">
      <c r="B4" s="3" t="s">
        <v>47</v>
      </c>
      <c r="C4" s="3" t="s">
        <v>30</v>
      </c>
      <c r="D4" s="3" t="str">
        <f>"0,0%"</f>
        <v>0,0%</v>
      </c>
      <c r="E4" s="3" t="s">
        <v>76</v>
      </c>
      <c r="F4" s="1"/>
      <c r="G4" s="1"/>
      <c r="H4" s="1"/>
      <c r="I4" s="1"/>
      <c r="K4" s="3">
        <f>K3+1</f>
        <v>2026</v>
      </c>
      <c r="M4" s="3" t="s">
        <v>13</v>
      </c>
      <c r="O4" s="3" t="s">
        <v>15</v>
      </c>
      <c r="P4" s="1"/>
      <c r="Q4" s="3" t="s">
        <v>34</v>
      </c>
      <c r="S4" s="3">
        <f t="shared" ref="S4:S67" si="3">IF(W4=1,S3+1,S3)</f>
        <v>1</v>
      </c>
      <c r="T4" s="7">
        <f>DATE('Gráfico Controle de Resultados'!$C$9,Auxiliar!U4,Auxiliar!V4)</f>
        <v>49311</v>
      </c>
      <c r="U4" s="3">
        <v>1</v>
      </c>
      <c r="V4" s="3">
        <v>2</v>
      </c>
      <c r="W4" s="22">
        <f t="shared" ref="W4:W67" si="4">WEEKDAY(T4)</f>
        <v>3</v>
      </c>
      <c r="X4" s="3">
        <f t="shared" ref="X4:X67" si="5">S4</f>
        <v>1</v>
      </c>
      <c r="Z4" s="3" t="str">
        <f t="shared" si="0"/>
        <v>Semana 2</v>
      </c>
      <c r="AA4" s="14">
        <f t="shared" si="1"/>
        <v>49316</v>
      </c>
      <c r="AB4" s="14">
        <f t="shared" ref="AB4:AB54" si="6">AA5-1</f>
        <v>49322</v>
      </c>
      <c r="AC4" s="8" t="str">
        <f t="shared" ref="AC4:AC55" si="7">"Semana "&amp;AE4&amp;": de "&amp;TEXT(AA4,"dd/mmm/aaaa")&amp;" a "&amp;TEXT(AB4,"dd/mmm/aaaa")</f>
        <v>Semana 2: de 07/jan/2035 a 13/jan/2035</v>
      </c>
      <c r="AD4" s="4">
        <f t="shared" si="2"/>
        <v>49310</v>
      </c>
      <c r="AE4" s="3">
        <f>1+AE3</f>
        <v>2</v>
      </c>
      <c r="AF4" s="1"/>
      <c r="AL4" s="3">
        <v>2</v>
      </c>
      <c r="AM4" s="4">
        <f>'Gráfico Controle de Resultados'!F6</f>
        <v>49341</v>
      </c>
      <c r="AN4" s="3">
        <f>COUNTIF('Gráfico Controle de Resultados'!W:W,Auxiliar!AM4)</f>
        <v>11</v>
      </c>
      <c r="AO4" s="3">
        <f>AN4+AO3</f>
        <v>11</v>
      </c>
      <c r="AQ4" s="26" t="s">
        <v>58</v>
      </c>
      <c r="AR4" s="3">
        <f>IF('Gráfico Controle de Resultados'!C6="Cima",Auxiliar!AR2-Auxiliar!AR3,AR3-AR2)</f>
        <v>-1.0372922505575116E-2</v>
      </c>
      <c r="AT4" s="3">
        <f>AT3+1</f>
        <v>2</v>
      </c>
      <c r="AU4" s="3">
        <f>COUNTIF('Gráfico Controle de Resultados'!X:X,Auxiliar!AT4)</f>
        <v>0</v>
      </c>
      <c r="AV4" s="3">
        <f>AU4+AV3</f>
        <v>0</v>
      </c>
      <c r="AX4" s="3">
        <f>'Gráfico Controle de Resultados'!M6</f>
        <v>2</v>
      </c>
      <c r="AY4" s="3">
        <f t="shared" ref="AY4:AY10" si="8">VLOOKUP(AX4,$AT$3:$AV$55,3,FALSE)</f>
        <v>0</v>
      </c>
      <c r="BA4" s="26" t="s">
        <v>58</v>
      </c>
      <c r="BB4" s="3">
        <f>IF('Gráfico Controle de Resultados'!C6="Cima",Auxiliar!BB2-Auxiliar!BB3,BB3-BB2)</f>
        <v>0</v>
      </c>
    </row>
    <row r="5" spans="2:60" x14ac:dyDescent="0.35">
      <c r="B5" s="3" t="s">
        <v>41</v>
      </c>
      <c r="C5" s="3" t="s">
        <v>41</v>
      </c>
      <c r="D5" s="3" t="s">
        <v>77</v>
      </c>
      <c r="E5" s="3" t="s">
        <v>78</v>
      </c>
      <c r="F5" s="1"/>
      <c r="G5" s="1"/>
      <c r="H5" s="1"/>
      <c r="I5" s="1"/>
      <c r="K5" s="3">
        <f t="shared" ref="K5:K38" si="9">K4+1</f>
        <v>2027</v>
      </c>
      <c r="S5" s="3">
        <f t="shared" si="3"/>
        <v>1</v>
      </c>
      <c r="T5" s="7">
        <f>DATE('Gráfico Controle de Resultados'!$C$9,Auxiliar!U5,Auxiliar!V5)</f>
        <v>49312</v>
      </c>
      <c r="U5" s="3">
        <v>1</v>
      </c>
      <c r="V5" s="3">
        <v>3</v>
      </c>
      <c r="W5" s="22">
        <f t="shared" si="4"/>
        <v>4</v>
      </c>
      <c r="X5" s="3">
        <f t="shared" si="5"/>
        <v>1</v>
      </c>
      <c r="Z5" s="3" t="str">
        <f t="shared" si="0"/>
        <v>Semana 3</v>
      </c>
      <c r="AA5" s="14">
        <f t="shared" si="1"/>
        <v>49323</v>
      </c>
      <c r="AB5" s="14">
        <f t="shared" si="6"/>
        <v>49329</v>
      </c>
      <c r="AC5" s="8" t="str">
        <f t="shared" si="7"/>
        <v>Semana 3: de 14/jan/2035 a 20/jan/2035</v>
      </c>
      <c r="AD5" s="4">
        <f t="shared" si="2"/>
        <v>49310</v>
      </c>
      <c r="AE5" s="3">
        <f t="shared" ref="AE5:AE55" si="10">1+AE4</f>
        <v>3</v>
      </c>
      <c r="AF5" s="1"/>
      <c r="AG5" s="26" t="s">
        <v>19</v>
      </c>
      <c r="AL5" s="3">
        <v>3</v>
      </c>
      <c r="AM5" s="4">
        <f>'Gráfico Controle de Resultados'!F7</f>
        <v>49369</v>
      </c>
      <c r="AN5" s="3">
        <f>COUNTIF('Gráfico Controle de Resultados'!W:W,Auxiliar!AM5)</f>
        <v>0</v>
      </c>
      <c r="AO5" s="3">
        <f t="shared" ref="AO5:AO14" si="11">AN5+AO4</f>
        <v>11</v>
      </c>
      <c r="AQ5" s="26" t="s">
        <v>60</v>
      </c>
      <c r="AR5" s="3">
        <f>ABS(AR4)</f>
        <v>1.0372922505575116E-2</v>
      </c>
      <c r="AT5" s="3">
        <f t="shared" ref="AT5:AT55" si="12">AT4+1</f>
        <v>3</v>
      </c>
      <c r="AU5" s="3">
        <f>COUNTIF('Gráfico Controle de Resultados'!X:X,Auxiliar!AT5)</f>
        <v>0</v>
      </c>
      <c r="AV5" s="3">
        <f t="shared" ref="AV5:AV55" si="13">AU5+AV4</f>
        <v>0</v>
      </c>
      <c r="AX5" s="3">
        <f>'Gráfico Controle de Resultados'!M7</f>
        <v>3</v>
      </c>
      <c r="AY5" s="3">
        <f t="shared" si="8"/>
        <v>0</v>
      </c>
      <c r="BA5" s="26" t="s">
        <v>60</v>
      </c>
      <c r="BB5" s="3">
        <f>ABS(BB4)</f>
        <v>0</v>
      </c>
    </row>
    <row r="6" spans="2:60" x14ac:dyDescent="0.35">
      <c r="B6" s="3" t="s">
        <v>48</v>
      </c>
      <c r="C6" s="3" t="s">
        <v>41</v>
      </c>
      <c r="D6" s="3" t="str">
        <f>"#.##0,0"</f>
        <v>#.##0,0</v>
      </c>
      <c r="E6" s="3" t="s">
        <v>79</v>
      </c>
      <c r="F6" s="1"/>
      <c r="G6" s="1"/>
      <c r="H6" s="1"/>
      <c r="I6" s="1"/>
      <c r="K6" s="3">
        <f t="shared" si="9"/>
        <v>2028</v>
      </c>
      <c r="S6" s="3">
        <f t="shared" si="3"/>
        <v>1</v>
      </c>
      <c r="T6" s="7">
        <f>DATE('Gráfico Controle de Resultados'!$C$9,Auxiliar!U6,Auxiliar!V6)</f>
        <v>49313</v>
      </c>
      <c r="U6" s="3">
        <v>1</v>
      </c>
      <c r="V6" s="3">
        <v>4</v>
      </c>
      <c r="W6" s="22">
        <f t="shared" si="4"/>
        <v>5</v>
      </c>
      <c r="X6" s="3">
        <f t="shared" si="5"/>
        <v>1</v>
      </c>
      <c r="Z6" s="3" t="str">
        <f t="shared" si="0"/>
        <v>Semana 4</v>
      </c>
      <c r="AA6" s="14">
        <f t="shared" si="1"/>
        <v>49330</v>
      </c>
      <c r="AB6" s="14">
        <f t="shared" si="6"/>
        <v>49336</v>
      </c>
      <c r="AC6" s="8" t="str">
        <f t="shared" si="7"/>
        <v>Semana 4: de 21/jan/2035 a 27/jan/2035</v>
      </c>
      <c r="AD6" s="4">
        <f t="shared" si="2"/>
        <v>49310</v>
      </c>
      <c r="AE6" s="3">
        <f t="shared" si="10"/>
        <v>4</v>
      </c>
      <c r="AF6" s="1"/>
      <c r="AG6" s="3">
        <f>VLOOKUP('Gráfico Controle de Resultados'!C10,Auxiliar!$AC$3:$AE$55,3,FALSE)</f>
        <v>5</v>
      </c>
      <c r="AL6" s="3">
        <v>4</v>
      </c>
      <c r="AM6" s="4">
        <f>'Gráfico Controle de Resultados'!F8</f>
        <v>49400</v>
      </c>
      <c r="AN6" s="3">
        <f>COUNTIF('Gráfico Controle de Resultados'!W:W,Auxiliar!AM6)</f>
        <v>0</v>
      </c>
      <c r="AO6" s="3">
        <f t="shared" si="11"/>
        <v>11</v>
      </c>
      <c r="AQ6" s="26" t="s">
        <v>59</v>
      </c>
      <c r="AR6" s="3" t="str">
        <f>IF(AR4&lt;0,"pior","melhor")</f>
        <v>pior</v>
      </c>
      <c r="AT6" s="3">
        <f t="shared" si="12"/>
        <v>4</v>
      </c>
      <c r="AU6" s="3">
        <f>COUNTIF('Gráfico Controle de Resultados'!X:X,Auxiliar!AT6)</f>
        <v>0</v>
      </c>
      <c r="AV6" s="3">
        <f t="shared" si="13"/>
        <v>0</v>
      </c>
      <c r="AX6" s="3">
        <f>'Gráfico Controle de Resultados'!M8</f>
        <v>4</v>
      </c>
      <c r="AY6" s="3">
        <f t="shared" si="8"/>
        <v>0</v>
      </c>
      <c r="BA6" s="26" t="s">
        <v>59</v>
      </c>
      <c r="BB6" s="3" t="str">
        <f>IF(BB4&lt;0,"pior","melhor")</f>
        <v>melhor</v>
      </c>
    </row>
    <row r="7" spans="2:60" x14ac:dyDescent="0.35">
      <c r="B7" s="3" t="s">
        <v>42</v>
      </c>
      <c r="C7" s="3" t="s">
        <v>42</v>
      </c>
      <c r="D7" s="3" t="s">
        <v>71</v>
      </c>
      <c r="E7" s="3" t="s">
        <v>74</v>
      </c>
      <c r="K7" s="3">
        <f t="shared" si="9"/>
        <v>2029</v>
      </c>
      <c r="S7" s="3">
        <f t="shared" si="3"/>
        <v>1</v>
      </c>
      <c r="T7" s="7">
        <f>DATE('Gráfico Controle de Resultados'!$C$9,Auxiliar!U7,Auxiliar!V7)</f>
        <v>49314</v>
      </c>
      <c r="U7" s="3">
        <v>1</v>
      </c>
      <c r="V7" s="3">
        <v>5</v>
      </c>
      <c r="W7" s="22">
        <f t="shared" si="4"/>
        <v>6</v>
      </c>
      <c r="X7" s="3">
        <f t="shared" si="5"/>
        <v>1</v>
      </c>
      <c r="Z7" s="3" t="str">
        <f t="shared" si="0"/>
        <v>Semana 5</v>
      </c>
      <c r="AA7" s="14">
        <f t="shared" si="1"/>
        <v>49337</v>
      </c>
      <c r="AB7" s="14">
        <f t="shared" si="6"/>
        <v>49343</v>
      </c>
      <c r="AC7" s="8" t="str">
        <f t="shared" si="7"/>
        <v>Semana 5: de 28/jan/2035 a 03/fev/2035</v>
      </c>
      <c r="AD7" s="4">
        <f t="shared" si="2"/>
        <v>49310</v>
      </c>
      <c r="AE7" s="3">
        <f t="shared" si="10"/>
        <v>5</v>
      </c>
      <c r="AF7" s="1"/>
      <c r="AL7" s="3">
        <v>5</v>
      </c>
      <c r="AM7" s="4">
        <f>'Gráfico Controle de Resultados'!F9</f>
        <v>49430</v>
      </c>
      <c r="AN7" s="3">
        <f>COUNTIF('Gráfico Controle de Resultados'!W:W,Auxiliar!AM7)</f>
        <v>0</v>
      </c>
      <c r="AO7" s="3">
        <f t="shared" si="11"/>
        <v>11</v>
      </c>
      <c r="AT7" s="3">
        <f t="shared" si="12"/>
        <v>5</v>
      </c>
      <c r="AU7" s="3">
        <f>COUNTIF('Gráfico Controle de Resultados'!X:X,Auxiliar!AT7)</f>
        <v>0</v>
      </c>
      <c r="AV7" s="3">
        <f t="shared" si="13"/>
        <v>0</v>
      </c>
      <c r="AX7" s="3">
        <f>'Gráfico Controle de Resultados'!M9</f>
        <v>5</v>
      </c>
      <c r="AY7" s="3">
        <f t="shared" si="8"/>
        <v>0</v>
      </c>
    </row>
    <row r="8" spans="2:60" x14ac:dyDescent="0.35">
      <c r="B8" s="3" t="s">
        <v>49</v>
      </c>
      <c r="C8" s="3" t="s">
        <v>42</v>
      </c>
      <c r="D8" s="3" t="s">
        <v>45</v>
      </c>
      <c r="E8" s="3" t="s">
        <v>75</v>
      </c>
      <c r="K8" s="3">
        <f t="shared" si="9"/>
        <v>2030</v>
      </c>
      <c r="S8" s="3">
        <f t="shared" si="3"/>
        <v>1</v>
      </c>
      <c r="T8" s="7">
        <f>DATE('Gráfico Controle de Resultados'!$C$9,Auxiliar!U8,Auxiliar!V8)</f>
        <v>49315</v>
      </c>
      <c r="U8" s="3">
        <v>1</v>
      </c>
      <c r="V8" s="3">
        <v>6</v>
      </c>
      <c r="W8" s="22">
        <f t="shared" si="4"/>
        <v>7</v>
      </c>
      <c r="X8" s="3">
        <f t="shared" si="5"/>
        <v>1</v>
      </c>
      <c r="Z8" s="3" t="str">
        <f t="shared" si="0"/>
        <v>Semana 6</v>
      </c>
      <c r="AA8" s="14">
        <f t="shared" si="1"/>
        <v>49344</v>
      </c>
      <c r="AB8" s="14">
        <f t="shared" si="6"/>
        <v>49350</v>
      </c>
      <c r="AC8" s="8" t="str">
        <f t="shared" si="7"/>
        <v>Semana 6: de 04/fev/2035 a 10/fev/2035</v>
      </c>
      <c r="AD8" s="4">
        <f t="shared" si="2"/>
        <v>49341</v>
      </c>
      <c r="AE8" s="3">
        <f t="shared" si="10"/>
        <v>6</v>
      </c>
      <c r="AF8" s="1"/>
      <c r="AL8" s="3">
        <v>6</v>
      </c>
      <c r="AM8" s="4">
        <f>'Gráfico Controle de Resultados'!F10</f>
        <v>49461</v>
      </c>
      <c r="AN8" s="3">
        <f>COUNTIF('Gráfico Controle de Resultados'!W:W,Auxiliar!AM8)</f>
        <v>0</v>
      </c>
      <c r="AO8" s="3">
        <f t="shared" si="11"/>
        <v>11</v>
      </c>
      <c r="AT8" s="3">
        <f t="shared" si="12"/>
        <v>6</v>
      </c>
      <c r="AU8" s="3">
        <f>COUNTIF('Gráfico Controle de Resultados'!X:X,Auxiliar!AT8)</f>
        <v>1</v>
      </c>
      <c r="AV8" s="3">
        <f t="shared" si="13"/>
        <v>1</v>
      </c>
      <c r="AX8" s="3" t="str">
        <f>'Gráfico Controle de Resultados'!M10</f>
        <v/>
      </c>
      <c r="AY8" s="3" t="e">
        <f t="shared" si="8"/>
        <v>#N/A</v>
      </c>
    </row>
    <row r="9" spans="2:60" x14ac:dyDescent="0.35">
      <c r="B9" s="3" t="s">
        <v>43</v>
      </c>
      <c r="C9" s="3" t="s">
        <v>43</v>
      </c>
      <c r="D9" s="3" t="s">
        <v>44</v>
      </c>
      <c r="E9" s="3" t="s">
        <v>72</v>
      </c>
      <c r="K9" s="3">
        <f t="shared" si="9"/>
        <v>2031</v>
      </c>
      <c r="S9" s="3">
        <f t="shared" si="3"/>
        <v>2</v>
      </c>
      <c r="T9" s="7">
        <f>DATE('Gráfico Controle de Resultados'!$C$9,Auxiliar!U9,Auxiliar!V9)</f>
        <v>49316</v>
      </c>
      <c r="U9" s="3">
        <v>1</v>
      </c>
      <c r="V9" s="3">
        <v>7</v>
      </c>
      <c r="W9" s="22">
        <f t="shared" si="4"/>
        <v>1</v>
      </c>
      <c r="X9" s="3">
        <f t="shared" si="5"/>
        <v>2</v>
      </c>
      <c r="Z9" s="3" t="str">
        <f t="shared" si="0"/>
        <v>Semana 7</v>
      </c>
      <c r="AA9" s="14">
        <f t="shared" si="1"/>
        <v>49351</v>
      </c>
      <c r="AB9" s="14">
        <f t="shared" si="6"/>
        <v>49357</v>
      </c>
      <c r="AC9" s="8" t="str">
        <f t="shared" si="7"/>
        <v>Semana 7: de 11/fev/2035 a 17/fev/2035</v>
      </c>
      <c r="AD9" s="4">
        <f t="shared" si="2"/>
        <v>49341</v>
      </c>
      <c r="AE9" s="3">
        <f t="shared" si="10"/>
        <v>7</v>
      </c>
      <c r="AF9" s="1"/>
      <c r="AL9" s="3">
        <v>7</v>
      </c>
      <c r="AM9" s="4">
        <f>'Gráfico Controle de Resultados'!F11</f>
        <v>49491</v>
      </c>
      <c r="AN9" s="3">
        <f>COUNTIF('Gráfico Controle de Resultados'!W:W,Auxiliar!AM9)</f>
        <v>0</v>
      </c>
      <c r="AO9" s="3">
        <f t="shared" si="11"/>
        <v>11</v>
      </c>
      <c r="AT9" s="3">
        <f t="shared" si="12"/>
        <v>7</v>
      </c>
      <c r="AU9" s="3">
        <f>COUNTIF('Gráfico Controle de Resultados'!X:X,Auxiliar!AT9)</f>
        <v>0</v>
      </c>
      <c r="AV9" s="3">
        <f t="shared" si="13"/>
        <v>1</v>
      </c>
      <c r="AX9" s="3" t="str">
        <f>'Gráfico Controle de Resultados'!M11</f>
        <v/>
      </c>
      <c r="AY9" s="3" t="e">
        <f t="shared" si="8"/>
        <v>#N/A</v>
      </c>
    </row>
    <row r="10" spans="2:60" x14ac:dyDescent="0.35">
      <c r="B10" s="3" t="s">
        <v>50</v>
      </c>
      <c r="C10" s="3" t="s">
        <v>43</v>
      </c>
      <c r="D10" s="3" t="s">
        <v>46</v>
      </c>
      <c r="E10" s="3" t="s">
        <v>73</v>
      </c>
      <c r="K10" s="3">
        <f t="shared" si="9"/>
        <v>2032</v>
      </c>
      <c r="S10" s="3">
        <f t="shared" si="3"/>
        <v>2</v>
      </c>
      <c r="T10" s="7">
        <f>DATE('Gráfico Controle de Resultados'!$C$9,Auxiliar!U10,Auxiliar!V10)</f>
        <v>49317</v>
      </c>
      <c r="U10" s="3">
        <v>1</v>
      </c>
      <c r="V10" s="3">
        <v>8</v>
      </c>
      <c r="W10" s="22">
        <f t="shared" si="4"/>
        <v>2</v>
      </c>
      <c r="X10" s="3">
        <f t="shared" si="5"/>
        <v>2</v>
      </c>
      <c r="Z10" s="3" t="str">
        <f t="shared" si="0"/>
        <v>Semana 8</v>
      </c>
      <c r="AA10" s="14">
        <f t="shared" si="1"/>
        <v>49358</v>
      </c>
      <c r="AB10" s="14">
        <f t="shared" si="6"/>
        <v>49364</v>
      </c>
      <c r="AC10" s="8" t="str">
        <f t="shared" si="7"/>
        <v>Semana 8: de 18/fev/2035 a 24/fev/2035</v>
      </c>
      <c r="AD10" s="4">
        <f t="shared" si="2"/>
        <v>49341</v>
      </c>
      <c r="AE10" s="3">
        <f t="shared" si="10"/>
        <v>8</v>
      </c>
      <c r="AF10" s="1"/>
      <c r="AL10" s="3">
        <v>8</v>
      </c>
      <c r="AM10" s="4">
        <f>'Gráfico Controle de Resultados'!F12</f>
        <v>49522</v>
      </c>
      <c r="AN10" s="3">
        <f>COUNTIF('Gráfico Controle de Resultados'!W:W,Auxiliar!AM10)</f>
        <v>0</v>
      </c>
      <c r="AO10" s="3">
        <f t="shared" si="11"/>
        <v>11</v>
      </c>
      <c r="AT10" s="3">
        <f t="shared" si="12"/>
        <v>8</v>
      </c>
      <c r="AU10" s="3">
        <f>COUNTIF('Gráfico Controle de Resultados'!X:X,Auxiliar!AT10)</f>
        <v>3</v>
      </c>
      <c r="AV10" s="3">
        <f t="shared" si="13"/>
        <v>4</v>
      </c>
      <c r="AX10" s="3" t="str">
        <f>'Gráfico Controle de Resultados'!M12</f>
        <v/>
      </c>
      <c r="AY10" s="3" t="e">
        <f t="shared" si="8"/>
        <v>#N/A</v>
      </c>
    </row>
    <row r="11" spans="2:60" x14ac:dyDescent="0.35">
      <c r="K11" s="3">
        <f t="shared" si="9"/>
        <v>2033</v>
      </c>
      <c r="S11" s="3">
        <f t="shared" si="3"/>
        <v>2</v>
      </c>
      <c r="T11" s="7">
        <f>DATE('Gráfico Controle de Resultados'!$C$9,Auxiliar!U11,Auxiliar!V11)</f>
        <v>49318</v>
      </c>
      <c r="U11" s="3">
        <v>1</v>
      </c>
      <c r="V11" s="3">
        <v>9</v>
      </c>
      <c r="W11" s="22">
        <f t="shared" si="4"/>
        <v>3</v>
      </c>
      <c r="X11" s="3">
        <f t="shared" si="5"/>
        <v>2</v>
      </c>
      <c r="Z11" s="3" t="str">
        <f t="shared" si="0"/>
        <v>Semana 9</v>
      </c>
      <c r="AA11" s="14">
        <f t="shared" si="1"/>
        <v>49365</v>
      </c>
      <c r="AB11" s="14">
        <f t="shared" si="6"/>
        <v>49371</v>
      </c>
      <c r="AC11" s="8" t="str">
        <f t="shared" si="7"/>
        <v>Semana 9: de 25/fev/2035 a 03/mar/2035</v>
      </c>
      <c r="AD11" s="4">
        <f t="shared" si="2"/>
        <v>49341</v>
      </c>
      <c r="AE11" s="3">
        <f t="shared" si="10"/>
        <v>9</v>
      </c>
      <c r="AF11" s="1"/>
      <c r="AL11" s="3">
        <v>9</v>
      </c>
      <c r="AM11" s="4">
        <f>'Gráfico Controle de Resultados'!F13</f>
        <v>49553</v>
      </c>
      <c r="AN11" s="3">
        <f>COUNTIF('Gráfico Controle de Resultados'!W:W,Auxiliar!AM11)</f>
        <v>0</v>
      </c>
      <c r="AO11" s="3">
        <f t="shared" si="11"/>
        <v>11</v>
      </c>
      <c r="AT11" s="3">
        <f t="shared" si="12"/>
        <v>9</v>
      </c>
      <c r="AU11" s="3">
        <f>COUNTIF('Gráfico Controle de Resultados'!X:X,Auxiliar!AT11)</f>
        <v>7</v>
      </c>
      <c r="AV11" s="3">
        <f t="shared" si="13"/>
        <v>11</v>
      </c>
      <c r="AX11" s="1"/>
    </row>
    <row r="12" spans="2:60" x14ac:dyDescent="0.35">
      <c r="K12" s="3">
        <f t="shared" si="9"/>
        <v>2034</v>
      </c>
      <c r="S12" s="3">
        <f t="shared" si="3"/>
        <v>2</v>
      </c>
      <c r="T12" s="7">
        <f>DATE('Gráfico Controle de Resultados'!$C$9,Auxiliar!U12,Auxiliar!V12)</f>
        <v>49319</v>
      </c>
      <c r="U12" s="3">
        <v>1</v>
      </c>
      <c r="V12" s="3">
        <v>10</v>
      </c>
      <c r="W12" s="22">
        <f t="shared" si="4"/>
        <v>4</v>
      </c>
      <c r="X12" s="3">
        <f t="shared" si="5"/>
        <v>2</v>
      </c>
      <c r="Z12" s="3" t="str">
        <f t="shared" si="0"/>
        <v>Semana 10</v>
      </c>
      <c r="AA12" s="14">
        <f t="shared" si="1"/>
        <v>49372</v>
      </c>
      <c r="AB12" s="14">
        <f t="shared" si="6"/>
        <v>49378</v>
      </c>
      <c r="AC12" s="8" t="str">
        <f t="shared" si="7"/>
        <v>Semana 10: de 04/mar/2035 a 10/mar/2035</v>
      </c>
      <c r="AD12" s="4">
        <f t="shared" si="2"/>
        <v>49369</v>
      </c>
      <c r="AE12" s="3">
        <f t="shared" si="10"/>
        <v>10</v>
      </c>
      <c r="AF12" s="1"/>
      <c r="AL12" s="3">
        <v>10</v>
      </c>
      <c r="AM12" s="4">
        <f>'Gráfico Controle de Resultados'!F14</f>
        <v>49583</v>
      </c>
      <c r="AN12" s="3">
        <f>COUNTIF('Gráfico Controle de Resultados'!W:W,Auxiliar!AM12)</f>
        <v>0</v>
      </c>
      <c r="AO12" s="3">
        <f t="shared" si="11"/>
        <v>11</v>
      </c>
      <c r="AT12" s="3">
        <f t="shared" si="12"/>
        <v>10</v>
      </c>
      <c r="AU12" s="3">
        <f>COUNTIF('Gráfico Controle de Resultados'!X:X,Auxiliar!AT12)</f>
        <v>0</v>
      </c>
      <c r="AV12" s="3">
        <f t="shared" si="13"/>
        <v>11</v>
      </c>
    </row>
    <row r="13" spans="2:60" x14ac:dyDescent="0.35">
      <c r="K13" s="3">
        <f t="shared" si="9"/>
        <v>2035</v>
      </c>
      <c r="S13" s="3">
        <f t="shared" si="3"/>
        <v>2</v>
      </c>
      <c r="T13" s="7">
        <f>DATE('Gráfico Controle de Resultados'!$C$9,Auxiliar!U13,Auxiliar!V13)</f>
        <v>49320</v>
      </c>
      <c r="U13" s="3">
        <v>1</v>
      </c>
      <c r="V13" s="3">
        <v>11</v>
      </c>
      <c r="W13" s="22">
        <f t="shared" si="4"/>
        <v>5</v>
      </c>
      <c r="X13" s="3">
        <f t="shared" si="5"/>
        <v>2</v>
      </c>
      <c r="Z13" s="3" t="str">
        <f t="shared" si="0"/>
        <v>Semana 11</v>
      </c>
      <c r="AA13" s="14">
        <f t="shared" si="1"/>
        <v>49379</v>
      </c>
      <c r="AB13" s="14">
        <f t="shared" si="6"/>
        <v>49385</v>
      </c>
      <c r="AC13" s="8" t="str">
        <f t="shared" si="7"/>
        <v>Semana 11: de 11/mar/2035 a 17/mar/2035</v>
      </c>
      <c r="AD13" s="4">
        <f t="shared" si="2"/>
        <v>49369</v>
      </c>
      <c r="AE13" s="3">
        <f t="shared" si="10"/>
        <v>11</v>
      </c>
      <c r="AF13" s="1"/>
      <c r="AL13" s="3">
        <v>11</v>
      </c>
      <c r="AM13" s="4">
        <f>'Gráfico Controle de Resultados'!F15</f>
        <v>49614</v>
      </c>
      <c r="AN13" s="3">
        <f>COUNTIF('Gráfico Controle de Resultados'!W:W,Auxiliar!AM13)</f>
        <v>0</v>
      </c>
      <c r="AO13" s="3">
        <f t="shared" si="11"/>
        <v>11</v>
      </c>
      <c r="AT13" s="3">
        <f t="shared" si="12"/>
        <v>11</v>
      </c>
      <c r="AU13" s="3">
        <f>COUNTIF('Gráfico Controle de Resultados'!X:X,Auxiliar!AT13)</f>
        <v>0</v>
      </c>
      <c r="AV13" s="3">
        <f t="shared" si="13"/>
        <v>11</v>
      </c>
    </row>
    <row r="14" spans="2:60" x14ac:dyDescent="0.35">
      <c r="K14" s="3">
        <f t="shared" si="9"/>
        <v>2036</v>
      </c>
      <c r="S14" s="3">
        <f t="shared" si="3"/>
        <v>2</v>
      </c>
      <c r="T14" s="7">
        <f>DATE('Gráfico Controle de Resultados'!$C$9,Auxiliar!U14,Auxiliar!V14)</f>
        <v>49321</v>
      </c>
      <c r="U14" s="3">
        <v>1</v>
      </c>
      <c r="V14" s="3">
        <v>12</v>
      </c>
      <c r="W14" s="22">
        <f t="shared" si="4"/>
        <v>6</v>
      </c>
      <c r="X14" s="3">
        <f t="shared" si="5"/>
        <v>2</v>
      </c>
      <c r="Z14" s="3" t="str">
        <f t="shared" si="0"/>
        <v>Semana 12</v>
      </c>
      <c r="AA14" s="14">
        <f t="shared" si="1"/>
        <v>49386</v>
      </c>
      <c r="AB14" s="14">
        <f t="shared" si="6"/>
        <v>49392</v>
      </c>
      <c r="AC14" s="8" t="str">
        <f t="shared" si="7"/>
        <v>Semana 12: de 18/mar/2035 a 24/mar/2035</v>
      </c>
      <c r="AD14" s="4">
        <f t="shared" si="2"/>
        <v>49369</v>
      </c>
      <c r="AE14" s="3">
        <f t="shared" si="10"/>
        <v>12</v>
      </c>
      <c r="AF14" s="1"/>
      <c r="AL14" s="3">
        <v>12</v>
      </c>
      <c r="AM14" s="4">
        <f>'Gráfico Controle de Resultados'!F16</f>
        <v>49644</v>
      </c>
      <c r="AN14" s="3">
        <f>COUNTIF('Gráfico Controle de Resultados'!W:W,Auxiliar!AM14)</f>
        <v>0</v>
      </c>
      <c r="AO14" s="3">
        <f t="shared" si="11"/>
        <v>11</v>
      </c>
      <c r="AT14" s="3">
        <f t="shared" si="12"/>
        <v>12</v>
      </c>
      <c r="AU14" s="3">
        <f>COUNTIF('Gráfico Controle de Resultados'!X:X,Auxiliar!AT14)</f>
        <v>0</v>
      </c>
      <c r="AV14" s="3">
        <f t="shared" si="13"/>
        <v>11</v>
      </c>
    </row>
    <row r="15" spans="2:60" x14ac:dyDescent="0.35">
      <c r="K15" s="3">
        <f t="shared" si="9"/>
        <v>2037</v>
      </c>
      <c r="S15" s="3">
        <f t="shared" si="3"/>
        <v>2</v>
      </c>
      <c r="T15" s="7">
        <f>DATE('Gráfico Controle de Resultados'!$C$9,Auxiliar!U15,Auxiliar!V15)</f>
        <v>49322</v>
      </c>
      <c r="U15" s="3">
        <v>1</v>
      </c>
      <c r="V15" s="3">
        <v>13</v>
      </c>
      <c r="W15" s="22">
        <f t="shared" si="4"/>
        <v>7</v>
      </c>
      <c r="X15" s="3">
        <f t="shared" si="5"/>
        <v>2</v>
      </c>
      <c r="Z15" s="3" t="str">
        <f t="shared" si="0"/>
        <v>Semana 13</v>
      </c>
      <c r="AA15" s="14">
        <f t="shared" si="1"/>
        <v>49393</v>
      </c>
      <c r="AB15" s="14">
        <f t="shared" si="6"/>
        <v>49399</v>
      </c>
      <c r="AC15" s="8" t="str">
        <f t="shared" si="7"/>
        <v>Semana 13: de 25/mar/2035 a 31/mar/2035</v>
      </c>
      <c r="AD15" s="4">
        <f t="shared" si="2"/>
        <v>49369</v>
      </c>
      <c r="AE15" s="3">
        <f t="shared" si="10"/>
        <v>13</v>
      </c>
      <c r="AF15" s="1"/>
      <c r="AT15" s="3">
        <f t="shared" si="12"/>
        <v>13</v>
      </c>
      <c r="AU15" s="3">
        <f>COUNTIF('Gráfico Controle de Resultados'!X:X,Auxiliar!AT15)</f>
        <v>0</v>
      </c>
      <c r="AV15" s="3">
        <f t="shared" si="13"/>
        <v>11</v>
      </c>
    </row>
    <row r="16" spans="2:60" x14ac:dyDescent="0.35">
      <c r="K16" s="3">
        <f t="shared" si="9"/>
        <v>2038</v>
      </c>
      <c r="S16" s="3">
        <f t="shared" si="3"/>
        <v>3</v>
      </c>
      <c r="T16" s="7">
        <f>DATE('Gráfico Controle de Resultados'!$C$9,Auxiliar!U16,Auxiliar!V16)</f>
        <v>49323</v>
      </c>
      <c r="U16" s="3">
        <v>1</v>
      </c>
      <c r="V16" s="3">
        <v>14</v>
      </c>
      <c r="W16" s="22">
        <f t="shared" si="4"/>
        <v>1</v>
      </c>
      <c r="X16" s="3">
        <f t="shared" si="5"/>
        <v>3</v>
      </c>
      <c r="Z16" s="3" t="str">
        <f t="shared" si="0"/>
        <v>Semana 14</v>
      </c>
      <c r="AA16" s="14">
        <f t="shared" si="1"/>
        <v>49400</v>
      </c>
      <c r="AB16" s="14">
        <f t="shared" si="6"/>
        <v>49406</v>
      </c>
      <c r="AC16" s="8" t="str">
        <f t="shared" si="7"/>
        <v>Semana 14: de 01/abr/2035 a 07/abr/2035</v>
      </c>
      <c r="AD16" s="4">
        <f t="shared" si="2"/>
        <v>49400</v>
      </c>
      <c r="AE16" s="3">
        <f t="shared" si="10"/>
        <v>14</v>
      </c>
      <c r="AF16" s="1"/>
      <c r="AT16" s="3">
        <f t="shared" si="12"/>
        <v>14</v>
      </c>
      <c r="AU16" s="3">
        <f>COUNTIF('Gráfico Controle de Resultados'!X:X,Auxiliar!AT16)</f>
        <v>0</v>
      </c>
      <c r="AV16" s="3">
        <f t="shared" si="13"/>
        <v>11</v>
      </c>
    </row>
    <row r="17" spans="11:48" x14ac:dyDescent="0.35">
      <c r="K17" s="3">
        <f t="shared" si="9"/>
        <v>2039</v>
      </c>
      <c r="S17" s="3">
        <f t="shared" si="3"/>
        <v>3</v>
      </c>
      <c r="T17" s="7">
        <f>DATE('Gráfico Controle de Resultados'!$C$9,Auxiliar!U17,Auxiliar!V17)</f>
        <v>49324</v>
      </c>
      <c r="U17" s="3">
        <v>1</v>
      </c>
      <c r="V17" s="3">
        <v>15</v>
      </c>
      <c r="W17" s="22">
        <f t="shared" si="4"/>
        <v>2</v>
      </c>
      <c r="X17" s="3">
        <f t="shared" si="5"/>
        <v>3</v>
      </c>
      <c r="Z17" s="3" t="str">
        <f t="shared" si="0"/>
        <v>Semana 15</v>
      </c>
      <c r="AA17" s="14">
        <f t="shared" si="1"/>
        <v>49407</v>
      </c>
      <c r="AB17" s="14">
        <f t="shared" si="6"/>
        <v>49413</v>
      </c>
      <c r="AC17" s="8" t="str">
        <f t="shared" si="7"/>
        <v>Semana 15: de 08/abr/2035 a 14/abr/2035</v>
      </c>
      <c r="AD17" s="4">
        <f t="shared" si="2"/>
        <v>49400</v>
      </c>
      <c r="AE17" s="3">
        <f t="shared" si="10"/>
        <v>15</v>
      </c>
      <c r="AF17" s="1"/>
      <c r="AT17" s="3">
        <f t="shared" si="12"/>
        <v>15</v>
      </c>
      <c r="AU17" s="3">
        <f>COUNTIF('Gráfico Controle de Resultados'!X:X,Auxiliar!AT17)</f>
        <v>0</v>
      </c>
      <c r="AV17" s="3">
        <f t="shared" si="13"/>
        <v>11</v>
      </c>
    </row>
    <row r="18" spans="11:48" x14ac:dyDescent="0.35">
      <c r="K18" s="3">
        <f t="shared" si="9"/>
        <v>2040</v>
      </c>
      <c r="S18" s="3">
        <f t="shared" si="3"/>
        <v>3</v>
      </c>
      <c r="T18" s="7">
        <f>DATE('Gráfico Controle de Resultados'!$C$9,Auxiliar!U18,Auxiliar!V18)</f>
        <v>49325</v>
      </c>
      <c r="U18" s="3">
        <v>1</v>
      </c>
      <c r="V18" s="3">
        <v>16</v>
      </c>
      <c r="W18" s="22">
        <f t="shared" si="4"/>
        <v>3</v>
      </c>
      <c r="X18" s="3">
        <f t="shared" si="5"/>
        <v>3</v>
      </c>
      <c r="Z18" s="3" t="str">
        <f t="shared" si="0"/>
        <v>Semana 16</v>
      </c>
      <c r="AA18" s="14">
        <f t="shared" si="1"/>
        <v>49414</v>
      </c>
      <c r="AB18" s="14">
        <f t="shared" si="6"/>
        <v>49420</v>
      </c>
      <c r="AC18" s="8" t="str">
        <f t="shared" si="7"/>
        <v>Semana 16: de 15/abr/2035 a 21/abr/2035</v>
      </c>
      <c r="AD18" s="4">
        <f t="shared" si="2"/>
        <v>49400</v>
      </c>
      <c r="AE18" s="3">
        <f t="shared" si="10"/>
        <v>16</v>
      </c>
      <c r="AF18" s="1"/>
      <c r="AT18" s="3">
        <f t="shared" si="12"/>
        <v>16</v>
      </c>
      <c r="AU18" s="3">
        <f>COUNTIF('Gráfico Controle de Resultados'!X:X,Auxiliar!AT18)</f>
        <v>0</v>
      </c>
      <c r="AV18" s="3">
        <f t="shared" si="13"/>
        <v>11</v>
      </c>
    </row>
    <row r="19" spans="11:48" x14ac:dyDescent="0.35">
      <c r="K19" s="3">
        <f t="shared" si="9"/>
        <v>2041</v>
      </c>
      <c r="S19" s="3">
        <f t="shared" si="3"/>
        <v>3</v>
      </c>
      <c r="T19" s="7">
        <f>DATE('Gráfico Controle de Resultados'!$C$9,Auxiliar!U19,Auxiliar!V19)</f>
        <v>49326</v>
      </c>
      <c r="U19" s="3">
        <v>1</v>
      </c>
      <c r="V19" s="3">
        <v>17</v>
      </c>
      <c r="W19" s="22">
        <f t="shared" si="4"/>
        <v>4</v>
      </c>
      <c r="X19" s="3">
        <f t="shared" si="5"/>
        <v>3</v>
      </c>
      <c r="Z19" s="3" t="str">
        <f t="shared" si="0"/>
        <v>Semana 17</v>
      </c>
      <c r="AA19" s="14">
        <f t="shared" si="1"/>
        <v>49421</v>
      </c>
      <c r="AB19" s="14">
        <f t="shared" si="6"/>
        <v>49427</v>
      </c>
      <c r="AC19" s="8" t="str">
        <f t="shared" si="7"/>
        <v>Semana 17: de 22/abr/2035 a 28/abr/2035</v>
      </c>
      <c r="AD19" s="4">
        <f t="shared" si="2"/>
        <v>49400</v>
      </c>
      <c r="AE19" s="3">
        <f t="shared" si="10"/>
        <v>17</v>
      </c>
      <c r="AF19" s="1"/>
      <c r="AT19" s="3">
        <f t="shared" si="12"/>
        <v>17</v>
      </c>
      <c r="AU19" s="3">
        <f>COUNTIF('Gráfico Controle de Resultados'!X:X,Auxiliar!AT19)</f>
        <v>0</v>
      </c>
      <c r="AV19" s="3">
        <f t="shared" si="13"/>
        <v>11</v>
      </c>
    </row>
    <row r="20" spans="11:48" x14ac:dyDescent="0.35">
      <c r="K20" s="3">
        <f t="shared" si="9"/>
        <v>2042</v>
      </c>
      <c r="S20" s="3">
        <f t="shared" si="3"/>
        <v>3</v>
      </c>
      <c r="T20" s="7">
        <f>DATE('Gráfico Controle de Resultados'!$C$9,Auxiliar!U20,Auxiliar!V20)</f>
        <v>49327</v>
      </c>
      <c r="U20" s="3">
        <v>1</v>
      </c>
      <c r="V20" s="3">
        <v>18</v>
      </c>
      <c r="W20" s="22">
        <f t="shared" si="4"/>
        <v>5</v>
      </c>
      <c r="X20" s="3">
        <f t="shared" si="5"/>
        <v>3</v>
      </c>
      <c r="Z20" s="3" t="str">
        <f t="shared" si="0"/>
        <v>Semana 18</v>
      </c>
      <c r="AA20" s="14">
        <f t="shared" si="1"/>
        <v>49428</v>
      </c>
      <c r="AB20" s="14">
        <f t="shared" si="6"/>
        <v>49434</v>
      </c>
      <c r="AC20" s="8" t="str">
        <f t="shared" si="7"/>
        <v>Semana 18: de 29/abr/2035 a 05/mai/2035</v>
      </c>
      <c r="AD20" s="4">
        <f t="shared" si="2"/>
        <v>49400</v>
      </c>
      <c r="AE20" s="3">
        <f t="shared" si="10"/>
        <v>18</v>
      </c>
      <c r="AF20" s="1"/>
      <c r="AT20" s="3">
        <f t="shared" si="12"/>
        <v>18</v>
      </c>
      <c r="AU20" s="3">
        <f>COUNTIF('Gráfico Controle de Resultados'!X:X,Auxiliar!AT20)</f>
        <v>0</v>
      </c>
      <c r="AV20" s="3">
        <f t="shared" si="13"/>
        <v>11</v>
      </c>
    </row>
    <row r="21" spans="11:48" x14ac:dyDescent="0.35">
      <c r="K21" s="3">
        <f t="shared" si="9"/>
        <v>2043</v>
      </c>
      <c r="S21" s="3">
        <f t="shared" si="3"/>
        <v>3</v>
      </c>
      <c r="T21" s="7">
        <f>DATE('Gráfico Controle de Resultados'!$C$9,Auxiliar!U21,Auxiliar!V21)</f>
        <v>49328</v>
      </c>
      <c r="U21" s="3">
        <v>1</v>
      </c>
      <c r="V21" s="3">
        <v>19</v>
      </c>
      <c r="W21" s="22">
        <f t="shared" si="4"/>
        <v>6</v>
      </c>
      <c r="X21" s="3">
        <f t="shared" si="5"/>
        <v>3</v>
      </c>
      <c r="Z21" s="3" t="str">
        <f t="shared" si="0"/>
        <v>Semana 19</v>
      </c>
      <c r="AA21" s="14">
        <f t="shared" si="1"/>
        <v>49435</v>
      </c>
      <c r="AB21" s="14">
        <f t="shared" si="6"/>
        <v>49441</v>
      </c>
      <c r="AC21" s="8" t="str">
        <f t="shared" si="7"/>
        <v>Semana 19: de 06/mai/2035 a 12/mai/2035</v>
      </c>
      <c r="AD21" s="4">
        <f t="shared" si="2"/>
        <v>49430</v>
      </c>
      <c r="AE21" s="3">
        <f t="shared" si="10"/>
        <v>19</v>
      </c>
      <c r="AF21" s="1"/>
      <c r="AT21" s="3">
        <f t="shared" si="12"/>
        <v>19</v>
      </c>
      <c r="AU21" s="3">
        <f>COUNTIF('Gráfico Controle de Resultados'!X:X,Auxiliar!AT21)</f>
        <v>0</v>
      </c>
      <c r="AV21" s="3">
        <f t="shared" si="13"/>
        <v>11</v>
      </c>
    </row>
    <row r="22" spans="11:48" x14ac:dyDescent="0.35">
      <c r="K22" s="3">
        <f t="shared" si="9"/>
        <v>2044</v>
      </c>
      <c r="S22" s="3">
        <f t="shared" si="3"/>
        <v>3</v>
      </c>
      <c r="T22" s="7">
        <f>DATE('Gráfico Controle de Resultados'!$C$9,Auxiliar!U22,Auxiliar!V22)</f>
        <v>49329</v>
      </c>
      <c r="U22" s="3">
        <v>1</v>
      </c>
      <c r="V22" s="3">
        <v>20</v>
      </c>
      <c r="W22" s="22">
        <f t="shared" si="4"/>
        <v>7</v>
      </c>
      <c r="X22" s="3">
        <f t="shared" si="5"/>
        <v>3</v>
      </c>
      <c r="Z22" s="3" t="str">
        <f t="shared" si="0"/>
        <v>Semana 20</v>
      </c>
      <c r="AA22" s="14">
        <f t="shared" si="1"/>
        <v>49442</v>
      </c>
      <c r="AB22" s="14">
        <f t="shared" si="6"/>
        <v>49448</v>
      </c>
      <c r="AC22" s="8" t="str">
        <f t="shared" si="7"/>
        <v>Semana 20: de 13/mai/2035 a 19/mai/2035</v>
      </c>
      <c r="AD22" s="4">
        <f t="shared" si="2"/>
        <v>49430</v>
      </c>
      <c r="AE22" s="3">
        <f t="shared" si="10"/>
        <v>20</v>
      </c>
      <c r="AF22" s="1"/>
      <c r="AT22" s="3">
        <f t="shared" si="12"/>
        <v>20</v>
      </c>
      <c r="AU22" s="3">
        <f>COUNTIF('Gráfico Controle de Resultados'!X:X,Auxiliar!AT22)</f>
        <v>0</v>
      </c>
      <c r="AV22" s="3">
        <f t="shared" si="13"/>
        <v>11</v>
      </c>
    </row>
    <row r="23" spans="11:48" x14ac:dyDescent="0.35">
      <c r="K23" s="3">
        <f t="shared" si="9"/>
        <v>2045</v>
      </c>
      <c r="S23" s="3">
        <f t="shared" si="3"/>
        <v>4</v>
      </c>
      <c r="T23" s="7">
        <f>DATE('Gráfico Controle de Resultados'!$C$9,Auxiliar!U23,Auxiliar!V23)</f>
        <v>49330</v>
      </c>
      <c r="U23" s="3">
        <v>1</v>
      </c>
      <c r="V23" s="3">
        <v>21</v>
      </c>
      <c r="W23" s="22">
        <f t="shared" si="4"/>
        <v>1</v>
      </c>
      <c r="X23" s="3">
        <f t="shared" si="5"/>
        <v>4</v>
      </c>
      <c r="Z23" s="3" t="str">
        <f t="shared" si="0"/>
        <v>Semana 21</v>
      </c>
      <c r="AA23" s="14">
        <f t="shared" si="1"/>
        <v>49449</v>
      </c>
      <c r="AB23" s="14">
        <f t="shared" si="6"/>
        <v>49455</v>
      </c>
      <c r="AC23" s="8" t="str">
        <f t="shared" si="7"/>
        <v>Semana 21: de 20/mai/2035 a 26/mai/2035</v>
      </c>
      <c r="AD23" s="4">
        <f t="shared" si="2"/>
        <v>49430</v>
      </c>
      <c r="AE23" s="3">
        <f t="shared" si="10"/>
        <v>21</v>
      </c>
      <c r="AF23" s="1"/>
      <c r="AT23" s="3">
        <f t="shared" si="12"/>
        <v>21</v>
      </c>
      <c r="AU23" s="3">
        <f>COUNTIF('Gráfico Controle de Resultados'!X:X,Auxiliar!AT23)</f>
        <v>0</v>
      </c>
      <c r="AV23" s="3">
        <f t="shared" si="13"/>
        <v>11</v>
      </c>
    </row>
    <row r="24" spans="11:48" x14ac:dyDescent="0.35">
      <c r="K24" s="3">
        <f t="shared" si="9"/>
        <v>2046</v>
      </c>
      <c r="S24" s="3">
        <f t="shared" si="3"/>
        <v>4</v>
      </c>
      <c r="T24" s="7">
        <f>DATE('Gráfico Controle de Resultados'!$C$9,Auxiliar!U24,Auxiliar!V24)</f>
        <v>49331</v>
      </c>
      <c r="U24" s="3">
        <v>1</v>
      </c>
      <c r="V24" s="3">
        <v>22</v>
      </c>
      <c r="W24" s="22">
        <f t="shared" si="4"/>
        <v>2</v>
      </c>
      <c r="X24" s="3">
        <f t="shared" si="5"/>
        <v>4</v>
      </c>
      <c r="Z24" s="3" t="str">
        <f t="shared" si="0"/>
        <v>Semana 22</v>
      </c>
      <c r="AA24" s="14">
        <f t="shared" si="1"/>
        <v>49456</v>
      </c>
      <c r="AB24" s="14">
        <f t="shared" si="6"/>
        <v>49462</v>
      </c>
      <c r="AC24" s="8" t="str">
        <f t="shared" si="7"/>
        <v>Semana 22: de 27/mai/2035 a 02/jun/2035</v>
      </c>
      <c r="AD24" s="4">
        <f t="shared" si="2"/>
        <v>49430</v>
      </c>
      <c r="AE24" s="3">
        <f t="shared" si="10"/>
        <v>22</v>
      </c>
      <c r="AF24" s="1"/>
      <c r="AT24" s="3">
        <f t="shared" si="12"/>
        <v>22</v>
      </c>
      <c r="AU24" s="3">
        <f>COUNTIF('Gráfico Controle de Resultados'!X:X,Auxiliar!AT24)</f>
        <v>0</v>
      </c>
      <c r="AV24" s="3">
        <f t="shared" si="13"/>
        <v>11</v>
      </c>
    </row>
    <row r="25" spans="11:48" x14ac:dyDescent="0.35">
      <c r="K25" s="3">
        <f t="shared" si="9"/>
        <v>2047</v>
      </c>
      <c r="S25" s="3">
        <f t="shared" si="3"/>
        <v>4</v>
      </c>
      <c r="T25" s="7">
        <f>DATE('Gráfico Controle de Resultados'!$C$9,Auxiliar!U25,Auxiliar!V25)</f>
        <v>49332</v>
      </c>
      <c r="U25" s="3">
        <v>1</v>
      </c>
      <c r="V25" s="3">
        <v>23</v>
      </c>
      <c r="W25" s="22">
        <f t="shared" si="4"/>
        <v>3</v>
      </c>
      <c r="X25" s="3">
        <f t="shared" si="5"/>
        <v>4</v>
      </c>
      <c r="Z25" s="3" t="str">
        <f t="shared" si="0"/>
        <v>Semana 23</v>
      </c>
      <c r="AA25" s="14">
        <f t="shared" si="1"/>
        <v>49463</v>
      </c>
      <c r="AB25" s="14">
        <f t="shared" si="6"/>
        <v>49469</v>
      </c>
      <c r="AC25" s="8" t="str">
        <f t="shared" si="7"/>
        <v>Semana 23: de 03/jun/2035 a 09/jun/2035</v>
      </c>
      <c r="AD25" s="4">
        <f t="shared" si="2"/>
        <v>49461</v>
      </c>
      <c r="AE25" s="3">
        <f t="shared" si="10"/>
        <v>23</v>
      </c>
      <c r="AF25" s="1"/>
      <c r="AT25" s="3">
        <f t="shared" si="12"/>
        <v>23</v>
      </c>
      <c r="AU25" s="3">
        <f>COUNTIF('Gráfico Controle de Resultados'!X:X,Auxiliar!AT25)</f>
        <v>0</v>
      </c>
      <c r="AV25" s="3">
        <f t="shared" si="13"/>
        <v>11</v>
      </c>
    </row>
    <row r="26" spans="11:48" x14ac:dyDescent="0.35">
      <c r="K26" s="3">
        <f t="shared" si="9"/>
        <v>2048</v>
      </c>
      <c r="S26" s="3">
        <f t="shared" si="3"/>
        <v>4</v>
      </c>
      <c r="T26" s="7">
        <f>DATE('Gráfico Controle de Resultados'!$C$9,Auxiliar!U26,Auxiliar!V26)</f>
        <v>49333</v>
      </c>
      <c r="U26" s="3">
        <v>1</v>
      </c>
      <c r="V26" s="3">
        <v>24</v>
      </c>
      <c r="W26" s="22">
        <f t="shared" si="4"/>
        <v>4</v>
      </c>
      <c r="X26" s="3">
        <f t="shared" si="5"/>
        <v>4</v>
      </c>
      <c r="Z26" s="3" t="str">
        <f t="shared" si="0"/>
        <v>Semana 24</v>
      </c>
      <c r="AA26" s="14">
        <f t="shared" si="1"/>
        <v>49470</v>
      </c>
      <c r="AB26" s="14">
        <f t="shared" si="6"/>
        <v>49476</v>
      </c>
      <c r="AC26" s="8" t="str">
        <f t="shared" si="7"/>
        <v>Semana 24: de 10/jun/2035 a 16/jun/2035</v>
      </c>
      <c r="AD26" s="4">
        <f t="shared" si="2"/>
        <v>49461</v>
      </c>
      <c r="AE26" s="3">
        <f t="shared" si="10"/>
        <v>24</v>
      </c>
      <c r="AF26" s="1"/>
      <c r="AT26" s="3">
        <f t="shared" si="12"/>
        <v>24</v>
      </c>
      <c r="AU26" s="3">
        <f>COUNTIF('Gráfico Controle de Resultados'!X:X,Auxiliar!AT26)</f>
        <v>0</v>
      </c>
      <c r="AV26" s="3">
        <f t="shared" si="13"/>
        <v>11</v>
      </c>
    </row>
    <row r="27" spans="11:48" x14ac:dyDescent="0.35">
      <c r="K27" s="3">
        <f t="shared" si="9"/>
        <v>2049</v>
      </c>
      <c r="S27" s="3">
        <f t="shared" si="3"/>
        <v>4</v>
      </c>
      <c r="T27" s="7">
        <f>DATE('Gráfico Controle de Resultados'!$C$9,Auxiliar!U27,Auxiliar!V27)</f>
        <v>49334</v>
      </c>
      <c r="U27" s="3">
        <v>1</v>
      </c>
      <c r="V27" s="3">
        <v>25</v>
      </c>
      <c r="W27" s="22">
        <f t="shared" si="4"/>
        <v>5</v>
      </c>
      <c r="X27" s="3">
        <f t="shared" si="5"/>
        <v>4</v>
      </c>
      <c r="Z27" s="3" t="str">
        <f t="shared" si="0"/>
        <v>Semana 25</v>
      </c>
      <c r="AA27" s="14">
        <f t="shared" si="1"/>
        <v>49477</v>
      </c>
      <c r="AB27" s="14">
        <f t="shared" si="6"/>
        <v>49483</v>
      </c>
      <c r="AC27" s="8" t="str">
        <f t="shared" si="7"/>
        <v>Semana 25: de 17/jun/2035 a 23/jun/2035</v>
      </c>
      <c r="AD27" s="4">
        <f t="shared" si="2"/>
        <v>49461</v>
      </c>
      <c r="AE27" s="3">
        <f t="shared" si="10"/>
        <v>25</v>
      </c>
      <c r="AF27" s="1"/>
      <c r="AT27" s="3">
        <f t="shared" si="12"/>
        <v>25</v>
      </c>
      <c r="AU27" s="3">
        <f>COUNTIF('Gráfico Controle de Resultados'!X:X,Auxiliar!AT27)</f>
        <v>0</v>
      </c>
      <c r="AV27" s="3">
        <f t="shared" si="13"/>
        <v>11</v>
      </c>
    </row>
    <row r="28" spans="11:48" x14ac:dyDescent="0.35">
      <c r="K28" s="3">
        <f t="shared" si="9"/>
        <v>2050</v>
      </c>
      <c r="S28" s="3">
        <f t="shared" si="3"/>
        <v>4</v>
      </c>
      <c r="T28" s="7">
        <f>DATE('Gráfico Controle de Resultados'!$C$9,Auxiliar!U28,Auxiliar!V28)</f>
        <v>49335</v>
      </c>
      <c r="U28" s="3">
        <v>1</v>
      </c>
      <c r="V28" s="3">
        <v>26</v>
      </c>
      <c r="W28" s="22">
        <f t="shared" si="4"/>
        <v>6</v>
      </c>
      <c r="X28" s="3">
        <f t="shared" si="5"/>
        <v>4</v>
      </c>
      <c r="Z28" s="3" t="str">
        <f t="shared" si="0"/>
        <v>Semana 26</v>
      </c>
      <c r="AA28" s="14">
        <f t="shared" si="1"/>
        <v>49484</v>
      </c>
      <c r="AB28" s="14">
        <f t="shared" si="6"/>
        <v>49490</v>
      </c>
      <c r="AC28" s="8" t="str">
        <f t="shared" si="7"/>
        <v>Semana 26: de 24/jun/2035 a 30/jun/2035</v>
      </c>
      <c r="AD28" s="4">
        <f t="shared" si="2"/>
        <v>49461</v>
      </c>
      <c r="AE28" s="3">
        <f t="shared" si="10"/>
        <v>26</v>
      </c>
      <c r="AF28" s="1"/>
      <c r="AT28" s="3">
        <f t="shared" si="12"/>
        <v>26</v>
      </c>
      <c r="AU28" s="3">
        <f>COUNTIF('Gráfico Controle de Resultados'!X:X,Auxiliar!AT28)</f>
        <v>0</v>
      </c>
      <c r="AV28" s="3">
        <f t="shared" si="13"/>
        <v>11</v>
      </c>
    </row>
    <row r="29" spans="11:48" x14ac:dyDescent="0.35">
      <c r="K29" s="3">
        <f t="shared" si="9"/>
        <v>2051</v>
      </c>
      <c r="S29" s="3">
        <f t="shared" si="3"/>
        <v>4</v>
      </c>
      <c r="T29" s="7">
        <f>DATE('Gráfico Controle de Resultados'!$C$9,Auxiliar!U29,Auxiliar!V29)</f>
        <v>49336</v>
      </c>
      <c r="U29" s="3">
        <v>1</v>
      </c>
      <c r="V29" s="3">
        <v>27</v>
      </c>
      <c r="W29" s="22">
        <f t="shared" si="4"/>
        <v>7</v>
      </c>
      <c r="X29" s="3">
        <f t="shared" si="5"/>
        <v>4</v>
      </c>
      <c r="Z29" s="3" t="str">
        <f t="shared" si="0"/>
        <v>Semana 27</v>
      </c>
      <c r="AA29" s="14">
        <f t="shared" si="1"/>
        <v>49491</v>
      </c>
      <c r="AB29" s="14">
        <f t="shared" si="6"/>
        <v>49497</v>
      </c>
      <c r="AC29" s="8" t="str">
        <f t="shared" si="7"/>
        <v>Semana 27: de 01/jul/2035 a 07/jul/2035</v>
      </c>
      <c r="AD29" s="4">
        <f t="shared" si="2"/>
        <v>49491</v>
      </c>
      <c r="AE29" s="3">
        <f t="shared" si="10"/>
        <v>27</v>
      </c>
      <c r="AF29" s="1"/>
      <c r="AT29" s="3">
        <f t="shared" si="12"/>
        <v>27</v>
      </c>
      <c r="AU29" s="3">
        <f>COUNTIF('Gráfico Controle de Resultados'!X:X,Auxiliar!AT29)</f>
        <v>0</v>
      </c>
      <c r="AV29" s="3">
        <f t="shared" si="13"/>
        <v>11</v>
      </c>
    </row>
    <row r="30" spans="11:48" x14ac:dyDescent="0.35">
      <c r="K30" s="3">
        <f t="shared" si="9"/>
        <v>2052</v>
      </c>
      <c r="S30" s="3">
        <f t="shared" si="3"/>
        <v>5</v>
      </c>
      <c r="T30" s="7">
        <f>DATE('Gráfico Controle de Resultados'!$C$9,Auxiliar!U30,Auxiliar!V30)</f>
        <v>49337</v>
      </c>
      <c r="U30" s="3">
        <v>1</v>
      </c>
      <c r="V30" s="3">
        <v>28</v>
      </c>
      <c r="W30" s="22">
        <f t="shared" si="4"/>
        <v>1</v>
      </c>
      <c r="X30" s="3">
        <f t="shared" si="5"/>
        <v>5</v>
      </c>
      <c r="Z30" s="3" t="str">
        <f t="shared" si="0"/>
        <v>Semana 28</v>
      </c>
      <c r="AA30" s="14">
        <f t="shared" si="1"/>
        <v>49498</v>
      </c>
      <c r="AB30" s="14">
        <f t="shared" si="6"/>
        <v>49504</v>
      </c>
      <c r="AC30" s="8" t="str">
        <f t="shared" si="7"/>
        <v>Semana 28: de 08/jul/2035 a 14/jul/2035</v>
      </c>
      <c r="AD30" s="4">
        <f t="shared" si="2"/>
        <v>49491</v>
      </c>
      <c r="AE30" s="3">
        <f t="shared" si="10"/>
        <v>28</v>
      </c>
      <c r="AF30" s="1"/>
      <c r="AT30" s="3">
        <f t="shared" si="12"/>
        <v>28</v>
      </c>
      <c r="AU30" s="3">
        <f>COUNTIF('Gráfico Controle de Resultados'!X:X,Auxiliar!AT30)</f>
        <v>0</v>
      </c>
      <c r="AV30" s="3">
        <f t="shared" si="13"/>
        <v>11</v>
      </c>
    </row>
    <row r="31" spans="11:48" x14ac:dyDescent="0.35">
      <c r="K31" s="3">
        <f t="shared" si="9"/>
        <v>2053</v>
      </c>
      <c r="S31" s="3">
        <f t="shared" si="3"/>
        <v>5</v>
      </c>
      <c r="T31" s="7">
        <f>DATE('Gráfico Controle de Resultados'!$C$9,Auxiliar!U31,Auxiliar!V31)</f>
        <v>49338</v>
      </c>
      <c r="U31" s="3">
        <v>1</v>
      </c>
      <c r="V31" s="3">
        <v>29</v>
      </c>
      <c r="W31" s="22">
        <f t="shared" si="4"/>
        <v>2</v>
      </c>
      <c r="X31" s="3">
        <f t="shared" si="5"/>
        <v>5</v>
      </c>
      <c r="Z31" s="3" t="str">
        <f t="shared" si="0"/>
        <v>Semana 29</v>
      </c>
      <c r="AA31" s="14">
        <f t="shared" si="1"/>
        <v>49505</v>
      </c>
      <c r="AB31" s="14">
        <f t="shared" si="6"/>
        <v>49511</v>
      </c>
      <c r="AC31" s="8" t="str">
        <f t="shared" si="7"/>
        <v>Semana 29: de 15/jul/2035 a 21/jul/2035</v>
      </c>
      <c r="AD31" s="4">
        <f t="shared" si="2"/>
        <v>49491</v>
      </c>
      <c r="AE31" s="3">
        <f t="shared" si="10"/>
        <v>29</v>
      </c>
      <c r="AF31" s="1"/>
      <c r="AT31" s="3">
        <f t="shared" si="12"/>
        <v>29</v>
      </c>
      <c r="AU31" s="3">
        <f>COUNTIF('Gráfico Controle de Resultados'!X:X,Auxiliar!AT31)</f>
        <v>0</v>
      </c>
      <c r="AV31" s="3">
        <f t="shared" si="13"/>
        <v>11</v>
      </c>
    </row>
    <row r="32" spans="11:48" x14ac:dyDescent="0.35">
      <c r="K32" s="3">
        <f t="shared" si="9"/>
        <v>2054</v>
      </c>
      <c r="S32" s="3">
        <f t="shared" si="3"/>
        <v>5</v>
      </c>
      <c r="T32" s="7">
        <f>DATE('Gráfico Controle de Resultados'!$C$9,Auxiliar!U32,Auxiliar!V32)</f>
        <v>49339</v>
      </c>
      <c r="U32" s="3">
        <v>1</v>
      </c>
      <c r="V32" s="3">
        <v>30</v>
      </c>
      <c r="W32" s="22">
        <f t="shared" si="4"/>
        <v>3</v>
      </c>
      <c r="X32" s="3">
        <f t="shared" si="5"/>
        <v>5</v>
      </c>
      <c r="Z32" s="3" t="str">
        <f t="shared" si="0"/>
        <v>Semana 30</v>
      </c>
      <c r="AA32" s="14">
        <f t="shared" si="1"/>
        <v>49512</v>
      </c>
      <c r="AB32" s="14">
        <f t="shared" si="6"/>
        <v>49518</v>
      </c>
      <c r="AC32" s="8" t="str">
        <f t="shared" si="7"/>
        <v>Semana 30: de 22/jul/2035 a 28/jul/2035</v>
      </c>
      <c r="AD32" s="4">
        <f t="shared" si="2"/>
        <v>49491</v>
      </c>
      <c r="AE32" s="3">
        <f t="shared" si="10"/>
        <v>30</v>
      </c>
      <c r="AF32" s="1"/>
      <c r="AT32" s="3">
        <f t="shared" si="12"/>
        <v>30</v>
      </c>
      <c r="AU32" s="3">
        <f>COUNTIF('Gráfico Controle de Resultados'!X:X,Auxiliar!AT32)</f>
        <v>0</v>
      </c>
      <c r="AV32" s="3">
        <f t="shared" si="13"/>
        <v>11</v>
      </c>
    </row>
    <row r="33" spans="11:48" x14ac:dyDescent="0.35">
      <c r="K33" s="3">
        <f t="shared" si="9"/>
        <v>2055</v>
      </c>
      <c r="S33" s="3">
        <f t="shared" si="3"/>
        <v>5</v>
      </c>
      <c r="T33" s="7">
        <f>DATE('Gráfico Controle de Resultados'!$C$9,Auxiliar!U33,Auxiliar!V33)</f>
        <v>49340</v>
      </c>
      <c r="U33" s="3">
        <v>1</v>
      </c>
      <c r="V33" s="3">
        <v>31</v>
      </c>
      <c r="W33" s="22">
        <f t="shared" si="4"/>
        <v>4</v>
      </c>
      <c r="X33" s="3">
        <f t="shared" si="5"/>
        <v>5</v>
      </c>
      <c r="Z33" s="3" t="str">
        <f t="shared" si="0"/>
        <v>Semana 31</v>
      </c>
      <c r="AA33" s="14">
        <f t="shared" si="1"/>
        <v>49519</v>
      </c>
      <c r="AB33" s="14">
        <f t="shared" si="6"/>
        <v>49525</v>
      </c>
      <c r="AC33" s="8" t="str">
        <f t="shared" si="7"/>
        <v>Semana 31: de 29/jul/2035 a 04/ago/2035</v>
      </c>
      <c r="AD33" s="4">
        <f t="shared" si="2"/>
        <v>49491</v>
      </c>
      <c r="AE33" s="3">
        <f t="shared" si="10"/>
        <v>31</v>
      </c>
      <c r="AF33" s="1"/>
      <c r="AT33" s="3">
        <f t="shared" si="12"/>
        <v>31</v>
      </c>
      <c r="AU33" s="3">
        <f>COUNTIF('Gráfico Controle de Resultados'!X:X,Auxiliar!AT33)</f>
        <v>0</v>
      </c>
      <c r="AV33" s="3">
        <f t="shared" si="13"/>
        <v>11</v>
      </c>
    </row>
    <row r="34" spans="11:48" x14ac:dyDescent="0.35">
      <c r="K34" s="3">
        <f t="shared" si="9"/>
        <v>2056</v>
      </c>
      <c r="S34" s="3">
        <f t="shared" si="3"/>
        <v>5</v>
      </c>
      <c r="T34" s="7">
        <f>DATE('Gráfico Controle de Resultados'!$C$9,Auxiliar!U34,Auxiliar!V34)</f>
        <v>49341</v>
      </c>
      <c r="U34" s="3">
        <v>2</v>
      </c>
      <c r="V34" s="3">
        <v>1</v>
      </c>
      <c r="W34" s="22">
        <f t="shared" si="4"/>
        <v>5</v>
      </c>
      <c r="X34" s="3">
        <f t="shared" si="5"/>
        <v>5</v>
      </c>
      <c r="Z34" s="3" t="str">
        <f t="shared" si="0"/>
        <v>Semana 32</v>
      </c>
      <c r="AA34" s="14">
        <f t="shared" si="1"/>
        <v>49526</v>
      </c>
      <c r="AB34" s="14">
        <f t="shared" si="6"/>
        <v>49532</v>
      </c>
      <c r="AC34" s="8" t="str">
        <f t="shared" si="7"/>
        <v>Semana 32: de 05/ago/2035 a 11/ago/2035</v>
      </c>
      <c r="AD34" s="4">
        <f t="shared" si="2"/>
        <v>49522</v>
      </c>
      <c r="AE34" s="3">
        <f t="shared" si="10"/>
        <v>32</v>
      </c>
      <c r="AF34" s="1"/>
      <c r="AT34" s="3">
        <f t="shared" si="12"/>
        <v>32</v>
      </c>
      <c r="AU34" s="3">
        <f>COUNTIF('Gráfico Controle de Resultados'!X:X,Auxiliar!AT34)</f>
        <v>0</v>
      </c>
      <c r="AV34" s="3">
        <f t="shared" si="13"/>
        <v>11</v>
      </c>
    </row>
    <row r="35" spans="11:48" x14ac:dyDescent="0.35">
      <c r="K35" s="3">
        <f t="shared" si="9"/>
        <v>2057</v>
      </c>
      <c r="S35" s="3">
        <f t="shared" si="3"/>
        <v>5</v>
      </c>
      <c r="T35" s="7">
        <f>DATE('Gráfico Controle de Resultados'!$C$9,Auxiliar!U35,Auxiliar!V35)</f>
        <v>49342</v>
      </c>
      <c r="U35" s="3">
        <v>2</v>
      </c>
      <c r="V35" s="3">
        <v>2</v>
      </c>
      <c r="W35" s="22">
        <f t="shared" si="4"/>
        <v>6</v>
      </c>
      <c r="X35" s="3">
        <f t="shared" si="5"/>
        <v>5</v>
      </c>
      <c r="Z35" s="3" t="str">
        <f t="shared" ref="Z35:Z55" si="14">"Semana "&amp;AE35</f>
        <v>Semana 33</v>
      </c>
      <c r="AA35" s="14">
        <f t="shared" ref="AA35:AA55" si="15">VLOOKUP(AE35,$S$3:$T$367,2,FALSE)</f>
        <v>49533</v>
      </c>
      <c r="AB35" s="14">
        <f t="shared" si="6"/>
        <v>49539</v>
      </c>
      <c r="AC35" s="8" t="str">
        <f t="shared" si="7"/>
        <v>Semana 33: de 12/ago/2035 a 18/ago/2035</v>
      </c>
      <c r="AD35" s="4">
        <f t="shared" ref="AD35:AD55" si="16">VLOOKUP(MONTH(AA35),$AL$3:$AM$14,2,FALSE)</f>
        <v>49522</v>
      </c>
      <c r="AE35" s="3">
        <f t="shared" si="10"/>
        <v>33</v>
      </c>
      <c r="AF35" s="1"/>
      <c r="AT35" s="3">
        <f t="shared" si="12"/>
        <v>33</v>
      </c>
      <c r="AU35" s="3">
        <f>COUNTIF('Gráfico Controle de Resultados'!X:X,Auxiliar!AT35)</f>
        <v>0</v>
      </c>
      <c r="AV35" s="3">
        <f t="shared" si="13"/>
        <v>11</v>
      </c>
    </row>
    <row r="36" spans="11:48" x14ac:dyDescent="0.35">
      <c r="K36" s="3">
        <f t="shared" si="9"/>
        <v>2058</v>
      </c>
      <c r="S36" s="3">
        <f t="shared" si="3"/>
        <v>5</v>
      </c>
      <c r="T36" s="7">
        <f>DATE('Gráfico Controle de Resultados'!$C$9,Auxiliar!U36,Auxiliar!V36)</f>
        <v>49343</v>
      </c>
      <c r="U36" s="3">
        <v>2</v>
      </c>
      <c r="V36" s="3">
        <v>3</v>
      </c>
      <c r="W36" s="22">
        <f t="shared" si="4"/>
        <v>7</v>
      </c>
      <c r="X36" s="3">
        <f t="shared" si="5"/>
        <v>5</v>
      </c>
      <c r="Z36" s="3" t="str">
        <f t="shared" si="14"/>
        <v>Semana 34</v>
      </c>
      <c r="AA36" s="14">
        <f t="shared" si="15"/>
        <v>49540</v>
      </c>
      <c r="AB36" s="14">
        <f t="shared" si="6"/>
        <v>49546</v>
      </c>
      <c r="AC36" s="8" t="str">
        <f t="shared" si="7"/>
        <v>Semana 34: de 19/ago/2035 a 25/ago/2035</v>
      </c>
      <c r="AD36" s="4">
        <f t="shared" si="16"/>
        <v>49522</v>
      </c>
      <c r="AE36" s="3">
        <f t="shared" si="10"/>
        <v>34</v>
      </c>
      <c r="AF36" s="1"/>
      <c r="AT36" s="3">
        <f t="shared" si="12"/>
        <v>34</v>
      </c>
      <c r="AU36" s="3">
        <f>COUNTIF('Gráfico Controle de Resultados'!X:X,Auxiliar!AT36)</f>
        <v>0</v>
      </c>
      <c r="AV36" s="3">
        <f t="shared" si="13"/>
        <v>11</v>
      </c>
    </row>
    <row r="37" spans="11:48" x14ac:dyDescent="0.35">
      <c r="K37" s="3">
        <f t="shared" si="9"/>
        <v>2059</v>
      </c>
      <c r="S37" s="3">
        <f t="shared" si="3"/>
        <v>6</v>
      </c>
      <c r="T37" s="7">
        <f>DATE('Gráfico Controle de Resultados'!$C$9,Auxiliar!U37,Auxiliar!V37)</f>
        <v>49344</v>
      </c>
      <c r="U37" s="3">
        <v>2</v>
      </c>
      <c r="V37" s="3">
        <v>4</v>
      </c>
      <c r="W37" s="22">
        <f t="shared" si="4"/>
        <v>1</v>
      </c>
      <c r="X37" s="3">
        <f t="shared" si="5"/>
        <v>6</v>
      </c>
      <c r="Z37" s="3" t="str">
        <f t="shared" si="14"/>
        <v>Semana 35</v>
      </c>
      <c r="AA37" s="14">
        <f t="shared" si="15"/>
        <v>49547</v>
      </c>
      <c r="AB37" s="14">
        <f t="shared" si="6"/>
        <v>49553</v>
      </c>
      <c r="AC37" s="8" t="str">
        <f t="shared" si="7"/>
        <v>Semana 35: de 26/ago/2035 a 01/set/2035</v>
      </c>
      <c r="AD37" s="4">
        <f t="shared" si="16"/>
        <v>49522</v>
      </c>
      <c r="AE37" s="3">
        <f t="shared" si="10"/>
        <v>35</v>
      </c>
      <c r="AF37" s="1"/>
      <c r="AT37" s="3">
        <f t="shared" si="12"/>
        <v>35</v>
      </c>
      <c r="AU37" s="3">
        <f>COUNTIF('Gráfico Controle de Resultados'!X:X,Auxiliar!AT37)</f>
        <v>0</v>
      </c>
      <c r="AV37" s="3">
        <f t="shared" si="13"/>
        <v>11</v>
      </c>
    </row>
    <row r="38" spans="11:48" x14ac:dyDescent="0.35">
      <c r="K38" s="3">
        <f t="shared" si="9"/>
        <v>2060</v>
      </c>
      <c r="S38" s="3">
        <f t="shared" si="3"/>
        <v>6</v>
      </c>
      <c r="T38" s="7">
        <f>DATE('Gráfico Controle de Resultados'!$C$9,Auxiliar!U38,Auxiliar!V38)</f>
        <v>49345</v>
      </c>
      <c r="U38" s="3">
        <v>2</v>
      </c>
      <c r="V38" s="3">
        <v>5</v>
      </c>
      <c r="W38" s="22">
        <f t="shared" si="4"/>
        <v>2</v>
      </c>
      <c r="X38" s="3">
        <f t="shared" si="5"/>
        <v>6</v>
      </c>
      <c r="Z38" s="3" t="str">
        <f t="shared" si="14"/>
        <v>Semana 36</v>
      </c>
      <c r="AA38" s="14">
        <f t="shared" si="15"/>
        <v>49554</v>
      </c>
      <c r="AB38" s="14">
        <f t="shared" si="6"/>
        <v>49560</v>
      </c>
      <c r="AC38" s="8" t="str">
        <f t="shared" si="7"/>
        <v>Semana 36: de 02/set/2035 a 08/set/2035</v>
      </c>
      <c r="AD38" s="4">
        <f t="shared" si="16"/>
        <v>49553</v>
      </c>
      <c r="AE38" s="3">
        <f t="shared" si="10"/>
        <v>36</v>
      </c>
      <c r="AF38" s="1"/>
      <c r="AT38" s="3">
        <f t="shared" si="12"/>
        <v>36</v>
      </c>
      <c r="AU38" s="3">
        <f>COUNTIF('Gráfico Controle de Resultados'!X:X,Auxiliar!AT38)</f>
        <v>0</v>
      </c>
      <c r="AV38" s="3">
        <f t="shared" si="13"/>
        <v>11</v>
      </c>
    </row>
    <row r="39" spans="11:48" x14ac:dyDescent="0.35">
      <c r="K39" s="1"/>
      <c r="S39" s="3">
        <f t="shared" si="3"/>
        <v>6</v>
      </c>
      <c r="T39" s="7">
        <f>DATE('Gráfico Controle de Resultados'!$C$9,Auxiliar!U39,Auxiliar!V39)</f>
        <v>49346</v>
      </c>
      <c r="U39" s="3">
        <v>2</v>
      </c>
      <c r="V39" s="3">
        <v>6</v>
      </c>
      <c r="W39" s="22">
        <f t="shared" si="4"/>
        <v>3</v>
      </c>
      <c r="X39" s="3">
        <f t="shared" si="5"/>
        <v>6</v>
      </c>
      <c r="Z39" s="3" t="str">
        <f t="shared" si="14"/>
        <v>Semana 37</v>
      </c>
      <c r="AA39" s="14">
        <f t="shared" si="15"/>
        <v>49561</v>
      </c>
      <c r="AB39" s="14">
        <f t="shared" si="6"/>
        <v>49567</v>
      </c>
      <c r="AC39" s="8" t="str">
        <f t="shared" si="7"/>
        <v>Semana 37: de 09/set/2035 a 15/set/2035</v>
      </c>
      <c r="AD39" s="4">
        <f t="shared" si="16"/>
        <v>49553</v>
      </c>
      <c r="AE39" s="3">
        <f t="shared" si="10"/>
        <v>37</v>
      </c>
      <c r="AF39" s="1"/>
      <c r="AT39" s="3">
        <f t="shared" si="12"/>
        <v>37</v>
      </c>
      <c r="AU39" s="3">
        <f>COUNTIF('Gráfico Controle de Resultados'!X:X,Auxiliar!AT39)</f>
        <v>0</v>
      </c>
      <c r="AV39" s="3">
        <f t="shared" si="13"/>
        <v>11</v>
      </c>
    </row>
    <row r="40" spans="11:48" x14ac:dyDescent="0.35">
      <c r="K40" s="1"/>
      <c r="S40" s="3">
        <f t="shared" si="3"/>
        <v>6</v>
      </c>
      <c r="T40" s="7">
        <f>DATE('Gráfico Controle de Resultados'!$C$9,Auxiliar!U40,Auxiliar!V40)</f>
        <v>49347</v>
      </c>
      <c r="U40" s="3">
        <v>2</v>
      </c>
      <c r="V40" s="3">
        <v>7</v>
      </c>
      <c r="W40" s="22">
        <f t="shared" si="4"/>
        <v>4</v>
      </c>
      <c r="X40" s="3">
        <f t="shared" si="5"/>
        <v>6</v>
      </c>
      <c r="Z40" s="3" t="str">
        <f t="shared" si="14"/>
        <v>Semana 38</v>
      </c>
      <c r="AA40" s="14">
        <f t="shared" si="15"/>
        <v>49568</v>
      </c>
      <c r="AB40" s="14">
        <f t="shared" si="6"/>
        <v>49574</v>
      </c>
      <c r="AC40" s="8" t="str">
        <f t="shared" si="7"/>
        <v>Semana 38: de 16/set/2035 a 22/set/2035</v>
      </c>
      <c r="AD40" s="4">
        <f t="shared" si="16"/>
        <v>49553</v>
      </c>
      <c r="AE40" s="3">
        <f t="shared" si="10"/>
        <v>38</v>
      </c>
      <c r="AF40" s="1"/>
      <c r="AT40" s="3">
        <f t="shared" si="12"/>
        <v>38</v>
      </c>
      <c r="AU40" s="3">
        <f>COUNTIF('Gráfico Controle de Resultados'!X:X,Auxiliar!AT40)</f>
        <v>0</v>
      </c>
      <c r="AV40" s="3">
        <f t="shared" si="13"/>
        <v>11</v>
      </c>
    </row>
    <row r="41" spans="11:48" x14ac:dyDescent="0.35">
      <c r="K41" s="1"/>
      <c r="S41" s="3">
        <f t="shared" si="3"/>
        <v>6</v>
      </c>
      <c r="T41" s="7">
        <f>DATE('Gráfico Controle de Resultados'!$C$9,Auxiliar!U41,Auxiliar!V41)</f>
        <v>49348</v>
      </c>
      <c r="U41" s="3">
        <v>2</v>
      </c>
      <c r="V41" s="3">
        <v>8</v>
      </c>
      <c r="W41" s="22">
        <f t="shared" si="4"/>
        <v>5</v>
      </c>
      <c r="X41" s="3">
        <f t="shared" si="5"/>
        <v>6</v>
      </c>
      <c r="Z41" s="3" t="str">
        <f t="shared" si="14"/>
        <v>Semana 39</v>
      </c>
      <c r="AA41" s="14">
        <f t="shared" si="15"/>
        <v>49575</v>
      </c>
      <c r="AB41" s="14">
        <f t="shared" si="6"/>
        <v>49581</v>
      </c>
      <c r="AC41" s="8" t="str">
        <f t="shared" si="7"/>
        <v>Semana 39: de 23/set/2035 a 29/set/2035</v>
      </c>
      <c r="AD41" s="4">
        <f t="shared" si="16"/>
        <v>49553</v>
      </c>
      <c r="AE41" s="3">
        <f t="shared" si="10"/>
        <v>39</v>
      </c>
      <c r="AF41" s="1"/>
      <c r="AT41" s="3">
        <f t="shared" si="12"/>
        <v>39</v>
      </c>
      <c r="AU41" s="3">
        <f>COUNTIF('Gráfico Controle de Resultados'!X:X,Auxiliar!AT41)</f>
        <v>0</v>
      </c>
      <c r="AV41" s="3">
        <f t="shared" si="13"/>
        <v>11</v>
      </c>
    </row>
    <row r="42" spans="11:48" x14ac:dyDescent="0.35">
      <c r="K42" s="1"/>
      <c r="S42" s="3">
        <f t="shared" si="3"/>
        <v>6</v>
      </c>
      <c r="T42" s="7">
        <f>DATE('Gráfico Controle de Resultados'!$C$9,Auxiliar!U42,Auxiliar!V42)</f>
        <v>49349</v>
      </c>
      <c r="U42" s="3">
        <v>2</v>
      </c>
      <c r="V42" s="3">
        <v>9</v>
      </c>
      <c r="W42" s="22">
        <f t="shared" si="4"/>
        <v>6</v>
      </c>
      <c r="X42" s="3">
        <f t="shared" si="5"/>
        <v>6</v>
      </c>
      <c r="Z42" s="3" t="str">
        <f t="shared" si="14"/>
        <v>Semana 40</v>
      </c>
      <c r="AA42" s="14">
        <f t="shared" si="15"/>
        <v>49582</v>
      </c>
      <c r="AB42" s="14">
        <f t="shared" si="6"/>
        <v>49588</v>
      </c>
      <c r="AC42" s="8" t="str">
        <f t="shared" si="7"/>
        <v>Semana 40: de 30/set/2035 a 06/out/2035</v>
      </c>
      <c r="AD42" s="4">
        <f t="shared" si="16"/>
        <v>49553</v>
      </c>
      <c r="AE42" s="3">
        <f t="shared" si="10"/>
        <v>40</v>
      </c>
      <c r="AF42" s="1"/>
      <c r="AT42" s="3">
        <f t="shared" si="12"/>
        <v>40</v>
      </c>
      <c r="AU42" s="3">
        <f>COUNTIF('Gráfico Controle de Resultados'!X:X,Auxiliar!AT42)</f>
        <v>0</v>
      </c>
      <c r="AV42" s="3">
        <f t="shared" si="13"/>
        <v>11</v>
      </c>
    </row>
    <row r="43" spans="11:48" x14ac:dyDescent="0.35">
      <c r="K43" s="1"/>
      <c r="S43" s="3">
        <f t="shared" si="3"/>
        <v>6</v>
      </c>
      <c r="T43" s="7">
        <f>DATE('Gráfico Controle de Resultados'!$C$9,Auxiliar!U43,Auxiliar!V43)</f>
        <v>49350</v>
      </c>
      <c r="U43" s="3">
        <v>2</v>
      </c>
      <c r="V43" s="3">
        <v>10</v>
      </c>
      <c r="W43" s="22">
        <f t="shared" si="4"/>
        <v>7</v>
      </c>
      <c r="X43" s="3">
        <f t="shared" si="5"/>
        <v>6</v>
      </c>
      <c r="Z43" s="3" t="str">
        <f t="shared" si="14"/>
        <v>Semana 41</v>
      </c>
      <c r="AA43" s="14">
        <f t="shared" si="15"/>
        <v>49589</v>
      </c>
      <c r="AB43" s="14">
        <f t="shared" si="6"/>
        <v>49595</v>
      </c>
      <c r="AC43" s="8" t="str">
        <f t="shared" si="7"/>
        <v>Semana 41: de 07/out/2035 a 13/out/2035</v>
      </c>
      <c r="AD43" s="4">
        <f t="shared" si="16"/>
        <v>49583</v>
      </c>
      <c r="AE43" s="3">
        <f t="shared" si="10"/>
        <v>41</v>
      </c>
      <c r="AF43" s="1"/>
      <c r="AT43" s="3">
        <f t="shared" si="12"/>
        <v>41</v>
      </c>
      <c r="AU43" s="3">
        <f>COUNTIF('Gráfico Controle de Resultados'!X:X,Auxiliar!AT43)</f>
        <v>0</v>
      </c>
      <c r="AV43" s="3">
        <f t="shared" si="13"/>
        <v>11</v>
      </c>
    </row>
    <row r="44" spans="11:48" x14ac:dyDescent="0.35">
      <c r="K44" s="1"/>
      <c r="S44" s="3">
        <f t="shared" si="3"/>
        <v>7</v>
      </c>
      <c r="T44" s="7">
        <f>DATE('Gráfico Controle de Resultados'!$C$9,Auxiliar!U44,Auxiliar!V44)</f>
        <v>49351</v>
      </c>
      <c r="U44" s="3">
        <v>2</v>
      </c>
      <c r="V44" s="3">
        <v>11</v>
      </c>
      <c r="W44" s="22">
        <f t="shared" si="4"/>
        <v>1</v>
      </c>
      <c r="X44" s="3">
        <f t="shared" si="5"/>
        <v>7</v>
      </c>
      <c r="Z44" s="3" t="str">
        <f t="shared" si="14"/>
        <v>Semana 42</v>
      </c>
      <c r="AA44" s="14">
        <f t="shared" si="15"/>
        <v>49596</v>
      </c>
      <c r="AB44" s="14">
        <f t="shared" si="6"/>
        <v>49602</v>
      </c>
      <c r="AC44" s="8" t="str">
        <f t="shared" si="7"/>
        <v>Semana 42: de 14/out/2035 a 20/out/2035</v>
      </c>
      <c r="AD44" s="4">
        <f t="shared" si="16"/>
        <v>49583</v>
      </c>
      <c r="AE44" s="3">
        <f t="shared" si="10"/>
        <v>42</v>
      </c>
      <c r="AF44" s="1"/>
      <c r="AT44" s="3">
        <f t="shared" si="12"/>
        <v>42</v>
      </c>
      <c r="AU44" s="3">
        <f>COUNTIF('Gráfico Controle de Resultados'!X:X,Auxiliar!AT44)</f>
        <v>0</v>
      </c>
      <c r="AV44" s="3">
        <f t="shared" si="13"/>
        <v>11</v>
      </c>
    </row>
    <row r="45" spans="11:48" x14ac:dyDescent="0.35">
      <c r="K45" s="1"/>
      <c r="S45" s="3">
        <f t="shared" si="3"/>
        <v>7</v>
      </c>
      <c r="T45" s="7">
        <f>DATE('Gráfico Controle de Resultados'!$C$9,Auxiliar!U45,Auxiliar!V45)</f>
        <v>49352</v>
      </c>
      <c r="U45" s="3">
        <v>2</v>
      </c>
      <c r="V45" s="3">
        <v>12</v>
      </c>
      <c r="W45" s="22">
        <f t="shared" si="4"/>
        <v>2</v>
      </c>
      <c r="X45" s="3">
        <f t="shared" si="5"/>
        <v>7</v>
      </c>
      <c r="Z45" s="3" t="str">
        <f t="shared" si="14"/>
        <v>Semana 43</v>
      </c>
      <c r="AA45" s="14">
        <f t="shared" si="15"/>
        <v>49603</v>
      </c>
      <c r="AB45" s="14">
        <f t="shared" si="6"/>
        <v>49609</v>
      </c>
      <c r="AC45" s="8" t="str">
        <f t="shared" si="7"/>
        <v>Semana 43: de 21/out/2035 a 27/out/2035</v>
      </c>
      <c r="AD45" s="4">
        <f t="shared" si="16"/>
        <v>49583</v>
      </c>
      <c r="AE45" s="3">
        <f t="shared" si="10"/>
        <v>43</v>
      </c>
      <c r="AF45" s="1"/>
      <c r="AT45" s="3">
        <f t="shared" si="12"/>
        <v>43</v>
      </c>
      <c r="AU45" s="3">
        <f>COUNTIF('Gráfico Controle de Resultados'!X:X,Auxiliar!AT45)</f>
        <v>0</v>
      </c>
      <c r="AV45" s="3">
        <f t="shared" si="13"/>
        <v>11</v>
      </c>
    </row>
    <row r="46" spans="11:48" x14ac:dyDescent="0.35">
      <c r="K46" s="1"/>
      <c r="S46" s="3">
        <f t="shared" si="3"/>
        <v>7</v>
      </c>
      <c r="T46" s="7">
        <f>DATE('Gráfico Controle de Resultados'!$C$9,Auxiliar!U46,Auxiliar!V46)</f>
        <v>49353</v>
      </c>
      <c r="U46" s="3">
        <v>2</v>
      </c>
      <c r="V46" s="3">
        <v>13</v>
      </c>
      <c r="W46" s="22">
        <f t="shared" si="4"/>
        <v>3</v>
      </c>
      <c r="X46" s="3">
        <f t="shared" si="5"/>
        <v>7</v>
      </c>
      <c r="Z46" s="3" t="str">
        <f t="shared" si="14"/>
        <v>Semana 44</v>
      </c>
      <c r="AA46" s="14">
        <f t="shared" si="15"/>
        <v>49610</v>
      </c>
      <c r="AB46" s="14">
        <f t="shared" si="6"/>
        <v>49616</v>
      </c>
      <c r="AC46" s="8" t="str">
        <f t="shared" si="7"/>
        <v>Semana 44: de 28/out/2035 a 03/nov/2035</v>
      </c>
      <c r="AD46" s="4">
        <f t="shared" si="16"/>
        <v>49583</v>
      </c>
      <c r="AE46" s="3">
        <f t="shared" si="10"/>
        <v>44</v>
      </c>
      <c r="AF46" s="1"/>
      <c r="AT46" s="3">
        <f t="shared" si="12"/>
        <v>44</v>
      </c>
      <c r="AU46" s="3">
        <f>COUNTIF('Gráfico Controle de Resultados'!X:X,Auxiliar!AT46)</f>
        <v>0</v>
      </c>
      <c r="AV46" s="3">
        <f t="shared" si="13"/>
        <v>11</v>
      </c>
    </row>
    <row r="47" spans="11:48" x14ac:dyDescent="0.35">
      <c r="K47" s="1"/>
      <c r="S47" s="3">
        <f t="shared" si="3"/>
        <v>7</v>
      </c>
      <c r="T47" s="7">
        <f>DATE('Gráfico Controle de Resultados'!$C$9,Auxiliar!U47,Auxiliar!V47)</f>
        <v>49354</v>
      </c>
      <c r="U47" s="3">
        <v>2</v>
      </c>
      <c r="V47" s="3">
        <v>14</v>
      </c>
      <c r="W47" s="22">
        <f t="shared" si="4"/>
        <v>4</v>
      </c>
      <c r="X47" s="3">
        <f t="shared" si="5"/>
        <v>7</v>
      </c>
      <c r="Z47" s="3" t="str">
        <f t="shared" si="14"/>
        <v>Semana 45</v>
      </c>
      <c r="AA47" s="14">
        <f t="shared" si="15"/>
        <v>49617</v>
      </c>
      <c r="AB47" s="14">
        <f t="shared" si="6"/>
        <v>49623</v>
      </c>
      <c r="AC47" s="8" t="str">
        <f t="shared" si="7"/>
        <v>Semana 45: de 04/nov/2035 a 10/nov/2035</v>
      </c>
      <c r="AD47" s="4">
        <f t="shared" si="16"/>
        <v>49614</v>
      </c>
      <c r="AE47" s="3">
        <f t="shared" si="10"/>
        <v>45</v>
      </c>
      <c r="AF47" s="1"/>
      <c r="AT47" s="3">
        <f t="shared" si="12"/>
        <v>45</v>
      </c>
      <c r="AU47" s="3">
        <f>COUNTIF('Gráfico Controle de Resultados'!X:X,Auxiliar!AT47)</f>
        <v>0</v>
      </c>
      <c r="AV47" s="3">
        <f t="shared" si="13"/>
        <v>11</v>
      </c>
    </row>
    <row r="48" spans="11:48" x14ac:dyDescent="0.35">
      <c r="K48" s="1"/>
      <c r="S48" s="3">
        <f t="shared" si="3"/>
        <v>7</v>
      </c>
      <c r="T48" s="7">
        <f>DATE('Gráfico Controle de Resultados'!$C$9,Auxiliar!U48,Auxiliar!V48)</f>
        <v>49355</v>
      </c>
      <c r="U48" s="3">
        <v>2</v>
      </c>
      <c r="V48" s="3">
        <v>15</v>
      </c>
      <c r="W48" s="22">
        <f t="shared" si="4"/>
        <v>5</v>
      </c>
      <c r="X48" s="3">
        <f t="shared" si="5"/>
        <v>7</v>
      </c>
      <c r="Z48" s="3" t="str">
        <f t="shared" si="14"/>
        <v>Semana 46</v>
      </c>
      <c r="AA48" s="14">
        <f t="shared" si="15"/>
        <v>49624</v>
      </c>
      <c r="AB48" s="14">
        <f t="shared" si="6"/>
        <v>49630</v>
      </c>
      <c r="AC48" s="8" t="str">
        <f t="shared" si="7"/>
        <v>Semana 46: de 11/nov/2035 a 17/nov/2035</v>
      </c>
      <c r="AD48" s="4">
        <f t="shared" si="16"/>
        <v>49614</v>
      </c>
      <c r="AE48" s="3">
        <f t="shared" si="10"/>
        <v>46</v>
      </c>
      <c r="AF48" s="1"/>
      <c r="AT48" s="3">
        <f t="shared" si="12"/>
        <v>46</v>
      </c>
      <c r="AU48" s="3">
        <f>COUNTIF('Gráfico Controle de Resultados'!X:X,Auxiliar!AT48)</f>
        <v>0</v>
      </c>
      <c r="AV48" s="3">
        <f t="shared" si="13"/>
        <v>11</v>
      </c>
    </row>
    <row r="49" spans="11:48" x14ac:dyDescent="0.35">
      <c r="K49" s="1"/>
      <c r="S49" s="3">
        <f t="shared" si="3"/>
        <v>7</v>
      </c>
      <c r="T49" s="7">
        <f>DATE('Gráfico Controle de Resultados'!$C$9,Auxiliar!U49,Auxiliar!V49)</f>
        <v>49356</v>
      </c>
      <c r="U49" s="3">
        <v>2</v>
      </c>
      <c r="V49" s="3">
        <v>16</v>
      </c>
      <c r="W49" s="22">
        <f t="shared" si="4"/>
        <v>6</v>
      </c>
      <c r="X49" s="3">
        <f t="shared" si="5"/>
        <v>7</v>
      </c>
      <c r="Z49" s="3" t="str">
        <f t="shared" si="14"/>
        <v>Semana 47</v>
      </c>
      <c r="AA49" s="14">
        <f t="shared" si="15"/>
        <v>49631</v>
      </c>
      <c r="AB49" s="14">
        <f t="shared" si="6"/>
        <v>49637</v>
      </c>
      <c r="AC49" s="8" t="str">
        <f t="shared" si="7"/>
        <v>Semana 47: de 18/nov/2035 a 24/nov/2035</v>
      </c>
      <c r="AD49" s="4">
        <f t="shared" si="16"/>
        <v>49614</v>
      </c>
      <c r="AE49" s="3">
        <f t="shared" si="10"/>
        <v>47</v>
      </c>
      <c r="AF49" s="1"/>
      <c r="AT49" s="3">
        <f t="shared" si="12"/>
        <v>47</v>
      </c>
      <c r="AU49" s="3">
        <f>COUNTIF('Gráfico Controle de Resultados'!X:X,Auxiliar!AT49)</f>
        <v>0</v>
      </c>
      <c r="AV49" s="3">
        <f t="shared" si="13"/>
        <v>11</v>
      </c>
    </row>
    <row r="50" spans="11:48" x14ac:dyDescent="0.35">
      <c r="K50" s="1"/>
      <c r="S50" s="3">
        <f t="shared" si="3"/>
        <v>7</v>
      </c>
      <c r="T50" s="7">
        <f>DATE('Gráfico Controle de Resultados'!$C$9,Auxiliar!U50,Auxiliar!V50)</f>
        <v>49357</v>
      </c>
      <c r="U50" s="3">
        <v>2</v>
      </c>
      <c r="V50" s="3">
        <v>17</v>
      </c>
      <c r="W50" s="22">
        <f t="shared" si="4"/>
        <v>7</v>
      </c>
      <c r="X50" s="3">
        <f t="shared" si="5"/>
        <v>7</v>
      </c>
      <c r="Z50" s="3" t="str">
        <f t="shared" si="14"/>
        <v>Semana 48</v>
      </c>
      <c r="AA50" s="14">
        <f t="shared" si="15"/>
        <v>49638</v>
      </c>
      <c r="AB50" s="14">
        <f t="shared" si="6"/>
        <v>49644</v>
      </c>
      <c r="AC50" s="8" t="str">
        <f t="shared" si="7"/>
        <v>Semana 48: de 25/nov/2035 a 01/dez/2035</v>
      </c>
      <c r="AD50" s="4">
        <f t="shared" si="16"/>
        <v>49614</v>
      </c>
      <c r="AE50" s="3">
        <f t="shared" si="10"/>
        <v>48</v>
      </c>
      <c r="AF50" s="1"/>
      <c r="AT50" s="3">
        <f t="shared" si="12"/>
        <v>48</v>
      </c>
      <c r="AU50" s="3">
        <f>COUNTIF('Gráfico Controle de Resultados'!X:X,Auxiliar!AT50)</f>
        <v>0</v>
      </c>
      <c r="AV50" s="3">
        <f t="shared" si="13"/>
        <v>11</v>
      </c>
    </row>
    <row r="51" spans="11:48" x14ac:dyDescent="0.35">
      <c r="K51" s="1"/>
      <c r="S51" s="3">
        <f t="shared" si="3"/>
        <v>8</v>
      </c>
      <c r="T51" s="7">
        <f>DATE('Gráfico Controle de Resultados'!$C$9,Auxiliar!U51,Auxiliar!V51)</f>
        <v>49358</v>
      </c>
      <c r="U51" s="3">
        <v>2</v>
      </c>
      <c r="V51" s="3">
        <v>18</v>
      </c>
      <c r="W51" s="22">
        <f t="shared" si="4"/>
        <v>1</v>
      </c>
      <c r="X51" s="3">
        <f t="shared" si="5"/>
        <v>8</v>
      </c>
      <c r="Z51" s="3" t="str">
        <f t="shared" si="14"/>
        <v>Semana 49</v>
      </c>
      <c r="AA51" s="14">
        <f t="shared" si="15"/>
        <v>49645</v>
      </c>
      <c r="AB51" s="14">
        <f t="shared" si="6"/>
        <v>49651</v>
      </c>
      <c r="AC51" s="8" t="str">
        <f t="shared" si="7"/>
        <v>Semana 49: de 02/dez/2035 a 08/dez/2035</v>
      </c>
      <c r="AD51" s="4">
        <f t="shared" si="16"/>
        <v>49644</v>
      </c>
      <c r="AE51" s="3">
        <f t="shared" si="10"/>
        <v>49</v>
      </c>
      <c r="AF51" s="1"/>
      <c r="AT51" s="3">
        <f>AT50+1</f>
        <v>49</v>
      </c>
      <c r="AU51" s="3">
        <f>COUNTIF('Gráfico Controle de Resultados'!X:X,Auxiliar!AT51)</f>
        <v>0</v>
      </c>
      <c r="AV51" s="3">
        <f t="shared" si="13"/>
        <v>11</v>
      </c>
    </row>
    <row r="52" spans="11:48" x14ac:dyDescent="0.35">
      <c r="K52" s="1"/>
      <c r="S52" s="3">
        <f t="shared" si="3"/>
        <v>8</v>
      </c>
      <c r="T52" s="7">
        <f>DATE('Gráfico Controle de Resultados'!$C$9,Auxiliar!U52,Auxiliar!V52)</f>
        <v>49359</v>
      </c>
      <c r="U52" s="3">
        <v>2</v>
      </c>
      <c r="V52" s="3">
        <v>19</v>
      </c>
      <c r="W52" s="22">
        <f t="shared" si="4"/>
        <v>2</v>
      </c>
      <c r="X52" s="3">
        <f t="shared" si="5"/>
        <v>8</v>
      </c>
      <c r="Z52" s="3" t="str">
        <f t="shared" si="14"/>
        <v>Semana 50</v>
      </c>
      <c r="AA52" s="14">
        <f t="shared" si="15"/>
        <v>49652</v>
      </c>
      <c r="AB52" s="14">
        <f t="shared" si="6"/>
        <v>49658</v>
      </c>
      <c r="AC52" s="8" t="str">
        <f t="shared" si="7"/>
        <v>Semana 50: de 09/dez/2035 a 15/dez/2035</v>
      </c>
      <c r="AD52" s="4">
        <f t="shared" si="16"/>
        <v>49644</v>
      </c>
      <c r="AE52" s="3">
        <f t="shared" si="10"/>
        <v>50</v>
      </c>
      <c r="AF52" s="1"/>
      <c r="AT52" s="3">
        <f t="shared" si="12"/>
        <v>50</v>
      </c>
      <c r="AU52" s="3">
        <f>COUNTIF('Gráfico Controle de Resultados'!X:X,Auxiliar!AT52)</f>
        <v>0</v>
      </c>
      <c r="AV52" s="3">
        <f t="shared" si="13"/>
        <v>11</v>
      </c>
    </row>
    <row r="53" spans="11:48" x14ac:dyDescent="0.35">
      <c r="K53" s="1"/>
      <c r="S53" s="3">
        <f t="shared" si="3"/>
        <v>8</v>
      </c>
      <c r="T53" s="7">
        <f>DATE('Gráfico Controle de Resultados'!$C$9,Auxiliar!U53,Auxiliar!V53)</f>
        <v>49360</v>
      </c>
      <c r="U53" s="3">
        <v>2</v>
      </c>
      <c r="V53" s="3">
        <v>20</v>
      </c>
      <c r="W53" s="22">
        <f t="shared" si="4"/>
        <v>3</v>
      </c>
      <c r="X53" s="3">
        <f t="shared" si="5"/>
        <v>8</v>
      </c>
      <c r="Z53" s="3" t="str">
        <f t="shared" si="14"/>
        <v>Semana 51</v>
      </c>
      <c r="AA53" s="14">
        <f t="shared" si="15"/>
        <v>49659</v>
      </c>
      <c r="AB53" s="14">
        <f t="shared" si="6"/>
        <v>49665</v>
      </c>
      <c r="AC53" s="8" t="str">
        <f t="shared" si="7"/>
        <v>Semana 51: de 16/dez/2035 a 22/dez/2035</v>
      </c>
      <c r="AD53" s="4">
        <f t="shared" si="16"/>
        <v>49644</v>
      </c>
      <c r="AE53" s="3">
        <f t="shared" si="10"/>
        <v>51</v>
      </c>
      <c r="AF53" s="1"/>
      <c r="AT53" s="3">
        <f t="shared" si="12"/>
        <v>51</v>
      </c>
      <c r="AU53" s="3">
        <f>COUNTIF('Gráfico Controle de Resultados'!X:X,Auxiliar!AT53)</f>
        <v>0</v>
      </c>
      <c r="AV53" s="3">
        <f t="shared" si="13"/>
        <v>11</v>
      </c>
    </row>
    <row r="54" spans="11:48" x14ac:dyDescent="0.35">
      <c r="S54" s="3">
        <f t="shared" si="3"/>
        <v>8</v>
      </c>
      <c r="T54" s="7">
        <f>DATE('Gráfico Controle de Resultados'!$C$9,Auxiliar!U54,Auxiliar!V54)</f>
        <v>49361</v>
      </c>
      <c r="U54" s="3">
        <v>2</v>
      </c>
      <c r="V54" s="3">
        <v>21</v>
      </c>
      <c r="W54" s="22">
        <f t="shared" si="4"/>
        <v>4</v>
      </c>
      <c r="X54" s="3">
        <f t="shared" si="5"/>
        <v>8</v>
      </c>
      <c r="Z54" s="3" t="str">
        <f t="shared" si="14"/>
        <v>Semana 52</v>
      </c>
      <c r="AA54" s="14">
        <f t="shared" si="15"/>
        <v>49666</v>
      </c>
      <c r="AB54" s="14">
        <f t="shared" si="6"/>
        <v>49672</v>
      </c>
      <c r="AC54" s="8" t="str">
        <f t="shared" si="7"/>
        <v>Semana 52: de 23/dez/2035 a 29/dez/2035</v>
      </c>
      <c r="AD54" s="4">
        <f t="shared" si="16"/>
        <v>49644</v>
      </c>
      <c r="AE54" s="3">
        <f t="shared" si="10"/>
        <v>52</v>
      </c>
      <c r="AF54" s="1"/>
      <c r="AT54" s="3">
        <f>AT53+1</f>
        <v>52</v>
      </c>
      <c r="AU54" s="3">
        <f>COUNTIF('Gráfico Controle de Resultados'!X:X,Auxiliar!AT54)</f>
        <v>0</v>
      </c>
      <c r="AV54" s="3">
        <f t="shared" si="13"/>
        <v>11</v>
      </c>
    </row>
    <row r="55" spans="11:48" x14ac:dyDescent="0.35">
      <c r="S55" s="3">
        <f t="shared" si="3"/>
        <v>8</v>
      </c>
      <c r="T55" s="7">
        <f>DATE('Gráfico Controle de Resultados'!$C$9,Auxiliar!U55,Auxiliar!V55)</f>
        <v>49362</v>
      </c>
      <c r="U55" s="3">
        <v>2</v>
      </c>
      <c r="V55" s="3">
        <v>22</v>
      </c>
      <c r="W55" s="22">
        <f t="shared" si="4"/>
        <v>5</v>
      </c>
      <c r="X55" s="3">
        <f t="shared" si="5"/>
        <v>8</v>
      </c>
      <c r="Z55" s="3" t="str">
        <f t="shared" si="14"/>
        <v>Semana 53</v>
      </c>
      <c r="AA55" s="14">
        <f t="shared" si="15"/>
        <v>49673</v>
      </c>
      <c r="AB55" s="14" t="str">
        <f>IF(DAY(AB54)&lt;&gt;31,"31/dez/"&amp;'Gráfico Controle de Resultados'!C9,"")</f>
        <v>31/dez/2035</v>
      </c>
      <c r="AC55" s="8" t="str">
        <f t="shared" si="7"/>
        <v>Semana 53: de 30/dez/2035 a 31/dez/2035</v>
      </c>
      <c r="AD55" s="4">
        <f t="shared" si="16"/>
        <v>49644</v>
      </c>
      <c r="AE55" s="3">
        <f t="shared" si="10"/>
        <v>53</v>
      </c>
      <c r="AF55" s="1"/>
      <c r="AT55" s="3">
        <f t="shared" si="12"/>
        <v>53</v>
      </c>
      <c r="AU55" s="3">
        <f>COUNTIF('Gráfico Controle de Resultados'!X:X,Auxiliar!AT55)</f>
        <v>0</v>
      </c>
      <c r="AV55" s="3">
        <f t="shared" si="13"/>
        <v>11</v>
      </c>
    </row>
    <row r="56" spans="11:48" x14ac:dyDescent="0.35">
      <c r="S56" s="3">
        <f t="shared" si="3"/>
        <v>8</v>
      </c>
      <c r="T56" s="7">
        <f>DATE('Gráfico Controle de Resultados'!$C$9,Auxiliar!U56,Auxiliar!V56)</f>
        <v>49363</v>
      </c>
      <c r="U56" s="3">
        <v>2</v>
      </c>
      <c r="V56" s="3">
        <v>23</v>
      </c>
      <c r="W56" s="22">
        <f t="shared" si="4"/>
        <v>6</v>
      </c>
      <c r="X56" s="3">
        <f t="shared" si="5"/>
        <v>8</v>
      </c>
    </row>
    <row r="57" spans="11:48" x14ac:dyDescent="0.35">
      <c r="S57" s="3">
        <f t="shared" si="3"/>
        <v>8</v>
      </c>
      <c r="T57" s="7">
        <f>DATE('Gráfico Controle de Resultados'!$C$9,Auxiliar!U57,Auxiliar!V57)</f>
        <v>49364</v>
      </c>
      <c r="U57" s="3">
        <v>2</v>
      </c>
      <c r="V57" s="3">
        <v>24</v>
      </c>
      <c r="W57" s="22">
        <f t="shared" si="4"/>
        <v>7</v>
      </c>
      <c r="X57" s="3">
        <f t="shared" si="5"/>
        <v>8</v>
      </c>
    </row>
    <row r="58" spans="11:48" x14ac:dyDescent="0.35">
      <c r="S58" s="3">
        <f t="shared" si="3"/>
        <v>9</v>
      </c>
      <c r="T58" s="7">
        <f>DATE('Gráfico Controle de Resultados'!$C$9,Auxiliar!U58,Auxiliar!V58)</f>
        <v>49365</v>
      </c>
      <c r="U58" s="3">
        <v>2</v>
      </c>
      <c r="V58" s="3">
        <v>25</v>
      </c>
      <c r="W58" s="22">
        <f t="shared" si="4"/>
        <v>1</v>
      </c>
      <c r="X58" s="3">
        <f t="shared" si="5"/>
        <v>9</v>
      </c>
    </row>
    <row r="59" spans="11:48" x14ac:dyDescent="0.35">
      <c r="S59" s="3">
        <f t="shared" si="3"/>
        <v>9</v>
      </c>
      <c r="T59" s="7">
        <f>DATE('Gráfico Controle de Resultados'!$C$9,Auxiliar!U59,Auxiliar!V59)</f>
        <v>49366</v>
      </c>
      <c r="U59" s="3">
        <v>2</v>
      </c>
      <c r="V59" s="3">
        <v>26</v>
      </c>
      <c r="W59" s="22">
        <f t="shared" si="4"/>
        <v>2</v>
      </c>
      <c r="X59" s="3">
        <f t="shared" si="5"/>
        <v>9</v>
      </c>
    </row>
    <row r="60" spans="11:48" x14ac:dyDescent="0.35">
      <c r="S60" s="3">
        <f t="shared" si="3"/>
        <v>9</v>
      </c>
      <c r="T60" s="7">
        <f>DATE('Gráfico Controle de Resultados'!$C$9,Auxiliar!U60,Auxiliar!V60)</f>
        <v>49367</v>
      </c>
      <c r="U60" s="3">
        <v>2</v>
      </c>
      <c r="V60" s="3">
        <v>27</v>
      </c>
      <c r="W60" s="22">
        <f t="shared" si="4"/>
        <v>3</v>
      </c>
      <c r="X60" s="3">
        <f t="shared" si="5"/>
        <v>9</v>
      </c>
    </row>
    <row r="61" spans="11:48" x14ac:dyDescent="0.35">
      <c r="S61" s="3">
        <f t="shared" si="3"/>
        <v>9</v>
      </c>
      <c r="T61" s="7">
        <f>DATE('Gráfico Controle de Resultados'!$C$9,Auxiliar!U61,Auxiliar!V61)</f>
        <v>49368</v>
      </c>
      <c r="U61" s="3">
        <v>2</v>
      </c>
      <c r="V61" s="3">
        <v>28</v>
      </c>
      <c r="W61" s="22">
        <f t="shared" si="4"/>
        <v>4</v>
      </c>
      <c r="X61" s="3">
        <f t="shared" si="5"/>
        <v>9</v>
      </c>
    </row>
    <row r="62" spans="11:48" x14ac:dyDescent="0.35">
      <c r="S62" s="3">
        <f t="shared" si="3"/>
        <v>9</v>
      </c>
      <c r="T62" s="7">
        <f>DATE('Gráfico Controle de Resultados'!$C$9,Auxiliar!U62,Auxiliar!V62)</f>
        <v>49369</v>
      </c>
      <c r="U62" s="3">
        <v>3</v>
      </c>
      <c r="V62" s="3">
        <v>1</v>
      </c>
      <c r="W62" s="22">
        <f t="shared" si="4"/>
        <v>5</v>
      </c>
      <c r="X62" s="3">
        <f t="shared" si="5"/>
        <v>9</v>
      </c>
    </row>
    <row r="63" spans="11:48" x14ac:dyDescent="0.35">
      <c r="S63" s="3">
        <f t="shared" si="3"/>
        <v>9</v>
      </c>
      <c r="T63" s="7">
        <f>DATE('Gráfico Controle de Resultados'!$C$9,Auxiliar!U63,Auxiliar!V63)</f>
        <v>49370</v>
      </c>
      <c r="U63" s="3">
        <v>3</v>
      </c>
      <c r="V63" s="3">
        <v>2</v>
      </c>
      <c r="W63" s="22">
        <f t="shared" si="4"/>
        <v>6</v>
      </c>
      <c r="X63" s="3">
        <f t="shared" si="5"/>
        <v>9</v>
      </c>
    </row>
    <row r="64" spans="11:48" x14ac:dyDescent="0.35">
      <c r="S64" s="3">
        <f t="shared" si="3"/>
        <v>9</v>
      </c>
      <c r="T64" s="7">
        <f>DATE('Gráfico Controle de Resultados'!$C$9,Auxiliar!U64,Auxiliar!V64)</f>
        <v>49371</v>
      </c>
      <c r="U64" s="3">
        <v>3</v>
      </c>
      <c r="V64" s="3">
        <v>3</v>
      </c>
      <c r="W64" s="22">
        <f t="shared" si="4"/>
        <v>7</v>
      </c>
      <c r="X64" s="3">
        <f t="shared" si="5"/>
        <v>9</v>
      </c>
    </row>
    <row r="65" spans="19:24" x14ac:dyDescent="0.35">
      <c r="S65" s="3">
        <f t="shared" si="3"/>
        <v>10</v>
      </c>
      <c r="T65" s="7">
        <f>DATE('Gráfico Controle de Resultados'!$C$9,Auxiliar!U65,Auxiliar!V65)</f>
        <v>49372</v>
      </c>
      <c r="U65" s="3">
        <v>3</v>
      </c>
      <c r="V65" s="3">
        <v>4</v>
      </c>
      <c r="W65" s="22">
        <f t="shared" si="4"/>
        <v>1</v>
      </c>
      <c r="X65" s="3">
        <f t="shared" si="5"/>
        <v>10</v>
      </c>
    </row>
    <row r="66" spans="19:24" x14ac:dyDescent="0.35">
      <c r="S66" s="3">
        <f t="shared" si="3"/>
        <v>10</v>
      </c>
      <c r="T66" s="7">
        <f>DATE('Gráfico Controle de Resultados'!$C$9,Auxiliar!U66,Auxiliar!V66)</f>
        <v>49373</v>
      </c>
      <c r="U66" s="3">
        <v>3</v>
      </c>
      <c r="V66" s="3">
        <v>5</v>
      </c>
      <c r="W66" s="22">
        <f t="shared" si="4"/>
        <v>2</v>
      </c>
      <c r="X66" s="3">
        <f t="shared" si="5"/>
        <v>10</v>
      </c>
    </row>
    <row r="67" spans="19:24" x14ac:dyDescent="0.35">
      <c r="S67" s="3">
        <f t="shared" si="3"/>
        <v>10</v>
      </c>
      <c r="T67" s="7">
        <f>DATE('Gráfico Controle de Resultados'!$C$9,Auxiliar!U67,Auxiliar!V67)</f>
        <v>49374</v>
      </c>
      <c r="U67" s="3">
        <v>3</v>
      </c>
      <c r="V67" s="3">
        <v>6</v>
      </c>
      <c r="W67" s="22">
        <f t="shared" si="4"/>
        <v>3</v>
      </c>
      <c r="X67" s="3">
        <f t="shared" si="5"/>
        <v>10</v>
      </c>
    </row>
    <row r="68" spans="19:24" x14ac:dyDescent="0.35">
      <c r="S68" s="3">
        <f t="shared" ref="S68:S131" si="17">IF(W68=1,S67+1,S67)</f>
        <v>10</v>
      </c>
      <c r="T68" s="7">
        <f>DATE('Gráfico Controle de Resultados'!$C$9,Auxiliar!U68,Auxiliar!V68)</f>
        <v>49375</v>
      </c>
      <c r="U68" s="3">
        <v>3</v>
      </c>
      <c r="V68" s="3">
        <v>7</v>
      </c>
      <c r="W68" s="22">
        <f t="shared" ref="W68:W131" si="18">WEEKDAY(T68)</f>
        <v>4</v>
      </c>
      <c r="X68" s="3">
        <f t="shared" ref="X68:X131" si="19">S68</f>
        <v>10</v>
      </c>
    </row>
    <row r="69" spans="19:24" x14ac:dyDescent="0.35">
      <c r="S69" s="3">
        <f t="shared" si="17"/>
        <v>10</v>
      </c>
      <c r="T69" s="7">
        <f>DATE('Gráfico Controle de Resultados'!$C$9,Auxiliar!U69,Auxiliar!V69)</f>
        <v>49376</v>
      </c>
      <c r="U69" s="3">
        <v>3</v>
      </c>
      <c r="V69" s="3">
        <v>8</v>
      </c>
      <c r="W69" s="22">
        <f t="shared" si="18"/>
        <v>5</v>
      </c>
      <c r="X69" s="3">
        <f t="shared" si="19"/>
        <v>10</v>
      </c>
    </row>
    <row r="70" spans="19:24" x14ac:dyDescent="0.35">
      <c r="S70" s="3">
        <f t="shared" si="17"/>
        <v>10</v>
      </c>
      <c r="T70" s="7">
        <f>DATE('Gráfico Controle de Resultados'!$C$9,Auxiliar!U70,Auxiliar!V70)</f>
        <v>49377</v>
      </c>
      <c r="U70" s="3">
        <v>3</v>
      </c>
      <c r="V70" s="3">
        <v>9</v>
      </c>
      <c r="W70" s="22">
        <f t="shared" si="18"/>
        <v>6</v>
      </c>
      <c r="X70" s="3">
        <f t="shared" si="19"/>
        <v>10</v>
      </c>
    </row>
    <row r="71" spans="19:24" x14ac:dyDescent="0.35">
      <c r="S71" s="3">
        <f t="shared" si="17"/>
        <v>10</v>
      </c>
      <c r="T71" s="7">
        <f>DATE('Gráfico Controle de Resultados'!$C$9,Auxiliar!U71,Auxiliar!V71)</f>
        <v>49378</v>
      </c>
      <c r="U71" s="3">
        <v>3</v>
      </c>
      <c r="V71" s="3">
        <v>10</v>
      </c>
      <c r="W71" s="22">
        <f t="shared" si="18"/>
        <v>7</v>
      </c>
      <c r="X71" s="3">
        <f t="shared" si="19"/>
        <v>10</v>
      </c>
    </row>
    <row r="72" spans="19:24" x14ac:dyDescent="0.35">
      <c r="S72" s="3">
        <f t="shared" si="17"/>
        <v>11</v>
      </c>
      <c r="T72" s="7">
        <f>DATE('Gráfico Controle de Resultados'!$C$9,Auxiliar!U72,Auxiliar!V72)</f>
        <v>49379</v>
      </c>
      <c r="U72" s="3">
        <v>3</v>
      </c>
      <c r="V72" s="3">
        <v>11</v>
      </c>
      <c r="W72" s="22">
        <f t="shared" si="18"/>
        <v>1</v>
      </c>
      <c r="X72" s="3">
        <f t="shared" si="19"/>
        <v>11</v>
      </c>
    </row>
    <row r="73" spans="19:24" x14ac:dyDescent="0.35">
      <c r="S73" s="3">
        <f t="shared" si="17"/>
        <v>11</v>
      </c>
      <c r="T73" s="7">
        <f>DATE('Gráfico Controle de Resultados'!$C$9,Auxiliar!U73,Auxiliar!V73)</f>
        <v>49380</v>
      </c>
      <c r="U73" s="3">
        <v>3</v>
      </c>
      <c r="V73" s="3">
        <v>12</v>
      </c>
      <c r="W73" s="22">
        <f t="shared" si="18"/>
        <v>2</v>
      </c>
      <c r="X73" s="3">
        <f t="shared" si="19"/>
        <v>11</v>
      </c>
    </row>
    <row r="74" spans="19:24" x14ac:dyDescent="0.35">
      <c r="S74" s="3">
        <f t="shared" si="17"/>
        <v>11</v>
      </c>
      <c r="T74" s="7">
        <f>DATE('Gráfico Controle de Resultados'!$C$9,Auxiliar!U74,Auxiliar!V74)</f>
        <v>49381</v>
      </c>
      <c r="U74" s="3">
        <v>3</v>
      </c>
      <c r="V74" s="3">
        <v>13</v>
      </c>
      <c r="W74" s="22">
        <f t="shared" si="18"/>
        <v>3</v>
      </c>
      <c r="X74" s="3">
        <f t="shared" si="19"/>
        <v>11</v>
      </c>
    </row>
    <row r="75" spans="19:24" x14ac:dyDescent="0.35">
      <c r="S75" s="3">
        <f t="shared" si="17"/>
        <v>11</v>
      </c>
      <c r="T75" s="7">
        <f>DATE('Gráfico Controle de Resultados'!$C$9,Auxiliar!U75,Auxiliar!V75)</f>
        <v>49382</v>
      </c>
      <c r="U75" s="3">
        <v>3</v>
      </c>
      <c r="V75" s="3">
        <v>14</v>
      </c>
      <c r="W75" s="22">
        <f t="shared" si="18"/>
        <v>4</v>
      </c>
      <c r="X75" s="3">
        <f t="shared" si="19"/>
        <v>11</v>
      </c>
    </row>
    <row r="76" spans="19:24" x14ac:dyDescent="0.35">
      <c r="S76" s="3">
        <f t="shared" si="17"/>
        <v>11</v>
      </c>
      <c r="T76" s="7">
        <f>DATE('Gráfico Controle de Resultados'!$C$9,Auxiliar!U76,Auxiliar!V76)</f>
        <v>49383</v>
      </c>
      <c r="U76" s="3">
        <v>3</v>
      </c>
      <c r="V76" s="3">
        <v>15</v>
      </c>
      <c r="W76" s="22">
        <f t="shared" si="18"/>
        <v>5</v>
      </c>
      <c r="X76" s="3">
        <f t="shared" si="19"/>
        <v>11</v>
      </c>
    </row>
    <row r="77" spans="19:24" x14ac:dyDescent="0.35">
      <c r="S77" s="3">
        <f t="shared" si="17"/>
        <v>11</v>
      </c>
      <c r="T77" s="7">
        <f>DATE('Gráfico Controle de Resultados'!$C$9,Auxiliar!U77,Auxiliar!V77)</f>
        <v>49384</v>
      </c>
      <c r="U77" s="3">
        <v>3</v>
      </c>
      <c r="V77" s="3">
        <v>16</v>
      </c>
      <c r="W77" s="22">
        <f t="shared" si="18"/>
        <v>6</v>
      </c>
      <c r="X77" s="3">
        <f t="shared" si="19"/>
        <v>11</v>
      </c>
    </row>
    <row r="78" spans="19:24" x14ac:dyDescent="0.35">
      <c r="S78" s="3">
        <f t="shared" si="17"/>
        <v>11</v>
      </c>
      <c r="T78" s="7">
        <f>DATE('Gráfico Controle de Resultados'!$C$9,Auxiliar!U78,Auxiliar!V78)</f>
        <v>49385</v>
      </c>
      <c r="U78" s="3">
        <v>3</v>
      </c>
      <c r="V78" s="3">
        <v>17</v>
      </c>
      <c r="W78" s="22">
        <f t="shared" si="18"/>
        <v>7</v>
      </c>
      <c r="X78" s="3">
        <f t="shared" si="19"/>
        <v>11</v>
      </c>
    </row>
    <row r="79" spans="19:24" x14ac:dyDescent="0.35">
      <c r="S79" s="3">
        <f t="shared" si="17"/>
        <v>12</v>
      </c>
      <c r="T79" s="7">
        <f>DATE('Gráfico Controle de Resultados'!$C$9,Auxiliar!U79,Auxiliar!V79)</f>
        <v>49386</v>
      </c>
      <c r="U79" s="3">
        <v>3</v>
      </c>
      <c r="V79" s="3">
        <v>18</v>
      </c>
      <c r="W79" s="22">
        <f t="shared" si="18"/>
        <v>1</v>
      </c>
      <c r="X79" s="3">
        <f t="shared" si="19"/>
        <v>12</v>
      </c>
    </row>
    <row r="80" spans="19:24" x14ac:dyDescent="0.35">
      <c r="S80" s="3">
        <f t="shared" si="17"/>
        <v>12</v>
      </c>
      <c r="T80" s="7">
        <f>DATE('Gráfico Controle de Resultados'!$C$9,Auxiliar!U80,Auxiliar!V80)</f>
        <v>49387</v>
      </c>
      <c r="U80" s="3">
        <v>3</v>
      </c>
      <c r="V80" s="3">
        <v>19</v>
      </c>
      <c r="W80" s="22">
        <f t="shared" si="18"/>
        <v>2</v>
      </c>
      <c r="X80" s="3">
        <f t="shared" si="19"/>
        <v>12</v>
      </c>
    </row>
    <row r="81" spans="19:24" x14ac:dyDescent="0.35">
      <c r="S81" s="3">
        <f t="shared" si="17"/>
        <v>12</v>
      </c>
      <c r="T81" s="7">
        <f>DATE('Gráfico Controle de Resultados'!$C$9,Auxiliar!U81,Auxiliar!V81)</f>
        <v>49388</v>
      </c>
      <c r="U81" s="3">
        <v>3</v>
      </c>
      <c r="V81" s="3">
        <v>20</v>
      </c>
      <c r="W81" s="22">
        <f t="shared" si="18"/>
        <v>3</v>
      </c>
      <c r="X81" s="3">
        <f t="shared" si="19"/>
        <v>12</v>
      </c>
    </row>
    <row r="82" spans="19:24" x14ac:dyDescent="0.35">
      <c r="S82" s="3">
        <f t="shared" si="17"/>
        <v>12</v>
      </c>
      <c r="T82" s="7">
        <f>DATE('Gráfico Controle de Resultados'!$C$9,Auxiliar!U82,Auxiliar!V82)</f>
        <v>49389</v>
      </c>
      <c r="U82" s="3">
        <v>3</v>
      </c>
      <c r="V82" s="3">
        <v>21</v>
      </c>
      <c r="W82" s="22">
        <f t="shared" si="18"/>
        <v>4</v>
      </c>
      <c r="X82" s="3">
        <f t="shared" si="19"/>
        <v>12</v>
      </c>
    </row>
    <row r="83" spans="19:24" x14ac:dyDescent="0.35">
      <c r="S83" s="3">
        <f t="shared" si="17"/>
        <v>12</v>
      </c>
      <c r="T83" s="7">
        <f>DATE('Gráfico Controle de Resultados'!$C$9,Auxiliar!U83,Auxiliar!V83)</f>
        <v>49390</v>
      </c>
      <c r="U83" s="3">
        <v>3</v>
      </c>
      <c r="V83" s="3">
        <v>22</v>
      </c>
      <c r="W83" s="22">
        <f t="shared" si="18"/>
        <v>5</v>
      </c>
      <c r="X83" s="3">
        <f t="shared" si="19"/>
        <v>12</v>
      </c>
    </row>
    <row r="84" spans="19:24" x14ac:dyDescent="0.35">
      <c r="S84" s="3">
        <f t="shared" si="17"/>
        <v>12</v>
      </c>
      <c r="T84" s="7">
        <f>DATE('Gráfico Controle de Resultados'!$C$9,Auxiliar!U84,Auxiliar!V84)</f>
        <v>49391</v>
      </c>
      <c r="U84" s="3">
        <v>3</v>
      </c>
      <c r="V84" s="3">
        <v>23</v>
      </c>
      <c r="W84" s="22">
        <f t="shared" si="18"/>
        <v>6</v>
      </c>
      <c r="X84" s="3">
        <f t="shared" si="19"/>
        <v>12</v>
      </c>
    </row>
    <row r="85" spans="19:24" x14ac:dyDescent="0.35">
      <c r="S85" s="3">
        <f t="shared" si="17"/>
        <v>12</v>
      </c>
      <c r="T85" s="7">
        <f>DATE('Gráfico Controle de Resultados'!$C$9,Auxiliar!U85,Auxiliar!V85)</f>
        <v>49392</v>
      </c>
      <c r="U85" s="3">
        <v>3</v>
      </c>
      <c r="V85" s="3">
        <v>24</v>
      </c>
      <c r="W85" s="22">
        <f t="shared" si="18"/>
        <v>7</v>
      </c>
      <c r="X85" s="3">
        <f t="shared" si="19"/>
        <v>12</v>
      </c>
    </row>
    <row r="86" spans="19:24" x14ac:dyDescent="0.35">
      <c r="S86" s="3">
        <f t="shared" si="17"/>
        <v>13</v>
      </c>
      <c r="T86" s="7">
        <f>DATE('Gráfico Controle de Resultados'!$C$9,Auxiliar!U86,Auxiliar!V86)</f>
        <v>49393</v>
      </c>
      <c r="U86" s="3">
        <v>3</v>
      </c>
      <c r="V86" s="3">
        <v>25</v>
      </c>
      <c r="W86" s="22">
        <f t="shared" si="18"/>
        <v>1</v>
      </c>
      <c r="X86" s="3">
        <f t="shared" si="19"/>
        <v>13</v>
      </c>
    </row>
    <row r="87" spans="19:24" x14ac:dyDescent="0.35">
      <c r="S87" s="3">
        <f t="shared" si="17"/>
        <v>13</v>
      </c>
      <c r="T87" s="7">
        <f>DATE('Gráfico Controle de Resultados'!$C$9,Auxiliar!U87,Auxiliar!V87)</f>
        <v>49394</v>
      </c>
      <c r="U87" s="3">
        <v>3</v>
      </c>
      <c r="V87" s="3">
        <v>26</v>
      </c>
      <c r="W87" s="22">
        <f t="shared" si="18"/>
        <v>2</v>
      </c>
      <c r="X87" s="3">
        <f t="shared" si="19"/>
        <v>13</v>
      </c>
    </row>
    <row r="88" spans="19:24" x14ac:dyDescent="0.35">
      <c r="S88" s="3">
        <f t="shared" si="17"/>
        <v>13</v>
      </c>
      <c r="T88" s="7">
        <f>DATE('Gráfico Controle de Resultados'!$C$9,Auxiliar!U88,Auxiliar!V88)</f>
        <v>49395</v>
      </c>
      <c r="U88" s="3">
        <v>3</v>
      </c>
      <c r="V88" s="3">
        <v>27</v>
      </c>
      <c r="W88" s="22">
        <f t="shared" si="18"/>
        <v>3</v>
      </c>
      <c r="X88" s="3">
        <f t="shared" si="19"/>
        <v>13</v>
      </c>
    </row>
    <row r="89" spans="19:24" x14ac:dyDescent="0.35">
      <c r="S89" s="3">
        <f t="shared" si="17"/>
        <v>13</v>
      </c>
      <c r="T89" s="7">
        <f>DATE('Gráfico Controle de Resultados'!$C$9,Auxiliar!U89,Auxiliar!V89)</f>
        <v>49396</v>
      </c>
      <c r="U89" s="3">
        <v>3</v>
      </c>
      <c r="V89" s="3">
        <v>28</v>
      </c>
      <c r="W89" s="22">
        <f t="shared" si="18"/>
        <v>4</v>
      </c>
      <c r="X89" s="3">
        <f t="shared" si="19"/>
        <v>13</v>
      </c>
    </row>
    <row r="90" spans="19:24" x14ac:dyDescent="0.35">
      <c r="S90" s="3">
        <f t="shared" si="17"/>
        <v>13</v>
      </c>
      <c r="T90" s="7">
        <f>DATE('Gráfico Controle de Resultados'!$C$9,Auxiliar!U90,Auxiliar!V90)</f>
        <v>49397</v>
      </c>
      <c r="U90" s="3">
        <v>3</v>
      </c>
      <c r="V90" s="3">
        <v>29</v>
      </c>
      <c r="W90" s="22">
        <f t="shared" si="18"/>
        <v>5</v>
      </c>
      <c r="X90" s="3">
        <f t="shared" si="19"/>
        <v>13</v>
      </c>
    </row>
    <row r="91" spans="19:24" x14ac:dyDescent="0.35">
      <c r="S91" s="3">
        <f t="shared" si="17"/>
        <v>13</v>
      </c>
      <c r="T91" s="7">
        <f>DATE('Gráfico Controle de Resultados'!$C$9,Auxiliar!U91,Auxiliar!V91)</f>
        <v>49398</v>
      </c>
      <c r="U91" s="3">
        <v>3</v>
      </c>
      <c r="V91" s="3">
        <v>30</v>
      </c>
      <c r="W91" s="22">
        <f t="shared" si="18"/>
        <v>6</v>
      </c>
      <c r="X91" s="3">
        <f t="shared" si="19"/>
        <v>13</v>
      </c>
    </row>
    <row r="92" spans="19:24" x14ac:dyDescent="0.35">
      <c r="S92" s="3">
        <f t="shared" si="17"/>
        <v>13</v>
      </c>
      <c r="T92" s="7">
        <f>DATE('Gráfico Controle de Resultados'!$C$9,Auxiliar!U92,Auxiliar!V92)</f>
        <v>49399</v>
      </c>
      <c r="U92" s="3">
        <v>3</v>
      </c>
      <c r="V92" s="3">
        <v>31</v>
      </c>
      <c r="W92" s="22">
        <f t="shared" si="18"/>
        <v>7</v>
      </c>
      <c r="X92" s="3">
        <f t="shared" si="19"/>
        <v>13</v>
      </c>
    </row>
    <row r="93" spans="19:24" x14ac:dyDescent="0.35">
      <c r="S93" s="3">
        <f t="shared" si="17"/>
        <v>14</v>
      </c>
      <c r="T93" s="7">
        <f>DATE('Gráfico Controle de Resultados'!$C$9,Auxiliar!U93,Auxiliar!V93)</f>
        <v>49400</v>
      </c>
      <c r="U93" s="3">
        <v>4</v>
      </c>
      <c r="V93" s="3">
        <v>1</v>
      </c>
      <c r="W93" s="22">
        <f t="shared" si="18"/>
        <v>1</v>
      </c>
      <c r="X93" s="3">
        <f t="shared" si="19"/>
        <v>14</v>
      </c>
    </row>
    <row r="94" spans="19:24" x14ac:dyDescent="0.35">
      <c r="S94" s="3">
        <f t="shared" si="17"/>
        <v>14</v>
      </c>
      <c r="T94" s="7">
        <f>DATE('Gráfico Controle de Resultados'!$C$9,Auxiliar!U94,Auxiliar!V94)</f>
        <v>49401</v>
      </c>
      <c r="U94" s="3">
        <v>4</v>
      </c>
      <c r="V94" s="3">
        <v>2</v>
      </c>
      <c r="W94" s="22">
        <f t="shared" si="18"/>
        <v>2</v>
      </c>
      <c r="X94" s="3">
        <f t="shared" si="19"/>
        <v>14</v>
      </c>
    </row>
    <row r="95" spans="19:24" x14ac:dyDescent="0.35">
      <c r="S95" s="3">
        <f t="shared" si="17"/>
        <v>14</v>
      </c>
      <c r="T95" s="7">
        <f>DATE('Gráfico Controle de Resultados'!$C$9,Auxiliar!U95,Auxiliar!V95)</f>
        <v>49402</v>
      </c>
      <c r="U95" s="3">
        <v>4</v>
      </c>
      <c r="V95" s="3">
        <v>3</v>
      </c>
      <c r="W95" s="22">
        <f t="shared" si="18"/>
        <v>3</v>
      </c>
      <c r="X95" s="3">
        <f t="shared" si="19"/>
        <v>14</v>
      </c>
    </row>
    <row r="96" spans="19:24" x14ac:dyDescent="0.35">
      <c r="S96" s="3">
        <f t="shared" si="17"/>
        <v>14</v>
      </c>
      <c r="T96" s="7">
        <f>DATE('Gráfico Controle de Resultados'!$C$9,Auxiliar!U96,Auxiliar!V96)</f>
        <v>49403</v>
      </c>
      <c r="U96" s="3">
        <v>4</v>
      </c>
      <c r="V96" s="3">
        <v>4</v>
      </c>
      <c r="W96" s="22">
        <f t="shared" si="18"/>
        <v>4</v>
      </c>
      <c r="X96" s="3">
        <f t="shared" si="19"/>
        <v>14</v>
      </c>
    </row>
    <row r="97" spans="19:24" x14ac:dyDescent="0.35">
      <c r="S97" s="3">
        <f t="shared" si="17"/>
        <v>14</v>
      </c>
      <c r="T97" s="7">
        <f>DATE('Gráfico Controle de Resultados'!$C$9,Auxiliar!U97,Auxiliar!V97)</f>
        <v>49404</v>
      </c>
      <c r="U97" s="3">
        <v>4</v>
      </c>
      <c r="V97" s="3">
        <v>5</v>
      </c>
      <c r="W97" s="22">
        <f t="shared" si="18"/>
        <v>5</v>
      </c>
      <c r="X97" s="3">
        <f t="shared" si="19"/>
        <v>14</v>
      </c>
    </row>
    <row r="98" spans="19:24" x14ac:dyDescent="0.35">
      <c r="S98" s="3">
        <f t="shared" si="17"/>
        <v>14</v>
      </c>
      <c r="T98" s="7">
        <f>DATE('Gráfico Controle de Resultados'!$C$9,Auxiliar!U98,Auxiliar!V98)</f>
        <v>49405</v>
      </c>
      <c r="U98" s="3">
        <v>4</v>
      </c>
      <c r="V98" s="3">
        <v>6</v>
      </c>
      <c r="W98" s="22">
        <f t="shared" si="18"/>
        <v>6</v>
      </c>
      <c r="X98" s="3">
        <f t="shared" si="19"/>
        <v>14</v>
      </c>
    </row>
    <row r="99" spans="19:24" x14ac:dyDescent="0.35">
      <c r="S99" s="3">
        <f t="shared" si="17"/>
        <v>14</v>
      </c>
      <c r="T99" s="7">
        <f>DATE('Gráfico Controle de Resultados'!$C$9,Auxiliar!U99,Auxiliar!V99)</f>
        <v>49406</v>
      </c>
      <c r="U99" s="3">
        <v>4</v>
      </c>
      <c r="V99" s="3">
        <v>7</v>
      </c>
      <c r="W99" s="22">
        <f t="shared" si="18"/>
        <v>7</v>
      </c>
      <c r="X99" s="3">
        <f t="shared" si="19"/>
        <v>14</v>
      </c>
    </row>
    <row r="100" spans="19:24" x14ac:dyDescent="0.35">
      <c r="S100" s="3">
        <f t="shared" si="17"/>
        <v>15</v>
      </c>
      <c r="T100" s="7">
        <f>DATE('Gráfico Controle de Resultados'!$C$9,Auxiliar!U100,Auxiliar!V100)</f>
        <v>49407</v>
      </c>
      <c r="U100" s="3">
        <v>4</v>
      </c>
      <c r="V100" s="3">
        <v>8</v>
      </c>
      <c r="W100" s="22">
        <f t="shared" si="18"/>
        <v>1</v>
      </c>
      <c r="X100" s="3">
        <f t="shared" si="19"/>
        <v>15</v>
      </c>
    </row>
    <row r="101" spans="19:24" x14ac:dyDescent="0.35">
      <c r="S101" s="3">
        <f t="shared" si="17"/>
        <v>15</v>
      </c>
      <c r="T101" s="7">
        <f>DATE('Gráfico Controle de Resultados'!$C$9,Auxiliar!U101,Auxiliar!V101)</f>
        <v>49408</v>
      </c>
      <c r="U101" s="3">
        <v>4</v>
      </c>
      <c r="V101" s="3">
        <v>9</v>
      </c>
      <c r="W101" s="22">
        <f t="shared" si="18"/>
        <v>2</v>
      </c>
      <c r="X101" s="3">
        <f t="shared" si="19"/>
        <v>15</v>
      </c>
    </row>
    <row r="102" spans="19:24" x14ac:dyDescent="0.35">
      <c r="S102" s="3">
        <f t="shared" si="17"/>
        <v>15</v>
      </c>
      <c r="T102" s="7">
        <f>DATE('Gráfico Controle de Resultados'!$C$9,Auxiliar!U102,Auxiliar!V102)</f>
        <v>49409</v>
      </c>
      <c r="U102" s="3">
        <v>4</v>
      </c>
      <c r="V102" s="3">
        <v>10</v>
      </c>
      <c r="W102" s="22">
        <f t="shared" si="18"/>
        <v>3</v>
      </c>
      <c r="X102" s="3">
        <f t="shared" si="19"/>
        <v>15</v>
      </c>
    </row>
    <row r="103" spans="19:24" x14ac:dyDescent="0.35">
      <c r="S103" s="3">
        <f t="shared" si="17"/>
        <v>15</v>
      </c>
      <c r="T103" s="7">
        <f>DATE('Gráfico Controle de Resultados'!$C$9,Auxiliar!U103,Auxiliar!V103)</f>
        <v>49410</v>
      </c>
      <c r="U103" s="3">
        <v>4</v>
      </c>
      <c r="V103" s="3">
        <v>11</v>
      </c>
      <c r="W103" s="22">
        <f t="shared" si="18"/>
        <v>4</v>
      </c>
      <c r="X103" s="3">
        <f t="shared" si="19"/>
        <v>15</v>
      </c>
    </row>
    <row r="104" spans="19:24" x14ac:dyDescent="0.35">
      <c r="S104" s="3">
        <f t="shared" si="17"/>
        <v>15</v>
      </c>
      <c r="T104" s="7">
        <f>DATE('Gráfico Controle de Resultados'!$C$9,Auxiliar!U104,Auxiliar!V104)</f>
        <v>49411</v>
      </c>
      <c r="U104" s="3">
        <v>4</v>
      </c>
      <c r="V104" s="3">
        <v>12</v>
      </c>
      <c r="W104" s="22">
        <f t="shared" si="18"/>
        <v>5</v>
      </c>
      <c r="X104" s="3">
        <f t="shared" si="19"/>
        <v>15</v>
      </c>
    </row>
    <row r="105" spans="19:24" x14ac:dyDescent="0.35">
      <c r="S105" s="3">
        <f t="shared" si="17"/>
        <v>15</v>
      </c>
      <c r="T105" s="7">
        <f>DATE('Gráfico Controle de Resultados'!$C$9,Auxiliar!U105,Auxiliar!V105)</f>
        <v>49412</v>
      </c>
      <c r="U105" s="3">
        <v>4</v>
      </c>
      <c r="V105" s="3">
        <v>13</v>
      </c>
      <c r="W105" s="22">
        <f t="shared" si="18"/>
        <v>6</v>
      </c>
      <c r="X105" s="3">
        <f t="shared" si="19"/>
        <v>15</v>
      </c>
    </row>
    <row r="106" spans="19:24" x14ac:dyDescent="0.35">
      <c r="S106" s="3">
        <f t="shared" si="17"/>
        <v>15</v>
      </c>
      <c r="T106" s="7">
        <f>DATE('Gráfico Controle de Resultados'!$C$9,Auxiliar!U106,Auxiliar!V106)</f>
        <v>49413</v>
      </c>
      <c r="U106" s="3">
        <v>4</v>
      </c>
      <c r="V106" s="3">
        <v>14</v>
      </c>
      <c r="W106" s="22">
        <f t="shared" si="18"/>
        <v>7</v>
      </c>
      <c r="X106" s="3">
        <f t="shared" si="19"/>
        <v>15</v>
      </c>
    </row>
    <row r="107" spans="19:24" x14ac:dyDescent="0.35">
      <c r="S107" s="3">
        <f t="shared" si="17"/>
        <v>16</v>
      </c>
      <c r="T107" s="7">
        <f>DATE('Gráfico Controle de Resultados'!$C$9,Auxiliar!U107,Auxiliar!V107)</f>
        <v>49414</v>
      </c>
      <c r="U107" s="3">
        <v>4</v>
      </c>
      <c r="V107" s="3">
        <v>15</v>
      </c>
      <c r="W107" s="22">
        <f t="shared" si="18"/>
        <v>1</v>
      </c>
      <c r="X107" s="3">
        <f t="shared" si="19"/>
        <v>16</v>
      </c>
    </row>
    <row r="108" spans="19:24" x14ac:dyDescent="0.35">
      <c r="S108" s="3">
        <f t="shared" si="17"/>
        <v>16</v>
      </c>
      <c r="T108" s="7">
        <f>DATE('Gráfico Controle de Resultados'!$C$9,Auxiliar!U108,Auxiliar!V108)</f>
        <v>49415</v>
      </c>
      <c r="U108" s="3">
        <v>4</v>
      </c>
      <c r="V108" s="3">
        <v>16</v>
      </c>
      <c r="W108" s="22">
        <f t="shared" si="18"/>
        <v>2</v>
      </c>
      <c r="X108" s="3">
        <f t="shared" si="19"/>
        <v>16</v>
      </c>
    </row>
    <row r="109" spans="19:24" x14ac:dyDescent="0.35">
      <c r="S109" s="3">
        <f t="shared" si="17"/>
        <v>16</v>
      </c>
      <c r="T109" s="7">
        <f>DATE('Gráfico Controle de Resultados'!$C$9,Auxiliar!U109,Auxiliar!V109)</f>
        <v>49416</v>
      </c>
      <c r="U109" s="3">
        <v>4</v>
      </c>
      <c r="V109" s="3">
        <v>17</v>
      </c>
      <c r="W109" s="22">
        <f t="shared" si="18"/>
        <v>3</v>
      </c>
      <c r="X109" s="3">
        <f t="shared" si="19"/>
        <v>16</v>
      </c>
    </row>
    <row r="110" spans="19:24" x14ac:dyDescent="0.35">
      <c r="S110" s="3">
        <f t="shared" si="17"/>
        <v>16</v>
      </c>
      <c r="T110" s="7">
        <f>DATE('Gráfico Controle de Resultados'!$C$9,Auxiliar!U110,Auxiliar!V110)</f>
        <v>49417</v>
      </c>
      <c r="U110" s="3">
        <v>4</v>
      </c>
      <c r="V110" s="3">
        <v>18</v>
      </c>
      <c r="W110" s="22">
        <f t="shared" si="18"/>
        <v>4</v>
      </c>
      <c r="X110" s="3">
        <f t="shared" si="19"/>
        <v>16</v>
      </c>
    </row>
    <row r="111" spans="19:24" x14ac:dyDescent="0.35">
      <c r="S111" s="3">
        <f t="shared" si="17"/>
        <v>16</v>
      </c>
      <c r="T111" s="7">
        <f>DATE('Gráfico Controle de Resultados'!$C$9,Auxiliar!U111,Auxiliar!V111)</f>
        <v>49418</v>
      </c>
      <c r="U111" s="3">
        <v>4</v>
      </c>
      <c r="V111" s="3">
        <v>19</v>
      </c>
      <c r="W111" s="22">
        <f t="shared" si="18"/>
        <v>5</v>
      </c>
      <c r="X111" s="3">
        <f t="shared" si="19"/>
        <v>16</v>
      </c>
    </row>
    <row r="112" spans="19:24" x14ac:dyDescent="0.35">
      <c r="S112" s="3">
        <f t="shared" si="17"/>
        <v>16</v>
      </c>
      <c r="T112" s="7">
        <f>DATE('Gráfico Controle de Resultados'!$C$9,Auxiliar!U112,Auxiliar!V112)</f>
        <v>49419</v>
      </c>
      <c r="U112" s="3">
        <v>4</v>
      </c>
      <c r="V112" s="3">
        <v>20</v>
      </c>
      <c r="W112" s="22">
        <f t="shared" si="18"/>
        <v>6</v>
      </c>
      <c r="X112" s="3">
        <f t="shared" si="19"/>
        <v>16</v>
      </c>
    </row>
    <row r="113" spans="19:24" x14ac:dyDescent="0.35">
      <c r="S113" s="3">
        <f t="shared" si="17"/>
        <v>16</v>
      </c>
      <c r="T113" s="7">
        <f>DATE('Gráfico Controle de Resultados'!$C$9,Auxiliar!U113,Auxiliar!V113)</f>
        <v>49420</v>
      </c>
      <c r="U113" s="3">
        <v>4</v>
      </c>
      <c r="V113" s="3">
        <v>21</v>
      </c>
      <c r="W113" s="22">
        <f t="shared" si="18"/>
        <v>7</v>
      </c>
      <c r="X113" s="3">
        <f t="shared" si="19"/>
        <v>16</v>
      </c>
    </row>
    <row r="114" spans="19:24" x14ac:dyDescent="0.35">
      <c r="S114" s="3">
        <f t="shared" si="17"/>
        <v>17</v>
      </c>
      <c r="T114" s="7">
        <f>DATE('Gráfico Controle de Resultados'!$C$9,Auxiliar!U114,Auxiliar!V114)</f>
        <v>49421</v>
      </c>
      <c r="U114" s="3">
        <v>4</v>
      </c>
      <c r="V114" s="3">
        <v>22</v>
      </c>
      <c r="W114" s="22">
        <f t="shared" si="18"/>
        <v>1</v>
      </c>
      <c r="X114" s="3">
        <f t="shared" si="19"/>
        <v>17</v>
      </c>
    </row>
    <row r="115" spans="19:24" x14ac:dyDescent="0.35">
      <c r="S115" s="3">
        <f t="shared" si="17"/>
        <v>17</v>
      </c>
      <c r="T115" s="7">
        <f>DATE('Gráfico Controle de Resultados'!$C$9,Auxiliar!U115,Auxiliar!V115)</f>
        <v>49422</v>
      </c>
      <c r="U115" s="3">
        <v>4</v>
      </c>
      <c r="V115" s="3">
        <v>23</v>
      </c>
      <c r="W115" s="22">
        <f t="shared" si="18"/>
        <v>2</v>
      </c>
      <c r="X115" s="3">
        <f t="shared" si="19"/>
        <v>17</v>
      </c>
    </row>
    <row r="116" spans="19:24" x14ac:dyDescent="0.35">
      <c r="S116" s="3">
        <f t="shared" si="17"/>
        <v>17</v>
      </c>
      <c r="T116" s="7">
        <f>DATE('Gráfico Controle de Resultados'!$C$9,Auxiliar!U116,Auxiliar!V116)</f>
        <v>49423</v>
      </c>
      <c r="U116" s="3">
        <v>4</v>
      </c>
      <c r="V116" s="3">
        <v>24</v>
      </c>
      <c r="W116" s="22">
        <f t="shared" si="18"/>
        <v>3</v>
      </c>
      <c r="X116" s="3">
        <f t="shared" si="19"/>
        <v>17</v>
      </c>
    </row>
    <row r="117" spans="19:24" x14ac:dyDescent="0.35">
      <c r="S117" s="3">
        <f t="shared" si="17"/>
        <v>17</v>
      </c>
      <c r="T117" s="7">
        <f>DATE('Gráfico Controle de Resultados'!$C$9,Auxiliar!U117,Auxiliar!V117)</f>
        <v>49424</v>
      </c>
      <c r="U117" s="3">
        <v>4</v>
      </c>
      <c r="V117" s="3">
        <v>25</v>
      </c>
      <c r="W117" s="22">
        <f t="shared" si="18"/>
        <v>4</v>
      </c>
      <c r="X117" s="3">
        <f t="shared" si="19"/>
        <v>17</v>
      </c>
    </row>
    <row r="118" spans="19:24" x14ac:dyDescent="0.35">
      <c r="S118" s="3">
        <f t="shared" si="17"/>
        <v>17</v>
      </c>
      <c r="T118" s="7">
        <f>DATE('Gráfico Controle de Resultados'!$C$9,Auxiliar!U118,Auxiliar!V118)</f>
        <v>49425</v>
      </c>
      <c r="U118" s="3">
        <v>4</v>
      </c>
      <c r="V118" s="3">
        <v>26</v>
      </c>
      <c r="W118" s="22">
        <f t="shared" si="18"/>
        <v>5</v>
      </c>
      <c r="X118" s="3">
        <f t="shared" si="19"/>
        <v>17</v>
      </c>
    </row>
    <row r="119" spans="19:24" x14ac:dyDescent="0.35">
      <c r="S119" s="3">
        <f t="shared" si="17"/>
        <v>17</v>
      </c>
      <c r="T119" s="7">
        <f>DATE('Gráfico Controle de Resultados'!$C$9,Auxiliar!U119,Auxiliar!V119)</f>
        <v>49426</v>
      </c>
      <c r="U119" s="3">
        <v>4</v>
      </c>
      <c r="V119" s="3">
        <v>27</v>
      </c>
      <c r="W119" s="22">
        <f t="shared" si="18"/>
        <v>6</v>
      </c>
      <c r="X119" s="3">
        <f t="shared" si="19"/>
        <v>17</v>
      </c>
    </row>
    <row r="120" spans="19:24" x14ac:dyDescent="0.35">
      <c r="S120" s="3">
        <f t="shared" si="17"/>
        <v>17</v>
      </c>
      <c r="T120" s="7">
        <f>DATE('Gráfico Controle de Resultados'!$C$9,Auxiliar!U120,Auxiliar!V120)</f>
        <v>49427</v>
      </c>
      <c r="U120" s="3">
        <v>4</v>
      </c>
      <c r="V120" s="3">
        <v>28</v>
      </c>
      <c r="W120" s="22">
        <f t="shared" si="18"/>
        <v>7</v>
      </c>
      <c r="X120" s="3">
        <f t="shared" si="19"/>
        <v>17</v>
      </c>
    </row>
    <row r="121" spans="19:24" x14ac:dyDescent="0.35">
      <c r="S121" s="3">
        <f t="shared" si="17"/>
        <v>18</v>
      </c>
      <c r="T121" s="7">
        <f>DATE('Gráfico Controle de Resultados'!$C$9,Auxiliar!U121,Auxiliar!V121)</f>
        <v>49428</v>
      </c>
      <c r="U121" s="3">
        <v>4</v>
      </c>
      <c r="V121" s="3">
        <v>29</v>
      </c>
      <c r="W121" s="22">
        <f t="shared" si="18"/>
        <v>1</v>
      </c>
      <c r="X121" s="3">
        <f t="shared" si="19"/>
        <v>18</v>
      </c>
    </row>
    <row r="122" spans="19:24" x14ac:dyDescent="0.35">
      <c r="S122" s="3">
        <f t="shared" si="17"/>
        <v>18</v>
      </c>
      <c r="T122" s="7">
        <f>DATE('Gráfico Controle de Resultados'!$C$9,Auxiliar!U122,Auxiliar!V122)</f>
        <v>49429</v>
      </c>
      <c r="U122" s="3">
        <v>4</v>
      </c>
      <c r="V122" s="3">
        <v>30</v>
      </c>
      <c r="W122" s="22">
        <f t="shared" si="18"/>
        <v>2</v>
      </c>
      <c r="X122" s="3">
        <f t="shared" si="19"/>
        <v>18</v>
      </c>
    </row>
    <row r="123" spans="19:24" x14ac:dyDescent="0.35">
      <c r="S123" s="3">
        <f t="shared" si="17"/>
        <v>18</v>
      </c>
      <c r="T123" s="7">
        <f>DATE('Gráfico Controle de Resultados'!$C$9,Auxiliar!U123,Auxiliar!V123)</f>
        <v>49430</v>
      </c>
      <c r="U123" s="3">
        <v>5</v>
      </c>
      <c r="V123" s="3">
        <v>1</v>
      </c>
      <c r="W123" s="22">
        <f t="shared" si="18"/>
        <v>3</v>
      </c>
      <c r="X123" s="3">
        <f t="shared" si="19"/>
        <v>18</v>
      </c>
    </row>
    <row r="124" spans="19:24" x14ac:dyDescent="0.35">
      <c r="S124" s="3">
        <f t="shared" si="17"/>
        <v>18</v>
      </c>
      <c r="T124" s="7">
        <f>DATE('Gráfico Controle de Resultados'!$C$9,Auxiliar!U124,Auxiliar!V124)</f>
        <v>49431</v>
      </c>
      <c r="U124" s="3">
        <v>5</v>
      </c>
      <c r="V124" s="3">
        <v>2</v>
      </c>
      <c r="W124" s="22">
        <f t="shared" si="18"/>
        <v>4</v>
      </c>
      <c r="X124" s="3">
        <f t="shared" si="19"/>
        <v>18</v>
      </c>
    </row>
    <row r="125" spans="19:24" x14ac:dyDescent="0.35">
      <c r="S125" s="3">
        <f t="shared" si="17"/>
        <v>18</v>
      </c>
      <c r="T125" s="7">
        <f>DATE('Gráfico Controle de Resultados'!$C$9,Auxiliar!U125,Auxiliar!V125)</f>
        <v>49432</v>
      </c>
      <c r="U125" s="3">
        <v>5</v>
      </c>
      <c r="V125" s="3">
        <v>3</v>
      </c>
      <c r="W125" s="22">
        <f t="shared" si="18"/>
        <v>5</v>
      </c>
      <c r="X125" s="3">
        <f t="shared" si="19"/>
        <v>18</v>
      </c>
    </row>
    <row r="126" spans="19:24" x14ac:dyDescent="0.35">
      <c r="S126" s="3">
        <f t="shared" si="17"/>
        <v>18</v>
      </c>
      <c r="T126" s="7">
        <f>DATE('Gráfico Controle de Resultados'!$C$9,Auxiliar!U126,Auxiliar!V126)</f>
        <v>49433</v>
      </c>
      <c r="U126" s="3">
        <v>5</v>
      </c>
      <c r="V126" s="3">
        <v>4</v>
      </c>
      <c r="W126" s="22">
        <f t="shared" si="18"/>
        <v>6</v>
      </c>
      <c r="X126" s="3">
        <f t="shared" si="19"/>
        <v>18</v>
      </c>
    </row>
    <row r="127" spans="19:24" x14ac:dyDescent="0.35">
      <c r="S127" s="3">
        <f t="shared" si="17"/>
        <v>18</v>
      </c>
      <c r="T127" s="7">
        <f>DATE('Gráfico Controle de Resultados'!$C$9,Auxiliar!U127,Auxiliar!V127)</f>
        <v>49434</v>
      </c>
      <c r="U127" s="3">
        <v>5</v>
      </c>
      <c r="V127" s="3">
        <v>5</v>
      </c>
      <c r="W127" s="22">
        <f t="shared" si="18"/>
        <v>7</v>
      </c>
      <c r="X127" s="3">
        <f t="shared" si="19"/>
        <v>18</v>
      </c>
    </row>
    <row r="128" spans="19:24" x14ac:dyDescent="0.35">
      <c r="S128" s="3">
        <f t="shared" si="17"/>
        <v>19</v>
      </c>
      <c r="T128" s="7">
        <f>DATE('Gráfico Controle de Resultados'!$C$9,Auxiliar!U128,Auxiliar!V128)</f>
        <v>49435</v>
      </c>
      <c r="U128" s="3">
        <v>5</v>
      </c>
      <c r="V128" s="3">
        <v>6</v>
      </c>
      <c r="W128" s="22">
        <f t="shared" si="18"/>
        <v>1</v>
      </c>
      <c r="X128" s="3">
        <f t="shared" si="19"/>
        <v>19</v>
      </c>
    </row>
    <row r="129" spans="19:24" x14ac:dyDescent="0.35">
      <c r="S129" s="3">
        <f t="shared" si="17"/>
        <v>19</v>
      </c>
      <c r="T129" s="7">
        <f>DATE('Gráfico Controle de Resultados'!$C$9,Auxiliar!U129,Auxiliar!V129)</f>
        <v>49436</v>
      </c>
      <c r="U129" s="3">
        <v>5</v>
      </c>
      <c r="V129" s="3">
        <v>7</v>
      </c>
      <c r="W129" s="22">
        <f t="shared" si="18"/>
        <v>2</v>
      </c>
      <c r="X129" s="3">
        <f t="shared" si="19"/>
        <v>19</v>
      </c>
    </row>
    <row r="130" spans="19:24" x14ac:dyDescent="0.35">
      <c r="S130" s="3">
        <f t="shared" si="17"/>
        <v>19</v>
      </c>
      <c r="T130" s="7">
        <f>DATE('Gráfico Controle de Resultados'!$C$9,Auxiliar!U130,Auxiliar!V130)</f>
        <v>49437</v>
      </c>
      <c r="U130" s="3">
        <v>5</v>
      </c>
      <c r="V130" s="3">
        <v>8</v>
      </c>
      <c r="W130" s="22">
        <f t="shared" si="18"/>
        <v>3</v>
      </c>
      <c r="X130" s="3">
        <f t="shared" si="19"/>
        <v>19</v>
      </c>
    </row>
    <row r="131" spans="19:24" x14ac:dyDescent="0.35">
      <c r="S131" s="3">
        <f t="shared" si="17"/>
        <v>19</v>
      </c>
      <c r="T131" s="7">
        <f>DATE('Gráfico Controle de Resultados'!$C$9,Auxiliar!U131,Auxiliar!V131)</f>
        <v>49438</v>
      </c>
      <c r="U131" s="3">
        <v>5</v>
      </c>
      <c r="V131" s="3">
        <v>9</v>
      </c>
      <c r="W131" s="22">
        <f t="shared" si="18"/>
        <v>4</v>
      </c>
      <c r="X131" s="3">
        <f t="shared" si="19"/>
        <v>19</v>
      </c>
    </row>
    <row r="132" spans="19:24" x14ac:dyDescent="0.35">
      <c r="S132" s="3">
        <f t="shared" ref="S132:S195" si="20">IF(W132=1,S131+1,S131)</f>
        <v>19</v>
      </c>
      <c r="T132" s="7">
        <f>DATE('Gráfico Controle de Resultados'!$C$9,Auxiliar!U132,Auxiliar!V132)</f>
        <v>49439</v>
      </c>
      <c r="U132" s="3">
        <v>5</v>
      </c>
      <c r="V132" s="3">
        <v>10</v>
      </c>
      <c r="W132" s="22">
        <f t="shared" ref="W132:W195" si="21">WEEKDAY(T132)</f>
        <v>5</v>
      </c>
      <c r="X132" s="3">
        <f t="shared" ref="X132:X195" si="22">S132</f>
        <v>19</v>
      </c>
    </row>
    <row r="133" spans="19:24" x14ac:dyDescent="0.35">
      <c r="S133" s="3">
        <f t="shared" si="20"/>
        <v>19</v>
      </c>
      <c r="T133" s="7">
        <f>DATE('Gráfico Controle de Resultados'!$C$9,Auxiliar!U133,Auxiliar!V133)</f>
        <v>49440</v>
      </c>
      <c r="U133" s="3">
        <v>5</v>
      </c>
      <c r="V133" s="3">
        <v>11</v>
      </c>
      <c r="W133" s="22">
        <f t="shared" si="21"/>
        <v>6</v>
      </c>
      <c r="X133" s="3">
        <f t="shared" si="22"/>
        <v>19</v>
      </c>
    </row>
    <row r="134" spans="19:24" x14ac:dyDescent="0.35">
      <c r="S134" s="3">
        <f t="shared" si="20"/>
        <v>19</v>
      </c>
      <c r="T134" s="7">
        <f>DATE('Gráfico Controle de Resultados'!$C$9,Auxiliar!U134,Auxiliar!V134)</f>
        <v>49441</v>
      </c>
      <c r="U134" s="3">
        <v>5</v>
      </c>
      <c r="V134" s="3">
        <v>12</v>
      </c>
      <c r="W134" s="22">
        <f t="shared" si="21"/>
        <v>7</v>
      </c>
      <c r="X134" s="3">
        <f t="shared" si="22"/>
        <v>19</v>
      </c>
    </row>
    <row r="135" spans="19:24" x14ac:dyDescent="0.35">
      <c r="S135" s="3">
        <f t="shared" si="20"/>
        <v>20</v>
      </c>
      <c r="T135" s="7">
        <f>DATE('Gráfico Controle de Resultados'!$C$9,Auxiliar!U135,Auxiliar!V135)</f>
        <v>49442</v>
      </c>
      <c r="U135" s="3">
        <v>5</v>
      </c>
      <c r="V135" s="3">
        <v>13</v>
      </c>
      <c r="W135" s="22">
        <f t="shared" si="21"/>
        <v>1</v>
      </c>
      <c r="X135" s="3">
        <f t="shared" si="22"/>
        <v>20</v>
      </c>
    </row>
    <row r="136" spans="19:24" x14ac:dyDescent="0.35">
      <c r="S136" s="3">
        <f t="shared" si="20"/>
        <v>20</v>
      </c>
      <c r="T136" s="7">
        <f>DATE('Gráfico Controle de Resultados'!$C$9,Auxiliar!U136,Auxiliar!V136)</f>
        <v>49443</v>
      </c>
      <c r="U136" s="3">
        <v>5</v>
      </c>
      <c r="V136" s="3">
        <v>14</v>
      </c>
      <c r="W136" s="22">
        <f t="shared" si="21"/>
        <v>2</v>
      </c>
      <c r="X136" s="3">
        <f t="shared" si="22"/>
        <v>20</v>
      </c>
    </row>
    <row r="137" spans="19:24" x14ac:dyDescent="0.35">
      <c r="S137" s="3">
        <f t="shared" si="20"/>
        <v>20</v>
      </c>
      <c r="T137" s="7">
        <f>DATE('Gráfico Controle de Resultados'!$C$9,Auxiliar!U137,Auxiliar!V137)</f>
        <v>49444</v>
      </c>
      <c r="U137" s="3">
        <v>5</v>
      </c>
      <c r="V137" s="3">
        <v>15</v>
      </c>
      <c r="W137" s="22">
        <f t="shared" si="21"/>
        <v>3</v>
      </c>
      <c r="X137" s="3">
        <f t="shared" si="22"/>
        <v>20</v>
      </c>
    </row>
    <row r="138" spans="19:24" x14ac:dyDescent="0.35">
      <c r="S138" s="3">
        <f t="shared" si="20"/>
        <v>20</v>
      </c>
      <c r="T138" s="7">
        <f>DATE('Gráfico Controle de Resultados'!$C$9,Auxiliar!U138,Auxiliar!V138)</f>
        <v>49445</v>
      </c>
      <c r="U138" s="3">
        <v>5</v>
      </c>
      <c r="V138" s="3">
        <v>16</v>
      </c>
      <c r="W138" s="22">
        <f t="shared" si="21"/>
        <v>4</v>
      </c>
      <c r="X138" s="3">
        <f t="shared" si="22"/>
        <v>20</v>
      </c>
    </row>
    <row r="139" spans="19:24" x14ac:dyDescent="0.35">
      <c r="S139" s="3">
        <f t="shared" si="20"/>
        <v>20</v>
      </c>
      <c r="T139" s="7">
        <f>DATE('Gráfico Controle de Resultados'!$C$9,Auxiliar!U139,Auxiliar!V139)</f>
        <v>49446</v>
      </c>
      <c r="U139" s="3">
        <v>5</v>
      </c>
      <c r="V139" s="3">
        <v>17</v>
      </c>
      <c r="W139" s="22">
        <f t="shared" si="21"/>
        <v>5</v>
      </c>
      <c r="X139" s="3">
        <f t="shared" si="22"/>
        <v>20</v>
      </c>
    </row>
    <row r="140" spans="19:24" x14ac:dyDescent="0.35">
      <c r="S140" s="3">
        <f t="shared" si="20"/>
        <v>20</v>
      </c>
      <c r="T140" s="7">
        <f>DATE('Gráfico Controle de Resultados'!$C$9,Auxiliar!U140,Auxiliar!V140)</f>
        <v>49447</v>
      </c>
      <c r="U140" s="3">
        <v>5</v>
      </c>
      <c r="V140" s="3">
        <v>18</v>
      </c>
      <c r="W140" s="22">
        <f t="shared" si="21"/>
        <v>6</v>
      </c>
      <c r="X140" s="3">
        <f t="shared" si="22"/>
        <v>20</v>
      </c>
    </row>
    <row r="141" spans="19:24" x14ac:dyDescent="0.35">
      <c r="S141" s="3">
        <f t="shared" si="20"/>
        <v>20</v>
      </c>
      <c r="T141" s="7">
        <f>DATE('Gráfico Controle de Resultados'!$C$9,Auxiliar!U141,Auxiliar!V141)</f>
        <v>49448</v>
      </c>
      <c r="U141" s="3">
        <v>5</v>
      </c>
      <c r="V141" s="3">
        <v>19</v>
      </c>
      <c r="W141" s="22">
        <f t="shared" si="21"/>
        <v>7</v>
      </c>
      <c r="X141" s="3">
        <f t="shared" si="22"/>
        <v>20</v>
      </c>
    </row>
    <row r="142" spans="19:24" x14ac:dyDescent="0.35">
      <c r="S142" s="3">
        <f t="shared" si="20"/>
        <v>21</v>
      </c>
      <c r="T142" s="7">
        <f>DATE('Gráfico Controle de Resultados'!$C$9,Auxiliar!U142,Auxiliar!V142)</f>
        <v>49449</v>
      </c>
      <c r="U142" s="3">
        <v>5</v>
      </c>
      <c r="V142" s="3">
        <v>20</v>
      </c>
      <c r="W142" s="22">
        <f t="shared" si="21"/>
        <v>1</v>
      </c>
      <c r="X142" s="3">
        <f t="shared" si="22"/>
        <v>21</v>
      </c>
    </row>
    <row r="143" spans="19:24" x14ac:dyDescent="0.35">
      <c r="S143" s="3">
        <f t="shared" si="20"/>
        <v>21</v>
      </c>
      <c r="T143" s="7">
        <f>DATE('Gráfico Controle de Resultados'!$C$9,Auxiliar!U143,Auxiliar!V143)</f>
        <v>49450</v>
      </c>
      <c r="U143" s="3">
        <v>5</v>
      </c>
      <c r="V143" s="3">
        <v>21</v>
      </c>
      <c r="W143" s="22">
        <f t="shared" si="21"/>
        <v>2</v>
      </c>
      <c r="X143" s="3">
        <f t="shared" si="22"/>
        <v>21</v>
      </c>
    </row>
    <row r="144" spans="19:24" x14ac:dyDescent="0.35">
      <c r="S144" s="3">
        <f t="shared" si="20"/>
        <v>21</v>
      </c>
      <c r="T144" s="7">
        <f>DATE('Gráfico Controle de Resultados'!$C$9,Auxiliar!U144,Auxiliar!V144)</f>
        <v>49451</v>
      </c>
      <c r="U144" s="3">
        <v>5</v>
      </c>
      <c r="V144" s="3">
        <v>22</v>
      </c>
      <c r="W144" s="22">
        <f t="shared" si="21"/>
        <v>3</v>
      </c>
      <c r="X144" s="3">
        <f t="shared" si="22"/>
        <v>21</v>
      </c>
    </row>
    <row r="145" spans="19:24" x14ac:dyDescent="0.35">
      <c r="S145" s="3">
        <f t="shared" si="20"/>
        <v>21</v>
      </c>
      <c r="T145" s="7">
        <f>DATE('Gráfico Controle de Resultados'!$C$9,Auxiliar!U145,Auxiliar!V145)</f>
        <v>49452</v>
      </c>
      <c r="U145" s="3">
        <v>5</v>
      </c>
      <c r="V145" s="3">
        <v>23</v>
      </c>
      <c r="W145" s="22">
        <f t="shared" si="21"/>
        <v>4</v>
      </c>
      <c r="X145" s="3">
        <f t="shared" si="22"/>
        <v>21</v>
      </c>
    </row>
    <row r="146" spans="19:24" x14ac:dyDescent="0.35">
      <c r="S146" s="3">
        <f t="shared" si="20"/>
        <v>21</v>
      </c>
      <c r="T146" s="7">
        <f>DATE('Gráfico Controle de Resultados'!$C$9,Auxiliar!U146,Auxiliar!V146)</f>
        <v>49453</v>
      </c>
      <c r="U146" s="3">
        <v>5</v>
      </c>
      <c r="V146" s="3">
        <v>24</v>
      </c>
      <c r="W146" s="22">
        <f t="shared" si="21"/>
        <v>5</v>
      </c>
      <c r="X146" s="3">
        <f t="shared" si="22"/>
        <v>21</v>
      </c>
    </row>
    <row r="147" spans="19:24" x14ac:dyDescent="0.35">
      <c r="S147" s="3">
        <f t="shared" si="20"/>
        <v>21</v>
      </c>
      <c r="T147" s="7">
        <f>DATE('Gráfico Controle de Resultados'!$C$9,Auxiliar!U147,Auxiliar!V147)</f>
        <v>49454</v>
      </c>
      <c r="U147" s="3">
        <v>5</v>
      </c>
      <c r="V147" s="3">
        <v>25</v>
      </c>
      <c r="W147" s="22">
        <f t="shared" si="21"/>
        <v>6</v>
      </c>
      <c r="X147" s="3">
        <f t="shared" si="22"/>
        <v>21</v>
      </c>
    </row>
    <row r="148" spans="19:24" x14ac:dyDescent="0.35">
      <c r="S148" s="3">
        <f t="shared" si="20"/>
        <v>21</v>
      </c>
      <c r="T148" s="7">
        <f>DATE('Gráfico Controle de Resultados'!$C$9,Auxiliar!U148,Auxiliar!V148)</f>
        <v>49455</v>
      </c>
      <c r="U148" s="3">
        <v>5</v>
      </c>
      <c r="V148" s="3">
        <v>26</v>
      </c>
      <c r="W148" s="22">
        <f t="shared" si="21"/>
        <v>7</v>
      </c>
      <c r="X148" s="3">
        <f t="shared" si="22"/>
        <v>21</v>
      </c>
    </row>
    <row r="149" spans="19:24" x14ac:dyDescent="0.35">
      <c r="S149" s="3">
        <f t="shared" si="20"/>
        <v>22</v>
      </c>
      <c r="T149" s="7">
        <f>DATE('Gráfico Controle de Resultados'!$C$9,Auxiliar!U149,Auxiliar!V149)</f>
        <v>49456</v>
      </c>
      <c r="U149" s="3">
        <v>5</v>
      </c>
      <c r="V149" s="3">
        <v>27</v>
      </c>
      <c r="W149" s="22">
        <f t="shared" si="21"/>
        <v>1</v>
      </c>
      <c r="X149" s="3">
        <f t="shared" si="22"/>
        <v>22</v>
      </c>
    </row>
    <row r="150" spans="19:24" x14ac:dyDescent="0.35">
      <c r="S150" s="3">
        <f t="shared" si="20"/>
        <v>22</v>
      </c>
      <c r="T150" s="7">
        <f>DATE('Gráfico Controle de Resultados'!$C$9,Auxiliar!U150,Auxiliar!V150)</f>
        <v>49457</v>
      </c>
      <c r="U150" s="3">
        <v>5</v>
      </c>
      <c r="V150" s="3">
        <v>28</v>
      </c>
      <c r="W150" s="22">
        <f t="shared" si="21"/>
        <v>2</v>
      </c>
      <c r="X150" s="3">
        <f t="shared" si="22"/>
        <v>22</v>
      </c>
    </row>
    <row r="151" spans="19:24" x14ac:dyDescent="0.35">
      <c r="S151" s="3">
        <f t="shared" si="20"/>
        <v>22</v>
      </c>
      <c r="T151" s="7">
        <f>DATE('Gráfico Controle de Resultados'!$C$9,Auxiliar!U151,Auxiliar!V151)</f>
        <v>49458</v>
      </c>
      <c r="U151" s="3">
        <v>5</v>
      </c>
      <c r="V151" s="3">
        <v>29</v>
      </c>
      <c r="W151" s="22">
        <f t="shared" si="21"/>
        <v>3</v>
      </c>
      <c r="X151" s="3">
        <f t="shared" si="22"/>
        <v>22</v>
      </c>
    </row>
    <row r="152" spans="19:24" x14ac:dyDescent="0.35">
      <c r="S152" s="3">
        <f t="shared" si="20"/>
        <v>22</v>
      </c>
      <c r="T152" s="7">
        <f>DATE('Gráfico Controle de Resultados'!$C$9,Auxiliar!U152,Auxiliar!V152)</f>
        <v>49459</v>
      </c>
      <c r="U152" s="3">
        <v>5</v>
      </c>
      <c r="V152" s="3">
        <v>30</v>
      </c>
      <c r="W152" s="22">
        <f t="shared" si="21"/>
        <v>4</v>
      </c>
      <c r="X152" s="3">
        <f t="shared" si="22"/>
        <v>22</v>
      </c>
    </row>
    <row r="153" spans="19:24" x14ac:dyDescent="0.35">
      <c r="S153" s="3">
        <f t="shared" si="20"/>
        <v>22</v>
      </c>
      <c r="T153" s="7">
        <f>DATE('Gráfico Controle de Resultados'!$C$9,Auxiliar!U153,Auxiliar!V153)</f>
        <v>49460</v>
      </c>
      <c r="U153" s="3">
        <v>5</v>
      </c>
      <c r="V153" s="3">
        <v>31</v>
      </c>
      <c r="W153" s="22">
        <f t="shared" si="21"/>
        <v>5</v>
      </c>
      <c r="X153" s="3">
        <f t="shared" si="22"/>
        <v>22</v>
      </c>
    </row>
    <row r="154" spans="19:24" x14ac:dyDescent="0.35">
      <c r="S154" s="3">
        <f t="shared" si="20"/>
        <v>22</v>
      </c>
      <c r="T154" s="7">
        <f>DATE('Gráfico Controle de Resultados'!$C$9,Auxiliar!U154,Auxiliar!V154)</f>
        <v>49461</v>
      </c>
      <c r="U154" s="3">
        <v>6</v>
      </c>
      <c r="V154" s="3">
        <v>1</v>
      </c>
      <c r="W154" s="22">
        <f t="shared" si="21"/>
        <v>6</v>
      </c>
      <c r="X154" s="3">
        <f t="shared" si="22"/>
        <v>22</v>
      </c>
    </row>
    <row r="155" spans="19:24" x14ac:dyDescent="0.35">
      <c r="S155" s="3">
        <f t="shared" si="20"/>
        <v>22</v>
      </c>
      <c r="T155" s="7">
        <f>DATE('Gráfico Controle de Resultados'!$C$9,Auxiliar!U155,Auxiliar!V155)</f>
        <v>49462</v>
      </c>
      <c r="U155" s="3">
        <v>6</v>
      </c>
      <c r="V155" s="3">
        <v>2</v>
      </c>
      <c r="W155" s="22">
        <f t="shared" si="21"/>
        <v>7</v>
      </c>
      <c r="X155" s="3">
        <f t="shared" si="22"/>
        <v>22</v>
      </c>
    </row>
    <row r="156" spans="19:24" x14ac:dyDescent="0.35">
      <c r="S156" s="3">
        <f t="shared" si="20"/>
        <v>23</v>
      </c>
      <c r="T156" s="7">
        <f>DATE('Gráfico Controle de Resultados'!$C$9,Auxiliar!U156,Auxiliar!V156)</f>
        <v>49463</v>
      </c>
      <c r="U156" s="3">
        <v>6</v>
      </c>
      <c r="V156" s="3">
        <v>3</v>
      </c>
      <c r="W156" s="22">
        <f t="shared" si="21"/>
        <v>1</v>
      </c>
      <c r="X156" s="3">
        <f t="shared" si="22"/>
        <v>23</v>
      </c>
    </row>
    <row r="157" spans="19:24" x14ac:dyDescent="0.35">
      <c r="S157" s="3">
        <f t="shared" si="20"/>
        <v>23</v>
      </c>
      <c r="T157" s="7">
        <f>DATE('Gráfico Controle de Resultados'!$C$9,Auxiliar!U157,Auxiliar!V157)</f>
        <v>49464</v>
      </c>
      <c r="U157" s="3">
        <v>6</v>
      </c>
      <c r="V157" s="3">
        <v>4</v>
      </c>
      <c r="W157" s="22">
        <f t="shared" si="21"/>
        <v>2</v>
      </c>
      <c r="X157" s="3">
        <f t="shared" si="22"/>
        <v>23</v>
      </c>
    </row>
    <row r="158" spans="19:24" x14ac:dyDescent="0.35">
      <c r="S158" s="3">
        <f t="shared" si="20"/>
        <v>23</v>
      </c>
      <c r="T158" s="7">
        <f>DATE('Gráfico Controle de Resultados'!$C$9,Auxiliar!U158,Auxiliar!V158)</f>
        <v>49465</v>
      </c>
      <c r="U158" s="3">
        <v>6</v>
      </c>
      <c r="V158" s="3">
        <v>5</v>
      </c>
      <c r="W158" s="22">
        <f t="shared" si="21"/>
        <v>3</v>
      </c>
      <c r="X158" s="3">
        <f t="shared" si="22"/>
        <v>23</v>
      </c>
    </row>
    <row r="159" spans="19:24" x14ac:dyDescent="0.35">
      <c r="S159" s="3">
        <f t="shared" si="20"/>
        <v>23</v>
      </c>
      <c r="T159" s="7">
        <f>DATE('Gráfico Controle de Resultados'!$C$9,Auxiliar!U159,Auxiliar!V159)</f>
        <v>49466</v>
      </c>
      <c r="U159" s="3">
        <v>6</v>
      </c>
      <c r="V159" s="3">
        <v>6</v>
      </c>
      <c r="W159" s="22">
        <f t="shared" si="21"/>
        <v>4</v>
      </c>
      <c r="X159" s="3">
        <f t="shared" si="22"/>
        <v>23</v>
      </c>
    </row>
    <row r="160" spans="19:24" x14ac:dyDescent="0.35">
      <c r="S160" s="3">
        <f t="shared" si="20"/>
        <v>23</v>
      </c>
      <c r="T160" s="7">
        <f>DATE('Gráfico Controle de Resultados'!$C$9,Auxiliar!U160,Auxiliar!V160)</f>
        <v>49467</v>
      </c>
      <c r="U160" s="3">
        <v>6</v>
      </c>
      <c r="V160" s="3">
        <v>7</v>
      </c>
      <c r="W160" s="22">
        <f t="shared" si="21"/>
        <v>5</v>
      </c>
      <c r="X160" s="3">
        <f t="shared" si="22"/>
        <v>23</v>
      </c>
    </row>
    <row r="161" spans="19:24" x14ac:dyDescent="0.35">
      <c r="S161" s="3">
        <f t="shared" si="20"/>
        <v>23</v>
      </c>
      <c r="T161" s="7">
        <f>DATE('Gráfico Controle de Resultados'!$C$9,Auxiliar!U161,Auxiliar!V161)</f>
        <v>49468</v>
      </c>
      <c r="U161" s="3">
        <v>6</v>
      </c>
      <c r="V161" s="3">
        <v>8</v>
      </c>
      <c r="W161" s="22">
        <f t="shared" si="21"/>
        <v>6</v>
      </c>
      <c r="X161" s="3">
        <f t="shared" si="22"/>
        <v>23</v>
      </c>
    </row>
    <row r="162" spans="19:24" x14ac:dyDescent="0.35">
      <c r="S162" s="3">
        <f t="shared" si="20"/>
        <v>23</v>
      </c>
      <c r="T162" s="7">
        <f>DATE('Gráfico Controle de Resultados'!$C$9,Auxiliar!U162,Auxiliar!V162)</f>
        <v>49469</v>
      </c>
      <c r="U162" s="3">
        <v>6</v>
      </c>
      <c r="V162" s="3">
        <v>9</v>
      </c>
      <c r="W162" s="22">
        <f t="shared" si="21"/>
        <v>7</v>
      </c>
      <c r="X162" s="3">
        <f t="shared" si="22"/>
        <v>23</v>
      </c>
    </row>
    <row r="163" spans="19:24" x14ac:dyDescent="0.35">
      <c r="S163" s="3">
        <f t="shared" si="20"/>
        <v>24</v>
      </c>
      <c r="T163" s="7">
        <f>DATE('Gráfico Controle de Resultados'!$C$9,Auxiliar!U163,Auxiliar!V163)</f>
        <v>49470</v>
      </c>
      <c r="U163" s="3">
        <v>6</v>
      </c>
      <c r="V163" s="3">
        <v>10</v>
      </c>
      <c r="W163" s="22">
        <f t="shared" si="21"/>
        <v>1</v>
      </c>
      <c r="X163" s="3">
        <f t="shared" si="22"/>
        <v>24</v>
      </c>
    </row>
    <row r="164" spans="19:24" x14ac:dyDescent="0.35">
      <c r="S164" s="3">
        <f t="shared" si="20"/>
        <v>24</v>
      </c>
      <c r="T164" s="7">
        <f>DATE('Gráfico Controle de Resultados'!$C$9,Auxiliar!U164,Auxiliar!V164)</f>
        <v>49471</v>
      </c>
      <c r="U164" s="3">
        <v>6</v>
      </c>
      <c r="V164" s="3">
        <v>11</v>
      </c>
      <c r="W164" s="22">
        <f t="shared" si="21"/>
        <v>2</v>
      </c>
      <c r="X164" s="3">
        <f t="shared" si="22"/>
        <v>24</v>
      </c>
    </row>
    <row r="165" spans="19:24" x14ac:dyDescent="0.35">
      <c r="S165" s="3">
        <f t="shared" si="20"/>
        <v>24</v>
      </c>
      <c r="T165" s="7">
        <f>DATE('Gráfico Controle de Resultados'!$C$9,Auxiliar!U165,Auxiliar!V165)</f>
        <v>49472</v>
      </c>
      <c r="U165" s="3">
        <v>6</v>
      </c>
      <c r="V165" s="3">
        <v>12</v>
      </c>
      <c r="W165" s="22">
        <f t="shared" si="21"/>
        <v>3</v>
      </c>
      <c r="X165" s="3">
        <f t="shared" si="22"/>
        <v>24</v>
      </c>
    </row>
    <row r="166" spans="19:24" x14ac:dyDescent="0.35">
      <c r="S166" s="3">
        <f t="shared" si="20"/>
        <v>24</v>
      </c>
      <c r="T166" s="7">
        <f>DATE('Gráfico Controle de Resultados'!$C$9,Auxiliar!U166,Auxiliar!V166)</f>
        <v>49473</v>
      </c>
      <c r="U166" s="3">
        <v>6</v>
      </c>
      <c r="V166" s="3">
        <v>13</v>
      </c>
      <c r="W166" s="22">
        <f t="shared" si="21"/>
        <v>4</v>
      </c>
      <c r="X166" s="3">
        <f t="shared" si="22"/>
        <v>24</v>
      </c>
    </row>
    <row r="167" spans="19:24" x14ac:dyDescent="0.35">
      <c r="S167" s="3">
        <f t="shared" si="20"/>
        <v>24</v>
      </c>
      <c r="T167" s="7">
        <f>DATE('Gráfico Controle de Resultados'!$C$9,Auxiliar!U167,Auxiliar!V167)</f>
        <v>49474</v>
      </c>
      <c r="U167" s="3">
        <v>6</v>
      </c>
      <c r="V167" s="3">
        <v>14</v>
      </c>
      <c r="W167" s="22">
        <f t="shared" si="21"/>
        <v>5</v>
      </c>
      <c r="X167" s="3">
        <f t="shared" si="22"/>
        <v>24</v>
      </c>
    </row>
    <row r="168" spans="19:24" x14ac:dyDescent="0.35">
      <c r="S168" s="3">
        <f t="shared" si="20"/>
        <v>24</v>
      </c>
      <c r="T168" s="7">
        <f>DATE('Gráfico Controle de Resultados'!$C$9,Auxiliar!U168,Auxiliar!V168)</f>
        <v>49475</v>
      </c>
      <c r="U168" s="3">
        <v>6</v>
      </c>
      <c r="V168" s="3">
        <v>15</v>
      </c>
      <c r="W168" s="22">
        <f t="shared" si="21"/>
        <v>6</v>
      </c>
      <c r="X168" s="3">
        <f t="shared" si="22"/>
        <v>24</v>
      </c>
    </row>
    <row r="169" spans="19:24" x14ac:dyDescent="0.35">
      <c r="S169" s="3">
        <f t="shared" si="20"/>
        <v>24</v>
      </c>
      <c r="T169" s="7">
        <f>DATE('Gráfico Controle de Resultados'!$C$9,Auxiliar!U169,Auxiliar!V169)</f>
        <v>49476</v>
      </c>
      <c r="U169" s="3">
        <v>6</v>
      </c>
      <c r="V169" s="3">
        <v>16</v>
      </c>
      <c r="W169" s="22">
        <f t="shared" si="21"/>
        <v>7</v>
      </c>
      <c r="X169" s="3">
        <f t="shared" si="22"/>
        <v>24</v>
      </c>
    </row>
    <row r="170" spans="19:24" x14ac:dyDescent="0.35">
      <c r="S170" s="3">
        <f t="shared" si="20"/>
        <v>25</v>
      </c>
      <c r="T170" s="7">
        <f>DATE('Gráfico Controle de Resultados'!$C$9,Auxiliar!U170,Auxiliar!V170)</f>
        <v>49477</v>
      </c>
      <c r="U170" s="3">
        <v>6</v>
      </c>
      <c r="V170" s="3">
        <v>17</v>
      </c>
      <c r="W170" s="22">
        <f t="shared" si="21"/>
        <v>1</v>
      </c>
      <c r="X170" s="3">
        <f t="shared" si="22"/>
        <v>25</v>
      </c>
    </row>
    <row r="171" spans="19:24" x14ac:dyDescent="0.35">
      <c r="S171" s="3">
        <f t="shared" si="20"/>
        <v>25</v>
      </c>
      <c r="T171" s="7">
        <f>DATE('Gráfico Controle de Resultados'!$C$9,Auxiliar!U171,Auxiliar!V171)</f>
        <v>49478</v>
      </c>
      <c r="U171" s="3">
        <v>6</v>
      </c>
      <c r="V171" s="3">
        <v>18</v>
      </c>
      <c r="W171" s="22">
        <f t="shared" si="21"/>
        <v>2</v>
      </c>
      <c r="X171" s="3">
        <f t="shared" si="22"/>
        <v>25</v>
      </c>
    </row>
    <row r="172" spans="19:24" x14ac:dyDescent="0.35">
      <c r="S172" s="3">
        <f t="shared" si="20"/>
        <v>25</v>
      </c>
      <c r="T172" s="7">
        <f>DATE('Gráfico Controle de Resultados'!$C$9,Auxiliar!U172,Auxiliar!V172)</f>
        <v>49479</v>
      </c>
      <c r="U172" s="3">
        <v>6</v>
      </c>
      <c r="V172" s="3">
        <v>19</v>
      </c>
      <c r="W172" s="22">
        <f t="shared" si="21"/>
        <v>3</v>
      </c>
      <c r="X172" s="3">
        <f t="shared" si="22"/>
        <v>25</v>
      </c>
    </row>
    <row r="173" spans="19:24" x14ac:dyDescent="0.35">
      <c r="S173" s="3">
        <f t="shared" si="20"/>
        <v>25</v>
      </c>
      <c r="T173" s="7">
        <f>DATE('Gráfico Controle de Resultados'!$C$9,Auxiliar!U173,Auxiliar!V173)</f>
        <v>49480</v>
      </c>
      <c r="U173" s="3">
        <v>6</v>
      </c>
      <c r="V173" s="3">
        <v>20</v>
      </c>
      <c r="W173" s="22">
        <f t="shared" si="21"/>
        <v>4</v>
      </c>
      <c r="X173" s="3">
        <f t="shared" si="22"/>
        <v>25</v>
      </c>
    </row>
    <row r="174" spans="19:24" x14ac:dyDescent="0.35">
      <c r="S174" s="3">
        <f t="shared" si="20"/>
        <v>25</v>
      </c>
      <c r="T174" s="7">
        <f>DATE('Gráfico Controle de Resultados'!$C$9,Auxiliar!U174,Auxiliar!V174)</f>
        <v>49481</v>
      </c>
      <c r="U174" s="3">
        <v>6</v>
      </c>
      <c r="V174" s="3">
        <v>21</v>
      </c>
      <c r="W174" s="22">
        <f t="shared" si="21"/>
        <v>5</v>
      </c>
      <c r="X174" s="3">
        <f t="shared" si="22"/>
        <v>25</v>
      </c>
    </row>
    <row r="175" spans="19:24" x14ac:dyDescent="0.35">
      <c r="S175" s="3">
        <f t="shared" si="20"/>
        <v>25</v>
      </c>
      <c r="T175" s="7">
        <f>DATE('Gráfico Controle de Resultados'!$C$9,Auxiliar!U175,Auxiliar!V175)</f>
        <v>49482</v>
      </c>
      <c r="U175" s="3">
        <v>6</v>
      </c>
      <c r="V175" s="3">
        <v>22</v>
      </c>
      <c r="W175" s="22">
        <f t="shared" si="21"/>
        <v>6</v>
      </c>
      <c r="X175" s="3">
        <f t="shared" si="22"/>
        <v>25</v>
      </c>
    </row>
    <row r="176" spans="19:24" x14ac:dyDescent="0.35">
      <c r="S176" s="3">
        <f t="shared" si="20"/>
        <v>25</v>
      </c>
      <c r="T176" s="7">
        <f>DATE('Gráfico Controle de Resultados'!$C$9,Auxiliar!U176,Auxiliar!V176)</f>
        <v>49483</v>
      </c>
      <c r="U176" s="3">
        <v>6</v>
      </c>
      <c r="V176" s="3">
        <v>23</v>
      </c>
      <c r="W176" s="22">
        <f t="shared" si="21"/>
        <v>7</v>
      </c>
      <c r="X176" s="3">
        <f t="shared" si="22"/>
        <v>25</v>
      </c>
    </row>
    <row r="177" spans="19:24" x14ac:dyDescent="0.35">
      <c r="S177" s="3">
        <f t="shared" si="20"/>
        <v>26</v>
      </c>
      <c r="T177" s="7">
        <f>DATE('Gráfico Controle de Resultados'!$C$9,Auxiliar!U177,Auxiliar!V177)</f>
        <v>49484</v>
      </c>
      <c r="U177" s="3">
        <v>6</v>
      </c>
      <c r="V177" s="3">
        <v>24</v>
      </c>
      <c r="W177" s="22">
        <f t="shared" si="21"/>
        <v>1</v>
      </c>
      <c r="X177" s="3">
        <f t="shared" si="22"/>
        <v>26</v>
      </c>
    </row>
    <row r="178" spans="19:24" x14ac:dyDescent="0.35">
      <c r="S178" s="3">
        <f t="shared" si="20"/>
        <v>26</v>
      </c>
      <c r="T178" s="7">
        <f>DATE('Gráfico Controle de Resultados'!$C$9,Auxiliar!U178,Auxiliar!V178)</f>
        <v>49485</v>
      </c>
      <c r="U178" s="3">
        <v>6</v>
      </c>
      <c r="V178" s="3">
        <v>25</v>
      </c>
      <c r="W178" s="22">
        <f t="shared" si="21"/>
        <v>2</v>
      </c>
      <c r="X178" s="3">
        <f t="shared" si="22"/>
        <v>26</v>
      </c>
    </row>
    <row r="179" spans="19:24" x14ac:dyDescent="0.35">
      <c r="S179" s="3">
        <f t="shared" si="20"/>
        <v>26</v>
      </c>
      <c r="T179" s="7">
        <f>DATE('Gráfico Controle de Resultados'!$C$9,Auxiliar!U179,Auxiliar!V179)</f>
        <v>49486</v>
      </c>
      <c r="U179" s="3">
        <v>6</v>
      </c>
      <c r="V179" s="3">
        <v>26</v>
      </c>
      <c r="W179" s="22">
        <f t="shared" si="21"/>
        <v>3</v>
      </c>
      <c r="X179" s="3">
        <f t="shared" si="22"/>
        <v>26</v>
      </c>
    </row>
    <row r="180" spans="19:24" x14ac:dyDescent="0.35">
      <c r="S180" s="3">
        <f t="shared" si="20"/>
        <v>26</v>
      </c>
      <c r="T180" s="7">
        <f>DATE('Gráfico Controle de Resultados'!$C$9,Auxiliar!U180,Auxiliar!V180)</f>
        <v>49487</v>
      </c>
      <c r="U180" s="3">
        <v>6</v>
      </c>
      <c r="V180" s="3">
        <v>27</v>
      </c>
      <c r="W180" s="22">
        <f t="shared" si="21"/>
        <v>4</v>
      </c>
      <c r="X180" s="3">
        <f t="shared" si="22"/>
        <v>26</v>
      </c>
    </row>
    <row r="181" spans="19:24" x14ac:dyDescent="0.35">
      <c r="S181" s="3">
        <f t="shared" si="20"/>
        <v>26</v>
      </c>
      <c r="T181" s="7">
        <f>DATE('Gráfico Controle de Resultados'!$C$9,Auxiliar!U181,Auxiliar!V181)</f>
        <v>49488</v>
      </c>
      <c r="U181" s="3">
        <v>6</v>
      </c>
      <c r="V181" s="3">
        <v>28</v>
      </c>
      <c r="W181" s="22">
        <f t="shared" si="21"/>
        <v>5</v>
      </c>
      <c r="X181" s="3">
        <f t="shared" si="22"/>
        <v>26</v>
      </c>
    </row>
    <row r="182" spans="19:24" x14ac:dyDescent="0.35">
      <c r="S182" s="3">
        <f t="shared" si="20"/>
        <v>26</v>
      </c>
      <c r="T182" s="7">
        <f>DATE('Gráfico Controle de Resultados'!$C$9,Auxiliar!U182,Auxiliar!V182)</f>
        <v>49489</v>
      </c>
      <c r="U182" s="3">
        <v>6</v>
      </c>
      <c r="V182" s="3">
        <v>29</v>
      </c>
      <c r="W182" s="22">
        <f t="shared" si="21"/>
        <v>6</v>
      </c>
      <c r="X182" s="3">
        <f t="shared" si="22"/>
        <v>26</v>
      </c>
    </row>
    <row r="183" spans="19:24" x14ac:dyDescent="0.35">
      <c r="S183" s="3">
        <f t="shared" si="20"/>
        <v>26</v>
      </c>
      <c r="T183" s="7">
        <f>DATE('Gráfico Controle de Resultados'!$C$9,Auxiliar!U183,Auxiliar!V183)</f>
        <v>49490</v>
      </c>
      <c r="U183" s="3">
        <v>6</v>
      </c>
      <c r="V183" s="3">
        <v>30</v>
      </c>
      <c r="W183" s="22">
        <f t="shared" si="21"/>
        <v>7</v>
      </c>
      <c r="X183" s="3">
        <f t="shared" si="22"/>
        <v>26</v>
      </c>
    </row>
    <row r="184" spans="19:24" x14ac:dyDescent="0.35">
      <c r="S184" s="3">
        <f t="shared" si="20"/>
        <v>27</v>
      </c>
      <c r="T184" s="7">
        <f>DATE('Gráfico Controle de Resultados'!$C$9,Auxiliar!U184,Auxiliar!V184)</f>
        <v>49491</v>
      </c>
      <c r="U184" s="3">
        <v>7</v>
      </c>
      <c r="V184" s="3">
        <v>1</v>
      </c>
      <c r="W184" s="22">
        <f t="shared" si="21"/>
        <v>1</v>
      </c>
      <c r="X184" s="3">
        <f t="shared" si="22"/>
        <v>27</v>
      </c>
    </row>
    <row r="185" spans="19:24" x14ac:dyDescent="0.35">
      <c r="S185" s="3">
        <f t="shared" si="20"/>
        <v>27</v>
      </c>
      <c r="T185" s="7">
        <f>DATE('Gráfico Controle de Resultados'!$C$9,Auxiliar!U185,Auxiliar!V185)</f>
        <v>49492</v>
      </c>
      <c r="U185" s="3">
        <v>7</v>
      </c>
      <c r="V185" s="3">
        <v>2</v>
      </c>
      <c r="W185" s="22">
        <f t="shared" si="21"/>
        <v>2</v>
      </c>
      <c r="X185" s="3">
        <f t="shared" si="22"/>
        <v>27</v>
      </c>
    </row>
    <row r="186" spans="19:24" x14ac:dyDescent="0.35">
      <c r="S186" s="3">
        <f t="shared" si="20"/>
        <v>27</v>
      </c>
      <c r="T186" s="7">
        <f>DATE('Gráfico Controle de Resultados'!$C$9,Auxiliar!U186,Auxiliar!V186)</f>
        <v>49493</v>
      </c>
      <c r="U186" s="3">
        <v>7</v>
      </c>
      <c r="V186" s="3">
        <v>3</v>
      </c>
      <c r="W186" s="22">
        <f t="shared" si="21"/>
        <v>3</v>
      </c>
      <c r="X186" s="3">
        <f t="shared" si="22"/>
        <v>27</v>
      </c>
    </row>
    <row r="187" spans="19:24" x14ac:dyDescent="0.35">
      <c r="S187" s="3">
        <f t="shared" si="20"/>
        <v>27</v>
      </c>
      <c r="T187" s="7">
        <f>DATE('Gráfico Controle de Resultados'!$C$9,Auxiliar!U187,Auxiliar!V187)</f>
        <v>49494</v>
      </c>
      <c r="U187" s="3">
        <v>7</v>
      </c>
      <c r="V187" s="3">
        <v>4</v>
      </c>
      <c r="W187" s="22">
        <f t="shared" si="21"/>
        <v>4</v>
      </c>
      <c r="X187" s="3">
        <f t="shared" si="22"/>
        <v>27</v>
      </c>
    </row>
    <row r="188" spans="19:24" x14ac:dyDescent="0.35">
      <c r="S188" s="3">
        <f t="shared" si="20"/>
        <v>27</v>
      </c>
      <c r="T188" s="7">
        <f>DATE('Gráfico Controle de Resultados'!$C$9,Auxiliar!U188,Auxiliar!V188)</f>
        <v>49495</v>
      </c>
      <c r="U188" s="3">
        <v>7</v>
      </c>
      <c r="V188" s="3">
        <v>5</v>
      </c>
      <c r="W188" s="22">
        <f t="shared" si="21"/>
        <v>5</v>
      </c>
      <c r="X188" s="3">
        <f t="shared" si="22"/>
        <v>27</v>
      </c>
    </row>
    <row r="189" spans="19:24" x14ac:dyDescent="0.35">
      <c r="S189" s="3">
        <f t="shared" si="20"/>
        <v>27</v>
      </c>
      <c r="T189" s="7">
        <f>DATE('Gráfico Controle de Resultados'!$C$9,Auxiliar!U189,Auxiliar!V189)</f>
        <v>49496</v>
      </c>
      <c r="U189" s="3">
        <v>7</v>
      </c>
      <c r="V189" s="3">
        <v>6</v>
      </c>
      <c r="W189" s="22">
        <f t="shared" si="21"/>
        <v>6</v>
      </c>
      <c r="X189" s="3">
        <f t="shared" si="22"/>
        <v>27</v>
      </c>
    </row>
    <row r="190" spans="19:24" x14ac:dyDescent="0.35">
      <c r="S190" s="3">
        <f t="shared" si="20"/>
        <v>27</v>
      </c>
      <c r="T190" s="7">
        <f>DATE('Gráfico Controle de Resultados'!$C$9,Auxiliar!U190,Auxiliar!V190)</f>
        <v>49497</v>
      </c>
      <c r="U190" s="3">
        <v>7</v>
      </c>
      <c r="V190" s="3">
        <v>7</v>
      </c>
      <c r="W190" s="22">
        <f t="shared" si="21"/>
        <v>7</v>
      </c>
      <c r="X190" s="3">
        <f t="shared" si="22"/>
        <v>27</v>
      </c>
    </row>
    <row r="191" spans="19:24" x14ac:dyDescent="0.35">
      <c r="S191" s="3">
        <f t="shared" si="20"/>
        <v>28</v>
      </c>
      <c r="T191" s="7">
        <f>DATE('Gráfico Controle de Resultados'!$C$9,Auxiliar!U191,Auxiliar!V191)</f>
        <v>49498</v>
      </c>
      <c r="U191" s="3">
        <v>7</v>
      </c>
      <c r="V191" s="3">
        <v>8</v>
      </c>
      <c r="W191" s="22">
        <f t="shared" si="21"/>
        <v>1</v>
      </c>
      <c r="X191" s="3">
        <f t="shared" si="22"/>
        <v>28</v>
      </c>
    </row>
    <row r="192" spans="19:24" x14ac:dyDescent="0.35">
      <c r="S192" s="3">
        <f t="shared" si="20"/>
        <v>28</v>
      </c>
      <c r="T192" s="7">
        <f>DATE('Gráfico Controle de Resultados'!$C$9,Auxiliar!U192,Auxiliar!V192)</f>
        <v>49499</v>
      </c>
      <c r="U192" s="3">
        <v>7</v>
      </c>
      <c r="V192" s="3">
        <v>9</v>
      </c>
      <c r="W192" s="22">
        <f t="shared" si="21"/>
        <v>2</v>
      </c>
      <c r="X192" s="3">
        <f t="shared" si="22"/>
        <v>28</v>
      </c>
    </row>
    <row r="193" spans="19:24" x14ac:dyDescent="0.35">
      <c r="S193" s="3">
        <f t="shared" si="20"/>
        <v>28</v>
      </c>
      <c r="T193" s="7">
        <f>DATE('Gráfico Controle de Resultados'!$C$9,Auxiliar!U193,Auxiliar!V193)</f>
        <v>49500</v>
      </c>
      <c r="U193" s="3">
        <v>7</v>
      </c>
      <c r="V193" s="3">
        <v>10</v>
      </c>
      <c r="W193" s="22">
        <f t="shared" si="21"/>
        <v>3</v>
      </c>
      <c r="X193" s="3">
        <f t="shared" si="22"/>
        <v>28</v>
      </c>
    </row>
    <row r="194" spans="19:24" x14ac:dyDescent="0.35">
      <c r="S194" s="3">
        <f t="shared" si="20"/>
        <v>28</v>
      </c>
      <c r="T194" s="7">
        <f>DATE('Gráfico Controle de Resultados'!$C$9,Auxiliar!U194,Auxiliar!V194)</f>
        <v>49501</v>
      </c>
      <c r="U194" s="3">
        <v>7</v>
      </c>
      <c r="V194" s="3">
        <v>11</v>
      </c>
      <c r="W194" s="22">
        <f t="shared" si="21"/>
        <v>4</v>
      </c>
      <c r="X194" s="3">
        <f t="shared" si="22"/>
        <v>28</v>
      </c>
    </row>
    <row r="195" spans="19:24" x14ac:dyDescent="0.35">
      <c r="S195" s="3">
        <f t="shared" si="20"/>
        <v>28</v>
      </c>
      <c r="T195" s="7">
        <f>DATE('Gráfico Controle de Resultados'!$C$9,Auxiliar!U195,Auxiliar!V195)</f>
        <v>49502</v>
      </c>
      <c r="U195" s="3">
        <v>7</v>
      </c>
      <c r="V195" s="3">
        <v>12</v>
      </c>
      <c r="W195" s="22">
        <f t="shared" si="21"/>
        <v>5</v>
      </c>
      <c r="X195" s="3">
        <f t="shared" si="22"/>
        <v>28</v>
      </c>
    </row>
    <row r="196" spans="19:24" x14ac:dyDescent="0.35">
      <c r="S196" s="3">
        <f t="shared" ref="S196:S259" si="23">IF(W196=1,S195+1,S195)</f>
        <v>28</v>
      </c>
      <c r="T196" s="7">
        <f>DATE('Gráfico Controle de Resultados'!$C$9,Auxiliar!U196,Auxiliar!V196)</f>
        <v>49503</v>
      </c>
      <c r="U196" s="3">
        <v>7</v>
      </c>
      <c r="V196" s="3">
        <v>13</v>
      </c>
      <c r="W196" s="22">
        <f t="shared" ref="W196:W259" si="24">WEEKDAY(T196)</f>
        <v>6</v>
      </c>
      <c r="X196" s="3">
        <f t="shared" ref="X196:X259" si="25">S196</f>
        <v>28</v>
      </c>
    </row>
    <row r="197" spans="19:24" x14ac:dyDescent="0.35">
      <c r="S197" s="3">
        <f t="shared" si="23"/>
        <v>28</v>
      </c>
      <c r="T197" s="7">
        <f>DATE('Gráfico Controle de Resultados'!$C$9,Auxiliar!U197,Auxiliar!V197)</f>
        <v>49504</v>
      </c>
      <c r="U197" s="3">
        <v>7</v>
      </c>
      <c r="V197" s="3">
        <v>14</v>
      </c>
      <c r="W197" s="22">
        <f t="shared" si="24"/>
        <v>7</v>
      </c>
      <c r="X197" s="3">
        <f t="shared" si="25"/>
        <v>28</v>
      </c>
    </row>
    <row r="198" spans="19:24" x14ac:dyDescent="0.35">
      <c r="S198" s="3">
        <f t="shared" si="23"/>
        <v>29</v>
      </c>
      <c r="T198" s="7">
        <f>DATE('Gráfico Controle de Resultados'!$C$9,Auxiliar!U198,Auxiliar!V198)</f>
        <v>49505</v>
      </c>
      <c r="U198" s="3">
        <v>7</v>
      </c>
      <c r="V198" s="3">
        <v>15</v>
      </c>
      <c r="W198" s="22">
        <f t="shared" si="24"/>
        <v>1</v>
      </c>
      <c r="X198" s="3">
        <f t="shared" si="25"/>
        <v>29</v>
      </c>
    </row>
    <row r="199" spans="19:24" x14ac:dyDescent="0.35">
      <c r="S199" s="3">
        <f t="shared" si="23"/>
        <v>29</v>
      </c>
      <c r="T199" s="7">
        <f>DATE('Gráfico Controle de Resultados'!$C$9,Auxiliar!U199,Auxiliar!V199)</f>
        <v>49506</v>
      </c>
      <c r="U199" s="3">
        <v>7</v>
      </c>
      <c r="V199" s="3">
        <v>16</v>
      </c>
      <c r="W199" s="22">
        <f t="shared" si="24"/>
        <v>2</v>
      </c>
      <c r="X199" s="3">
        <f t="shared" si="25"/>
        <v>29</v>
      </c>
    </row>
    <row r="200" spans="19:24" x14ac:dyDescent="0.35">
      <c r="S200" s="3">
        <f t="shared" si="23"/>
        <v>29</v>
      </c>
      <c r="T200" s="7">
        <f>DATE('Gráfico Controle de Resultados'!$C$9,Auxiliar!U200,Auxiliar!V200)</f>
        <v>49507</v>
      </c>
      <c r="U200" s="3">
        <v>7</v>
      </c>
      <c r="V200" s="3">
        <v>17</v>
      </c>
      <c r="W200" s="22">
        <f t="shared" si="24"/>
        <v>3</v>
      </c>
      <c r="X200" s="3">
        <f t="shared" si="25"/>
        <v>29</v>
      </c>
    </row>
    <row r="201" spans="19:24" x14ac:dyDescent="0.35">
      <c r="S201" s="3">
        <f t="shared" si="23"/>
        <v>29</v>
      </c>
      <c r="T201" s="7">
        <f>DATE('Gráfico Controle de Resultados'!$C$9,Auxiliar!U201,Auxiliar!V201)</f>
        <v>49508</v>
      </c>
      <c r="U201" s="3">
        <v>7</v>
      </c>
      <c r="V201" s="3">
        <v>18</v>
      </c>
      <c r="W201" s="22">
        <f t="shared" si="24"/>
        <v>4</v>
      </c>
      <c r="X201" s="3">
        <f t="shared" si="25"/>
        <v>29</v>
      </c>
    </row>
    <row r="202" spans="19:24" x14ac:dyDescent="0.35">
      <c r="S202" s="3">
        <f t="shared" si="23"/>
        <v>29</v>
      </c>
      <c r="T202" s="7">
        <f>DATE('Gráfico Controle de Resultados'!$C$9,Auxiliar!U202,Auxiliar!V202)</f>
        <v>49509</v>
      </c>
      <c r="U202" s="3">
        <v>7</v>
      </c>
      <c r="V202" s="3">
        <v>19</v>
      </c>
      <c r="W202" s="22">
        <f t="shared" si="24"/>
        <v>5</v>
      </c>
      <c r="X202" s="3">
        <f t="shared" si="25"/>
        <v>29</v>
      </c>
    </row>
    <row r="203" spans="19:24" x14ac:dyDescent="0.35">
      <c r="S203" s="3">
        <f t="shared" si="23"/>
        <v>29</v>
      </c>
      <c r="T203" s="7">
        <f>DATE('Gráfico Controle de Resultados'!$C$9,Auxiliar!U203,Auxiliar!V203)</f>
        <v>49510</v>
      </c>
      <c r="U203" s="3">
        <v>7</v>
      </c>
      <c r="V203" s="3">
        <v>20</v>
      </c>
      <c r="W203" s="22">
        <f t="shared" si="24"/>
        <v>6</v>
      </c>
      <c r="X203" s="3">
        <f t="shared" si="25"/>
        <v>29</v>
      </c>
    </row>
    <row r="204" spans="19:24" x14ac:dyDescent="0.35">
      <c r="S204" s="3">
        <f t="shared" si="23"/>
        <v>29</v>
      </c>
      <c r="T204" s="7">
        <f>DATE('Gráfico Controle de Resultados'!$C$9,Auxiliar!U204,Auxiliar!V204)</f>
        <v>49511</v>
      </c>
      <c r="U204" s="3">
        <v>7</v>
      </c>
      <c r="V204" s="3">
        <v>21</v>
      </c>
      <c r="W204" s="22">
        <f t="shared" si="24"/>
        <v>7</v>
      </c>
      <c r="X204" s="3">
        <f t="shared" si="25"/>
        <v>29</v>
      </c>
    </row>
    <row r="205" spans="19:24" x14ac:dyDescent="0.35">
      <c r="S205" s="3">
        <f t="shared" si="23"/>
        <v>30</v>
      </c>
      <c r="T205" s="7">
        <f>DATE('Gráfico Controle de Resultados'!$C$9,Auxiliar!U205,Auxiliar!V205)</f>
        <v>49512</v>
      </c>
      <c r="U205" s="3">
        <v>7</v>
      </c>
      <c r="V205" s="3">
        <v>22</v>
      </c>
      <c r="W205" s="22">
        <f t="shared" si="24"/>
        <v>1</v>
      </c>
      <c r="X205" s="3">
        <f t="shared" si="25"/>
        <v>30</v>
      </c>
    </row>
    <row r="206" spans="19:24" x14ac:dyDescent="0.35">
      <c r="S206" s="3">
        <f t="shared" si="23"/>
        <v>30</v>
      </c>
      <c r="T206" s="7">
        <f>DATE('Gráfico Controle de Resultados'!$C$9,Auxiliar!U206,Auxiliar!V206)</f>
        <v>49513</v>
      </c>
      <c r="U206" s="3">
        <v>7</v>
      </c>
      <c r="V206" s="3">
        <v>23</v>
      </c>
      <c r="W206" s="22">
        <f t="shared" si="24"/>
        <v>2</v>
      </c>
      <c r="X206" s="3">
        <f t="shared" si="25"/>
        <v>30</v>
      </c>
    </row>
    <row r="207" spans="19:24" x14ac:dyDescent="0.35">
      <c r="S207" s="3">
        <f t="shared" si="23"/>
        <v>30</v>
      </c>
      <c r="T207" s="7">
        <f>DATE('Gráfico Controle de Resultados'!$C$9,Auxiliar!U207,Auxiliar!V207)</f>
        <v>49514</v>
      </c>
      <c r="U207" s="3">
        <v>7</v>
      </c>
      <c r="V207" s="3">
        <v>24</v>
      </c>
      <c r="W207" s="22">
        <f t="shared" si="24"/>
        <v>3</v>
      </c>
      <c r="X207" s="3">
        <f t="shared" si="25"/>
        <v>30</v>
      </c>
    </row>
    <row r="208" spans="19:24" x14ac:dyDescent="0.35">
      <c r="S208" s="3">
        <f t="shared" si="23"/>
        <v>30</v>
      </c>
      <c r="T208" s="7">
        <f>DATE('Gráfico Controle de Resultados'!$C$9,Auxiliar!U208,Auxiliar!V208)</f>
        <v>49515</v>
      </c>
      <c r="U208" s="3">
        <v>7</v>
      </c>
      <c r="V208" s="3">
        <v>25</v>
      </c>
      <c r="W208" s="22">
        <f t="shared" si="24"/>
        <v>4</v>
      </c>
      <c r="X208" s="3">
        <f t="shared" si="25"/>
        <v>30</v>
      </c>
    </row>
    <row r="209" spans="19:24" x14ac:dyDescent="0.35">
      <c r="S209" s="3">
        <f t="shared" si="23"/>
        <v>30</v>
      </c>
      <c r="T209" s="7">
        <f>DATE('Gráfico Controle de Resultados'!$C$9,Auxiliar!U209,Auxiliar!V209)</f>
        <v>49516</v>
      </c>
      <c r="U209" s="3">
        <v>7</v>
      </c>
      <c r="V209" s="3">
        <v>26</v>
      </c>
      <c r="W209" s="22">
        <f t="shared" si="24"/>
        <v>5</v>
      </c>
      <c r="X209" s="3">
        <f t="shared" si="25"/>
        <v>30</v>
      </c>
    </row>
    <row r="210" spans="19:24" x14ac:dyDescent="0.35">
      <c r="S210" s="3">
        <f t="shared" si="23"/>
        <v>30</v>
      </c>
      <c r="T210" s="7">
        <f>DATE('Gráfico Controle de Resultados'!$C$9,Auxiliar!U210,Auxiliar!V210)</f>
        <v>49517</v>
      </c>
      <c r="U210" s="3">
        <v>7</v>
      </c>
      <c r="V210" s="3">
        <v>27</v>
      </c>
      <c r="W210" s="22">
        <f t="shared" si="24"/>
        <v>6</v>
      </c>
      <c r="X210" s="3">
        <f t="shared" si="25"/>
        <v>30</v>
      </c>
    </row>
    <row r="211" spans="19:24" x14ac:dyDescent="0.35">
      <c r="S211" s="3">
        <f t="shared" si="23"/>
        <v>30</v>
      </c>
      <c r="T211" s="7">
        <f>DATE('Gráfico Controle de Resultados'!$C$9,Auxiliar!U211,Auxiliar!V211)</f>
        <v>49518</v>
      </c>
      <c r="U211" s="3">
        <v>7</v>
      </c>
      <c r="V211" s="3">
        <v>28</v>
      </c>
      <c r="W211" s="22">
        <f t="shared" si="24"/>
        <v>7</v>
      </c>
      <c r="X211" s="3">
        <f t="shared" si="25"/>
        <v>30</v>
      </c>
    </row>
    <row r="212" spans="19:24" x14ac:dyDescent="0.35">
      <c r="S212" s="3">
        <f t="shared" si="23"/>
        <v>31</v>
      </c>
      <c r="T212" s="7">
        <f>DATE('Gráfico Controle de Resultados'!$C$9,Auxiliar!U212,Auxiliar!V212)</f>
        <v>49519</v>
      </c>
      <c r="U212" s="3">
        <v>7</v>
      </c>
      <c r="V212" s="3">
        <v>29</v>
      </c>
      <c r="W212" s="22">
        <f t="shared" si="24"/>
        <v>1</v>
      </c>
      <c r="X212" s="3">
        <f t="shared" si="25"/>
        <v>31</v>
      </c>
    </row>
    <row r="213" spans="19:24" x14ac:dyDescent="0.35">
      <c r="S213" s="3">
        <f t="shared" si="23"/>
        <v>31</v>
      </c>
      <c r="T213" s="7">
        <f>DATE('Gráfico Controle de Resultados'!$C$9,Auxiliar!U213,Auxiliar!V213)</f>
        <v>49520</v>
      </c>
      <c r="U213" s="3">
        <v>7</v>
      </c>
      <c r="V213" s="3">
        <v>30</v>
      </c>
      <c r="W213" s="22">
        <f t="shared" si="24"/>
        <v>2</v>
      </c>
      <c r="X213" s="3">
        <f t="shared" si="25"/>
        <v>31</v>
      </c>
    </row>
    <row r="214" spans="19:24" x14ac:dyDescent="0.35">
      <c r="S214" s="3">
        <f t="shared" si="23"/>
        <v>31</v>
      </c>
      <c r="T214" s="7">
        <f>DATE('Gráfico Controle de Resultados'!$C$9,Auxiliar!U214,Auxiliar!V214)</f>
        <v>49521</v>
      </c>
      <c r="U214" s="3">
        <v>7</v>
      </c>
      <c r="V214" s="3">
        <v>31</v>
      </c>
      <c r="W214" s="22">
        <f t="shared" si="24"/>
        <v>3</v>
      </c>
      <c r="X214" s="3">
        <f t="shared" si="25"/>
        <v>31</v>
      </c>
    </row>
    <row r="215" spans="19:24" x14ac:dyDescent="0.35">
      <c r="S215" s="3">
        <f t="shared" si="23"/>
        <v>31</v>
      </c>
      <c r="T215" s="7">
        <f>DATE('Gráfico Controle de Resultados'!$C$9,Auxiliar!U215,Auxiliar!V215)</f>
        <v>49522</v>
      </c>
      <c r="U215" s="3">
        <v>8</v>
      </c>
      <c r="V215" s="3">
        <v>1</v>
      </c>
      <c r="W215" s="22">
        <f t="shared" si="24"/>
        <v>4</v>
      </c>
      <c r="X215" s="3">
        <f t="shared" si="25"/>
        <v>31</v>
      </c>
    </row>
    <row r="216" spans="19:24" x14ac:dyDescent="0.35">
      <c r="S216" s="3">
        <f t="shared" si="23"/>
        <v>31</v>
      </c>
      <c r="T216" s="7">
        <f>DATE('Gráfico Controle de Resultados'!$C$9,Auxiliar!U216,Auxiliar!V216)</f>
        <v>49523</v>
      </c>
      <c r="U216" s="3">
        <v>8</v>
      </c>
      <c r="V216" s="3">
        <v>2</v>
      </c>
      <c r="W216" s="22">
        <f t="shared" si="24"/>
        <v>5</v>
      </c>
      <c r="X216" s="3">
        <f t="shared" si="25"/>
        <v>31</v>
      </c>
    </row>
    <row r="217" spans="19:24" x14ac:dyDescent="0.35">
      <c r="S217" s="3">
        <f t="shared" si="23"/>
        <v>31</v>
      </c>
      <c r="T217" s="7">
        <f>DATE('Gráfico Controle de Resultados'!$C$9,Auxiliar!U217,Auxiliar!V217)</f>
        <v>49524</v>
      </c>
      <c r="U217" s="3">
        <v>8</v>
      </c>
      <c r="V217" s="3">
        <v>3</v>
      </c>
      <c r="W217" s="22">
        <f t="shared" si="24"/>
        <v>6</v>
      </c>
      <c r="X217" s="3">
        <f t="shared" si="25"/>
        <v>31</v>
      </c>
    </row>
    <row r="218" spans="19:24" x14ac:dyDescent="0.35">
      <c r="S218" s="3">
        <f t="shared" si="23"/>
        <v>31</v>
      </c>
      <c r="T218" s="7">
        <f>DATE('Gráfico Controle de Resultados'!$C$9,Auxiliar!U218,Auxiliar!V218)</f>
        <v>49525</v>
      </c>
      <c r="U218" s="3">
        <v>8</v>
      </c>
      <c r="V218" s="3">
        <v>4</v>
      </c>
      <c r="W218" s="22">
        <f t="shared" si="24"/>
        <v>7</v>
      </c>
      <c r="X218" s="3">
        <f t="shared" si="25"/>
        <v>31</v>
      </c>
    </row>
    <row r="219" spans="19:24" x14ac:dyDescent="0.35">
      <c r="S219" s="3">
        <f t="shared" si="23"/>
        <v>32</v>
      </c>
      <c r="T219" s="7">
        <f>DATE('Gráfico Controle de Resultados'!$C$9,Auxiliar!U219,Auxiliar!V219)</f>
        <v>49526</v>
      </c>
      <c r="U219" s="3">
        <v>8</v>
      </c>
      <c r="V219" s="3">
        <v>5</v>
      </c>
      <c r="W219" s="22">
        <f t="shared" si="24"/>
        <v>1</v>
      </c>
      <c r="X219" s="3">
        <f t="shared" si="25"/>
        <v>32</v>
      </c>
    </row>
    <row r="220" spans="19:24" x14ac:dyDescent="0.35">
      <c r="S220" s="3">
        <f t="shared" si="23"/>
        <v>32</v>
      </c>
      <c r="T220" s="7">
        <f>DATE('Gráfico Controle de Resultados'!$C$9,Auxiliar!U220,Auxiliar!V220)</f>
        <v>49527</v>
      </c>
      <c r="U220" s="3">
        <v>8</v>
      </c>
      <c r="V220" s="3">
        <v>6</v>
      </c>
      <c r="W220" s="22">
        <f t="shared" si="24"/>
        <v>2</v>
      </c>
      <c r="X220" s="3">
        <f t="shared" si="25"/>
        <v>32</v>
      </c>
    </row>
    <row r="221" spans="19:24" x14ac:dyDescent="0.35">
      <c r="S221" s="3">
        <f t="shared" si="23"/>
        <v>32</v>
      </c>
      <c r="T221" s="7">
        <f>DATE('Gráfico Controle de Resultados'!$C$9,Auxiliar!U221,Auxiliar!V221)</f>
        <v>49528</v>
      </c>
      <c r="U221" s="3">
        <v>8</v>
      </c>
      <c r="V221" s="3">
        <v>7</v>
      </c>
      <c r="W221" s="22">
        <f t="shared" si="24"/>
        <v>3</v>
      </c>
      <c r="X221" s="3">
        <f t="shared" si="25"/>
        <v>32</v>
      </c>
    </row>
    <row r="222" spans="19:24" x14ac:dyDescent="0.35">
      <c r="S222" s="3">
        <f t="shared" si="23"/>
        <v>32</v>
      </c>
      <c r="T222" s="7">
        <f>DATE('Gráfico Controle de Resultados'!$C$9,Auxiliar!U222,Auxiliar!V222)</f>
        <v>49529</v>
      </c>
      <c r="U222" s="3">
        <v>8</v>
      </c>
      <c r="V222" s="3">
        <v>8</v>
      </c>
      <c r="W222" s="22">
        <f t="shared" si="24"/>
        <v>4</v>
      </c>
      <c r="X222" s="3">
        <f t="shared" si="25"/>
        <v>32</v>
      </c>
    </row>
    <row r="223" spans="19:24" x14ac:dyDescent="0.35">
      <c r="S223" s="3">
        <f t="shared" si="23"/>
        <v>32</v>
      </c>
      <c r="T223" s="7">
        <f>DATE('Gráfico Controle de Resultados'!$C$9,Auxiliar!U223,Auxiliar!V223)</f>
        <v>49530</v>
      </c>
      <c r="U223" s="3">
        <v>8</v>
      </c>
      <c r="V223" s="3">
        <v>9</v>
      </c>
      <c r="W223" s="22">
        <f t="shared" si="24"/>
        <v>5</v>
      </c>
      <c r="X223" s="3">
        <f t="shared" si="25"/>
        <v>32</v>
      </c>
    </row>
    <row r="224" spans="19:24" x14ac:dyDescent="0.35">
      <c r="S224" s="3">
        <f t="shared" si="23"/>
        <v>32</v>
      </c>
      <c r="T224" s="7">
        <f>DATE('Gráfico Controle de Resultados'!$C$9,Auxiliar!U224,Auxiliar!V224)</f>
        <v>49531</v>
      </c>
      <c r="U224" s="3">
        <v>8</v>
      </c>
      <c r="V224" s="3">
        <v>10</v>
      </c>
      <c r="W224" s="22">
        <f t="shared" si="24"/>
        <v>6</v>
      </c>
      <c r="X224" s="3">
        <f t="shared" si="25"/>
        <v>32</v>
      </c>
    </row>
    <row r="225" spans="19:24" x14ac:dyDescent="0.35">
      <c r="S225" s="3">
        <f t="shared" si="23"/>
        <v>32</v>
      </c>
      <c r="T225" s="7">
        <f>DATE('Gráfico Controle de Resultados'!$C$9,Auxiliar!U225,Auxiliar!V225)</f>
        <v>49532</v>
      </c>
      <c r="U225" s="3">
        <v>8</v>
      </c>
      <c r="V225" s="3">
        <v>11</v>
      </c>
      <c r="W225" s="22">
        <f t="shared" si="24"/>
        <v>7</v>
      </c>
      <c r="X225" s="3">
        <f t="shared" si="25"/>
        <v>32</v>
      </c>
    </row>
    <row r="226" spans="19:24" x14ac:dyDescent="0.35">
      <c r="S226" s="3">
        <f t="shared" si="23"/>
        <v>33</v>
      </c>
      <c r="T226" s="7">
        <f>DATE('Gráfico Controle de Resultados'!$C$9,Auxiliar!U226,Auxiliar!V226)</f>
        <v>49533</v>
      </c>
      <c r="U226" s="3">
        <v>8</v>
      </c>
      <c r="V226" s="3">
        <v>12</v>
      </c>
      <c r="W226" s="22">
        <f t="shared" si="24"/>
        <v>1</v>
      </c>
      <c r="X226" s="3">
        <f t="shared" si="25"/>
        <v>33</v>
      </c>
    </row>
    <row r="227" spans="19:24" x14ac:dyDescent="0.35">
      <c r="S227" s="3">
        <f t="shared" si="23"/>
        <v>33</v>
      </c>
      <c r="T227" s="7">
        <f>DATE('Gráfico Controle de Resultados'!$C$9,Auxiliar!U227,Auxiliar!V227)</f>
        <v>49534</v>
      </c>
      <c r="U227" s="3">
        <v>8</v>
      </c>
      <c r="V227" s="3">
        <v>13</v>
      </c>
      <c r="W227" s="22">
        <f t="shared" si="24"/>
        <v>2</v>
      </c>
      <c r="X227" s="3">
        <f t="shared" si="25"/>
        <v>33</v>
      </c>
    </row>
    <row r="228" spans="19:24" x14ac:dyDescent="0.35">
      <c r="S228" s="3">
        <f t="shared" si="23"/>
        <v>33</v>
      </c>
      <c r="T228" s="7">
        <f>DATE('Gráfico Controle de Resultados'!$C$9,Auxiliar!U228,Auxiliar!V228)</f>
        <v>49535</v>
      </c>
      <c r="U228" s="3">
        <v>8</v>
      </c>
      <c r="V228" s="3">
        <v>14</v>
      </c>
      <c r="W228" s="22">
        <f t="shared" si="24"/>
        <v>3</v>
      </c>
      <c r="X228" s="3">
        <f t="shared" si="25"/>
        <v>33</v>
      </c>
    </row>
    <row r="229" spans="19:24" x14ac:dyDescent="0.35">
      <c r="S229" s="3">
        <f t="shared" si="23"/>
        <v>33</v>
      </c>
      <c r="T229" s="7">
        <f>DATE('Gráfico Controle de Resultados'!$C$9,Auxiliar!U229,Auxiliar!V229)</f>
        <v>49536</v>
      </c>
      <c r="U229" s="3">
        <v>8</v>
      </c>
      <c r="V229" s="3">
        <v>15</v>
      </c>
      <c r="W229" s="22">
        <f t="shared" si="24"/>
        <v>4</v>
      </c>
      <c r="X229" s="3">
        <f t="shared" si="25"/>
        <v>33</v>
      </c>
    </row>
    <row r="230" spans="19:24" x14ac:dyDescent="0.35">
      <c r="S230" s="3">
        <f t="shared" si="23"/>
        <v>33</v>
      </c>
      <c r="T230" s="7">
        <f>DATE('Gráfico Controle de Resultados'!$C$9,Auxiliar!U230,Auxiliar!V230)</f>
        <v>49537</v>
      </c>
      <c r="U230" s="3">
        <v>8</v>
      </c>
      <c r="V230" s="3">
        <v>16</v>
      </c>
      <c r="W230" s="22">
        <f t="shared" si="24"/>
        <v>5</v>
      </c>
      <c r="X230" s="3">
        <f t="shared" si="25"/>
        <v>33</v>
      </c>
    </row>
    <row r="231" spans="19:24" x14ac:dyDescent="0.35">
      <c r="S231" s="3">
        <f t="shared" si="23"/>
        <v>33</v>
      </c>
      <c r="T231" s="7">
        <f>DATE('Gráfico Controle de Resultados'!$C$9,Auxiliar!U231,Auxiliar!V231)</f>
        <v>49538</v>
      </c>
      <c r="U231" s="3">
        <v>8</v>
      </c>
      <c r="V231" s="3">
        <v>17</v>
      </c>
      <c r="W231" s="22">
        <f t="shared" si="24"/>
        <v>6</v>
      </c>
      <c r="X231" s="3">
        <f t="shared" si="25"/>
        <v>33</v>
      </c>
    </row>
    <row r="232" spans="19:24" x14ac:dyDescent="0.35">
      <c r="S232" s="3">
        <f t="shared" si="23"/>
        <v>33</v>
      </c>
      <c r="T232" s="7">
        <f>DATE('Gráfico Controle de Resultados'!$C$9,Auxiliar!U232,Auxiliar!V232)</f>
        <v>49539</v>
      </c>
      <c r="U232" s="3">
        <v>8</v>
      </c>
      <c r="V232" s="3">
        <v>18</v>
      </c>
      <c r="W232" s="22">
        <f t="shared" si="24"/>
        <v>7</v>
      </c>
      <c r="X232" s="3">
        <f t="shared" si="25"/>
        <v>33</v>
      </c>
    </row>
    <row r="233" spans="19:24" x14ac:dyDescent="0.35">
      <c r="S233" s="3">
        <f t="shared" si="23"/>
        <v>34</v>
      </c>
      <c r="T233" s="7">
        <f>DATE('Gráfico Controle de Resultados'!$C$9,Auxiliar!U233,Auxiliar!V233)</f>
        <v>49540</v>
      </c>
      <c r="U233" s="3">
        <v>8</v>
      </c>
      <c r="V233" s="3">
        <v>19</v>
      </c>
      <c r="W233" s="22">
        <f t="shared" si="24"/>
        <v>1</v>
      </c>
      <c r="X233" s="3">
        <f t="shared" si="25"/>
        <v>34</v>
      </c>
    </row>
    <row r="234" spans="19:24" x14ac:dyDescent="0.35">
      <c r="S234" s="3">
        <f t="shared" si="23"/>
        <v>34</v>
      </c>
      <c r="T234" s="7">
        <f>DATE('Gráfico Controle de Resultados'!$C$9,Auxiliar!U234,Auxiliar!V234)</f>
        <v>49541</v>
      </c>
      <c r="U234" s="3">
        <v>8</v>
      </c>
      <c r="V234" s="3">
        <v>20</v>
      </c>
      <c r="W234" s="22">
        <f t="shared" si="24"/>
        <v>2</v>
      </c>
      <c r="X234" s="3">
        <f t="shared" si="25"/>
        <v>34</v>
      </c>
    </row>
    <row r="235" spans="19:24" x14ac:dyDescent="0.35">
      <c r="S235" s="3">
        <f t="shared" si="23"/>
        <v>34</v>
      </c>
      <c r="T235" s="7">
        <f>DATE('Gráfico Controle de Resultados'!$C$9,Auxiliar!U235,Auxiliar!V235)</f>
        <v>49542</v>
      </c>
      <c r="U235" s="3">
        <v>8</v>
      </c>
      <c r="V235" s="3">
        <v>21</v>
      </c>
      <c r="W235" s="22">
        <f t="shared" si="24"/>
        <v>3</v>
      </c>
      <c r="X235" s="3">
        <f t="shared" si="25"/>
        <v>34</v>
      </c>
    </row>
    <row r="236" spans="19:24" x14ac:dyDescent="0.35">
      <c r="S236" s="3">
        <f t="shared" si="23"/>
        <v>34</v>
      </c>
      <c r="T236" s="7">
        <f>DATE('Gráfico Controle de Resultados'!$C$9,Auxiliar!U236,Auxiliar!V236)</f>
        <v>49543</v>
      </c>
      <c r="U236" s="3">
        <v>8</v>
      </c>
      <c r="V236" s="3">
        <v>22</v>
      </c>
      <c r="W236" s="22">
        <f t="shared" si="24"/>
        <v>4</v>
      </c>
      <c r="X236" s="3">
        <f t="shared" si="25"/>
        <v>34</v>
      </c>
    </row>
    <row r="237" spans="19:24" x14ac:dyDescent="0.35">
      <c r="S237" s="3">
        <f t="shared" si="23"/>
        <v>34</v>
      </c>
      <c r="T237" s="7">
        <f>DATE('Gráfico Controle de Resultados'!$C$9,Auxiliar!U237,Auxiliar!V237)</f>
        <v>49544</v>
      </c>
      <c r="U237" s="3">
        <v>8</v>
      </c>
      <c r="V237" s="3">
        <v>23</v>
      </c>
      <c r="W237" s="22">
        <f t="shared" si="24"/>
        <v>5</v>
      </c>
      <c r="X237" s="3">
        <f t="shared" si="25"/>
        <v>34</v>
      </c>
    </row>
    <row r="238" spans="19:24" x14ac:dyDescent="0.35">
      <c r="S238" s="3">
        <f t="shared" si="23"/>
        <v>34</v>
      </c>
      <c r="T238" s="7">
        <f>DATE('Gráfico Controle de Resultados'!$C$9,Auxiliar!U238,Auxiliar!V238)</f>
        <v>49545</v>
      </c>
      <c r="U238" s="3">
        <v>8</v>
      </c>
      <c r="V238" s="3">
        <v>24</v>
      </c>
      <c r="W238" s="22">
        <f t="shared" si="24"/>
        <v>6</v>
      </c>
      <c r="X238" s="3">
        <f t="shared" si="25"/>
        <v>34</v>
      </c>
    </row>
    <row r="239" spans="19:24" x14ac:dyDescent="0.35">
      <c r="S239" s="3">
        <f t="shared" si="23"/>
        <v>34</v>
      </c>
      <c r="T239" s="7">
        <f>DATE('Gráfico Controle de Resultados'!$C$9,Auxiliar!U239,Auxiliar!V239)</f>
        <v>49546</v>
      </c>
      <c r="U239" s="3">
        <v>8</v>
      </c>
      <c r="V239" s="3">
        <v>25</v>
      </c>
      <c r="W239" s="22">
        <f t="shared" si="24"/>
        <v>7</v>
      </c>
      <c r="X239" s="3">
        <f t="shared" si="25"/>
        <v>34</v>
      </c>
    </row>
    <row r="240" spans="19:24" x14ac:dyDescent="0.35">
      <c r="S240" s="3">
        <f t="shared" si="23"/>
        <v>35</v>
      </c>
      <c r="T240" s="7">
        <f>DATE('Gráfico Controle de Resultados'!$C$9,Auxiliar!U240,Auxiliar!V240)</f>
        <v>49547</v>
      </c>
      <c r="U240" s="3">
        <v>8</v>
      </c>
      <c r="V240" s="3">
        <v>26</v>
      </c>
      <c r="W240" s="22">
        <f t="shared" si="24"/>
        <v>1</v>
      </c>
      <c r="X240" s="3">
        <f t="shared" si="25"/>
        <v>35</v>
      </c>
    </row>
    <row r="241" spans="19:24" x14ac:dyDescent="0.35">
      <c r="S241" s="3">
        <f t="shared" si="23"/>
        <v>35</v>
      </c>
      <c r="T241" s="7">
        <f>DATE('Gráfico Controle de Resultados'!$C$9,Auxiliar!U241,Auxiliar!V241)</f>
        <v>49548</v>
      </c>
      <c r="U241" s="3">
        <v>8</v>
      </c>
      <c r="V241" s="3">
        <v>27</v>
      </c>
      <c r="W241" s="22">
        <f t="shared" si="24"/>
        <v>2</v>
      </c>
      <c r="X241" s="3">
        <f t="shared" si="25"/>
        <v>35</v>
      </c>
    </row>
    <row r="242" spans="19:24" x14ac:dyDescent="0.35">
      <c r="S242" s="3">
        <f t="shared" si="23"/>
        <v>35</v>
      </c>
      <c r="T242" s="7">
        <f>DATE('Gráfico Controle de Resultados'!$C$9,Auxiliar!U242,Auxiliar!V242)</f>
        <v>49549</v>
      </c>
      <c r="U242" s="3">
        <v>8</v>
      </c>
      <c r="V242" s="3">
        <v>28</v>
      </c>
      <c r="W242" s="22">
        <f t="shared" si="24"/>
        <v>3</v>
      </c>
      <c r="X242" s="3">
        <f t="shared" si="25"/>
        <v>35</v>
      </c>
    </row>
    <row r="243" spans="19:24" x14ac:dyDescent="0.35">
      <c r="S243" s="3">
        <f t="shared" si="23"/>
        <v>35</v>
      </c>
      <c r="T243" s="7">
        <f>DATE('Gráfico Controle de Resultados'!$C$9,Auxiliar!U243,Auxiliar!V243)</f>
        <v>49550</v>
      </c>
      <c r="U243" s="3">
        <v>8</v>
      </c>
      <c r="V243" s="3">
        <v>29</v>
      </c>
      <c r="W243" s="22">
        <f t="shared" si="24"/>
        <v>4</v>
      </c>
      <c r="X243" s="3">
        <f t="shared" si="25"/>
        <v>35</v>
      </c>
    </row>
    <row r="244" spans="19:24" x14ac:dyDescent="0.35">
      <c r="S244" s="3">
        <f t="shared" si="23"/>
        <v>35</v>
      </c>
      <c r="T244" s="7">
        <f>DATE('Gráfico Controle de Resultados'!$C$9,Auxiliar!U244,Auxiliar!V244)</f>
        <v>49551</v>
      </c>
      <c r="U244" s="3">
        <v>8</v>
      </c>
      <c r="V244" s="3">
        <v>30</v>
      </c>
      <c r="W244" s="22">
        <f t="shared" si="24"/>
        <v>5</v>
      </c>
      <c r="X244" s="3">
        <f t="shared" si="25"/>
        <v>35</v>
      </c>
    </row>
    <row r="245" spans="19:24" x14ac:dyDescent="0.35">
      <c r="S245" s="3">
        <f t="shared" si="23"/>
        <v>35</v>
      </c>
      <c r="T245" s="7">
        <f>DATE('Gráfico Controle de Resultados'!$C$9,Auxiliar!U245,Auxiliar!V245)</f>
        <v>49552</v>
      </c>
      <c r="U245" s="3">
        <v>8</v>
      </c>
      <c r="V245" s="3">
        <v>31</v>
      </c>
      <c r="W245" s="22">
        <f t="shared" si="24"/>
        <v>6</v>
      </c>
      <c r="X245" s="3">
        <f t="shared" si="25"/>
        <v>35</v>
      </c>
    </row>
    <row r="246" spans="19:24" x14ac:dyDescent="0.35">
      <c r="S246" s="3">
        <f t="shared" si="23"/>
        <v>35</v>
      </c>
      <c r="T246" s="7">
        <f>DATE('Gráfico Controle de Resultados'!$C$9,Auxiliar!U246,Auxiliar!V246)</f>
        <v>49553</v>
      </c>
      <c r="U246" s="3">
        <v>9</v>
      </c>
      <c r="V246" s="3">
        <v>1</v>
      </c>
      <c r="W246" s="22">
        <f t="shared" si="24"/>
        <v>7</v>
      </c>
      <c r="X246" s="3">
        <f t="shared" si="25"/>
        <v>35</v>
      </c>
    </row>
    <row r="247" spans="19:24" x14ac:dyDescent="0.35">
      <c r="S247" s="3">
        <f t="shared" si="23"/>
        <v>36</v>
      </c>
      <c r="T247" s="7">
        <f>DATE('Gráfico Controle de Resultados'!$C$9,Auxiliar!U247,Auxiliar!V247)</f>
        <v>49554</v>
      </c>
      <c r="U247" s="3">
        <v>9</v>
      </c>
      <c r="V247" s="3">
        <v>2</v>
      </c>
      <c r="W247" s="22">
        <f t="shared" si="24"/>
        <v>1</v>
      </c>
      <c r="X247" s="3">
        <f t="shared" si="25"/>
        <v>36</v>
      </c>
    </row>
    <row r="248" spans="19:24" x14ac:dyDescent="0.35">
      <c r="S248" s="3">
        <f t="shared" si="23"/>
        <v>36</v>
      </c>
      <c r="T248" s="7">
        <f>DATE('Gráfico Controle de Resultados'!$C$9,Auxiliar!U248,Auxiliar!V248)</f>
        <v>49555</v>
      </c>
      <c r="U248" s="3">
        <v>9</v>
      </c>
      <c r="V248" s="3">
        <v>3</v>
      </c>
      <c r="W248" s="22">
        <f t="shared" si="24"/>
        <v>2</v>
      </c>
      <c r="X248" s="3">
        <f t="shared" si="25"/>
        <v>36</v>
      </c>
    </row>
    <row r="249" spans="19:24" x14ac:dyDescent="0.35">
      <c r="S249" s="3">
        <f t="shared" si="23"/>
        <v>36</v>
      </c>
      <c r="T249" s="7">
        <f>DATE('Gráfico Controle de Resultados'!$C$9,Auxiliar!U249,Auxiliar!V249)</f>
        <v>49556</v>
      </c>
      <c r="U249" s="3">
        <v>9</v>
      </c>
      <c r="V249" s="3">
        <v>4</v>
      </c>
      <c r="W249" s="22">
        <f t="shared" si="24"/>
        <v>3</v>
      </c>
      <c r="X249" s="3">
        <f t="shared" si="25"/>
        <v>36</v>
      </c>
    </row>
    <row r="250" spans="19:24" x14ac:dyDescent="0.35">
      <c r="S250" s="3">
        <f t="shared" si="23"/>
        <v>36</v>
      </c>
      <c r="T250" s="7">
        <f>DATE('Gráfico Controle de Resultados'!$C$9,Auxiliar!U250,Auxiliar!V250)</f>
        <v>49557</v>
      </c>
      <c r="U250" s="3">
        <v>9</v>
      </c>
      <c r="V250" s="3">
        <v>5</v>
      </c>
      <c r="W250" s="22">
        <f t="shared" si="24"/>
        <v>4</v>
      </c>
      <c r="X250" s="3">
        <f t="shared" si="25"/>
        <v>36</v>
      </c>
    </row>
    <row r="251" spans="19:24" x14ac:dyDescent="0.35">
      <c r="S251" s="3">
        <f t="shared" si="23"/>
        <v>36</v>
      </c>
      <c r="T251" s="7">
        <f>DATE('Gráfico Controle de Resultados'!$C$9,Auxiliar!U251,Auxiliar!V251)</f>
        <v>49558</v>
      </c>
      <c r="U251" s="3">
        <v>9</v>
      </c>
      <c r="V251" s="3">
        <v>6</v>
      </c>
      <c r="W251" s="22">
        <f t="shared" si="24"/>
        <v>5</v>
      </c>
      <c r="X251" s="3">
        <f t="shared" si="25"/>
        <v>36</v>
      </c>
    </row>
    <row r="252" spans="19:24" x14ac:dyDescent="0.35">
      <c r="S252" s="3">
        <f t="shared" si="23"/>
        <v>36</v>
      </c>
      <c r="T252" s="7">
        <f>DATE('Gráfico Controle de Resultados'!$C$9,Auxiliar!U252,Auxiliar!V252)</f>
        <v>49559</v>
      </c>
      <c r="U252" s="3">
        <v>9</v>
      </c>
      <c r="V252" s="3">
        <v>7</v>
      </c>
      <c r="W252" s="22">
        <f t="shared" si="24"/>
        <v>6</v>
      </c>
      <c r="X252" s="3">
        <f t="shared" si="25"/>
        <v>36</v>
      </c>
    </row>
    <row r="253" spans="19:24" x14ac:dyDescent="0.35">
      <c r="S253" s="3">
        <f t="shared" si="23"/>
        <v>36</v>
      </c>
      <c r="T253" s="7">
        <f>DATE('Gráfico Controle de Resultados'!$C$9,Auxiliar!U253,Auxiliar!V253)</f>
        <v>49560</v>
      </c>
      <c r="U253" s="3">
        <v>9</v>
      </c>
      <c r="V253" s="3">
        <v>8</v>
      </c>
      <c r="W253" s="22">
        <f t="shared" si="24"/>
        <v>7</v>
      </c>
      <c r="X253" s="3">
        <f t="shared" si="25"/>
        <v>36</v>
      </c>
    </row>
    <row r="254" spans="19:24" x14ac:dyDescent="0.35">
      <c r="S254" s="3">
        <f t="shared" si="23"/>
        <v>37</v>
      </c>
      <c r="T254" s="7">
        <f>DATE('Gráfico Controle de Resultados'!$C$9,Auxiliar!U254,Auxiliar!V254)</f>
        <v>49561</v>
      </c>
      <c r="U254" s="3">
        <v>9</v>
      </c>
      <c r="V254" s="3">
        <v>9</v>
      </c>
      <c r="W254" s="22">
        <f t="shared" si="24"/>
        <v>1</v>
      </c>
      <c r="X254" s="3">
        <f t="shared" si="25"/>
        <v>37</v>
      </c>
    </row>
    <row r="255" spans="19:24" x14ac:dyDescent="0.35">
      <c r="S255" s="3">
        <f t="shared" si="23"/>
        <v>37</v>
      </c>
      <c r="T255" s="7">
        <f>DATE('Gráfico Controle de Resultados'!$C$9,Auxiliar!U255,Auxiliar!V255)</f>
        <v>49562</v>
      </c>
      <c r="U255" s="3">
        <v>9</v>
      </c>
      <c r="V255" s="3">
        <v>10</v>
      </c>
      <c r="W255" s="22">
        <f t="shared" si="24"/>
        <v>2</v>
      </c>
      <c r="X255" s="3">
        <f t="shared" si="25"/>
        <v>37</v>
      </c>
    </row>
    <row r="256" spans="19:24" x14ac:dyDescent="0.35">
      <c r="S256" s="3">
        <f t="shared" si="23"/>
        <v>37</v>
      </c>
      <c r="T256" s="7">
        <f>DATE('Gráfico Controle de Resultados'!$C$9,Auxiliar!U256,Auxiliar!V256)</f>
        <v>49563</v>
      </c>
      <c r="U256" s="3">
        <v>9</v>
      </c>
      <c r="V256" s="3">
        <v>11</v>
      </c>
      <c r="W256" s="22">
        <f t="shared" si="24"/>
        <v>3</v>
      </c>
      <c r="X256" s="3">
        <f t="shared" si="25"/>
        <v>37</v>
      </c>
    </row>
    <row r="257" spans="19:24" x14ac:dyDescent="0.35">
      <c r="S257" s="3">
        <f t="shared" si="23"/>
        <v>37</v>
      </c>
      <c r="T257" s="7">
        <f>DATE('Gráfico Controle de Resultados'!$C$9,Auxiliar!U257,Auxiliar!V257)</f>
        <v>49564</v>
      </c>
      <c r="U257" s="3">
        <v>9</v>
      </c>
      <c r="V257" s="3">
        <v>12</v>
      </c>
      <c r="W257" s="22">
        <f t="shared" si="24"/>
        <v>4</v>
      </c>
      <c r="X257" s="3">
        <f t="shared" si="25"/>
        <v>37</v>
      </c>
    </row>
    <row r="258" spans="19:24" x14ac:dyDescent="0.35">
      <c r="S258" s="3">
        <f t="shared" si="23"/>
        <v>37</v>
      </c>
      <c r="T258" s="7">
        <f>DATE('Gráfico Controle de Resultados'!$C$9,Auxiliar!U258,Auxiliar!V258)</f>
        <v>49565</v>
      </c>
      <c r="U258" s="3">
        <v>9</v>
      </c>
      <c r="V258" s="3">
        <v>13</v>
      </c>
      <c r="W258" s="22">
        <f t="shared" si="24"/>
        <v>5</v>
      </c>
      <c r="X258" s="3">
        <f t="shared" si="25"/>
        <v>37</v>
      </c>
    </row>
    <row r="259" spans="19:24" x14ac:dyDescent="0.35">
      <c r="S259" s="3">
        <f t="shared" si="23"/>
        <v>37</v>
      </c>
      <c r="T259" s="7">
        <f>DATE('Gráfico Controle de Resultados'!$C$9,Auxiliar!U259,Auxiliar!V259)</f>
        <v>49566</v>
      </c>
      <c r="U259" s="3">
        <v>9</v>
      </c>
      <c r="V259" s="3">
        <v>14</v>
      </c>
      <c r="W259" s="22">
        <f t="shared" si="24"/>
        <v>6</v>
      </c>
      <c r="X259" s="3">
        <f t="shared" si="25"/>
        <v>37</v>
      </c>
    </row>
    <row r="260" spans="19:24" x14ac:dyDescent="0.35">
      <c r="S260" s="3">
        <f t="shared" ref="S260:S323" si="26">IF(W260=1,S259+1,S259)</f>
        <v>37</v>
      </c>
      <c r="T260" s="7">
        <f>DATE('Gráfico Controle de Resultados'!$C$9,Auxiliar!U260,Auxiliar!V260)</f>
        <v>49567</v>
      </c>
      <c r="U260" s="3">
        <v>9</v>
      </c>
      <c r="V260" s="3">
        <v>15</v>
      </c>
      <c r="W260" s="22">
        <f t="shared" ref="W260:W323" si="27">WEEKDAY(T260)</f>
        <v>7</v>
      </c>
      <c r="X260" s="3">
        <f t="shared" ref="X260:X323" si="28">S260</f>
        <v>37</v>
      </c>
    </row>
    <row r="261" spans="19:24" x14ac:dyDescent="0.35">
      <c r="S261" s="3">
        <f t="shared" si="26"/>
        <v>38</v>
      </c>
      <c r="T261" s="7">
        <f>DATE('Gráfico Controle de Resultados'!$C$9,Auxiliar!U261,Auxiliar!V261)</f>
        <v>49568</v>
      </c>
      <c r="U261" s="3">
        <v>9</v>
      </c>
      <c r="V261" s="3">
        <v>16</v>
      </c>
      <c r="W261" s="22">
        <f t="shared" si="27"/>
        <v>1</v>
      </c>
      <c r="X261" s="3">
        <f t="shared" si="28"/>
        <v>38</v>
      </c>
    </row>
    <row r="262" spans="19:24" x14ac:dyDescent="0.35">
      <c r="S262" s="3">
        <f t="shared" si="26"/>
        <v>38</v>
      </c>
      <c r="T262" s="7">
        <f>DATE('Gráfico Controle de Resultados'!$C$9,Auxiliar!U262,Auxiliar!V262)</f>
        <v>49569</v>
      </c>
      <c r="U262" s="3">
        <v>9</v>
      </c>
      <c r="V262" s="3">
        <v>17</v>
      </c>
      <c r="W262" s="22">
        <f t="shared" si="27"/>
        <v>2</v>
      </c>
      <c r="X262" s="3">
        <f t="shared" si="28"/>
        <v>38</v>
      </c>
    </row>
    <row r="263" spans="19:24" x14ac:dyDescent="0.35">
      <c r="S263" s="3">
        <f t="shared" si="26"/>
        <v>38</v>
      </c>
      <c r="T263" s="7">
        <f>DATE('Gráfico Controle de Resultados'!$C$9,Auxiliar!U263,Auxiliar!V263)</f>
        <v>49570</v>
      </c>
      <c r="U263" s="3">
        <v>9</v>
      </c>
      <c r="V263" s="3">
        <v>18</v>
      </c>
      <c r="W263" s="22">
        <f t="shared" si="27"/>
        <v>3</v>
      </c>
      <c r="X263" s="3">
        <f t="shared" si="28"/>
        <v>38</v>
      </c>
    </row>
    <row r="264" spans="19:24" x14ac:dyDescent="0.35">
      <c r="S264" s="3">
        <f t="shared" si="26"/>
        <v>38</v>
      </c>
      <c r="T264" s="7">
        <f>DATE('Gráfico Controle de Resultados'!$C$9,Auxiliar!U264,Auxiliar!V264)</f>
        <v>49571</v>
      </c>
      <c r="U264" s="3">
        <v>9</v>
      </c>
      <c r="V264" s="3">
        <v>19</v>
      </c>
      <c r="W264" s="22">
        <f t="shared" si="27"/>
        <v>4</v>
      </c>
      <c r="X264" s="3">
        <f t="shared" si="28"/>
        <v>38</v>
      </c>
    </row>
    <row r="265" spans="19:24" x14ac:dyDescent="0.35">
      <c r="S265" s="3">
        <f t="shared" si="26"/>
        <v>38</v>
      </c>
      <c r="T265" s="7">
        <f>DATE('Gráfico Controle de Resultados'!$C$9,Auxiliar!U265,Auxiliar!V265)</f>
        <v>49572</v>
      </c>
      <c r="U265" s="3">
        <v>9</v>
      </c>
      <c r="V265" s="3">
        <v>20</v>
      </c>
      <c r="W265" s="22">
        <f t="shared" si="27"/>
        <v>5</v>
      </c>
      <c r="X265" s="3">
        <f t="shared" si="28"/>
        <v>38</v>
      </c>
    </row>
    <row r="266" spans="19:24" x14ac:dyDescent="0.35">
      <c r="S266" s="3">
        <f t="shared" si="26"/>
        <v>38</v>
      </c>
      <c r="T266" s="7">
        <f>DATE('Gráfico Controle de Resultados'!$C$9,Auxiliar!U266,Auxiliar!V266)</f>
        <v>49573</v>
      </c>
      <c r="U266" s="3">
        <v>9</v>
      </c>
      <c r="V266" s="3">
        <v>21</v>
      </c>
      <c r="W266" s="22">
        <f t="shared" si="27"/>
        <v>6</v>
      </c>
      <c r="X266" s="3">
        <f t="shared" si="28"/>
        <v>38</v>
      </c>
    </row>
    <row r="267" spans="19:24" x14ac:dyDescent="0.35">
      <c r="S267" s="3">
        <f t="shared" si="26"/>
        <v>38</v>
      </c>
      <c r="T267" s="7">
        <f>DATE('Gráfico Controle de Resultados'!$C$9,Auxiliar!U267,Auxiliar!V267)</f>
        <v>49574</v>
      </c>
      <c r="U267" s="3">
        <v>9</v>
      </c>
      <c r="V267" s="3">
        <v>22</v>
      </c>
      <c r="W267" s="22">
        <f t="shared" si="27"/>
        <v>7</v>
      </c>
      <c r="X267" s="3">
        <f t="shared" si="28"/>
        <v>38</v>
      </c>
    </row>
    <row r="268" spans="19:24" x14ac:dyDescent="0.35">
      <c r="S268" s="3">
        <f t="shared" si="26"/>
        <v>39</v>
      </c>
      <c r="T268" s="7">
        <f>DATE('Gráfico Controle de Resultados'!$C$9,Auxiliar!U268,Auxiliar!V268)</f>
        <v>49575</v>
      </c>
      <c r="U268" s="3">
        <v>9</v>
      </c>
      <c r="V268" s="3">
        <v>23</v>
      </c>
      <c r="W268" s="22">
        <f t="shared" si="27"/>
        <v>1</v>
      </c>
      <c r="X268" s="3">
        <f t="shared" si="28"/>
        <v>39</v>
      </c>
    </row>
    <row r="269" spans="19:24" x14ac:dyDescent="0.35">
      <c r="S269" s="3">
        <f t="shared" si="26"/>
        <v>39</v>
      </c>
      <c r="T269" s="7">
        <f>DATE('Gráfico Controle de Resultados'!$C$9,Auxiliar!U269,Auxiliar!V269)</f>
        <v>49576</v>
      </c>
      <c r="U269" s="3">
        <v>9</v>
      </c>
      <c r="V269" s="3">
        <v>24</v>
      </c>
      <c r="W269" s="22">
        <f t="shared" si="27"/>
        <v>2</v>
      </c>
      <c r="X269" s="3">
        <f t="shared" si="28"/>
        <v>39</v>
      </c>
    </row>
    <row r="270" spans="19:24" x14ac:dyDescent="0.35">
      <c r="S270" s="3">
        <f t="shared" si="26"/>
        <v>39</v>
      </c>
      <c r="T270" s="7">
        <f>DATE('Gráfico Controle de Resultados'!$C$9,Auxiliar!U270,Auxiliar!V270)</f>
        <v>49577</v>
      </c>
      <c r="U270" s="3">
        <v>9</v>
      </c>
      <c r="V270" s="3">
        <v>25</v>
      </c>
      <c r="W270" s="22">
        <f t="shared" si="27"/>
        <v>3</v>
      </c>
      <c r="X270" s="3">
        <f t="shared" si="28"/>
        <v>39</v>
      </c>
    </row>
    <row r="271" spans="19:24" x14ac:dyDescent="0.35">
      <c r="S271" s="3">
        <f t="shared" si="26"/>
        <v>39</v>
      </c>
      <c r="T271" s="7">
        <f>DATE('Gráfico Controle de Resultados'!$C$9,Auxiliar!U271,Auxiliar!V271)</f>
        <v>49578</v>
      </c>
      <c r="U271" s="3">
        <v>9</v>
      </c>
      <c r="V271" s="3">
        <v>26</v>
      </c>
      <c r="W271" s="22">
        <f t="shared" si="27"/>
        <v>4</v>
      </c>
      <c r="X271" s="3">
        <f t="shared" si="28"/>
        <v>39</v>
      </c>
    </row>
    <row r="272" spans="19:24" x14ac:dyDescent="0.35">
      <c r="S272" s="3">
        <f t="shared" si="26"/>
        <v>39</v>
      </c>
      <c r="T272" s="7">
        <f>DATE('Gráfico Controle de Resultados'!$C$9,Auxiliar!U272,Auxiliar!V272)</f>
        <v>49579</v>
      </c>
      <c r="U272" s="3">
        <v>9</v>
      </c>
      <c r="V272" s="3">
        <v>27</v>
      </c>
      <c r="W272" s="22">
        <f t="shared" si="27"/>
        <v>5</v>
      </c>
      <c r="X272" s="3">
        <f t="shared" si="28"/>
        <v>39</v>
      </c>
    </row>
    <row r="273" spans="19:24" x14ac:dyDescent="0.35">
      <c r="S273" s="3">
        <f t="shared" si="26"/>
        <v>39</v>
      </c>
      <c r="T273" s="7">
        <f>DATE('Gráfico Controle de Resultados'!$C$9,Auxiliar!U273,Auxiliar!V273)</f>
        <v>49580</v>
      </c>
      <c r="U273" s="3">
        <v>9</v>
      </c>
      <c r="V273" s="3">
        <v>28</v>
      </c>
      <c r="W273" s="22">
        <f t="shared" si="27"/>
        <v>6</v>
      </c>
      <c r="X273" s="3">
        <f t="shared" si="28"/>
        <v>39</v>
      </c>
    </row>
    <row r="274" spans="19:24" x14ac:dyDescent="0.35">
      <c r="S274" s="3">
        <f t="shared" si="26"/>
        <v>39</v>
      </c>
      <c r="T274" s="7">
        <f>DATE('Gráfico Controle de Resultados'!$C$9,Auxiliar!U274,Auxiliar!V274)</f>
        <v>49581</v>
      </c>
      <c r="U274" s="3">
        <v>9</v>
      </c>
      <c r="V274" s="3">
        <v>29</v>
      </c>
      <c r="W274" s="22">
        <f t="shared" si="27"/>
        <v>7</v>
      </c>
      <c r="X274" s="3">
        <f t="shared" si="28"/>
        <v>39</v>
      </c>
    </row>
    <row r="275" spans="19:24" x14ac:dyDescent="0.35">
      <c r="S275" s="3">
        <f t="shared" si="26"/>
        <v>40</v>
      </c>
      <c r="T275" s="7">
        <f>DATE('Gráfico Controle de Resultados'!$C$9,Auxiliar!U275,Auxiliar!V275)</f>
        <v>49582</v>
      </c>
      <c r="U275" s="3">
        <v>9</v>
      </c>
      <c r="V275" s="3">
        <v>30</v>
      </c>
      <c r="W275" s="22">
        <f t="shared" si="27"/>
        <v>1</v>
      </c>
      <c r="X275" s="3">
        <f t="shared" si="28"/>
        <v>40</v>
      </c>
    </row>
    <row r="276" spans="19:24" x14ac:dyDescent="0.35">
      <c r="S276" s="3">
        <f t="shared" si="26"/>
        <v>40</v>
      </c>
      <c r="T276" s="7">
        <f>DATE('Gráfico Controle de Resultados'!$C$9,Auxiliar!U276,Auxiliar!V276)</f>
        <v>49583</v>
      </c>
      <c r="U276" s="3">
        <v>10</v>
      </c>
      <c r="V276" s="3">
        <v>1</v>
      </c>
      <c r="W276" s="22">
        <f t="shared" si="27"/>
        <v>2</v>
      </c>
      <c r="X276" s="3">
        <f t="shared" si="28"/>
        <v>40</v>
      </c>
    </row>
    <row r="277" spans="19:24" x14ac:dyDescent="0.35">
      <c r="S277" s="3">
        <f t="shared" si="26"/>
        <v>40</v>
      </c>
      <c r="T277" s="7">
        <f>DATE('Gráfico Controle de Resultados'!$C$9,Auxiliar!U277,Auxiliar!V277)</f>
        <v>49584</v>
      </c>
      <c r="U277" s="3">
        <v>10</v>
      </c>
      <c r="V277" s="3">
        <v>2</v>
      </c>
      <c r="W277" s="22">
        <f t="shared" si="27"/>
        <v>3</v>
      </c>
      <c r="X277" s="3">
        <f t="shared" si="28"/>
        <v>40</v>
      </c>
    </row>
    <row r="278" spans="19:24" x14ac:dyDescent="0.35">
      <c r="S278" s="3">
        <f t="shared" si="26"/>
        <v>40</v>
      </c>
      <c r="T278" s="7">
        <f>DATE('Gráfico Controle de Resultados'!$C$9,Auxiliar!U278,Auxiliar!V278)</f>
        <v>49585</v>
      </c>
      <c r="U278" s="3">
        <v>10</v>
      </c>
      <c r="V278" s="3">
        <v>3</v>
      </c>
      <c r="W278" s="22">
        <f t="shared" si="27"/>
        <v>4</v>
      </c>
      <c r="X278" s="3">
        <f t="shared" si="28"/>
        <v>40</v>
      </c>
    </row>
    <row r="279" spans="19:24" x14ac:dyDescent="0.35">
      <c r="S279" s="3">
        <f t="shared" si="26"/>
        <v>40</v>
      </c>
      <c r="T279" s="7">
        <f>DATE('Gráfico Controle de Resultados'!$C$9,Auxiliar!U279,Auxiliar!V279)</f>
        <v>49586</v>
      </c>
      <c r="U279" s="3">
        <v>10</v>
      </c>
      <c r="V279" s="3">
        <v>4</v>
      </c>
      <c r="W279" s="22">
        <f t="shared" si="27"/>
        <v>5</v>
      </c>
      <c r="X279" s="3">
        <f t="shared" si="28"/>
        <v>40</v>
      </c>
    </row>
    <row r="280" spans="19:24" x14ac:dyDescent="0.35">
      <c r="S280" s="3">
        <f t="shared" si="26"/>
        <v>40</v>
      </c>
      <c r="T280" s="7">
        <f>DATE('Gráfico Controle de Resultados'!$C$9,Auxiliar!U280,Auxiliar!V280)</f>
        <v>49587</v>
      </c>
      <c r="U280" s="3">
        <v>10</v>
      </c>
      <c r="V280" s="3">
        <v>5</v>
      </c>
      <c r="W280" s="22">
        <f t="shared" si="27"/>
        <v>6</v>
      </c>
      <c r="X280" s="3">
        <f t="shared" si="28"/>
        <v>40</v>
      </c>
    </row>
    <row r="281" spans="19:24" x14ac:dyDescent="0.35">
      <c r="S281" s="3">
        <f t="shared" si="26"/>
        <v>40</v>
      </c>
      <c r="T281" s="7">
        <f>DATE('Gráfico Controle de Resultados'!$C$9,Auxiliar!U281,Auxiliar!V281)</f>
        <v>49588</v>
      </c>
      <c r="U281" s="3">
        <v>10</v>
      </c>
      <c r="V281" s="3">
        <v>6</v>
      </c>
      <c r="W281" s="22">
        <f t="shared" si="27"/>
        <v>7</v>
      </c>
      <c r="X281" s="3">
        <f t="shared" si="28"/>
        <v>40</v>
      </c>
    </row>
    <row r="282" spans="19:24" x14ac:dyDescent="0.35">
      <c r="S282" s="3">
        <f t="shared" si="26"/>
        <v>41</v>
      </c>
      <c r="T282" s="7">
        <f>DATE('Gráfico Controle de Resultados'!$C$9,Auxiliar!U282,Auxiliar!V282)</f>
        <v>49589</v>
      </c>
      <c r="U282" s="3">
        <v>10</v>
      </c>
      <c r="V282" s="3">
        <v>7</v>
      </c>
      <c r="W282" s="22">
        <f t="shared" si="27"/>
        <v>1</v>
      </c>
      <c r="X282" s="3">
        <f t="shared" si="28"/>
        <v>41</v>
      </c>
    </row>
    <row r="283" spans="19:24" x14ac:dyDescent="0.35">
      <c r="S283" s="3">
        <f t="shared" si="26"/>
        <v>41</v>
      </c>
      <c r="T283" s="7">
        <f>DATE('Gráfico Controle de Resultados'!$C$9,Auxiliar!U283,Auxiliar!V283)</f>
        <v>49590</v>
      </c>
      <c r="U283" s="3">
        <v>10</v>
      </c>
      <c r="V283" s="3">
        <v>8</v>
      </c>
      <c r="W283" s="22">
        <f t="shared" si="27"/>
        <v>2</v>
      </c>
      <c r="X283" s="3">
        <f t="shared" si="28"/>
        <v>41</v>
      </c>
    </row>
    <row r="284" spans="19:24" x14ac:dyDescent="0.35">
      <c r="S284" s="3">
        <f t="shared" si="26"/>
        <v>41</v>
      </c>
      <c r="T284" s="7">
        <f>DATE('Gráfico Controle de Resultados'!$C$9,Auxiliar!U284,Auxiliar!V284)</f>
        <v>49591</v>
      </c>
      <c r="U284" s="3">
        <v>10</v>
      </c>
      <c r="V284" s="3">
        <v>9</v>
      </c>
      <c r="W284" s="22">
        <f t="shared" si="27"/>
        <v>3</v>
      </c>
      <c r="X284" s="3">
        <f t="shared" si="28"/>
        <v>41</v>
      </c>
    </row>
    <row r="285" spans="19:24" x14ac:dyDescent="0.35">
      <c r="S285" s="3">
        <f t="shared" si="26"/>
        <v>41</v>
      </c>
      <c r="T285" s="7">
        <f>DATE('Gráfico Controle de Resultados'!$C$9,Auxiliar!U285,Auxiliar!V285)</f>
        <v>49592</v>
      </c>
      <c r="U285" s="3">
        <v>10</v>
      </c>
      <c r="V285" s="3">
        <v>10</v>
      </c>
      <c r="W285" s="22">
        <f t="shared" si="27"/>
        <v>4</v>
      </c>
      <c r="X285" s="3">
        <f t="shared" si="28"/>
        <v>41</v>
      </c>
    </row>
    <row r="286" spans="19:24" x14ac:dyDescent="0.35">
      <c r="S286" s="3">
        <f t="shared" si="26"/>
        <v>41</v>
      </c>
      <c r="T286" s="7">
        <f>DATE('Gráfico Controle de Resultados'!$C$9,Auxiliar!U286,Auxiliar!V286)</f>
        <v>49593</v>
      </c>
      <c r="U286" s="3">
        <v>10</v>
      </c>
      <c r="V286" s="3">
        <v>11</v>
      </c>
      <c r="W286" s="22">
        <f t="shared" si="27"/>
        <v>5</v>
      </c>
      <c r="X286" s="3">
        <f t="shared" si="28"/>
        <v>41</v>
      </c>
    </row>
    <row r="287" spans="19:24" x14ac:dyDescent="0.35">
      <c r="S287" s="3">
        <f t="shared" si="26"/>
        <v>41</v>
      </c>
      <c r="T287" s="7">
        <f>DATE('Gráfico Controle de Resultados'!$C$9,Auxiliar!U287,Auxiliar!V287)</f>
        <v>49594</v>
      </c>
      <c r="U287" s="3">
        <v>10</v>
      </c>
      <c r="V287" s="3">
        <v>12</v>
      </c>
      <c r="W287" s="22">
        <f t="shared" si="27"/>
        <v>6</v>
      </c>
      <c r="X287" s="3">
        <f t="shared" si="28"/>
        <v>41</v>
      </c>
    </row>
    <row r="288" spans="19:24" x14ac:dyDescent="0.35">
      <c r="S288" s="3">
        <f t="shared" si="26"/>
        <v>41</v>
      </c>
      <c r="T288" s="7">
        <f>DATE('Gráfico Controle de Resultados'!$C$9,Auxiliar!U288,Auxiliar!V288)</f>
        <v>49595</v>
      </c>
      <c r="U288" s="3">
        <v>10</v>
      </c>
      <c r="V288" s="3">
        <v>13</v>
      </c>
      <c r="W288" s="22">
        <f t="shared" si="27"/>
        <v>7</v>
      </c>
      <c r="X288" s="3">
        <f t="shared" si="28"/>
        <v>41</v>
      </c>
    </row>
    <row r="289" spans="19:24" x14ac:dyDescent="0.35">
      <c r="S289" s="3">
        <f t="shared" si="26"/>
        <v>42</v>
      </c>
      <c r="T289" s="7">
        <f>DATE('Gráfico Controle de Resultados'!$C$9,Auxiliar!U289,Auxiliar!V289)</f>
        <v>49596</v>
      </c>
      <c r="U289" s="3">
        <v>10</v>
      </c>
      <c r="V289" s="3">
        <v>14</v>
      </c>
      <c r="W289" s="22">
        <f t="shared" si="27"/>
        <v>1</v>
      </c>
      <c r="X289" s="3">
        <f t="shared" si="28"/>
        <v>42</v>
      </c>
    </row>
    <row r="290" spans="19:24" x14ac:dyDescent="0.35">
      <c r="S290" s="3">
        <f t="shared" si="26"/>
        <v>42</v>
      </c>
      <c r="T290" s="7">
        <f>DATE('Gráfico Controle de Resultados'!$C$9,Auxiliar!U290,Auxiliar!V290)</f>
        <v>49597</v>
      </c>
      <c r="U290" s="3">
        <v>10</v>
      </c>
      <c r="V290" s="3">
        <v>15</v>
      </c>
      <c r="W290" s="22">
        <f t="shared" si="27"/>
        <v>2</v>
      </c>
      <c r="X290" s="3">
        <f t="shared" si="28"/>
        <v>42</v>
      </c>
    </row>
    <row r="291" spans="19:24" x14ac:dyDescent="0.35">
      <c r="S291" s="3">
        <f t="shared" si="26"/>
        <v>42</v>
      </c>
      <c r="T291" s="7">
        <f>DATE('Gráfico Controle de Resultados'!$C$9,Auxiliar!U291,Auxiliar!V291)</f>
        <v>49598</v>
      </c>
      <c r="U291" s="3">
        <v>10</v>
      </c>
      <c r="V291" s="3">
        <v>16</v>
      </c>
      <c r="W291" s="22">
        <f t="shared" si="27"/>
        <v>3</v>
      </c>
      <c r="X291" s="3">
        <f t="shared" si="28"/>
        <v>42</v>
      </c>
    </row>
    <row r="292" spans="19:24" x14ac:dyDescent="0.35">
      <c r="S292" s="3">
        <f t="shared" si="26"/>
        <v>42</v>
      </c>
      <c r="T292" s="7">
        <f>DATE('Gráfico Controle de Resultados'!$C$9,Auxiliar!U292,Auxiliar!V292)</f>
        <v>49599</v>
      </c>
      <c r="U292" s="3">
        <v>10</v>
      </c>
      <c r="V292" s="3">
        <v>17</v>
      </c>
      <c r="W292" s="22">
        <f t="shared" si="27"/>
        <v>4</v>
      </c>
      <c r="X292" s="3">
        <f t="shared" si="28"/>
        <v>42</v>
      </c>
    </row>
    <row r="293" spans="19:24" x14ac:dyDescent="0.35">
      <c r="S293" s="3">
        <f t="shared" si="26"/>
        <v>42</v>
      </c>
      <c r="T293" s="7">
        <f>DATE('Gráfico Controle de Resultados'!$C$9,Auxiliar!U293,Auxiliar!V293)</f>
        <v>49600</v>
      </c>
      <c r="U293" s="3">
        <v>10</v>
      </c>
      <c r="V293" s="3">
        <v>18</v>
      </c>
      <c r="W293" s="22">
        <f t="shared" si="27"/>
        <v>5</v>
      </c>
      <c r="X293" s="3">
        <f t="shared" si="28"/>
        <v>42</v>
      </c>
    </row>
    <row r="294" spans="19:24" x14ac:dyDescent="0.35">
      <c r="S294" s="3">
        <f t="shared" si="26"/>
        <v>42</v>
      </c>
      <c r="T294" s="7">
        <f>DATE('Gráfico Controle de Resultados'!$C$9,Auxiliar!U294,Auxiliar!V294)</f>
        <v>49601</v>
      </c>
      <c r="U294" s="3">
        <v>10</v>
      </c>
      <c r="V294" s="3">
        <v>19</v>
      </c>
      <c r="W294" s="22">
        <f t="shared" si="27"/>
        <v>6</v>
      </c>
      <c r="X294" s="3">
        <f t="shared" si="28"/>
        <v>42</v>
      </c>
    </row>
    <row r="295" spans="19:24" x14ac:dyDescent="0.35">
      <c r="S295" s="3">
        <f t="shared" si="26"/>
        <v>42</v>
      </c>
      <c r="T295" s="7">
        <f>DATE('Gráfico Controle de Resultados'!$C$9,Auxiliar!U295,Auxiliar!V295)</f>
        <v>49602</v>
      </c>
      <c r="U295" s="3">
        <v>10</v>
      </c>
      <c r="V295" s="3">
        <v>20</v>
      </c>
      <c r="W295" s="22">
        <f t="shared" si="27"/>
        <v>7</v>
      </c>
      <c r="X295" s="3">
        <f t="shared" si="28"/>
        <v>42</v>
      </c>
    </row>
    <row r="296" spans="19:24" x14ac:dyDescent="0.35">
      <c r="S296" s="3">
        <f t="shared" si="26"/>
        <v>43</v>
      </c>
      <c r="T296" s="7">
        <f>DATE('Gráfico Controle de Resultados'!$C$9,Auxiliar!U296,Auxiliar!V296)</f>
        <v>49603</v>
      </c>
      <c r="U296" s="3">
        <v>10</v>
      </c>
      <c r="V296" s="3">
        <v>21</v>
      </c>
      <c r="W296" s="22">
        <f t="shared" si="27"/>
        <v>1</v>
      </c>
      <c r="X296" s="3">
        <f t="shared" si="28"/>
        <v>43</v>
      </c>
    </row>
    <row r="297" spans="19:24" x14ac:dyDescent="0.35">
      <c r="S297" s="3">
        <f t="shared" si="26"/>
        <v>43</v>
      </c>
      <c r="T297" s="7">
        <f>DATE('Gráfico Controle de Resultados'!$C$9,Auxiliar!U297,Auxiliar!V297)</f>
        <v>49604</v>
      </c>
      <c r="U297" s="3">
        <v>10</v>
      </c>
      <c r="V297" s="3">
        <v>22</v>
      </c>
      <c r="W297" s="22">
        <f t="shared" si="27"/>
        <v>2</v>
      </c>
      <c r="X297" s="3">
        <f t="shared" si="28"/>
        <v>43</v>
      </c>
    </row>
    <row r="298" spans="19:24" x14ac:dyDescent="0.35">
      <c r="S298" s="3">
        <f t="shared" si="26"/>
        <v>43</v>
      </c>
      <c r="T298" s="7">
        <f>DATE('Gráfico Controle de Resultados'!$C$9,Auxiliar!U298,Auxiliar!V298)</f>
        <v>49605</v>
      </c>
      <c r="U298" s="3">
        <v>10</v>
      </c>
      <c r="V298" s="3">
        <v>23</v>
      </c>
      <c r="W298" s="22">
        <f t="shared" si="27"/>
        <v>3</v>
      </c>
      <c r="X298" s="3">
        <f t="shared" si="28"/>
        <v>43</v>
      </c>
    </row>
    <row r="299" spans="19:24" x14ac:dyDescent="0.35">
      <c r="S299" s="3">
        <f t="shared" si="26"/>
        <v>43</v>
      </c>
      <c r="T299" s="7">
        <f>DATE('Gráfico Controle de Resultados'!$C$9,Auxiliar!U299,Auxiliar!V299)</f>
        <v>49606</v>
      </c>
      <c r="U299" s="3">
        <v>10</v>
      </c>
      <c r="V299" s="3">
        <v>24</v>
      </c>
      <c r="W299" s="22">
        <f t="shared" si="27"/>
        <v>4</v>
      </c>
      <c r="X299" s="3">
        <f t="shared" si="28"/>
        <v>43</v>
      </c>
    </row>
    <row r="300" spans="19:24" x14ac:dyDescent="0.35">
      <c r="S300" s="3">
        <f t="shared" si="26"/>
        <v>43</v>
      </c>
      <c r="T300" s="7">
        <f>DATE('Gráfico Controle de Resultados'!$C$9,Auxiliar!U300,Auxiliar!V300)</f>
        <v>49607</v>
      </c>
      <c r="U300" s="3">
        <v>10</v>
      </c>
      <c r="V300" s="3">
        <v>25</v>
      </c>
      <c r="W300" s="22">
        <f t="shared" si="27"/>
        <v>5</v>
      </c>
      <c r="X300" s="3">
        <f t="shared" si="28"/>
        <v>43</v>
      </c>
    </row>
    <row r="301" spans="19:24" x14ac:dyDescent="0.35">
      <c r="S301" s="3">
        <f t="shared" si="26"/>
        <v>43</v>
      </c>
      <c r="T301" s="7">
        <f>DATE('Gráfico Controle de Resultados'!$C$9,Auxiliar!U301,Auxiliar!V301)</f>
        <v>49608</v>
      </c>
      <c r="U301" s="3">
        <v>10</v>
      </c>
      <c r="V301" s="3">
        <v>26</v>
      </c>
      <c r="W301" s="22">
        <f t="shared" si="27"/>
        <v>6</v>
      </c>
      <c r="X301" s="3">
        <f t="shared" si="28"/>
        <v>43</v>
      </c>
    </row>
    <row r="302" spans="19:24" x14ac:dyDescent="0.35">
      <c r="S302" s="3">
        <f t="shared" si="26"/>
        <v>43</v>
      </c>
      <c r="T302" s="7">
        <f>DATE('Gráfico Controle de Resultados'!$C$9,Auxiliar!U302,Auxiliar!V302)</f>
        <v>49609</v>
      </c>
      <c r="U302" s="3">
        <v>10</v>
      </c>
      <c r="V302" s="3">
        <v>27</v>
      </c>
      <c r="W302" s="22">
        <f t="shared" si="27"/>
        <v>7</v>
      </c>
      <c r="X302" s="3">
        <f t="shared" si="28"/>
        <v>43</v>
      </c>
    </row>
    <row r="303" spans="19:24" x14ac:dyDescent="0.35">
      <c r="S303" s="3">
        <f t="shared" si="26"/>
        <v>44</v>
      </c>
      <c r="T303" s="7">
        <f>DATE('Gráfico Controle de Resultados'!$C$9,Auxiliar!U303,Auxiliar!V303)</f>
        <v>49610</v>
      </c>
      <c r="U303" s="3">
        <v>10</v>
      </c>
      <c r="V303" s="3">
        <v>28</v>
      </c>
      <c r="W303" s="22">
        <f t="shared" si="27"/>
        <v>1</v>
      </c>
      <c r="X303" s="3">
        <f t="shared" si="28"/>
        <v>44</v>
      </c>
    </row>
    <row r="304" spans="19:24" x14ac:dyDescent="0.35">
      <c r="S304" s="3">
        <f t="shared" si="26"/>
        <v>44</v>
      </c>
      <c r="T304" s="7">
        <f>DATE('Gráfico Controle de Resultados'!$C$9,Auxiliar!U304,Auxiliar!V304)</f>
        <v>49611</v>
      </c>
      <c r="U304" s="3">
        <v>10</v>
      </c>
      <c r="V304" s="3">
        <v>29</v>
      </c>
      <c r="W304" s="22">
        <f t="shared" si="27"/>
        <v>2</v>
      </c>
      <c r="X304" s="3">
        <f t="shared" si="28"/>
        <v>44</v>
      </c>
    </row>
    <row r="305" spans="19:24" x14ac:dyDescent="0.35">
      <c r="S305" s="3">
        <f t="shared" si="26"/>
        <v>44</v>
      </c>
      <c r="T305" s="7">
        <f>DATE('Gráfico Controle de Resultados'!$C$9,Auxiliar!U305,Auxiliar!V305)</f>
        <v>49612</v>
      </c>
      <c r="U305" s="3">
        <v>10</v>
      </c>
      <c r="V305" s="3">
        <v>30</v>
      </c>
      <c r="W305" s="22">
        <f t="shared" si="27"/>
        <v>3</v>
      </c>
      <c r="X305" s="3">
        <f t="shared" si="28"/>
        <v>44</v>
      </c>
    </row>
    <row r="306" spans="19:24" x14ac:dyDescent="0.35">
      <c r="S306" s="3">
        <f t="shared" si="26"/>
        <v>44</v>
      </c>
      <c r="T306" s="7">
        <f>DATE('Gráfico Controle de Resultados'!$C$9,Auxiliar!U306,Auxiliar!V306)</f>
        <v>49613</v>
      </c>
      <c r="U306" s="3">
        <v>10</v>
      </c>
      <c r="V306" s="3">
        <v>31</v>
      </c>
      <c r="W306" s="22">
        <f t="shared" si="27"/>
        <v>4</v>
      </c>
      <c r="X306" s="3">
        <f t="shared" si="28"/>
        <v>44</v>
      </c>
    </row>
    <row r="307" spans="19:24" x14ac:dyDescent="0.35">
      <c r="S307" s="3">
        <f t="shared" si="26"/>
        <v>44</v>
      </c>
      <c r="T307" s="7">
        <f>DATE('Gráfico Controle de Resultados'!$C$9,Auxiliar!U307,Auxiliar!V307)</f>
        <v>49614</v>
      </c>
      <c r="U307" s="3">
        <v>11</v>
      </c>
      <c r="V307" s="3">
        <v>1</v>
      </c>
      <c r="W307" s="22">
        <f t="shared" si="27"/>
        <v>5</v>
      </c>
      <c r="X307" s="3">
        <f t="shared" si="28"/>
        <v>44</v>
      </c>
    </row>
    <row r="308" spans="19:24" x14ac:dyDescent="0.35">
      <c r="S308" s="3">
        <f t="shared" si="26"/>
        <v>44</v>
      </c>
      <c r="T308" s="7">
        <f>DATE('Gráfico Controle de Resultados'!$C$9,Auxiliar!U308,Auxiliar!V308)</f>
        <v>49615</v>
      </c>
      <c r="U308" s="3">
        <v>11</v>
      </c>
      <c r="V308" s="3">
        <v>2</v>
      </c>
      <c r="W308" s="22">
        <f t="shared" si="27"/>
        <v>6</v>
      </c>
      <c r="X308" s="3">
        <f t="shared" si="28"/>
        <v>44</v>
      </c>
    </row>
    <row r="309" spans="19:24" x14ac:dyDescent="0.35">
      <c r="S309" s="3">
        <f t="shared" si="26"/>
        <v>44</v>
      </c>
      <c r="T309" s="7">
        <f>DATE('Gráfico Controle de Resultados'!$C$9,Auxiliar!U309,Auxiliar!V309)</f>
        <v>49616</v>
      </c>
      <c r="U309" s="3">
        <v>11</v>
      </c>
      <c r="V309" s="3">
        <v>3</v>
      </c>
      <c r="W309" s="22">
        <f t="shared" si="27"/>
        <v>7</v>
      </c>
      <c r="X309" s="3">
        <f t="shared" si="28"/>
        <v>44</v>
      </c>
    </row>
    <row r="310" spans="19:24" x14ac:dyDescent="0.35">
      <c r="S310" s="3">
        <f t="shared" si="26"/>
        <v>45</v>
      </c>
      <c r="T310" s="7">
        <f>DATE('Gráfico Controle de Resultados'!$C$9,Auxiliar!U310,Auxiliar!V310)</f>
        <v>49617</v>
      </c>
      <c r="U310" s="3">
        <v>11</v>
      </c>
      <c r="V310" s="3">
        <v>4</v>
      </c>
      <c r="W310" s="22">
        <f t="shared" si="27"/>
        <v>1</v>
      </c>
      <c r="X310" s="3">
        <f t="shared" si="28"/>
        <v>45</v>
      </c>
    </row>
    <row r="311" spans="19:24" x14ac:dyDescent="0.35">
      <c r="S311" s="3">
        <f t="shared" si="26"/>
        <v>45</v>
      </c>
      <c r="T311" s="7">
        <f>DATE('Gráfico Controle de Resultados'!$C$9,Auxiliar!U311,Auxiliar!V311)</f>
        <v>49618</v>
      </c>
      <c r="U311" s="3">
        <v>11</v>
      </c>
      <c r="V311" s="3">
        <v>5</v>
      </c>
      <c r="W311" s="22">
        <f t="shared" si="27"/>
        <v>2</v>
      </c>
      <c r="X311" s="3">
        <f t="shared" si="28"/>
        <v>45</v>
      </c>
    </row>
    <row r="312" spans="19:24" x14ac:dyDescent="0.35">
      <c r="S312" s="3">
        <f t="shared" si="26"/>
        <v>45</v>
      </c>
      <c r="T312" s="7">
        <f>DATE('Gráfico Controle de Resultados'!$C$9,Auxiliar!U312,Auxiliar!V312)</f>
        <v>49619</v>
      </c>
      <c r="U312" s="3">
        <v>11</v>
      </c>
      <c r="V312" s="3">
        <v>6</v>
      </c>
      <c r="W312" s="22">
        <f t="shared" si="27"/>
        <v>3</v>
      </c>
      <c r="X312" s="3">
        <f t="shared" si="28"/>
        <v>45</v>
      </c>
    </row>
    <row r="313" spans="19:24" x14ac:dyDescent="0.35">
      <c r="S313" s="3">
        <f t="shared" si="26"/>
        <v>45</v>
      </c>
      <c r="T313" s="7">
        <f>DATE('Gráfico Controle de Resultados'!$C$9,Auxiliar!U313,Auxiliar!V313)</f>
        <v>49620</v>
      </c>
      <c r="U313" s="3">
        <v>11</v>
      </c>
      <c r="V313" s="3">
        <v>7</v>
      </c>
      <c r="W313" s="22">
        <f t="shared" si="27"/>
        <v>4</v>
      </c>
      <c r="X313" s="3">
        <f t="shared" si="28"/>
        <v>45</v>
      </c>
    </row>
    <row r="314" spans="19:24" x14ac:dyDescent="0.35">
      <c r="S314" s="3">
        <f t="shared" si="26"/>
        <v>45</v>
      </c>
      <c r="T314" s="7">
        <f>DATE('Gráfico Controle de Resultados'!$C$9,Auxiliar!U314,Auxiliar!V314)</f>
        <v>49621</v>
      </c>
      <c r="U314" s="3">
        <v>11</v>
      </c>
      <c r="V314" s="3">
        <v>8</v>
      </c>
      <c r="W314" s="22">
        <f t="shared" si="27"/>
        <v>5</v>
      </c>
      <c r="X314" s="3">
        <f t="shared" si="28"/>
        <v>45</v>
      </c>
    </row>
    <row r="315" spans="19:24" x14ac:dyDescent="0.35">
      <c r="S315" s="3">
        <f t="shared" si="26"/>
        <v>45</v>
      </c>
      <c r="T315" s="7">
        <f>DATE('Gráfico Controle de Resultados'!$C$9,Auxiliar!U315,Auxiliar!V315)</f>
        <v>49622</v>
      </c>
      <c r="U315" s="3">
        <v>11</v>
      </c>
      <c r="V315" s="3">
        <v>9</v>
      </c>
      <c r="W315" s="22">
        <f t="shared" si="27"/>
        <v>6</v>
      </c>
      <c r="X315" s="3">
        <f t="shared" si="28"/>
        <v>45</v>
      </c>
    </row>
    <row r="316" spans="19:24" x14ac:dyDescent="0.35">
      <c r="S316" s="3">
        <f t="shared" si="26"/>
        <v>45</v>
      </c>
      <c r="T316" s="7">
        <f>DATE('Gráfico Controle de Resultados'!$C$9,Auxiliar!U316,Auxiliar!V316)</f>
        <v>49623</v>
      </c>
      <c r="U316" s="3">
        <v>11</v>
      </c>
      <c r="V316" s="3">
        <v>10</v>
      </c>
      <c r="W316" s="22">
        <f t="shared" si="27"/>
        <v>7</v>
      </c>
      <c r="X316" s="3">
        <f t="shared" si="28"/>
        <v>45</v>
      </c>
    </row>
    <row r="317" spans="19:24" x14ac:dyDescent="0.35">
      <c r="S317" s="3">
        <f t="shared" si="26"/>
        <v>46</v>
      </c>
      <c r="T317" s="7">
        <f>DATE('Gráfico Controle de Resultados'!$C$9,Auxiliar!U317,Auxiliar!V317)</f>
        <v>49624</v>
      </c>
      <c r="U317" s="3">
        <v>11</v>
      </c>
      <c r="V317" s="3">
        <v>11</v>
      </c>
      <c r="W317" s="22">
        <f t="shared" si="27"/>
        <v>1</v>
      </c>
      <c r="X317" s="3">
        <f t="shared" si="28"/>
        <v>46</v>
      </c>
    </row>
    <row r="318" spans="19:24" x14ac:dyDescent="0.35">
      <c r="S318" s="3">
        <f t="shared" si="26"/>
        <v>46</v>
      </c>
      <c r="T318" s="7">
        <f>DATE('Gráfico Controle de Resultados'!$C$9,Auxiliar!U318,Auxiliar!V318)</f>
        <v>49625</v>
      </c>
      <c r="U318" s="3">
        <v>11</v>
      </c>
      <c r="V318" s="3">
        <v>12</v>
      </c>
      <c r="W318" s="22">
        <f t="shared" si="27"/>
        <v>2</v>
      </c>
      <c r="X318" s="3">
        <f t="shared" si="28"/>
        <v>46</v>
      </c>
    </row>
    <row r="319" spans="19:24" x14ac:dyDescent="0.35">
      <c r="S319" s="3">
        <f t="shared" si="26"/>
        <v>46</v>
      </c>
      <c r="T319" s="7">
        <f>DATE('Gráfico Controle de Resultados'!$C$9,Auxiliar!U319,Auxiliar!V319)</f>
        <v>49626</v>
      </c>
      <c r="U319" s="3">
        <v>11</v>
      </c>
      <c r="V319" s="3">
        <v>13</v>
      </c>
      <c r="W319" s="22">
        <f t="shared" si="27"/>
        <v>3</v>
      </c>
      <c r="X319" s="3">
        <f t="shared" si="28"/>
        <v>46</v>
      </c>
    </row>
    <row r="320" spans="19:24" x14ac:dyDescent="0.35">
      <c r="S320" s="3">
        <f t="shared" si="26"/>
        <v>46</v>
      </c>
      <c r="T320" s="7">
        <f>DATE('Gráfico Controle de Resultados'!$C$9,Auxiliar!U320,Auxiliar!V320)</f>
        <v>49627</v>
      </c>
      <c r="U320" s="3">
        <v>11</v>
      </c>
      <c r="V320" s="3">
        <v>14</v>
      </c>
      <c r="W320" s="22">
        <f t="shared" si="27"/>
        <v>4</v>
      </c>
      <c r="X320" s="3">
        <f t="shared" si="28"/>
        <v>46</v>
      </c>
    </row>
    <row r="321" spans="19:24" x14ac:dyDescent="0.35">
      <c r="S321" s="3">
        <f t="shared" si="26"/>
        <v>46</v>
      </c>
      <c r="T321" s="7">
        <f>DATE('Gráfico Controle de Resultados'!$C$9,Auxiliar!U321,Auxiliar!V321)</f>
        <v>49628</v>
      </c>
      <c r="U321" s="3">
        <v>11</v>
      </c>
      <c r="V321" s="3">
        <v>15</v>
      </c>
      <c r="W321" s="22">
        <f t="shared" si="27"/>
        <v>5</v>
      </c>
      <c r="X321" s="3">
        <f t="shared" si="28"/>
        <v>46</v>
      </c>
    </row>
    <row r="322" spans="19:24" x14ac:dyDescent="0.35">
      <c r="S322" s="3">
        <f t="shared" si="26"/>
        <v>46</v>
      </c>
      <c r="T322" s="7">
        <f>DATE('Gráfico Controle de Resultados'!$C$9,Auxiliar!U322,Auxiliar!V322)</f>
        <v>49629</v>
      </c>
      <c r="U322" s="3">
        <v>11</v>
      </c>
      <c r="V322" s="3">
        <v>16</v>
      </c>
      <c r="W322" s="22">
        <f t="shared" si="27"/>
        <v>6</v>
      </c>
      <c r="X322" s="3">
        <f t="shared" si="28"/>
        <v>46</v>
      </c>
    </row>
    <row r="323" spans="19:24" x14ac:dyDescent="0.35">
      <c r="S323" s="3">
        <f t="shared" si="26"/>
        <v>46</v>
      </c>
      <c r="T323" s="7">
        <f>DATE('Gráfico Controle de Resultados'!$C$9,Auxiliar!U323,Auxiliar!V323)</f>
        <v>49630</v>
      </c>
      <c r="U323" s="3">
        <v>11</v>
      </c>
      <c r="V323" s="3">
        <v>17</v>
      </c>
      <c r="W323" s="22">
        <f t="shared" si="27"/>
        <v>7</v>
      </c>
      <c r="X323" s="3">
        <f t="shared" si="28"/>
        <v>46</v>
      </c>
    </row>
    <row r="324" spans="19:24" x14ac:dyDescent="0.35">
      <c r="S324" s="3">
        <f t="shared" ref="S324:S367" si="29">IF(W324=1,S323+1,S323)</f>
        <v>47</v>
      </c>
      <c r="T324" s="7">
        <f>DATE('Gráfico Controle de Resultados'!$C$9,Auxiliar!U324,Auxiliar!V324)</f>
        <v>49631</v>
      </c>
      <c r="U324" s="3">
        <v>11</v>
      </c>
      <c r="V324" s="3">
        <v>18</v>
      </c>
      <c r="W324" s="22">
        <f t="shared" ref="W324:W367" si="30">WEEKDAY(T324)</f>
        <v>1</v>
      </c>
      <c r="X324" s="3">
        <f t="shared" ref="X324:X367" si="31">S324</f>
        <v>47</v>
      </c>
    </row>
    <row r="325" spans="19:24" x14ac:dyDescent="0.35">
      <c r="S325" s="3">
        <f t="shared" si="29"/>
        <v>47</v>
      </c>
      <c r="T325" s="7">
        <f>DATE('Gráfico Controle de Resultados'!$C$9,Auxiliar!U325,Auxiliar!V325)</f>
        <v>49632</v>
      </c>
      <c r="U325" s="3">
        <v>11</v>
      </c>
      <c r="V325" s="3">
        <v>19</v>
      </c>
      <c r="W325" s="22">
        <f t="shared" si="30"/>
        <v>2</v>
      </c>
      <c r="X325" s="3">
        <f t="shared" si="31"/>
        <v>47</v>
      </c>
    </row>
    <row r="326" spans="19:24" x14ac:dyDescent="0.35">
      <c r="S326" s="3">
        <f t="shared" si="29"/>
        <v>47</v>
      </c>
      <c r="T326" s="7">
        <f>DATE('Gráfico Controle de Resultados'!$C$9,Auxiliar!U326,Auxiliar!V326)</f>
        <v>49633</v>
      </c>
      <c r="U326" s="3">
        <v>11</v>
      </c>
      <c r="V326" s="3">
        <v>20</v>
      </c>
      <c r="W326" s="22">
        <f t="shared" si="30"/>
        <v>3</v>
      </c>
      <c r="X326" s="3">
        <f t="shared" si="31"/>
        <v>47</v>
      </c>
    </row>
    <row r="327" spans="19:24" x14ac:dyDescent="0.35">
      <c r="S327" s="3">
        <f t="shared" si="29"/>
        <v>47</v>
      </c>
      <c r="T327" s="7">
        <f>DATE('Gráfico Controle de Resultados'!$C$9,Auxiliar!U327,Auxiliar!V327)</f>
        <v>49634</v>
      </c>
      <c r="U327" s="3">
        <v>11</v>
      </c>
      <c r="V327" s="3">
        <v>21</v>
      </c>
      <c r="W327" s="22">
        <f t="shared" si="30"/>
        <v>4</v>
      </c>
      <c r="X327" s="3">
        <f t="shared" si="31"/>
        <v>47</v>
      </c>
    </row>
    <row r="328" spans="19:24" x14ac:dyDescent="0.35">
      <c r="S328" s="3">
        <f t="shared" si="29"/>
        <v>47</v>
      </c>
      <c r="T328" s="7">
        <f>DATE('Gráfico Controle de Resultados'!$C$9,Auxiliar!U328,Auxiliar!V328)</f>
        <v>49635</v>
      </c>
      <c r="U328" s="3">
        <v>11</v>
      </c>
      <c r="V328" s="3">
        <v>22</v>
      </c>
      <c r="W328" s="22">
        <f t="shared" si="30"/>
        <v>5</v>
      </c>
      <c r="X328" s="3">
        <f t="shared" si="31"/>
        <v>47</v>
      </c>
    </row>
    <row r="329" spans="19:24" x14ac:dyDescent="0.35">
      <c r="S329" s="3">
        <f t="shared" si="29"/>
        <v>47</v>
      </c>
      <c r="T329" s="7">
        <f>DATE('Gráfico Controle de Resultados'!$C$9,Auxiliar!U329,Auxiliar!V329)</f>
        <v>49636</v>
      </c>
      <c r="U329" s="3">
        <v>11</v>
      </c>
      <c r="V329" s="3">
        <v>23</v>
      </c>
      <c r="W329" s="22">
        <f t="shared" si="30"/>
        <v>6</v>
      </c>
      <c r="X329" s="3">
        <f t="shared" si="31"/>
        <v>47</v>
      </c>
    </row>
    <row r="330" spans="19:24" x14ac:dyDescent="0.35">
      <c r="S330" s="3">
        <f t="shared" si="29"/>
        <v>47</v>
      </c>
      <c r="T330" s="7">
        <f>DATE('Gráfico Controle de Resultados'!$C$9,Auxiliar!U330,Auxiliar!V330)</f>
        <v>49637</v>
      </c>
      <c r="U330" s="3">
        <v>11</v>
      </c>
      <c r="V330" s="3">
        <v>24</v>
      </c>
      <c r="W330" s="22">
        <f t="shared" si="30"/>
        <v>7</v>
      </c>
      <c r="X330" s="3">
        <f t="shared" si="31"/>
        <v>47</v>
      </c>
    </row>
    <row r="331" spans="19:24" x14ac:dyDescent="0.35">
      <c r="S331" s="3">
        <f t="shared" si="29"/>
        <v>48</v>
      </c>
      <c r="T331" s="7">
        <f>DATE('Gráfico Controle de Resultados'!$C$9,Auxiliar!U331,Auxiliar!V331)</f>
        <v>49638</v>
      </c>
      <c r="U331" s="3">
        <v>11</v>
      </c>
      <c r="V331" s="3">
        <v>25</v>
      </c>
      <c r="W331" s="22">
        <f t="shared" si="30"/>
        <v>1</v>
      </c>
      <c r="X331" s="3">
        <f t="shared" si="31"/>
        <v>48</v>
      </c>
    </row>
    <row r="332" spans="19:24" x14ac:dyDescent="0.35">
      <c r="S332" s="3">
        <f t="shared" si="29"/>
        <v>48</v>
      </c>
      <c r="T332" s="7">
        <f>DATE('Gráfico Controle de Resultados'!$C$9,Auxiliar!U332,Auxiliar!V332)</f>
        <v>49639</v>
      </c>
      <c r="U332" s="3">
        <v>11</v>
      </c>
      <c r="V332" s="3">
        <v>26</v>
      </c>
      <c r="W332" s="22">
        <f t="shared" si="30"/>
        <v>2</v>
      </c>
      <c r="X332" s="3">
        <f t="shared" si="31"/>
        <v>48</v>
      </c>
    </row>
    <row r="333" spans="19:24" x14ac:dyDescent="0.35">
      <c r="S333" s="3">
        <f t="shared" si="29"/>
        <v>48</v>
      </c>
      <c r="T333" s="7">
        <f>DATE('Gráfico Controle de Resultados'!$C$9,Auxiliar!U333,Auxiliar!V333)</f>
        <v>49640</v>
      </c>
      <c r="U333" s="3">
        <v>11</v>
      </c>
      <c r="V333" s="3">
        <v>27</v>
      </c>
      <c r="W333" s="22">
        <f t="shared" si="30"/>
        <v>3</v>
      </c>
      <c r="X333" s="3">
        <f t="shared" si="31"/>
        <v>48</v>
      </c>
    </row>
    <row r="334" spans="19:24" x14ac:dyDescent="0.35">
      <c r="S334" s="3">
        <f t="shared" si="29"/>
        <v>48</v>
      </c>
      <c r="T334" s="7">
        <f>DATE('Gráfico Controle de Resultados'!$C$9,Auxiliar!U334,Auxiliar!V334)</f>
        <v>49641</v>
      </c>
      <c r="U334" s="3">
        <v>11</v>
      </c>
      <c r="V334" s="3">
        <v>28</v>
      </c>
      <c r="W334" s="22">
        <f t="shared" si="30"/>
        <v>4</v>
      </c>
      <c r="X334" s="3">
        <f t="shared" si="31"/>
        <v>48</v>
      </c>
    </row>
    <row r="335" spans="19:24" x14ac:dyDescent="0.35">
      <c r="S335" s="3">
        <f t="shared" si="29"/>
        <v>48</v>
      </c>
      <c r="T335" s="7">
        <f>DATE('Gráfico Controle de Resultados'!$C$9,Auxiliar!U335,Auxiliar!V335)</f>
        <v>49642</v>
      </c>
      <c r="U335" s="3">
        <v>11</v>
      </c>
      <c r="V335" s="3">
        <v>29</v>
      </c>
      <c r="W335" s="22">
        <f t="shared" si="30"/>
        <v>5</v>
      </c>
      <c r="X335" s="3">
        <f t="shared" si="31"/>
        <v>48</v>
      </c>
    </row>
    <row r="336" spans="19:24" x14ac:dyDescent="0.35">
      <c r="S336" s="3">
        <f t="shared" si="29"/>
        <v>48</v>
      </c>
      <c r="T336" s="7">
        <f>DATE('Gráfico Controle de Resultados'!$C$9,Auxiliar!U336,Auxiliar!V336)</f>
        <v>49643</v>
      </c>
      <c r="U336" s="3">
        <v>11</v>
      </c>
      <c r="V336" s="3">
        <v>30</v>
      </c>
      <c r="W336" s="22">
        <f t="shared" si="30"/>
        <v>6</v>
      </c>
      <c r="X336" s="3">
        <f t="shared" si="31"/>
        <v>48</v>
      </c>
    </row>
    <row r="337" spans="19:24" x14ac:dyDescent="0.35">
      <c r="S337" s="3">
        <f t="shared" si="29"/>
        <v>48</v>
      </c>
      <c r="T337" s="7">
        <f>DATE('Gráfico Controle de Resultados'!$C$9,Auxiliar!U337,Auxiliar!V337)</f>
        <v>49644</v>
      </c>
      <c r="U337" s="3">
        <v>12</v>
      </c>
      <c r="V337" s="3">
        <v>1</v>
      </c>
      <c r="W337" s="22">
        <f t="shared" si="30"/>
        <v>7</v>
      </c>
      <c r="X337" s="3">
        <f t="shared" si="31"/>
        <v>48</v>
      </c>
    </row>
    <row r="338" spans="19:24" x14ac:dyDescent="0.35">
      <c r="S338" s="3">
        <f t="shared" si="29"/>
        <v>49</v>
      </c>
      <c r="T338" s="7">
        <f>DATE('Gráfico Controle de Resultados'!$C$9,Auxiliar!U338,Auxiliar!V338)</f>
        <v>49645</v>
      </c>
      <c r="U338" s="3">
        <v>12</v>
      </c>
      <c r="V338" s="3">
        <v>2</v>
      </c>
      <c r="W338" s="22">
        <f t="shared" si="30"/>
        <v>1</v>
      </c>
      <c r="X338" s="3">
        <f t="shared" si="31"/>
        <v>49</v>
      </c>
    </row>
    <row r="339" spans="19:24" x14ac:dyDescent="0.35">
      <c r="S339" s="3">
        <f t="shared" si="29"/>
        <v>49</v>
      </c>
      <c r="T339" s="7">
        <f>DATE('Gráfico Controle de Resultados'!$C$9,Auxiliar!U339,Auxiliar!V339)</f>
        <v>49646</v>
      </c>
      <c r="U339" s="3">
        <v>12</v>
      </c>
      <c r="V339" s="3">
        <v>3</v>
      </c>
      <c r="W339" s="22">
        <f t="shared" si="30"/>
        <v>2</v>
      </c>
      <c r="X339" s="3">
        <f t="shared" si="31"/>
        <v>49</v>
      </c>
    </row>
    <row r="340" spans="19:24" x14ac:dyDescent="0.35">
      <c r="S340" s="3">
        <f t="shared" si="29"/>
        <v>49</v>
      </c>
      <c r="T340" s="7">
        <f>DATE('Gráfico Controle de Resultados'!$C$9,Auxiliar!U340,Auxiliar!V340)</f>
        <v>49647</v>
      </c>
      <c r="U340" s="3">
        <v>12</v>
      </c>
      <c r="V340" s="3">
        <v>4</v>
      </c>
      <c r="W340" s="22">
        <f t="shared" si="30"/>
        <v>3</v>
      </c>
      <c r="X340" s="3">
        <f t="shared" si="31"/>
        <v>49</v>
      </c>
    </row>
    <row r="341" spans="19:24" x14ac:dyDescent="0.35">
      <c r="S341" s="3">
        <f t="shared" si="29"/>
        <v>49</v>
      </c>
      <c r="T341" s="7">
        <f>DATE('Gráfico Controle de Resultados'!$C$9,Auxiliar!U341,Auxiliar!V341)</f>
        <v>49648</v>
      </c>
      <c r="U341" s="3">
        <v>12</v>
      </c>
      <c r="V341" s="3">
        <v>5</v>
      </c>
      <c r="W341" s="22">
        <f t="shared" si="30"/>
        <v>4</v>
      </c>
      <c r="X341" s="3">
        <f t="shared" si="31"/>
        <v>49</v>
      </c>
    </row>
    <row r="342" spans="19:24" x14ac:dyDescent="0.35">
      <c r="S342" s="3">
        <f t="shared" si="29"/>
        <v>49</v>
      </c>
      <c r="T342" s="7">
        <f>DATE('Gráfico Controle de Resultados'!$C$9,Auxiliar!U342,Auxiliar!V342)</f>
        <v>49649</v>
      </c>
      <c r="U342" s="3">
        <v>12</v>
      </c>
      <c r="V342" s="3">
        <v>6</v>
      </c>
      <c r="W342" s="22">
        <f t="shared" si="30"/>
        <v>5</v>
      </c>
      <c r="X342" s="3">
        <f t="shared" si="31"/>
        <v>49</v>
      </c>
    </row>
    <row r="343" spans="19:24" x14ac:dyDescent="0.35">
      <c r="S343" s="3">
        <f t="shared" si="29"/>
        <v>49</v>
      </c>
      <c r="T343" s="7">
        <f>DATE('Gráfico Controle de Resultados'!$C$9,Auxiliar!U343,Auxiliar!V343)</f>
        <v>49650</v>
      </c>
      <c r="U343" s="3">
        <v>12</v>
      </c>
      <c r="V343" s="3">
        <v>7</v>
      </c>
      <c r="W343" s="22">
        <f t="shared" si="30"/>
        <v>6</v>
      </c>
      <c r="X343" s="3">
        <f t="shared" si="31"/>
        <v>49</v>
      </c>
    </row>
    <row r="344" spans="19:24" x14ac:dyDescent="0.35">
      <c r="S344" s="3">
        <f t="shared" si="29"/>
        <v>49</v>
      </c>
      <c r="T344" s="7">
        <f>DATE('Gráfico Controle de Resultados'!$C$9,Auxiliar!U344,Auxiliar!V344)</f>
        <v>49651</v>
      </c>
      <c r="U344" s="3">
        <v>12</v>
      </c>
      <c r="V344" s="3">
        <v>8</v>
      </c>
      <c r="W344" s="22">
        <f t="shared" si="30"/>
        <v>7</v>
      </c>
      <c r="X344" s="3">
        <f t="shared" si="31"/>
        <v>49</v>
      </c>
    </row>
    <row r="345" spans="19:24" x14ac:dyDescent="0.35">
      <c r="S345" s="3">
        <f t="shared" si="29"/>
        <v>50</v>
      </c>
      <c r="T345" s="7">
        <f>DATE('Gráfico Controle de Resultados'!$C$9,Auxiliar!U345,Auxiliar!V345)</f>
        <v>49652</v>
      </c>
      <c r="U345" s="3">
        <v>12</v>
      </c>
      <c r="V345" s="3">
        <v>9</v>
      </c>
      <c r="W345" s="22">
        <f t="shared" si="30"/>
        <v>1</v>
      </c>
      <c r="X345" s="3">
        <f t="shared" si="31"/>
        <v>50</v>
      </c>
    </row>
    <row r="346" spans="19:24" x14ac:dyDescent="0.35">
      <c r="S346" s="3">
        <f t="shared" si="29"/>
        <v>50</v>
      </c>
      <c r="T346" s="7">
        <f>DATE('Gráfico Controle de Resultados'!$C$9,Auxiliar!U346,Auxiliar!V346)</f>
        <v>49653</v>
      </c>
      <c r="U346" s="3">
        <v>12</v>
      </c>
      <c r="V346" s="3">
        <v>10</v>
      </c>
      <c r="W346" s="22">
        <f t="shared" si="30"/>
        <v>2</v>
      </c>
      <c r="X346" s="3">
        <f t="shared" si="31"/>
        <v>50</v>
      </c>
    </row>
    <row r="347" spans="19:24" x14ac:dyDescent="0.35">
      <c r="S347" s="3">
        <f t="shared" si="29"/>
        <v>50</v>
      </c>
      <c r="T347" s="7">
        <f>DATE('Gráfico Controle de Resultados'!$C$9,Auxiliar!U347,Auxiliar!V347)</f>
        <v>49654</v>
      </c>
      <c r="U347" s="3">
        <v>12</v>
      </c>
      <c r="V347" s="3">
        <v>11</v>
      </c>
      <c r="W347" s="22">
        <f t="shared" si="30"/>
        <v>3</v>
      </c>
      <c r="X347" s="3">
        <f t="shared" si="31"/>
        <v>50</v>
      </c>
    </row>
    <row r="348" spans="19:24" x14ac:dyDescent="0.35">
      <c r="S348" s="3">
        <f t="shared" si="29"/>
        <v>50</v>
      </c>
      <c r="T348" s="7">
        <f>DATE('Gráfico Controle de Resultados'!$C$9,Auxiliar!U348,Auxiliar!V348)</f>
        <v>49655</v>
      </c>
      <c r="U348" s="3">
        <v>12</v>
      </c>
      <c r="V348" s="3">
        <v>12</v>
      </c>
      <c r="W348" s="22">
        <f t="shared" si="30"/>
        <v>4</v>
      </c>
      <c r="X348" s="3">
        <f t="shared" si="31"/>
        <v>50</v>
      </c>
    </row>
    <row r="349" spans="19:24" x14ac:dyDescent="0.35">
      <c r="S349" s="3">
        <f t="shared" si="29"/>
        <v>50</v>
      </c>
      <c r="T349" s="7">
        <f>DATE('Gráfico Controle de Resultados'!$C$9,Auxiliar!U349,Auxiliar!V349)</f>
        <v>49656</v>
      </c>
      <c r="U349" s="3">
        <v>12</v>
      </c>
      <c r="V349" s="3">
        <v>13</v>
      </c>
      <c r="W349" s="22">
        <f t="shared" si="30"/>
        <v>5</v>
      </c>
      <c r="X349" s="3">
        <f t="shared" si="31"/>
        <v>50</v>
      </c>
    </row>
    <row r="350" spans="19:24" x14ac:dyDescent="0.35">
      <c r="S350" s="3">
        <f t="shared" si="29"/>
        <v>50</v>
      </c>
      <c r="T350" s="7">
        <f>DATE('Gráfico Controle de Resultados'!$C$9,Auxiliar!U350,Auxiliar!V350)</f>
        <v>49657</v>
      </c>
      <c r="U350" s="3">
        <v>12</v>
      </c>
      <c r="V350" s="3">
        <v>14</v>
      </c>
      <c r="W350" s="22">
        <f t="shared" si="30"/>
        <v>6</v>
      </c>
      <c r="X350" s="3">
        <f t="shared" si="31"/>
        <v>50</v>
      </c>
    </row>
    <row r="351" spans="19:24" x14ac:dyDescent="0.35">
      <c r="S351" s="3">
        <f t="shared" si="29"/>
        <v>50</v>
      </c>
      <c r="T351" s="7">
        <f>DATE('Gráfico Controle de Resultados'!$C$9,Auxiliar!U351,Auxiliar!V351)</f>
        <v>49658</v>
      </c>
      <c r="U351" s="3">
        <v>12</v>
      </c>
      <c r="V351" s="3">
        <v>15</v>
      </c>
      <c r="W351" s="22">
        <f t="shared" si="30"/>
        <v>7</v>
      </c>
      <c r="X351" s="3">
        <f t="shared" si="31"/>
        <v>50</v>
      </c>
    </row>
    <row r="352" spans="19:24" x14ac:dyDescent="0.35">
      <c r="S352" s="3">
        <f t="shared" si="29"/>
        <v>51</v>
      </c>
      <c r="T352" s="7">
        <f>DATE('Gráfico Controle de Resultados'!$C$9,Auxiliar!U352,Auxiliar!V352)</f>
        <v>49659</v>
      </c>
      <c r="U352" s="3">
        <v>12</v>
      </c>
      <c r="V352" s="3">
        <v>16</v>
      </c>
      <c r="W352" s="22">
        <f t="shared" si="30"/>
        <v>1</v>
      </c>
      <c r="X352" s="3">
        <f t="shared" si="31"/>
        <v>51</v>
      </c>
    </row>
    <row r="353" spans="19:24" x14ac:dyDescent="0.35">
      <c r="S353" s="3">
        <f t="shared" si="29"/>
        <v>51</v>
      </c>
      <c r="T353" s="7">
        <f>DATE('Gráfico Controle de Resultados'!$C$9,Auxiliar!U353,Auxiliar!V353)</f>
        <v>49660</v>
      </c>
      <c r="U353" s="3">
        <v>12</v>
      </c>
      <c r="V353" s="3">
        <v>17</v>
      </c>
      <c r="W353" s="22">
        <f t="shared" si="30"/>
        <v>2</v>
      </c>
      <c r="X353" s="3">
        <f t="shared" si="31"/>
        <v>51</v>
      </c>
    </row>
    <row r="354" spans="19:24" x14ac:dyDescent="0.35">
      <c r="S354" s="3">
        <f t="shared" si="29"/>
        <v>51</v>
      </c>
      <c r="T354" s="7">
        <f>DATE('Gráfico Controle de Resultados'!$C$9,Auxiliar!U354,Auxiliar!V354)</f>
        <v>49661</v>
      </c>
      <c r="U354" s="3">
        <v>12</v>
      </c>
      <c r="V354" s="3">
        <v>18</v>
      </c>
      <c r="W354" s="22">
        <f t="shared" si="30"/>
        <v>3</v>
      </c>
      <c r="X354" s="3">
        <f t="shared" si="31"/>
        <v>51</v>
      </c>
    </row>
    <row r="355" spans="19:24" x14ac:dyDescent="0.35">
      <c r="S355" s="3">
        <f t="shared" si="29"/>
        <v>51</v>
      </c>
      <c r="T355" s="7">
        <f>DATE('Gráfico Controle de Resultados'!$C$9,Auxiliar!U355,Auxiliar!V355)</f>
        <v>49662</v>
      </c>
      <c r="U355" s="3">
        <v>12</v>
      </c>
      <c r="V355" s="3">
        <v>19</v>
      </c>
      <c r="W355" s="22">
        <f t="shared" si="30"/>
        <v>4</v>
      </c>
      <c r="X355" s="3">
        <f t="shared" si="31"/>
        <v>51</v>
      </c>
    </row>
    <row r="356" spans="19:24" x14ac:dyDescent="0.35">
      <c r="S356" s="3">
        <f t="shared" si="29"/>
        <v>51</v>
      </c>
      <c r="T356" s="7">
        <f>DATE('Gráfico Controle de Resultados'!$C$9,Auxiliar!U356,Auxiliar!V356)</f>
        <v>49663</v>
      </c>
      <c r="U356" s="3">
        <v>12</v>
      </c>
      <c r="V356" s="3">
        <v>20</v>
      </c>
      <c r="W356" s="22">
        <f t="shared" si="30"/>
        <v>5</v>
      </c>
      <c r="X356" s="3">
        <f t="shared" si="31"/>
        <v>51</v>
      </c>
    </row>
    <row r="357" spans="19:24" x14ac:dyDescent="0.35">
      <c r="S357" s="3">
        <f t="shared" si="29"/>
        <v>51</v>
      </c>
      <c r="T357" s="7">
        <f>DATE('Gráfico Controle de Resultados'!$C$9,Auxiliar!U357,Auxiliar!V357)</f>
        <v>49664</v>
      </c>
      <c r="U357" s="3">
        <v>12</v>
      </c>
      <c r="V357" s="3">
        <v>21</v>
      </c>
      <c r="W357" s="22">
        <f t="shared" si="30"/>
        <v>6</v>
      </c>
      <c r="X357" s="3">
        <f t="shared" si="31"/>
        <v>51</v>
      </c>
    </row>
    <row r="358" spans="19:24" x14ac:dyDescent="0.35">
      <c r="S358" s="3">
        <f t="shared" si="29"/>
        <v>51</v>
      </c>
      <c r="T358" s="7">
        <f>DATE('Gráfico Controle de Resultados'!$C$9,Auxiliar!U358,Auxiliar!V358)</f>
        <v>49665</v>
      </c>
      <c r="U358" s="3">
        <v>12</v>
      </c>
      <c r="V358" s="3">
        <v>22</v>
      </c>
      <c r="W358" s="22">
        <f t="shared" si="30"/>
        <v>7</v>
      </c>
      <c r="X358" s="3">
        <f t="shared" si="31"/>
        <v>51</v>
      </c>
    </row>
    <row r="359" spans="19:24" x14ac:dyDescent="0.35">
      <c r="S359" s="3">
        <f t="shared" si="29"/>
        <v>52</v>
      </c>
      <c r="T359" s="7">
        <f>DATE('Gráfico Controle de Resultados'!$C$9,Auxiliar!U359,Auxiliar!V359)</f>
        <v>49666</v>
      </c>
      <c r="U359" s="3">
        <v>12</v>
      </c>
      <c r="V359" s="3">
        <v>23</v>
      </c>
      <c r="W359" s="22">
        <f t="shared" si="30"/>
        <v>1</v>
      </c>
      <c r="X359" s="3">
        <f t="shared" si="31"/>
        <v>52</v>
      </c>
    </row>
    <row r="360" spans="19:24" x14ac:dyDescent="0.35">
      <c r="S360" s="3">
        <f t="shared" si="29"/>
        <v>52</v>
      </c>
      <c r="T360" s="7">
        <f>DATE('Gráfico Controle de Resultados'!$C$9,Auxiliar!U360,Auxiliar!V360)</f>
        <v>49667</v>
      </c>
      <c r="U360" s="3">
        <v>12</v>
      </c>
      <c r="V360" s="3">
        <v>24</v>
      </c>
      <c r="W360" s="22">
        <f t="shared" si="30"/>
        <v>2</v>
      </c>
      <c r="X360" s="3">
        <f t="shared" si="31"/>
        <v>52</v>
      </c>
    </row>
    <row r="361" spans="19:24" x14ac:dyDescent="0.35">
      <c r="S361" s="3">
        <f t="shared" si="29"/>
        <v>52</v>
      </c>
      <c r="T361" s="7">
        <f>DATE('Gráfico Controle de Resultados'!$C$9,Auxiliar!U361,Auxiliar!V361)</f>
        <v>49668</v>
      </c>
      <c r="U361" s="3">
        <v>12</v>
      </c>
      <c r="V361" s="3">
        <v>25</v>
      </c>
      <c r="W361" s="22">
        <f t="shared" si="30"/>
        <v>3</v>
      </c>
      <c r="X361" s="3">
        <f t="shared" si="31"/>
        <v>52</v>
      </c>
    </row>
    <row r="362" spans="19:24" x14ac:dyDescent="0.35">
      <c r="S362" s="3">
        <f t="shared" si="29"/>
        <v>52</v>
      </c>
      <c r="T362" s="7">
        <f>DATE('Gráfico Controle de Resultados'!$C$9,Auxiliar!U362,Auxiliar!V362)</f>
        <v>49669</v>
      </c>
      <c r="U362" s="3">
        <v>12</v>
      </c>
      <c r="V362" s="3">
        <v>26</v>
      </c>
      <c r="W362" s="22">
        <f t="shared" si="30"/>
        <v>4</v>
      </c>
      <c r="X362" s="3">
        <f t="shared" si="31"/>
        <v>52</v>
      </c>
    </row>
    <row r="363" spans="19:24" x14ac:dyDescent="0.35">
      <c r="S363" s="3">
        <f t="shared" si="29"/>
        <v>52</v>
      </c>
      <c r="T363" s="7">
        <f>DATE('Gráfico Controle de Resultados'!$C$9,Auxiliar!U363,Auxiliar!V363)</f>
        <v>49670</v>
      </c>
      <c r="U363" s="3">
        <v>12</v>
      </c>
      <c r="V363" s="3">
        <v>27</v>
      </c>
      <c r="W363" s="22">
        <f t="shared" si="30"/>
        <v>5</v>
      </c>
      <c r="X363" s="3">
        <f t="shared" si="31"/>
        <v>52</v>
      </c>
    </row>
    <row r="364" spans="19:24" x14ac:dyDescent="0.35">
      <c r="S364" s="3">
        <f t="shared" si="29"/>
        <v>52</v>
      </c>
      <c r="T364" s="7">
        <f>DATE('Gráfico Controle de Resultados'!$C$9,Auxiliar!U364,Auxiliar!V364)</f>
        <v>49671</v>
      </c>
      <c r="U364" s="3">
        <v>12</v>
      </c>
      <c r="V364" s="3">
        <v>28</v>
      </c>
      <c r="W364" s="22">
        <f t="shared" si="30"/>
        <v>6</v>
      </c>
      <c r="X364" s="3">
        <f t="shared" si="31"/>
        <v>52</v>
      </c>
    </row>
    <row r="365" spans="19:24" x14ac:dyDescent="0.35">
      <c r="S365" s="3">
        <f t="shared" si="29"/>
        <v>52</v>
      </c>
      <c r="T365" s="7">
        <f>DATE('Gráfico Controle de Resultados'!$C$9,Auxiliar!U365,Auxiliar!V365)</f>
        <v>49672</v>
      </c>
      <c r="U365" s="3">
        <v>12</v>
      </c>
      <c r="V365" s="3">
        <v>29</v>
      </c>
      <c r="W365" s="22">
        <f t="shared" si="30"/>
        <v>7</v>
      </c>
      <c r="X365" s="3">
        <f t="shared" si="31"/>
        <v>52</v>
      </c>
    </row>
    <row r="366" spans="19:24" x14ac:dyDescent="0.35">
      <c r="S366" s="3">
        <f t="shared" si="29"/>
        <v>53</v>
      </c>
      <c r="T366" s="7">
        <f>DATE('Gráfico Controle de Resultados'!$C$9,Auxiliar!U366,Auxiliar!V366)</f>
        <v>49673</v>
      </c>
      <c r="U366" s="3">
        <v>12</v>
      </c>
      <c r="V366" s="3">
        <v>30</v>
      </c>
      <c r="W366" s="22">
        <f t="shared" si="30"/>
        <v>1</v>
      </c>
      <c r="X366" s="3">
        <f t="shared" si="31"/>
        <v>53</v>
      </c>
    </row>
    <row r="367" spans="19:24" x14ac:dyDescent="0.35">
      <c r="S367" s="3">
        <f t="shared" si="29"/>
        <v>53</v>
      </c>
      <c r="T367" s="7">
        <f>DATE('Gráfico Controle de Resultados'!$C$9,Auxiliar!U367,Auxiliar!V367)</f>
        <v>49674</v>
      </c>
      <c r="U367" s="3">
        <v>12</v>
      </c>
      <c r="V367" s="3">
        <v>31</v>
      </c>
      <c r="W367" s="22">
        <f t="shared" si="30"/>
        <v>2</v>
      </c>
      <c r="X367" s="3">
        <f t="shared" si="31"/>
        <v>53</v>
      </c>
    </row>
    <row r="1048576" spans="50:50" x14ac:dyDescent="0.35">
      <c r="AX1048576" s="1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2491EA-DFAC-45E3-AAFB-C9A795FA76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Gráfico Controle de Resultados</vt:lpstr>
      <vt:lpstr>Realizado Jan35</vt:lpstr>
      <vt:lpstr>Realizado Fev35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Machado</dc:creator>
  <cp:lastModifiedBy>Machado</cp:lastModifiedBy>
  <cp:lastPrinted>2020-09-17T22:05:49Z</cp:lastPrinted>
  <dcterms:created xsi:type="dcterms:W3CDTF">2015-06-05T18:17:20Z</dcterms:created>
  <dcterms:modified xsi:type="dcterms:W3CDTF">2025-12-15T19:38:14Z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b979ee7c-ce9a-4312-8374-90064c25f9ae</vt:lpwstr>
  </property>
</Properties>
</file>