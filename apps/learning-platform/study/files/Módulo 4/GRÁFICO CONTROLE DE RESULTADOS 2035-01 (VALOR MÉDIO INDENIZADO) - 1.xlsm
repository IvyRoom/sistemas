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4/DOCUMENTOS AUXILIARES/"/>
    </mc:Choice>
  </mc:AlternateContent>
  <xr:revisionPtr revIDLastSave="4" documentId="13_ncr:1_{0BEF2D83-7ABD-46F0-BE32-924C34AFB25C}" xr6:coauthVersionLast="47" xr6:coauthVersionMax="47" xr10:uidLastSave="{8D3F1DDF-B8CB-4A40-BD21-9BCBAB9A4753}"/>
  <bookViews>
    <workbookView xWindow="-110" yWindow="-110" windowWidth="25820" windowHeight="13900" xr2:uid="{00000000-000D-0000-FFFF-FFFF00000000}"/>
  </bookViews>
  <sheets>
    <sheet name="Gráfico Controle de Resultados" sheetId="6" r:id="rId1"/>
    <sheet name="Realizado Jan35" sheetId="8" r:id="rId2"/>
    <sheet name="Auxiliar" sheetId="7" state="hidden" r:id="rId3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AE35" i="6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AA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<sst xmlns="http://schemas.openxmlformats.org/spreadsheetml/2006/main" count="125" uniqueCount="90">
  <si>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</si>
  <si>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</si>
  <si>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</si>
  <si>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</si>
  <si>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</si>
  <si>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</si>
  <si>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</si>
  <si>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</si>
  <si>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</si>
  <si>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</si>
  <si>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</si>
  <si>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</si>
  <si>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</si>
  <si>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</si>
  <si>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</si>
  <si>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</si>
  <si>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</si>
  <si>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</si>
  <si>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</si>
  <si>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</si>
  <si>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</si>
  <si>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</si>
  <si>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</si>
  <si>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</si>
  <si>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</si>
  <si>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</si>
  <si>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</si>
  <si>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</si>
  <si>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</si>
  <si>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</si>
  <si>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</si>
  <si>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</si>
  <si>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</si>
  <si>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</si>
  <si>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</si>
  <si>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</si>
  <si>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</si>
  <si>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</si>
  <si>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</si>
  <si>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</si>
  <si>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</si>
  <si>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</si>
  <si>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</si>
  <si>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</si>
  <si>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</si>
  <si>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</si>
  <si>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</si>
  <si>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</si>
  <si>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</si>
  <si>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</si>
  <si>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</si>
  <si>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</si>
  <si>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</si>
  <si>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</si>
  <si>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</si>
  <si>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</si>
  <si>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</si>
  <si>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</si>
  <si>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</si>
  <si>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</si>
  <si>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</si>
  <si>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</si>
  <si>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</si>
  <si>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</si>
  <si>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</si>
  <si>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</si>
  <si>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</si>
  <si>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</si>
  <si>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</si>
  <si>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</si>
  <si>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</si>
  <si>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</si>
  <si>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</si>
  <si>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</si>
  <si>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</si>
  <si>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</si>
  <si>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</si>
  <si>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</si>
  <si>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</si>
  <si>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</si>
  <si>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</si>
  <si>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Valor Médio Indezinado</t>
  </si>
  <si>
    <t>Valor Total das Indenizações / Núm. Processos Trabalhistas Recebidos</t>
  </si>
  <si>
    <t>2035</t>
  </si>
  <si>
    <t>jan</t>
  </si>
  <si>
    <t>Anos (Data Execução)</t>
  </si>
  <si>
    <t>Meses (Data Execução)</t>
  </si>
  <si>
    <t>Contagem de Valor Execução</t>
  </si>
  <si>
    <t>Soma de Valor Execução</t>
  </si>
  <si>
    <t>Semana 5: de 28/jan/2035 a 03/fev/2035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</si>
</sst>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6]mmm\-yy;@"/>
    <numFmt numFmtId="165" formatCode="[$-416]mmmyy"/>
    <numFmt numFmtId="166" formatCode="[$-416]dd/mmm/yyyy"/>
    <numFmt numFmtId="167" formatCode="0.0%"/>
    <numFmt numFmtId="168" formatCode="&quot;R$&quot;\ #,##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0" fontId="0" fillId="0" borderId="0" xfId="0" pivotButton="1"/>
    <xf numFmtId="168" fontId="0" fillId="0" borderId="0" xfId="0" applyNumberFormat="1"/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2">
    <cellStyle name="Hiperlink" xfId="1" builtinId="8"/>
    <cellStyle name="Normal" xfId="0" builtinId="0"/>
  </cellStyles>
  <dxfs count="1">
    <dxf>
      <numFmt numFmtId="168" formatCode="&quot;R$&quot;\ #,##0"/>
    </dxf>
  </dxfs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39433.454081632655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</c:formatCode>
                <c:ptCount val="12"/>
                <c:pt idx="0">
                  <c:v>37998.188775510207</c:v>
                </c:pt>
                <c:pt idx="1">
                  <c:v>37998.188775510207</c:v>
                </c:pt>
                <c:pt idx="2">
                  <c:v>37553.674610001071</c:v>
                </c:pt>
                <c:pt idx="3">
                  <c:v>37109.160444491936</c:v>
                </c:pt>
                <c:pt idx="4">
                  <c:v>36664.6462789828</c:v>
                </c:pt>
                <c:pt idx="5">
                  <c:v>36220.132113473665</c:v>
                </c:pt>
                <c:pt idx="6">
                  <c:v>35775.617947964529</c:v>
                </c:pt>
                <c:pt idx="7">
                  <c:v>35331.103782455393</c:v>
                </c:pt>
                <c:pt idx="8">
                  <c:v>34886.589616946258</c:v>
                </c:pt>
                <c:pt idx="9">
                  <c:v>34442.075451437122</c:v>
                </c:pt>
                <c:pt idx="10">
                  <c:v>33997.561285927986</c:v>
                </c:pt>
                <c:pt idx="11">
                  <c:v>33553.047120418851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title>
          <c:overlay val="0"/>
        </c:title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3" Type="http://schemas.microsoft.com/office/2019/04/relationships/externalLinkLongPath" Target="ESTUDO%20DE%20CASO%2006%20&#8211;%20BASE%20DE%20DADOS%20INDENIZA&#199;&#213;ES%20(2034-06%20A%202035-01).xlsx?8E3A6207" TargetMode="External"/><Relationship Id="rId2" Type="http://schemas.openxmlformats.org/officeDocument/2006/relationships/externalLinkPath" Target="file:///\\8E3A6207\ESTUDO%20DE%20CASO%2006%20&#8211;%20BASE%20DE%20DADOS%20INDENIZA&#199;&#213;ES%20(2034-06%20A%202035-01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Braga Machado" refreshedDate="45891.764566203703" createdVersion="8" refreshedVersion="8" minRefreshableVersion="3" recordCount="1509" xr:uid="{54DD188F-8E22-492A-AE74-ECBBB0FA87B9}">
  <cacheSource type="worksheet">
    <worksheetSource ref="A1:J1510" sheet="crm-extract-234762374792347.csv" r:id="rId2"/>
  </cacheSource>
  <cacheFields count="13">
    <cacheField name="ID Processo" numFmtId="0">
      <sharedItems containsSemiMixedTypes="0" containsString="0" containsNumber="1" containsInteger="1" minValue="70994" maxValue="72502"/>
    </cacheField>
    <cacheField name="PIS/PASEP Petição" numFmtId="0">
      <sharedItems containsSemiMixedTypes="0" containsString="0" containsNumber="1" containsInteger="1" minValue="11142816321" maxValue="99999986811" count="1509">
        <n v="76888038358"/>
        <n v="82419118194"/>
        <n v="24326033271"/>
        <n v="25678293609"/>
        <n v="51182790816"/>
        <n v="54239327659"/>
        <n v="63680089869"/>
        <n v="74189467334"/>
        <n v="90565730457"/>
        <n v="58208423382"/>
        <n v="44495744364"/>
        <n v="65314157819"/>
        <n v="95059464176"/>
        <n v="17025664089"/>
        <n v="44046170208"/>
        <n v="17560569644"/>
        <n v="21967776500"/>
        <n v="27276444419"/>
        <n v="64110095824"/>
        <n v="80356445288"/>
        <n v="64584443694"/>
        <n v="39914543261"/>
        <n v="17496215869"/>
        <n v="22569824778"/>
        <n v="53565896340"/>
        <n v="44883458189"/>
        <n v="19476659710"/>
        <n v="69299945755"/>
        <n v="93275118750"/>
        <n v="14879266325"/>
        <n v="77137997350"/>
        <n v="78390690234"/>
        <n v="33114688285"/>
        <n v="25864935346"/>
        <n v="69301979130"/>
        <n v="39387744689"/>
        <n v="63742567722"/>
        <n v="63555460669"/>
        <n v="35186347742"/>
        <n v="30552300735"/>
        <n v="95688052883"/>
        <n v="70058933647"/>
        <n v="64438119548"/>
        <n v="73727559926"/>
        <n v="53251541523"/>
        <n v="52779075048"/>
        <n v="60524008415"/>
        <n v="46988935533"/>
        <n v="85541223668"/>
        <n v="54495616739"/>
        <n v="41424182842"/>
        <n v="42637395292"/>
        <n v="76567479220"/>
        <n v="32636067522"/>
        <n v="39757848097"/>
        <n v="55083040895"/>
        <n v="45923930300"/>
        <n v="49098024405"/>
        <n v="31997501420"/>
        <n v="40400630177"/>
        <n v="15674158546"/>
        <n v="74954800103"/>
        <n v="61561340564"/>
        <n v="24076988877"/>
        <n v="57493335654"/>
        <n v="12289700894"/>
        <n v="36769528214"/>
        <n v="21847248712"/>
        <n v="42332295796"/>
        <n v="18389604719"/>
        <n v="65880391807"/>
        <n v="22100483760"/>
        <n v="22077070970"/>
        <n v="49078926970"/>
        <n v="94490824087"/>
        <n v="56410040130"/>
        <n v="14094222132"/>
        <n v="61450251175"/>
        <n v="77344646434"/>
        <n v="94158455029"/>
        <n v="45983592761"/>
        <n v="76036424401"/>
        <n v="17985992575"/>
        <n v="76053963357"/>
        <n v="61187601147"/>
        <n v="15049579313"/>
        <n v="34440161819"/>
        <n v="51762738753"/>
        <n v="88268954623"/>
        <n v="16622243492"/>
        <n v="31569992010"/>
        <n v="25385367354"/>
        <n v="98679640642"/>
        <n v="45409272129"/>
        <n v="28732048996"/>
        <n v="96741561672"/>
        <n v="30681810272"/>
        <n v="99718011738"/>
        <n v="29963879459"/>
        <n v="90002988219"/>
        <n v="33374171050"/>
        <n v="41290311584"/>
        <n v="41049419539"/>
        <n v="77176062849"/>
        <n v="32029192864"/>
        <n v="91077563677"/>
        <n v="44506756996"/>
        <n v="72844856800"/>
        <n v="90061200054"/>
        <n v="21343252099"/>
        <n v="48040644004"/>
        <n v="11198798905"/>
        <n v="93408653523"/>
        <n v="84272822343"/>
        <n v="80178756660"/>
        <n v="15800135027"/>
        <n v="16064767834"/>
        <n v="67012333187"/>
        <n v="89679213996"/>
        <n v="97637029209"/>
        <n v="71952267678"/>
        <n v="72688543877"/>
        <n v="97553312828"/>
        <n v="52877420427"/>
        <n v="93920703704"/>
        <n v="85465918317"/>
        <n v="47668846734"/>
        <n v="30532958965"/>
        <n v="42840321381"/>
        <n v="56654610698"/>
        <n v="50561659235"/>
        <n v="71725793591"/>
        <n v="61869404982"/>
        <n v="63983924457"/>
        <n v="28978009146"/>
        <n v="98619882171"/>
        <n v="82401802260"/>
        <n v="90043903556"/>
        <n v="72781609233"/>
        <n v="69615854268"/>
        <n v="69608885960"/>
        <n v="46257288375"/>
        <n v="60096852677"/>
        <n v="44379119863"/>
        <n v="45902310301"/>
        <n v="67106343052"/>
        <n v="14220957913"/>
        <n v="25429853324"/>
        <n v="72081475618"/>
        <n v="92234854729"/>
        <n v="55485643970"/>
        <n v="51571927888"/>
        <n v="38798644576"/>
        <n v="72324265212"/>
        <n v="25672303436"/>
        <n v="82877382576"/>
        <n v="35806556705"/>
        <n v="57391767441"/>
        <n v="35291338949"/>
        <n v="15841916089"/>
        <n v="93915070065"/>
        <n v="73806915374"/>
        <n v="82207374534"/>
        <n v="19017974956"/>
        <n v="25485315278"/>
        <n v="61137504130"/>
        <n v="35701164919"/>
        <n v="54419014708"/>
        <n v="55154244232"/>
        <n v="64086056554"/>
        <n v="31876912454"/>
        <n v="47282239023"/>
        <n v="70113639723"/>
        <n v="32878905736"/>
        <n v="43062769036"/>
        <n v="90285641845"/>
        <n v="31351325437"/>
        <n v="39503516940"/>
        <n v="87048832816"/>
        <n v="22787458857"/>
        <n v="76198637632"/>
        <n v="85855215368"/>
        <n v="79890296508"/>
        <n v="61275526254"/>
        <n v="21589074478"/>
        <n v="44689300873"/>
        <n v="67406083819"/>
        <n v="60846047649"/>
        <n v="54536191255"/>
        <n v="88833096912"/>
        <n v="24957627792"/>
        <n v="52119216628"/>
        <n v="83548415076"/>
        <n v="38291626297"/>
        <n v="84824006827"/>
        <n v="21317805640"/>
        <n v="83727350566"/>
        <n v="38729490617"/>
        <n v="93880948486"/>
        <n v="21726237521"/>
        <n v="80614638749"/>
        <n v="83182756100"/>
        <n v="40528961571"/>
        <n v="16310796902"/>
        <n v="85542877784"/>
        <n v="53285055591"/>
        <n v="70914499125"/>
        <n v="84324494333"/>
        <n v="65102115176"/>
        <n v="65695665079"/>
        <n v="27084202878"/>
        <n v="27027979562"/>
        <n v="53849242328"/>
        <n v="31270787993"/>
        <n v="84617498294"/>
        <n v="16707776585"/>
        <n v="82090704603"/>
        <n v="89149096085"/>
        <n v="93671771277"/>
        <n v="39434888693"/>
        <n v="76015109882"/>
        <n v="37762642681"/>
        <n v="96295222277"/>
        <n v="40768974775"/>
        <n v="94617321157"/>
        <n v="53972951404"/>
        <n v="42119349457"/>
        <n v="75186113593"/>
        <n v="22166438861"/>
        <n v="73969285893"/>
        <n v="88822766623"/>
        <n v="81172170997"/>
        <n v="29926684482"/>
        <n v="69195622129"/>
        <n v="34062660333"/>
        <n v="92691879526"/>
        <n v="92912775291"/>
        <n v="61973555842"/>
        <n v="65582996049"/>
        <n v="91271429800"/>
        <n v="66782986806"/>
        <n v="23452950298"/>
        <n v="73411967383"/>
        <n v="86003947863"/>
        <n v="20444974273"/>
        <n v="50509155508"/>
        <n v="41742695707"/>
        <n v="80253330439"/>
        <n v="40488077555"/>
        <n v="18674719502"/>
        <n v="46920947465"/>
        <n v="51619933563"/>
        <n v="51742124162"/>
        <n v="42020375081"/>
        <n v="32910299792"/>
        <n v="51879267487"/>
        <n v="58119032587"/>
        <n v="96903735771"/>
        <n v="66396493617"/>
        <n v="90969142315"/>
        <n v="44506297232"/>
        <n v="41366135637"/>
        <n v="91256175980"/>
        <n v="93853125542"/>
        <n v="62311828079"/>
        <n v="19211094492"/>
        <n v="77787207767"/>
        <n v="93985884250"/>
        <n v="53021031613"/>
        <n v="18131363500"/>
        <n v="79811522458"/>
        <n v="83496259240"/>
        <n v="85662558699"/>
        <n v="18091464581"/>
        <n v="23055527302"/>
        <n v="48694608316"/>
        <n v="31012749168"/>
        <n v="31843349573"/>
        <n v="78385067201"/>
        <n v="51867793808"/>
        <n v="39706792790"/>
        <n v="81791155637"/>
        <n v="86036356620"/>
        <n v="20113696308"/>
        <n v="47125457466"/>
        <n v="36155346799"/>
        <n v="62302915341"/>
        <n v="32241820591"/>
        <n v="41543276053"/>
        <n v="64217427543"/>
        <n v="24562601827"/>
        <n v="97637000485"/>
        <n v="51978844204"/>
        <n v="30853830973"/>
        <n v="87648209992"/>
        <n v="64125500138"/>
        <n v="22537696684"/>
        <n v="80446311492"/>
        <n v="62253058864"/>
        <n v="84209265640"/>
        <n v="66681271769"/>
        <n v="37278200645"/>
        <n v="33489958569"/>
        <n v="92909459434"/>
        <n v="55220388973"/>
        <n v="87354219247"/>
        <n v="96603048332"/>
        <n v="82739083150"/>
        <n v="28120855929"/>
        <n v="86790151893"/>
        <n v="90783347673"/>
        <n v="70718707930"/>
        <n v="17899161508"/>
        <n v="43960292501"/>
        <n v="63555597419"/>
        <n v="88062271940"/>
        <n v="41103930963"/>
        <n v="82238414419"/>
        <n v="82427963656"/>
        <n v="72091008370"/>
        <n v="27812806974"/>
        <n v="67085925516"/>
        <n v="49217432457"/>
        <n v="71051588983"/>
        <n v="93862927907"/>
        <n v="59670810790"/>
        <n v="90729927642"/>
        <n v="43936653484"/>
        <n v="91996957816"/>
        <n v="95604533574"/>
        <n v="99449830056"/>
        <n v="64649486789"/>
        <n v="57110913192"/>
        <n v="78564476950"/>
        <n v="81996362249"/>
        <n v="16116036241"/>
        <n v="22712987119"/>
        <n v="59634085970"/>
        <n v="99913725386"/>
        <n v="76327385799"/>
        <n v="18927782680"/>
        <n v="97160305280"/>
        <n v="75777910654"/>
        <n v="50334320844"/>
        <n v="41574207197"/>
        <n v="29910895242"/>
        <n v="66664711102"/>
        <n v="25632134652"/>
        <n v="37760878268"/>
        <n v="49977649326"/>
        <n v="44729106002"/>
        <n v="88583341190"/>
        <n v="62817224430"/>
        <n v="83833284446"/>
        <n v="51309608438"/>
        <n v="70790224368"/>
        <n v="33325467724"/>
        <n v="67803947589"/>
        <n v="31353927368"/>
        <n v="91655826093"/>
        <n v="17348325835"/>
        <n v="18696150076"/>
        <n v="11898312281"/>
        <n v="68113908713"/>
        <n v="53057210450"/>
        <n v="20736724237"/>
        <n v="95717660350"/>
        <n v="55516996293"/>
        <n v="14700496808"/>
        <n v="19429923237"/>
        <n v="16339287787"/>
        <n v="49576180245"/>
        <n v="18570918924"/>
        <n v="14298161081"/>
        <n v="83057201811"/>
        <n v="75697725997"/>
        <n v="96574786861"/>
        <n v="39149675165"/>
        <n v="27338984271"/>
        <n v="35627593205"/>
        <n v="83133210449"/>
        <n v="66866342994"/>
        <n v="30488242434"/>
        <n v="96618384212"/>
        <n v="96303426211"/>
        <n v="42724275731"/>
        <n v="26786191931"/>
        <n v="54432237912"/>
        <n v="76736491069"/>
        <n v="90041936082"/>
        <n v="45539195308"/>
        <n v="93089735190"/>
        <n v="69663441531"/>
        <n v="36629457271"/>
        <n v="72317594697"/>
        <n v="44492911862"/>
        <n v="30015601579"/>
        <n v="60124945204"/>
        <n v="75048331084"/>
        <n v="82565916808"/>
        <n v="97315276491"/>
        <n v="80288337566"/>
        <n v="45445920945"/>
        <n v="80144672269"/>
        <n v="99416134484"/>
        <n v="67247070705"/>
        <n v="54901049151"/>
        <n v="33321282182"/>
        <n v="13249654769"/>
        <n v="97855340866"/>
        <n v="24848622345"/>
        <n v="20942396884"/>
        <n v="14672851719"/>
        <n v="65146614227"/>
        <n v="77974656229"/>
        <n v="60352478421"/>
        <n v="67743901880"/>
        <n v="28505290381"/>
        <n v="79658618256"/>
        <n v="95237536089"/>
        <n v="77112344054"/>
        <n v="15925444994"/>
        <n v="71388120390"/>
        <n v="71718883524"/>
        <n v="93474760724"/>
        <n v="14487032819"/>
        <n v="84691751781"/>
        <n v="95610002309"/>
        <n v="38908930749"/>
        <n v="47138136788"/>
        <n v="62247581713"/>
        <n v="99719879306"/>
        <n v="99404335018"/>
        <n v="14652678590"/>
        <n v="17294567116"/>
        <n v="63241550524"/>
        <n v="95408740402"/>
        <n v="22854738723"/>
        <n v="76901500760"/>
        <n v="98628367034"/>
        <n v="90500713123"/>
        <n v="57956876074"/>
        <n v="55490519814"/>
        <n v="67145834979"/>
        <n v="22827388681"/>
        <n v="65421302781"/>
        <n v="83744573062"/>
        <n v="47288728512"/>
        <n v="89319971502"/>
        <n v="22893052740"/>
        <n v="66639587660"/>
        <n v="23112289245"/>
        <n v="96154970314"/>
        <n v="97661729319"/>
        <n v="90386509125"/>
        <n v="65086436020"/>
        <n v="44333130078"/>
        <n v="96321883066"/>
        <n v="48937844432"/>
        <n v="84920989369"/>
        <n v="41309531750"/>
        <n v="99149984873"/>
        <n v="21684363278"/>
        <n v="96811880490"/>
        <n v="26937759469"/>
        <n v="62392965661"/>
        <n v="47122042683"/>
        <n v="78249037826"/>
        <n v="80997651016"/>
        <n v="60632257463"/>
        <n v="76041601855"/>
        <n v="44977388322"/>
        <n v="78323666557"/>
        <n v="26951281581"/>
        <n v="78314906766"/>
        <n v="43203841302"/>
        <n v="77266808469"/>
        <n v="50495431113"/>
        <n v="18099518603"/>
        <n v="36287905745"/>
        <n v="44783012488"/>
        <n v="68059835764"/>
        <n v="23259824761"/>
        <n v="31494832310"/>
        <n v="49830052250"/>
        <n v="15895180388"/>
        <n v="75824928246"/>
        <n v="99563380288"/>
        <n v="81939517481"/>
        <n v="78075079287"/>
        <n v="49344286814"/>
        <n v="16260923814"/>
        <n v="89335413200"/>
        <n v="80225524957"/>
        <n v="23036646766"/>
        <n v="22994798050"/>
        <n v="97150608475"/>
        <n v="46323510362"/>
        <n v="36205925517"/>
        <n v="77073468873"/>
        <n v="38270616166"/>
        <n v="44156032294"/>
        <n v="43478194132"/>
        <n v="53718057238"/>
        <n v="37355318107"/>
        <n v="30058404113"/>
        <n v="95067966187"/>
        <n v="79548649538"/>
        <n v="13686592624"/>
        <n v="27503073089"/>
        <n v="62192020078"/>
        <n v="30026322107"/>
        <n v="54067931243"/>
        <n v="56848451832"/>
        <n v="18818370414"/>
        <n v="90853673757"/>
        <n v="16926845395"/>
        <n v="61735381854"/>
        <n v="82884412354"/>
        <n v="74191410219"/>
        <n v="76743173510"/>
        <n v="95621650154"/>
        <n v="33769075742"/>
        <n v="26513159795"/>
        <n v="49009313450"/>
        <n v="19457902114"/>
        <n v="36801440374"/>
        <n v="86699548216"/>
        <n v="64512139354"/>
        <n v="98924902210"/>
        <n v="66201426773"/>
        <n v="57447131140"/>
        <n v="19210587905"/>
        <n v="93989075461"/>
        <n v="49201455776"/>
        <n v="77760270552"/>
        <n v="89874883804"/>
        <n v="57713594493"/>
        <n v="41589919794"/>
        <n v="67929085408"/>
        <n v="24605368133"/>
        <n v="73991346705"/>
        <n v="76668210512"/>
        <n v="57224593567"/>
        <n v="94075834088"/>
        <n v="42273895445"/>
        <n v="17570785395"/>
        <n v="23961115690"/>
        <n v="23597519048"/>
        <n v="98504018746"/>
        <n v="52367310654"/>
        <n v="62717357380"/>
        <n v="78597313905"/>
        <n v="92067624597"/>
        <n v="45577878463"/>
        <n v="86085918906"/>
        <n v="93572126400"/>
        <n v="12772544864"/>
        <n v="36278216957"/>
        <n v="18144477384"/>
        <n v="11142816321"/>
        <n v="18735526676"/>
        <n v="99768877460"/>
        <n v="82375358875"/>
        <n v="33288395616"/>
        <n v="40262893439"/>
        <n v="70163085344"/>
        <n v="69890825470"/>
        <n v="91937525470"/>
        <n v="49000195592"/>
        <n v="24979610495"/>
        <n v="79294948101"/>
        <n v="77206572046"/>
        <n v="44558050416"/>
        <n v="28555975129"/>
        <n v="68839565080"/>
        <n v="13837900546"/>
        <n v="30158557083"/>
        <n v="82960452603"/>
        <n v="29388830387"/>
        <n v="61619947035"/>
        <n v="39063667492"/>
        <n v="72290068601"/>
        <n v="25743018934"/>
        <n v="81292396193"/>
        <n v="79937334740"/>
        <n v="33918368800"/>
        <n v="40762659999"/>
        <n v="22057594435"/>
        <n v="44728123168"/>
        <n v="22090934788"/>
        <n v="28733099641"/>
        <n v="21198588267"/>
        <n v="91552388118"/>
        <n v="64500920291"/>
        <n v="51839495593"/>
        <n v="90346727738"/>
        <n v="78133245588"/>
        <n v="61385065237"/>
        <n v="12872822661"/>
        <n v="93759138257"/>
        <n v="25878128336"/>
        <n v="19651343968"/>
        <n v="52470133794"/>
        <n v="93641081019"/>
        <n v="30780679395"/>
        <n v="48706504819"/>
        <n v="84099720954"/>
        <n v="16422889578"/>
        <n v="40333280688"/>
        <n v="20391415814"/>
        <n v="72131776398"/>
        <n v="37240814245"/>
        <n v="88474919767"/>
        <n v="83050794368"/>
        <n v="61855864468"/>
        <n v="14657560532"/>
        <n v="20617472291"/>
        <n v="98904237154"/>
        <n v="27904787665"/>
        <n v="18155390416"/>
        <n v="48448930905"/>
        <n v="92879270225"/>
        <n v="15262334252"/>
        <n v="25631260966"/>
        <n v="14162203218"/>
        <n v="27871878417"/>
        <n v="90885946417"/>
        <n v="72694318739"/>
        <n v="33968540993"/>
        <n v="20341485932"/>
        <n v="66073737309"/>
        <n v="86388397710"/>
        <n v="30828925618"/>
        <n v="95890894836"/>
        <n v="45424381867"/>
        <n v="49421511530"/>
        <n v="63073437128"/>
        <n v="62423950619"/>
        <n v="26398082603"/>
        <n v="67455767152"/>
        <n v="76860732303"/>
        <n v="97670525121"/>
        <n v="98622328984"/>
        <n v="65761119202"/>
        <n v="39230156270"/>
        <n v="17004125842"/>
        <n v="76816895285"/>
        <n v="28025621762"/>
        <n v="50282250511"/>
        <n v="43217875028"/>
        <n v="79882631286"/>
        <n v="80842132142"/>
        <n v="63250797404"/>
        <n v="54501452176"/>
        <n v="68876487019"/>
        <n v="39382682676"/>
        <n v="79445337304"/>
        <n v="78251087596"/>
        <n v="90057741508"/>
        <n v="11195642926"/>
        <n v="13317253263"/>
        <n v="60775003858"/>
        <n v="20117876658"/>
        <n v="31133701444"/>
        <n v="18964842667"/>
        <n v="28485171147"/>
        <n v="58972175437"/>
        <n v="89536396863"/>
        <n v="79628141460"/>
        <n v="37466989845"/>
        <n v="51877094484"/>
        <n v="82666800824"/>
        <n v="40073604841"/>
        <n v="21842597103"/>
        <n v="33154790361"/>
        <n v="54880186182"/>
        <n v="62280911122"/>
        <n v="68809070776"/>
        <n v="45552920259"/>
        <n v="32280264760"/>
        <n v="46652462939"/>
        <n v="56389259269"/>
        <n v="36250900182"/>
        <n v="54073137368"/>
        <n v="79236119445"/>
        <n v="62808703889"/>
        <n v="68624430508"/>
        <n v="42464936292"/>
        <n v="31296810837"/>
        <n v="71360708177"/>
        <n v="28403151297"/>
        <n v="14288429567"/>
        <n v="87282161384"/>
        <n v="17861885355"/>
        <n v="30282900450"/>
        <n v="52332944607"/>
        <n v="59531967148"/>
        <n v="61881076924"/>
        <n v="28750443238"/>
        <n v="48119834370"/>
        <n v="39749974842"/>
        <n v="12725158977"/>
        <n v="99434737070"/>
        <n v="66328149594"/>
        <n v="60953538195"/>
        <n v="55863813957"/>
        <n v="32262346715"/>
        <n v="58935440493"/>
        <n v="77414885492"/>
        <n v="16124985022"/>
        <n v="22665248363"/>
        <n v="56389127610"/>
        <n v="82336399318"/>
        <n v="64102121145"/>
        <n v="31434509926"/>
        <n v="23087911259"/>
        <n v="56508422179"/>
        <n v="59926104611"/>
        <n v="82149169114"/>
        <n v="32529627066"/>
        <n v="25439973492"/>
        <n v="95441523261"/>
        <n v="25987726536"/>
        <n v="55805365270"/>
        <n v="41700883500"/>
        <n v="80314378521"/>
        <n v="17873959272"/>
        <n v="19130622628"/>
        <n v="64463957419"/>
        <n v="79550512885"/>
        <n v="76559094489"/>
        <n v="26545423302"/>
        <n v="69615886139"/>
        <n v="43909521820"/>
        <n v="86281493652"/>
        <n v="84653278931"/>
        <n v="42464261977"/>
        <n v="61863841453"/>
        <n v="97920451787"/>
        <n v="57323006821"/>
        <n v="60367710787"/>
        <n v="99698481153"/>
        <n v="48399733342"/>
        <n v="68061005432"/>
        <n v="94172228074"/>
        <n v="96323551787"/>
        <n v="60974202230"/>
        <n v="89613149274"/>
        <n v="52663454196"/>
        <n v="12635840047"/>
        <n v="54663320752"/>
        <n v="11420464250"/>
        <n v="42928515875"/>
        <n v="81883306705"/>
        <n v="78654833041"/>
        <n v="19254583742"/>
        <n v="72359450513"/>
        <n v="60689463958"/>
        <n v="61640327601"/>
        <n v="48996578978"/>
        <n v="71562071667"/>
        <n v="72856271710"/>
        <n v="40441266373"/>
        <n v="84420140412"/>
        <n v="24362204197"/>
        <n v="94982832301"/>
        <n v="30310528460"/>
        <n v="91366966663"/>
        <n v="23727283376"/>
        <n v="62417887438"/>
        <n v="54573362989"/>
        <n v="55001368140"/>
        <n v="29439849195"/>
        <n v="91812190016"/>
        <n v="23599653324"/>
        <n v="23555163107"/>
        <n v="74353646852"/>
        <n v="80604742850"/>
        <n v="96282111210"/>
        <n v="78307455223"/>
        <n v="22205939337"/>
        <n v="28194385980"/>
        <n v="47149499414"/>
        <n v="17245192108"/>
        <n v="79701537110"/>
        <n v="71757309240"/>
        <n v="41810499860"/>
        <n v="37328669481"/>
        <n v="62183462776"/>
        <n v="58608009978"/>
        <n v="60035900277"/>
        <n v="63337970865"/>
        <n v="27686098159"/>
        <n v="20789536931"/>
        <n v="76325960832"/>
        <n v="46173520385"/>
        <n v="13408241443"/>
        <n v="23375685091"/>
        <n v="27449624091"/>
        <n v="41004371039"/>
        <n v="89781336327"/>
        <n v="53465157692"/>
        <n v="98287829588"/>
        <n v="23971017017"/>
        <n v="99623915295"/>
        <n v="81375624905"/>
        <n v="16682506899"/>
        <n v="88904755265"/>
        <n v="25706574922"/>
        <n v="60800299232"/>
        <n v="69961058149"/>
        <n v="88744250446"/>
        <n v="46982823333"/>
        <n v="55211319840"/>
        <n v="31136056849"/>
        <n v="29041792961"/>
        <n v="73979608841"/>
        <n v="11595234929"/>
        <n v="34603176662"/>
        <n v="51251401076"/>
        <n v="56247334117"/>
        <n v="94436566573"/>
        <n v="47476874820"/>
        <n v="48575901190"/>
        <n v="49171671939"/>
        <n v="71737191330"/>
        <n v="37108102546"/>
        <n v="14627174114"/>
        <n v="95101372104"/>
        <n v="77920343068"/>
        <n v="73520238747"/>
        <n v="42592269239"/>
        <n v="12975982717"/>
        <n v="40816200883"/>
        <n v="49512557246"/>
        <n v="13956849541"/>
        <n v="72820790163"/>
        <n v="56757375947"/>
        <n v="95625066933"/>
        <n v="43100543766"/>
        <n v="96882742930"/>
        <n v="54936314695"/>
        <n v="70157449356"/>
        <n v="56681843264"/>
        <n v="85943606541"/>
        <n v="19787220908"/>
        <n v="41763399581"/>
        <n v="47941330584"/>
        <n v="43908508301"/>
        <n v="31663576301"/>
        <n v="82244615090"/>
        <n v="72646329134"/>
        <n v="22058854034"/>
        <n v="64402360277"/>
        <n v="38259067849"/>
        <n v="83365137744"/>
        <n v="19569678440"/>
        <n v="29592718719"/>
        <n v="13306774434"/>
        <n v="23553130945"/>
        <n v="18123653312"/>
        <n v="11874983025"/>
        <n v="53367435455"/>
        <n v="12875776836"/>
        <n v="82944193557"/>
        <n v="66607580012"/>
        <n v="91508745378"/>
        <n v="18311907761"/>
        <n v="91606088498"/>
        <n v="72542815720"/>
        <n v="43571561204"/>
        <n v="88314174095"/>
        <n v="92449284342"/>
        <n v="13892680561"/>
        <n v="92965492850"/>
        <n v="38027357999"/>
        <n v="82104214892"/>
        <n v="26020613959"/>
        <n v="40176826316"/>
        <n v="79213955037"/>
        <n v="57571102259"/>
        <n v="50246015555"/>
        <n v="67014914150"/>
        <n v="94274236905"/>
        <n v="17822720341"/>
        <n v="64624808614"/>
        <n v="88842908605"/>
        <n v="91557718661"/>
        <n v="69745575001"/>
        <n v="38611687828"/>
        <n v="11610669799"/>
        <n v="16336837320"/>
        <n v="81086033139"/>
        <n v="34941063951"/>
        <n v="20374404582"/>
        <n v="36787826397"/>
        <n v="87421154638"/>
        <n v="91753727205"/>
        <n v="44157398180"/>
        <n v="94428304024"/>
        <n v="47503361958"/>
        <n v="36377692693"/>
        <n v="38940625236"/>
        <n v="74559325326"/>
        <n v="57693501225"/>
        <n v="51560354506"/>
        <n v="29839424188"/>
        <n v="95528117271"/>
        <n v="62404389416"/>
        <n v="69151177745"/>
        <n v="70761487183"/>
        <n v="83070684210"/>
        <n v="69257490396"/>
        <n v="20911859611"/>
        <n v="52309222525"/>
        <n v="60397046888"/>
        <n v="88544598487"/>
        <n v="63270310849"/>
        <n v="30174647745"/>
        <n v="56791180371"/>
        <n v="89504265073"/>
        <n v="80413274145"/>
        <n v="65980515346"/>
        <n v="67695477657"/>
        <n v="45875432644"/>
        <n v="32615281206"/>
        <n v="51840062597"/>
        <n v="66622894884"/>
        <n v="14044574413"/>
        <n v="41588821685"/>
        <n v="84085791457"/>
        <n v="31069011221"/>
        <n v="91933474840"/>
        <n v="55824504863"/>
        <n v="92087516819"/>
        <n v="25198332195"/>
        <n v="91586689102"/>
        <n v="18925667016"/>
        <n v="22911693708"/>
        <n v="73818226246"/>
        <n v="62807723255"/>
        <n v="89289333905"/>
        <n v="38596167931"/>
        <n v="42498686379"/>
        <n v="81178236948"/>
        <n v="47504045992"/>
        <n v="41387132522"/>
        <n v="17499754733"/>
        <n v="89840371250"/>
        <n v="92633024194"/>
        <n v="13226779749"/>
        <n v="32788952705"/>
        <n v="31318144534"/>
        <n v="92076904288"/>
        <n v="26251610415"/>
        <n v="89526965089"/>
        <n v="22994691182"/>
        <n v="22381710232"/>
        <n v="56034058233"/>
        <n v="56730905246"/>
        <n v="55364096402"/>
        <n v="46320179637"/>
        <n v="51052843767"/>
        <n v="42706795461"/>
        <n v="23115435834"/>
        <n v="41369099216"/>
        <n v="99598442257"/>
        <n v="31583058758"/>
        <n v="43220774238"/>
        <n v="57372929626"/>
        <n v="70489425406"/>
        <n v="67627207864"/>
        <n v="96079253522"/>
        <n v="11446792041"/>
        <n v="23081350149"/>
        <n v="43449226043"/>
        <n v="83497396329"/>
        <n v="83203832464"/>
        <n v="96181950756"/>
        <n v="77144198219"/>
        <n v="69606560896"/>
        <n v="67277189044"/>
        <n v="80965276696"/>
        <n v="81459012423"/>
        <n v="73857847009"/>
        <n v="59206721136"/>
        <n v="45132037440"/>
        <n v="44616061087"/>
        <n v="90380727963"/>
        <n v="73553617947"/>
        <n v="17749463828"/>
        <n v="73058533251"/>
        <n v="96774075033"/>
        <n v="69439039053"/>
        <n v="23438569871"/>
        <n v="78743714550"/>
        <n v="27145802600"/>
        <n v="49789854857"/>
        <n v="70326220874"/>
        <n v="94314438787"/>
        <n v="86785570443"/>
        <n v="23667961059"/>
        <n v="76000477446"/>
        <n v="63184049581"/>
        <n v="40664245825"/>
        <n v="64288415091"/>
        <n v="67107744959"/>
        <n v="75237066008"/>
        <n v="54426294259"/>
        <n v="78055820776"/>
        <n v="76183813034"/>
        <n v="15688685392"/>
        <n v="83048523591"/>
        <n v="58037436991"/>
        <n v="83454487839"/>
        <n v="69681921922"/>
        <n v="91957288750"/>
        <n v="89535267824"/>
        <n v="76033862558"/>
        <n v="40763283689"/>
        <n v="95477875935"/>
        <n v="54293778236"/>
        <n v="53269915548"/>
        <n v="25952640324"/>
        <n v="21477822342"/>
        <n v="13987067230"/>
        <n v="47654342540"/>
        <n v="20520880064"/>
        <n v="66841112786"/>
        <n v="67925582862"/>
        <n v="28583940089"/>
        <n v="69026132324"/>
        <n v="99433360065"/>
        <n v="73469082730"/>
        <n v="96385625051"/>
        <n v="71348020314"/>
        <n v="18464592973"/>
        <n v="58114402332"/>
        <n v="81927717410"/>
        <n v="36675958617"/>
        <n v="94600318678"/>
        <n v="48561433829"/>
        <n v="28817314734"/>
        <n v="12123181778"/>
        <n v="40001327808"/>
        <n v="44191600403"/>
        <n v="87122405581"/>
        <n v="65018555468"/>
        <n v="91061361982"/>
        <n v="21282642187"/>
        <n v="19097012229"/>
        <n v="93908198039"/>
        <n v="70660740462"/>
        <n v="94084125736"/>
        <n v="37199501180"/>
        <n v="28999343507"/>
        <n v="79333367008"/>
        <n v="18534684048"/>
        <n v="45955247420"/>
        <n v="73955669772"/>
        <n v="74440205015"/>
        <n v="81271773793"/>
        <n v="42689461928"/>
        <n v="98387007636"/>
        <n v="58703091002"/>
        <n v="27465575692"/>
        <n v="57262868100"/>
        <n v="43221761424"/>
        <n v="90457662373"/>
        <n v="57638245919"/>
        <n v="72664355868"/>
        <n v="74746496871"/>
        <n v="69553908763"/>
        <n v="15778899561"/>
        <n v="69202850254"/>
        <n v="80071174504"/>
        <n v="39983555043"/>
        <n v="43807822274"/>
        <n v="90980785104"/>
        <n v="13431412521"/>
        <n v="79568094519"/>
        <n v="96780575841"/>
        <n v="51186972622"/>
        <n v="83981379275"/>
        <n v="82997914629"/>
        <n v="77224797061"/>
        <n v="30747541899"/>
        <n v="72320469499"/>
        <n v="49321839609"/>
        <n v="60849629580"/>
        <n v="32573293118"/>
        <n v="30722135703"/>
        <n v="57846610562"/>
        <n v="74136425276"/>
        <n v="74030054559"/>
        <n v="94073500749"/>
        <n v="26559590170"/>
        <n v="56781762357"/>
        <n v="55585358720"/>
        <n v="92830616346"/>
        <n v="34234222492"/>
        <n v="55891974326"/>
        <n v="92614361264"/>
        <n v="28442600267"/>
        <n v="93650176962"/>
        <n v="12851301680"/>
        <n v="63743555149"/>
        <n v="35983048117"/>
        <n v="27406688644"/>
        <n v="37004548244"/>
        <n v="42281864844"/>
        <n v="22448809796"/>
        <n v="75095276033"/>
        <n v="62271778628"/>
        <n v="19941959277"/>
        <n v="35723212239"/>
        <n v="71904310813"/>
        <n v="99671438759"/>
        <n v="74992281351"/>
        <n v="99999986811"/>
        <n v="21972771210"/>
        <n v="39631885664"/>
        <n v="13647460317"/>
        <n v="95138791716"/>
        <n v="99572826291"/>
        <n v="94258924361"/>
        <n v="67743138485"/>
        <n v="49566007200"/>
        <n v="76432214057"/>
        <n v="38254200260"/>
        <n v="13165560487"/>
        <n v="90958705265"/>
        <n v="26100751343"/>
        <n v="13039558495"/>
        <n v="95691858763"/>
        <n v="85660117322"/>
        <n v="47451179821"/>
        <n v="70549013383"/>
        <n v="13257296849"/>
        <n v="56444774395"/>
        <n v="25330558356"/>
        <n v="76193015653"/>
        <n v="56394018671"/>
        <n v="73123376277"/>
        <n v="15876076214"/>
        <n v="58883119059"/>
        <n v="55249716053"/>
        <n v="33075987341"/>
        <n v="91414665499"/>
        <n v="97544240591"/>
        <n v="79680633737"/>
        <n v="47992138341"/>
        <n v="91768436248"/>
        <n v="86286861854"/>
        <n v="78771169509"/>
        <n v="88847915384"/>
        <n v="37542511105"/>
        <n v="24149450403"/>
        <n v="83521752682"/>
        <n v="48945032049"/>
        <n v="64651008132"/>
        <n v="36051213981"/>
        <n v="25233504484"/>
        <n v="97089486474"/>
        <n v="32432312197"/>
        <n v="35664186627"/>
        <n v="19257330652"/>
        <n v="14193947503"/>
        <n v="50531557277"/>
        <n v="54899860916"/>
        <n v="49367057109"/>
        <n v="35077337088"/>
        <n v="18074492099"/>
        <n v="33085501562"/>
        <n v="17279484018"/>
        <n v="25959309567"/>
        <n v="95384946385"/>
        <n v="83171783950"/>
        <n v="53387491094"/>
        <n v="51662022477"/>
        <n v="18719582593"/>
        <n v="48449723333"/>
        <n v="20783694195"/>
        <n v="52058807077"/>
        <n v="79172385946"/>
        <n v="93386443684"/>
        <n v="80400278571"/>
        <n v="73038420358"/>
        <n v="30887224449"/>
        <n v="78916055105"/>
        <n v="39601547441"/>
        <n v="84859772618"/>
        <n v="26002012934"/>
        <n v="71450271403"/>
        <n v="99097503968"/>
        <n v="13222799809"/>
        <n v="15800360262"/>
        <n v="32129948692"/>
        <n v="45795781535"/>
        <n v="11443857551"/>
        <n v="94787696787"/>
        <n v="66081794026"/>
        <n v="36398309287"/>
        <n v="17073673581"/>
        <n v="74213343557"/>
        <n v="56375640775"/>
        <n v="36824106939"/>
        <n v="27651975034"/>
        <n v="31616570552"/>
        <n v="23891040170"/>
        <n v="94015763232"/>
        <n v="60329329672"/>
        <n v="15999453804"/>
        <n v="72097287851"/>
        <n v="85841686796"/>
        <n v="39127818900"/>
        <n v="94765244498"/>
        <n v="73253963381"/>
        <n v="23057335113"/>
        <n v="85388346970"/>
        <n v="51242218959"/>
        <n v="78770352939"/>
        <n v="61239095669"/>
        <n v="91391673922"/>
        <n v="22903339802"/>
        <n v="48823891367"/>
        <n v="21097355771"/>
        <n v="42929353857"/>
        <n v="22120368480"/>
        <n v="45722665728"/>
        <n v="57309355265"/>
        <n v="88133452883"/>
        <n v="45142675567"/>
        <n v="19270187346"/>
        <n v="87684341636"/>
        <n v="56033699420"/>
        <n v="18622491570"/>
        <n v="61145824185"/>
        <n v="91044808433"/>
        <n v="40601948161"/>
        <n v="78489511154"/>
        <n v="62502945220"/>
        <n v="52925536848"/>
        <n v="40968139285"/>
        <n v="49861887139"/>
        <n v="91636203639"/>
        <n v="66997942643"/>
        <n v="88437136778"/>
        <n v="29948400203"/>
        <n v="69276800505"/>
        <n v="45704777762"/>
        <n v="46799598313"/>
        <n v="25173615829"/>
        <n v="64276623840"/>
        <n v="95024266025"/>
        <n v="22646092669"/>
        <n v="47681093058"/>
        <n v="78155172512"/>
        <n v="48970315469"/>
        <n v="90093777243"/>
        <n v="57796883544"/>
        <n v="23697839732"/>
        <n v="42615146883"/>
        <n v="22158568069"/>
        <n v="67116356634"/>
        <n v="36040824054"/>
        <n v="24039833533"/>
        <n v="98350628048"/>
        <n v="88339025347"/>
        <n v="45786054306"/>
        <n v="64106261786"/>
        <n v="47745877122"/>
        <n v="48714963260"/>
        <n v="55215352367"/>
        <n v="44978277711"/>
        <n v="73356724504"/>
        <n v="82103726866"/>
        <n v="37766451637"/>
        <n v="60520309394"/>
        <n v="49733150175"/>
        <n v="47945610854"/>
        <n v="63330548853"/>
        <n v="64365646054"/>
        <n v="73817867310"/>
        <n v="40448527183"/>
        <n v="64933894719"/>
        <n v="55795285214"/>
        <n v="62692861144"/>
        <n v="94725023314"/>
        <n v="19486500504"/>
        <n v="38287139780"/>
        <n v="75446646313"/>
        <n v="26683542584"/>
        <n v="76664962850"/>
        <n v="64129306933"/>
        <n v="35506183060"/>
        <n v="41484634629"/>
        <n v="94779907912"/>
        <n v="97903386779"/>
        <n v="53586459573"/>
        <n v="72983658498"/>
        <n v="80234506249"/>
        <n v="38585570639"/>
        <n v="62729602916"/>
        <n v="13334987376"/>
        <n v="77727170769"/>
        <n v="64064698191"/>
        <n v="47490604224"/>
        <n v="61099960212"/>
        <n v="24687454392"/>
        <n v="28791000402"/>
        <n v="11938503411"/>
        <n v="79284259787"/>
        <n v="64836342388"/>
        <n v="33845193829"/>
        <n v="73326564592"/>
        <n v="85766089151"/>
        <n v="87002456450"/>
        <n v="56820428577"/>
        <n v="51975193127"/>
        <n v="80804230165"/>
        <n v="87921318592"/>
        <n v="57794242882"/>
        <n v="55633898302"/>
        <n v="90598822160"/>
        <n v="93654258287"/>
        <n v="85656835669"/>
        <n v="16609143428"/>
        <n v="65896164834"/>
        <n v="11649705525"/>
        <n v="44881862643"/>
        <n v="56810721282"/>
        <n v="79771730023"/>
        <n v="29373418332"/>
        <n v="89693778889"/>
        <n v="24765541830"/>
        <n v="43769274707"/>
        <n v="51290677354"/>
        <n v="32078780922"/>
        <n v="20405154159"/>
        <n v="27407125753"/>
        <n v="80949048573"/>
        <n v="17010138187"/>
        <n v="59013655612"/>
        <n v="89140389518"/>
        <n v="54862866897"/>
        <n v="39376334842"/>
        <n v="25179604101"/>
        <n v="85706226915"/>
        <n v="40117813351"/>
        <n v="96995660621"/>
        <n v="57015056700"/>
        <n v="46317930865"/>
        <n v="37324530160"/>
        <n v="33243472714"/>
        <n v="34592671639"/>
        <n v="50520772991"/>
        <n v="51067904902"/>
        <n v="45349678516"/>
        <n v="15530068025"/>
        <n v="39949482954"/>
        <n v="18993923879"/>
        <n v="44222855646"/>
        <n v="39693214734"/>
        <n v="12609016261"/>
        <n v="55457584206"/>
        <n v="29686735718"/>
        <n v="74160641352"/>
        <n v="67380626075"/>
        <n v="68048606526"/>
        <n v="28303632062"/>
        <n v="54150459232"/>
        <n v="85285081608"/>
        <n v="96087774610"/>
        <n v="70946788630"/>
        <n v="46690317780"/>
        <n v="39042510121"/>
        <n v="11986142670"/>
        <n v="32155844918"/>
        <n v="26607169989"/>
        <n v="12392279074"/>
        <n v="88623352585"/>
        <n v="39285626233"/>
        <n v="30952160483"/>
        <n v="40109398188"/>
        <n v="42571262072"/>
        <n v="66678758174"/>
        <n v="48399797701"/>
        <n v="89369216759"/>
        <n v="63881368234"/>
        <n v="29810732401"/>
        <n v="40447526811"/>
        <n v="18524019641"/>
        <n v="77602766743"/>
        <n v="30116384444"/>
        <n v="78094464758"/>
        <n v="90848999583"/>
        <n v="53026434518"/>
        <n v="88047890548"/>
        <n v="19214294815"/>
        <n v="40868676578"/>
        <n v="45946449734"/>
        <n v="53641341557"/>
        <n v="85835130654"/>
        <n v="36118327859"/>
        <n v="62746601023"/>
        <n v="68055090225"/>
        <n v="84005648255"/>
        <n v="34563981912"/>
        <n v="14988908776"/>
        <n v="91200571019"/>
        <n v="98797745483"/>
        <n v="23821874230"/>
        <n v="28511270446"/>
        <n v="27540782154"/>
        <n v="16308226248"/>
        <n v="93744886839"/>
        <n v="34175761815"/>
        <n v="46536765221"/>
        <n v="87547304217"/>
        <n v="91625583815"/>
        <n v="23878640312"/>
        <n v="77871553508"/>
        <n v="56157683550"/>
        <n v="87632097728"/>
        <n v="92834911228"/>
        <n v="92390424329"/>
        <n v="61857590629"/>
        <n v="44535829529"/>
        <n v="80782772335"/>
        <n v="88360363867"/>
        <n v="67201208268"/>
        <n v="97427029563"/>
        <n v="85090472528"/>
        <n v="42587642988"/>
        <n v="36110377899"/>
        <n v="35373273507"/>
        <n v="48022120143"/>
        <n v="94012377522"/>
        <n v="66452644856"/>
        <n v="96345528066"/>
        <n v="86259948114"/>
        <n v="86514997691"/>
        <n v="73786627650"/>
        <n v="69970867760"/>
        <n v="64496424061"/>
        <n v="59360138395"/>
        <n v="46463814965"/>
        <n v="74615988759"/>
        <n v="68454755453"/>
        <n v="30198388943"/>
        <n v="25710159295"/>
        <n v="96153891540"/>
        <n v="90135203334"/>
        <n v="58426734212"/>
        <n v="45995172725"/>
        <n v="89064864154"/>
        <n v="93602451972"/>
        <n v="69826103098"/>
        <n v="62643512870"/>
        <n v="46578434461"/>
        <n v="59619408865"/>
        <n v="65073791970"/>
        <n v="71463051202"/>
        <n v="27474806622"/>
        <n v="88790165557"/>
        <n v="74018643523"/>
        <n v="27747383228"/>
        <n v="50714628581"/>
        <n v="81937401815"/>
        <n v="51666563544"/>
        <n v="73350786543"/>
        <n v="18334317312"/>
        <n v="86758899228"/>
        <n v="96612850274"/>
        <n v="91841424726"/>
        <n v="26551758736"/>
        <n v="53990966070"/>
        <n v="41112027479"/>
        <n v="69674945059"/>
        <n v="99325409473"/>
        <n v="88250280016"/>
        <n v="88013070630"/>
        <n v="21027083044"/>
        <n v="82550112355"/>
        <n v="51363596446"/>
        <n v="77865644636"/>
        <n v="59761120248"/>
        <n v="15136251535"/>
        <n v="44991830645"/>
        <n v="56672933498"/>
        <n v="84762379421"/>
        <n v="57622078956"/>
        <n v="78295562122"/>
        <n v="78036227739"/>
        <n v="33682173477"/>
        <n v="97073995911"/>
        <n v="21612619854"/>
        <n v="28206034484"/>
        <n v="82344364144"/>
        <n v="40885421296"/>
        <n v="75226986592"/>
        <n v="86976492858"/>
        <n v="39184995220"/>
        <n v="91416460793"/>
        <n v="14324521997"/>
        <n v="54296289266"/>
        <n v="89832363925"/>
      </sharedItems>
    </cacheField>
    <cacheField name="Filial ID" numFmtId="0">
      <sharedItems containsSemiMixedTypes="0" containsString="0" containsNumber="1" containsInteger="1" minValue="0" maxValue="340"/>
    </cacheField>
    <cacheField name="Data Petição" numFmtId="15">
      <sharedItems containsSemiMixedTypes="0" containsNonDate="0" containsDate="1" containsString="0" minDate="2034-06-01T00:00:00" maxDate="2035-02-02T00:00:00"/>
    </cacheField>
    <cacheField name="Região/Vara" numFmtId="0">
      <sharedItems/>
    </cacheField>
    <cacheField name="Data Audiência" numFmtId="15">
      <sharedItems containsSemiMixedTypes="0" containsNonDate="0" containsDate="1" containsString="0" minDate="2034-07-04T00:00:00" maxDate="2035-04-03T00:00:00"/>
    </cacheField>
    <cacheField name="Data Sentença" numFmtId="15">
      <sharedItems containsNonDate="0" containsDate="1" containsString="0" containsBlank="1" minDate="2034-07-21T00:00:00" maxDate="2035-02-02T00:00:00"/>
    </cacheField>
    <cacheField name="Data Execução" numFmtId="15">
      <sharedItems containsNonDate="0" containsDate="1" containsString="0" containsBlank="1" minDate="2034-08-09T00:00:00" maxDate="2035-02-02T00:00:00" count="176">
        <d v="2034-09-02T00:00:00"/>
        <d v="2034-09-15T00:00:00"/>
        <d v="2034-08-13T00:00:00"/>
        <d v="2034-08-17T00:00:00"/>
        <d v="2034-09-01T00:00:00"/>
        <d v="2034-08-25T00:00:00"/>
        <d v="2034-09-23T00:00:00"/>
        <d v="2034-08-26T00:00:00"/>
        <d v="2034-08-30T00:00:00"/>
        <d v="2034-08-19T00:00:00"/>
        <d v="2034-09-11T00:00:00"/>
        <d v="2034-08-27T00:00:00"/>
        <d v="2034-08-29T00:00:00"/>
        <d v="2034-08-15T00:00:00"/>
        <d v="2034-09-09T00:00:00"/>
        <d v="2034-08-28T00:00:00"/>
        <d v="2034-09-28T00:00:00"/>
        <d v="2034-08-24T00:00:00"/>
        <d v="2034-08-22T00:00:00"/>
        <d v="2034-08-09T00:00:00"/>
        <d v="2034-09-14T00:00:00"/>
        <d v="2034-08-18T00:00:00"/>
        <d v="2034-10-01T00:00:00"/>
        <d v="2034-09-08T00:00:00"/>
        <d v="2034-08-10T00:00:00"/>
        <d v="2034-09-27T00:00:00"/>
        <d v="2034-09-05T00:00:00"/>
        <d v="2034-08-31T00:00:00"/>
        <d v="2034-09-16T00:00:00"/>
        <d v="2034-08-20T00:00:00"/>
        <d v="2034-08-12T00:00:00"/>
        <d v="2034-09-21T00:00:00"/>
        <d v="2034-09-25T00:00:00"/>
        <d v="2034-09-13T00:00:00"/>
        <d v="2034-09-29T00:00:00"/>
        <d v="2034-09-19T00:00:00"/>
        <d v="2034-08-16T00:00:00"/>
        <d v="2034-09-20T00:00:00"/>
        <d v="2034-08-21T00:00:00"/>
        <d v="2034-09-26T00:00:00"/>
        <d v="2034-09-17T00:00:00"/>
        <d v="2034-09-06T00:00:00"/>
        <d v="2034-08-23T00:00:00"/>
        <d v="2034-09-03T00:00:00"/>
        <d v="2034-09-10T00:00:00"/>
        <d v="2034-09-30T00:00:00"/>
        <d v="2034-09-04T00:00:00"/>
        <d v="2034-09-07T00:00:00"/>
        <d v="2034-09-24T00:00:00"/>
        <d v="2034-09-12T00:00:00"/>
        <d v="2034-09-22T00:00:00"/>
        <d v="2034-09-18T00:00:00"/>
        <d v="2034-10-08T00:00:00"/>
        <d v="2034-10-05T00:00:00"/>
        <d v="2034-10-06T00:00:00"/>
        <d v="2034-10-12T00:00:00"/>
        <d v="2034-10-14T00:00:00"/>
        <d v="2034-10-18T00:00:00"/>
        <d v="2034-10-03T00:00:00"/>
        <d v="2034-10-13T00:00:00"/>
        <d v="2034-10-09T00:00:00"/>
        <d v="2034-10-07T00:00:00"/>
        <d v="2034-10-11T00:00:00"/>
        <d v="2034-10-04T00:00:00"/>
        <d v="2034-10-10T00:00:00"/>
        <d v="2034-10-22T00:00:00"/>
        <d v="2034-10-15T00:00:00"/>
        <d v="2034-11-04T00:00:00"/>
        <d v="2034-10-28T00:00:00"/>
        <d v="2034-10-27T00:00:00"/>
        <d v="2034-10-30T00:00:00"/>
        <d v="2034-10-17T00:00:00"/>
        <d v="2034-10-25T00:00:00"/>
        <d v="2034-10-21T00:00:00"/>
        <d v="2034-10-29T00:00:00"/>
        <d v="2034-10-24T00:00:00"/>
        <d v="2034-10-20T00:00:00"/>
        <d v="2034-11-02T00:00:00"/>
        <d v="2034-10-02T00:00:00"/>
        <d v="2034-10-16T00:00:00"/>
        <d v="2034-11-10T00:00:00"/>
        <d v="2034-11-07T00:00:00"/>
        <d v="2034-11-01T00:00:00"/>
        <d v="2034-11-05T00:00:00"/>
        <d v="2034-11-13T00:00:00"/>
        <d v="2034-10-19T00:00:00"/>
        <d v="2034-11-06T00:00:00"/>
        <d v="2034-10-31T00:00:00"/>
        <d v="2034-10-26T00:00:00"/>
        <d v="2034-11-08T00:00:00"/>
        <d v="2034-11-09T00:00:00"/>
        <d v="2034-11-20T00:00:00"/>
        <d v="2034-11-11T00:00:00"/>
        <d v="2034-11-14T00:00:00"/>
        <d v="2034-11-16T00:00:00"/>
        <d v="2034-11-19T00:00:00"/>
        <d v="2034-10-23T00:00:00"/>
        <d v="2034-11-18T00:00:00"/>
        <d v="2034-11-03T00:00:00"/>
        <d v="2034-11-30T00:00:00"/>
        <d v="2034-11-24T00:00:00"/>
        <d v="2034-11-15T00:00:00"/>
        <d v="2034-11-25T00:00:00"/>
        <d v="2034-12-04T00:00:00"/>
        <d v="2034-11-12T00:00:00"/>
        <d v="2034-11-26T00:00:00"/>
        <d v="2034-12-01T00:00:00"/>
        <d v="2034-12-03T00:00:00"/>
        <d v="2034-11-27T00:00:00"/>
        <d v="2034-11-22T00:00:00"/>
        <d v="2034-11-21T00:00:00"/>
        <d v="2034-11-28T00:00:00"/>
        <d v="2034-12-10T00:00:00"/>
        <d v="2034-12-08T00:00:00"/>
        <d v="2034-12-07T00:00:00"/>
        <d v="2034-11-23T00:00:00"/>
        <d v="2034-12-06T00:00:00"/>
        <d v="2034-12-05T00:00:00"/>
        <d v="2034-12-20T00:00:00"/>
        <d v="2034-12-09T00:00:00"/>
        <d v="2034-11-17T00:00:00"/>
        <d v="2034-11-29T00:00:00"/>
        <d v="2034-12-02T00:00:00"/>
        <d v="2034-12-17T00:00:00"/>
        <d v="2034-12-13T00:00:00"/>
        <d v="2034-12-12T00:00:00"/>
        <d v="2034-12-11T00:00:00"/>
        <d v="2034-12-26T00:00:00"/>
        <d v="2034-12-21T00:00:00"/>
        <d v="2034-12-18T00:00:00"/>
        <d v="2034-12-23T00:00:00"/>
        <d v="2034-12-29T00:00:00"/>
        <d v="2034-12-14T00:00:00"/>
        <d v="2034-12-30T00:00:00"/>
        <d v="2034-12-25T00:00:00"/>
        <d v="2034-12-15T00:00:00"/>
        <d v="2034-12-16T00:00:00"/>
        <d v="2034-12-19T00:00:00"/>
        <d v="2034-12-28T00:00:00"/>
        <d v="2034-12-24T00:00:00"/>
        <d v="2034-12-31T00:00:00"/>
        <d v="2035-01-08T00:00:00"/>
        <d v="2035-01-03T00:00:00"/>
        <d v="2035-01-04T00:00:00"/>
        <d v="2035-01-02T00:00:00"/>
        <d v="2035-01-10T00:00:00"/>
        <d v="2035-01-11T00:00:00"/>
        <d v="2035-01-05T00:00:00"/>
        <d v="2035-01-09T00:00:00"/>
        <d v="2035-01-13T00:00:00"/>
        <d v="2035-01-12T00:00:00"/>
        <d v="2035-01-06T00:00:00"/>
        <d v="2035-01-01T00:00:00"/>
        <d v="2035-01-20T00:00:00"/>
        <d v="2035-01-17T00:00:00"/>
        <d v="2035-01-07T00:00:00"/>
        <d v="2034-12-27T00:00:00"/>
        <d v="2034-12-22T00:00:00"/>
        <d v="2035-01-25T00:00:00"/>
        <d v="2035-01-14T00:00:00"/>
        <d v="2035-01-23T00:00:00"/>
        <d v="2035-01-27T00:00:00"/>
        <d v="2035-01-24T00:00:00"/>
        <d v="2035-01-21T00:00:00"/>
        <d v="2035-01-19T00:00:00"/>
        <d v="2035-01-22T00:00:00"/>
        <d v="2035-01-26T00:00:00"/>
        <d v="2035-01-18T00:00:00"/>
        <d v="2035-01-15T00:00:00"/>
        <d v="2035-01-30T00:00:00"/>
        <m/>
        <d v="2035-01-28T00:00:00"/>
        <d v="2035-01-16T00:00:00"/>
        <d v="2035-01-31T00:00:00"/>
        <d v="2035-01-29T00:00:00"/>
        <d v="2035-02-01T00:00:00"/>
      </sharedItems>
      <fieldGroup par="12"/>
    </cacheField>
    <cacheField name="Valor Execução" numFmtId="0">
      <sharedItems containsBlank="1" containsMixedTypes="1" containsNumber="1" containsInteger="1" minValue="103" maxValue="149291"/>
    </cacheField>
    <cacheField name="Data Encerramento" numFmtId="15">
      <sharedItems containsNonDate="0" containsDate="1" containsString="0" containsBlank="1" minDate="2034-09-01T00:00:00" maxDate="2035-02-02T00:00:00"/>
    </cacheField>
    <cacheField name="Meses (Data Execução)" numFmtId="0" databaseField="0">
      <fieldGroup base="7">
        <rangePr groupBy="months" startDate="2034-08-09T00:00:00" endDate="2035-02-02T00:00:00"/>
        <groupItems count="14">
          <s v="&lt;09/08/203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02/2035"/>
        </groupItems>
      </fieldGroup>
    </cacheField>
    <cacheField name="Trimestres (Data Execução)" numFmtId="0" databaseField="0">
      <fieldGroup base="7">
        <rangePr groupBy="quarters" startDate="2034-08-09T00:00:00" endDate="2035-02-02T00:00:00"/>
        <groupItems count="6">
          <s v="&lt;09/08/2034"/>
          <s v="Trim1"/>
          <s v="Trim2"/>
          <s v="Trim3"/>
          <s v="Trim4"/>
          <s v="&gt;02/02/2035"/>
        </groupItems>
      </fieldGroup>
    </cacheField>
    <cacheField name="Anos (Data Execução)" numFmtId="0" databaseField="0">
      <fieldGroup base="7">
        <rangePr groupBy="years" startDate="2034-08-09T00:00:00" endDate="2035-02-02T00:00:00"/>
        <groupItems count="4">
          <s v="&lt;09/08/2034"/>
          <s v="2034"/>
          <s v="2035"/>
          <s v="&gt;02/02/203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9">
  <r>
    <n v="70994"/>
    <x v="0"/>
    <n v="280"/>
    <d v="2034-06-01T00:00:00"/>
    <s v="0014"/>
    <d v="2034-07-18T00:00:00"/>
    <d v="2034-08-16T00:00:00"/>
    <x v="0"/>
    <n v="19074"/>
    <d v="2034-10-09T00:00:00"/>
  </r>
  <r>
    <n v="70995"/>
    <x v="1"/>
    <n v="327"/>
    <d v="2034-06-01T00:00:00"/>
    <s v="0015"/>
    <d v="2034-07-26T00:00:00"/>
    <d v="2034-08-22T00:00:00"/>
    <x v="1"/>
    <n v="85957"/>
    <d v="2034-10-06T00:00:00"/>
  </r>
  <r>
    <n v="70996"/>
    <x v="2"/>
    <n v="28"/>
    <d v="2034-06-01T00:00:00"/>
    <s v="0007"/>
    <d v="2034-07-08T00:00:00"/>
    <d v="2034-07-24T00:00:00"/>
    <x v="2"/>
    <n v="109196"/>
    <d v="2034-09-01T00:00:00"/>
  </r>
  <r>
    <n v="70997"/>
    <x v="3"/>
    <n v="327"/>
    <d v="2034-06-01T00:00:00"/>
    <s v="0007"/>
    <d v="2034-07-11T00:00:00"/>
    <d v="2034-07-29T00:00:00"/>
    <x v="3"/>
    <n v="129539"/>
    <d v="2034-09-14T00:00:00"/>
  </r>
  <r>
    <n v="70998"/>
    <x v="4"/>
    <n v="185"/>
    <d v="2034-06-01T00:00:00"/>
    <s v="0015"/>
    <d v="2034-07-28T00:00:00"/>
    <d v="2034-08-12T00:00:00"/>
    <x v="4"/>
    <s v="ganho de causa defesa"/>
    <d v="2034-10-08T00:00:00"/>
  </r>
  <r>
    <n v="70999"/>
    <x v="5"/>
    <n v="149"/>
    <d v="2034-06-01T00:00:00"/>
    <s v="0013"/>
    <d v="2034-07-21T00:00:00"/>
    <d v="2034-08-06T00:00:00"/>
    <x v="5"/>
    <s v="ganho de causa defesa"/>
    <d v="2034-09-30T00:00:00"/>
  </r>
  <r>
    <n v="71000"/>
    <x v="6"/>
    <n v="163"/>
    <d v="2034-06-01T00:00:00"/>
    <s v="0002"/>
    <d v="2034-07-29T00:00:00"/>
    <d v="2034-08-27T00:00:00"/>
    <x v="6"/>
    <s v="ganho de causa defesa"/>
    <d v="2034-11-06T00:00:00"/>
  </r>
  <r>
    <n v="71001"/>
    <x v="7"/>
    <n v="283"/>
    <d v="2034-06-01T00:00:00"/>
    <s v="0012"/>
    <d v="2034-07-04T00:00:00"/>
    <d v="2034-08-03T00:00:00"/>
    <x v="7"/>
    <s v="ganho de causa defesa"/>
    <d v="2034-09-11T00:00:00"/>
  </r>
  <r>
    <n v="71002"/>
    <x v="8"/>
    <n v="324"/>
    <d v="2034-06-01T00:00:00"/>
    <s v="0010"/>
    <d v="2034-07-17T00:00:00"/>
    <d v="2034-08-10T00:00:00"/>
    <x v="8"/>
    <s v="ganho de causa defesa"/>
    <d v="2034-09-17T00:00:00"/>
  </r>
  <r>
    <n v="71003"/>
    <x v="9"/>
    <n v="84"/>
    <d v="2034-06-01T00:00:00"/>
    <s v="0013"/>
    <d v="2034-07-08T00:00:00"/>
    <d v="2034-07-28T00:00:00"/>
    <x v="9"/>
    <s v="ganho de causa defesa"/>
    <d v="2034-09-12T00:00:00"/>
  </r>
  <r>
    <n v="71004"/>
    <x v="10"/>
    <n v="242"/>
    <d v="2034-06-01T00:00:00"/>
    <s v="0004"/>
    <d v="2034-07-30T00:00:00"/>
    <d v="2034-08-14T00:00:00"/>
    <x v="10"/>
    <s v="ganho de causa defesa"/>
    <d v="2034-10-14T00:00:00"/>
  </r>
  <r>
    <n v="71005"/>
    <x v="11"/>
    <n v="9"/>
    <d v="2034-06-01T00:00:00"/>
    <s v="0002"/>
    <d v="2034-07-15T00:00:00"/>
    <d v="2034-07-30T00:00:00"/>
    <x v="11"/>
    <s v="ganho de causa defesa"/>
    <d v="2034-09-15T00:00:00"/>
  </r>
  <r>
    <n v="71006"/>
    <x v="12"/>
    <n v="188"/>
    <d v="2034-06-02T00:00:00"/>
    <s v="0006"/>
    <d v="2034-07-09T00:00:00"/>
    <d v="2034-08-02T00:00:00"/>
    <x v="12"/>
    <n v="89078"/>
    <d v="2034-09-28T00:00:00"/>
  </r>
  <r>
    <n v="71007"/>
    <x v="13"/>
    <n v="71"/>
    <d v="2034-06-02T00:00:00"/>
    <s v="0001"/>
    <d v="2034-07-09T00:00:00"/>
    <d v="2034-07-26T00:00:00"/>
    <x v="13"/>
    <n v="140419"/>
    <d v="2034-09-08T00:00:00"/>
  </r>
  <r>
    <n v="71008"/>
    <x v="14"/>
    <n v="276"/>
    <d v="2034-06-02T00:00:00"/>
    <s v="0015"/>
    <d v="2034-08-01T00:00:00"/>
    <d v="2034-08-19T00:00:00"/>
    <x v="14"/>
    <s v="ganho de causa defesa"/>
    <d v="2034-10-10T00:00:00"/>
  </r>
  <r>
    <n v="71009"/>
    <x v="15"/>
    <n v="233"/>
    <d v="2034-06-02T00:00:00"/>
    <s v="0008"/>
    <d v="2034-07-26T00:00:00"/>
    <d v="2034-08-13T00:00:00"/>
    <x v="4"/>
    <s v="ganho de causa defesa"/>
    <d v="2034-10-03T00:00:00"/>
  </r>
  <r>
    <n v="71010"/>
    <x v="16"/>
    <n v="40"/>
    <d v="2034-06-03T00:00:00"/>
    <s v="0008"/>
    <d v="2034-07-10T00:00:00"/>
    <d v="2034-07-30T00:00:00"/>
    <x v="15"/>
    <n v="41477"/>
    <d v="2034-09-26T00:00:00"/>
  </r>
  <r>
    <n v="71011"/>
    <x v="17"/>
    <n v="329"/>
    <d v="2034-06-03T00:00:00"/>
    <s v="0009"/>
    <d v="2034-07-29T00:00:00"/>
    <d v="2034-08-21T00:00:00"/>
    <x v="1"/>
    <n v="99490"/>
    <d v="2034-10-06T00:00:00"/>
  </r>
  <r>
    <n v="71012"/>
    <x v="18"/>
    <n v="199"/>
    <d v="2034-06-04T00:00:00"/>
    <s v="0015"/>
    <d v="2034-08-02T00:00:00"/>
    <d v="2034-08-29T00:00:00"/>
    <x v="16"/>
    <n v="31692"/>
    <d v="2034-11-02T00:00:00"/>
  </r>
  <r>
    <n v="71013"/>
    <x v="19"/>
    <n v="247"/>
    <d v="2034-06-04T00:00:00"/>
    <s v="0003"/>
    <d v="2034-07-19T00:00:00"/>
    <d v="2034-08-06T00:00:00"/>
    <x v="17"/>
    <n v="41607"/>
    <d v="2034-10-05T00:00:00"/>
  </r>
  <r>
    <n v="71014"/>
    <x v="20"/>
    <n v="202"/>
    <d v="2034-06-04T00:00:00"/>
    <s v="0018"/>
    <d v="2034-07-16T00:00:00"/>
    <d v="2034-08-11T00:00:00"/>
    <x v="11"/>
    <n v="85827"/>
    <d v="2034-10-05T00:00:00"/>
  </r>
  <r>
    <n v="71015"/>
    <x v="21"/>
    <n v="122"/>
    <d v="2034-06-04T00:00:00"/>
    <s v="0001"/>
    <d v="2034-07-09T00:00:00"/>
    <d v="2034-07-29T00:00:00"/>
    <x v="18"/>
    <n v="88741"/>
    <d v="2034-09-27T00:00:00"/>
  </r>
  <r>
    <n v="71016"/>
    <x v="22"/>
    <n v="129"/>
    <d v="2034-06-04T00:00:00"/>
    <s v="0003"/>
    <d v="2034-07-05T00:00:00"/>
    <d v="2034-07-21T00:00:00"/>
    <x v="19"/>
    <n v="133014"/>
    <d v="2034-09-04T00:00:00"/>
  </r>
  <r>
    <n v="71017"/>
    <x v="23"/>
    <n v="15"/>
    <d v="2034-06-04T00:00:00"/>
    <s v="0001"/>
    <d v="2034-07-28T00:00:00"/>
    <d v="2034-08-21T00:00:00"/>
    <x v="20"/>
    <s v="ganho de causa defesa"/>
    <d v="2034-10-02T00:00:00"/>
  </r>
  <r>
    <n v="71018"/>
    <x v="24"/>
    <n v="336"/>
    <d v="2034-06-04T00:00:00"/>
    <s v="0003"/>
    <d v="2034-07-20T00:00:00"/>
    <d v="2034-08-18T00:00:00"/>
    <x v="20"/>
    <s v="ganho de causa defesa"/>
    <d v="2034-11-04T00:00:00"/>
  </r>
  <r>
    <n v="71019"/>
    <x v="25"/>
    <n v="41"/>
    <d v="2034-06-04T00:00:00"/>
    <s v="0009"/>
    <d v="2034-07-07T00:00:00"/>
    <d v="2034-07-26T00:00:00"/>
    <x v="21"/>
    <s v="ganho de causa defesa"/>
    <d v="2034-09-14T00:00:00"/>
  </r>
  <r>
    <n v="71020"/>
    <x v="26"/>
    <n v="264"/>
    <d v="2034-06-05T00:00:00"/>
    <s v="0004"/>
    <d v="2034-08-02T00:00:00"/>
    <d v="2034-08-18T00:00:00"/>
    <x v="10"/>
    <n v="13046"/>
    <d v="2034-10-03T00:00:00"/>
  </r>
  <r>
    <n v="71021"/>
    <x v="27"/>
    <n v="5"/>
    <d v="2034-06-05T00:00:00"/>
    <s v="0012"/>
    <d v="2034-07-24T00:00:00"/>
    <d v="2034-08-08T00:00:00"/>
    <x v="7"/>
    <s v="ganho de causa defesa"/>
    <d v="2034-09-15T00:00:00"/>
  </r>
  <r>
    <n v="71022"/>
    <x v="28"/>
    <n v="289"/>
    <d v="2034-06-05T00:00:00"/>
    <s v="0013"/>
    <d v="2034-08-04T00:00:00"/>
    <d v="2034-09-02T00:00:00"/>
    <x v="22"/>
    <s v="ganho de causa defesa"/>
    <d v="2034-11-19T00:00:00"/>
  </r>
  <r>
    <n v="71023"/>
    <x v="29"/>
    <n v="4"/>
    <d v="2034-06-06T00:00:00"/>
    <s v="0014"/>
    <d v="2034-08-03T00:00:00"/>
    <d v="2034-08-20T00:00:00"/>
    <x v="23"/>
    <n v="37743"/>
    <d v="2034-09-25T00:00:00"/>
  </r>
  <r>
    <n v="71024"/>
    <x v="30"/>
    <n v="120"/>
    <d v="2034-06-06T00:00:00"/>
    <s v="0006"/>
    <d v="2034-07-11T00:00:00"/>
    <d v="2034-07-26T00:00:00"/>
    <x v="24"/>
    <n v="82339"/>
    <d v="2034-09-04T00:00:00"/>
  </r>
  <r>
    <n v="71025"/>
    <x v="31"/>
    <n v="279"/>
    <d v="2034-06-06T00:00:00"/>
    <s v="0006"/>
    <d v="2034-07-29T00:00:00"/>
    <d v="2034-08-28T00:00:00"/>
    <x v="25"/>
    <s v="ganho de causa defesa"/>
    <d v="2034-11-15T00:00:00"/>
  </r>
  <r>
    <n v="71026"/>
    <x v="32"/>
    <n v="62"/>
    <d v="2034-06-06T00:00:00"/>
    <s v="0015"/>
    <d v="2034-07-26T00:00:00"/>
    <d v="2034-08-12T00:00:00"/>
    <x v="12"/>
    <s v="ganho de causa defesa"/>
    <d v="2034-09-16T00:00:00"/>
  </r>
  <r>
    <n v="71027"/>
    <x v="33"/>
    <n v="206"/>
    <d v="2034-06-07T00:00:00"/>
    <s v="0001"/>
    <d v="2034-07-28T00:00:00"/>
    <d v="2034-08-14T00:00:00"/>
    <x v="26"/>
    <n v="14730"/>
    <d v="2034-10-05T00:00:00"/>
  </r>
  <r>
    <n v="71028"/>
    <x v="34"/>
    <n v="182"/>
    <d v="2034-06-07T00:00:00"/>
    <s v="0008"/>
    <d v="2034-07-31T00:00:00"/>
    <d v="2034-08-18T00:00:00"/>
    <x v="1"/>
    <n v="63644"/>
    <d v="2034-11-07T00:00:00"/>
  </r>
  <r>
    <n v="71029"/>
    <x v="35"/>
    <n v="66"/>
    <d v="2034-06-07T00:00:00"/>
    <s v="0014"/>
    <d v="2034-07-07T00:00:00"/>
    <d v="2034-08-06T00:00:00"/>
    <x v="15"/>
    <n v="78699"/>
    <d v="2034-09-18T00:00:00"/>
  </r>
  <r>
    <n v="71030"/>
    <x v="36"/>
    <n v="309"/>
    <d v="2034-06-07T00:00:00"/>
    <s v="0011"/>
    <d v="2034-08-06T00:00:00"/>
    <d v="2034-09-02T00:00:00"/>
    <x v="22"/>
    <n v="138223"/>
    <d v="2034-11-30T00:00:00"/>
  </r>
  <r>
    <n v="71031"/>
    <x v="37"/>
    <n v="160"/>
    <d v="2034-06-07T00:00:00"/>
    <s v="0015"/>
    <d v="2034-07-13T00:00:00"/>
    <d v="2034-08-01T00:00:00"/>
    <x v="27"/>
    <s v="ganho de causa defesa"/>
    <d v="2034-10-01T00:00:00"/>
  </r>
  <r>
    <n v="71032"/>
    <x v="38"/>
    <n v="330"/>
    <d v="2034-06-08T00:00:00"/>
    <s v="0009"/>
    <d v="2034-08-05T00:00:00"/>
    <d v="2034-08-25T00:00:00"/>
    <x v="28"/>
    <n v="9196"/>
    <d v="2034-10-30T00:00:00"/>
  </r>
  <r>
    <n v="71033"/>
    <x v="39"/>
    <n v="288"/>
    <d v="2034-06-08T00:00:00"/>
    <s v="0009"/>
    <d v="2034-07-24T00:00:00"/>
    <d v="2034-08-13T00:00:00"/>
    <x v="23"/>
    <n v="12337"/>
    <d v="2034-10-06T00:00:00"/>
  </r>
  <r>
    <n v="71034"/>
    <x v="40"/>
    <n v="131"/>
    <d v="2034-06-08T00:00:00"/>
    <s v="0002"/>
    <d v="2034-07-09T00:00:00"/>
    <d v="2034-07-28T00:00:00"/>
    <x v="29"/>
    <n v="14746"/>
    <d v="2034-09-14T00:00:00"/>
  </r>
  <r>
    <n v="71035"/>
    <x v="41"/>
    <n v="326"/>
    <d v="2034-06-08T00:00:00"/>
    <s v="0005"/>
    <d v="2034-07-12T00:00:00"/>
    <d v="2034-07-27T00:00:00"/>
    <x v="30"/>
    <n v="143371"/>
    <d v="2034-09-02T00:00:00"/>
  </r>
  <r>
    <n v="71036"/>
    <x v="42"/>
    <n v="155"/>
    <d v="2034-06-08T00:00:00"/>
    <s v="0001"/>
    <d v="2034-07-08T00:00:00"/>
    <d v="2034-08-04T00:00:00"/>
    <x v="27"/>
    <s v="ganho de causa defesa"/>
    <d v="2034-10-14T00:00:00"/>
  </r>
  <r>
    <n v="71037"/>
    <x v="43"/>
    <n v="258"/>
    <d v="2034-06-09T00:00:00"/>
    <s v="0006"/>
    <d v="2034-07-19T00:00:00"/>
    <d v="2034-08-05T00:00:00"/>
    <x v="29"/>
    <n v="35417"/>
    <d v="2034-09-08T00:00:00"/>
  </r>
  <r>
    <n v="71038"/>
    <x v="44"/>
    <n v="31"/>
    <d v="2034-06-09T00:00:00"/>
    <s v="0002"/>
    <d v="2034-07-24T00:00:00"/>
    <d v="2034-08-20T00:00:00"/>
    <x v="26"/>
    <n v="43280"/>
    <d v="2034-09-22T00:00:00"/>
  </r>
  <r>
    <n v="71039"/>
    <x v="45"/>
    <n v="198"/>
    <d v="2034-06-09T00:00:00"/>
    <s v="0011"/>
    <d v="2034-07-12T00:00:00"/>
    <d v="2034-07-28T00:00:00"/>
    <x v="7"/>
    <n v="146010"/>
    <d v="2034-09-23T00:00:00"/>
  </r>
  <r>
    <n v="71040"/>
    <x v="46"/>
    <n v="254"/>
    <d v="2034-06-09T00:00:00"/>
    <s v="0017"/>
    <d v="2034-07-14T00:00:00"/>
    <d v="2034-08-05T00:00:00"/>
    <x v="5"/>
    <s v="ganho de causa defesa"/>
    <d v="2034-09-28T00:00:00"/>
  </r>
  <r>
    <n v="71041"/>
    <x v="47"/>
    <n v="129"/>
    <d v="2034-06-09T00:00:00"/>
    <s v="0016"/>
    <d v="2034-08-04T00:00:00"/>
    <d v="2034-08-28T00:00:00"/>
    <x v="31"/>
    <s v="ganho de causa defesa"/>
    <d v="2034-11-12T00:00:00"/>
  </r>
  <r>
    <n v="71042"/>
    <x v="48"/>
    <n v="87"/>
    <d v="2034-06-09T00:00:00"/>
    <s v="0006"/>
    <d v="2034-07-26T00:00:00"/>
    <d v="2034-08-15T00:00:00"/>
    <x v="23"/>
    <s v="ganho de causa defesa"/>
    <d v="2034-10-13T00:00:00"/>
  </r>
  <r>
    <n v="71043"/>
    <x v="49"/>
    <n v="45"/>
    <d v="2034-06-09T00:00:00"/>
    <s v="0010"/>
    <d v="2034-07-18T00:00:00"/>
    <d v="2034-08-02T00:00:00"/>
    <x v="18"/>
    <s v="ganho de causa defesa"/>
    <d v="2034-10-05T00:00:00"/>
  </r>
  <r>
    <n v="71044"/>
    <x v="50"/>
    <n v="292"/>
    <d v="2034-06-10T00:00:00"/>
    <s v="0009"/>
    <d v="2034-08-04T00:00:00"/>
    <d v="2034-08-30T00:00:00"/>
    <x v="32"/>
    <n v="32473"/>
    <d v="2034-11-09T00:00:00"/>
  </r>
  <r>
    <n v="71045"/>
    <x v="51"/>
    <n v="316"/>
    <d v="2034-06-10T00:00:00"/>
    <s v="0011"/>
    <d v="2034-07-31T00:00:00"/>
    <d v="2034-08-27T00:00:00"/>
    <x v="10"/>
    <n v="37860"/>
    <d v="2034-10-23T00:00:00"/>
  </r>
  <r>
    <n v="71046"/>
    <x v="52"/>
    <n v="239"/>
    <d v="2034-06-10T00:00:00"/>
    <s v="0008"/>
    <d v="2034-08-04T00:00:00"/>
    <d v="2034-08-24T00:00:00"/>
    <x v="14"/>
    <n v="77823"/>
    <d v="2034-10-13T00:00:00"/>
  </r>
  <r>
    <n v="71047"/>
    <x v="53"/>
    <n v="323"/>
    <d v="2034-06-10T00:00:00"/>
    <s v="0018"/>
    <d v="2034-08-07T00:00:00"/>
    <d v="2034-08-24T00:00:00"/>
    <x v="33"/>
    <n v="102438"/>
    <d v="2034-10-17T00:00:00"/>
  </r>
  <r>
    <n v="71048"/>
    <x v="54"/>
    <n v="138"/>
    <d v="2034-06-10T00:00:00"/>
    <s v="0010"/>
    <d v="2034-08-09T00:00:00"/>
    <d v="2034-09-06T00:00:00"/>
    <x v="34"/>
    <s v="ganho de causa defesa"/>
    <d v="2034-11-23T00:00:00"/>
  </r>
  <r>
    <n v="71049"/>
    <x v="55"/>
    <n v="207"/>
    <d v="2034-06-10T00:00:00"/>
    <s v="0001"/>
    <d v="2034-07-10T00:00:00"/>
    <d v="2034-08-06T00:00:00"/>
    <x v="8"/>
    <s v="ganho de causa defesa"/>
    <d v="2034-09-23T00:00:00"/>
  </r>
  <r>
    <n v="71050"/>
    <x v="56"/>
    <n v="32"/>
    <d v="2034-06-11T00:00:00"/>
    <s v="0004"/>
    <d v="2034-07-22T00:00:00"/>
    <d v="2034-08-15T00:00:00"/>
    <x v="14"/>
    <n v="46796"/>
    <d v="2034-10-26T00:00:00"/>
  </r>
  <r>
    <n v="71051"/>
    <x v="57"/>
    <n v="43"/>
    <d v="2034-06-11T00:00:00"/>
    <s v="0011"/>
    <d v="2034-07-21T00:00:00"/>
    <d v="2034-08-20T00:00:00"/>
    <x v="1"/>
    <n v="66028"/>
    <d v="2034-10-05T00:00:00"/>
  </r>
  <r>
    <n v="71052"/>
    <x v="58"/>
    <n v="142"/>
    <d v="2034-06-11T00:00:00"/>
    <s v="0006"/>
    <d v="2034-08-05T00:00:00"/>
    <d v="2034-08-31T00:00:00"/>
    <x v="34"/>
    <n v="71510"/>
    <d v="2034-11-06T00:00:00"/>
  </r>
  <r>
    <n v="71053"/>
    <x v="59"/>
    <n v="262"/>
    <d v="2034-06-11T00:00:00"/>
    <s v="0002"/>
    <d v="2034-07-29T00:00:00"/>
    <d v="2034-08-23T00:00:00"/>
    <x v="35"/>
    <n v="106200"/>
    <d v="2034-10-12T00:00:00"/>
  </r>
  <r>
    <n v="71054"/>
    <x v="60"/>
    <n v="206"/>
    <d v="2034-06-11T00:00:00"/>
    <s v="0012"/>
    <d v="2034-07-15T00:00:00"/>
    <d v="2034-07-31T00:00:00"/>
    <x v="36"/>
    <s v="ganho de causa defesa"/>
    <d v="2034-09-23T00:00:00"/>
  </r>
  <r>
    <n v="71055"/>
    <x v="61"/>
    <n v="287"/>
    <d v="2034-06-11T00:00:00"/>
    <s v="0002"/>
    <d v="2034-08-04T00:00:00"/>
    <d v="2034-08-30T00:00:00"/>
    <x v="37"/>
    <s v="ganho de causa defesa"/>
    <d v="2034-10-22T00:00:00"/>
  </r>
  <r>
    <n v="71056"/>
    <x v="62"/>
    <n v="133"/>
    <d v="2034-06-12T00:00:00"/>
    <s v="0010"/>
    <d v="2034-07-21T00:00:00"/>
    <d v="2034-08-10T00:00:00"/>
    <x v="5"/>
    <n v="125762"/>
    <d v="2034-10-07T00:00:00"/>
  </r>
  <r>
    <n v="71057"/>
    <x v="63"/>
    <n v="266"/>
    <d v="2034-06-12T00:00:00"/>
    <s v="0018"/>
    <d v="2034-08-11T00:00:00"/>
    <d v="2034-08-29T00:00:00"/>
    <x v="35"/>
    <s v="ganho de causa defesa"/>
    <d v="2034-10-25T00:00:00"/>
  </r>
  <r>
    <n v="71058"/>
    <x v="64"/>
    <n v="312"/>
    <d v="2034-06-12T00:00:00"/>
    <s v="0005"/>
    <d v="2034-07-14T00:00:00"/>
    <d v="2034-07-31T00:00:00"/>
    <x v="38"/>
    <s v="ganho de causa defesa"/>
    <d v="2034-09-07T00:00:00"/>
  </r>
  <r>
    <n v="71059"/>
    <x v="65"/>
    <n v="296"/>
    <d v="2034-06-13T00:00:00"/>
    <s v="0010"/>
    <d v="2034-08-03T00:00:00"/>
    <d v="2034-08-25T00:00:00"/>
    <x v="1"/>
    <n v="37577"/>
    <d v="2034-10-15T00:00:00"/>
  </r>
  <r>
    <n v="71060"/>
    <x v="66"/>
    <n v="232"/>
    <d v="2034-06-13T00:00:00"/>
    <s v="0009"/>
    <d v="2034-08-05T00:00:00"/>
    <d v="2034-08-31T00:00:00"/>
    <x v="25"/>
    <s v="ganho de causa defesa"/>
    <d v="2034-11-22T00:00:00"/>
  </r>
  <r>
    <n v="71061"/>
    <x v="67"/>
    <n v="39"/>
    <d v="2034-06-14T00:00:00"/>
    <s v="0016"/>
    <d v="2034-08-07T00:00:00"/>
    <d v="2034-09-01T00:00:00"/>
    <x v="31"/>
    <n v="19702"/>
    <d v="2034-11-12T00:00:00"/>
  </r>
  <r>
    <n v="71062"/>
    <x v="68"/>
    <n v="26"/>
    <d v="2034-06-14T00:00:00"/>
    <s v="0005"/>
    <d v="2034-07-19T00:00:00"/>
    <d v="2034-08-05T00:00:00"/>
    <x v="8"/>
    <n v="91992"/>
    <d v="2034-10-05T00:00:00"/>
  </r>
  <r>
    <n v="71063"/>
    <x v="69"/>
    <n v="339"/>
    <d v="2034-06-14T00:00:00"/>
    <s v="0010"/>
    <d v="2034-08-09T00:00:00"/>
    <d v="2034-09-04T00:00:00"/>
    <x v="39"/>
    <n v="93015"/>
    <d v="2034-11-22T00:00:00"/>
  </r>
  <r>
    <n v="71064"/>
    <x v="70"/>
    <n v="149"/>
    <d v="2034-06-14T00:00:00"/>
    <s v="0002"/>
    <d v="2034-08-13T00:00:00"/>
    <d v="2034-08-29T00:00:00"/>
    <x v="37"/>
    <s v="ganho de causa defesa"/>
    <d v="2034-10-22T00:00:00"/>
  </r>
  <r>
    <n v="71065"/>
    <x v="71"/>
    <n v="112"/>
    <d v="2034-06-14T00:00:00"/>
    <s v="0004"/>
    <d v="2034-08-08T00:00:00"/>
    <d v="2034-08-29T00:00:00"/>
    <x v="6"/>
    <s v="ganho de causa defesa"/>
    <d v="2034-10-11T00:00:00"/>
  </r>
  <r>
    <n v="71066"/>
    <x v="72"/>
    <n v="85"/>
    <d v="2034-06-14T00:00:00"/>
    <s v="0004"/>
    <d v="2034-08-03T00:00:00"/>
    <d v="2034-08-28T00:00:00"/>
    <x v="1"/>
    <s v="ganho de causa defesa"/>
    <d v="2034-11-12T00:00:00"/>
  </r>
  <r>
    <n v="71067"/>
    <x v="73"/>
    <n v="44"/>
    <d v="2034-06-14T00:00:00"/>
    <s v="0010"/>
    <d v="2034-08-04T00:00:00"/>
    <d v="2034-08-23T00:00:00"/>
    <x v="40"/>
    <s v="ganho de causa defesa"/>
    <d v="2034-10-07T00:00:00"/>
  </r>
  <r>
    <n v="71068"/>
    <x v="74"/>
    <n v="15"/>
    <d v="2034-06-15T00:00:00"/>
    <s v="0011"/>
    <d v="2034-07-17T00:00:00"/>
    <d v="2034-08-16T00:00:00"/>
    <x v="23"/>
    <n v="119509"/>
    <d v="2034-09-27T00:00:00"/>
  </r>
  <r>
    <n v="71069"/>
    <x v="75"/>
    <n v="209"/>
    <d v="2034-06-15T00:00:00"/>
    <s v="0001"/>
    <d v="2034-07-22T00:00:00"/>
    <d v="2034-08-08T00:00:00"/>
    <x v="0"/>
    <n v="133803"/>
    <d v="2034-11-01T00:00:00"/>
  </r>
  <r>
    <n v="71070"/>
    <x v="76"/>
    <n v="218"/>
    <d v="2034-06-16T00:00:00"/>
    <s v="0003"/>
    <d v="2034-08-13T00:00:00"/>
    <d v="2034-09-11T00:00:00"/>
    <x v="34"/>
    <n v="16656"/>
    <d v="2034-11-28T00:00:00"/>
  </r>
  <r>
    <n v="71071"/>
    <x v="77"/>
    <n v="203"/>
    <d v="2034-06-16T00:00:00"/>
    <s v="0013"/>
    <d v="2034-07-31T00:00:00"/>
    <d v="2034-08-21T00:00:00"/>
    <x v="40"/>
    <n v="113008"/>
    <d v="2034-10-10T00:00:00"/>
  </r>
  <r>
    <n v="71072"/>
    <x v="78"/>
    <n v="205"/>
    <d v="2034-06-16T00:00:00"/>
    <s v="0002"/>
    <d v="2034-07-27T00:00:00"/>
    <d v="2034-08-11T00:00:00"/>
    <x v="23"/>
    <s v="ganho de causa defesa"/>
    <d v="2034-10-09T00:00:00"/>
  </r>
  <r>
    <n v="71073"/>
    <x v="79"/>
    <n v="315"/>
    <d v="2034-06-16T00:00:00"/>
    <s v="0001"/>
    <d v="2034-07-20T00:00:00"/>
    <d v="2034-08-09T00:00:00"/>
    <x v="41"/>
    <s v="ganho de causa defesa"/>
    <d v="2034-10-06T00:00:00"/>
  </r>
  <r>
    <n v="71074"/>
    <x v="80"/>
    <n v="149"/>
    <d v="2034-06-16T00:00:00"/>
    <s v="0008"/>
    <d v="2034-07-16T00:00:00"/>
    <d v="2034-08-03T00:00:00"/>
    <x v="42"/>
    <s v="ganho de causa defesa"/>
    <d v="2034-09-15T00:00:00"/>
  </r>
  <r>
    <n v="71075"/>
    <x v="81"/>
    <n v="191"/>
    <d v="2034-06-16T00:00:00"/>
    <s v="0004"/>
    <d v="2034-07-21T00:00:00"/>
    <d v="2034-08-20T00:00:00"/>
    <x v="20"/>
    <s v="ganho de causa defesa"/>
    <d v="2034-10-13T00:00:00"/>
  </r>
  <r>
    <n v="71076"/>
    <x v="82"/>
    <n v="149"/>
    <d v="2034-06-17T00:00:00"/>
    <s v="0016"/>
    <d v="2034-07-17T00:00:00"/>
    <d v="2034-08-11T00:00:00"/>
    <x v="26"/>
    <n v="50702"/>
    <d v="2034-10-01T00:00:00"/>
  </r>
  <r>
    <n v="71077"/>
    <x v="83"/>
    <n v="70"/>
    <d v="2034-06-17T00:00:00"/>
    <s v="0013"/>
    <d v="2034-08-10T00:00:00"/>
    <d v="2034-08-29T00:00:00"/>
    <x v="16"/>
    <s v="ganho de causa defesa"/>
    <d v="2034-10-29T00:00:00"/>
  </r>
  <r>
    <n v="71078"/>
    <x v="84"/>
    <n v="99"/>
    <d v="2034-06-17T00:00:00"/>
    <s v="0011"/>
    <d v="2034-08-07T00:00:00"/>
    <d v="2034-08-22T00:00:00"/>
    <x v="31"/>
    <s v="ganho de causa defesa"/>
    <d v="2034-11-08T00:00:00"/>
  </r>
  <r>
    <n v="71079"/>
    <x v="85"/>
    <n v="79"/>
    <d v="2034-06-17T00:00:00"/>
    <s v="0003"/>
    <d v="2034-08-08T00:00:00"/>
    <d v="2034-09-06T00:00:00"/>
    <x v="34"/>
    <s v="ganho de causa defesa"/>
    <d v="2034-11-13T00:00:00"/>
  </r>
  <r>
    <n v="71080"/>
    <x v="86"/>
    <n v="28"/>
    <d v="2034-06-17T00:00:00"/>
    <s v="0009"/>
    <d v="2034-08-08T00:00:00"/>
    <d v="2034-08-31T00:00:00"/>
    <x v="25"/>
    <s v="ganho de causa defesa"/>
    <d v="2034-11-24T00:00:00"/>
  </r>
  <r>
    <n v="71081"/>
    <x v="87"/>
    <n v="232"/>
    <d v="2034-06-18T00:00:00"/>
    <s v="0005"/>
    <d v="2034-08-01T00:00:00"/>
    <d v="2034-08-17T00:00:00"/>
    <x v="10"/>
    <n v="30254"/>
    <d v="2034-10-02T00:00:00"/>
  </r>
  <r>
    <n v="71082"/>
    <x v="88"/>
    <n v="302"/>
    <d v="2034-06-18T00:00:00"/>
    <s v="0016"/>
    <d v="2034-07-29T00:00:00"/>
    <d v="2034-08-21T00:00:00"/>
    <x v="23"/>
    <n v="40628"/>
    <d v="2034-10-09T00:00:00"/>
  </r>
  <r>
    <n v="71083"/>
    <x v="89"/>
    <n v="140"/>
    <d v="2034-06-18T00:00:00"/>
    <s v="0002"/>
    <d v="2034-07-19T00:00:00"/>
    <d v="2034-08-14T00:00:00"/>
    <x v="0"/>
    <n v="139420"/>
    <d v="2034-09-28T00:00:00"/>
  </r>
  <r>
    <n v="71084"/>
    <x v="90"/>
    <n v="77"/>
    <d v="2034-06-18T00:00:00"/>
    <s v="0014"/>
    <d v="2034-07-26T00:00:00"/>
    <d v="2034-08-19T00:00:00"/>
    <x v="43"/>
    <s v="ganho de causa defesa"/>
    <d v="2034-10-20T00:00:00"/>
  </r>
  <r>
    <n v="71085"/>
    <x v="91"/>
    <n v="11"/>
    <d v="2034-06-18T00:00:00"/>
    <s v="0013"/>
    <d v="2034-08-07T00:00:00"/>
    <d v="2034-08-22T00:00:00"/>
    <x v="14"/>
    <s v="ganho de causa defesa"/>
    <d v="2034-11-05T00:00:00"/>
  </r>
  <r>
    <n v="71086"/>
    <x v="92"/>
    <n v="329"/>
    <d v="2034-06-19T00:00:00"/>
    <s v="0016"/>
    <d v="2034-08-06T00:00:00"/>
    <d v="2034-09-03T00:00:00"/>
    <x v="16"/>
    <n v="45528"/>
    <d v="2034-11-06T00:00:00"/>
  </r>
  <r>
    <n v="71087"/>
    <x v="93"/>
    <n v="273"/>
    <d v="2034-06-19T00:00:00"/>
    <s v="0004"/>
    <d v="2034-08-03T00:00:00"/>
    <d v="2034-09-01T00:00:00"/>
    <x v="40"/>
    <n v="62790"/>
    <d v="2034-11-12T00:00:00"/>
  </r>
  <r>
    <n v="71088"/>
    <x v="94"/>
    <n v="29"/>
    <d v="2034-06-19T00:00:00"/>
    <s v="0009"/>
    <d v="2034-08-07T00:00:00"/>
    <d v="2034-08-23T00:00:00"/>
    <x v="44"/>
    <n v="123988"/>
    <d v="2034-10-14T00:00:00"/>
  </r>
  <r>
    <n v="71089"/>
    <x v="95"/>
    <n v="293"/>
    <d v="2034-06-19T00:00:00"/>
    <s v="0013"/>
    <d v="2034-08-01T00:00:00"/>
    <d v="2034-08-16T00:00:00"/>
    <x v="33"/>
    <n v="144458"/>
    <d v="2034-10-22T00:00:00"/>
  </r>
  <r>
    <n v="71090"/>
    <x v="96"/>
    <n v="256"/>
    <d v="2034-06-19T00:00:00"/>
    <s v="0017"/>
    <d v="2034-07-19T00:00:00"/>
    <d v="2034-08-15T00:00:00"/>
    <x v="8"/>
    <s v="ganho de causa defesa"/>
    <d v="2034-09-22T00:00:00"/>
  </r>
  <r>
    <n v="71091"/>
    <x v="97"/>
    <n v="304"/>
    <d v="2034-06-19T00:00:00"/>
    <s v="0004"/>
    <d v="2034-07-21T00:00:00"/>
    <d v="2034-08-18T00:00:00"/>
    <x v="33"/>
    <s v="ganho de causa defesa"/>
    <d v="2034-10-31T00:00:00"/>
  </r>
  <r>
    <n v="71092"/>
    <x v="98"/>
    <n v="6"/>
    <d v="2034-06-19T00:00:00"/>
    <s v="0018"/>
    <d v="2034-08-18T00:00:00"/>
    <d v="2034-09-04T00:00:00"/>
    <x v="45"/>
    <s v="ganho de causa defesa"/>
    <d v="2034-11-01T00:00:00"/>
  </r>
  <r>
    <n v="71093"/>
    <x v="99"/>
    <n v="21"/>
    <d v="2034-06-19T00:00:00"/>
    <s v="0016"/>
    <d v="2034-08-02T00:00:00"/>
    <d v="2034-08-20T00:00:00"/>
    <x v="10"/>
    <s v="ganho de causa defesa"/>
    <d v="2034-09-28T00:00:00"/>
  </r>
  <r>
    <n v="71094"/>
    <x v="100"/>
    <n v="38"/>
    <d v="2034-06-19T00:00:00"/>
    <s v="0010"/>
    <d v="2034-07-30T00:00:00"/>
    <d v="2034-08-14T00:00:00"/>
    <x v="46"/>
    <s v="ganho de causa defesa"/>
    <d v="2034-10-10T00:00:00"/>
  </r>
  <r>
    <n v="71095"/>
    <x v="101"/>
    <n v="308"/>
    <d v="2034-06-20T00:00:00"/>
    <s v="0004"/>
    <d v="2034-07-28T00:00:00"/>
    <d v="2034-08-16T00:00:00"/>
    <x v="47"/>
    <n v="92283"/>
    <d v="2034-10-07T00:00:00"/>
  </r>
  <r>
    <n v="71096"/>
    <x v="102"/>
    <n v="142"/>
    <d v="2034-06-20T00:00:00"/>
    <s v="0006"/>
    <d v="2034-07-20T00:00:00"/>
    <d v="2034-08-05T00:00:00"/>
    <x v="38"/>
    <n v="92915"/>
    <d v="2034-09-09T00:00:00"/>
  </r>
  <r>
    <n v="71097"/>
    <x v="103"/>
    <n v="38"/>
    <d v="2034-06-20T00:00:00"/>
    <s v="0010"/>
    <d v="2034-07-27T00:00:00"/>
    <d v="2034-08-16T00:00:00"/>
    <x v="27"/>
    <n v="137775"/>
    <d v="2034-10-09T00:00:00"/>
  </r>
  <r>
    <n v="71098"/>
    <x v="104"/>
    <n v="222"/>
    <d v="2034-06-20T00:00:00"/>
    <s v="0006"/>
    <d v="2034-08-04T00:00:00"/>
    <d v="2034-09-03T00:00:00"/>
    <x v="48"/>
    <s v="ganho de causa defesa"/>
    <d v="2034-10-09T00:00:00"/>
  </r>
  <r>
    <n v="71099"/>
    <x v="105"/>
    <n v="174"/>
    <d v="2034-06-20T00:00:00"/>
    <s v="0012"/>
    <d v="2034-07-25T00:00:00"/>
    <d v="2034-08-24T00:00:00"/>
    <x v="1"/>
    <s v="ganho de causa defesa"/>
    <d v="2034-11-02T00:00:00"/>
  </r>
  <r>
    <n v="71100"/>
    <x v="106"/>
    <n v="309"/>
    <d v="2034-06-20T00:00:00"/>
    <s v="0010"/>
    <d v="2034-08-10T00:00:00"/>
    <d v="2034-09-09T00:00:00"/>
    <x v="25"/>
    <s v="ganho de causa defesa"/>
    <d v="2034-10-14T00:00:00"/>
  </r>
  <r>
    <n v="71101"/>
    <x v="107"/>
    <n v="31"/>
    <d v="2034-06-20T00:00:00"/>
    <s v="0016"/>
    <d v="2034-07-22T00:00:00"/>
    <d v="2034-08-08T00:00:00"/>
    <x v="43"/>
    <s v="ganho de causa defesa"/>
    <d v="2034-10-06T00:00:00"/>
  </r>
  <r>
    <n v="71102"/>
    <x v="108"/>
    <n v="272"/>
    <d v="2034-06-20T00:00:00"/>
    <s v="0003"/>
    <d v="2034-08-04T00:00:00"/>
    <d v="2034-08-19T00:00:00"/>
    <x v="26"/>
    <s v="ganho de causa defesa"/>
    <d v="2034-09-26T00:00:00"/>
  </r>
  <r>
    <n v="71103"/>
    <x v="109"/>
    <n v="285"/>
    <d v="2034-06-20T00:00:00"/>
    <s v="0010"/>
    <d v="2034-07-29T00:00:00"/>
    <d v="2034-08-28T00:00:00"/>
    <x v="49"/>
    <s v="ganho de causa defesa"/>
    <d v="2034-11-06T00:00:00"/>
  </r>
  <r>
    <n v="71104"/>
    <x v="110"/>
    <n v="261"/>
    <d v="2034-06-21T00:00:00"/>
    <s v="0016"/>
    <d v="2034-08-03T00:00:00"/>
    <d v="2034-08-29T00:00:00"/>
    <x v="50"/>
    <n v="49856"/>
    <d v="2034-10-13T00:00:00"/>
  </r>
  <r>
    <n v="71105"/>
    <x v="111"/>
    <n v="66"/>
    <d v="2034-06-21T00:00:00"/>
    <s v="0018"/>
    <d v="2034-07-29T00:00:00"/>
    <d v="2034-08-20T00:00:00"/>
    <x v="41"/>
    <n v="54598"/>
    <d v="2034-10-08T00:00:00"/>
  </r>
  <r>
    <n v="71106"/>
    <x v="112"/>
    <n v="334"/>
    <d v="2034-06-21T00:00:00"/>
    <s v="0017"/>
    <d v="2034-08-14T00:00:00"/>
    <d v="2034-09-04T00:00:00"/>
    <x v="6"/>
    <n v="117403"/>
    <d v="2034-10-13T00:00:00"/>
  </r>
  <r>
    <n v="71107"/>
    <x v="113"/>
    <n v="41"/>
    <d v="2034-06-21T00:00:00"/>
    <s v="0008"/>
    <d v="2034-07-26T00:00:00"/>
    <d v="2034-08-23T00:00:00"/>
    <x v="51"/>
    <n v="135621"/>
    <d v="2034-11-13T00:00:00"/>
  </r>
  <r>
    <n v="71108"/>
    <x v="114"/>
    <n v="87"/>
    <d v="2034-06-21T00:00:00"/>
    <s v="0014"/>
    <d v="2034-08-07T00:00:00"/>
    <d v="2034-08-22T00:00:00"/>
    <x v="40"/>
    <s v="ganho de causa defesa"/>
    <d v="2034-10-10T00:00:00"/>
  </r>
  <r>
    <n v="71109"/>
    <x v="115"/>
    <n v="75"/>
    <d v="2034-06-21T00:00:00"/>
    <s v="0004"/>
    <d v="2034-08-08T00:00:00"/>
    <d v="2034-08-26T00:00:00"/>
    <x v="6"/>
    <s v="ganho de causa defesa"/>
    <d v="2034-10-27T00:00:00"/>
  </r>
  <r>
    <n v="71110"/>
    <x v="116"/>
    <n v="256"/>
    <d v="2034-06-21T00:00:00"/>
    <s v="0005"/>
    <d v="2034-08-06T00:00:00"/>
    <d v="2034-08-22T00:00:00"/>
    <x v="49"/>
    <s v="ganho de causa defesa"/>
    <d v="2034-10-13T00:00:00"/>
  </r>
  <r>
    <n v="71111"/>
    <x v="117"/>
    <n v="81"/>
    <d v="2034-06-21T00:00:00"/>
    <s v="0004"/>
    <d v="2034-08-12T00:00:00"/>
    <d v="2034-09-10T00:00:00"/>
    <x v="52"/>
    <s v="ganho de causa defesa"/>
    <d v="2034-12-03T00:00:00"/>
  </r>
  <r>
    <n v="71112"/>
    <x v="118"/>
    <n v="284"/>
    <d v="2034-06-21T00:00:00"/>
    <s v="0002"/>
    <d v="2034-07-24T00:00:00"/>
    <d v="2034-08-18T00:00:00"/>
    <x v="43"/>
    <s v="ganho de causa defesa"/>
    <d v="2034-09-30T00:00:00"/>
  </r>
  <r>
    <n v="71113"/>
    <x v="119"/>
    <n v="264"/>
    <d v="2034-06-21T00:00:00"/>
    <s v="0001"/>
    <d v="2034-07-21T00:00:00"/>
    <d v="2034-08-11T00:00:00"/>
    <x v="26"/>
    <s v="ganho de causa defesa"/>
    <d v="2034-10-21T00:00:00"/>
  </r>
  <r>
    <n v="71114"/>
    <x v="120"/>
    <n v="125"/>
    <d v="2034-06-21T00:00:00"/>
    <s v="0012"/>
    <d v="2034-08-03T00:00:00"/>
    <d v="2034-08-28T00:00:00"/>
    <x v="20"/>
    <s v="ganho de causa defesa"/>
    <d v="2034-11-05T00:00:00"/>
  </r>
  <r>
    <n v="71115"/>
    <x v="121"/>
    <n v="7"/>
    <d v="2034-06-22T00:00:00"/>
    <s v="0018"/>
    <d v="2034-08-07T00:00:00"/>
    <d v="2034-09-04T00:00:00"/>
    <x v="34"/>
    <n v="31510"/>
    <d v="2034-11-02T00:00:00"/>
  </r>
  <r>
    <n v="71116"/>
    <x v="122"/>
    <n v="20"/>
    <d v="2034-06-22T00:00:00"/>
    <s v="0010"/>
    <d v="2034-08-01T00:00:00"/>
    <d v="2034-08-27T00:00:00"/>
    <x v="50"/>
    <n v="65779"/>
    <d v="2034-10-24T00:00:00"/>
  </r>
  <r>
    <n v="71117"/>
    <x v="123"/>
    <n v="312"/>
    <d v="2034-06-22T00:00:00"/>
    <s v="0006"/>
    <d v="2034-08-03T00:00:00"/>
    <d v="2034-08-27T00:00:00"/>
    <x v="50"/>
    <s v="ganho de causa defesa"/>
    <d v="2034-10-13T00:00:00"/>
  </r>
  <r>
    <n v="71118"/>
    <x v="124"/>
    <n v="107"/>
    <d v="2034-06-23T00:00:00"/>
    <s v="0013"/>
    <d v="2034-07-23T00:00:00"/>
    <d v="2034-08-15T00:00:00"/>
    <x v="26"/>
    <n v="36832"/>
    <d v="2034-10-13T00:00:00"/>
  </r>
  <r>
    <n v="71119"/>
    <x v="125"/>
    <n v="239"/>
    <d v="2034-06-23T00:00:00"/>
    <s v="0015"/>
    <d v="2034-08-05T00:00:00"/>
    <d v="2034-08-31T00:00:00"/>
    <x v="35"/>
    <n v="78034"/>
    <d v="2034-10-13T00:00:00"/>
  </r>
  <r>
    <n v="71120"/>
    <x v="126"/>
    <n v="144"/>
    <d v="2034-06-23T00:00:00"/>
    <s v="0008"/>
    <d v="2034-08-10T00:00:00"/>
    <d v="2034-09-03T00:00:00"/>
    <x v="37"/>
    <n v="102811"/>
    <d v="2034-10-10T00:00:00"/>
  </r>
  <r>
    <n v="71121"/>
    <x v="127"/>
    <n v="64"/>
    <d v="2034-06-23T00:00:00"/>
    <s v="0012"/>
    <d v="2034-07-27T00:00:00"/>
    <d v="2034-08-15T00:00:00"/>
    <x v="10"/>
    <n v="122292"/>
    <d v="2034-10-24T00:00:00"/>
  </r>
  <r>
    <n v="71122"/>
    <x v="128"/>
    <n v="245"/>
    <d v="2034-06-23T00:00:00"/>
    <s v="0016"/>
    <d v="2034-08-14T00:00:00"/>
    <d v="2034-08-31T00:00:00"/>
    <x v="31"/>
    <s v="ganho de causa defesa"/>
    <d v="2034-10-09T00:00:00"/>
  </r>
  <r>
    <n v="71123"/>
    <x v="129"/>
    <n v="306"/>
    <d v="2034-06-23T00:00:00"/>
    <s v="0007"/>
    <d v="2034-07-28T00:00:00"/>
    <d v="2034-08-25T00:00:00"/>
    <x v="6"/>
    <s v="ganho de causa defesa"/>
    <d v="2034-11-16T00:00:00"/>
  </r>
  <r>
    <n v="71124"/>
    <x v="130"/>
    <n v="156"/>
    <d v="2034-06-23T00:00:00"/>
    <s v="0005"/>
    <d v="2034-07-25T00:00:00"/>
    <d v="2034-08-09T00:00:00"/>
    <x v="23"/>
    <s v="ganho de causa defesa"/>
    <d v="2034-10-24T00:00:00"/>
  </r>
  <r>
    <n v="71125"/>
    <x v="131"/>
    <n v="277"/>
    <d v="2034-06-23T00:00:00"/>
    <s v="0006"/>
    <d v="2034-08-04T00:00:00"/>
    <d v="2034-08-25T00:00:00"/>
    <x v="28"/>
    <s v="ganho de causa defesa"/>
    <d v="2034-10-12T00:00:00"/>
  </r>
  <r>
    <n v="71126"/>
    <x v="132"/>
    <n v="70"/>
    <d v="2034-06-24T00:00:00"/>
    <s v="0011"/>
    <d v="2034-08-18T00:00:00"/>
    <d v="2034-09-07T00:00:00"/>
    <x v="53"/>
    <n v="42662"/>
    <d v="2034-12-04T00:00:00"/>
  </r>
  <r>
    <n v="71127"/>
    <x v="133"/>
    <n v="107"/>
    <d v="2034-06-24T00:00:00"/>
    <s v="0005"/>
    <d v="2034-07-26T00:00:00"/>
    <d v="2034-08-18T00:00:00"/>
    <x v="23"/>
    <n v="45612"/>
    <d v="2034-09-24T00:00:00"/>
  </r>
  <r>
    <n v="71128"/>
    <x v="134"/>
    <n v="245"/>
    <d v="2034-06-24T00:00:00"/>
    <s v="0011"/>
    <d v="2034-08-04T00:00:00"/>
    <d v="2034-08-22T00:00:00"/>
    <x v="49"/>
    <n v="119264"/>
    <d v="2034-10-12T00:00:00"/>
  </r>
  <r>
    <n v="71129"/>
    <x v="135"/>
    <n v="143"/>
    <d v="2034-06-24T00:00:00"/>
    <s v="0010"/>
    <d v="2034-07-31T00:00:00"/>
    <d v="2034-08-29T00:00:00"/>
    <x v="16"/>
    <n v="134256"/>
    <d v="2034-11-25T00:00:00"/>
  </r>
  <r>
    <n v="71130"/>
    <x v="136"/>
    <n v="238"/>
    <d v="2034-06-24T00:00:00"/>
    <s v="0008"/>
    <d v="2034-08-11T00:00:00"/>
    <d v="2034-09-06T00:00:00"/>
    <x v="31"/>
    <n v="137104"/>
    <d v="2034-10-26T00:00:00"/>
  </r>
  <r>
    <n v="71131"/>
    <x v="137"/>
    <n v="214"/>
    <d v="2034-06-24T00:00:00"/>
    <s v="0002"/>
    <d v="2034-08-11T00:00:00"/>
    <d v="2034-09-09T00:00:00"/>
    <x v="45"/>
    <s v="ganho de causa defesa"/>
    <d v="2034-11-05T00:00:00"/>
  </r>
  <r>
    <n v="71132"/>
    <x v="138"/>
    <n v="179"/>
    <d v="2034-06-24T00:00:00"/>
    <s v="0012"/>
    <d v="2034-08-15T00:00:00"/>
    <d v="2034-09-12T00:00:00"/>
    <x v="34"/>
    <s v="ganho de causa defesa"/>
    <d v="2034-11-04T00:00:00"/>
  </r>
  <r>
    <n v="71133"/>
    <x v="139"/>
    <n v="252"/>
    <d v="2034-06-25T00:00:00"/>
    <s v="0002"/>
    <d v="2034-08-14T00:00:00"/>
    <d v="2034-09-02T00:00:00"/>
    <x v="50"/>
    <n v="20869"/>
    <d v="2034-11-08T00:00:00"/>
  </r>
  <r>
    <n v="71134"/>
    <x v="140"/>
    <n v="181"/>
    <d v="2034-06-25T00:00:00"/>
    <s v="0013"/>
    <d v="2034-08-09T00:00:00"/>
    <d v="2034-08-26T00:00:00"/>
    <x v="20"/>
    <n v="138091"/>
    <d v="2034-10-10T00:00:00"/>
  </r>
  <r>
    <n v="71135"/>
    <x v="141"/>
    <n v="201"/>
    <d v="2034-06-25T00:00:00"/>
    <s v="0002"/>
    <d v="2034-08-05T00:00:00"/>
    <d v="2034-08-27T00:00:00"/>
    <x v="50"/>
    <s v="ganho de causa defesa"/>
    <d v="2034-10-11T00:00:00"/>
  </r>
  <r>
    <n v="71136"/>
    <x v="142"/>
    <n v="299"/>
    <d v="2034-06-25T00:00:00"/>
    <s v="0007"/>
    <d v="2034-08-14T00:00:00"/>
    <d v="2034-09-08T00:00:00"/>
    <x v="34"/>
    <s v="ganho de causa defesa"/>
    <d v="2034-11-21T00:00:00"/>
  </r>
  <r>
    <n v="71137"/>
    <x v="143"/>
    <n v="18"/>
    <d v="2034-06-25T00:00:00"/>
    <s v="0006"/>
    <d v="2034-08-01T00:00:00"/>
    <d v="2034-08-16T00:00:00"/>
    <x v="46"/>
    <s v="ganho de causa defesa"/>
    <d v="2034-10-07T00:00:00"/>
  </r>
  <r>
    <n v="71138"/>
    <x v="144"/>
    <n v="109"/>
    <d v="2034-06-26T00:00:00"/>
    <s v="0008"/>
    <d v="2034-08-14T00:00:00"/>
    <d v="2034-09-03T00:00:00"/>
    <x v="51"/>
    <n v="51724"/>
    <d v="2034-10-04T00:00:00"/>
  </r>
  <r>
    <n v="71139"/>
    <x v="145"/>
    <n v="140"/>
    <d v="2034-06-26T00:00:00"/>
    <s v="0009"/>
    <d v="2034-07-28T00:00:00"/>
    <d v="2034-08-16T00:00:00"/>
    <x v="10"/>
    <n v="56946"/>
    <d v="2034-10-12T00:00:00"/>
  </r>
  <r>
    <n v="71140"/>
    <x v="146"/>
    <n v="247"/>
    <d v="2034-06-26T00:00:00"/>
    <s v="0018"/>
    <d v="2034-08-09T00:00:00"/>
    <d v="2034-09-01T00:00:00"/>
    <x v="31"/>
    <n v="63117"/>
    <d v="2034-11-04T00:00:00"/>
  </r>
  <r>
    <n v="71141"/>
    <x v="147"/>
    <n v="148"/>
    <d v="2034-06-26T00:00:00"/>
    <s v="0016"/>
    <d v="2034-08-19T00:00:00"/>
    <d v="2034-09-18T00:00:00"/>
    <x v="54"/>
    <s v="ganho de causa defesa"/>
    <d v="2034-11-05T00:00:00"/>
  </r>
  <r>
    <n v="71142"/>
    <x v="148"/>
    <n v="66"/>
    <d v="2034-06-27T00:00:00"/>
    <s v="0013"/>
    <d v="2034-08-26T00:00:00"/>
    <d v="2034-09-12T00:00:00"/>
    <x v="22"/>
    <n v="55906"/>
    <d v="2034-11-01T00:00:00"/>
  </r>
  <r>
    <n v="71143"/>
    <x v="149"/>
    <n v="277"/>
    <d v="2034-06-27T00:00:00"/>
    <s v="0011"/>
    <d v="2034-08-24T00:00:00"/>
    <d v="2034-09-13T00:00:00"/>
    <x v="54"/>
    <n v="116113"/>
    <d v="2034-11-15T00:00:00"/>
  </r>
  <r>
    <n v="71144"/>
    <x v="150"/>
    <n v="163"/>
    <d v="2034-06-27T00:00:00"/>
    <s v="0007"/>
    <d v="2034-08-08T00:00:00"/>
    <d v="2034-08-24T00:00:00"/>
    <x v="51"/>
    <s v="ganho de causa defesa"/>
    <d v="2034-11-16T00:00:00"/>
  </r>
  <r>
    <n v="71145"/>
    <x v="151"/>
    <n v="6"/>
    <d v="2034-06-27T00:00:00"/>
    <s v="0015"/>
    <d v="2034-08-16T00:00:00"/>
    <d v="2034-09-13T00:00:00"/>
    <x v="55"/>
    <s v="ganho de causa defesa"/>
    <d v="2034-12-07T00:00:00"/>
  </r>
  <r>
    <n v="71146"/>
    <x v="152"/>
    <n v="246"/>
    <d v="2034-06-27T00:00:00"/>
    <s v="0015"/>
    <d v="2034-08-18T00:00:00"/>
    <d v="2034-09-17T00:00:00"/>
    <x v="56"/>
    <s v="ganho de causa defesa"/>
    <d v="2034-11-29T00:00:00"/>
  </r>
  <r>
    <n v="71147"/>
    <x v="153"/>
    <n v="148"/>
    <d v="2034-06-27T00:00:00"/>
    <s v="0017"/>
    <d v="2034-07-28T00:00:00"/>
    <d v="2034-08-20T00:00:00"/>
    <x v="28"/>
    <s v="ganho de causa defesa"/>
    <d v="2034-10-03T00:00:00"/>
  </r>
  <r>
    <n v="71148"/>
    <x v="154"/>
    <n v="21"/>
    <d v="2034-06-27T00:00:00"/>
    <s v="0016"/>
    <d v="2034-08-25T00:00:00"/>
    <d v="2034-09-20T00:00:00"/>
    <x v="55"/>
    <s v="ganho de causa defesa"/>
    <d v="2034-12-11T00:00:00"/>
  </r>
  <r>
    <n v="71149"/>
    <x v="155"/>
    <n v="206"/>
    <d v="2034-06-27T00:00:00"/>
    <s v="0005"/>
    <d v="2034-08-17T00:00:00"/>
    <d v="2034-09-09T00:00:00"/>
    <x v="32"/>
    <s v="ganho de causa defesa"/>
    <d v="2034-10-26T00:00:00"/>
  </r>
  <r>
    <n v="71150"/>
    <x v="156"/>
    <n v="150"/>
    <d v="2034-06-27T00:00:00"/>
    <s v="0016"/>
    <d v="2034-08-17T00:00:00"/>
    <d v="2034-09-01T00:00:00"/>
    <x v="51"/>
    <s v="ganho de causa defesa"/>
    <d v="2034-11-02T00:00:00"/>
  </r>
  <r>
    <n v="71151"/>
    <x v="157"/>
    <n v="242"/>
    <d v="2034-06-27T00:00:00"/>
    <s v="0010"/>
    <d v="2034-08-25T00:00:00"/>
    <d v="2034-09-23T00:00:00"/>
    <x v="57"/>
    <n v="113811"/>
    <d v="2034-11-28T00:00:00"/>
  </r>
  <r>
    <n v="71152"/>
    <x v="158"/>
    <n v="7"/>
    <d v="2034-06-28T00:00:00"/>
    <s v="0010"/>
    <d v="2034-08-08T00:00:00"/>
    <d v="2034-08-29T00:00:00"/>
    <x v="25"/>
    <n v="4124"/>
    <d v="2034-10-31T00:00:00"/>
  </r>
  <r>
    <n v="71153"/>
    <x v="159"/>
    <n v="300"/>
    <d v="2034-06-28T00:00:00"/>
    <s v="0017"/>
    <d v="2034-08-23T00:00:00"/>
    <d v="2034-09-07T00:00:00"/>
    <x v="25"/>
    <s v="ganho de causa defesa"/>
    <d v="2034-11-12T00:00:00"/>
  </r>
  <r>
    <n v="71154"/>
    <x v="160"/>
    <n v="251"/>
    <d v="2034-06-28T00:00:00"/>
    <s v="0010"/>
    <d v="2034-08-24T00:00:00"/>
    <d v="2034-09-14T00:00:00"/>
    <x v="55"/>
    <s v="ganho de causa defesa"/>
    <d v="2034-11-26T00:00:00"/>
  </r>
  <r>
    <n v="71155"/>
    <x v="161"/>
    <n v="162"/>
    <d v="2034-06-28T00:00:00"/>
    <s v="0003"/>
    <d v="2034-08-14T00:00:00"/>
    <d v="2034-09-05T00:00:00"/>
    <x v="34"/>
    <s v="ganho de causa defesa"/>
    <d v="2034-11-03T00:00:00"/>
  </r>
  <r>
    <n v="71156"/>
    <x v="162"/>
    <n v="19"/>
    <d v="2034-06-28T00:00:00"/>
    <s v="0005"/>
    <d v="2034-07-28T00:00:00"/>
    <d v="2034-08-12T00:00:00"/>
    <x v="8"/>
    <s v="ganho de causa defesa"/>
    <d v="2034-09-28T00:00:00"/>
  </r>
  <r>
    <n v="71157"/>
    <x v="163"/>
    <n v="37"/>
    <d v="2034-06-29T00:00:00"/>
    <s v="0002"/>
    <d v="2034-07-31T00:00:00"/>
    <d v="2034-08-22T00:00:00"/>
    <x v="20"/>
    <n v="50930"/>
    <d v="2034-10-03T00:00:00"/>
  </r>
  <r>
    <n v="71158"/>
    <x v="164"/>
    <n v="219"/>
    <d v="2034-06-29T00:00:00"/>
    <s v="0015"/>
    <d v="2034-08-01T00:00:00"/>
    <d v="2034-08-31T00:00:00"/>
    <x v="39"/>
    <n v="107245"/>
    <d v="2034-11-18T00:00:00"/>
  </r>
  <r>
    <n v="71159"/>
    <x v="165"/>
    <n v="338"/>
    <d v="2034-06-29T00:00:00"/>
    <s v="0003"/>
    <d v="2034-07-30T00:00:00"/>
    <d v="2034-08-17T00:00:00"/>
    <x v="10"/>
    <s v="ganho de causa defesa"/>
    <d v="2034-10-02T00:00:00"/>
  </r>
  <r>
    <n v="71160"/>
    <x v="166"/>
    <n v="143"/>
    <d v="2034-06-29T00:00:00"/>
    <s v="0011"/>
    <d v="2034-08-13T00:00:00"/>
    <d v="2034-09-05T00:00:00"/>
    <x v="58"/>
    <s v="ganho de causa defesa"/>
    <d v="2034-11-26T00:00:00"/>
  </r>
  <r>
    <n v="71161"/>
    <x v="167"/>
    <n v="256"/>
    <d v="2034-06-29T00:00:00"/>
    <s v="0003"/>
    <d v="2034-08-27T00:00:00"/>
    <d v="2034-09-17T00:00:00"/>
    <x v="59"/>
    <s v="ganho de causa defesa"/>
    <d v="2034-12-08T00:00:00"/>
  </r>
  <r>
    <n v="71162"/>
    <x v="168"/>
    <n v="247"/>
    <d v="2034-06-29T00:00:00"/>
    <s v="0013"/>
    <d v="2034-08-21T00:00:00"/>
    <d v="2034-09-08T00:00:00"/>
    <x v="53"/>
    <s v="ganho de causa defesa"/>
    <d v="2034-12-04T00:00:00"/>
  </r>
  <r>
    <n v="71163"/>
    <x v="169"/>
    <n v="109"/>
    <d v="2034-06-30T00:00:00"/>
    <s v="0014"/>
    <d v="2034-08-12T00:00:00"/>
    <d v="2034-09-09T00:00:00"/>
    <x v="60"/>
    <n v="37081"/>
    <d v="2034-12-03T00:00:00"/>
  </r>
  <r>
    <n v="71164"/>
    <x v="170"/>
    <n v="74"/>
    <d v="2034-06-30T00:00:00"/>
    <s v="0015"/>
    <d v="2034-08-27T00:00:00"/>
    <d v="2034-09-16T00:00:00"/>
    <x v="61"/>
    <n v="87361"/>
    <d v="2034-11-14T00:00:00"/>
  </r>
  <r>
    <n v="71165"/>
    <x v="171"/>
    <n v="213"/>
    <d v="2034-06-30T00:00:00"/>
    <s v="0002"/>
    <d v="2034-08-23T00:00:00"/>
    <d v="2034-09-13T00:00:00"/>
    <x v="60"/>
    <n v="92758"/>
    <d v="2034-11-17T00:00:00"/>
  </r>
  <r>
    <n v="71166"/>
    <x v="172"/>
    <n v="169"/>
    <d v="2034-06-30T00:00:00"/>
    <s v="0010"/>
    <d v="2034-08-17T00:00:00"/>
    <d v="2034-09-07T00:00:00"/>
    <x v="39"/>
    <n v="100695"/>
    <d v="2034-11-22T00:00:00"/>
  </r>
  <r>
    <n v="71167"/>
    <x v="173"/>
    <n v="93"/>
    <d v="2034-06-30T00:00:00"/>
    <s v="0018"/>
    <d v="2034-08-01T00:00:00"/>
    <d v="2034-08-17T00:00:00"/>
    <x v="28"/>
    <n v="129523"/>
    <d v="2034-10-10T00:00:00"/>
  </r>
  <r>
    <n v="71168"/>
    <x v="174"/>
    <n v="83"/>
    <d v="2034-06-30T00:00:00"/>
    <s v="0009"/>
    <d v="2034-08-23T00:00:00"/>
    <d v="2034-09-20T00:00:00"/>
    <x v="62"/>
    <s v="ganho de causa defesa"/>
    <d v="2034-12-05T00:00:00"/>
  </r>
  <r>
    <n v="71169"/>
    <x v="175"/>
    <n v="64"/>
    <d v="2034-06-30T00:00:00"/>
    <s v="0018"/>
    <d v="2034-08-28T00:00:00"/>
    <d v="2034-09-15T00:00:00"/>
    <x v="52"/>
    <s v="ganho de causa defesa"/>
    <d v="2034-12-03T00:00:00"/>
  </r>
  <r>
    <n v="71170"/>
    <x v="176"/>
    <n v="77"/>
    <d v="2034-06-30T00:00:00"/>
    <s v="0016"/>
    <d v="2034-08-14T00:00:00"/>
    <d v="2034-09-01T00:00:00"/>
    <x v="37"/>
    <s v="ganho de causa defesa"/>
    <d v="2034-10-13T00:00:00"/>
  </r>
  <r>
    <n v="71171"/>
    <x v="177"/>
    <n v="327"/>
    <d v="2034-07-01T00:00:00"/>
    <s v="0004"/>
    <d v="2034-08-03T00:00:00"/>
    <d v="2034-08-23T00:00:00"/>
    <x v="23"/>
    <n v="7552"/>
    <d v="2034-10-13T00:00:00"/>
  </r>
  <r>
    <n v="71172"/>
    <x v="178"/>
    <n v="41"/>
    <d v="2034-07-01T00:00:00"/>
    <s v="0004"/>
    <d v="2034-08-02T00:00:00"/>
    <d v="2034-08-29T00:00:00"/>
    <x v="48"/>
    <n v="39936"/>
    <d v="2034-11-21T00:00:00"/>
  </r>
  <r>
    <n v="71173"/>
    <x v="179"/>
    <n v="205"/>
    <d v="2034-07-01T00:00:00"/>
    <s v="0009"/>
    <d v="2034-08-11T00:00:00"/>
    <d v="2034-08-27T00:00:00"/>
    <x v="35"/>
    <n v="96889"/>
    <d v="2034-10-19T00:00:00"/>
  </r>
  <r>
    <n v="71174"/>
    <x v="180"/>
    <n v="151"/>
    <d v="2034-07-01T00:00:00"/>
    <s v="0012"/>
    <d v="2034-08-11T00:00:00"/>
    <d v="2034-08-30T00:00:00"/>
    <x v="51"/>
    <n v="149291"/>
    <d v="2034-10-23T00:00:00"/>
  </r>
  <r>
    <n v="71175"/>
    <x v="181"/>
    <n v="313"/>
    <d v="2034-07-01T00:00:00"/>
    <s v="0006"/>
    <d v="2034-08-27T00:00:00"/>
    <d v="2034-09-19T00:00:00"/>
    <x v="56"/>
    <s v="ganho de causa defesa"/>
    <d v="2034-12-10T00:00:00"/>
  </r>
  <r>
    <n v="71176"/>
    <x v="182"/>
    <n v="318"/>
    <d v="2034-07-01T00:00:00"/>
    <s v="0005"/>
    <d v="2034-07-31T00:00:00"/>
    <d v="2034-08-18T00:00:00"/>
    <x v="47"/>
    <s v="ganho de causa defesa"/>
    <d v="2034-10-11T00:00:00"/>
  </r>
  <r>
    <n v="71177"/>
    <x v="183"/>
    <n v="50"/>
    <d v="2034-07-01T00:00:00"/>
    <s v="0006"/>
    <d v="2034-08-04T00:00:00"/>
    <d v="2034-08-24T00:00:00"/>
    <x v="51"/>
    <s v="ganho de causa defesa"/>
    <d v="2034-11-16T00:00:00"/>
  </r>
  <r>
    <n v="71178"/>
    <x v="184"/>
    <n v="34"/>
    <d v="2034-07-02T00:00:00"/>
    <s v="0003"/>
    <d v="2034-08-07T00:00:00"/>
    <d v="2034-08-31T00:00:00"/>
    <x v="40"/>
    <n v="9190"/>
    <d v="2034-11-07T00:00:00"/>
  </r>
  <r>
    <n v="71179"/>
    <x v="185"/>
    <n v="14"/>
    <d v="2034-07-02T00:00:00"/>
    <s v="0010"/>
    <d v="2034-08-27T00:00:00"/>
    <d v="2034-09-19T00:00:00"/>
    <x v="61"/>
    <n v="50201"/>
    <d v="2034-11-17T00:00:00"/>
  </r>
  <r>
    <n v="71180"/>
    <x v="186"/>
    <n v="311"/>
    <d v="2034-07-02T00:00:00"/>
    <s v="0010"/>
    <d v="2034-08-04T00:00:00"/>
    <d v="2034-09-03T00:00:00"/>
    <x v="16"/>
    <n v="103267"/>
    <d v="2034-11-18T00:00:00"/>
  </r>
  <r>
    <n v="71181"/>
    <x v="187"/>
    <n v="12"/>
    <d v="2034-07-02T00:00:00"/>
    <s v="0009"/>
    <d v="2034-08-24T00:00:00"/>
    <d v="2034-09-11T00:00:00"/>
    <x v="61"/>
    <n v="140820"/>
    <d v="2034-11-26T00:00:00"/>
  </r>
  <r>
    <n v="71182"/>
    <x v="188"/>
    <n v="14"/>
    <d v="2034-07-02T00:00:00"/>
    <s v="0014"/>
    <d v="2034-08-12T00:00:00"/>
    <d v="2034-09-03T00:00:00"/>
    <x v="48"/>
    <s v="ganho de causa defesa"/>
    <d v="2034-10-12T00:00:00"/>
  </r>
  <r>
    <n v="71183"/>
    <x v="189"/>
    <n v="254"/>
    <d v="2034-07-02T00:00:00"/>
    <s v="0010"/>
    <d v="2034-08-03T00:00:00"/>
    <d v="2034-08-18T00:00:00"/>
    <x v="49"/>
    <s v="ganho de causa defesa"/>
    <d v="2034-10-08T00:00:00"/>
  </r>
  <r>
    <n v="71184"/>
    <x v="190"/>
    <n v="277"/>
    <d v="2034-07-02T00:00:00"/>
    <s v="0009"/>
    <d v="2034-08-26T00:00:00"/>
    <d v="2034-09-24T00:00:00"/>
    <x v="55"/>
    <s v="ganho de causa defesa"/>
    <d v="2034-11-26T00:00:00"/>
  </r>
  <r>
    <n v="71185"/>
    <x v="191"/>
    <n v="217"/>
    <d v="2034-07-02T00:00:00"/>
    <s v="0010"/>
    <d v="2034-08-15T00:00:00"/>
    <d v="2034-09-10T00:00:00"/>
    <x v="39"/>
    <s v="ganho de causa defesa"/>
    <d v="2034-11-24T00:00:00"/>
  </r>
  <r>
    <n v="71186"/>
    <x v="192"/>
    <n v="324"/>
    <d v="2034-07-02T00:00:00"/>
    <s v="0015"/>
    <d v="2034-08-24T00:00:00"/>
    <d v="2034-09-22T00:00:00"/>
    <x v="61"/>
    <n v="140631"/>
    <d v="2034-11-10T00:00:00"/>
  </r>
  <r>
    <n v="71187"/>
    <x v="193"/>
    <n v="239"/>
    <d v="2034-07-03T00:00:00"/>
    <s v="0010"/>
    <d v="2034-08-04T00:00:00"/>
    <d v="2034-08-31T00:00:00"/>
    <x v="28"/>
    <n v="66326"/>
    <d v="2034-10-05T00:00:00"/>
  </r>
  <r>
    <n v="71188"/>
    <x v="194"/>
    <n v="295"/>
    <d v="2034-07-03T00:00:00"/>
    <s v="0018"/>
    <d v="2034-08-27T00:00:00"/>
    <d v="2034-09-20T00:00:00"/>
    <x v="54"/>
    <n v="77578"/>
    <d v="2034-11-09T00:00:00"/>
  </r>
  <r>
    <n v="71189"/>
    <x v="195"/>
    <n v="309"/>
    <d v="2034-07-03T00:00:00"/>
    <s v="0012"/>
    <d v="2034-08-28T00:00:00"/>
    <d v="2034-09-25T00:00:00"/>
    <x v="59"/>
    <n v="119625"/>
    <d v="2034-11-23T00:00:00"/>
  </r>
  <r>
    <n v="71190"/>
    <x v="196"/>
    <n v="274"/>
    <d v="2034-07-03T00:00:00"/>
    <s v="0013"/>
    <d v="2034-08-30T00:00:00"/>
    <d v="2034-09-18T00:00:00"/>
    <x v="54"/>
    <s v="ganho de causa defesa"/>
    <d v="2034-12-03T00:00:00"/>
  </r>
  <r>
    <n v="71191"/>
    <x v="197"/>
    <n v="236"/>
    <d v="2034-07-03T00:00:00"/>
    <s v="0017"/>
    <d v="2034-08-07T00:00:00"/>
    <d v="2034-08-29T00:00:00"/>
    <x v="20"/>
    <s v="ganho de causa defesa"/>
    <d v="2034-11-11T00:00:00"/>
  </r>
  <r>
    <n v="71192"/>
    <x v="198"/>
    <n v="303"/>
    <d v="2034-07-03T00:00:00"/>
    <s v="0016"/>
    <d v="2034-08-26T00:00:00"/>
    <d v="2034-09-14T00:00:00"/>
    <x v="22"/>
    <s v="ganho de causa defesa"/>
    <d v="2034-11-29T00:00:00"/>
  </r>
  <r>
    <n v="71193"/>
    <x v="199"/>
    <n v="265"/>
    <d v="2034-07-04T00:00:00"/>
    <s v="0008"/>
    <d v="2034-08-06T00:00:00"/>
    <d v="2034-08-24T00:00:00"/>
    <x v="14"/>
    <n v="14847"/>
    <d v="2034-10-27T00:00:00"/>
  </r>
  <r>
    <n v="71194"/>
    <x v="200"/>
    <n v="115"/>
    <d v="2034-07-04T00:00:00"/>
    <s v="0017"/>
    <d v="2034-08-15T00:00:00"/>
    <d v="2034-08-30T00:00:00"/>
    <x v="35"/>
    <n v="69057"/>
    <d v="2034-10-12T00:00:00"/>
  </r>
  <r>
    <n v="71195"/>
    <x v="201"/>
    <n v="305"/>
    <d v="2034-07-04T00:00:00"/>
    <s v="0009"/>
    <d v="2034-08-11T00:00:00"/>
    <d v="2034-09-07T00:00:00"/>
    <x v="45"/>
    <n v="116270"/>
    <d v="2034-11-08T00:00:00"/>
  </r>
  <r>
    <n v="71196"/>
    <x v="202"/>
    <n v="264"/>
    <d v="2034-07-04T00:00:00"/>
    <s v="0004"/>
    <d v="2034-08-25T00:00:00"/>
    <d v="2034-09-15T00:00:00"/>
    <x v="22"/>
    <s v="ganho de causa defesa"/>
    <d v="2034-11-21T00:00:00"/>
  </r>
  <r>
    <n v="71197"/>
    <x v="203"/>
    <n v="37"/>
    <d v="2034-07-04T00:00:00"/>
    <s v="0017"/>
    <d v="2034-08-16T00:00:00"/>
    <d v="2034-09-07T00:00:00"/>
    <x v="32"/>
    <s v="ganho de causa defesa"/>
    <d v="2034-10-13T00:00:00"/>
  </r>
  <r>
    <n v="71198"/>
    <x v="204"/>
    <n v="29"/>
    <d v="2034-07-04T00:00:00"/>
    <s v="0008"/>
    <d v="2034-08-25T00:00:00"/>
    <d v="2034-09-19T00:00:00"/>
    <x v="63"/>
    <n v="103"/>
    <d v="2034-11-14T00:00:00"/>
  </r>
  <r>
    <n v="71199"/>
    <x v="205"/>
    <n v="288"/>
    <d v="2034-07-05T00:00:00"/>
    <s v="0010"/>
    <d v="2034-08-24T00:00:00"/>
    <d v="2034-09-10T00:00:00"/>
    <x v="58"/>
    <n v="7022"/>
    <d v="2034-11-09T00:00:00"/>
  </r>
  <r>
    <n v="71200"/>
    <x v="206"/>
    <n v="123"/>
    <d v="2034-07-05T00:00:00"/>
    <s v="0002"/>
    <d v="2034-08-04T00:00:00"/>
    <d v="2034-08-22T00:00:00"/>
    <x v="35"/>
    <n v="75221"/>
    <d v="2034-10-10T00:00:00"/>
  </r>
  <r>
    <n v="71201"/>
    <x v="207"/>
    <n v="203"/>
    <d v="2034-07-05T00:00:00"/>
    <s v="0016"/>
    <d v="2034-08-16T00:00:00"/>
    <d v="2034-09-06T00:00:00"/>
    <x v="48"/>
    <n v="96624"/>
    <d v="2034-11-11T00:00:00"/>
  </r>
  <r>
    <n v="71202"/>
    <x v="208"/>
    <n v="240"/>
    <d v="2034-07-05T00:00:00"/>
    <s v="0012"/>
    <d v="2034-08-07T00:00:00"/>
    <d v="2034-08-26T00:00:00"/>
    <x v="28"/>
    <n v="127084"/>
    <d v="2034-10-03T00:00:00"/>
  </r>
  <r>
    <n v="71203"/>
    <x v="209"/>
    <n v="53"/>
    <d v="2034-07-05T00:00:00"/>
    <s v="0013"/>
    <d v="2034-08-13T00:00:00"/>
    <d v="2034-09-06T00:00:00"/>
    <x v="39"/>
    <n v="149009"/>
    <d v="2034-11-24T00:00:00"/>
  </r>
  <r>
    <n v="71204"/>
    <x v="210"/>
    <n v="180"/>
    <d v="2034-07-05T00:00:00"/>
    <s v="0008"/>
    <d v="2034-08-24T00:00:00"/>
    <d v="2034-09-21T00:00:00"/>
    <x v="64"/>
    <s v="ganho de causa defesa"/>
    <d v="2034-11-25T00:00:00"/>
  </r>
  <r>
    <n v="71205"/>
    <x v="211"/>
    <n v="295"/>
    <d v="2034-07-05T00:00:00"/>
    <s v="0018"/>
    <d v="2034-08-21T00:00:00"/>
    <d v="2034-09-19T00:00:00"/>
    <x v="61"/>
    <s v="ganho de causa defesa"/>
    <d v="2034-12-04T00:00:00"/>
  </r>
  <r>
    <n v="71206"/>
    <x v="212"/>
    <n v="83"/>
    <d v="2034-07-05T00:00:00"/>
    <s v="0011"/>
    <d v="2034-08-25T00:00:00"/>
    <d v="2034-09-11T00:00:00"/>
    <x v="39"/>
    <s v="ganho de causa defesa"/>
    <d v="2034-11-12T00:00:00"/>
  </r>
  <r>
    <n v="71207"/>
    <x v="213"/>
    <n v="38"/>
    <d v="2034-07-06T00:00:00"/>
    <s v="0005"/>
    <d v="2034-08-28T00:00:00"/>
    <d v="2034-09-15T00:00:00"/>
    <x v="22"/>
    <n v="21380"/>
    <d v="2034-11-03T00:00:00"/>
  </r>
  <r>
    <n v="71208"/>
    <x v="214"/>
    <n v="125"/>
    <d v="2034-07-06T00:00:00"/>
    <s v="0018"/>
    <d v="2034-08-09T00:00:00"/>
    <d v="2034-09-07T00:00:00"/>
    <x v="32"/>
    <n v="29291"/>
    <d v="2034-11-07T00:00:00"/>
  </r>
  <r>
    <n v="71209"/>
    <x v="215"/>
    <n v="217"/>
    <d v="2034-07-06T00:00:00"/>
    <s v="0013"/>
    <d v="2034-08-16T00:00:00"/>
    <d v="2034-09-11T00:00:00"/>
    <x v="16"/>
    <n v="34931"/>
    <d v="2034-11-12T00:00:00"/>
  </r>
  <r>
    <n v="71210"/>
    <x v="216"/>
    <n v="8"/>
    <d v="2034-07-06T00:00:00"/>
    <s v="0017"/>
    <d v="2034-08-31T00:00:00"/>
    <d v="2034-09-24T00:00:00"/>
    <x v="55"/>
    <n v="35868"/>
    <d v="2034-11-16T00:00:00"/>
  </r>
  <r>
    <n v="71211"/>
    <x v="217"/>
    <n v="211"/>
    <d v="2034-07-06T00:00:00"/>
    <s v="0014"/>
    <d v="2034-08-09T00:00:00"/>
    <d v="2034-09-03T00:00:00"/>
    <x v="25"/>
    <n v="101131"/>
    <d v="2034-10-28T00:00:00"/>
  </r>
  <r>
    <n v="71212"/>
    <x v="218"/>
    <n v="288"/>
    <d v="2034-07-06T00:00:00"/>
    <s v="0018"/>
    <d v="2034-08-21T00:00:00"/>
    <d v="2034-09-09T00:00:00"/>
    <x v="58"/>
    <n v="143486"/>
    <d v="2034-11-05T00:00:00"/>
  </r>
  <r>
    <n v="71213"/>
    <x v="219"/>
    <n v="91"/>
    <d v="2034-07-06T00:00:00"/>
    <s v="0011"/>
    <d v="2034-08-18T00:00:00"/>
    <d v="2034-09-06T00:00:00"/>
    <x v="63"/>
    <s v="ganho de causa defesa"/>
    <d v="2034-11-21T00:00:00"/>
  </r>
  <r>
    <n v="71214"/>
    <x v="220"/>
    <n v="302"/>
    <d v="2034-07-06T00:00:00"/>
    <s v="0003"/>
    <d v="2034-08-20T00:00:00"/>
    <d v="2034-09-05T00:00:00"/>
    <x v="37"/>
    <s v="ganho de causa defesa"/>
    <d v="2034-11-11T00:00:00"/>
  </r>
  <r>
    <n v="71215"/>
    <x v="221"/>
    <n v="10"/>
    <d v="2034-07-07T00:00:00"/>
    <s v="0018"/>
    <d v="2034-08-31T00:00:00"/>
    <d v="2034-09-25T00:00:00"/>
    <x v="56"/>
    <n v="17339"/>
    <d v="2034-12-04T00:00:00"/>
  </r>
  <r>
    <n v="71216"/>
    <x v="222"/>
    <n v="205"/>
    <d v="2034-07-07T00:00:00"/>
    <s v="0018"/>
    <d v="2034-08-31T00:00:00"/>
    <d v="2034-09-20T00:00:00"/>
    <x v="56"/>
    <s v="ganho de causa defesa"/>
    <d v="2034-11-30T00:00:00"/>
  </r>
  <r>
    <n v="71217"/>
    <x v="223"/>
    <n v="21"/>
    <d v="2034-07-08T00:00:00"/>
    <s v="0013"/>
    <d v="2034-08-07T00:00:00"/>
    <d v="2034-08-28T00:00:00"/>
    <x v="35"/>
    <n v="11761"/>
    <d v="2034-10-04T00:00:00"/>
  </r>
  <r>
    <n v="71218"/>
    <x v="224"/>
    <n v="282"/>
    <d v="2034-07-08T00:00:00"/>
    <s v="0012"/>
    <d v="2034-08-16T00:00:00"/>
    <d v="2034-08-31T00:00:00"/>
    <x v="34"/>
    <n v="29520"/>
    <d v="2034-11-18T00:00:00"/>
  </r>
  <r>
    <n v="71219"/>
    <x v="225"/>
    <n v="32"/>
    <d v="2034-07-08T00:00:00"/>
    <s v="0018"/>
    <d v="2034-08-09T00:00:00"/>
    <d v="2034-09-02T00:00:00"/>
    <x v="48"/>
    <n v="146706"/>
    <d v="2034-11-05T00:00:00"/>
  </r>
  <r>
    <n v="71220"/>
    <x v="226"/>
    <n v="96"/>
    <d v="2034-07-08T00:00:00"/>
    <s v="0018"/>
    <d v="2034-08-09T00:00:00"/>
    <d v="2034-09-07T00:00:00"/>
    <x v="39"/>
    <s v="ganho de causa defesa"/>
    <d v="2034-11-12T00:00:00"/>
  </r>
  <r>
    <n v="71221"/>
    <x v="227"/>
    <n v="285"/>
    <d v="2034-07-08T00:00:00"/>
    <s v="0015"/>
    <d v="2034-08-08T00:00:00"/>
    <d v="2034-09-06T00:00:00"/>
    <x v="34"/>
    <s v="ganho de causa defesa"/>
    <d v="2034-11-03T00:00:00"/>
  </r>
  <r>
    <n v="71222"/>
    <x v="228"/>
    <n v="36"/>
    <d v="2034-07-08T00:00:00"/>
    <s v="0004"/>
    <d v="2034-08-09T00:00:00"/>
    <d v="2034-09-08T00:00:00"/>
    <x v="61"/>
    <s v="ganho de causa defesa"/>
    <d v="2034-11-30T00:00:00"/>
  </r>
  <r>
    <n v="71223"/>
    <x v="229"/>
    <n v="189"/>
    <d v="2034-07-08T00:00:00"/>
    <s v="0008"/>
    <d v="2034-08-29T00:00:00"/>
    <d v="2034-09-23T00:00:00"/>
    <x v="56"/>
    <n v="144974"/>
    <d v="2034-11-22T00:00:00"/>
  </r>
  <r>
    <n v="71224"/>
    <x v="230"/>
    <n v="120"/>
    <d v="2034-07-08T00:00:00"/>
    <s v="0005"/>
    <d v="2034-08-29T00:00:00"/>
    <d v="2034-09-16T00:00:00"/>
    <x v="60"/>
    <s v="ganho de causa defesa"/>
    <d v="2034-11-09T00:00:00"/>
  </r>
  <r>
    <n v="71225"/>
    <x v="231"/>
    <n v="219"/>
    <d v="2034-07-09T00:00:00"/>
    <s v="0017"/>
    <d v="2034-08-12T00:00:00"/>
    <d v="2034-09-10T00:00:00"/>
    <x v="58"/>
    <s v="ganho de causa defesa"/>
    <d v="2034-11-30T00:00:00"/>
  </r>
  <r>
    <n v="71226"/>
    <x v="232"/>
    <n v="308"/>
    <d v="2034-07-09T00:00:00"/>
    <s v="0008"/>
    <d v="2034-08-12T00:00:00"/>
    <d v="2034-09-07T00:00:00"/>
    <x v="22"/>
    <s v="ganho de causa defesa"/>
    <d v="2034-11-25T00:00:00"/>
  </r>
  <r>
    <n v="71227"/>
    <x v="233"/>
    <n v="312"/>
    <d v="2034-07-09T00:00:00"/>
    <s v="0015"/>
    <d v="2034-08-29T00:00:00"/>
    <d v="2034-09-23T00:00:00"/>
    <x v="65"/>
    <n v="82306"/>
    <d v="2034-12-02T00:00:00"/>
  </r>
  <r>
    <n v="71228"/>
    <x v="234"/>
    <n v="28"/>
    <d v="2034-07-10T00:00:00"/>
    <s v="0010"/>
    <d v="2034-08-17T00:00:00"/>
    <d v="2034-09-13T00:00:00"/>
    <x v="61"/>
    <n v="64956"/>
    <d v="2034-12-04T00:00:00"/>
  </r>
  <r>
    <n v="71229"/>
    <x v="235"/>
    <n v="204"/>
    <d v="2034-07-10T00:00:00"/>
    <s v="0012"/>
    <d v="2034-09-06T00:00:00"/>
    <d v="2034-09-27T00:00:00"/>
    <x v="55"/>
    <n v="78586"/>
    <d v="2034-11-20T00:00:00"/>
  </r>
  <r>
    <n v="71230"/>
    <x v="236"/>
    <n v="332"/>
    <d v="2034-07-10T00:00:00"/>
    <s v="0005"/>
    <d v="2034-09-04T00:00:00"/>
    <d v="2034-09-21T00:00:00"/>
    <x v="54"/>
    <n v="133973"/>
    <d v="2034-11-23T00:00:00"/>
  </r>
  <r>
    <n v="71231"/>
    <x v="237"/>
    <n v="31"/>
    <d v="2034-07-10T00:00:00"/>
    <s v="0006"/>
    <d v="2034-08-15T00:00:00"/>
    <d v="2034-09-13T00:00:00"/>
    <x v="52"/>
    <s v="ganho de causa defesa"/>
    <d v="2034-11-19T00:00:00"/>
  </r>
  <r>
    <n v="71232"/>
    <x v="238"/>
    <n v="96"/>
    <d v="2034-07-10T00:00:00"/>
    <s v="0015"/>
    <d v="2034-08-11T00:00:00"/>
    <d v="2034-09-01T00:00:00"/>
    <x v="16"/>
    <s v="ganho de causa defesa"/>
    <d v="2034-11-26T00:00:00"/>
  </r>
  <r>
    <n v="71233"/>
    <x v="239"/>
    <n v="8"/>
    <d v="2034-07-10T00:00:00"/>
    <s v="0012"/>
    <d v="2034-08-28T00:00:00"/>
    <d v="2034-09-26T00:00:00"/>
    <x v="66"/>
    <s v="ganho de causa defesa"/>
    <d v="2034-11-29T00:00:00"/>
  </r>
  <r>
    <n v="71234"/>
    <x v="240"/>
    <n v="317"/>
    <d v="2034-07-10T00:00:00"/>
    <s v="0012"/>
    <d v="2034-09-07T00:00:00"/>
    <d v="2034-10-07T00:00:00"/>
    <x v="67"/>
    <n v="137988"/>
    <d v="2035-01-02T00:00:00"/>
  </r>
  <r>
    <n v="71235"/>
    <x v="241"/>
    <n v="313"/>
    <d v="2034-07-10T00:00:00"/>
    <s v="0015"/>
    <d v="2034-08-31T00:00:00"/>
    <d v="2034-09-28T00:00:00"/>
    <x v="68"/>
    <s v="ganho de causa defesa"/>
    <d v="2034-12-19T00:00:00"/>
  </r>
  <r>
    <n v="71236"/>
    <x v="242"/>
    <n v="309"/>
    <d v="2034-07-10T00:00:00"/>
    <s v="0011"/>
    <d v="2034-09-08T00:00:00"/>
    <d v="2034-10-01T00:00:00"/>
    <x v="65"/>
    <s v="ganho de causa defesa"/>
    <d v="2034-11-24T00:00:00"/>
  </r>
  <r>
    <n v="71237"/>
    <x v="243"/>
    <n v="267"/>
    <d v="2034-07-11T00:00:00"/>
    <s v="0016"/>
    <d v="2034-08-14T00:00:00"/>
    <d v="2034-09-02T00:00:00"/>
    <x v="31"/>
    <n v="22010"/>
    <d v="2034-11-12T00:00:00"/>
  </r>
  <r>
    <n v="71238"/>
    <x v="244"/>
    <n v="287"/>
    <d v="2034-07-11T00:00:00"/>
    <s v="0004"/>
    <d v="2034-08-24T00:00:00"/>
    <d v="2034-09-15T00:00:00"/>
    <x v="58"/>
    <s v="ganho de causa defesa"/>
    <d v="2034-11-05T00:00:00"/>
  </r>
  <r>
    <n v="71239"/>
    <x v="245"/>
    <n v="34"/>
    <d v="2034-07-11T00:00:00"/>
    <s v="0012"/>
    <d v="2034-09-07T00:00:00"/>
    <d v="2034-10-02T00:00:00"/>
    <x v="69"/>
    <n v="37287"/>
    <d v="2034-12-18T00:00:00"/>
  </r>
  <r>
    <n v="71240"/>
    <x v="246"/>
    <n v="169"/>
    <d v="2034-07-11T00:00:00"/>
    <s v="0003"/>
    <d v="2034-08-25T00:00:00"/>
    <d v="2034-09-19T00:00:00"/>
    <x v="60"/>
    <s v="ganho de causa defesa"/>
    <d v="2034-11-14T00:00:00"/>
  </r>
  <r>
    <n v="71241"/>
    <x v="247"/>
    <n v="139"/>
    <d v="2034-07-11T00:00:00"/>
    <s v="0016"/>
    <d v="2034-09-03T00:00:00"/>
    <d v="2034-09-29T00:00:00"/>
    <x v="57"/>
    <s v="ganho de causa defesa"/>
    <d v="2034-11-23T00:00:00"/>
  </r>
  <r>
    <n v="71242"/>
    <x v="248"/>
    <n v="82"/>
    <d v="2034-07-11T00:00:00"/>
    <s v="0014"/>
    <d v="2034-09-08T00:00:00"/>
    <d v="2034-10-04T00:00:00"/>
    <x v="70"/>
    <s v="ganho de causa defesa"/>
    <d v="2034-12-01T00:00:00"/>
  </r>
  <r>
    <n v="71243"/>
    <x v="249"/>
    <n v="108"/>
    <d v="2034-07-12T00:00:00"/>
    <s v="0010"/>
    <d v="2034-08-27T00:00:00"/>
    <d v="2034-09-17T00:00:00"/>
    <x v="62"/>
    <n v="94193"/>
    <d v="2034-11-11T00:00:00"/>
  </r>
  <r>
    <n v="71244"/>
    <x v="250"/>
    <n v="296"/>
    <d v="2034-07-12T00:00:00"/>
    <s v="0001"/>
    <d v="2034-08-19T00:00:00"/>
    <d v="2034-09-16T00:00:00"/>
    <x v="66"/>
    <s v="ganho de causa defesa"/>
    <d v="2034-12-03T00:00:00"/>
  </r>
  <r>
    <n v="71245"/>
    <x v="251"/>
    <n v="333"/>
    <d v="2034-07-12T00:00:00"/>
    <s v="0006"/>
    <d v="2034-08-13T00:00:00"/>
    <d v="2034-09-07T00:00:00"/>
    <x v="45"/>
    <s v="ganho de causa defesa"/>
    <d v="2034-11-26T00:00:00"/>
  </r>
  <r>
    <n v="71246"/>
    <x v="252"/>
    <n v="32"/>
    <d v="2034-07-12T00:00:00"/>
    <s v="0018"/>
    <d v="2034-08-20T00:00:00"/>
    <d v="2034-09-06T00:00:00"/>
    <x v="32"/>
    <s v="ganho de causa defesa"/>
    <d v="2034-11-03T00:00:00"/>
  </r>
  <r>
    <n v="71247"/>
    <x v="253"/>
    <n v="107"/>
    <d v="2034-07-12T00:00:00"/>
    <s v="0007"/>
    <d v="2034-08-28T00:00:00"/>
    <d v="2034-09-26T00:00:00"/>
    <x v="55"/>
    <s v="ganho de causa defesa"/>
    <d v="2034-12-11T00:00:00"/>
  </r>
  <r>
    <n v="71248"/>
    <x v="254"/>
    <n v="222"/>
    <d v="2034-07-12T00:00:00"/>
    <s v="0016"/>
    <d v="2034-09-07T00:00:00"/>
    <d v="2034-09-23T00:00:00"/>
    <x v="71"/>
    <n v="87332"/>
    <d v="2034-11-29T00:00:00"/>
  </r>
  <r>
    <n v="71249"/>
    <x v="255"/>
    <n v="176"/>
    <d v="2034-07-12T00:00:00"/>
    <s v="0004"/>
    <d v="2034-09-06T00:00:00"/>
    <d v="2034-10-01T00:00:00"/>
    <x v="72"/>
    <n v="37758"/>
    <d v="2034-12-06T00:00:00"/>
  </r>
  <r>
    <n v="71250"/>
    <x v="256"/>
    <n v="320"/>
    <d v="2034-07-12T00:00:00"/>
    <s v="0008"/>
    <d v="2034-08-31T00:00:00"/>
    <d v="2034-09-28T00:00:00"/>
    <x v="72"/>
    <s v="ganho de causa defesa"/>
    <d v="2034-12-08T00:00:00"/>
  </r>
  <r>
    <n v="71251"/>
    <x v="257"/>
    <n v="285"/>
    <d v="2034-07-13T00:00:00"/>
    <s v="0003"/>
    <d v="2034-08-20T00:00:00"/>
    <d v="2034-09-06T00:00:00"/>
    <x v="6"/>
    <n v="83008"/>
    <d v="2034-10-26T00:00:00"/>
  </r>
  <r>
    <n v="71252"/>
    <x v="258"/>
    <n v="269"/>
    <d v="2034-07-13T00:00:00"/>
    <s v="0013"/>
    <d v="2034-08-25T00:00:00"/>
    <d v="2034-09-16T00:00:00"/>
    <x v="64"/>
    <s v="ganho de causa defesa"/>
    <d v="2034-11-23T00:00:00"/>
  </r>
  <r>
    <n v="71253"/>
    <x v="259"/>
    <n v="41"/>
    <d v="2034-07-13T00:00:00"/>
    <s v="0008"/>
    <d v="2034-09-05T00:00:00"/>
    <d v="2034-09-29T00:00:00"/>
    <x v="73"/>
    <s v="ganho de causa defesa"/>
    <d v="2034-12-20T00:00:00"/>
  </r>
  <r>
    <n v="71254"/>
    <x v="260"/>
    <n v="28"/>
    <d v="2034-07-14T00:00:00"/>
    <s v="0008"/>
    <d v="2034-08-22T00:00:00"/>
    <d v="2034-09-14T00:00:00"/>
    <x v="64"/>
    <n v="2103"/>
    <d v="2034-11-16T00:00:00"/>
  </r>
  <r>
    <n v="71255"/>
    <x v="261"/>
    <n v="121"/>
    <d v="2034-07-14T00:00:00"/>
    <s v="0008"/>
    <d v="2034-08-18T00:00:00"/>
    <d v="2034-09-11T00:00:00"/>
    <x v="52"/>
    <s v="ganho de causa defesa"/>
    <d v="2034-11-17T00:00:00"/>
  </r>
  <r>
    <n v="71256"/>
    <x v="262"/>
    <n v="288"/>
    <d v="2034-07-14T00:00:00"/>
    <s v="0016"/>
    <d v="2034-09-08T00:00:00"/>
    <d v="2034-10-05T00:00:00"/>
    <x v="74"/>
    <n v="7054"/>
    <d v="2034-12-22T00:00:00"/>
  </r>
  <r>
    <n v="71257"/>
    <x v="263"/>
    <n v="234"/>
    <d v="2034-07-14T00:00:00"/>
    <s v="0011"/>
    <d v="2034-09-07T00:00:00"/>
    <d v="2034-09-30T00:00:00"/>
    <x v="65"/>
    <n v="101385"/>
    <d v="2034-12-15T00:00:00"/>
  </r>
  <r>
    <n v="71258"/>
    <x v="264"/>
    <n v="169"/>
    <d v="2034-07-15T00:00:00"/>
    <s v="0002"/>
    <d v="2034-08-23T00:00:00"/>
    <d v="2034-09-07T00:00:00"/>
    <x v="22"/>
    <n v="87610"/>
    <d v="2034-11-03T00:00:00"/>
  </r>
  <r>
    <n v="71259"/>
    <x v="265"/>
    <n v="112"/>
    <d v="2034-07-15T00:00:00"/>
    <s v="0001"/>
    <d v="2034-08-31T00:00:00"/>
    <d v="2034-09-21T00:00:00"/>
    <x v="56"/>
    <n v="125955"/>
    <d v="2034-11-17T00:00:00"/>
  </r>
  <r>
    <n v="71260"/>
    <x v="266"/>
    <n v="126"/>
    <d v="2034-07-15T00:00:00"/>
    <s v="0008"/>
    <d v="2034-08-26T00:00:00"/>
    <d v="2034-09-12T00:00:00"/>
    <x v="34"/>
    <s v="ganho de causa defesa"/>
    <d v="2034-11-04T00:00:00"/>
  </r>
  <r>
    <n v="71261"/>
    <x v="267"/>
    <n v="34"/>
    <d v="2034-07-15T00:00:00"/>
    <s v="0002"/>
    <d v="2034-09-06T00:00:00"/>
    <d v="2034-09-23T00:00:00"/>
    <x v="52"/>
    <n v="106948"/>
    <d v="2034-11-12T00:00:00"/>
  </r>
  <r>
    <n v="71262"/>
    <x v="268"/>
    <n v="191"/>
    <d v="2034-07-15T00:00:00"/>
    <s v="0015"/>
    <d v="2034-09-03T00:00:00"/>
    <d v="2034-09-28T00:00:00"/>
    <x v="56"/>
    <s v="ganho de causa defesa"/>
    <d v="2034-11-18T00:00:00"/>
  </r>
  <r>
    <n v="71263"/>
    <x v="269"/>
    <n v="253"/>
    <d v="2034-07-16T00:00:00"/>
    <s v="0015"/>
    <d v="2034-09-04T00:00:00"/>
    <d v="2034-09-19T00:00:00"/>
    <x v="66"/>
    <n v="107459"/>
    <d v="2034-11-20T00:00:00"/>
  </r>
  <r>
    <n v="71264"/>
    <x v="270"/>
    <n v="148"/>
    <d v="2034-07-16T00:00:00"/>
    <s v="0016"/>
    <d v="2034-09-10T00:00:00"/>
    <d v="2034-10-04T00:00:00"/>
    <x v="75"/>
    <s v="ganho de causa defesa"/>
    <d v="2034-12-07T00:00:00"/>
  </r>
  <r>
    <n v="71265"/>
    <x v="271"/>
    <n v="84"/>
    <d v="2034-07-16T00:00:00"/>
    <s v="0002"/>
    <d v="2034-09-11T00:00:00"/>
    <d v="2034-09-29T00:00:00"/>
    <x v="68"/>
    <n v="133684"/>
    <d v="2034-12-14T00:00:00"/>
  </r>
  <r>
    <n v="71266"/>
    <x v="272"/>
    <n v="211"/>
    <d v="2034-07-16T00:00:00"/>
    <s v="0014"/>
    <d v="2034-09-14T00:00:00"/>
    <d v="2034-09-29T00:00:00"/>
    <x v="76"/>
    <n v="11252"/>
    <d v="2034-12-11T00:00:00"/>
  </r>
  <r>
    <n v="71267"/>
    <x v="273"/>
    <n v="203"/>
    <d v="2034-07-16T00:00:00"/>
    <s v="0016"/>
    <d v="2034-09-08T00:00:00"/>
    <d v="2034-09-30T00:00:00"/>
    <x v="57"/>
    <n v="55820"/>
    <d v="2034-11-21T00:00:00"/>
  </r>
  <r>
    <n v="71268"/>
    <x v="274"/>
    <n v="200"/>
    <d v="2034-07-16T00:00:00"/>
    <s v="0005"/>
    <d v="2034-09-13T00:00:00"/>
    <d v="2034-10-11T00:00:00"/>
    <x v="77"/>
    <n v="114076"/>
    <d v="2034-12-25T00:00:00"/>
  </r>
  <r>
    <n v="71269"/>
    <x v="275"/>
    <n v="212"/>
    <d v="2034-07-16T00:00:00"/>
    <s v="0005"/>
    <d v="2034-09-12T00:00:00"/>
    <d v="2034-10-04T00:00:00"/>
    <x v="77"/>
    <n v="13063"/>
    <d v="2034-12-04T00:00:00"/>
  </r>
  <r>
    <n v="71270"/>
    <x v="276"/>
    <n v="176"/>
    <d v="2034-07-16T00:00:00"/>
    <s v="0017"/>
    <d v="2034-08-21T00:00:00"/>
    <d v="2034-09-17T00:00:00"/>
    <x v="53"/>
    <n v="11077"/>
    <d v="2034-11-07T00:00:00"/>
  </r>
  <r>
    <n v="71271"/>
    <x v="277"/>
    <n v="308"/>
    <d v="2034-07-16T00:00:00"/>
    <s v="0018"/>
    <d v="2034-09-06T00:00:00"/>
    <d v="2034-09-26T00:00:00"/>
    <x v="71"/>
    <s v="ganho de causa defesa"/>
    <d v="2034-11-21T00:00:00"/>
  </r>
  <r>
    <n v="71272"/>
    <x v="278"/>
    <n v="317"/>
    <d v="2034-07-17T00:00:00"/>
    <s v="0018"/>
    <d v="2034-09-14T00:00:00"/>
    <d v="2034-10-04T00:00:00"/>
    <x v="68"/>
    <n v="53907"/>
    <d v="2034-11-29T00:00:00"/>
  </r>
  <r>
    <n v="71273"/>
    <x v="279"/>
    <n v="58"/>
    <d v="2034-07-17T00:00:00"/>
    <s v="0018"/>
    <d v="2034-09-08T00:00:00"/>
    <d v="2034-10-04T00:00:00"/>
    <x v="69"/>
    <n v="131971"/>
    <d v="2034-12-26T00:00:00"/>
  </r>
  <r>
    <n v="71274"/>
    <x v="280"/>
    <n v="68"/>
    <d v="2034-07-18T00:00:00"/>
    <s v="0010"/>
    <d v="2034-08-28T00:00:00"/>
    <d v="2034-09-12T00:00:00"/>
    <x v="52"/>
    <n v="21475"/>
    <d v="2034-11-25T00:00:00"/>
  </r>
  <r>
    <n v="71275"/>
    <x v="281"/>
    <n v="334"/>
    <d v="2034-07-18T00:00:00"/>
    <s v="0005"/>
    <d v="2034-09-04T00:00:00"/>
    <d v="2034-10-02T00:00:00"/>
    <x v="76"/>
    <n v="41329"/>
    <d v="2034-12-16T00:00:00"/>
  </r>
  <r>
    <n v="71276"/>
    <x v="282"/>
    <n v="335"/>
    <d v="2034-07-18T00:00:00"/>
    <s v="0007"/>
    <d v="2034-09-05T00:00:00"/>
    <d v="2034-09-30T00:00:00"/>
    <x v="74"/>
    <n v="84401"/>
    <d v="2034-12-27T00:00:00"/>
  </r>
  <r>
    <n v="71277"/>
    <x v="283"/>
    <n v="41"/>
    <d v="2034-07-18T00:00:00"/>
    <s v="0017"/>
    <d v="2034-08-24T00:00:00"/>
    <d v="2034-09-23T00:00:00"/>
    <x v="66"/>
    <n v="14434"/>
    <d v="2034-11-27T00:00:00"/>
  </r>
  <r>
    <n v="71278"/>
    <x v="284"/>
    <n v="240"/>
    <d v="2034-07-19T00:00:00"/>
    <s v="0015"/>
    <d v="2034-08-31T00:00:00"/>
    <d v="2034-09-15T00:00:00"/>
    <x v="66"/>
    <n v="8672"/>
    <d v="2034-11-21T00:00:00"/>
  </r>
  <r>
    <n v="71279"/>
    <x v="285"/>
    <n v="306"/>
    <d v="2034-07-19T00:00:00"/>
    <s v="0013"/>
    <d v="2034-08-23T00:00:00"/>
    <d v="2034-09-17T00:00:00"/>
    <x v="78"/>
    <n v="60896"/>
    <d v="2034-11-22T00:00:00"/>
  </r>
  <r>
    <n v="71280"/>
    <x v="286"/>
    <n v="112"/>
    <d v="2034-07-19T00:00:00"/>
    <s v="0006"/>
    <d v="2034-08-21T00:00:00"/>
    <d v="2034-09-20T00:00:00"/>
    <x v="54"/>
    <n v="64387"/>
    <d v="2034-11-30T00:00:00"/>
  </r>
  <r>
    <n v="71281"/>
    <x v="287"/>
    <n v="302"/>
    <d v="2034-07-19T00:00:00"/>
    <s v="0008"/>
    <d v="2034-08-19T00:00:00"/>
    <d v="2034-09-03T00:00:00"/>
    <x v="16"/>
    <n v="130166"/>
    <d v="2034-11-17T00:00:00"/>
  </r>
  <r>
    <n v="71282"/>
    <x v="288"/>
    <n v="183"/>
    <d v="2034-07-19T00:00:00"/>
    <s v="0004"/>
    <d v="2034-08-23T00:00:00"/>
    <d v="2034-09-22T00:00:00"/>
    <x v="60"/>
    <n v="139504"/>
    <d v="2034-12-02T00:00:00"/>
  </r>
  <r>
    <n v="71283"/>
    <x v="289"/>
    <n v="217"/>
    <d v="2034-07-19T00:00:00"/>
    <s v="0001"/>
    <d v="2034-08-25T00:00:00"/>
    <d v="2034-09-14T00:00:00"/>
    <x v="58"/>
    <s v="ganho de causa defesa"/>
    <d v="2034-11-23T00:00:00"/>
  </r>
  <r>
    <n v="71284"/>
    <x v="290"/>
    <n v="34"/>
    <d v="2034-07-19T00:00:00"/>
    <s v="0007"/>
    <d v="2034-09-06T00:00:00"/>
    <d v="2034-09-28T00:00:00"/>
    <x v="65"/>
    <n v="66391"/>
    <d v="2034-12-18T00:00:00"/>
  </r>
  <r>
    <n v="71285"/>
    <x v="291"/>
    <n v="100"/>
    <d v="2034-07-20T00:00:00"/>
    <s v="0015"/>
    <d v="2034-09-07T00:00:00"/>
    <d v="2034-09-25T00:00:00"/>
    <x v="64"/>
    <n v="39680"/>
    <d v="2034-11-28T00:00:00"/>
  </r>
  <r>
    <n v="71286"/>
    <x v="292"/>
    <n v="295"/>
    <d v="2034-07-20T00:00:00"/>
    <s v="0012"/>
    <d v="2034-08-24T00:00:00"/>
    <d v="2034-09-10T00:00:00"/>
    <x v="22"/>
    <n v="78310"/>
    <d v="2034-11-06T00:00:00"/>
  </r>
  <r>
    <n v="71287"/>
    <x v="293"/>
    <n v="248"/>
    <d v="2034-07-20T00:00:00"/>
    <s v="0009"/>
    <d v="2034-08-31T00:00:00"/>
    <d v="2034-09-18T00:00:00"/>
    <x v="63"/>
    <s v="ganho de causa defesa"/>
    <d v="2034-11-14T00:00:00"/>
  </r>
  <r>
    <n v="71288"/>
    <x v="294"/>
    <n v="42"/>
    <d v="2034-07-20T00:00:00"/>
    <s v="0017"/>
    <d v="2034-09-10T00:00:00"/>
    <d v="2034-09-27T00:00:00"/>
    <x v="73"/>
    <n v="48491"/>
    <d v="2034-11-21T00:00:00"/>
  </r>
  <r>
    <n v="71289"/>
    <x v="295"/>
    <n v="89"/>
    <d v="2034-07-20T00:00:00"/>
    <s v="0005"/>
    <d v="2034-09-04T00:00:00"/>
    <d v="2034-09-24T00:00:00"/>
    <x v="56"/>
    <s v="ganho de causa defesa"/>
    <d v="2034-12-13T00:00:00"/>
  </r>
  <r>
    <n v="71290"/>
    <x v="296"/>
    <n v="33"/>
    <d v="2034-07-20T00:00:00"/>
    <s v="0006"/>
    <d v="2034-09-07T00:00:00"/>
    <d v="2034-09-30T00:00:00"/>
    <x v="79"/>
    <s v="ganho de causa defesa"/>
    <d v="2034-12-08T00:00:00"/>
  </r>
  <r>
    <n v="71291"/>
    <x v="297"/>
    <n v="151"/>
    <d v="2034-07-21T00:00:00"/>
    <s v="0004"/>
    <d v="2034-09-01T00:00:00"/>
    <d v="2034-09-27T00:00:00"/>
    <x v="66"/>
    <n v="9403"/>
    <d v="2034-11-16T00:00:00"/>
  </r>
  <r>
    <n v="71292"/>
    <x v="298"/>
    <n v="262"/>
    <d v="2034-07-21T00:00:00"/>
    <s v="0006"/>
    <d v="2034-08-28T00:00:00"/>
    <d v="2034-09-18T00:00:00"/>
    <x v="55"/>
    <s v="ganho de causa defesa"/>
    <d v="2034-12-10T00:00:00"/>
  </r>
  <r>
    <n v="71293"/>
    <x v="299"/>
    <n v="171"/>
    <d v="2034-07-21T00:00:00"/>
    <s v="0012"/>
    <d v="2034-09-10T00:00:00"/>
    <d v="2034-10-04T00:00:00"/>
    <x v="65"/>
    <n v="83629"/>
    <d v="2034-12-11T00:00:00"/>
  </r>
  <r>
    <n v="71294"/>
    <x v="300"/>
    <n v="139"/>
    <d v="2034-07-21T00:00:00"/>
    <s v="0006"/>
    <d v="2034-09-18T00:00:00"/>
    <d v="2034-10-11T00:00:00"/>
    <x v="80"/>
    <s v="ganho de causa defesa"/>
    <d v="2034-12-28T00:00:00"/>
  </r>
  <r>
    <n v="71295"/>
    <x v="301"/>
    <n v="220"/>
    <d v="2034-07-22T00:00:00"/>
    <s v="0009"/>
    <d v="2034-08-22T00:00:00"/>
    <d v="2034-09-09T00:00:00"/>
    <x v="48"/>
    <s v="ganho de causa defesa"/>
    <d v="2034-10-25T00:00:00"/>
  </r>
  <r>
    <n v="71296"/>
    <x v="302"/>
    <n v="80"/>
    <d v="2034-07-22T00:00:00"/>
    <s v="0004"/>
    <d v="2034-09-15T00:00:00"/>
    <d v="2034-09-30T00:00:00"/>
    <x v="75"/>
    <n v="129696"/>
    <d v="2034-12-01T00:00:00"/>
  </r>
  <r>
    <n v="71297"/>
    <x v="303"/>
    <n v="306"/>
    <d v="2034-07-22T00:00:00"/>
    <s v="0006"/>
    <d v="2034-08-25T00:00:00"/>
    <d v="2034-09-19T00:00:00"/>
    <x v="53"/>
    <s v="ganho de causa defesa"/>
    <d v="2034-11-28T00:00:00"/>
  </r>
  <r>
    <n v="71298"/>
    <x v="304"/>
    <n v="12"/>
    <d v="2034-07-22T00:00:00"/>
    <s v="0007"/>
    <d v="2034-09-17T00:00:00"/>
    <d v="2034-10-09T00:00:00"/>
    <x v="81"/>
    <s v="ganho de causa defesa"/>
    <d v="2035-01-06T00:00:00"/>
  </r>
  <r>
    <n v="71299"/>
    <x v="305"/>
    <n v="113"/>
    <d v="2034-07-22T00:00:00"/>
    <s v="0013"/>
    <d v="2034-09-18T00:00:00"/>
    <d v="2034-10-10T00:00:00"/>
    <x v="82"/>
    <s v="ganho de causa defesa"/>
    <d v="2034-12-16T00:00:00"/>
  </r>
  <r>
    <n v="71300"/>
    <x v="306"/>
    <n v="161"/>
    <d v="2034-07-23T00:00:00"/>
    <s v="0008"/>
    <d v="2034-08-30T00:00:00"/>
    <d v="2034-09-23T00:00:00"/>
    <x v="60"/>
    <n v="60662"/>
    <d v="2034-11-24T00:00:00"/>
  </r>
  <r>
    <n v="71301"/>
    <x v="307"/>
    <n v="312"/>
    <d v="2034-07-23T00:00:00"/>
    <s v="0005"/>
    <d v="2034-08-22T00:00:00"/>
    <d v="2034-09-18T00:00:00"/>
    <x v="52"/>
    <n v="74746"/>
    <d v="2034-11-28T00:00:00"/>
  </r>
  <r>
    <n v="71302"/>
    <x v="308"/>
    <n v="299"/>
    <d v="2034-07-23T00:00:00"/>
    <s v="0012"/>
    <d v="2034-09-10T00:00:00"/>
    <d v="2034-10-08T00:00:00"/>
    <x v="68"/>
    <s v="ganho de causa defesa"/>
    <d v="2034-12-19T00:00:00"/>
  </r>
  <r>
    <n v="71303"/>
    <x v="309"/>
    <n v="258"/>
    <d v="2034-07-23T00:00:00"/>
    <s v="0013"/>
    <d v="2034-09-10T00:00:00"/>
    <d v="2034-10-09T00:00:00"/>
    <x v="83"/>
    <n v="32108"/>
    <d v="2034-12-06T00:00:00"/>
  </r>
  <r>
    <n v="71304"/>
    <x v="310"/>
    <n v="117"/>
    <d v="2034-07-23T00:00:00"/>
    <s v="0013"/>
    <d v="2034-09-02T00:00:00"/>
    <d v="2034-09-26T00:00:00"/>
    <x v="71"/>
    <s v="ganho de causa defesa"/>
    <d v="2034-11-29T00:00:00"/>
  </r>
  <r>
    <n v="71305"/>
    <x v="311"/>
    <n v="298"/>
    <d v="2034-07-23T00:00:00"/>
    <s v="0017"/>
    <d v="2034-09-19T00:00:00"/>
    <d v="2034-10-14T00:00:00"/>
    <x v="84"/>
    <s v="ganho de causa defesa"/>
    <d v="2035-01-10T00:00:00"/>
  </r>
  <r>
    <n v="71306"/>
    <x v="312"/>
    <n v="200"/>
    <d v="2034-07-23T00:00:00"/>
    <s v="0013"/>
    <d v="2034-09-11T00:00:00"/>
    <d v="2034-10-06T00:00:00"/>
    <x v="74"/>
    <s v="ganho de causa defesa"/>
    <d v="2034-12-18T00:00:00"/>
  </r>
  <r>
    <n v="71307"/>
    <x v="313"/>
    <n v="60"/>
    <d v="2034-07-23T00:00:00"/>
    <s v="0001"/>
    <d v="2034-09-18T00:00:00"/>
    <d v="2034-10-13T00:00:00"/>
    <x v="80"/>
    <s v="ganho de causa defesa"/>
    <d v="2034-12-14T00:00:00"/>
  </r>
  <r>
    <n v="71308"/>
    <x v="314"/>
    <n v="70"/>
    <d v="2034-07-24T00:00:00"/>
    <s v="0014"/>
    <d v="2034-08-26T00:00:00"/>
    <d v="2034-09-19T00:00:00"/>
    <x v="53"/>
    <n v="73076"/>
    <d v="2034-11-16T00:00:00"/>
  </r>
  <r>
    <n v="71309"/>
    <x v="315"/>
    <n v="276"/>
    <d v="2034-07-24T00:00:00"/>
    <s v="0002"/>
    <d v="2034-08-27T00:00:00"/>
    <d v="2034-09-22T00:00:00"/>
    <x v="52"/>
    <s v="ganho de causa defesa"/>
    <d v="2034-11-27T00:00:00"/>
  </r>
  <r>
    <n v="71310"/>
    <x v="316"/>
    <n v="309"/>
    <d v="2034-07-24T00:00:00"/>
    <s v="0018"/>
    <d v="2034-08-31T00:00:00"/>
    <d v="2034-09-23T00:00:00"/>
    <x v="85"/>
    <n v="139903"/>
    <d v="2034-12-06T00:00:00"/>
  </r>
  <r>
    <n v="71311"/>
    <x v="317"/>
    <n v="139"/>
    <d v="2034-07-24T00:00:00"/>
    <s v="0015"/>
    <d v="2034-09-08T00:00:00"/>
    <d v="2034-09-29T00:00:00"/>
    <x v="66"/>
    <s v="ganho de causa defesa"/>
    <d v="2034-12-07T00:00:00"/>
  </r>
  <r>
    <n v="71312"/>
    <x v="318"/>
    <n v="52"/>
    <d v="2034-07-24T00:00:00"/>
    <s v="0008"/>
    <d v="2034-09-22T00:00:00"/>
    <d v="2034-10-08T00:00:00"/>
    <x v="86"/>
    <s v="ganho de causa defesa"/>
    <d v="2034-12-30T00:00:00"/>
  </r>
  <r>
    <n v="71313"/>
    <x v="319"/>
    <n v="237"/>
    <d v="2034-07-24T00:00:00"/>
    <s v="0015"/>
    <d v="2034-09-12T00:00:00"/>
    <d v="2034-10-06T00:00:00"/>
    <x v="74"/>
    <s v="ganho de causa defesa"/>
    <d v="2034-12-04T00:00:00"/>
  </r>
  <r>
    <n v="71314"/>
    <x v="320"/>
    <n v="58"/>
    <d v="2034-07-25T00:00:00"/>
    <s v="0008"/>
    <d v="2034-08-28T00:00:00"/>
    <d v="2034-09-16T00:00:00"/>
    <x v="55"/>
    <s v="ganho de causa defesa"/>
    <d v="2034-12-10T00:00:00"/>
  </r>
  <r>
    <n v="71315"/>
    <x v="321"/>
    <n v="193"/>
    <d v="2034-07-25T00:00:00"/>
    <s v="0008"/>
    <d v="2034-09-17T00:00:00"/>
    <d v="2034-10-13T00:00:00"/>
    <x v="81"/>
    <n v="31225"/>
    <d v="2034-12-20T00:00:00"/>
  </r>
  <r>
    <n v="71316"/>
    <x v="322"/>
    <n v="287"/>
    <d v="2034-07-25T00:00:00"/>
    <s v="0012"/>
    <d v="2034-09-02T00:00:00"/>
    <d v="2034-09-30T00:00:00"/>
    <x v="73"/>
    <n v="85898"/>
    <d v="2034-11-25T00:00:00"/>
  </r>
  <r>
    <n v="71317"/>
    <x v="323"/>
    <n v="22"/>
    <d v="2034-07-25T00:00:00"/>
    <s v="0003"/>
    <d v="2034-09-11T00:00:00"/>
    <d v="2034-10-10T00:00:00"/>
    <x v="72"/>
    <n v="146837"/>
    <d v="2034-12-13T00:00:00"/>
  </r>
  <r>
    <n v="71318"/>
    <x v="324"/>
    <n v="294"/>
    <d v="2034-07-26T00:00:00"/>
    <s v="0017"/>
    <d v="2034-08-27T00:00:00"/>
    <d v="2034-09-12T00:00:00"/>
    <x v="55"/>
    <s v="ganho de causa defesa"/>
    <d v="2034-12-11T00:00:00"/>
  </r>
  <r>
    <n v="71319"/>
    <x v="325"/>
    <n v="229"/>
    <d v="2034-07-26T00:00:00"/>
    <s v="0011"/>
    <d v="2034-09-13T00:00:00"/>
    <d v="2034-10-01T00:00:00"/>
    <x v="87"/>
    <n v="11589"/>
    <d v="2034-12-23T00:00:00"/>
  </r>
  <r>
    <n v="71320"/>
    <x v="326"/>
    <n v="303"/>
    <d v="2034-07-26T00:00:00"/>
    <s v="0007"/>
    <d v="2034-09-11T00:00:00"/>
    <d v="2034-10-06T00:00:00"/>
    <x v="88"/>
    <s v="ganho de causa defesa"/>
    <d v="2034-12-22T00:00:00"/>
  </r>
  <r>
    <n v="71321"/>
    <x v="327"/>
    <n v="274"/>
    <d v="2034-07-26T00:00:00"/>
    <s v="0015"/>
    <d v="2034-09-18T00:00:00"/>
    <d v="2034-10-09T00:00:00"/>
    <x v="75"/>
    <s v="ganho de causa defesa"/>
    <d v="2034-11-25T00:00:00"/>
  </r>
  <r>
    <n v="71322"/>
    <x v="328"/>
    <n v="127"/>
    <d v="2034-07-26T00:00:00"/>
    <s v="0005"/>
    <d v="2034-09-04T00:00:00"/>
    <d v="2034-09-25T00:00:00"/>
    <x v="79"/>
    <s v="ganho de causa defesa"/>
    <d v="2034-12-08T00:00:00"/>
  </r>
  <r>
    <n v="71323"/>
    <x v="329"/>
    <n v="143"/>
    <d v="2034-07-26T00:00:00"/>
    <s v="0008"/>
    <d v="2034-09-13T00:00:00"/>
    <d v="2034-10-11T00:00:00"/>
    <x v="87"/>
    <n v="73798"/>
    <d v="2034-12-28T00:00:00"/>
  </r>
  <r>
    <n v="71324"/>
    <x v="330"/>
    <n v="77"/>
    <d v="2034-07-27T00:00:00"/>
    <s v="0002"/>
    <d v="2034-09-09T00:00:00"/>
    <d v="2034-10-04T00:00:00"/>
    <x v="87"/>
    <s v="ganho de causa defesa"/>
    <d v="2034-12-03T00:00:00"/>
  </r>
  <r>
    <n v="71325"/>
    <x v="331"/>
    <n v="138"/>
    <d v="2034-07-27T00:00:00"/>
    <s v="0015"/>
    <d v="2034-09-15T00:00:00"/>
    <d v="2034-10-02T00:00:00"/>
    <x v="72"/>
    <n v="108134"/>
    <d v="2034-12-12T00:00:00"/>
  </r>
  <r>
    <n v="71326"/>
    <x v="332"/>
    <n v="106"/>
    <d v="2034-07-27T00:00:00"/>
    <s v="0005"/>
    <d v="2034-09-23T00:00:00"/>
    <d v="2034-10-12T00:00:00"/>
    <x v="83"/>
    <n v="99804"/>
    <d v="2034-12-30T00:00:00"/>
  </r>
  <r>
    <n v="71327"/>
    <x v="333"/>
    <n v="69"/>
    <d v="2034-07-28T00:00:00"/>
    <s v="0011"/>
    <d v="2034-09-01T00:00:00"/>
    <d v="2034-09-17T00:00:00"/>
    <x v="62"/>
    <s v="ganho de causa defesa"/>
    <d v="2034-11-30T00:00:00"/>
  </r>
  <r>
    <n v="71328"/>
    <x v="334"/>
    <n v="0"/>
    <d v="2034-07-29T00:00:00"/>
    <s v="0005"/>
    <d v="2034-08-31T00:00:00"/>
    <d v="2034-09-25T00:00:00"/>
    <x v="62"/>
    <n v="114042"/>
    <d v="2034-12-10T00:00:00"/>
  </r>
  <r>
    <n v="71329"/>
    <x v="335"/>
    <n v="311"/>
    <d v="2034-07-29T00:00:00"/>
    <s v="0002"/>
    <d v="2034-09-03T00:00:00"/>
    <d v="2034-09-19T00:00:00"/>
    <x v="66"/>
    <s v="ganho de causa defesa"/>
    <d v="2034-12-03T00:00:00"/>
  </r>
  <r>
    <n v="71330"/>
    <x v="336"/>
    <n v="308"/>
    <d v="2034-07-29T00:00:00"/>
    <s v="0013"/>
    <d v="2034-09-21T00:00:00"/>
    <d v="2034-10-11T00:00:00"/>
    <x v="89"/>
    <s v="ganho de causa defesa"/>
    <d v="2034-12-22T00:00:00"/>
  </r>
  <r>
    <n v="71331"/>
    <x v="337"/>
    <n v="60"/>
    <d v="2034-07-29T00:00:00"/>
    <s v="0003"/>
    <d v="2034-08-31T00:00:00"/>
    <d v="2034-09-22T00:00:00"/>
    <x v="85"/>
    <n v="142954"/>
    <d v="2034-12-05T00:00:00"/>
  </r>
  <r>
    <n v="71332"/>
    <x v="338"/>
    <n v="303"/>
    <d v="2034-07-29T00:00:00"/>
    <s v="0009"/>
    <d v="2034-09-12T00:00:00"/>
    <d v="2034-10-02T00:00:00"/>
    <x v="74"/>
    <n v="75259"/>
    <d v="2034-12-14T00:00:00"/>
  </r>
  <r>
    <n v="71333"/>
    <x v="339"/>
    <n v="284"/>
    <d v="2034-07-29T00:00:00"/>
    <s v="0003"/>
    <d v="2034-09-13T00:00:00"/>
    <d v="2034-10-12T00:00:00"/>
    <x v="67"/>
    <n v="33800"/>
    <d v="2034-12-30T00:00:00"/>
  </r>
  <r>
    <n v="71334"/>
    <x v="340"/>
    <n v="98"/>
    <d v="2034-07-29T00:00:00"/>
    <s v="0017"/>
    <d v="2034-09-17T00:00:00"/>
    <d v="2034-10-13T00:00:00"/>
    <x v="80"/>
    <n v="5355"/>
    <d v="2035-01-04T00:00:00"/>
  </r>
  <r>
    <n v="71335"/>
    <x v="341"/>
    <n v="226"/>
    <d v="2034-07-29T00:00:00"/>
    <s v="0001"/>
    <d v="2034-09-01T00:00:00"/>
    <d v="2034-09-26T00:00:00"/>
    <x v="55"/>
    <n v="113225"/>
    <d v="2034-12-04T00:00:00"/>
  </r>
  <r>
    <n v="71336"/>
    <x v="342"/>
    <n v="69"/>
    <d v="2034-07-30T00:00:00"/>
    <s v="0002"/>
    <d v="2034-09-16T00:00:00"/>
    <d v="2034-10-01T00:00:00"/>
    <x v="65"/>
    <n v="123840"/>
    <d v="2034-11-23T00:00:00"/>
  </r>
  <r>
    <n v="71337"/>
    <x v="343"/>
    <n v="309"/>
    <d v="2034-07-30T00:00:00"/>
    <s v="0013"/>
    <d v="2034-09-07T00:00:00"/>
    <d v="2034-10-05T00:00:00"/>
    <x v="82"/>
    <s v="ganho de causa defesa"/>
    <d v="2034-12-21T00:00:00"/>
  </r>
  <r>
    <n v="71338"/>
    <x v="344"/>
    <n v="49"/>
    <d v="2034-07-30T00:00:00"/>
    <s v="0008"/>
    <d v="2034-09-22T00:00:00"/>
    <d v="2034-10-14T00:00:00"/>
    <x v="90"/>
    <n v="71328"/>
    <d v="2034-12-12T00:00:00"/>
  </r>
  <r>
    <n v="71339"/>
    <x v="345"/>
    <n v="154"/>
    <d v="2034-07-30T00:00:00"/>
    <s v="0016"/>
    <d v="2034-09-04T00:00:00"/>
    <d v="2034-09-23T00:00:00"/>
    <x v="73"/>
    <n v="11394"/>
    <d v="2034-11-27T00:00:00"/>
  </r>
  <r>
    <n v="71340"/>
    <x v="346"/>
    <n v="108"/>
    <d v="2034-07-31T00:00:00"/>
    <s v="0013"/>
    <d v="2034-09-05T00:00:00"/>
    <d v="2034-09-30T00:00:00"/>
    <x v="57"/>
    <s v="ganho de causa defesa"/>
    <d v="2034-11-23T00:00:00"/>
  </r>
  <r>
    <n v="71341"/>
    <x v="347"/>
    <n v="222"/>
    <d v="2034-07-31T00:00:00"/>
    <s v="0002"/>
    <d v="2034-09-20T00:00:00"/>
    <d v="2034-10-09T00:00:00"/>
    <x v="87"/>
    <s v="ganho de causa defesa"/>
    <d v="2034-12-26T00:00:00"/>
  </r>
  <r>
    <n v="71342"/>
    <x v="348"/>
    <n v="224"/>
    <d v="2034-07-31T00:00:00"/>
    <s v="0003"/>
    <d v="2034-09-17T00:00:00"/>
    <d v="2034-10-07T00:00:00"/>
    <x v="77"/>
    <s v="ganho de causa defesa"/>
    <d v="2034-12-16T00:00:00"/>
  </r>
  <r>
    <n v="71343"/>
    <x v="349"/>
    <n v="287"/>
    <d v="2034-08-01T00:00:00"/>
    <s v="0014"/>
    <d v="2034-09-02T00:00:00"/>
    <d v="2034-09-19T00:00:00"/>
    <x v="55"/>
    <s v="ganho de causa defesa"/>
    <d v="2034-11-28T00:00:00"/>
  </r>
  <r>
    <n v="71344"/>
    <x v="350"/>
    <n v="288"/>
    <d v="2034-08-01T00:00:00"/>
    <s v="0015"/>
    <d v="2034-09-30T00:00:00"/>
    <d v="2034-10-23T00:00:00"/>
    <x v="91"/>
    <s v="ganho de causa defesa"/>
    <d v="2035-01-14T00:00:00"/>
  </r>
  <r>
    <n v="71345"/>
    <x v="351"/>
    <n v="200"/>
    <d v="2034-08-01T00:00:00"/>
    <s v="0008"/>
    <d v="2034-09-27T00:00:00"/>
    <d v="2034-10-16T00:00:00"/>
    <x v="87"/>
    <n v="141066"/>
    <d v="2034-12-28T00:00:00"/>
  </r>
  <r>
    <n v="71346"/>
    <x v="352"/>
    <n v="327"/>
    <d v="2034-08-01T00:00:00"/>
    <s v="0011"/>
    <d v="2034-09-26T00:00:00"/>
    <d v="2034-10-15T00:00:00"/>
    <x v="92"/>
    <n v="27626"/>
    <d v="2034-12-31T00:00:00"/>
  </r>
  <r>
    <n v="71347"/>
    <x v="353"/>
    <n v="277"/>
    <d v="2034-08-01T00:00:00"/>
    <s v="0016"/>
    <d v="2034-09-27T00:00:00"/>
    <d v="2034-10-12T00:00:00"/>
    <x v="69"/>
    <n v="55196"/>
    <d v="2034-12-08T00:00:00"/>
  </r>
  <r>
    <n v="71348"/>
    <x v="354"/>
    <n v="7"/>
    <d v="2034-08-01T00:00:00"/>
    <s v="0002"/>
    <d v="2034-09-11T00:00:00"/>
    <d v="2034-10-03T00:00:00"/>
    <x v="82"/>
    <n v="7182"/>
    <d v="2034-12-29T00:00:00"/>
  </r>
  <r>
    <n v="71349"/>
    <x v="355"/>
    <n v="211"/>
    <d v="2034-08-01T00:00:00"/>
    <s v="0018"/>
    <d v="2034-09-21T00:00:00"/>
    <d v="2034-10-16T00:00:00"/>
    <x v="93"/>
    <s v="ganho de causa defesa"/>
    <d v="2034-12-23T00:00:00"/>
  </r>
  <r>
    <n v="71350"/>
    <x v="356"/>
    <n v="87"/>
    <d v="2034-08-02T00:00:00"/>
    <s v="0007"/>
    <d v="2034-09-03T00:00:00"/>
    <d v="2034-09-18T00:00:00"/>
    <x v="66"/>
    <n v="31697"/>
    <d v="2034-12-11T00:00:00"/>
  </r>
  <r>
    <n v="71351"/>
    <x v="357"/>
    <n v="261"/>
    <d v="2034-08-02T00:00:00"/>
    <s v="0010"/>
    <d v="2034-09-25T00:00:00"/>
    <d v="2034-10-18T00:00:00"/>
    <x v="94"/>
    <n v="55439"/>
    <d v="2035-01-03T00:00:00"/>
  </r>
  <r>
    <n v="71352"/>
    <x v="358"/>
    <n v="196"/>
    <d v="2034-08-02T00:00:00"/>
    <s v="0008"/>
    <d v="2034-09-04T00:00:00"/>
    <d v="2034-09-20T00:00:00"/>
    <x v="61"/>
    <s v="ganho de causa defesa"/>
    <d v="2034-11-27T00:00:00"/>
  </r>
  <r>
    <n v="71353"/>
    <x v="359"/>
    <n v="58"/>
    <d v="2034-08-02T00:00:00"/>
    <s v="0017"/>
    <d v="2034-09-25T00:00:00"/>
    <d v="2034-10-10T00:00:00"/>
    <x v="90"/>
    <s v="ganho de causa defesa"/>
    <d v="2034-12-12T00:00:00"/>
  </r>
  <r>
    <n v="71354"/>
    <x v="360"/>
    <n v="143"/>
    <d v="2034-08-02T00:00:00"/>
    <s v="0010"/>
    <d v="2034-09-22T00:00:00"/>
    <d v="2034-10-09T00:00:00"/>
    <x v="82"/>
    <n v="38950"/>
    <d v="2034-12-06T00:00:00"/>
  </r>
  <r>
    <n v="71355"/>
    <x v="361"/>
    <n v="234"/>
    <d v="2034-08-02T00:00:00"/>
    <s v="0005"/>
    <d v="2034-09-05T00:00:00"/>
    <d v="2034-10-03T00:00:00"/>
    <x v="73"/>
    <n v="66806"/>
    <d v="2034-12-08T00:00:00"/>
  </r>
  <r>
    <n v="71356"/>
    <x v="362"/>
    <n v="137"/>
    <d v="2034-08-02T00:00:00"/>
    <s v="0013"/>
    <d v="2034-09-03T00:00:00"/>
    <d v="2034-09-26T00:00:00"/>
    <x v="76"/>
    <n v="135964"/>
    <d v="2034-11-29T00:00:00"/>
  </r>
  <r>
    <n v="71357"/>
    <x v="363"/>
    <n v="131"/>
    <d v="2034-08-02T00:00:00"/>
    <s v="0008"/>
    <d v="2034-09-28T00:00:00"/>
    <d v="2034-10-16T00:00:00"/>
    <x v="82"/>
    <n v="56737"/>
    <d v="2034-12-02T00:00:00"/>
  </r>
  <r>
    <n v="71358"/>
    <x v="364"/>
    <n v="146"/>
    <d v="2034-08-02T00:00:00"/>
    <s v="0005"/>
    <d v="2034-09-30T00:00:00"/>
    <d v="2034-10-15T00:00:00"/>
    <x v="92"/>
    <s v="ganho de causa defesa"/>
    <d v="2034-12-11T00:00:00"/>
  </r>
  <r>
    <n v="71359"/>
    <x v="365"/>
    <n v="262"/>
    <d v="2034-08-03T00:00:00"/>
    <s v="0001"/>
    <d v="2034-09-04T00:00:00"/>
    <d v="2034-09-21T00:00:00"/>
    <x v="56"/>
    <s v="ganho de causa defesa"/>
    <d v="2034-11-22T00:00:00"/>
  </r>
  <r>
    <n v="71360"/>
    <x v="366"/>
    <n v="105"/>
    <d v="2034-08-03T00:00:00"/>
    <s v="0015"/>
    <d v="2034-10-02T00:00:00"/>
    <d v="2034-11-01T00:00:00"/>
    <x v="95"/>
    <n v="1920"/>
    <d v="2034-12-30T00:00:00"/>
  </r>
  <r>
    <n v="71361"/>
    <x v="367"/>
    <n v="85"/>
    <d v="2034-08-03T00:00:00"/>
    <s v="0011"/>
    <d v="2034-09-03T00:00:00"/>
    <d v="2034-09-29T00:00:00"/>
    <x v="96"/>
    <n v="75931"/>
    <d v="2034-11-25T00:00:00"/>
  </r>
  <r>
    <n v="71362"/>
    <x v="368"/>
    <n v="206"/>
    <d v="2034-08-03T00:00:00"/>
    <s v="0012"/>
    <d v="2034-09-02T00:00:00"/>
    <d v="2034-09-28T00:00:00"/>
    <x v="72"/>
    <n v="76730"/>
    <d v="2034-12-23T00:00:00"/>
  </r>
  <r>
    <n v="71363"/>
    <x v="369"/>
    <n v="43"/>
    <d v="2034-08-03T00:00:00"/>
    <s v="0010"/>
    <d v="2034-09-08T00:00:00"/>
    <d v="2034-09-27T00:00:00"/>
    <x v="85"/>
    <s v="ganho de causa defesa"/>
    <d v="2034-12-16T00:00:00"/>
  </r>
  <r>
    <n v="71364"/>
    <x v="370"/>
    <n v="291"/>
    <d v="2034-08-03T00:00:00"/>
    <s v="0001"/>
    <d v="2034-09-09T00:00:00"/>
    <d v="2034-10-01T00:00:00"/>
    <x v="76"/>
    <s v="ganho de causa defesa"/>
    <d v="2034-12-07T00:00:00"/>
  </r>
  <r>
    <n v="71365"/>
    <x v="371"/>
    <n v="152"/>
    <d v="2034-08-03T00:00:00"/>
    <s v="0009"/>
    <d v="2034-09-29T00:00:00"/>
    <d v="2034-10-15T00:00:00"/>
    <x v="84"/>
    <n v="53790"/>
    <d v="2034-12-20T00:00:00"/>
  </r>
  <r>
    <n v="71366"/>
    <x v="372"/>
    <n v="305"/>
    <d v="2034-08-03T00:00:00"/>
    <s v="0018"/>
    <d v="2034-09-18T00:00:00"/>
    <d v="2034-10-12T00:00:00"/>
    <x v="80"/>
    <n v="16256"/>
    <d v="2034-12-29T00:00:00"/>
  </r>
  <r>
    <n v="71367"/>
    <x v="373"/>
    <n v="7"/>
    <d v="2034-08-04T00:00:00"/>
    <s v="0012"/>
    <d v="2034-09-08T00:00:00"/>
    <d v="2034-10-06T00:00:00"/>
    <x v="73"/>
    <s v="ganho de causa defesa"/>
    <d v="2034-12-18T00:00:00"/>
  </r>
  <r>
    <n v="71368"/>
    <x v="374"/>
    <n v="140"/>
    <d v="2034-08-04T00:00:00"/>
    <s v="0015"/>
    <d v="2034-09-28T00:00:00"/>
    <d v="2034-10-28T00:00:00"/>
    <x v="97"/>
    <s v="ganho de causa defesa"/>
    <d v="2035-01-09T00:00:00"/>
  </r>
  <r>
    <n v="71369"/>
    <x v="375"/>
    <n v="62"/>
    <d v="2034-08-04T00:00:00"/>
    <s v="0003"/>
    <d v="2034-09-13T00:00:00"/>
    <d v="2034-09-28T00:00:00"/>
    <x v="72"/>
    <n v="52667"/>
    <d v="2034-12-07T00:00:00"/>
  </r>
  <r>
    <n v="71370"/>
    <x v="376"/>
    <n v="184"/>
    <d v="2034-08-04T00:00:00"/>
    <s v="0007"/>
    <d v="2034-09-30T00:00:00"/>
    <d v="2034-10-27T00:00:00"/>
    <x v="95"/>
    <n v="126694"/>
    <d v="2035-01-08T00:00:00"/>
  </r>
  <r>
    <n v="71371"/>
    <x v="377"/>
    <n v="236"/>
    <d v="2034-08-04T00:00:00"/>
    <s v="0013"/>
    <d v="2034-09-09T00:00:00"/>
    <d v="2034-10-05T00:00:00"/>
    <x v="67"/>
    <n v="61946"/>
    <d v="2034-12-22T00:00:00"/>
  </r>
  <r>
    <n v="71372"/>
    <x v="378"/>
    <n v="105"/>
    <d v="2034-08-05T00:00:00"/>
    <s v="0015"/>
    <d v="2034-09-17T00:00:00"/>
    <d v="2034-10-12T00:00:00"/>
    <x v="81"/>
    <s v="ganho de causa defesa"/>
    <d v="2035-01-01T00:00:00"/>
  </r>
  <r>
    <n v="71373"/>
    <x v="379"/>
    <n v="202"/>
    <d v="2034-08-05T00:00:00"/>
    <s v="0009"/>
    <d v="2034-09-23T00:00:00"/>
    <d v="2034-10-13T00:00:00"/>
    <x v="90"/>
    <s v="ganho de causa defesa"/>
    <d v="2034-12-30T00:00:00"/>
  </r>
  <r>
    <n v="71374"/>
    <x v="380"/>
    <n v="156"/>
    <d v="2034-08-05T00:00:00"/>
    <s v="0005"/>
    <d v="2034-09-30T00:00:00"/>
    <d v="2034-10-15T00:00:00"/>
    <x v="81"/>
    <n v="49551"/>
    <d v="2034-12-14T00:00:00"/>
  </r>
  <r>
    <n v="71375"/>
    <x v="381"/>
    <n v="184"/>
    <d v="2034-08-05T00:00:00"/>
    <s v="0009"/>
    <d v="2034-09-28T00:00:00"/>
    <d v="2034-10-18T00:00:00"/>
    <x v="90"/>
    <n v="99449"/>
    <d v="2034-12-24T00:00:00"/>
  </r>
  <r>
    <n v="71376"/>
    <x v="382"/>
    <n v="279"/>
    <d v="2034-08-05T00:00:00"/>
    <s v="0009"/>
    <d v="2034-09-12T00:00:00"/>
    <d v="2034-10-09T00:00:00"/>
    <x v="86"/>
    <s v="ganho de causa defesa"/>
    <d v="2034-12-10T00:00:00"/>
  </r>
  <r>
    <n v="71377"/>
    <x v="383"/>
    <n v="311"/>
    <d v="2034-08-05T00:00:00"/>
    <s v="0007"/>
    <d v="2034-09-21T00:00:00"/>
    <d v="2034-10-10T00:00:00"/>
    <x v="70"/>
    <n v="71184"/>
    <d v="2034-12-20T00:00:00"/>
  </r>
  <r>
    <n v="71378"/>
    <x v="384"/>
    <n v="149"/>
    <d v="2034-08-06T00:00:00"/>
    <s v="0013"/>
    <d v="2034-09-05T00:00:00"/>
    <d v="2034-09-22T00:00:00"/>
    <x v="56"/>
    <s v="ganho de causa defesa"/>
    <d v="2034-12-05T00:00:00"/>
  </r>
  <r>
    <n v="71379"/>
    <x v="385"/>
    <n v="292"/>
    <d v="2034-08-06T00:00:00"/>
    <s v="0018"/>
    <d v="2034-09-24T00:00:00"/>
    <d v="2034-10-24T00:00:00"/>
    <x v="93"/>
    <n v="81176"/>
    <d v="2035-01-07T00:00:00"/>
  </r>
  <r>
    <n v="71380"/>
    <x v="386"/>
    <n v="49"/>
    <d v="2034-08-06T00:00:00"/>
    <s v="0008"/>
    <d v="2034-09-07T00:00:00"/>
    <d v="2034-09-28T00:00:00"/>
    <x v="73"/>
    <n v="49199"/>
    <d v="2034-12-11T00:00:00"/>
  </r>
  <r>
    <n v="71381"/>
    <x v="387"/>
    <n v="75"/>
    <d v="2034-08-06T00:00:00"/>
    <s v="0002"/>
    <d v="2034-09-14T00:00:00"/>
    <d v="2034-10-08T00:00:00"/>
    <x v="98"/>
    <n v="87450"/>
    <d v="2034-12-31T00:00:00"/>
  </r>
  <r>
    <n v="71382"/>
    <x v="388"/>
    <n v="59"/>
    <d v="2034-08-06T00:00:00"/>
    <s v="0007"/>
    <d v="2034-09-09T00:00:00"/>
    <d v="2034-10-07T00:00:00"/>
    <x v="65"/>
    <n v="31637"/>
    <d v="2034-12-08T00:00:00"/>
  </r>
  <r>
    <n v="71383"/>
    <x v="389"/>
    <n v="314"/>
    <d v="2034-08-06T00:00:00"/>
    <s v="0018"/>
    <d v="2034-09-29T00:00:00"/>
    <d v="2034-10-24T00:00:00"/>
    <x v="91"/>
    <n v="36836"/>
    <d v="2034-12-30T00:00:00"/>
  </r>
  <r>
    <n v="71384"/>
    <x v="390"/>
    <n v="55"/>
    <d v="2034-08-07T00:00:00"/>
    <s v="0018"/>
    <d v="2034-09-20T00:00:00"/>
    <d v="2034-10-09T00:00:00"/>
    <x v="75"/>
    <s v="ganho de causa defesa"/>
    <d v="2034-12-20T00:00:00"/>
  </r>
  <r>
    <n v="71385"/>
    <x v="391"/>
    <n v="76"/>
    <d v="2034-08-07T00:00:00"/>
    <s v="0008"/>
    <d v="2034-10-05T00:00:00"/>
    <d v="2034-11-02T00:00:00"/>
    <x v="99"/>
    <n v="46933"/>
    <d v="2035-01-01T00:00:00"/>
  </r>
  <r>
    <n v="71386"/>
    <x v="392"/>
    <n v="16"/>
    <d v="2034-08-07T00:00:00"/>
    <s v="0017"/>
    <d v="2034-09-21T00:00:00"/>
    <d v="2034-10-06T00:00:00"/>
    <x v="75"/>
    <n v="33663"/>
    <d v="2034-12-22T00:00:00"/>
  </r>
  <r>
    <n v="71387"/>
    <x v="393"/>
    <n v="160"/>
    <d v="2034-08-07T00:00:00"/>
    <s v="0011"/>
    <d v="2034-09-15T00:00:00"/>
    <d v="2034-10-09T00:00:00"/>
    <x v="88"/>
    <s v="ganho de causa defesa"/>
    <d v="2034-12-09T00:00:00"/>
  </r>
  <r>
    <n v="71388"/>
    <x v="394"/>
    <n v="270"/>
    <d v="2034-08-07T00:00:00"/>
    <s v="0002"/>
    <d v="2034-09-07T00:00:00"/>
    <d v="2034-09-24T00:00:00"/>
    <x v="64"/>
    <n v="68361"/>
    <d v="2034-11-27T00:00:00"/>
  </r>
  <r>
    <n v="71389"/>
    <x v="395"/>
    <n v="81"/>
    <d v="2034-08-07T00:00:00"/>
    <s v="0010"/>
    <d v="2034-10-03T00:00:00"/>
    <d v="2034-10-25T00:00:00"/>
    <x v="97"/>
    <n v="75636"/>
    <d v="2035-01-04T00:00:00"/>
  </r>
  <r>
    <n v="71390"/>
    <x v="396"/>
    <n v="49"/>
    <d v="2034-08-07T00:00:00"/>
    <s v="0011"/>
    <d v="2034-09-18T00:00:00"/>
    <d v="2034-10-14T00:00:00"/>
    <x v="86"/>
    <n v="64359"/>
    <d v="2034-12-09T00:00:00"/>
  </r>
  <r>
    <n v="71391"/>
    <x v="397"/>
    <n v="318"/>
    <d v="2034-08-07T00:00:00"/>
    <s v="0001"/>
    <d v="2034-09-08T00:00:00"/>
    <d v="2034-09-28T00:00:00"/>
    <x v="68"/>
    <n v="22228"/>
    <d v="2034-12-17T00:00:00"/>
  </r>
  <r>
    <n v="71392"/>
    <x v="398"/>
    <n v="233"/>
    <d v="2034-08-08T00:00:00"/>
    <s v="0012"/>
    <d v="2034-09-30T00:00:00"/>
    <d v="2034-10-18T00:00:00"/>
    <x v="90"/>
    <n v="126926"/>
    <d v="2034-12-30T00:00:00"/>
  </r>
  <r>
    <n v="71393"/>
    <x v="399"/>
    <n v="212"/>
    <d v="2034-08-08T00:00:00"/>
    <s v="0011"/>
    <d v="2034-09-08T00:00:00"/>
    <d v="2034-09-29T00:00:00"/>
    <x v="57"/>
    <n v="20589"/>
    <d v="2034-11-24T00:00:00"/>
  </r>
  <r>
    <n v="71394"/>
    <x v="400"/>
    <n v="215"/>
    <d v="2034-08-08T00:00:00"/>
    <s v="0003"/>
    <d v="2034-09-11T00:00:00"/>
    <d v="2034-10-06T00:00:00"/>
    <x v="87"/>
    <n v="86025"/>
    <d v="2034-12-10T00:00:00"/>
  </r>
  <r>
    <n v="71395"/>
    <x v="401"/>
    <n v="152"/>
    <d v="2034-08-08T00:00:00"/>
    <s v="0011"/>
    <d v="2034-09-14T00:00:00"/>
    <d v="2034-10-08T00:00:00"/>
    <x v="82"/>
    <n v="67399"/>
    <d v="2034-12-20T00:00:00"/>
  </r>
  <r>
    <n v="71396"/>
    <x v="402"/>
    <n v="198"/>
    <d v="2034-08-08T00:00:00"/>
    <s v="0008"/>
    <d v="2034-09-28T00:00:00"/>
    <d v="2034-10-15T00:00:00"/>
    <x v="92"/>
    <n v="35829"/>
    <d v="2034-12-17T00:00:00"/>
  </r>
  <r>
    <n v="71397"/>
    <x v="403"/>
    <n v="39"/>
    <d v="2034-08-08T00:00:00"/>
    <s v="0006"/>
    <d v="2034-10-05T00:00:00"/>
    <d v="2034-10-22T00:00:00"/>
    <x v="97"/>
    <n v="25221"/>
    <d v="2034-12-22T00:00:00"/>
  </r>
  <r>
    <n v="71398"/>
    <x v="404"/>
    <n v="219"/>
    <d v="2034-08-08T00:00:00"/>
    <s v="0013"/>
    <d v="2034-09-18T00:00:00"/>
    <d v="2034-10-06T00:00:00"/>
    <x v="68"/>
    <n v="99009"/>
    <d v="2034-12-04T00:00:00"/>
  </r>
  <r>
    <n v="71399"/>
    <x v="405"/>
    <n v="241"/>
    <d v="2034-08-08T00:00:00"/>
    <s v="0010"/>
    <d v="2034-10-03T00:00:00"/>
    <d v="2034-10-30T00:00:00"/>
    <x v="100"/>
    <n v="83956"/>
    <d v="2035-01-02T00:00:00"/>
  </r>
  <r>
    <n v="71400"/>
    <x v="406"/>
    <n v="255"/>
    <d v="2034-08-09T00:00:00"/>
    <s v="0006"/>
    <d v="2034-09-19T00:00:00"/>
    <d v="2034-10-06T00:00:00"/>
    <x v="74"/>
    <n v="33252"/>
    <d v="2034-12-09T00:00:00"/>
  </r>
  <r>
    <n v="71401"/>
    <x v="407"/>
    <n v="19"/>
    <d v="2034-08-09T00:00:00"/>
    <s v="0013"/>
    <d v="2034-09-13T00:00:00"/>
    <d v="2034-09-28T00:00:00"/>
    <x v="76"/>
    <n v="130613"/>
    <d v="2034-11-26T00:00:00"/>
  </r>
  <r>
    <n v="71402"/>
    <x v="408"/>
    <n v="248"/>
    <d v="2034-08-09T00:00:00"/>
    <s v="0013"/>
    <d v="2034-09-27T00:00:00"/>
    <d v="2034-10-12T00:00:00"/>
    <x v="87"/>
    <n v="62710"/>
    <d v="2034-12-26T00:00:00"/>
  </r>
  <r>
    <n v="71403"/>
    <x v="409"/>
    <n v="129"/>
    <d v="2034-08-10T00:00:00"/>
    <s v="0001"/>
    <d v="2034-09-16T00:00:00"/>
    <d v="2034-10-12T00:00:00"/>
    <x v="87"/>
    <s v="ganho de causa defesa"/>
    <d v="2034-12-11T00:00:00"/>
  </r>
  <r>
    <n v="71404"/>
    <x v="410"/>
    <n v="333"/>
    <d v="2034-08-10T00:00:00"/>
    <s v="0015"/>
    <d v="2034-09-25T00:00:00"/>
    <d v="2034-10-23T00:00:00"/>
    <x v="84"/>
    <s v="ganho de causa defesa"/>
    <d v="2034-12-26T00:00:00"/>
  </r>
  <r>
    <n v="71405"/>
    <x v="411"/>
    <n v="224"/>
    <d v="2034-08-10T00:00:00"/>
    <s v="0001"/>
    <d v="2034-09-29T00:00:00"/>
    <d v="2034-10-26T00:00:00"/>
    <x v="97"/>
    <s v="ganho de causa defesa"/>
    <d v="2034-12-18T00:00:00"/>
  </r>
  <r>
    <n v="71406"/>
    <x v="412"/>
    <n v="138"/>
    <d v="2034-08-10T00:00:00"/>
    <s v="0012"/>
    <d v="2034-09-25T00:00:00"/>
    <d v="2034-10-12T00:00:00"/>
    <x v="67"/>
    <s v="ganho de causa defesa"/>
    <d v="2034-12-29T00:00:00"/>
  </r>
  <r>
    <n v="71407"/>
    <x v="413"/>
    <n v="278"/>
    <d v="2034-08-10T00:00:00"/>
    <s v="0006"/>
    <d v="2034-09-13T00:00:00"/>
    <d v="2034-09-30T00:00:00"/>
    <x v="73"/>
    <n v="129635"/>
    <d v="2034-12-05T00:00:00"/>
  </r>
  <r>
    <n v="71408"/>
    <x v="414"/>
    <n v="259"/>
    <d v="2034-08-10T00:00:00"/>
    <s v="0007"/>
    <d v="2034-09-18T00:00:00"/>
    <d v="2034-10-05T00:00:00"/>
    <x v="77"/>
    <n v="78972"/>
    <d v="2034-12-03T00:00:00"/>
  </r>
  <r>
    <n v="71409"/>
    <x v="415"/>
    <n v="82"/>
    <d v="2034-08-10T00:00:00"/>
    <s v="0003"/>
    <d v="2034-09-09T00:00:00"/>
    <d v="2034-10-06T00:00:00"/>
    <x v="65"/>
    <n v="33928"/>
    <d v="2034-12-04T00:00:00"/>
  </r>
  <r>
    <n v="71410"/>
    <x v="416"/>
    <n v="293"/>
    <d v="2034-08-11T00:00:00"/>
    <s v="0001"/>
    <d v="2034-10-01T00:00:00"/>
    <d v="2034-10-24T00:00:00"/>
    <x v="94"/>
    <n v="24095"/>
    <d v="2034-12-16T00:00:00"/>
  </r>
  <r>
    <n v="71411"/>
    <x v="417"/>
    <n v="36"/>
    <d v="2034-08-11T00:00:00"/>
    <s v="0011"/>
    <d v="2034-09-27T00:00:00"/>
    <d v="2034-10-22T00:00:00"/>
    <x v="101"/>
    <n v="67809"/>
    <d v="2034-12-17T00:00:00"/>
  </r>
  <r>
    <n v="71412"/>
    <x v="418"/>
    <n v="36"/>
    <d v="2034-08-11T00:00:00"/>
    <s v="0016"/>
    <d v="2034-09-25T00:00:00"/>
    <d v="2034-10-15T00:00:00"/>
    <x v="93"/>
    <s v="ganho de causa defesa"/>
    <d v="2035-01-02T00:00:00"/>
  </r>
  <r>
    <n v="71413"/>
    <x v="419"/>
    <n v="175"/>
    <d v="2034-08-11T00:00:00"/>
    <s v="0015"/>
    <d v="2034-09-29T00:00:00"/>
    <d v="2034-10-14T00:00:00"/>
    <x v="98"/>
    <n v="124736"/>
    <d v="2034-12-23T00:00:00"/>
  </r>
  <r>
    <n v="71414"/>
    <x v="420"/>
    <n v="77"/>
    <d v="2034-08-11T00:00:00"/>
    <s v="0010"/>
    <d v="2034-09-21T00:00:00"/>
    <d v="2034-10-11T00:00:00"/>
    <x v="68"/>
    <n v="81554"/>
    <d v="2034-12-03T00:00:00"/>
  </r>
  <r>
    <n v="71415"/>
    <x v="421"/>
    <n v="172"/>
    <d v="2034-08-11T00:00:00"/>
    <s v="0017"/>
    <d v="2034-10-01T00:00:00"/>
    <d v="2034-10-24T00:00:00"/>
    <x v="84"/>
    <n v="134959"/>
    <d v="2034-12-20T00:00:00"/>
  </r>
  <r>
    <n v="71416"/>
    <x v="422"/>
    <n v="340"/>
    <d v="2034-08-12T00:00:00"/>
    <s v="0010"/>
    <d v="2034-09-13T00:00:00"/>
    <d v="2034-10-10T00:00:00"/>
    <x v="86"/>
    <n v="112735"/>
    <d v="2034-12-18T00:00:00"/>
  </r>
  <r>
    <n v="71417"/>
    <x v="423"/>
    <n v="251"/>
    <d v="2034-08-12T00:00:00"/>
    <s v="0012"/>
    <d v="2034-09-25T00:00:00"/>
    <d v="2034-10-17T00:00:00"/>
    <x v="90"/>
    <s v="ganho de causa defesa"/>
    <d v="2034-12-12T00:00:00"/>
  </r>
  <r>
    <n v="71418"/>
    <x v="424"/>
    <n v="270"/>
    <d v="2034-08-12T00:00:00"/>
    <s v="0018"/>
    <d v="2034-09-20T00:00:00"/>
    <d v="2034-10-15T00:00:00"/>
    <x v="81"/>
    <n v="37178"/>
    <d v="2034-12-18T00:00:00"/>
  </r>
  <r>
    <n v="71419"/>
    <x v="425"/>
    <n v="238"/>
    <d v="2034-08-12T00:00:00"/>
    <s v="0017"/>
    <d v="2034-09-18T00:00:00"/>
    <d v="2034-10-12T00:00:00"/>
    <x v="98"/>
    <s v="ganho de causa defesa"/>
    <d v="2034-12-20T00:00:00"/>
  </r>
  <r>
    <n v="71420"/>
    <x v="426"/>
    <n v="204"/>
    <d v="2034-08-12T00:00:00"/>
    <s v="0003"/>
    <d v="2034-10-07T00:00:00"/>
    <d v="2034-11-05T00:00:00"/>
    <x v="102"/>
    <n v="60792"/>
    <d v="2035-01-02T00:00:00"/>
  </r>
  <r>
    <n v="71421"/>
    <x v="427"/>
    <n v="198"/>
    <d v="2034-08-12T00:00:00"/>
    <s v="0015"/>
    <d v="2034-09-17T00:00:00"/>
    <d v="2034-10-15T00:00:00"/>
    <x v="90"/>
    <s v="ganho de causa defesa"/>
    <d v="2034-12-22T00:00:00"/>
  </r>
  <r>
    <n v="71422"/>
    <x v="428"/>
    <n v="60"/>
    <d v="2034-08-12T00:00:00"/>
    <s v="0012"/>
    <d v="2034-09-16T00:00:00"/>
    <d v="2034-10-12T00:00:00"/>
    <x v="89"/>
    <n v="57369"/>
    <d v="2034-12-18T00:00:00"/>
  </r>
  <r>
    <n v="71423"/>
    <x v="429"/>
    <n v="242"/>
    <d v="2034-08-12T00:00:00"/>
    <s v="0001"/>
    <d v="2034-10-03T00:00:00"/>
    <d v="2034-10-27T00:00:00"/>
    <x v="100"/>
    <s v="ganho de causa defesa"/>
    <d v="2035-01-18T00:00:00"/>
  </r>
  <r>
    <n v="71424"/>
    <x v="430"/>
    <n v="211"/>
    <d v="2034-08-12T00:00:00"/>
    <s v="0017"/>
    <d v="2034-09-23T00:00:00"/>
    <d v="2034-10-21T00:00:00"/>
    <x v="91"/>
    <n v="69398"/>
    <d v="2035-01-17T00:00:00"/>
  </r>
  <r>
    <n v="71425"/>
    <x v="431"/>
    <n v="259"/>
    <d v="2034-08-13T00:00:00"/>
    <s v="0003"/>
    <d v="2034-09-26T00:00:00"/>
    <d v="2034-10-15T00:00:00"/>
    <x v="98"/>
    <n v="37856"/>
    <d v="2034-12-11T00:00:00"/>
  </r>
  <r>
    <n v="71426"/>
    <x v="432"/>
    <n v="58"/>
    <d v="2034-08-13T00:00:00"/>
    <s v="0009"/>
    <d v="2034-09-26T00:00:00"/>
    <d v="2034-10-20T00:00:00"/>
    <x v="97"/>
    <n v="36412"/>
    <d v="2035-01-04T00:00:00"/>
  </r>
  <r>
    <n v="71427"/>
    <x v="433"/>
    <n v="9"/>
    <d v="2034-08-13T00:00:00"/>
    <s v="0004"/>
    <d v="2034-09-28T00:00:00"/>
    <d v="2034-10-22T00:00:00"/>
    <x v="81"/>
    <n v="103478"/>
    <d v="2034-12-20T00:00:00"/>
  </r>
  <r>
    <n v="71428"/>
    <x v="434"/>
    <n v="286"/>
    <d v="2034-08-13T00:00:00"/>
    <s v="0004"/>
    <d v="2034-09-14T00:00:00"/>
    <d v="2034-10-10T00:00:00"/>
    <x v="69"/>
    <n v="64930"/>
    <d v="2034-12-25T00:00:00"/>
  </r>
  <r>
    <n v="71429"/>
    <x v="435"/>
    <n v="27"/>
    <d v="2034-08-14T00:00:00"/>
    <s v="0009"/>
    <d v="2034-10-02T00:00:00"/>
    <d v="2034-10-28T00:00:00"/>
    <x v="97"/>
    <n v="52865"/>
    <d v="2034-12-29T00:00:00"/>
  </r>
  <r>
    <n v="71430"/>
    <x v="436"/>
    <n v="285"/>
    <d v="2034-08-14T00:00:00"/>
    <s v="0011"/>
    <d v="2034-10-10T00:00:00"/>
    <d v="2034-11-06T00:00:00"/>
    <x v="103"/>
    <s v="ganho de causa defesa"/>
    <d v="2035-01-28T00:00:00"/>
  </r>
  <r>
    <n v="71431"/>
    <x v="437"/>
    <n v="200"/>
    <d v="2034-08-14T00:00:00"/>
    <s v="0016"/>
    <d v="2034-10-02T00:00:00"/>
    <d v="2034-10-19T00:00:00"/>
    <x v="98"/>
    <s v="ganho de causa defesa"/>
    <d v="2034-12-07T00:00:00"/>
  </r>
  <r>
    <n v="71432"/>
    <x v="438"/>
    <n v="170"/>
    <d v="2034-08-14T00:00:00"/>
    <s v="0012"/>
    <d v="2034-09-21T00:00:00"/>
    <d v="2034-10-15T00:00:00"/>
    <x v="83"/>
    <s v="ganho de causa defesa"/>
    <d v="2034-12-29T00:00:00"/>
  </r>
  <r>
    <n v="71433"/>
    <x v="439"/>
    <n v="135"/>
    <d v="2034-08-14T00:00:00"/>
    <s v="0013"/>
    <d v="2034-10-08T00:00:00"/>
    <d v="2034-10-27T00:00:00"/>
    <x v="104"/>
    <n v="91913"/>
    <d v="2034-12-25T00:00:00"/>
  </r>
  <r>
    <n v="71434"/>
    <x v="440"/>
    <n v="203"/>
    <d v="2034-08-14T00:00:00"/>
    <s v="0018"/>
    <d v="2034-09-13T00:00:00"/>
    <d v="2034-09-30T00:00:00"/>
    <x v="85"/>
    <n v="14985"/>
    <d v="2034-11-27T00:00:00"/>
  </r>
  <r>
    <n v="71435"/>
    <x v="441"/>
    <n v="199"/>
    <d v="2034-08-14T00:00:00"/>
    <s v="0006"/>
    <d v="2034-10-06T00:00:00"/>
    <d v="2034-11-01T00:00:00"/>
    <x v="105"/>
    <s v="ganho de causa defesa"/>
    <d v="2035-01-11T00:00:00"/>
  </r>
  <r>
    <n v="71436"/>
    <x v="442"/>
    <n v="163"/>
    <d v="2034-08-14T00:00:00"/>
    <s v="0008"/>
    <d v="2034-10-03T00:00:00"/>
    <d v="2034-10-29T00:00:00"/>
    <x v="84"/>
    <s v="ganho de causa defesa"/>
    <d v="2034-12-19T00:00:00"/>
  </r>
  <r>
    <n v="71437"/>
    <x v="443"/>
    <n v="161"/>
    <d v="2034-08-14T00:00:00"/>
    <s v="0013"/>
    <d v="2034-09-13T00:00:00"/>
    <d v="2034-10-06T00:00:00"/>
    <x v="98"/>
    <s v="ganho de causa defesa"/>
    <d v="2034-12-05T00:00:00"/>
  </r>
  <r>
    <n v="71438"/>
    <x v="444"/>
    <n v="175"/>
    <d v="2034-08-14T00:00:00"/>
    <s v="0014"/>
    <d v="2034-09-29T00:00:00"/>
    <d v="2034-10-15T00:00:00"/>
    <x v="84"/>
    <s v="ganho de causa defesa"/>
    <d v="2034-12-18T00:00:00"/>
  </r>
  <r>
    <n v="71439"/>
    <x v="445"/>
    <n v="265"/>
    <d v="2034-08-15T00:00:00"/>
    <s v="0002"/>
    <d v="2034-09-23T00:00:00"/>
    <d v="2034-10-12T00:00:00"/>
    <x v="81"/>
    <n v="88215"/>
    <d v="2034-12-13T00:00:00"/>
  </r>
  <r>
    <n v="71440"/>
    <x v="446"/>
    <n v="247"/>
    <d v="2034-08-15T00:00:00"/>
    <s v="0013"/>
    <d v="2034-10-02T00:00:00"/>
    <d v="2034-10-20T00:00:00"/>
    <x v="92"/>
    <s v="ganho de causa defesa"/>
    <d v="2035-01-07T00:00:00"/>
  </r>
  <r>
    <n v="71441"/>
    <x v="447"/>
    <n v="218"/>
    <d v="2034-08-15T00:00:00"/>
    <s v="0014"/>
    <d v="2034-10-13T00:00:00"/>
    <d v="2034-11-10T00:00:00"/>
    <x v="105"/>
    <n v="116265"/>
    <d v="2035-01-15T00:00:00"/>
  </r>
  <r>
    <n v="71442"/>
    <x v="448"/>
    <n v="180"/>
    <d v="2034-08-15T00:00:00"/>
    <s v="0015"/>
    <d v="2034-09-19T00:00:00"/>
    <d v="2034-10-04T00:00:00"/>
    <x v="68"/>
    <s v="ganho de causa defesa"/>
    <d v="2034-12-12T00:00:00"/>
  </r>
  <r>
    <n v="71443"/>
    <x v="449"/>
    <n v="65"/>
    <d v="2034-08-15T00:00:00"/>
    <s v="0018"/>
    <d v="2034-10-06T00:00:00"/>
    <d v="2034-11-04T00:00:00"/>
    <x v="106"/>
    <n v="45227"/>
    <d v="2035-01-23T00:00:00"/>
  </r>
  <r>
    <n v="71444"/>
    <x v="450"/>
    <n v="324"/>
    <d v="2034-08-15T00:00:00"/>
    <s v="0003"/>
    <d v="2034-09-30T00:00:00"/>
    <d v="2034-10-15T00:00:00"/>
    <x v="98"/>
    <n v="13549"/>
    <d v="2034-12-29T00:00:00"/>
  </r>
  <r>
    <n v="71445"/>
    <x v="451"/>
    <n v="333"/>
    <d v="2034-08-16T00:00:00"/>
    <s v="0004"/>
    <d v="2034-09-30T00:00:00"/>
    <d v="2034-10-21T00:00:00"/>
    <x v="90"/>
    <s v="ganho de causa defesa"/>
    <d v="2034-12-23T00:00:00"/>
  </r>
  <r>
    <n v="71446"/>
    <x v="452"/>
    <n v="161"/>
    <d v="2034-08-16T00:00:00"/>
    <s v="0002"/>
    <d v="2034-10-08T00:00:00"/>
    <d v="2034-11-03T00:00:00"/>
    <x v="91"/>
    <n v="41682"/>
    <d v="2035-01-16T00:00:00"/>
  </r>
  <r>
    <n v="71447"/>
    <x v="453"/>
    <n v="79"/>
    <d v="2034-08-16T00:00:00"/>
    <s v="0006"/>
    <d v="2034-10-14T00:00:00"/>
    <d v="2034-11-10T00:00:00"/>
    <x v="107"/>
    <s v="ganho de causa defesa"/>
    <d v="2035-01-28T00:00:00"/>
  </r>
  <r>
    <n v="71448"/>
    <x v="454"/>
    <n v="90"/>
    <d v="2034-08-16T00:00:00"/>
    <s v="0016"/>
    <d v="2034-09-16T00:00:00"/>
    <d v="2034-10-15T00:00:00"/>
    <x v="104"/>
    <s v="ganho de causa defesa"/>
    <d v="2035-01-09T00:00:00"/>
  </r>
  <r>
    <n v="71449"/>
    <x v="455"/>
    <n v="225"/>
    <d v="2034-08-16T00:00:00"/>
    <s v="0016"/>
    <d v="2034-10-05T00:00:00"/>
    <d v="2034-11-02T00:00:00"/>
    <x v="100"/>
    <n v="145428"/>
    <d v="2034-12-26T00:00:00"/>
  </r>
  <r>
    <n v="71450"/>
    <x v="456"/>
    <n v="213"/>
    <d v="2034-08-16T00:00:00"/>
    <s v="0011"/>
    <d v="2034-09-26T00:00:00"/>
    <d v="2034-10-15T00:00:00"/>
    <x v="77"/>
    <s v="ganho de causa defesa"/>
    <d v="2034-12-04T00:00:00"/>
  </r>
  <r>
    <n v="71451"/>
    <x v="457"/>
    <n v="198"/>
    <d v="2034-08-16T00:00:00"/>
    <s v="0003"/>
    <d v="2034-10-12T00:00:00"/>
    <d v="2034-11-05T00:00:00"/>
    <x v="105"/>
    <n v="53738"/>
    <d v="2035-01-21T00:00:00"/>
  </r>
  <r>
    <n v="71452"/>
    <x v="458"/>
    <n v="31"/>
    <d v="2034-08-16T00:00:00"/>
    <s v="0011"/>
    <d v="2034-09-29T00:00:00"/>
    <d v="2034-10-18T00:00:00"/>
    <x v="92"/>
    <n v="31769"/>
    <d v="2034-12-12T00:00:00"/>
  </r>
  <r>
    <n v="71453"/>
    <x v="459"/>
    <n v="246"/>
    <d v="2034-08-17T00:00:00"/>
    <s v="0009"/>
    <d v="2034-10-04T00:00:00"/>
    <d v="2034-10-28T00:00:00"/>
    <x v="108"/>
    <n v="100685"/>
    <d v="2035-01-14T00:00:00"/>
  </r>
  <r>
    <n v="71454"/>
    <x v="460"/>
    <n v="51"/>
    <d v="2034-08-17T00:00:00"/>
    <s v="0012"/>
    <d v="2034-09-17T00:00:00"/>
    <d v="2034-10-13T00:00:00"/>
    <x v="90"/>
    <s v="ganho de causa defesa"/>
    <d v="2034-12-13T00:00:00"/>
  </r>
  <r>
    <n v="71455"/>
    <x v="461"/>
    <n v="178"/>
    <d v="2034-08-17T00:00:00"/>
    <s v="0007"/>
    <d v="2034-10-08T00:00:00"/>
    <d v="2034-10-28T00:00:00"/>
    <x v="108"/>
    <s v="ganho de causa defesa"/>
    <d v="2035-01-17T00:00:00"/>
  </r>
  <r>
    <n v="71456"/>
    <x v="462"/>
    <n v="275"/>
    <d v="2034-08-17T00:00:00"/>
    <s v="0002"/>
    <d v="2034-10-08T00:00:00"/>
    <d v="2034-11-04T00:00:00"/>
    <x v="105"/>
    <n v="99037"/>
    <d v="2034-12-29T00:00:00"/>
  </r>
  <r>
    <n v="71457"/>
    <x v="463"/>
    <n v="109"/>
    <d v="2034-08-17T00:00:00"/>
    <s v="0009"/>
    <d v="2034-09-25T00:00:00"/>
    <d v="2034-10-15T00:00:00"/>
    <x v="83"/>
    <s v="ganho de causa defesa"/>
    <d v="2034-12-17T00:00:00"/>
  </r>
  <r>
    <n v="71458"/>
    <x v="464"/>
    <n v="19"/>
    <d v="2034-08-17T00:00:00"/>
    <s v="0009"/>
    <d v="2034-10-06T00:00:00"/>
    <d v="2034-10-28T00:00:00"/>
    <x v="109"/>
    <s v="ganho de causa defesa"/>
    <d v="2035-01-06T00:00:00"/>
  </r>
  <r>
    <n v="71459"/>
    <x v="465"/>
    <n v="316"/>
    <d v="2034-08-17T00:00:00"/>
    <s v="0016"/>
    <d v="2034-09-18T00:00:00"/>
    <d v="2034-10-04T00:00:00"/>
    <x v="96"/>
    <n v="110391"/>
    <d v="2034-12-05T00:00:00"/>
  </r>
  <r>
    <n v="71460"/>
    <x v="466"/>
    <n v="242"/>
    <d v="2034-08-17T00:00:00"/>
    <s v="0003"/>
    <d v="2034-10-05T00:00:00"/>
    <d v="2034-10-24T00:00:00"/>
    <x v="89"/>
    <n v="90257"/>
    <d v="2034-12-21T00:00:00"/>
  </r>
  <r>
    <n v="71461"/>
    <x v="467"/>
    <n v="225"/>
    <d v="2034-08-18T00:00:00"/>
    <s v="0006"/>
    <d v="2034-10-13T00:00:00"/>
    <d v="2034-11-06T00:00:00"/>
    <x v="109"/>
    <n v="117138"/>
    <d v="2034-12-29T00:00:00"/>
  </r>
  <r>
    <n v="71462"/>
    <x v="468"/>
    <n v="319"/>
    <d v="2034-08-18T00:00:00"/>
    <s v="0007"/>
    <d v="2034-09-21T00:00:00"/>
    <d v="2034-10-13T00:00:00"/>
    <x v="86"/>
    <s v="ganho de causa defesa"/>
    <d v="2034-12-25T00:00:00"/>
  </r>
  <r>
    <n v="71463"/>
    <x v="469"/>
    <n v="51"/>
    <d v="2034-08-18T00:00:00"/>
    <s v="0014"/>
    <d v="2034-10-05T00:00:00"/>
    <d v="2034-10-23T00:00:00"/>
    <x v="93"/>
    <s v="ganho de causa defesa"/>
    <d v="2035-01-05T00:00:00"/>
  </r>
  <r>
    <n v="71464"/>
    <x v="470"/>
    <n v="20"/>
    <d v="2034-08-18T00:00:00"/>
    <s v="0001"/>
    <d v="2034-09-20T00:00:00"/>
    <d v="2034-10-12T00:00:00"/>
    <x v="67"/>
    <n v="1912"/>
    <d v="2034-12-19T00:00:00"/>
  </r>
  <r>
    <n v="71465"/>
    <x v="471"/>
    <n v="311"/>
    <d v="2034-08-19T00:00:00"/>
    <s v="0013"/>
    <d v="2034-09-27T00:00:00"/>
    <d v="2034-10-12T00:00:00"/>
    <x v="74"/>
    <s v="ganho de causa defesa"/>
    <d v="2034-12-23T00:00:00"/>
  </r>
  <r>
    <n v="71466"/>
    <x v="472"/>
    <n v="232"/>
    <d v="2034-08-19T00:00:00"/>
    <s v="0003"/>
    <d v="2034-10-01T00:00:00"/>
    <d v="2034-10-21T00:00:00"/>
    <x v="81"/>
    <n v="57610"/>
    <d v="2034-12-23T00:00:00"/>
  </r>
  <r>
    <n v="71467"/>
    <x v="473"/>
    <n v="71"/>
    <d v="2034-08-19T00:00:00"/>
    <s v="0016"/>
    <d v="2034-09-20T00:00:00"/>
    <d v="2034-10-08T00:00:00"/>
    <x v="83"/>
    <n v="13643"/>
    <d v="2034-12-25T00:00:00"/>
  </r>
  <r>
    <n v="71468"/>
    <x v="474"/>
    <n v="282"/>
    <d v="2034-08-19T00:00:00"/>
    <s v="0011"/>
    <d v="2034-10-01T00:00:00"/>
    <d v="2034-10-20T00:00:00"/>
    <x v="92"/>
    <n v="88227"/>
    <d v="2035-01-01T00:00:00"/>
  </r>
  <r>
    <n v="71469"/>
    <x v="475"/>
    <n v="261"/>
    <d v="2034-08-19T00:00:00"/>
    <s v="0013"/>
    <d v="2034-10-18T00:00:00"/>
    <d v="2034-11-03T00:00:00"/>
    <x v="102"/>
    <s v="ganho de causa defesa"/>
    <d v="2035-01-08T00:00:00"/>
  </r>
  <r>
    <n v="71470"/>
    <x v="476"/>
    <n v="191"/>
    <d v="2034-08-20T00:00:00"/>
    <s v="0009"/>
    <d v="2034-09-23T00:00:00"/>
    <d v="2034-10-15T00:00:00"/>
    <x v="80"/>
    <n v="44920"/>
    <d v="2035-01-03T00:00:00"/>
  </r>
  <r>
    <n v="71471"/>
    <x v="477"/>
    <n v="196"/>
    <d v="2034-08-20T00:00:00"/>
    <s v="0004"/>
    <d v="2034-10-13T00:00:00"/>
    <d v="2034-11-07T00:00:00"/>
    <x v="103"/>
    <s v="ganho de causa defesa"/>
    <d v="2035-01-28T00:00:00"/>
  </r>
  <r>
    <n v="71472"/>
    <x v="478"/>
    <n v="64"/>
    <d v="2034-08-20T00:00:00"/>
    <s v="0009"/>
    <d v="2034-09-19T00:00:00"/>
    <d v="2034-10-10T00:00:00"/>
    <x v="88"/>
    <n v="139396"/>
    <d v="2034-12-04T00:00:00"/>
  </r>
  <r>
    <n v="71473"/>
    <x v="479"/>
    <n v="202"/>
    <d v="2034-08-20T00:00:00"/>
    <s v="0007"/>
    <d v="2034-10-17T00:00:00"/>
    <d v="2034-11-04T00:00:00"/>
    <x v="110"/>
    <n v="57761"/>
    <d v="2034-12-27T00:00:00"/>
  </r>
  <r>
    <n v="71474"/>
    <x v="480"/>
    <n v="310"/>
    <d v="2034-08-20T00:00:00"/>
    <s v="0003"/>
    <d v="2034-10-19T00:00:00"/>
    <d v="2034-11-06T00:00:00"/>
    <x v="111"/>
    <s v="ganho de causa defesa"/>
    <d v="2035-01-24T00:00:00"/>
  </r>
  <r>
    <n v="71475"/>
    <x v="481"/>
    <n v="112"/>
    <d v="2034-08-20T00:00:00"/>
    <s v="0009"/>
    <d v="2034-10-19T00:00:00"/>
    <d v="2034-11-18T00:00:00"/>
    <x v="112"/>
    <n v="43100"/>
    <d v="2035-01-11T00:00:00"/>
  </r>
  <r>
    <n v="71476"/>
    <x v="482"/>
    <n v="55"/>
    <d v="2034-08-21T00:00:00"/>
    <s v="0006"/>
    <d v="2034-09-27T00:00:00"/>
    <d v="2034-10-27T00:00:00"/>
    <x v="109"/>
    <s v="ganho de causa defesa"/>
    <d v="2034-12-31T00:00:00"/>
  </r>
  <r>
    <n v="71477"/>
    <x v="483"/>
    <n v="116"/>
    <d v="2034-08-21T00:00:00"/>
    <s v="0004"/>
    <d v="2034-09-29T00:00:00"/>
    <d v="2034-10-14T00:00:00"/>
    <x v="67"/>
    <s v="ganho de causa defesa"/>
    <d v="2034-12-12T00:00:00"/>
  </r>
  <r>
    <n v="71478"/>
    <x v="484"/>
    <n v="126"/>
    <d v="2034-08-21T00:00:00"/>
    <s v="0012"/>
    <d v="2034-10-20T00:00:00"/>
    <d v="2034-11-09T00:00:00"/>
    <x v="113"/>
    <s v="ganho de causa defesa"/>
    <d v="2035-01-19T00:00:00"/>
  </r>
  <r>
    <n v="71479"/>
    <x v="485"/>
    <n v="241"/>
    <d v="2034-08-21T00:00:00"/>
    <s v="0008"/>
    <d v="2034-10-19T00:00:00"/>
    <d v="2034-11-09T00:00:00"/>
    <x v="114"/>
    <n v="20483"/>
    <d v="2035-01-17T00:00:00"/>
  </r>
  <r>
    <n v="71480"/>
    <x v="486"/>
    <n v="269"/>
    <d v="2034-08-21T00:00:00"/>
    <s v="0004"/>
    <d v="2034-10-18T00:00:00"/>
    <d v="2034-11-03T00:00:00"/>
    <x v="110"/>
    <s v="ganho de causa defesa"/>
    <d v="2034-12-31T00:00:00"/>
  </r>
  <r>
    <n v="71481"/>
    <x v="487"/>
    <n v="191"/>
    <d v="2034-08-22T00:00:00"/>
    <s v="0013"/>
    <d v="2034-10-10T00:00:00"/>
    <d v="2034-11-06T00:00:00"/>
    <x v="115"/>
    <n v="138088"/>
    <d v="2034-12-26T00:00:00"/>
  </r>
  <r>
    <n v="71482"/>
    <x v="488"/>
    <n v="283"/>
    <d v="2034-08-22T00:00:00"/>
    <s v="0012"/>
    <d v="2034-09-28T00:00:00"/>
    <d v="2034-10-15T00:00:00"/>
    <x v="81"/>
    <n v="19166"/>
    <d v="2034-12-26T00:00:00"/>
  </r>
  <r>
    <n v="71483"/>
    <x v="489"/>
    <n v="119"/>
    <d v="2034-08-22T00:00:00"/>
    <s v="0016"/>
    <d v="2034-10-14T00:00:00"/>
    <d v="2034-11-07T00:00:00"/>
    <x v="116"/>
    <n v="43353"/>
    <d v="2035-01-26T00:00:00"/>
  </r>
  <r>
    <n v="71484"/>
    <x v="490"/>
    <n v="331"/>
    <d v="2034-08-22T00:00:00"/>
    <s v="0007"/>
    <d v="2034-09-25T00:00:00"/>
    <d v="2034-10-22T00:00:00"/>
    <x v="80"/>
    <n v="87033"/>
    <d v="2034-12-25T00:00:00"/>
  </r>
  <r>
    <n v="71485"/>
    <x v="491"/>
    <n v="148"/>
    <d v="2034-08-22T00:00:00"/>
    <s v="0014"/>
    <d v="2034-10-16T00:00:00"/>
    <d v="2034-11-13T00:00:00"/>
    <x v="116"/>
    <n v="51326"/>
    <d v="2035-01-14T00:00:00"/>
  </r>
  <r>
    <n v="71486"/>
    <x v="492"/>
    <n v="299"/>
    <d v="2034-08-22T00:00:00"/>
    <s v="0010"/>
    <d v="2034-09-23T00:00:00"/>
    <d v="2034-10-22T00:00:00"/>
    <x v="94"/>
    <s v="ganho de causa defesa"/>
    <d v="2035-01-10T00:00:00"/>
  </r>
  <r>
    <n v="71487"/>
    <x v="493"/>
    <n v="127"/>
    <d v="2034-08-23T00:00:00"/>
    <s v="0013"/>
    <d v="2034-10-19T00:00:00"/>
    <d v="2034-11-12T00:00:00"/>
    <x v="117"/>
    <s v="ganho de causa defesa"/>
    <d v="2035-01-23T00:00:00"/>
  </r>
  <r>
    <n v="71488"/>
    <x v="494"/>
    <n v="41"/>
    <d v="2034-08-23T00:00:00"/>
    <s v="0011"/>
    <d v="2034-10-01T00:00:00"/>
    <d v="2034-10-24T00:00:00"/>
    <x v="109"/>
    <s v="ganho de causa defesa"/>
    <d v="2034-12-27T00:00:00"/>
  </r>
  <r>
    <n v="71489"/>
    <x v="495"/>
    <n v="50"/>
    <d v="2034-08-23T00:00:00"/>
    <s v="0011"/>
    <d v="2034-10-21T00:00:00"/>
    <d v="2034-11-10T00:00:00"/>
    <x v="102"/>
    <n v="119909"/>
    <d v="2034-12-25T00:00:00"/>
  </r>
  <r>
    <n v="71490"/>
    <x v="496"/>
    <n v="209"/>
    <d v="2034-08-23T00:00:00"/>
    <s v="0006"/>
    <d v="2034-10-17T00:00:00"/>
    <d v="2034-11-13T00:00:00"/>
    <x v="117"/>
    <n v="54714"/>
    <d v="2035-01-18T00:00:00"/>
  </r>
  <r>
    <n v="71491"/>
    <x v="497"/>
    <n v="24"/>
    <d v="2034-08-23T00:00:00"/>
    <s v="0007"/>
    <d v="2034-10-07T00:00:00"/>
    <d v="2034-11-01T00:00:00"/>
    <x v="106"/>
    <n v="133466"/>
    <d v="2035-01-20T00:00:00"/>
  </r>
  <r>
    <n v="71492"/>
    <x v="498"/>
    <n v="244"/>
    <d v="2034-08-24T00:00:00"/>
    <s v="0018"/>
    <d v="2034-09-30T00:00:00"/>
    <d v="2034-10-15T00:00:00"/>
    <x v="83"/>
    <n v="82721"/>
    <d v="2035-01-04T00:00:00"/>
  </r>
  <r>
    <n v="71493"/>
    <x v="499"/>
    <n v="192"/>
    <d v="2034-08-24T00:00:00"/>
    <s v="0015"/>
    <d v="2034-10-05T00:00:00"/>
    <d v="2034-10-26T00:00:00"/>
    <x v="100"/>
    <n v="47548"/>
    <d v="2034-12-30T00:00:00"/>
  </r>
  <r>
    <n v="71494"/>
    <x v="500"/>
    <n v="295"/>
    <d v="2034-08-24T00:00:00"/>
    <s v="0017"/>
    <d v="2034-10-08T00:00:00"/>
    <d v="2034-11-03T00:00:00"/>
    <x v="107"/>
    <n v="135686"/>
    <d v="2035-01-28T00:00:00"/>
  </r>
  <r>
    <n v="71495"/>
    <x v="501"/>
    <n v="206"/>
    <d v="2034-08-25T00:00:00"/>
    <s v="0004"/>
    <d v="2034-10-13T00:00:00"/>
    <d v="2034-11-11T00:00:00"/>
    <x v="113"/>
    <s v="ganho de causa defesa"/>
    <m/>
  </r>
  <r>
    <n v="71496"/>
    <x v="502"/>
    <n v="46"/>
    <d v="2034-08-25T00:00:00"/>
    <s v="0011"/>
    <d v="2034-09-24T00:00:00"/>
    <d v="2034-10-12T00:00:00"/>
    <x v="90"/>
    <n v="24410"/>
    <d v="2034-12-28T00:00:00"/>
  </r>
  <r>
    <n v="71497"/>
    <x v="503"/>
    <n v="319"/>
    <d v="2034-08-25T00:00:00"/>
    <s v="0010"/>
    <d v="2034-10-23T00:00:00"/>
    <d v="2034-11-10T00:00:00"/>
    <x v="108"/>
    <s v="ganho de causa defesa"/>
    <d v="2035-01-11T00:00:00"/>
  </r>
  <r>
    <n v="71498"/>
    <x v="504"/>
    <n v="172"/>
    <d v="2034-08-25T00:00:00"/>
    <s v="0004"/>
    <d v="2034-09-29T00:00:00"/>
    <d v="2034-10-29T00:00:00"/>
    <x v="97"/>
    <n v="39835"/>
    <d v="2034-12-21T00:00:00"/>
  </r>
  <r>
    <n v="71499"/>
    <x v="505"/>
    <n v="84"/>
    <d v="2034-08-25T00:00:00"/>
    <s v="0010"/>
    <d v="2034-10-21T00:00:00"/>
    <d v="2034-11-20T00:00:00"/>
    <x v="118"/>
    <n v="110259"/>
    <m/>
  </r>
  <r>
    <n v="71500"/>
    <x v="506"/>
    <n v="73"/>
    <d v="2034-08-25T00:00:00"/>
    <s v="0011"/>
    <d v="2034-10-16T00:00:00"/>
    <d v="2034-11-08T00:00:00"/>
    <x v="100"/>
    <s v="ganho de causa defesa"/>
    <d v="2034-12-25T00:00:00"/>
  </r>
  <r>
    <n v="71501"/>
    <x v="507"/>
    <n v="204"/>
    <d v="2034-08-25T00:00:00"/>
    <s v="0003"/>
    <d v="2034-09-27T00:00:00"/>
    <d v="2034-10-17T00:00:00"/>
    <x v="84"/>
    <n v="109260"/>
    <d v="2034-12-18T00:00:00"/>
  </r>
  <r>
    <n v="71502"/>
    <x v="508"/>
    <n v="32"/>
    <d v="2034-08-26T00:00:00"/>
    <s v="0001"/>
    <d v="2034-10-01T00:00:00"/>
    <d v="2034-10-25T00:00:00"/>
    <x v="93"/>
    <s v="ganho de causa defesa"/>
    <d v="2034-12-26T00:00:00"/>
  </r>
  <r>
    <n v="71503"/>
    <x v="509"/>
    <n v="156"/>
    <d v="2034-08-26T00:00:00"/>
    <s v="0005"/>
    <d v="2034-10-03T00:00:00"/>
    <d v="2034-11-02T00:00:00"/>
    <x v="99"/>
    <s v="ganho de causa defesa"/>
    <d v="2035-01-06T00:00:00"/>
  </r>
  <r>
    <n v="71504"/>
    <x v="510"/>
    <n v="264"/>
    <d v="2034-08-26T00:00:00"/>
    <s v="0018"/>
    <d v="2034-10-19T00:00:00"/>
    <d v="2034-11-08T00:00:00"/>
    <x v="103"/>
    <s v="ganho de causa defesa"/>
    <d v="2035-01-15T00:00:00"/>
  </r>
  <r>
    <n v="71505"/>
    <x v="511"/>
    <n v="78"/>
    <d v="2034-08-26T00:00:00"/>
    <s v="0004"/>
    <d v="2034-10-24T00:00:00"/>
    <d v="2034-11-15T00:00:00"/>
    <x v="114"/>
    <s v="ganho de causa defesa"/>
    <d v="2035-01-22T00:00:00"/>
  </r>
  <r>
    <n v="71506"/>
    <x v="512"/>
    <n v="258"/>
    <d v="2034-08-26T00:00:00"/>
    <s v="0011"/>
    <d v="2034-09-29T00:00:00"/>
    <d v="2034-10-25T00:00:00"/>
    <x v="84"/>
    <n v="111854"/>
    <d v="2034-12-23T00:00:00"/>
  </r>
  <r>
    <n v="71507"/>
    <x v="513"/>
    <n v="222"/>
    <d v="2034-08-26T00:00:00"/>
    <s v="0003"/>
    <d v="2034-10-18T00:00:00"/>
    <d v="2034-11-16T00:00:00"/>
    <x v="113"/>
    <n v="66446"/>
    <m/>
  </r>
  <r>
    <n v="71508"/>
    <x v="514"/>
    <n v="104"/>
    <d v="2034-08-27T00:00:00"/>
    <s v="0003"/>
    <d v="2034-10-26T00:00:00"/>
    <d v="2034-11-12T00:00:00"/>
    <x v="119"/>
    <s v="ganho de causa defesa"/>
    <d v="2035-01-12T00:00:00"/>
  </r>
  <r>
    <n v="71509"/>
    <x v="515"/>
    <n v="109"/>
    <d v="2034-08-27T00:00:00"/>
    <s v="0006"/>
    <d v="2034-10-12T00:00:00"/>
    <d v="2034-11-02T00:00:00"/>
    <x v="111"/>
    <s v="ganho de causa defesa"/>
    <d v="2035-01-03T00:00:00"/>
  </r>
  <r>
    <n v="71510"/>
    <x v="516"/>
    <n v="2"/>
    <d v="2034-08-27T00:00:00"/>
    <s v="0018"/>
    <d v="2034-10-09T00:00:00"/>
    <d v="2034-11-01T00:00:00"/>
    <x v="105"/>
    <s v="ganho de causa defesa"/>
    <d v="2035-01-04T00:00:00"/>
  </r>
  <r>
    <n v="71511"/>
    <x v="517"/>
    <n v="299"/>
    <d v="2034-08-27T00:00:00"/>
    <s v="0005"/>
    <d v="2034-10-05T00:00:00"/>
    <d v="2034-11-02T00:00:00"/>
    <x v="99"/>
    <n v="45668"/>
    <d v="2035-01-14T00:00:00"/>
  </r>
  <r>
    <n v="71512"/>
    <x v="518"/>
    <n v="267"/>
    <d v="2034-08-27T00:00:00"/>
    <s v="0006"/>
    <d v="2034-09-28T00:00:00"/>
    <d v="2034-10-13T00:00:00"/>
    <x v="80"/>
    <s v="ganho de causa defesa"/>
    <d v="2034-12-29T00:00:00"/>
  </r>
  <r>
    <n v="71513"/>
    <x v="519"/>
    <n v="39"/>
    <d v="2034-08-27T00:00:00"/>
    <s v="0011"/>
    <d v="2034-10-08T00:00:00"/>
    <d v="2034-10-24T00:00:00"/>
    <x v="92"/>
    <s v="ganho de causa defesa"/>
    <d v="2035-01-02T00:00:00"/>
  </r>
  <r>
    <n v="71514"/>
    <x v="520"/>
    <n v="165"/>
    <d v="2034-08-28T00:00:00"/>
    <s v="0005"/>
    <d v="2034-10-01T00:00:00"/>
    <d v="2034-10-16T00:00:00"/>
    <x v="77"/>
    <n v="19049"/>
    <d v="2034-12-13T00:00:00"/>
  </r>
  <r>
    <n v="71515"/>
    <x v="521"/>
    <n v="216"/>
    <d v="2034-08-28T00:00:00"/>
    <s v="0008"/>
    <d v="2034-10-18T00:00:00"/>
    <d v="2034-11-15T00:00:00"/>
    <x v="119"/>
    <s v="ganho de causa defesa"/>
    <d v="2035-01-11T00:00:00"/>
  </r>
  <r>
    <n v="71516"/>
    <x v="522"/>
    <n v="135"/>
    <d v="2034-08-28T00:00:00"/>
    <s v="0004"/>
    <d v="2034-10-02T00:00:00"/>
    <d v="2034-10-17T00:00:00"/>
    <x v="89"/>
    <n v="131678"/>
    <d v="2034-12-19T00:00:00"/>
  </r>
  <r>
    <n v="71517"/>
    <x v="523"/>
    <n v="162"/>
    <d v="2034-08-28T00:00:00"/>
    <s v="0001"/>
    <d v="2034-10-12T00:00:00"/>
    <d v="2034-11-09T00:00:00"/>
    <x v="103"/>
    <s v="ganho de causa defesa"/>
    <d v="2035-01-23T00:00:00"/>
  </r>
  <r>
    <n v="71518"/>
    <x v="524"/>
    <n v="178"/>
    <d v="2034-08-28T00:00:00"/>
    <s v="0018"/>
    <d v="2034-10-02T00:00:00"/>
    <d v="2034-10-30T00:00:00"/>
    <x v="93"/>
    <s v="ganho de causa defesa"/>
    <d v="2034-12-21T00:00:00"/>
  </r>
  <r>
    <n v="71519"/>
    <x v="525"/>
    <n v="101"/>
    <d v="2034-08-28T00:00:00"/>
    <s v="0007"/>
    <d v="2034-10-07T00:00:00"/>
    <d v="2034-11-06T00:00:00"/>
    <x v="111"/>
    <s v="ganho de causa defesa"/>
    <d v="2035-01-24T00:00:00"/>
  </r>
  <r>
    <n v="71520"/>
    <x v="526"/>
    <n v="137"/>
    <d v="2034-08-29T00:00:00"/>
    <s v="0009"/>
    <d v="2034-10-05T00:00:00"/>
    <d v="2034-10-29T00:00:00"/>
    <x v="97"/>
    <s v="ganho de causa defesa"/>
    <d v="2034-12-23T00:00:00"/>
  </r>
  <r>
    <n v="71521"/>
    <x v="527"/>
    <n v="94"/>
    <d v="2034-08-29T00:00:00"/>
    <s v="0004"/>
    <d v="2034-10-01T00:00:00"/>
    <d v="2034-10-25T00:00:00"/>
    <x v="120"/>
    <n v="62768"/>
    <d v="2034-12-26T00:00:00"/>
  </r>
  <r>
    <n v="71522"/>
    <x v="528"/>
    <n v="153"/>
    <d v="2034-08-29T00:00:00"/>
    <s v="0018"/>
    <d v="2034-10-01T00:00:00"/>
    <d v="2034-10-27T00:00:00"/>
    <x v="120"/>
    <n v="133875"/>
    <d v="2035-01-02T00:00:00"/>
  </r>
  <r>
    <n v="71523"/>
    <x v="529"/>
    <n v="91"/>
    <d v="2034-08-29T00:00:00"/>
    <s v="0017"/>
    <d v="2034-10-08T00:00:00"/>
    <d v="2034-10-31T00:00:00"/>
    <x v="121"/>
    <s v="ganho de causa defesa"/>
    <d v="2035-01-17T00:00:00"/>
  </r>
  <r>
    <n v="71524"/>
    <x v="530"/>
    <n v="182"/>
    <d v="2034-08-29T00:00:00"/>
    <s v="0005"/>
    <d v="2034-10-13T00:00:00"/>
    <d v="2034-11-09T00:00:00"/>
    <x v="121"/>
    <n v="50778"/>
    <d v="2035-01-22T00:00:00"/>
  </r>
  <r>
    <n v="71525"/>
    <x v="531"/>
    <n v="79"/>
    <d v="2034-08-29T00:00:00"/>
    <s v="0007"/>
    <d v="2034-10-06T00:00:00"/>
    <d v="2034-10-23T00:00:00"/>
    <x v="94"/>
    <n v="76802"/>
    <d v="2034-12-19T00:00:00"/>
  </r>
  <r>
    <n v="71526"/>
    <x v="532"/>
    <n v="322"/>
    <d v="2034-08-29T00:00:00"/>
    <s v="0018"/>
    <d v="2034-10-06T00:00:00"/>
    <d v="2034-11-01T00:00:00"/>
    <x v="121"/>
    <n v="70352"/>
    <d v="2035-01-15T00:00:00"/>
  </r>
  <r>
    <n v="71527"/>
    <x v="533"/>
    <n v="94"/>
    <d v="2034-08-30T00:00:00"/>
    <s v="0011"/>
    <d v="2034-10-13T00:00:00"/>
    <d v="2034-11-07T00:00:00"/>
    <x v="111"/>
    <s v="ganho de causa defesa"/>
    <d v="2035-01-26T00:00:00"/>
  </r>
  <r>
    <n v="71528"/>
    <x v="534"/>
    <n v="269"/>
    <d v="2034-08-30T00:00:00"/>
    <s v="0010"/>
    <d v="2034-10-05T00:00:00"/>
    <d v="2034-10-28T00:00:00"/>
    <x v="105"/>
    <s v="ganho de causa defesa"/>
    <d v="2035-01-10T00:00:00"/>
  </r>
  <r>
    <n v="71529"/>
    <x v="535"/>
    <n v="178"/>
    <d v="2034-08-30T00:00:00"/>
    <s v="0003"/>
    <d v="2034-10-12T00:00:00"/>
    <d v="2034-11-03T00:00:00"/>
    <x v="109"/>
    <s v="ganho de causa defesa"/>
    <d v="2035-01-16T00:00:00"/>
  </r>
  <r>
    <n v="71530"/>
    <x v="536"/>
    <n v="109"/>
    <d v="2034-08-30T00:00:00"/>
    <s v="0005"/>
    <d v="2034-10-01T00:00:00"/>
    <d v="2034-10-22T00:00:00"/>
    <x v="93"/>
    <n v="8504"/>
    <d v="2034-12-14T00:00:00"/>
  </r>
  <r>
    <n v="71531"/>
    <x v="537"/>
    <n v="199"/>
    <d v="2034-08-30T00:00:00"/>
    <s v="0005"/>
    <d v="2034-10-25T00:00:00"/>
    <d v="2034-11-10T00:00:00"/>
    <x v="122"/>
    <n v="42120"/>
    <d v="2035-01-05T00:00:00"/>
  </r>
  <r>
    <n v="71532"/>
    <x v="538"/>
    <n v="245"/>
    <d v="2034-08-30T00:00:00"/>
    <s v="0008"/>
    <d v="2034-10-07T00:00:00"/>
    <d v="2034-11-05T00:00:00"/>
    <x v="111"/>
    <n v="143918"/>
    <d v="2035-01-06T00:00:00"/>
  </r>
  <r>
    <n v="71533"/>
    <x v="539"/>
    <n v="286"/>
    <d v="2034-08-30T00:00:00"/>
    <s v="0005"/>
    <d v="2034-10-05T00:00:00"/>
    <d v="2034-10-24T00:00:00"/>
    <x v="104"/>
    <n v="30913"/>
    <d v="2034-12-16T00:00:00"/>
  </r>
  <r>
    <n v="71534"/>
    <x v="540"/>
    <n v="265"/>
    <d v="2034-08-30T00:00:00"/>
    <s v="0003"/>
    <d v="2034-10-20T00:00:00"/>
    <d v="2034-11-07T00:00:00"/>
    <x v="105"/>
    <s v="ganho de causa defesa"/>
    <d v="2035-01-14T00:00:00"/>
  </r>
  <r>
    <n v="71535"/>
    <x v="541"/>
    <n v="133"/>
    <d v="2034-08-31T00:00:00"/>
    <s v="0007"/>
    <d v="2034-10-27T00:00:00"/>
    <d v="2034-11-15T00:00:00"/>
    <x v="112"/>
    <s v="ganho de causa defesa"/>
    <d v="2035-01-14T00:00:00"/>
  </r>
  <r>
    <n v="71536"/>
    <x v="542"/>
    <n v="292"/>
    <d v="2034-08-31T00:00:00"/>
    <s v="0011"/>
    <d v="2034-10-29T00:00:00"/>
    <d v="2034-11-23T00:00:00"/>
    <x v="123"/>
    <s v="ganho de causa defesa"/>
    <d v="2035-01-30T00:00:00"/>
  </r>
  <r>
    <n v="71537"/>
    <x v="543"/>
    <n v="190"/>
    <d v="2034-08-31T00:00:00"/>
    <s v="0018"/>
    <d v="2034-10-06T00:00:00"/>
    <d v="2034-11-05T00:00:00"/>
    <x v="106"/>
    <n v="49305"/>
    <d v="2035-01-04T00:00:00"/>
  </r>
  <r>
    <n v="71538"/>
    <x v="544"/>
    <n v="230"/>
    <d v="2034-08-31T00:00:00"/>
    <s v="0013"/>
    <d v="2034-10-16T00:00:00"/>
    <d v="2034-11-14T00:00:00"/>
    <x v="103"/>
    <s v="ganho de causa defesa"/>
    <d v="2035-01-13T00:00:00"/>
  </r>
  <r>
    <n v="71539"/>
    <x v="545"/>
    <n v="108"/>
    <d v="2034-08-31T00:00:00"/>
    <s v="0005"/>
    <d v="2034-10-13T00:00:00"/>
    <d v="2034-10-31T00:00:00"/>
    <x v="94"/>
    <s v="ganho de causa defesa"/>
    <d v="2034-12-26T00:00:00"/>
  </r>
  <r>
    <n v="71540"/>
    <x v="546"/>
    <n v="236"/>
    <d v="2034-08-31T00:00:00"/>
    <s v="0004"/>
    <d v="2034-10-01T00:00:00"/>
    <d v="2034-10-24T00:00:00"/>
    <x v="84"/>
    <n v="61715"/>
    <d v="2035-01-11T00:00:00"/>
  </r>
  <r>
    <n v="71541"/>
    <x v="547"/>
    <n v="230"/>
    <d v="2034-09-01T00:00:00"/>
    <s v="0016"/>
    <d v="2034-10-23T00:00:00"/>
    <d v="2034-11-18T00:00:00"/>
    <x v="124"/>
    <s v="ganho de causa defesa"/>
    <d v="2035-01-20T00:00:00"/>
  </r>
  <r>
    <n v="71542"/>
    <x v="548"/>
    <n v="312"/>
    <d v="2034-09-01T00:00:00"/>
    <s v="0014"/>
    <d v="2034-10-27T00:00:00"/>
    <d v="2034-11-19T00:00:00"/>
    <x v="117"/>
    <n v="140276"/>
    <d v="2035-01-18T00:00:00"/>
  </r>
  <r>
    <n v="71543"/>
    <x v="549"/>
    <n v="20"/>
    <d v="2034-09-01T00:00:00"/>
    <s v="0015"/>
    <d v="2034-10-28T00:00:00"/>
    <d v="2034-11-17T00:00:00"/>
    <x v="125"/>
    <n v="143306"/>
    <d v="2035-01-26T00:00:00"/>
  </r>
  <r>
    <n v="71544"/>
    <x v="550"/>
    <n v="302"/>
    <d v="2034-09-01T00:00:00"/>
    <s v="0007"/>
    <d v="2034-10-29T00:00:00"/>
    <d v="2034-11-15T00:00:00"/>
    <x v="103"/>
    <s v="ganho de causa defesa"/>
    <d v="2035-01-04T00:00:00"/>
  </r>
  <r>
    <n v="71545"/>
    <x v="551"/>
    <n v="212"/>
    <d v="2034-09-01T00:00:00"/>
    <s v="0014"/>
    <d v="2034-10-23T00:00:00"/>
    <d v="2034-11-09T00:00:00"/>
    <x v="107"/>
    <n v="17909"/>
    <d v="2035-01-18T00:00:00"/>
  </r>
  <r>
    <n v="71546"/>
    <x v="552"/>
    <n v="27"/>
    <d v="2034-09-01T00:00:00"/>
    <s v="0017"/>
    <d v="2034-10-31T00:00:00"/>
    <d v="2034-11-22T00:00:00"/>
    <x v="123"/>
    <n v="118233"/>
    <d v="2035-01-26T00:00:00"/>
  </r>
  <r>
    <n v="71547"/>
    <x v="553"/>
    <n v="149"/>
    <d v="2034-09-02T00:00:00"/>
    <s v="0016"/>
    <d v="2034-10-27T00:00:00"/>
    <d v="2034-11-11T00:00:00"/>
    <x v="116"/>
    <s v="ganho de causa defesa"/>
    <d v="2035-01-30T00:00:00"/>
  </r>
  <r>
    <n v="71548"/>
    <x v="554"/>
    <n v="281"/>
    <d v="2034-09-03T00:00:00"/>
    <s v="0009"/>
    <d v="2034-10-28T00:00:00"/>
    <d v="2034-11-15T00:00:00"/>
    <x v="126"/>
    <n v="41685"/>
    <d v="2035-01-21T00:00:00"/>
  </r>
  <r>
    <n v="71549"/>
    <x v="555"/>
    <n v="337"/>
    <d v="2034-09-03T00:00:00"/>
    <s v="0009"/>
    <d v="2034-10-17T00:00:00"/>
    <d v="2034-11-09T00:00:00"/>
    <x v="108"/>
    <s v="ganho de causa defesa"/>
    <d v="2035-01-01T00:00:00"/>
  </r>
  <r>
    <n v="71550"/>
    <x v="556"/>
    <n v="137"/>
    <d v="2034-09-03T00:00:00"/>
    <s v="0007"/>
    <d v="2034-10-19T00:00:00"/>
    <d v="2034-11-05T00:00:00"/>
    <x v="105"/>
    <s v="ganho de causa defesa"/>
    <d v="2035-01-07T00:00:00"/>
  </r>
  <r>
    <n v="71551"/>
    <x v="557"/>
    <n v="229"/>
    <d v="2034-09-03T00:00:00"/>
    <s v="0007"/>
    <d v="2034-11-02T00:00:00"/>
    <d v="2034-11-21T00:00:00"/>
    <x v="113"/>
    <n v="26270"/>
    <d v="2035-01-11T00:00:00"/>
  </r>
  <r>
    <n v="71552"/>
    <x v="558"/>
    <n v="119"/>
    <d v="2034-09-03T00:00:00"/>
    <s v="0009"/>
    <d v="2034-10-31T00:00:00"/>
    <d v="2034-11-30T00:00:00"/>
    <x v="127"/>
    <n v="94710"/>
    <m/>
  </r>
  <r>
    <n v="71553"/>
    <x v="559"/>
    <n v="84"/>
    <d v="2034-09-03T00:00:00"/>
    <s v="0002"/>
    <d v="2034-10-30T00:00:00"/>
    <d v="2034-11-19T00:00:00"/>
    <x v="116"/>
    <n v="108871"/>
    <d v="2035-01-14T00:00:00"/>
  </r>
  <r>
    <n v="71554"/>
    <x v="560"/>
    <n v="13"/>
    <d v="2034-09-03T00:00:00"/>
    <s v="0002"/>
    <d v="2034-10-28T00:00:00"/>
    <d v="2034-11-24T00:00:00"/>
    <x v="128"/>
    <s v="ganho de causa defesa"/>
    <m/>
  </r>
  <r>
    <n v="71555"/>
    <x v="561"/>
    <n v="106"/>
    <d v="2034-09-03T00:00:00"/>
    <s v="0018"/>
    <d v="2034-10-21T00:00:00"/>
    <d v="2034-11-13T00:00:00"/>
    <x v="125"/>
    <s v="ganho de causa defesa"/>
    <d v="2035-01-17T00:00:00"/>
  </r>
  <r>
    <n v="71556"/>
    <x v="562"/>
    <n v="238"/>
    <d v="2034-09-03T00:00:00"/>
    <s v="0008"/>
    <d v="2034-10-12T00:00:00"/>
    <d v="2034-11-01T00:00:00"/>
    <x v="100"/>
    <n v="47212"/>
    <d v="2034-12-26T00:00:00"/>
  </r>
  <r>
    <n v="71557"/>
    <x v="563"/>
    <n v="242"/>
    <d v="2034-09-04T00:00:00"/>
    <s v="0006"/>
    <d v="2034-10-07T00:00:00"/>
    <d v="2034-10-28T00:00:00"/>
    <x v="101"/>
    <s v="ganho de causa defesa"/>
    <d v="2035-01-04T00:00:00"/>
  </r>
  <r>
    <n v="71558"/>
    <x v="564"/>
    <n v="178"/>
    <d v="2034-09-04T00:00:00"/>
    <s v="0010"/>
    <d v="2034-10-17T00:00:00"/>
    <d v="2034-11-09T00:00:00"/>
    <x v="100"/>
    <s v="ganho de causa defesa"/>
    <d v="2035-01-04T00:00:00"/>
  </r>
  <r>
    <n v="71559"/>
    <x v="565"/>
    <n v="245"/>
    <d v="2034-09-04T00:00:00"/>
    <s v="0001"/>
    <d v="2034-10-11T00:00:00"/>
    <d v="2034-11-10T00:00:00"/>
    <x v="116"/>
    <n v="7877"/>
    <d v="2035-01-07T00:00:00"/>
  </r>
  <r>
    <n v="71560"/>
    <x v="566"/>
    <n v="260"/>
    <d v="2034-09-04T00:00:00"/>
    <s v="0016"/>
    <d v="2034-10-09T00:00:00"/>
    <d v="2034-11-03T00:00:00"/>
    <x v="105"/>
    <s v="ganho de causa defesa"/>
    <d v="2035-01-02T00:00:00"/>
  </r>
  <r>
    <n v="71561"/>
    <x v="567"/>
    <n v="234"/>
    <d v="2034-09-04T00:00:00"/>
    <s v="0007"/>
    <d v="2034-10-26T00:00:00"/>
    <d v="2034-11-19T00:00:00"/>
    <x v="129"/>
    <s v="ganho de causa defesa"/>
    <m/>
  </r>
  <r>
    <n v="71562"/>
    <x v="568"/>
    <n v="240"/>
    <d v="2034-09-04T00:00:00"/>
    <s v="0015"/>
    <d v="2034-10-28T00:00:00"/>
    <d v="2034-11-19T00:00:00"/>
    <x v="103"/>
    <s v="ganho de causa defesa"/>
    <d v="2035-01-11T00:00:00"/>
  </r>
  <r>
    <n v="71563"/>
    <x v="569"/>
    <n v="255"/>
    <d v="2034-09-05T00:00:00"/>
    <s v="0004"/>
    <d v="2034-10-05T00:00:00"/>
    <d v="2034-11-01T00:00:00"/>
    <x v="97"/>
    <n v="30222"/>
    <d v="2034-12-19T00:00:00"/>
  </r>
  <r>
    <n v="71564"/>
    <x v="570"/>
    <n v="291"/>
    <d v="2034-09-05T00:00:00"/>
    <s v="0010"/>
    <d v="2034-10-12T00:00:00"/>
    <d v="2034-11-03T00:00:00"/>
    <x v="121"/>
    <s v="ganho de causa defesa"/>
    <d v="2035-01-13T00:00:00"/>
  </r>
  <r>
    <n v="71565"/>
    <x v="571"/>
    <n v="26"/>
    <d v="2034-09-05T00:00:00"/>
    <s v="0005"/>
    <d v="2034-10-20T00:00:00"/>
    <d v="2034-11-04T00:00:00"/>
    <x v="99"/>
    <n v="140450"/>
    <d v="2035-01-11T00:00:00"/>
  </r>
  <r>
    <n v="71566"/>
    <x v="572"/>
    <n v="68"/>
    <d v="2034-09-05T00:00:00"/>
    <s v="0009"/>
    <d v="2034-10-28T00:00:00"/>
    <d v="2034-11-12T00:00:00"/>
    <x v="121"/>
    <n v="65178"/>
    <d v="2034-12-29T00:00:00"/>
  </r>
  <r>
    <n v="71567"/>
    <x v="573"/>
    <n v="300"/>
    <d v="2034-09-05T00:00:00"/>
    <s v="0002"/>
    <d v="2034-10-10T00:00:00"/>
    <d v="2034-10-28T00:00:00"/>
    <x v="97"/>
    <s v="ganho de causa defesa"/>
    <d v="2034-12-19T00:00:00"/>
  </r>
  <r>
    <n v="71568"/>
    <x v="574"/>
    <n v="175"/>
    <d v="2034-09-05T00:00:00"/>
    <s v="0008"/>
    <d v="2034-11-01T00:00:00"/>
    <d v="2034-11-28T00:00:00"/>
    <x v="130"/>
    <n v="74494"/>
    <m/>
  </r>
  <r>
    <n v="71569"/>
    <x v="575"/>
    <n v="339"/>
    <d v="2034-09-05T00:00:00"/>
    <s v="0016"/>
    <d v="2034-10-21T00:00:00"/>
    <d v="2034-11-17T00:00:00"/>
    <x v="123"/>
    <s v="ganho de causa defesa"/>
    <d v="2035-02-01T00:00:00"/>
  </r>
  <r>
    <n v="71570"/>
    <x v="576"/>
    <n v="145"/>
    <d v="2034-09-06T00:00:00"/>
    <s v="0001"/>
    <d v="2034-10-11T00:00:00"/>
    <d v="2034-11-05T00:00:00"/>
    <x v="111"/>
    <s v="ganho de causa defesa"/>
    <d v="2035-01-25T00:00:00"/>
  </r>
  <r>
    <n v="71571"/>
    <x v="577"/>
    <n v="334"/>
    <d v="2034-09-06T00:00:00"/>
    <s v="0014"/>
    <d v="2034-10-20T00:00:00"/>
    <d v="2034-11-11T00:00:00"/>
    <x v="114"/>
    <s v="ganho de causa defesa"/>
    <d v="2035-01-20T00:00:00"/>
  </r>
  <r>
    <n v="71572"/>
    <x v="578"/>
    <n v="251"/>
    <d v="2034-09-06T00:00:00"/>
    <s v="0017"/>
    <d v="2034-10-12T00:00:00"/>
    <d v="2034-10-31T00:00:00"/>
    <x v="108"/>
    <n v="145491"/>
    <d v="2035-01-25T00:00:00"/>
  </r>
  <r>
    <n v="71573"/>
    <x v="579"/>
    <n v="291"/>
    <d v="2034-09-07T00:00:00"/>
    <s v="0009"/>
    <d v="2034-10-17T00:00:00"/>
    <d v="2034-11-09T00:00:00"/>
    <x v="113"/>
    <n v="143582"/>
    <d v="2035-01-14T00:00:00"/>
  </r>
  <r>
    <n v="71574"/>
    <x v="580"/>
    <n v="96"/>
    <d v="2034-09-07T00:00:00"/>
    <s v="0007"/>
    <d v="2034-10-17T00:00:00"/>
    <d v="2034-11-05T00:00:00"/>
    <x v="100"/>
    <s v="ganho de causa defesa"/>
    <d v="2035-01-12T00:00:00"/>
  </r>
  <r>
    <n v="71575"/>
    <x v="581"/>
    <n v="72"/>
    <d v="2034-09-07T00:00:00"/>
    <s v="0006"/>
    <d v="2034-10-11T00:00:00"/>
    <d v="2034-10-29T00:00:00"/>
    <x v="94"/>
    <s v="ganho de causa defesa"/>
    <d v="2035-01-09T00:00:00"/>
  </r>
  <r>
    <n v="71576"/>
    <x v="582"/>
    <n v="291"/>
    <d v="2034-09-07T00:00:00"/>
    <s v="0001"/>
    <d v="2034-10-21T00:00:00"/>
    <d v="2034-11-18T00:00:00"/>
    <x v="117"/>
    <n v="18856"/>
    <d v="2035-01-31T00:00:00"/>
  </r>
  <r>
    <n v="71577"/>
    <x v="583"/>
    <n v="139"/>
    <d v="2034-09-07T00:00:00"/>
    <s v="0002"/>
    <d v="2034-10-30T00:00:00"/>
    <d v="2034-11-21T00:00:00"/>
    <x v="126"/>
    <s v="ganho de causa defesa"/>
    <d v="2035-01-11T00:00:00"/>
  </r>
  <r>
    <n v="71578"/>
    <x v="584"/>
    <n v="240"/>
    <d v="2034-09-07T00:00:00"/>
    <s v="0011"/>
    <d v="2034-10-30T00:00:00"/>
    <d v="2034-11-21T00:00:00"/>
    <x v="119"/>
    <s v="ganho de causa defesa"/>
    <d v="2035-01-24T00:00:00"/>
  </r>
  <r>
    <n v="71579"/>
    <x v="585"/>
    <n v="94"/>
    <d v="2034-09-07T00:00:00"/>
    <s v="0017"/>
    <d v="2034-10-20T00:00:00"/>
    <d v="2034-11-06T00:00:00"/>
    <x v="106"/>
    <n v="7682"/>
    <d v="2035-01-07T00:00:00"/>
  </r>
  <r>
    <n v="71580"/>
    <x v="586"/>
    <n v="0"/>
    <d v="2034-09-07T00:00:00"/>
    <s v="0002"/>
    <d v="2034-11-06T00:00:00"/>
    <d v="2034-12-05T00:00:00"/>
    <x v="131"/>
    <s v="ganho de causa defesa"/>
    <d v="2035-01-29T00:00:00"/>
  </r>
  <r>
    <n v="71581"/>
    <x v="587"/>
    <n v="136"/>
    <d v="2034-09-07T00:00:00"/>
    <s v="0003"/>
    <d v="2034-10-21T00:00:00"/>
    <d v="2034-11-14T00:00:00"/>
    <x v="125"/>
    <s v="ganho de causa defesa"/>
    <d v="2035-01-20T00:00:00"/>
  </r>
  <r>
    <n v="71582"/>
    <x v="588"/>
    <n v="187"/>
    <d v="2034-09-07T00:00:00"/>
    <s v="0007"/>
    <d v="2034-10-30T00:00:00"/>
    <d v="2034-11-21T00:00:00"/>
    <x v="132"/>
    <n v="89138"/>
    <d v="2035-01-26T00:00:00"/>
  </r>
  <r>
    <n v="71583"/>
    <x v="589"/>
    <n v="272"/>
    <d v="2034-09-07T00:00:00"/>
    <s v="0009"/>
    <d v="2034-10-09T00:00:00"/>
    <d v="2034-11-03T00:00:00"/>
    <x v="97"/>
    <s v="ganho de causa defesa"/>
    <d v="2035-01-06T00:00:00"/>
  </r>
  <r>
    <n v="71584"/>
    <x v="590"/>
    <n v="55"/>
    <d v="2034-09-08T00:00:00"/>
    <s v="0003"/>
    <d v="2034-10-17T00:00:00"/>
    <d v="2034-11-08T00:00:00"/>
    <x v="113"/>
    <s v="ganho de causa defesa"/>
    <d v="2035-01-25T00:00:00"/>
  </r>
  <r>
    <n v="71585"/>
    <x v="591"/>
    <n v="269"/>
    <d v="2034-09-08T00:00:00"/>
    <s v="0013"/>
    <d v="2034-11-01T00:00:00"/>
    <d v="2034-11-22T00:00:00"/>
    <x v="112"/>
    <n v="113667"/>
    <d v="2035-01-28T00:00:00"/>
  </r>
  <r>
    <n v="71586"/>
    <x v="592"/>
    <n v="6"/>
    <d v="2034-09-08T00:00:00"/>
    <s v="0003"/>
    <d v="2034-11-06T00:00:00"/>
    <d v="2034-12-06T00:00:00"/>
    <x v="133"/>
    <n v="65461"/>
    <m/>
  </r>
  <r>
    <n v="71587"/>
    <x v="593"/>
    <n v="306"/>
    <d v="2034-09-08T00:00:00"/>
    <s v="0014"/>
    <d v="2034-10-22T00:00:00"/>
    <d v="2034-11-08T00:00:00"/>
    <x v="121"/>
    <n v="38290"/>
    <d v="2035-01-11T00:00:00"/>
  </r>
  <r>
    <n v="71588"/>
    <x v="594"/>
    <n v="174"/>
    <d v="2034-09-08T00:00:00"/>
    <s v="0008"/>
    <d v="2034-10-26T00:00:00"/>
    <d v="2034-11-13T00:00:00"/>
    <x v="126"/>
    <n v="94753"/>
    <d v="2035-01-15T00:00:00"/>
  </r>
  <r>
    <n v="71589"/>
    <x v="595"/>
    <n v="27"/>
    <d v="2034-09-08T00:00:00"/>
    <s v="0018"/>
    <d v="2034-10-31T00:00:00"/>
    <d v="2034-11-28T00:00:00"/>
    <x v="134"/>
    <n v="128456"/>
    <m/>
  </r>
  <r>
    <n v="71590"/>
    <x v="596"/>
    <n v="6"/>
    <d v="2034-09-08T00:00:00"/>
    <s v="0018"/>
    <d v="2034-10-15T00:00:00"/>
    <d v="2034-11-07T00:00:00"/>
    <x v="107"/>
    <s v="ganho de causa defesa"/>
    <d v="2035-01-29T00:00:00"/>
  </r>
  <r>
    <n v="71591"/>
    <x v="597"/>
    <n v="86"/>
    <d v="2034-09-08T00:00:00"/>
    <s v="0016"/>
    <d v="2034-10-23T00:00:00"/>
    <d v="2034-11-16T00:00:00"/>
    <x v="132"/>
    <s v="ganho de causa defesa"/>
    <d v="2035-01-30T00:00:00"/>
  </r>
  <r>
    <n v="71592"/>
    <x v="598"/>
    <n v="326"/>
    <d v="2034-09-08T00:00:00"/>
    <s v="0009"/>
    <d v="2034-10-26T00:00:00"/>
    <d v="2034-11-14T00:00:00"/>
    <x v="106"/>
    <s v="ganho de causa defesa"/>
    <d v="2035-01-16T00:00:00"/>
  </r>
  <r>
    <n v="71593"/>
    <x v="599"/>
    <n v="181"/>
    <d v="2034-09-09T00:00:00"/>
    <s v="0011"/>
    <d v="2034-11-02T00:00:00"/>
    <d v="2034-11-22T00:00:00"/>
    <x v="124"/>
    <n v="35634"/>
    <d v="2035-01-30T00:00:00"/>
  </r>
  <r>
    <n v="71594"/>
    <x v="600"/>
    <n v="133"/>
    <d v="2034-09-09T00:00:00"/>
    <s v="0018"/>
    <d v="2034-10-24T00:00:00"/>
    <d v="2034-11-15T00:00:00"/>
    <x v="135"/>
    <s v="ganho de causa defesa"/>
    <m/>
  </r>
  <r>
    <n v="71595"/>
    <x v="601"/>
    <n v="119"/>
    <d v="2034-09-09T00:00:00"/>
    <s v="0002"/>
    <d v="2034-10-11T00:00:00"/>
    <d v="2034-11-09T00:00:00"/>
    <x v="116"/>
    <s v="ganho de causa defesa"/>
    <d v="2035-01-30T00:00:00"/>
  </r>
  <r>
    <n v="71596"/>
    <x v="602"/>
    <n v="208"/>
    <d v="2034-09-09T00:00:00"/>
    <s v="0010"/>
    <d v="2034-10-20T00:00:00"/>
    <d v="2034-11-07T00:00:00"/>
    <x v="114"/>
    <s v="ganho de causa defesa"/>
    <m/>
  </r>
  <r>
    <n v="71597"/>
    <x v="603"/>
    <n v="224"/>
    <d v="2034-09-09T00:00:00"/>
    <s v="0004"/>
    <d v="2034-10-16T00:00:00"/>
    <d v="2034-11-15T00:00:00"/>
    <x v="117"/>
    <s v="ganho de causa defesa"/>
    <m/>
  </r>
  <r>
    <n v="71598"/>
    <x v="604"/>
    <n v="320"/>
    <d v="2034-09-09T00:00:00"/>
    <s v="0007"/>
    <d v="2034-11-04T00:00:00"/>
    <d v="2034-11-22T00:00:00"/>
    <x v="136"/>
    <s v="ganho de causa defesa"/>
    <m/>
  </r>
  <r>
    <n v="71599"/>
    <x v="605"/>
    <n v="164"/>
    <d v="2034-09-09T00:00:00"/>
    <s v="0014"/>
    <d v="2034-11-08T00:00:00"/>
    <d v="2034-12-07T00:00:00"/>
    <x v="131"/>
    <s v="ganho de causa defesa"/>
    <m/>
  </r>
  <r>
    <n v="71600"/>
    <x v="606"/>
    <n v="65"/>
    <d v="2034-09-09T00:00:00"/>
    <s v="0002"/>
    <d v="2034-11-01T00:00:00"/>
    <d v="2034-11-27T00:00:00"/>
    <x v="124"/>
    <s v="ganho de causa defesa"/>
    <d v="2035-01-25T00:00:00"/>
  </r>
  <r>
    <n v="71601"/>
    <x v="607"/>
    <n v="37"/>
    <d v="2034-09-09T00:00:00"/>
    <s v="0008"/>
    <d v="2034-10-17T00:00:00"/>
    <d v="2034-11-15T00:00:00"/>
    <x v="106"/>
    <n v="113368"/>
    <d v="2035-01-15T00:00:00"/>
  </r>
  <r>
    <n v="71602"/>
    <x v="608"/>
    <n v="21"/>
    <d v="2034-09-10T00:00:00"/>
    <s v="0013"/>
    <d v="2034-11-03T00:00:00"/>
    <d v="2034-11-18T00:00:00"/>
    <x v="119"/>
    <s v="ganho de causa defesa"/>
    <d v="2035-01-17T00:00:00"/>
  </r>
  <r>
    <n v="71603"/>
    <x v="609"/>
    <n v="322"/>
    <d v="2034-09-10T00:00:00"/>
    <s v="0004"/>
    <d v="2034-10-30T00:00:00"/>
    <d v="2034-11-18T00:00:00"/>
    <x v="114"/>
    <s v="ganho de causa defesa"/>
    <d v="2035-01-11T00:00:00"/>
  </r>
  <r>
    <n v="71604"/>
    <x v="610"/>
    <n v="164"/>
    <d v="2034-09-10T00:00:00"/>
    <s v="0018"/>
    <d v="2034-10-20T00:00:00"/>
    <d v="2034-11-08T00:00:00"/>
    <x v="114"/>
    <s v="ganho de causa defesa"/>
    <d v="2035-01-12T00:00:00"/>
  </r>
  <r>
    <n v="71605"/>
    <x v="611"/>
    <n v="195"/>
    <d v="2034-09-10T00:00:00"/>
    <s v="0009"/>
    <d v="2034-10-20T00:00:00"/>
    <d v="2034-11-16T00:00:00"/>
    <x v="125"/>
    <s v="ganho de causa defesa"/>
    <d v="2035-01-19T00:00:00"/>
  </r>
  <r>
    <n v="71606"/>
    <x v="612"/>
    <n v="135"/>
    <d v="2034-09-10T00:00:00"/>
    <s v="0011"/>
    <d v="2034-10-13T00:00:00"/>
    <d v="2034-11-09T00:00:00"/>
    <x v="114"/>
    <n v="62585"/>
    <d v="2035-01-20T00:00:00"/>
  </r>
  <r>
    <n v="71607"/>
    <x v="613"/>
    <n v="173"/>
    <d v="2034-09-10T00:00:00"/>
    <s v="0017"/>
    <d v="2034-10-16T00:00:00"/>
    <d v="2034-11-12T00:00:00"/>
    <x v="121"/>
    <n v="56910"/>
    <d v="2035-01-01T00:00:00"/>
  </r>
  <r>
    <n v="71608"/>
    <x v="614"/>
    <n v="40"/>
    <d v="2034-09-11T00:00:00"/>
    <s v="0017"/>
    <d v="2034-10-31T00:00:00"/>
    <d v="2034-11-15T00:00:00"/>
    <x v="103"/>
    <n v="90829"/>
    <d v="2035-01-18T00:00:00"/>
  </r>
  <r>
    <n v="71609"/>
    <x v="615"/>
    <n v="153"/>
    <d v="2034-09-11T00:00:00"/>
    <s v="0015"/>
    <d v="2034-11-03T00:00:00"/>
    <d v="2034-11-27T00:00:00"/>
    <x v="137"/>
    <n v="29530"/>
    <d v="2035-02-01T00:00:00"/>
  </r>
  <r>
    <n v="71610"/>
    <x v="616"/>
    <n v="149"/>
    <d v="2034-09-11T00:00:00"/>
    <s v="0009"/>
    <d v="2034-10-29T00:00:00"/>
    <d v="2034-11-13T00:00:00"/>
    <x v="107"/>
    <n v="25412"/>
    <d v="2035-01-17T00:00:00"/>
  </r>
  <r>
    <n v="71611"/>
    <x v="617"/>
    <n v="170"/>
    <d v="2034-09-11T00:00:00"/>
    <s v="0002"/>
    <d v="2034-10-17T00:00:00"/>
    <d v="2034-11-11T00:00:00"/>
    <x v="113"/>
    <n v="11628"/>
    <d v="2035-01-08T00:00:00"/>
  </r>
  <r>
    <n v="71612"/>
    <x v="618"/>
    <n v="171"/>
    <d v="2034-09-11T00:00:00"/>
    <s v="0014"/>
    <d v="2034-10-20T00:00:00"/>
    <d v="2034-11-10T00:00:00"/>
    <x v="99"/>
    <n v="1179"/>
    <d v="2035-01-09T00:00:00"/>
  </r>
  <r>
    <n v="71613"/>
    <x v="619"/>
    <n v="337"/>
    <d v="2034-09-11T00:00:00"/>
    <s v="0017"/>
    <d v="2034-10-24T00:00:00"/>
    <d v="2034-11-23T00:00:00"/>
    <x v="123"/>
    <s v="ganho de causa defesa"/>
    <d v="2035-01-23T00:00:00"/>
  </r>
  <r>
    <n v="71614"/>
    <x v="620"/>
    <n v="287"/>
    <d v="2034-09-11T00:00:00"/>
    <s v="0014"/>
    <d v="2034-10-12T00:00:00"/>
    <d v="2034-10-28T00:00:00"/>
    <x v="109"/>
    <s v="ganho de causa defesa"/>
    <d v="2035-01-02T00:00:00"/>
  </r>
  <r>
    <n v="71615"/>
    <x v="621"/>
    <n v="107"/>
    <d v="2034-09-11T00:00:00"/>
    <s v="0008"/>
    <d v="2034-11-06T00:00:00"/>
    <d v="2034-11-25T00:00:00"/>
    <x v="128"/>
    <n v="94803"/>
    <m/>
  </r>
  <r>
    <n v="71616"/>
    <x v="622"/>
    <n v="114"/>
    <d v="2034-09-11T00:00:00"/>
    <s v="0006"/>
    <d v="2034-10-15T00:00:00"/>
    <d v="2034-11-06T00:00:00"/>
    <x v="109"/>
    <s v="ganho de causa defesa"/>
    <d v="2034-12-29T00:00:00"/>
  </r>
  <r>
    <n v="71617"/>
    <x v="623"/>
    <n v="216"/>
    <d v="2034-09-12T00:00:00"/>
    <s v="0003"/>
    <d v="2034-11-09T00:00:00"/>
    <d v="2034-12-07T00:00:00"/>
    <x v="138"/>
    <n v="119388"/>
    <m/>
  </r>
  <r>
    <n v="71618"/>
    <x v="624"/>
    <n v="233"/>
    <d v="2034-09-12T00:00:00"/>
    <s v="0014"/>
    <d v="2034-11-01T00:00:00"/>
    <d v="2034-11-29T00:00:00"/>
    <x v="138"/>
    <n v="125977"/>
    <m/>
  </r>
  <r>
    <n v="71619"/>
    <x v="625"/>
    <n v="336"/>
    <d v="2034-09-12T00:00:00"/>
    <s v="0010"/>
    <d v="2034-10-30T00:00:00"/>
    <d v="2034-11-24T00:00:00"/>
    <x v="119"/>
    <s v="ganho de causa defesa"/>
    <d v="2035-01-09T00:00:00"/>
  </r>
  <r>
    <n v="71620"/>
    <x v="626"/>
    <n v="213"/>
    <d v="2034-09-12T00:00:00"/>
    <s v="0009"/>
    <d v="2034-10-13T00:00:00"/>
    <d v="2034-10-28T00:00:00"/>
    <x v="101"/>
    <n v="35585"/>
    <d v="2035-01-11T00:00:00"/>
  </r>
  <r>
    <n v="71621"/>
    <x v="627"/>
    <n v="93"/>
    <d v="2034-09-12T00:00:00"/>
    <s v="0015"/>
    <d v="2034-10-14T00:00:00"/>
    <d v="2034-11-12T00:00:00"/>
    <x v="99"/>
    <n v="145516"/>
    <d v="2035-01-28T00:00:00"/>
  </r>
  <r>
    <n v="71622"/>
    <x v="628"/>
    <n v="153"/>
    <d v="2034-09-13T00:00:00"/>
    <s v="0016"/>
    <d v="2034-11-01T00:00:00"/>
    <d v="2034-11-23T00:00:00"/>
    <x v="124"/>
    <n v="140847"/>
    <d v="2035-01-31T00:00:00"/>
  </r>
  <r>
    <n v="71623"/>
    <x v="629"/>
    <n v="230"/>
    <d v="2034-09-13T00:00:00"/>
    <s v="0006"/>
    <d v="2034-10-28T00:00:00"/>
    <d v="2034-11-24T00:00:00"/>
    <x v="139"/>
    <s v="ganho de causa defesa"/>
    <m/>
  </r>
  <r>
    <n v="71624"/>
    <x v="630"/>
    <n v="104"/>
    <d v="2034-09-13T00:00:00"/>
    <s v="0010"/>
    <d v="2034-10-22T00:00:00"/>
    <d v="2034-11-06T00:00:00"/>
    <x v="117"/>
    <s v="ganho de causa defesa"/>
    <d v="2035-01-20T00:00:00"/>
  </r>
  <r>
    <n v="71625"/>
    <x v="631"/>
    <n v="57"/>
    <d v="2034-09-13T00:00:00"/>
    <s v="0012"/>
    <d v="2034-10-16T00:00:00"/>
    <d v="2034-11-04T00:00:00"/>
    <x v="121"/>
    <n v="89809"/>
    <d v="2035-01-25T00:00:00"/>
  </r>
  <r>
    <n v="71626"/>
    <x v="632"/>
    <n v="243"/>
    <d v="2034-09-13T00:00:00"/>
    <s v="0018"/>
    <d v="2034-11-08T00:00:00"/>
    <d v="2034-11-28T00:00:00"/>
    <x v="138"/>
    <s v="ganho de causa defesa"/>
    <m/>
  </r>
  <r>
    <n v="71627"/>
    <x v="633"/>
    <n v="277"/>
    <d v="2034-09-13T00:00:00"/>
    <s v="0003"/>
    <d v="2034-11-04T00:00:00"/>
    <d v="2034-11-22T00:00:00"/>
    <x v="132"/>
    <s v="ganho de causa defesa"/>
    <m/>
  </r>
  <r>
    <n v="71628"/>
    <x v="634"/>
    <n v="47"/>
    <d v="2034-09-14T00:00:00"/>
    <s v="0014"/>
    <d v="2034-11-06T00:00:00"/>
    <d v="2034-12-04T00:00:00"/>
    <x v="134"/>
    <s v="ganho de causa defesa"/>
    <m/>
  </r>
  <r>
    <n v="71629"/>
    <x v="635"/>
    <n v="225"/>
    <d v="2034-09-14T00:00:00"/>
    <s v="0008"/>
    <d v="2034-11-10T00:00:00"/>
    <d v="2034-11-25T00:00:00"/>
    <x v="129"/>
    <n v="82110"/>
    <d v="2035-01-17T00:00:00"/>
  </r>
  <r>
    <n v="71630"/>
    <x v="636"/>
    <n v="82"/>
    <d v="2034-09-14T00:00:00"/>
    <s v="0004"/>
    <d v="2034-11-09T00:00:00"/>
    <d v="2034-11-25T00:00:00"/>
    <x v="126"/>
    <n v="131887"/>
    <m/>
  </r>
  <r>
    <n v="71631"/>
    <x v="637"/>
    <n v="163"/>
    <d v="2034-09-14T00:00:00"/>
    <s v="0012"/>
    <d v="2034-11-03T00:00:00"/>
    <d v="2034-11-19T00:00:00"/>
    <x v="135"/>
    <s v="ganho de causa defesa"/>
    <m/>
  </r>
  <r>
    <n v="71632"/>
    <x v="638"/>
    <n v="238"/>
    <d v="2034-09-14T00:00:00"/>
    <s v="0007"/>
    <d v="2034-11-13T00:00:00"/>
    <d v="2034-12-05T00:00:00"/>
    <x v="134"/>
    <n v="126618"/>
    <d v="2035-02-01T00:00:00"/>
  </r>
  <r>
    <n v="71633"/>
    <x v="639"/>
    <n v="322"/>
    <d v="2034-09-14T00:00:00"/>
    <s v="0001"/>
    <d v="2034-11-11T00:00:00"/>
    <d v="2034-11-29T00:00:00"/>
    <x v="134"/>
    <n v="93280"/>
    <m/>
  </r>
  <r>
    <n v="71634"/>
    <x v="640"/>
    <n v="302"/>
    <d v="2034-09-14T00:00:00"/>
    <s v="0008"/>
    <d v="2034-11-13T00:00:00"/>
    <d v="2034-12-03T00:00:00"/>
    <x v="140"/>
    <n v="57024"/>
    <m/>
  </r>
  <r>
    <n v="71635"/>
    <x v="641"/>
    <n v="223"/>
    <d v="2034-09-14T00:00:00"/>
    <s v="0006"/>
    <d v="2034-10-20T00:00:00"/>
    <d v="2034-11-17T00:00:00"/>
    <x v="136"/>
    <n v="27633"/>
    <d v="2035-01-17T00:00:00"/>
  </r>
  <r>
    <n v="71636"/>
    <x v="642"/>
    <n v="179"/>
    <d v="2034-09-14T00:00:00"/>
    <s v="0018"/>
    <d v="2034-10-18T00:00:00"/>
    <d v="2034-11-08T00:00:00"/>
    <x v="115"/>
    <s v="ganho de causa defesa"/>
    <d v="2035-01-03T00:00:00"/>
  </r>
  <r>
    <n v="71637"/>
    <x v="643"/>
    <n v="323"/>
    <d v="2034-09-14T00:00:00"/>
    <s v="0016"/>
    <d v="2034-10-27T00:00:00"/>
    <d v="2034-11-13T00:00:00"/>
    <x v="99"/>
    <s v="ganho de causa defesa"/>
    <d v="2035-01-12T00:00:00"/>
  </r>
  <r>
    <n v="71638"/>
    <x v="644"/>
    <n v="290"/>
    <d v="2034-09-15T00:00:00"/>
    <s v="0005"/>
    <d v="2034-10-18T00:00:00"/>
    <d v="2034-11-11T00:00:00"/>
    <x v="117"/>
    <n v="28442"/>
    <d v="2035-01-08T00:00:00"/>
  </r>
  <r>
    <n v="71639"/>
    <x v="645"/>
    <n v="201"/>
    <d v="2034-09-15T00:00:00"/>
    <s v="0006"/>
    <d v="2034-10-16T00:00:00"/>
    <d v="2034-11-10T00:00:00"/>
    <x v="116"/>
    <n v="4047"/>
    <d v="2035-01-26T00:00:00"/>
  </r>
  <r>
    <n v="71640"/>
    <x v="646"/>
    <n v="197"/>
    <d v="2034-09-15T00:00:00"/>
    <s v="0011"/>
    <d v="2034-11-06T00:00:00"/>
    <d v="2034-11-28T00:00:00"/>
    <x v="135"/>
    <s v="ganho de causa defesa"/>
    <d v="2035-01-22T00:00:00"/>
  </r>
  <r>
    <n v="71641"/>
    <x v="647"/>
    <n v="321"/>
    <d v="2034-09-15T00:00:00"/>
    <s v="0011"/>
    <d v="2034-10-19T00:00:00"/>
    <d v="2034-11-15T00:00:00"/>
    <x v="132"/>
    <n v="38397"/>
    <d v="2035-01-20T00:00:00"/>
  </r>
  <r>
    <n v="71642"/>
    <x v="648"/>
    <n v="156"/>
    <d v="2034-09-16T00:00:00"/>
    <s v="0015"/>
    <d v="2034-11-15T00:00:00"/>
    <d v="2034-12-01T00:00:00"/>
    <x v="128"/>
    <n v="118944"/>
    <m/>
  </r>
  <r>
    <n v="71643"/>
    <x v="649"/>
    <n v="86"/>
    <d v="2034-09-16T00:00:00"/>
    <s v="0004"/>
    <d v="2034-11-08T00:00:00"/>
    <d v="2034-11-26T00:00:00"/>
    <x v="123"/>
    <n v="106334"/>
    <d v="2035-01-23T00:00:00"/>
  </r>
  <r>
    <n v="71644"/>
    <x v="650"/>
    <n v="293"/>
    <d v="2034-09-16T00:00:00"/>
    <s v="0015"/>
    <d v="2034-10-17T00:00:00"/>
    <d v="2034-11-13T00:00:00"/>
    <x v="99"/>
    <n v="104838"/>
    <d v="2035-01-14T00:00:00"/>
  </r>
  <r>
    <n v="71645"/>
    <x v="651"/>
    <n v="169"/>
    <d v="2034-09-16T00:00:00"/>
    <s v="0006"/>
    <d v="2034-10-27T00:00:00"/>
    <d v="2034-11-20T00:00:00"/>
    <x v="129"/>
    <s v="ganho de causa defesa"/>
    <d v="2035-01-21T00:00:00"/>
  </r>
  <r>
    <n v="71646"/>
    <x v="652"/>
    <n v="306"/>
    <d v="2034-09-16T00:00:00"/>
    <s v="0001"/>
    <d v="2034-11-12T00:00:00"/>
    <d v="2034-12-11T00:00:00"/>
    <x v="141"/>
    <s v="ganho de causa defesa"/>
    <m/>
  </r>
  <r>
    <n v="71647"/>
    <x v="653"/>
    <n v="111"/>
    <d v="2034-09-16T00:00:00"/>
    <s v="0003"/>
    <d v="2034-11-11T00:00:00"/>
    <d v="2034-12-09T00:00:00"/>
    <x v="142"/>
    <n v="118873"/>
    <m/>
  </r>
  <r>
    <n v="71648"/>
    <x v="654"/>
    <n v="325"/>
    <d v="2034-09-16T00:00:00"/>
    <s v="0012"/>
    <d v="2034-10-21T00:00:00"/>
    <d v="2034-11-14T00:00:00"/>
    <x v="103"/>
    <s v="ganho de causa defesa"/>
    <d v="2035-01-22T00:00:00"/>
  </r>
  <r>
    <n v="71649"/>
    <x v="655"/>
    <n v="277"/>
    <d v="2034-09-16T00:00:00"/>
    <s v="0011"/>
    <d v="2034-11-10T00:00:00"/>
    <d v="2034-12-08T00:00:00"/>
    <x v="143"/>
    <n v="30435"/>
    <m/>
  </r>
  <r>
    <n v="71650"/>
    <x v="656"/>
    <n v="283"/>
    <d v="2034-09-16T00:00:00"/>
    <s v="0005"/>
    <d v="2034-10-23T00:00:00"/>
    <d v="2034-11-08T00:00:00"/>
    <x v="121"/>
    <n v="14389"/>
    <d v="2035-01-27T00:00:00"/>
  </r>
  <r>
    <n v="71651"/>
    <x v="657"/>
    <n v="30"/>
    <d v="2034-09-16T00:00:00"/>
    <s v="0017"/>
    <d v="2034-11-13T00:00:00"/>
    <d v="2034-12-07T00:00:00"/>
    <x v="144"/>
    <s v="ganho de causa defesa"/>
    <m/>
  </r>
  <r>
    <n v="71652"/>
    <x v="658"/>
    <n v="163"/>
    <d v="2034-09-16T00:00:00"/>
    <s v="0002"/>
    <d v="2034-10-26T00:00:00"/>
    <d v="2034-11-20T00:00:00"/>
    <x v="136"/>
    <s v="ganho de causa defesa"/>
    <d v="2035-01-23T00:00:00"/>
  </r>
  <r>
    <n v="71653"/>
    <x v="659"/>
    <n v="73"/>
    <d v="2034-09-16T00:00:00"/>
    <s v="0005"/>
    <d v="2034-10-27T00:00:00"/>
    <d v="2034-11-25T00:00:00"/>
    <x v="134"/>
    <s v="ganho de causa defesa"/>
    <d v="2035-01-30T00:00:00"/>
  </r>
  <r>
    <n v="71654"/>
    <x v="660"/>
    <n v="334"/>
    <d v="2034-09-17T00:00:00"/>
    <s v="0007"/>
    <d v="2034-11-03T00:00:00"/>
    <d v="2034-11-22T00:00:00"/>
    <x v="124"/>
    <s v="ganho de causa defesa"/>
    <m/>
  </r>
  <r>
    <n v="71655"/>
    <x v="661"/>
    <n v="50"/>
    <d v="2034-09-17T00:00:00"/>
    <s v="0011"/>
    <d v="2034-11-15T00:00:00"/>
    <d v="2034-12-15T00:00:00"/>
    <x v="145"/>
    <n v="133147"/>
    <m/>
  </r>
  <r>
    <n v="71656"/>
    <x v="662"/>
    <n v="170"/>
    <d v="2034-09-17T00:00:00"/>
    <s v="0006"/>
    <d v="2034-10-21T00:00:00"/>
    <d v="2034-11-12T00:00:00"/>
    <x v="126"/>
    <s v="ganho de causa defesa"/>
    <d v="2035-01-26T00:00:00"/>
  </r>
  <r>
    <n v="71657"/>
    <x v="663"/>
    <n v="305"/>
    <d v="2034-09-17T00:00:00"/>
    <s v="0001"/>
    <d v="2034-10-29T00:00:00"/>
    <d v="2034-11-19T00:00:00"/>
    <x v="103"/>
    <s v="ganho de causa defesa"/>
    <d v="2035-01-14T00:00:00"/>
  </r>
  <r>
    <n v="71658"/>
    <x v="664"/>
    <n v="41"/>
    <d v="2034-09-17T00:00:00"/>
    <s v="0016"/>
    <d v="2034-10-18T00:00:00"/>
    <d v="2034-11-07T00:00:00"/>
    <x v="121"/>
    <n v="42921"/>
    <d v="2035-01-12T00:00:00"/>
  </r>
  <r>
    <n v="71659"/>
    <x v="665"/>
    <n v="53"/>
    <d v="2034-09-17T00:00:00"/>
    <s v="0010"/>
    <d v="2034-11-03T00:00:00"/>
    <d v="2034-11-20T00:00:00"/>
    <x v="125"/>
    <n v="108900"/>
    <d v="2035-01-22T00:00:00"/>
  </r>
  <r>
    <n v="71660"/>
    <x v="666"/>
    <n v="65"/>
    <d v="2034-09-17T00:00:00"/>
    <s v="0013"/>
    <d v="2034-10-21T00:00:00"/>
    <d v="2034-11-16T00:00:00"/>
    <x v="136"/>
    <s v="ganho de causa defesa"/>
    <d v="2035-02-01T00:00:00"/>
  </r>
  <r>
    <n v="71661"/>
    <x v="667"/>
    <n v="105"/>
    <d v="2034-09-17T00:00:00"/>
    <s v="0004"/>
    <d v="2034-10-19T00:00:00"/>
    <d v="2034-11-05T00:00:00"/>
    <x v="103"/>
    <s v="ganho de causa defesa"/>
    <d v="2035-01-07T00:00:00"/>
  </r>
  <r>
    <n v="71662"/>
    <x v="668"/>
    <n v="194"/>
    <d v="2034-09-18T00:00:00"/>
    <s v="0013"/>
    <d v="2034-11-16T00:00:00"/>
    <d v="2034-12-13T00:00:00"/>
    <x v="141"/>
    <s v="ganho de causa defesa"/>
    <m/>
  </r>
  <r>
    <n v="71663"/>
    <x v="669"/>
    <n v="28"/>
    <d v="2034-09-18T00:00:00"/>
    <s v="0008"/>
    <d v="2034-11-16T00:00:00"/>
    <d v="2034-12-15T00:00:00"/>
    <x v="146"/>
    <n v="37159"/>
    <m/>
  </r>
  <r>
    <n v="71664"/>
    <x v="670"/>
    <n v="58"/>
    <d v="2034-09-18T00:00:00"/>
    <s v="0011"/>
    <d v="2034-10-22T00:00:00"/>
    <d v="2034-11-19T00:00:00"/>
    <x v="126"/>
    <n v="41632"/>
    <d v="2035-01-18T00:00:00"/>
  </r>
  <r>
    <n v="71665"/>
    <x v="671"/>
    <n v="237"/>
    <d v="2034-09-18T00:00:00"/>
    <s v="0018"/>
    <d v="2034-11-12T00:00:00"/>
    <d v="2034-11-27T00:00:00"/>
    <x v="139"/>
    <n v="83646"/>
    <m/>
  </r>
  <r>
    <n v="71666"/>
    <x v="672"/>
    <n v="29"/>
    <d v="2034-09-19T00:00:00"/>
    <s v="0002"/>
    <d v="2034-11-14T00:00:00"/>
    <d v="2034-12-10T00:00:00"/>
    <x v="144"/>
    <n v="61620"/>
    <m/>
  </r>
  <r>
    <n v="71667"/>
    <x v="673"/>
    <n v="17"/>
    <d v="2034-09-19T00:00:00"/>
    <s v="0013"/>
    <d v="2034-10-24T00:00:00"/>
    <d v="2034-11-16T00:00:00"/>
    <x v="119"/>
    <s v="ganho de causa defesa"/>
    <m/>
  </r>
  <r>
    <n v="71668"/>
    <x v="674"/>
    <n v="289"/>
    <d v="2034-09-19T00:00:00"/>
    <s v="0004"/>
    <d v="2034-11-16T00:00:00"/>
    <d v="2034-12-16T00:00:00"/>
    <x v="141"/>
    <n v="68797"/>
    <m/>
  </r>
  <r>
    <n v="71669"/>
    <x v="675"/>
    <n v="299"/>
    <d v="2034-09-20T00:00:00"/>
    <s v="0001"/>
    <d v="2034-11-02T00:00:00"/>
    <d v="2034-11-30T00:00:00"/>
    <x v="134"/>
    <s v="ganho de causa defesa"/>
    <m/>
  </r>
  <r>
    <n v="71670"/>
    <x v="676"/>
    <n v="73"/>
    <d v="2034-09-21T00:00:00"/>
    <s v="0017"/>
    <d v="2034-11-13T00:00:00"/>
    <d v="2034-11-29T00:00:00"/>
    <x v="123"/>
    <s v="ganho de causa defesa"/>
    <d v="2035-01-27T00:00:00"/>
  </r>
  <r>
    <n v="71671"/>
    <x v="677"/>
    <n v="306"/>
    <d v="2034-09-21T00:00:00"/>
    <s v="0018"/>
    <d v="2034-10-21T00:00:00"/>
    <d v="2034-11-12T00:00:00"/>
    <x v="119"/>
    <s v="ganho de causa defesa"/>
    <d v="2035-01-17T00:00:00"/>
  </r>
  <r>
    <n v="71672"/>
    <x v="678"/>
    <n v="41"/>
    <d v="2034-09-21T00:00:00"/>
    <s v="0001"/>
    <d v="2034-11-07T00:00:00"/>
    <d v="2034-12-06T00:00:00"/>
    <x v="128"/>
    <s v="ganho de causa defesa"/>
    <d v="2035-01-22T00:00:00"/>
  </r>
  <r>
    <n v="71673"/>
    <x v="679"/>
    <n v="160"/>
    <d v="2034-09-21T00:00:00"/>
    <s v="0017"/>
    <d v="2034-10-22T00:00:00"/>
    <d v="2034-11-15T00:00:00"/>
    <x v="103"/>
    <s v="ganho de causa defesa"/>
    <d v="2035-01-25T00:00:00"/>
  </r>
  <r>
    <n v="71674"/>
    <x v="680"/>
    <n v="291"/>
    <d v="2034-09-21T00:00:00"/>
    <s v="0009"/>
    <d v="2034-11-11T00:00:00"/>
    <d v="2034-12-05T00:00:00"/>
    <x v="138"/>
    <n v="21022"/>
    <d v="2035-01-27T00:00:00"/>
  </r>
  <r>
    <n v="71675"/>
    <x v="681"/>
    <n v="217"/>
    <d v="2034-09-21T00:00:00"/>
    <s v="0002"/>
    <d v="2034-10-27T00:00:00"/>
    <d v="2034-11-18T00:00:00"/>
    <x v="123"/>
    <s v="ganho de causa defesa"/>
    <d v="2035-01-23T00:00:00"/>
  </r>
  <r>
    <n v="71676"/>
    <x v="682"/>
    <n v="44"/>
    <d v="2034-09-21T00:00:00"/>
    <s v="0004"/>
    <d v="2034-10-31T00:00:00"/>
    <d v="2034-11-25T00:00:00"/>
    <x v="126"/>
    <n v="124963"/>
    <d v="2035-01-25T00:00:00"/>
  </r>
  <r>
    <n v="71677"/>
    <x v="683"/>
    <n v="195"/>
    <d v="2034-09-21T00:00:00"/>
    <s v="0017"/>
    <d v="2034-10-24T00:00:00"/>
    <d v="2034-11-15T00:00:00"/>
    <x v="132"/>
    <s v="ganho de causa defesa"/>
    <d v="2035-01-15T00:00:00"/>
  </r>
  <r>
    <n v="71678"/>
    <x v="684"/>
    <n v="319"/>
    <d v="2034-09-21T00:00:00"/>
    <s v="0003"/>
    <d v="2034-11-15T00:00:00"/>
    <d v="2034-11-30T00:00:00"/>
    <x v="138"/>
    <s v="ganho de causa defesa"/>
    <d v="2035-01-28T00:00:00"/>
  </r>
  <r>
    <n v="71679"/>
    <x v="685"/>
    <n v="134"/>
    <d v="2034-09-21T00:00:00"/>
    <s v="0011"/>
    <d v="2034-11-01T00:00:00"/>
    <d v="2034-12-01T00:00:00"/>
    <x v="130"/>
    <n v="133781"/>
    <m/>
  </r>
  <r>
    <n v="71680"/>
    <x v="686"/>
    <n v="269"/>
    <d v="2034-09-21T00:00:00"/>
    <s v="0005"/>
    <d v="2034-11-02T00:00:00"/>
    <d v="2034-11-19T00:00:00"/>
    <x v="123"/>
    <n v="20543"/>
    <m/>
  </r>
  <r>
    <n v="71681"/>
    <x v="687"/>
    <n v="305"/>
    <d v="2034-09-22T00:00:00"/>
    <s v="0006"/>
    <d v="2034-11-10T00:00:00"/>
    <d v="2034-12-06T00:00:00"/>
    <x v="131"/>
    <n v="39634"/>
    <m/>
  </r>
  <r>
    <n v="71682"/>
    <x v="688"/>
    <n v="242"/>
    <d v="2034-09-22T00:00:00"/>
    <s v="0009"/>
    <d v="2034-11-12T00:00:00"/>
    <d v="2034-12-12T00:00:00"/>
    <x v="147"/>
    <s v="ganho de causa defesa"/>
    <m/>
  </r>
  <r>
    <n v="71683"/>
    <x v="689"/>
    <n v="98"/>
    <d v="2034-09-22T00:00:00"/>
    <s v="0007"/>
    <d v="2034-11-06T00:00:00"/>
    <d v="2034-12-02T00:00:00"/>
    <x v="128"/>
    <n v="67165"/>
    <m/>
  </r>
  <r>
    <n v="71684"/>
    <x v="690"/>
    <n v="289"/>
    <d v="2034-09-22T00:00:00"/>
    <s v="0006"/>
    <d v="2034-10-25T00:00:00"/>
    <d v="2034-11-09T00:00:00"/>
    <x v="114"/>
    <s v="ganho de causa defesa"/>
    <m/>
  </r>
  <r>
    <n v="71685"/>
    <x v="691"/>
    <n v="43"/>
    <d v="2034-09-22T00:00:00"/>
    <s v="0007"/>
    <d v="2034-10-30T00:00:00"/>
    <d v="2034-11-15T00:00:00"/>
    <x v="116"/>
    <s v="ganho de causa defesa"/>
    <d v="2035-01-19T00:00:00"/>
  </r>
  <r>
    <n v="71686"/>
    <x v="692"/>
    <n v="35"/>
    <d v="2034-09-22T00:00:00"/>
    <s v="0007"/>
    <d v="2034-11-03T00:00:00"/>
    <d v="2034-11-21T00:00:00"/>
    <x v="132"/>
    <n v="13568"/>
    <d v="2035-01-25T00:00:00"/>
  </r>
  <r>
    <n v="71687"/>
    <x v="693"/>
    <n v="252"/>
    <d v="2034-09-22T00:00:00"/>
    <s v="0002"/>
    <d v="2034-11-18T00:00:00"/>
    <d v="2034-12-04T00:00:00"/>
    <x v="130"/>
    <s v="ganho de causa defesa"/>
    <m/>
  </r>
  <r>
    <n v="71688"/>
    <x v="694"/>
    <n v="55"/>
    <d v="2034-09-23T00:00:00"/>
    <s v="0012"/>
    <d v="2034-11-12T00:00:00"/>
    <d v="2034-11-29T00:00:00"/>
    <x v="128"/>
    <s v="ganho de causa defesa"/>
    <m/>
  </r>
  <r>
    <n v="71689"/>
    <x v="695"/>
    <n v="195"/>
    <d v="2034-09-23T00:00:00"/>
    <s v="0008"/>
    <d v="2034-11-20T00:00:00"/>
    <d v="2034-12-13T00:00:00"/>
    <x v="131"/>
    <n v="133374"/>
    <m/>
  </r>
  <r>
    <n v="71690"/>
    <x v="696"/>
    <n v="316"/>
    <d v="2034-09-23T00:00:00"/>
    <s v="0011"/>
    <d v="2034-10-31T00:00:00"/>
    <d v="2034-11-19T00:00:00"/>
    <x v="114"/>
    <s v="ganho de causa defesa"/>
    <d v="2035-01-30T00:00:00"/>
  </r>
  <r>
    <n v="71691"/>
    <x v="697"/>
    <n v="151"/>
    <d v="2034-09-23T00:00:00"/>
    <s v="0007"/>
    <d v="2034-11-11T00:00:00"/>
    <d v="2034-12-07T00:00:00"/>
    <x v="142"/>
    <s v="ganho de causa defesa"/>
    <m/>
  </r>
  <r>
    <n v="71692"/>
    <x v="698"/>
    <n v="175"/>
    <d v="2034-09-23T00:00:00"/>
    <s v="0006"/>
    <d v="2034-10-24T00:00:00"/>
    <d v="2034-11-21T00:00:00"/>
    <x v="116"/>
    <n v="98406"/>
    <d v="2035-01-11T00:00:00"/>
  </r>
  <r>
    <n v="71693"/>
    <x v="699"/>
    <n v="3"/>
    <d v="2034-09-23T00:00:00"/>
    <s v="0006"/>
    <d v="2034-11-02T00:00:00"/>
    <d v="2034-12-01T00:00:00"/>
    <x v="118"/>
    <s v="ganho de causa defesa"/>
    <m/>
  </r>
  <r>
    <n v="71694"/>
    <x v="700"/>
    <n v="159"/>
    <d v="2034-09-23T00:00:00"/>
    <s v="0007"/>
    <d v="2034-11-12T00:00:00"/>
    <d v="2034-12-11T00:00:00"/>
    <x v="142"/>
    <s v="ganho de causa defesa"/>
    <m/>
  </r>
  <r>
    <n v="71695"/>
    <x v="701"/>
    <n v="229"/>
    <d v="2034-09-23T00:00:00"/>
    <s v="0011"/>
    <d v="2034-11-06T00:00:00"/>
    <d v="2034-11-25T00:00:00"/>
    <x v="126"/>
    <n v="18078"/>
    <m/>
  </r>
  <r>
    <n v="71696"/>
    <x v="702"/>
    <n v="105"/>
    <d v="2034-09-23T00:00:00"/>
    <s v="0006"/>
    <d v="2034-11-20T00:00:00"/>
    <d v="2034-12-12T00:00:00"/>
    <x v="140"/>
    <n v="76992"/>
    <m/>
  </r>
  <r>
    <n v="71697"/>
    <x v="703"/>
    <n v="2"/>
    <d v="2034-09-24T00:00:00"/>
    <s v="0002"/>
    <d v="2034-11-12T00:00:00"/>
    <d v="2034-12-12T00:00:00"/>
    <x v="141"/>
    <n v="69060"/>
    <m/>
  </r>
  <r>
    <n v="71698"/>
    <x v="704"/>
    <n v="55"/>
    <d v="2034-09-24T00:00:00"/>
    <s v="0007"/>
    <d v="2034-11-15T00:00:00"/>
    <d v="2034-12-04T00:00:00"/>
    <x v="142"/>
    <n v="92422"/>
    <m/>
  </r>
  <r>
    <n v="71699"/>
    <x v="705"/>
    <n v="27"/>
    <d v="2034-09-24T00:00:00"/>
    <s v="0008"/>
    <d v="2034-10-24T00:00:00"/>
    <d v="2034-11-10T00:00:00"/>
    <x v="99"/>
    <s v="ganho de causa defesa"/>
    <d v="2035-01-01T00:00:00"/>
  </r>
  <r>
    <n v="71700"/>
    <x v="706"/>
    <n v="26"/>
    <d v="2034-09-24T00:00:00"/>
    <s v="0017"/>
    <d v="2034-11-18T00:00:00"/>
    <d v="2034-12-08T00:00:00"/>
    <x v="131"/>
    <n v="8579"/>
    <m/>
  </r>
  <r>
    <n v="71701"/>
    <x v="707"/>
    <n v="269"/>
    <d v="2034-09-25T00:00:00"/>
    <s v="0006"/>
    <d v="2034-11-04T00:00:00"/>
    <d v="2034-11-27T00:00:00"/>
    <x v="134"/>
    <n v="50119"/>
    <m/>
  </r>
  <r>
    <n v="71702"/>
    <x v="708"/>
    <n v="187"/>
    <d v="2034-09-25T00:00:00"/>
    <s v="0016"/>
    <d v="2034-11-09T00:00:00"/>
    <d v="2034-12-07T00:00:00"/>
    <x v="142"/>
    <n v="36022"/>
    <m/>
  </r>
  <r>
    <n v="71703"/>
    <x v="709"/>
    <n v="273"/>
    <d v="2034-09-25T00:00:00"/>
    <s v="0007"/>
    <d v="2034-11-05T00:00:00"/>
    <d v="2034-11-30T00:00:00"/>
    <x v="128"/>
    <n v="51197"/>
    <d v="2035-01-20T00:00:00"/>
  </r>
  <r>
    <n v="71704"/>
    <x v="710"/>
    <n v="138"/>
    <d v="2034-09-25T00:00:00"/>
    <s v="0002"/>
    <d v="2034-11-18T00:00:00"/>
    <d v="2034-12-07T00:00:00"/>
    <x v="127"/>
    <n v="107606"/>
    <m/>
  </r>
  <r>
    <n v="71705"/>
    <x v="711"/>
    <n v="156"/>
    <d v="2034-09-25T00:00:00"/>
    <s v="0004"/>
    <d v="2034-10-25T00:00:00"/>
    <d v="2034-11-17T00:00:00"/>
    <x v="117"/>
    <s v="ganho de causa defesa"/>
    <d v="2035-01-14T00:00:00"/>
  </r>
  <r>
    <n v="71706"/>
    <x v="712"/>
    <n v="140"/>
    <d v="2034-09-25T00:00:00"/>
    <s v="0013"/>
    <d v="2034-11-19T00:00:00"/>
    <d v="2034-12-18T00:00:00"/>
    <x v="146"/>
    <n v="130179"/>
    <m/>
  </r>
  <r>
    <n v="71707"/>
    <x v="713"/>
    <n v="199"/>
    <d v="2034-09-26T00:00:00"/>
    <s v="0002"/>
    <d v="2034-10-26T00:00:00"/>
    <d v="2034-11-11T00:00:00"/>
    <x v="105"/>
    <n v="25890"/>
    <d v="2035-01-04T00:00:00"/>
  </r>
  <r>
    <n v="71708"/>
    <x v="714"/>
    <n v="335"/>
    <d v="2034-09-26T00:00:00"/>
    <s v="0017"/>
    <d v="2034-11-25T00:00:00"/>
    <d v="2034-12-10T00:00:00"/>
    <x v="143"/>
    <s v="ganho de causa defesa"/>
    <m/>
  </r>
  <r>
    <n v="71709"/>
    <x v="715"/>
    <n v="279"/>
    <d v="2034-09-26T00:00:00"/>
    <s v="0008"/>
    <d v="2034-11-16T00:00:00"/>
    <d v="2034-12-06T00:00:00"/>
    <x v="127"/>
    <n v="126078"/>
    <m/>
  </r>
  <r>
    <n v="71710"/>
    <x v="716"/>
    <n v="155"/>
    <d v="2034-09-26T00:00:00"/>
    <s v="0016"/>
    <d v="2034-11-01T00:00:00"/>
    <d v="2034-11-16T00:00:00"/>
    <x v="106"/>
    <s v="ganho de causa defesa"/>
    <d v="2035-01-25T00:00:00"/>
  </r>
  <r>
    <n v="71711"/>
    <x v="717"/>
    <n v="144"/>
    <d v="2034-09-26T00:00:00"/>
    <s v="0011"/>
    <d v="2034-11-06T00:00:00"/>
    <d v="2034-12-05T00:00:00"/>
    <x v="118"/>
    <n v="92561"/>
    <m/>
  </r>
  <r>
    <n v="71712"/>
    <x v="718"/>
    <n v="239"/>
    <d v="2034-09-26T00:00:00"/>
    <s v="0009"/>
    <d v="2034-11-10T00:00:00"/>
    <d v="2034-11-25T00:00:00"/>
    <x v="118"/>
    <n v="11369"/>
    <d v="2035-01-19T00:00:00"/>
  </r>
  <r>
    <n v="71713"/>
    <x v="719"/>
    <n v="202"/>
    <d v="2034-09-26T00:00:00"/>
    <s v="0017"/>
    <d v="2034-11-04T00:00:00"/>
    <d v="2034-11-21T00:00:00"/>
    <x v="128"/>
    <n v="16388"/>
    <m/>
  </r>
  <r>
    <n v="71714"/>
    <x v="720"/>
    <n v="315"/>
    <d v="2034-09-27T00:00:00"/>
    <s v="0018"/>
    <d v="2034-11-26T00:00:00"/>
    <d v="2034-12-18T00:00:00"/>
    <x v="148"/>
    <s v="ganho de causa defesa"/>
    <m/>
  </r>
  <r>
    <n v="71715"/>
    <x v="721"/>
    <n v="64"/>
    <d v="2034-09-27T00:00:00"/>
    <s v="0012"/>
    <d v="2034-11-01T00:00:00"/>
    <d v="2034-11-17T00:00:00"/>
    <x v="136"/>
    <s v="ganho de causa defesa"/>
    <d v="2035-01-25T00:00:00"/>
  </r>
  <r>
    <n v="71716"/>
    <x v="722"/>
    <n v="34"/>
    <d v="2034-09-28T00:00:00"/>
    <s v="0008"/>
    <d v="2034-11-19T00:00:00"/>
    <d v="2034-12-16T00:00:00"/>
    <x v="149"/>
    <n v="30311"/>
    <m/>
  </r>
  <r>
    <n v="71717"/>
    <x v="723"/>
    <n v="23"/>
    <d v="2034-09-28T00:00:00"/>
    <s v="0015"/>
    <d v="2034-11-02T00:00:00"/>
    <d v="2034-11-21T00:00:00"/>
    <x v="135"/>
    <n v="84954"/>
    <d v="2035-01-18T00:00:00"/>
  </r>
  <r>
    <n v="71718"/>
    <x v="724"/>
    <n v="336"/>
    <d v="2034-09-28T00:00:00"/>
    <s v="0004"/>
    <d v="2034-11-09T00:00:00"/>
    <d v="2034-11-24T00:00:00"/>
    <x v="123"/>
    <s v="ganho de causa defesa"/>
    <d v="2035-01-22T00:00:00"/>
  </r>
  <r>
    <n v="71719"/>
    <x v="725"/>
    <n v="119"/>
    <d v="2034-09-28T00:00:00"/>
    <s v="0003"/>
    <d v="2034-11-17T00:00:00"/>
    <d v="2034-12-07T00:00:00"/>
    <x v="134"/>
    <n v="102398"/>
    <m/>
  </r>
  <r>
    <n v="71720"/>
    <x v="726"/>
    <n v="140"/>
    <d v="2034-09-28T00:00:00"/>
    <s v="0003"/>
    <d v="2034-11-05T00:00:00"/>
    <d v="2034-12-05T00:00:00"/>
    <x v="134"/>
    <s v="ganho de causa defesa"/>
    <d v="2035-02-01T00:00:00"/>
  </r>
  <r>
    <n v="71721"/>
    <x v="727"/>
    <n v="340"/>
    <d v="2034-09-28T00:00:00"/>
    <s v="0018"/>
    <d v="2034-11-18T00:00:00"/>
    <d v="2034-12-14T00:00:00"/>
    <x v="145"/>
    <n v="77681"/>
    <m/>
  </r>
  <r>
    <n v="71722"/>
    <x v="728"/>
    <n v="91"/>
    <d v="2034-09-28T00:00:00"/>
    <s v="0005"/>
    <d v="2034-10-29T00:00:00"/>
    <d v="2034-11-21T00:00:00"/>
    <x v="136"/>
    <n v="108148"/>
    <d v="2035-01-31T00:00:00"/>
  </r>
  <r>
    <n v="71723"/>
    <x v="729"/>
    <n v="301"/>
    <d v="2034-09-29T00:00:00"/>
    <s v="0012"/>
    <d v="2034-11-27T00:00:00"/>
    <d v="2034-12-16T00:00:00"/>
    <x v="146"/>
    <s v="ganho de causa defesa"/>
    <m/>
  </r>
  <r>
    <n v="71724"/>
    <x v="730"/>
    <n v="335"/>
    <d v="2034-09-29T00:00:00"/>
    <s v="0016"/>
    <d v="2034-11-20T00:00:00"/>
    <d v="2034-12-13T00:00:00"/>
    <x v="150"/>
    <n v="33035"/>
    <m/>
  </r>
  <r>
    <n v="71725"/>
    <x v="731"/>
    <n v="105"/>
    <d v="2034-09-29T00:00:00"/>
    <s v="0012"/>
    <d v="2034-11-27T00:00:00"/>
    <d v="2034-12-22T00:00:00"/>
    <x v="146"/>
    <n v="39474"/>
    <m/>
  </r>
  <r>
    <n v="71726"/>
    <x v="732"/>
    <n v="153"/>
    <d v="2034-09-29T00:00:00"/>
    <s v="0003"/>
    <d v="2034-11-04T00:00:00"/>
    <d v="2034-11-25T00:00:00"/>
    <x v="125"/>
    <n v="97615"/>
    <d v="2035-01-23T00:00:00"/>
  </r>
  <r>
    <n v="71727"/>
    <x v="733"/>
    <n v="314"/>
    <d v="2034-09-29T00:00:00"/>
    <s v="0007"/>
    <d v="2034-11-05T00:00:00"/>
    <d v="2034-11-23T00:00:00"/>
    <x v="113"/>
    <s v="ganho de causa defesa"/>
    <d v="2035-01-08T00:00:00"/>
  </r>
  <r>
    <n v="71728"/>
    <x v="734"/>
    <n v="77"/>
    <d v="2034-09-30T00:00:00"/>
    <s v="0014"/>
    <d v="2034-11-20T00:00:00"/>
    <d v="2034-12-17T00:00:00"/>
    <x v="147"/>
    <s v="ganho de causa defesa"/>
    <m/>
  </r>
  <r>
    <n v="71729"/>
    <x v="735"/>
    <n v="226"/>
    <d v="2034-09-30T00:00:00"/>
    <s v="0013"/>
    <d v="2034-11-21T00:00:00"/>
    <d v="2034-12-09T00:00:00"/>
    <x v="127"/>
    <s v="ganho de causa defesa"/>
    <m/>
  </r>
  <r>
    <n v="71730"/>
    <x v="736"/>
    <n v="121"/>
    <d v="2034-09-30T00:00:00"/>
    <s v="0017"/>
    <d v="2034-11-22T00:00:00"/>
    <d v="2034-12-07T00:00:00"/>
    <x v="151"/>
    <s v="ganho de causa defesa"/>
    <m/>
  </r>
  <r>
    <n v="71731"/>
    <x v="737"/>
    <n v="99"/>
    <d v="2034-09-30T00:00:00"/>
    <s v="0001"/>
    <d v="2034-11-07T00:00:00"/>
    <d v="2034-12-06T00:00:00"/>
    <x v="131"/>
    <n v="104906"/>
    <d v="2035-01-28T00:00:00"/>
  </r>
  <r>
    <n v="71732"/>
    <x v="738"/>
    <n v="301"/>
    <d v="2034-09-30T00:00:00"/>
    <s v="0010"/>
    <d v="2034-11-02T00:00:00"/>
    <d v="2034-11-21T00:00:00"/>
    <x v="124"/>
    <n v="119095"/>
    <d v="2035-01-15T00:00:00"/>
  </r>
  <r>
    <n v="71733"/>
    <x v="739"/>
    <n v="225"/>
    <d v="2034-09-30T00:00:00"/>
    <s v="0015"/>
    <d v="2034-11-14T00:00:00"/>
    <d v="2034-12-12T00:00:00"/>
    <x v="145"/>
    <n v="22411"/>
    <m/>
  </r>
  <r>
    <n v="71734"/>
    <x v="740"/>
    <n v="14"/>
    <d v="2034-09-30T00:00:00"/>
    <s v="0005"/>
    <d v="2034-10-31T00:00:00"/>
    <d v="2034-11-15T00:00:00"/>
    <x v="117"/>
    <s v="ganho de causa defesa"/>
    <d v="2035-01-20T00:00:00"/>
  </r>
  <r>
    <n v="71735"/>
    <x v="741"/>
    <n v="216"/>
    <d v="2034-10-01T00:00:00"/>
    <s v="0016"/>
    <d v="2034-11-24T00:00:00"/>
    <d v="2034-12-13T00:00:00"/>
    <x v="152"/>
    <s v="ganho de causa defesa"/>
    <m/>
  </r>
  <r>
    <n v="71736"/>
    <x v="742"/>
    <n v="71"/>
    <d v="2034-10-01T00:00:00"/>
    <s v="0003"/>
    <d v="2034-11-19T00:00:00"/>
    <d v="2034-12-13T00:00:00"/>
    <x v="151"/>
    <s v="ganho de causa defesa"/>
    <m/>
  </r>
  <r>
    <n v="71737"/>
    <x v="743"/>
    <n v="224"/>
    <d v="2034-10-01T00:00:00"/>
    <s v="0013"/>
    <d v="2034-11-24T00:00:00"/>
    <d v="2034-12-24T00:00:00"/>
    <x v="153"/>
    <s v="ganho de causa defesa"/>
    <m/>
  </r>
  <r>
    <n v="71738"/>
    <x v="744"/>
    <n v="6"/>
    <d v="2034-10-01T00:00:00"/>
    <s v="0010"/>
    <d v="2034-11-16T00:00:00"/>
    <d v="2034-12-06T00:00:00"/>
    <x v="140"/>
    <n v="78412"/>
    <m/>
  </r>
  <r>
    <n v="71739"/>
    <x v="745"/>
    <n v="175"/>
    <d v="2034-10-01T00:00:00"/>
    <s v="0002"/>
    <d v="2034-11-21T00:00:00"/>
    <d v="2034-12-18T00:00:00"/>
    <x v="154"/>
    <s v="ganho de causa defesa"/>
    <m/>
  </r>
  <r>
    <n v="71740"/>
    <x v="746"/>
    <n v="73"/>
    <d v="2034-10-01T00:00:00"/>
    <s v="0003"/>
    <d v="2034-11-24T00:00:00"/>
    <d v="2034-12-09T00:00:00"/>
    <x v="152"/>
    <n v="148297"/>
    <m/>
  </r>
  <r>
    <n v="71741"/>
    <x v="747"/>
    <n v="241"/>
    <d v="2034-10-01T00:00:00"/>
    <s v="0009"/>
    <d v="2034-11-28T00:00:00"/>
    <d v="2034-12-14T00:00:00"/>
    <x v="155"/>
    <n v="41429"/>
    <m/>
  </r>
  <r>
    <n v="71742"/>
    <x v="748"/>
    <n v="163"/>
    <d v="2034-10-02T00:00:00"/>
    <s v="0001"/>
    <d v="2034-11-18T00:00:00"/>
    <d v="2034-12-12T00:00:00"/>
    <x v="138"/>
    <n v="21720"/>
    <m/>
  </r>
  <r>
    <n v="71743"/>
    <x v="749"/>
    <n v="175"/>
    <d v="2034-10-02T00:00:00"/>
    <s v="0016"/>
    <d v="2034-12-01T00:00:00"/>
    <d v="2034-12-18T00:00:00"/>
    <x v="144"/>
    <n v="16730"/>
    <m/>
  </r>
  <r>
    <n v="71744"/>
    <x v="750"/>
    <n v="204"/>
    <d v="2034-10-02T00:00:00"/>
    <s v="0009"/>
    <d v="2034-11-15T00:00:00"/>
    <d v="2034-12-06T00:00:00"/>
    <x v="156"/>
    <n v="30716"/>
    <m/>
  </r>
  <r>
    <n v="71745"/>
    <x v="751"/>
    <n v="325"/>
    <d v="2034-10-02T00:00:00"/>
    <s v="0012"/>
    <d v="2034-11-13T00:00:00"/>
    <d v="2034-12-09T00:00:00"/>
    <x v="152"/>
    <n v="54830"/>
    <m/>
  </r>
  <r>
    <n v="71746"/>
    <x v="752"/>
    <n v="216"/>
    <d v="2034-10-02T00:00:00"/>
    <s v="0001"/>
    <d v="2034-11-03T00:00:00"/>
    <d v="2034-11-21T00:00:00"/>
    <x v="116"/>
    <s v="ganho de causa defesa"/>
    <m/>
  </r>
  <r>
    <n v="71747"/>
    <x v="753"/>
    <n v="276"/>
    <d v="2034-10-02T00:00:00"/>
    <s v="0011"/>
    <d v="2034-11-12T00:00:00"/>
    <d v="2034-12-05T00:00:00"/>
    <x v="133"/>
    <n v="61459"/>
    <m/>
  </r>
  <r>
    <n v="71748"/>
    <x v="754"/>
    <n v="50"/>
    <d v="2034-10-02T00:00:00"/>
    <s v="0010"/>
    <d v="2034-11-21T00:00:00"/>
    <d v="2034-12-10T00:00:00"/>
    <x v="151"/>
    <s v="ganho de causa defesa"/>
    <m/>
  </r>
  <r>
    <n v="71749"/>
    <x v="755"/>
    <n v="98"/>
    <d v="2034-10-03T00:00:00"/>
    <s v="0009"/>
    <d v="2034-11-07T00:00:00"/>
    <d v="2034-11-26T00:00:00"/>
    <x v="127"/>
    <n v="36221"/>
    <d v="2035-01-30T00:00:00"/>
  </r>
  <r>
    <n v="71750"/>
    <x v="756"/>
    <n v="327"/>
    <d v="2034-10-03T00:00:00"/>
    <s v="0002"/>
    <d v="2034-11-15T00:00:00"/>
    <d v="2034-12-15T00:00:00"/>
    <x v="142"/>
    <n v="1840"/>
    <m/>
  </r>
  <r>
    <n v="71751"/>
    <x v="757"/>
    <n v="233"/>
    <d v="2034-10-03T00:00:00"/>
    <s v="0006"/>
    <d v="2034-11-11T00:00:00"/>
    <d v="2034-12-03T00:00:00"/>
    <x v="137"/>
    <s v="ganho de causa defesa"/>
    <d v="2035-01-28T00:00:00"/>
  </r>
  <r>
    <n v="71752"/>
    <x v="758"/>
    <n v="1"/>
    <d v="2034-10-03T00:00:00"/>
    <s v="0006"/>
    <d v="2034-11-03T00:00:00"/>
    <d v="2034-11-30T00:00:00"/>
    <x v="157"/>
    <n v="121809"/>
    <m/>
  </r>
  <r>
    <n v="71753"/>
    <x v="759"/>
    <n v="323"/>
    <d v="2034-10-03T00:00:00"/>
    <s v="0015"/>
    <d v="2034-12-02T00:00:00"/>
    <d v="2034-12-31T00:00:00"/>
    <x v="158"/>
    <n v="103170"/>
    <m/>
  </r>
  <r>
    <n v="71754"/>
    <x v="760"/>
    <n v="216"/>
    <d v="2034-10-03T00:00:00"/>
    <s v="0018"/>
    <d v="2034-11-19T00:00:00"/>
    <d v="2034-12-11T00:00:00"/>
    <x v="143"/>
    <n v="67510"/>
    <m/>
  </r>
  <r>
    <n v="71755"/>
    <x v="761"/>
    <n v="75"/>
    <d v="2034-10-03T00:00:00"/>
    <s v="0009"/>
    <d v="2034-11-22T00:00:00"/>
    <d v="2034-12-18T00:00:00"/>
    <x v="159"/>
    <n v="138084"/>
    <m/>
  </r>
  <r>
    <n v="71756"/>
    <x v="762"/>
    <n v="165"/>
    <d v="2034-10-03T00:00:00"/>
    <s v="0002"/>
    <d v="2034-11-06T00:00:00"/>
    <d v="2034-11-23T00:00:00"/>
    <x v="113"/>
    <n v="1065"/>
    <m/>
  </r>
  <r>
    <n v="71757"/>
    <x v="763"/>
    <n v="273"/>
    <d v="2034-10-03T00:00:00"/>
    <s v="0009"/>
    <d v="2034-11-09T00:00:00"/>
    <d v="2034-12-01T00:00:00"/>
    <x v="140"/>
    <n v="134667"/>
    <m/>
  </r>
  <r>
    <n v="71758"/>
    <x v="764"/>
    <n v="201"/>
    <d v="2034-10-04T00:00:00"/>
    <s v="0007"/>
    <d v="2034-11-23T00:00:00"/>
    <d v="2034-12-15T00:00:00"/>
    <x v="150"/>
    <n v="34128"/>
    <m/>
  </r>
  <r>
    <n v="71759"/>
    <x v="765"/>
    <n v="57"/>
    <d v="2034-10-04T00:00:00"/>
    <s v="0008"/>
    <d v="2034-11-18T00:00:00"/>
    <d v="2034-12-09T00:00:00"/>
    <x v="140"/>
    <s v="ganho de causa defesa"/>
    <m/>
  </r>
  <r>
    <n v="71760"/>
    <x v="766"/>
    <n v="244"/>
    <d v="2034-10-04T00:00:00"/>
    <s v="0002"/>
    <d v="2034-11-16T00:00:00"/>
    <d v="2034-12-04T00:00:00"/>
    <x v="134"/>
    <n v="141318"/>
    <d v="2035-01-26T00:00:00"/>
  </r>
  <r>
    <n v="71761"/>
    <x v="767"/>
    <n v="112"/>
    <d v="2034-10-04T00:00:00"/>
    <s v="0001"/>
    <d v="2034-12-02T00:00:00"/>
    <d v="2035-01-01T00:00:00"/>
    <x v="160"/>
    <n v="35947"/>
    <m/>
  </r>
  <r>
    <n v="71762"/>
    <x v="768"/>
    <n v="26"/>
    <d v="2034-10-04T00:00:00"/>
    <s v="0014"/>
    <d v="2034-11-26T00:00:00"/>
    <d v="2034-12-22T00:00:00"/>
    <x v="153"/>
    <s v="ganho de causa defesa"/>
    <m/>
  </r>
  <r>
    <n v="71763"/>
    <x v="769"/>
    <n v="333"/>
    <d v="2034-10-04T00:00:00"/>
    <s v="0008"/>
    <d v="2034-11-17T00:00:00"/>
    <d v="2034-12-11T00:00:00"/>
    <x v="142"/>
    <n v="50546"/>
    <m/>
  </r>
  <r>
    <n v="71764"/>
    <x v="770"/>
    <n v="88"/>
    <d v="2034-10-04T00:00:00"/>
    <s v="0010"/>
    <d v="2034-11-12T00:00:00"/>
    <d v="2034-11-28T00:00:00"/>
    <x v="138"/>
    <s v="ganho de causa defesa"/>
    <m/>
  </r>
  <r>
    <n v="71765"/>
    <x v="771"/>
    <n v="265"/>
    <d v="2034-10-04T00:00:00"/>
    <s v="0017"/>
    <d v="2034-11-19T00:00:00"/>
    <d v="2034-12-10T00:00:00"/>
    <x v="152"/>
    <n v="125974"/>
    <m/>
  </r>
  <r>
    <n v="71766"/>
    <x v="772"/>
    <n v="246"/>
    <d v="2034-10-05T00:00:00"/>
    <s v="0012"/>
    <d v="2034-11-06T00:00:00"/>
    <d v="2034-11-26T00:00:00"/>
    <x v="130"/>
    <n v="30927"/>
    <m/>
  </r>
  <r>
    <n v="71767"/>
    <x v="773"/>
    <n v="224"/>
    <d v="2034-10-05T00:00:00"/>
    <s v="0010"/>
    <d v="2034-12-03T00:00:00"/>
    <d v="2034-12-29T00:00:00"/>
    <x v="161"/>
    <s v="ganho de causa defesa"/>
    <m/>
  </r>
  <r>
    <n v="71768"/>
    <x v="774"/>
    <n v="270"/>
    <d v="2034-10-05T00:00:00"/>
    <s v="0018"/>
    <d v="2034-11-09T00:00:00"/>
    <d v="2034-12-03T00:00:00"/>
    <x v="140"/>
    <s v="ganho de causa defesa"/>
    <m/>
  </r>
  <r>
    <n v="71769"/>
    <x v="775"/>
    <n v="282"/>
    <d v="2034-10-05T00:00:00"/>
    <s v="0014"/>
    <d v="2034-11-24T00:00:00"/>
    <d v="2034-12-15T00:00:00"/>
    <x v="155"/>
    <n v="40376"/>
    <m/>
  </r>
  <r>
    <n v="71770"/>
    <x v="776"/>
    <n v="1"/>
    <d v="2034-10-05T00:00:00"/>
    <s v="0004"/>
    <d v="2034-11-23T00:00:00"/>
    <d v="2034-12-15T00:00:00"/>
    <x v="159"/>
    <s v="ganho de causa defesa"/>
    <m/>
  </r>
  <r>
    <n v="71771"/>
    <x v="777"/>
    <n v="174"/>
    <d v="2034-10-05T00:00:00"/>
    <s v="0004"/>
    <d v="2034-11-08T00:00:00"/>
    <d v="2034-11-23T00:00:00"/>
    <x v="124"/>
    <s v="ganho de causa defesa"/>
    <m/>
  </r>
  <r>
    <n v="71772"/>
    <x v="778"/>
    <n v="203"/>
    <d v="2034-10-05T00:00:00"/>
    <s v="0008"/>
    <d v="2034-12-03T00:00:00"/>
    <d v="2034-12-25T00:00:00"/>
    <x v="153"/>
    <n v="66497"/>
    <m/>
  </r>
  <r>
    <n v="71773"/>
    <x v="779"/>
    <n v="307"/>
    <d v="2034-10-05T00:00:00"/>
    <s v="0003"/>
    <d v="2034-11-05T00:00:00"/>
    <d v="2034-12-01T00:00:00"/>
    <x v="123"/>
    <s v="ganho de causa defesa"/>
    <m/>
  </r>
  <r>
    <n v="71774"/>
    <x v="780"/>
    <n v="336"/>
    <d v="2034-10-05T00:00:00"/>
    <s v="0017"/>
    <d v="2034-11-29T00:00:00"/>
    <d v="2034-12-16T00:00:00"/>
    <x v="149"/>
    <s v="ganho de causa defesa"/>
    <m/>
  </r>
  <r>
    <n v="71775"/>
    <x v="781"/>
    <n v="90"/>
    <d v="2034-10-06T00:00:00"/>
    <s v="0011"/>
    <d v="2034-12-04T00:00:00"/>
    <d v="2035-01-03T00:00:00"/>
    <x v="162"/>
    <n v="99772"/>
    <m/>
  </r>
  <r>
    <n v="71776"/>
    <x v="782"/>
    <n v="11"/>
    <d v="2034-10-06T00:00:00"/>
    <s v="0013"/>
    <d v="2034-11-24T00:00:00"/>
    <d v="2034-12-13T00:00:00"/>
    <x v="148"/>
    <n v="32125"/>
    <m/>
  </r>
  <r>
    <n v="71777"/>
    <x v="783"/>
    <n v="48"/>
    <d v="2034-10-06T00:00:00"/>
    <s v="0015"/>
    <d v="2034-11-07T00:00:00"/>
    <d v="2034-11-24T00:00:00"/>
    <x v="119"/>
    <s v="ganho de causa defesa"/>
    <d v="2035-01-27T00:00:00"/>
  </r>
  <r>
    <n v="71778"/>
    <x v="784"/>
    <n v="229"/>
    <d v="2034-10-07T00:00:00"/>
    <s v="0014"/>
    <d v="2034-11-29T00:00:00"/>
    <d v="2034-12-29T00:00:00"/>
    <x v="163"/>
    <s v="ganho de causa defesa"/>
    <m/>
  </r>
  <r>
    <n v="71779"/>
    <x v="785"/>
    <n v="210"/>
    <d v="2034-10-07T00:00:00"/>
    <s v="0001"/>
    <d v="2034-11-08T00:00:00"/>
    <d v="2034-11-29T00:00:00"/>
    <x v="156"/>
    <n v="40568"/>
    <d v="2035-02-01T00:00:00"/>
  </r>
  <r>
    <n v="71780"/>
    <x v="786"/>
    <n v="134"/>
    <d v="2034-10-07T00:00:00"/>
    <s v="0011"/>
    <d v="2034-12-06T00:00:00"/>
    <d v="2034-12-23T00:00:00"/>
    <x v="159"/>
    <n v="21442"/>
    <m/>
  </r>
  <r>
    <n v="71781"/>
    <x v="787"/>
    <n v="179"/>
    <d v="2034-10-07T00:00:00"/>
    <s v="0009"/>
    <d v="2034-12-02T00:00:00"/>
    <d v="2034-12-24T00:00:00"/>
    <x v="164"/>
    <n v="125599"/>
    <m/>
  </r>
  <r>
    <n v="71782"/>
    <x v="788"/>
    <n v="226"/>
    <d v="2034-10-07T00:00:00"/>
    <s v="0004"/>
    <d v="2034-12-06T00:00:00"/>
    <d v="2035-01-01T00:00:00"/>
    <x v="165"/>
    <s v="ganho de causa defesa"/>
    <m/>
  </r>
  <r>
    <n v="71783"/>
    <x v="789"/>
    <n v="335"/>
    <d v="2034-10-07T00:00:00"/>
    <s v="0007"/>
    <d v="2034-11-09T00:00:00"/>
    <d v="2034-12-06T00:00:00"/>
    <x v="133"/>
    <n v="141214"/>
    <m/>
  </r>
  <r>
    <n v="71784"/>
    <x v="790"/>
    <n v="260"/>
    <d v="2034-10-07T00:00:00"/>
    <s v="0004"/>
    <d v="2034-11-08T00:00:00"/>
    <d v="2034-12-02T00:00:00"/>
    <x v="127"/>
    <s v="ganho de causa defesa"/>
    <m/>
  </r>
  <r>
    <n v="71785"/>
    <x v="791"/>
    <n v="144"/>
    <d v="2034-10-08T00:00:00"/>
    <s v="0004"/>
    <d v="2034-11-19T00:00:00"/>
    <d v="2034-12-18T00:00:00"/>
    <x v="151"/>
    <s v="ganho de causa defesa"/>
    <m/>
  </r>
  <r>
    <n v="71786"/>
    <x v="792"/>
    <n v="17"/>
    <d v="2034-10-08T00:00:00"/>
    <s v="0008"/>
    <d v="2034-12-04T00:00:00"/>
    <d v="2034-12-30T00:00:00"/>
    <x v="153"/>
    <s v="ganho de causa defesa"/>
    <m/>
  </r>
  <r>
    <n v="71787"/>
    <x v="793"/>
    <n v="83"/>
    <d v="2034-10-08T00:00:00"/>
    <s v="0016"/>
    <d v="2034-11-13T00:00:00"/>
    <d v="2034-12-05T00:00:00"/>
    <x v="118"/>
    <s v="ganho de causa defesa"/>
    <m/>
  </r>
  <r>
    <n v="71788"/>
    <x v="794"/>
    <n v="69"/>
    <d v="2034-10-08T00:00:00"/>
    <s v="0010"/>
    <d v="2034-11-19T00:00:00"/>
    <d v="2034-12-11T00:00:00"/>
    <x v="127"/>
    <s v="ganho de causa defesa"/>
    <d v="2035-01-27T00:00:00"/>
  </r>
  <r>
    <n v="71789"/>
    <x v="795"/>
    <n v="1"/>
    <d v="2034-10-08T00:00:00"/>
    <s v="0016"/>
    <d v="2034-11-22T00:00:00"/>
    <d v="2034-12-17T00:00:00"/>
    <x v="155"/>
    <s v="ganho de causa defesa"/>
    <m/>
  </r>
  <r>
    <n v="71790"/>
    <x v="796"/>
    <n v="195"/>
    <d v="2034-10-09T00:00:00"/>
    <s v="0017"/>
    <d v="2034-11-14T00:00:00"/>
    <d v="2034-12-14T00:00:00"/>
    <x v="155"/>
    <s v="ganho de causa defesa"/>
    <m/>
  </r>
  <r>
    <n v="71791"/>
    <x v="797"/>
    <n v="67"/>
    <d v="2034-10-09T00:00:00"/>
    <s v="0013"/>
    <d v="2034-11-22T00:00:00"/>
    <d v="2034-12-16T00:00:00"/>
    <x v="149"/>
    <s v="ganho de causa defesa"/>
    <m/>
  </r>
  <r>
    <n v="71792"/>
    <x v="798"/>
    <n v="48"/>
    <d v="2034-10-09T00:00:00"/>
    <s v="0005"/>
    <d v="2034-11-23T00:00:00"/>
    <d v="2034-12-12T00:00:00"/>
    <x v="147"/>
    <n v="96527"/>
    <m/>
  </r>
  <r>
    <n v="71793"/>
    <x v="799"/>
    <n v="29"/>
    <d v="2034-10-10T00:00:00"/>
    <s v="0002"/>
    <d v="2034-11-22T00:00:00"/>
    <d v="2034-12-09T00:00:00"/>
    <x v="151"/>
    <n v="109753"/>
    <m/>
  </r>
  <r>
    <n v="71794"/>
    <x v="800"/>
    <n v="40"/>
    <d v="2034-10-10T00:00:00"/>
    <s v="0003"/>
    <d v="2034-12-03T00:00:00"/>
    <d v="2034-12-29T00:00:00"/>
    <x v="166"/>
    <n v="75277"/>
    <m/>
  </r>
  <r>
    <n v="71795"/>
    <x v="801"/>
    <n v="263"/>
    <d v="2034-10-10T00:00:00"/>
    <s v="0006"/>
    <d v="2034-12-08T00:00:00"/>
    <d v="2034-12-23T00:00:00"/>
    <x v="145"/>
    <n v="122171"/>
    <m/>
  </r>
  <r>
    <n v="71796"/>
    <x v="802"/>
    <n v="227"/>
    <d v="2034-10-10T00:00:00"/>
    <s v="0017"/>
    <d v="2034-11-23T00:00:00"/>
    <d v="2034-12-18T00:00:00"/>
    <x v="144"/>
    <n v="145844"/>
    <m/>
  </r>
  <r>
    <n v="71797"/>
    <x v="803"/>
    <n v="259"/>
    <d v="2034-10-10T00:00:00"/>
    <s v="0017"/>
    <d v="2034-11-14T00:00:00"/>
    <d v="2034-12-14T00:00:00"/>
    <x v="145"/>
    <s v="ganho de causa defesa"/>
    <m/>
  </r>
  <r>
    <n v="71798"/>
    <x v="804"/>
    <n v="301"/>
    <d v="2034-10-10T00:00:00"/>
    <s v="0003"/>
    <d v="2034-12-08T00:00:00"/>
    <d v="2035-01-01T00:00:00"/>
    <x v="167"/>
    <n v="89235"/>
    <m/>
  </r>
  <r>
    <n v="71799"/>
    <x v="805"/>
    <n v="245"/>
    <d v="2034-10-10T00:00:00"/>
    <s v="0006"/>
    <d v="2034-11-14T00:00:00"/>
    <d v="2034-12-05T00:00:00"/>
    <x v="133"/>
    <s v="ganho de causa defesa"/>
    <m/>
  </r>
  <r>
    <n v="71800"/>
    <x v="806"/>
    <n v="170"/>
    <d v="2034-10-10T00:00:00"/>
    <s v="0018"/>
    <d v="2034-11-15T00:00:00"/>
    <d v="2034-12-06T00:00:00"/>
    <x v="133"/>
    <s v="ganho de causa defesa"/>
    <m/>
  </r>
  <r>
    <n v="71801"/>
    <x v="807"/>
    <n v="117"/>
    <d v="2034-10-11T00:00:00"/>
    <s v="0013"/>
    <d v="2034-11-26T00:00:00"/>
    <d v="2034-12-22T00:00:00"/>
    <x v="168"/>
    <n v="63735"/>
    <m/>
  </r>
  <r>
    <n v="71802"/>
    <x v="808"/>
    <n v="164"/>
    <d v="2034-10-11T00:00:00"/>
    <s v="0015"/>
    <d v="2034-12-04T00:00:00"/>
    <d v="2034-12-25T00:00:00"/>
    <x v="150"/>
    <s v="ganho de causa defesa"/>
    <m/>
  </r>
  <r>
    <n v="71803"/>
    <x v="809"/>
    <n v="282"/>
    <d v="2034-10-11T00:00:00"/>
    <s v="0017"/>
    <d v="2034-11-14T00:00:00"/>
    <d v="2034-12-13T00:00:00"/>
    <x v="151"/>
    <n v="2359"/>
    <m/>
  </r>
  <r>
    <n v="71804"/>
    <x v="810"/>
    <n v="93"/>
    <d v="2034-10-12T00:00:00"/>
    <s v="0002"/>
    <d v="2034-12-07T00:00:00"/>
    <d v="2034-12-25T00:00:00"/>
    <x v="148"/>
    <n v="16125"/>
    <m/>
  </r>
  <r>
    <n v="71805"/>
    <x v="811"/>
    <n v="306"/>
    <d v="2034-10-12T00:00:00"/>
    <s v="0014"/>
    <d v="2034-12-02T00:00:00"/>
    <d v="2034-12-19T00:00:00"/>
    <x v="148"/>
    <n v="66017"/>
    <m/>
  </r>
  <r>
    <n v="71806"/>
    <x v="812"/>
    <n v="116"/>
    <d v="2034-10-12T00:00:00"/>
    <s v="0007"/>
    <d v="2034-11-17T00:00:00"/>
    <d v="2034-12-11T00:00:00"/>
    <x v="152"/>
    <s v="ganho de causa defesa"/>
    <m/>
  </r>
  <r>
    <n v="71807"/>
    <x v="813"/>
    <n v="241"/>
    <d v="2034-10-12T00:00:00"/>
    <s v="0001"/>
    <d v="2034-11-30T00:00:00"/>
    <d v="2034-12-30T00:00:00"/>
    <x v="168"/>
    <n v="97618"/>
    <m/>
  </r>
  <r>
    <n v="71808"/>
    <x v="814"/>
    <n v="166"/>
    <d v="2034-10-13T00:00:00"/>
    <s v="0008"/>
    <d v="2034-11-26T00:00:00"/>
    <d v="2034-12-13T00:00:00"/>
    <x v="138"/>
    <s v="ganho de causa defesa"/>
    <m/>
  </r>
  <r>
    <n v="71809"/>
    <x v="815"/>
    <n v="295"/>
    <d v="2034-10-13T00:00:00"/>
    <s v="0016"/>
    <d v="2034-11-20T00:00:00"/>
    <d v="2034-12-10T00:00:00"/>
    <x v="141"/>
    <s v="ganho de causa defesa"/>
    <m/>
  </r>
  <r>
    <n v="71810"/>
    <x v="816"/>
    <n v="318"/>
    <d v="2034-10-13T00:00:00"/>
    <s v="0017"/>
    <d v="2034-11-14T00:00:00"/>
    <d v="2034-12-01T00:00:00"/>
    <x v="130"/>
    <s v="ganho de causa defesa"/>
    <m/>
  </r>
  <r>
    <n v="71811"/>
    <x v="817"/>
    <n v="127"/>
    <d v="2034-10-13T00:00:00"/>
    <s v="0014"/>
    <d v="2034-11-30T00:00:00"/>
    <d v="2034-12-16T00:00:00"/>
    <x v="150"/>
    <s v="ganho de causa defesa"/>
    <m/>
  </r>
  <r>
    <n v="71812"/>
    <x v="818"/>
    <n v="328"/>
    <d v="2034-10-13T00:00:00"/>
    <s v="0004"/>
    <d v="2034-11-27T00:00:00"/>
    <d v="2034-12-12T00:00:00"/>
    <x v="140"/>
    <s v="ganho de causa defesa"/>
    <m/>
  </r>
  <r>
    <n v="71813"/>
    <x v="819"/>
    <n v="34"/>
    <d v="2034-10-13T00:00:00"/>
    <s v="0003"/>
    <d v="2034-11-18T00:00:00"/>
    <d v="2034-12-10T00:00:00"/>
    <x v="156"/>
    <n v="46393"/>
    <m/>
  </r>
  <r>
    <n v="71814"/>
    <x v="820"/>
    <n v="333"/>
    <d v="2034-10-13T00:00:00"/>
    <s v="0006"/>
    <d v="2034-12-02T00:00:00"/>
    <d v="2034-12-31T00:00:00"/>
    <x v="169"/>
    <n v="122998"/>
    <m/>
  </r>
  <r>
    <n v="71815"/>
    <x v="821"/>
    <n v="237"/>
    <d v="2034-10-14T00:00:00"/>
    <s v="0008"/>
    <d v="2034-12-04T00:00:00"/>
    <d v="2034-12-29T00:00:00"/>
    <x v="166"/>
    <s v="ganho de causa defesa"/>
    <m/>
  </r>
  <r>
    <n v="71816"/>
    <x v="822"/>
    <n v="327"/>
    <d v="2034-10-14T00:00:00"/>
    <s v="0003"/>
    <d v="2034-11-16T00:00:00"/>
    <d v="2034-12-10T00:00:00"/>
    <x v="144"/>
    <n v="120786"/>
    <m/>
  </r>
  <r>
    <n v="71817"/>
    <x v="823"/>
    <n v="223"/>
    <d v="2034-10-14T00:00:00"/>
    <s v="0009"/>
    <d v="2034-12-04T00:00:00"/>
    <d v="2034-12-30T00:00:00"/>
    <x v="167"/>
    <s v="ganho de causa defesa"/>
    <m/>
  </r>
  <r>
    <n v="71818"/>
    <x v="824"/>
    <n v="154"/>
    <d v="2034-10-14T00:00:00"/>
    <s v="0018"/>
    <d v="2034-11-15T00:00:00"/>
    <d v="2034-12-15T00:00:00"/>
    <x v="145"/>
    <s v="ganho de causa defesa"/>
    <m/>
  </r>
  <r>
    <n v="71819"/>
    <x v="825"/>
    <n v="172"/>
    <d v="2034-10-14T00:00:00"/>
    <s v="0008"/>
    <d v="2034-12-09T00:00:00"/>
    <d v="2034-12-27T00:00:00"/>
    <x v="158"/>
    <n v="1243"/>
    <m/>
  </r>
  <r>
    <n v="71820"/>
    <x v="826"/>
    <n v="313"/>
    <d v="2034-10-14T00:00:00"/>
    <s v="0008"/>
    <d v="2034-12-11T00:00:00"/>
    <d v="2035-01-07T00:00:00"/>
    <x v="166"/>
    <n v="92355"/>
    <m/>
  </r>
  <r>
    <n v="71821"/>
    <x v="827"/>
    <n v="27"/>
    <d v="2034-10-14T00:00:00"/>
    <s v="0009"/>
    <d v="2034-12-02T00:00:00"/>
    <d v="2034-12-23T00:00:00"/>
    <x v="153"/>
    <s v="ganho de causa defesa"/>
    <m/>
  </r>
  <r>
    <n v="71822"/>
    <x v="828"/>
    <n v="74"/>
    <d v="2034-10-15T00:00:00"/>
    <s v="0005"/>
    <d v="2034-11-17T00:00:00"/>
    <d v="2034-12-02T00:00:00"/>
    <x v="157"/>
    <n v="70646"/>
    <m/>
  </r>
  <r>
    <n v="71823"/>
    <x v="829"/>
    <n v="279"/>
    <d v="2034-10-15T00:00:00"/>
    <s v="0016"/>
    <d v="2034-12-09T00:00:00"/>
    <d v="2034-12-24T00:00:00"/>
    <x v="163"/>
    <s v="ganho de causa defesa"/>
    <m/>
  </r>
  <r>
    <n v="71824"/>
    <x v="830"/>
    <n v="101"/>
    <d v="2034-10-15T00:00:00"/>
    <s v="0010"/>
    <d v="2034-12-05T00:00:00"/>
    <d v="2035-01-02T00:00:00"/>
    <x v="167"/>
    <s v="ganho de causa defesa"/>
    <m/>
  </r>
  <r>
    <n v="71825"/>
    <x v="831"/>
    <n v="114"/>
    <d v="2034-10-15T00:00:00"/>
    <s v="0005"/>
    <d v="2034-12-14T00:00:00"/>
    <d v="2035-01-13T00:00:00"/>
    <x v="170"/>
    <m/>
    <m/>
  </r>
  <r>
    <n v="71826"/>
    <x v="832"/>
    <n v="163"/>
    <d v="2034-10-15T00:00:00"/>
    <s v="0015"/>
    <d v="2034-11-30T00:00:00"/>
    <d v="2034-12-17T00:00:00"/>
    <x v="168"/>
    <n v="76191"/>
    <m/>
  </r>
  <r>
    <n v="71827"/>
    <x v="833"/>
    <n v="213"/>
    <d v="2034-10-15T00:00:00"/>
    <s v="0012"/>
    <d v="2034-12-10T00:00:00"/>
    <d v="2035-01-05T00:00:00"/>
    <x v="165"/>
    <s v="ganho de causa defesa"/>
    <m/>
  </r>
  <r>
    <n v="71828"/>
    <x v="834"/>
    <n v="286"/>
    <d v="2034-10-15T00:00:00"/>
    <s v="0004"/>
    <d v="2034-11-26T00:00:00"/>
    <d v="2034-12-24T00:00:00"/>
    <x v="153"/>
    <n v="9243"/>
    <m/>
  </r>
  <r>
    <n v="71829"/>
    <x v="835"/>
    <n v="47"/>
    <d v="2034-10-16T00:00:00"/>
    <s v="0013"/>
    <d v="2034-11-19T00:00:00"/>
    <d v="2034-12-11T00:00:00"/>
    <x v="142"/>
    <s v="ganho de causa defesa"/>
    <m/>
  </r>
  <r>
    <n v="71830"/>
    <x v="836"/>
    <n v="257"/>
    <d v="2034-10-16T00:00:00"/>
    <s v="0018"/>
    <d v="2034-12-10T00:00:00"/>
    <d v="2035-01-01T00:00:00"/>
    <x v="154"/>
    <s v="ganho de causa defesa"/>
    <m/>
  </r>
  <r>
    <n v="71831"/>
    <x v="837"/>
    <n v="143"/>
    <d v="2034-10-17T00:00:00"/>
    <s v="0017"/>
    <d v="2034-11-23T00:00:00"/>
    <d v="2034-12-08T00:00:00"/>
    <x v="144"/>
    <n v="106462"/>
    <m/>
  </r>
  <r>
    <n v="71832"/>
    <x v="838"/>
    <n v="67"/>
    <d v="2034-10-17T00:00:00"/>
    <s v="0009"/>
    <d v="2034-12-10T00:00:00"/>
    <d v="2034-12-30T00:00:00"/>
    <x v="154"/>
    <n v="142334"/>
    <m/>
  </r>
  <r>
    <n v="71833"/>
    <x v="839"/>
    <n v="186"/>
    <d v="2034-10-17T00:00:00"/>
    <s v="0004"/>
    <d v="2034-11-27T00:00:00"/>
    <d v="2034-12-12T00:00:00"/>
    <x v="141"/>
    <s v="ganho de causa defesa"/>
    <d v="2035-02-01T00:00:00"/>
  </r>
  <r>
    <n v="71834"/>
    <x v="840"/>
    <n v="75"/>
    <d v="2034-10-17T00:00:00"/>
    <s v="0013"/>
    <d v="2034-11-18T00:00:00"/>
    <d v="2034-12-08T00:00:00"/>
    <x v="147"/>
    <s v="ganho de causa defesa"/>
    <m/>
  </r>
  <r>
    <n v="71835"/>
    <x v="841"/>
    <n v="226"/>
    <d v="2034-10-17T00:00:00"/>
    <s v="0011"/>
    <d v="2034-11-21T00:00:00"/>
    <d v="2034-12-20T00:00:00"/>
    <x v="168"/>
    <s v="ganho de causa defesa"/>
    <m/>
  </r>
  <r>
    <n v="71836"/>
    <x v="842"/>
    <n v="50"/>
    <d v="2034-10-17T00:00:00"/>
    <s v="0008"/>
    <d v="2034-11-23T00:00:00"/>
    <d v="2034-12-22T00:00:00"/>
    <x v="168"/>
    <s v="ganho de causa defesa"/>
    <m/>
  </r>
  <r>
    <n v="71837"/>
    <x v="843"/>
    <n v="199"/>
    <d v="2034-10-18T00:00:00"/>
    <s v="0006"/>
    <d v="2034-12-13T00:00:00"/>
    <d v="2035-01-07T00:00:00"/>
    <x v="165"/>
    <s v="ganho de causa defesa"/>
    <m/>
  </r>
  <r>
    <n v="71838"/>
    <x v="844"/>
    <n v="32"/>
    <d v="2034-10-18T00:00:00"/>
    <s v="0008"/>
    <d v="2034-11-23T00:00:00"/>
    <d v="2034-12-16T00:00:00"/>
    <x v="143"/>
    <n v="130365"/>
    <m/>
  </r>
  <r>
    <n v="71839"/>
    <x v="845"/>
    <n v="37"/>
    <d v="2034-10-18T00:00:00"/>
    <s v="0006"/>
    <d v="2034-11-20T00:00:00"/>
    <d v="2034-12-06T00:00:00"/>
    <x v="144"/>
    <n v="130376"/>
    <d v="2035-01-21T00:00:00"/>
  </r>
  <r>
    <n v="71840"/>
    <x v="846"/>
    <n v="26"/>
    <d v="2034-10-18T00:00:00"/>
    <s v="0010"/>
    <d v="2034-11-29T00:00:00"/>
    <d v="2034-12-15T00:00:00"/>
    <x v="148"/>
    <s v="ganho de causa defesa"/>
    <m/>
  </r>
  <r>
    <n v="71841"/>
    <x v="847"/>
    <n v="84"/>
    <d v="2034-10-18T00:00:00"/>
    <s v="0003"/>
    <d v="2034-11-26T00:00:00"/>
    <d v="2034-12-24T00:00:00"/>
    <x v="146"/>
    <n v="120864"/>
    <d v="2035-01-26T00:00:00"/>
  </r>
  <r>
    <n v="71842"/>
    <x v="848"/>
    <n v="248"/>
    <d v="2034-10-18T00:00:00"/>
    <s v="0015"/>
    <d v="2034-11-23T00:00:00"/>
    <d v="2034-12-13T00:00:00"/>
    <x v="146"/>
    <s v="ganho de causa defesa"/>
    <m/>
  </r>
  <r>
    <n v="71843"/>
    <x v="849"/>
    <n v="314"/>
    <d v="2034-10-18T00:00:00"/>
    <s v="0017"/>
    <d v="2034-12-11T00:00:00"/>
    <d v="2035-01-08T00:00:00"/>
    <x v="171"/>
    <s v="ganho de causa defesa"/>
    <m/>
  </r>
  <r>
    <n v="71844"/>
    <x v="850"/>
    <n v="175"/>
    <d v="2034-10-18T00:00:00"/>
    <s v="0001"/>
    <d v="2034-12-07T00:00:00"/>
    <d v="2034-12-22T00:00:00"/>
    <x v="153"/>
    <s v="ganho de causa defesa"/>
    <m/>
  </r>
  <r>
    <n v="71845"/>
    <x v="851"/>
    <n v="251"/>
    <d v="2034-10-18T00:00:00"/>
    <s v="0006"/>
    <d v="2034-11-22T00:00:00"/>
    <d v="2034-12-17T00:00:00"/>
    <x v="147"/>
    <s v="ganho de causa defesa"/>
    <d v="2035-01-21T00:00:00"/>
  </r>
  <r>
    <n v="71846"/>
    <x v="852"/>
    <n v="97"/>
    <d v="2034-10-18T00:00:00"/>
    <s v="0014"/>
    <d v="2034-11-17T00:00:00"/>
    <d v="2034-12-06T00:00:00"/>
    <x v="152"/>
    <n v="133275"/>
    <d v="2035-01-25T00:00:00"/>
  </r>
  <r>
    <n v="71847"/>
    <x v="853"/>
    <n v="292"/>
    <d v="2034-10-18T00:00:00"/>
    <s v="0007"/>
    <d v="2034-12-16T00:00:00"/>
    <d v="2035-01-14T00:00:00"/>
    <x v="170"/>
    <m/>
    <m/>
  </r>
  <r>
    <n v="71848"/>
    <x v="854"/>
    <n v="325"/>
    <d v="2034-10-19T00:00:00"/>
    <s v="0006"/>
    <d v="2034-11-26T00:00:00"/>
    <d v="2034-12-21T00:00:00"/>
    <x v="145"/>
    <s v="ganho de causa defesa"/>
    <m/>
  </r>
  <r>
    <n v="71849"/>
    <x v="855"/>
    <n v="228"/>
    <d v="2034-10-19T00:00:00"/>
    <s v="0007"/>
    <d v="2034-12-11T00:00:00"/>
    <d v="2034-12-30T00:00:00"/>
    <x v="166"/>
    <s v="ganho de causa defesa"/>
    <m/>
  </r>
  <r>
    <n v="71850"/>
    <x v="856"/>
    <n v="34"/>
    <d v="2034-10-20T00:00:00"/>
    <s v="0013"/>
    <d v="2034-11-26T00:00:00"/>
    <d v="2034-12-25T00:00:00"/>
    <x v="172"/>
    <s v="ganho de causa defesa"/>
    <m/>
  </r>
  <r>
    <n v="71851"/>
    <x v="857"/>
    <n v="227"/>
    <d v="2034-10-20T00:00:00"/>
    <s v="0004"/>
    <d v="2034-12-15T00:00:00"/>
    <d v="2035-01-12T00:00:00"/>
    <x v="171"/>
    <n v="90879"/>
    <m/>
  </r>
  <r>
    <n v="71852"/>
    <x v="858"/>
    <n v="233"/>
    <d v="2034-10-20T00:00:00"/>
    <s v="0007"/>
    <d v="2034-11-19T00:00:00"/>
    <d v="2034-12-13T00:00:00"/>
    <x v="140"/>
    <s v="ganho de causa defesa"/>
    <d v="2035-01-24T00:00:00"/>
  </r>
  <r>
    <n v="71853"/>
    <x v="859"/>
    <n v="138"/>
    <d v="2034-10-20T00:00:00"/>
    <s v="0017"/>
    <d v="2034-11-28T00:00:00"/>
    <d v="2034-12-27T00:00:00"/>
    <x v="166"/>
    <s v="ganho de causa defesa"/>
    <m/>
  </r>
  <r>
    <n v="71854"/>
    <x v="860"/>
    <n v="193"/>
    <d v="2034-10-21T00:00:00"/>
    <s v="0017"/>
    <d v="2034-12-15T00:00:00"/>
    <d v="2035-01-13T00:00:00"/>
    <x v="170"/>
    <m/>
    <m/>
  </r>
  <r>
    <n v="71855"/>
    <x v="861"/>
    <n v="47"/>
    <d v="2034-10-21T00:00:00"/>
    <s v="0006"/>
    <d v="2034-12-04T00:00:00"/>
    <d v="2035-01-01T00:00:00"/>
    <x v="173"/>
    <n v="114641"/>
    <m/>
  </r>
  <r>
    <n v="71856"/>
    <x v="862"/>
    <n v="192"/>
    <d v="2034-10-21T00:00:00"/>
    <s v="0001"/>
    <d v="2034-11-22T00:00:00"/>
    <d v="2034-12-10T00:00:00"/>
    <x v="156"/>
    <s v="ganho de causa defesa"/>
    <d v="2035-01-20T00:00:00"/>
  </r>
  <r>
    <n v="71857"/>
    <x v="863"/>
    <n v="36"/>
    <d v="2034-10-21T00:00:00"/>
    <s v="0010"/>
    <d v="2034-12-10T00:00:00"/>
    <d v="2035-01-02T00:00:00"/>
    <x v="158"/>
    <n v="58575"/>
    <m/>
  </r>
  <r>
    <n v="71858"/>
    <x v="864"/>
    <n v="272"/>
    <d v="2034-10-22T00:00:00"/>
    <s v="0015"/>
    <d v="2034-12-04T00:00:00"/>
    <d v="2034-12-26T00:00:00"/>
    <x v="164"/>
    <s v="ganho de causa defesa"/>
    <m/>
  </r>
  <r>
    <n v="71859"/>
    <x v="865"/>
    <n v="126"/>
    <d v="2034-10-22T00:00:00"/>
    <s v="0018"/>
    <d v="2034-11-29T00:00:00"/>
    <d v="2034-12-24T00:00:00"/>
    <x v="172"/>
    <n v="102857"/>
    <m/>
  </r>
  <r>
    <n v="71860"/>
    <x v="866"/>
    <n v="128"/>
    <d v="2034-10-22T00:00:00"/>
    <s v="0012"/>
    <d v="2034-12-09T00:00:00"/>
    <d v="2034-12-26T00:00:00"/>
    <x v="153"/>
    <n v="68474"/>
    <m/>
  </r>
  <r>
    <n v="71861"/>
    <x v="867"/>
    <n v="42"/>
    <d v="2034-10-22T00:00:00"/>
    <s v="0017"/>
    <d v="2034-11-27T00:00:00"/>
    <d v="2034-12-18T00:00:00"/>
    <x v="142"/>
    <n v="1034"/>
    <m/>
  </r>
  <r>
    <n v="71862"/>
    <x v="868"/>
    <n v="200"/>
    <d v="2034-10-22T00:00:00"/>
    <s v="0006"/>
    <d v="2034-12-02T00:00:00"/>
    <d v="2034-12-26T00:00:00"/>
    <x v="153"/>
    <s v="ganho de causa defesa"/>
    <m/>
  </r>
  <r>
    <n v="71863"/>
    <x v="869"/>
    <n v="111"/>
    <d v="2034-10-22T00:00:00"/>
    <s v="0006"/>
    <d v="2034-12-12T00:00:00"/>
    <d v="2035-01-07T00:00:00"/>
    <x v="170"/>
    <m/>
    <m/>
  </r>
  <r>
    <n v="71864"/>
    <x v="870"/>
    <n v="243"/>
    <d v="2034-10-23T00:00:00"/>
    <s v="0007"/>
    <d v="2034-12-02T00:00:00"/>
    <d v="2034-12-18T00:00:00"/>
    <x v="148"/>
    <n v="148172"/>
    <d v="2035-01-29T00:00:00"/>
  </r>
  <r>
    <n v="71865"/>
    <x v="871"/>
    <n v="328"/>
    <d v="2034-10-23T00:00:00"/>
    <s v="0016"/>
    <d v="2034-11-30T00:00:00"/>
    <d v="2034-12-23T00:00:00"/>
    <x v="153"/>
    <s v="ganho de causa defesa"/>
    <m/>
  </r>
  <r>
    <n v="71866"/>
    <x v="872"/>
    <n v="18"/>
    <d v="2034-10-23T00:00:00"/>
    <s v="0015"/>
    <d v="2034-12-02T00:00:00"/>
    <d v="2034-12-27T00:00:00"/>
    <x v="164"/>
    <s v="ganho de causa defesa"/>
    <m/>
  </r>
  <r>
    <n v="71867"/>
    <x v="873"/>
    <n v="228"/>
    <d v="2034-10-24T00:00:00"/>
    <s v="0006"/>
    <d v="2034-12-17T00:00:00"/>
    <d v="2035-01-15T00:00:00"/>
    <x v="170"/>
    <m/>
    <m/>
  </r>
  <r>
    <n v="71868"/>
    <x v="874"/>
    <n v="188"/>
    <d v="2034-10-24T00:00:00"/>
    <s v="0013"/>
    <d v="2034-12-06T00:00:00"/>
    <d v="2034-12-21T00:00:00"/>
    <x v="146"/>
    <s v="ganho de causa defesa"/>
    <m/>
  </r>
  <r>
    <n v="71869"/>
    <x v="875"/>
    <n v="252"/>
    <d v="2034-10-24T00:00:00"/>
    <s v="0016"/>
    <d v="2034-12-05T00:00:00"/>
    <d v="2034-12-25T00:00:00"/>
    <x v="148"/>
    <s v="ganho de causa defesa"/>
    <m/>
  </r>
  <r>
    <n v="71870"/>
    <x v="876"/>
    <n v="3"/>
    <d v="2034-10-24T00:00:00"/>
    <s v="0006"/>
    <d v="2034-11-27T00:00:00"/>
    <d v="2034-12-22T00:00:00"/>
    <x v="164"/>
    <s v="ganho de causa defesa"/>
    <m/>
  </r>
  <r>
    <n v="71871"/>
    <x v="877"/>
    <n v="322"/>
    <d v="2034-10-24T00:00:00"/>
    <s v="0016"/>
    <d v="2034-12-11T00:00:00"/>
    <d v="2035-01-07T00:00:00"/>
    <x v="170"/>
    <m/>
    <m/>
  </r>
  <r>
    <n v="71872"/>
    <x v="878"/>
    <n v="158"/>
    <d v="2034-10-24T00:00:00"/>
    <s v="0017"/>
    <d v="2034-12-08T00:00:00"/>
    <d v="2035-01-02T00:00:00"/>
    <x v="163"/>
    <n v="46936"/>
    <m/>
  </r>
  <r>
    <n v="71873"/>
    <x v="879"/>
    <n v="228"/>
    <d v="2034-10-24T00:00:00"/>
    <s v="0006"/>
    <d v="2034-11-26T00:00:00"/>
    <d v="2034-12-25T00:00:00"/>
    <x v="153"/>
    <s v="ganho de causa defesa"/>
    <m/>
  </r>
  <r>
    <n v="71874"/>
    <x v="880"/>
    <n v="164"/>
    <d v="2034-10-24T00:00:00"/>
    <s v="0008"/>
    <d v="2034-12-07T00:00:00"/>
    <d v="2035-01-04T00:00:00"/>
    <x v="164"/>
    <s v="ganho de causa defesa"/>
    <m/>
  </r>
  <r>
    <n v="71875"/>
    <x v="881"/>
    <n v="246"/>
    <d v="2034-10-25T00:00:00"/>
    <s v="0005"/>
    <d v="2034-12-06T00:00:00"/>
    <d v="2034-12-30T00:00:00"/>
    <x v="168"/>
    <n v="79196"/>
    <d v="2035-01-30T00:00:00"/>
  </r>
  <r>
    <n v="71876"/>
    <x v="882"/>
    <n v="142"/>
    <d v="2034-10-25T00:00:00"/>
    <s v="0005"/>
    <d v="2034-12-12T00:00:00"/>
    <d v="2034-12-31T00:00:00"/>
    <x v="161"/>
    <s v="ganho de causa defesa"/>
    <m/>
  </r>
  <r>
    <n v="71877"/>
    <x v="883"/>
    <n v="52"/>
    <d v="2034-10-25T00:00:00"/>
    <s v="0010"/>
    <d v="2034-11-30T00:00:00"/>
    <d v="2034-12-27T00:00:00"/>
    <x v="158"/>
    <s v="ganho de causa defesa"/>
    <m/>
  </r>
  <r>
    <n v="71878"/>
    <x v="884"/>
    <n v="212"/>
    <d v="2034-10-25T00:00:00"/>
    <s v="0005"/>
    <d v="2034-12-21T00:00:00"/>
    <d v="2035-01-13T00:00:00"/>
    <x v="170"/>
    <m/>
    <m/>
  </r>
  <r>
    <n v="71879"/>
    <x v="885"/>
    <n v="137"/>
    <d v="2034-10-26T00:00:00"/>
    <s v="0010"/>
    <d v="2034-11-30T00:00:00"/>
    <d v="2034-12-28T00:00:00"/>
    <x v="161"/>
    <s v="ganho de causa defesa"/>
    <m/>
  </r>
  <r>
    <n v="71880"/>
    <x v="886"/>
    <n v="74"/>
    <d v="2034-10-26T00:00:00"/>
    <s v="0003"/>
    <d v="2034-12-05T00:00:00"/>
    <d v="2035-01-04T00:00:00"/>
    <x v="170"/>
    <m/>
    <m/>
  </r>
  <r>
    <n v="71881"/>
    <x v="887"/>
    <n v="45"/>
    <d v="2034-10-26T00:00:00"/>
    <s v="0009"/>
    <d v="2034-12-09T00:00:00"/>
    <d v="2034-12-25T00:00:00"/>
    <x v="159"/>
    <n v="83647"/>
    <m/>
  </r>
  <r>
    <n v="71882"/>
    <x v="888"/>
    <n v="274"/>
    <d v="2034-10-26T00:00:00"/>
    <s v="0007"/>
    <d v="2034-12-02T00:00:00"/>
    <d v="2034-12-22T00:00:00"/>
    <x v="151"/>
    <s v="ganho de causa defesa"/>
    <m/>
  </r>
  <r>
    <n v="71883"/>
    <x v="889"/>
    <n v="12"/>
    <d v="2034-10-26T00:00:00"/>
    <s v="0018"/>
    <d v="2034-11-26T00:00:00"/>
    <d v="2034-12-25T00:00:00"/>
    <x v="163"/>
    <n v="19151"/>
    <m/>
  </r>
  <r>
    <n v="71884"/>
    <x v="890"/>
    <n v="58"/>
    <d v="2034-10-26T00:00:00"/>
    <s v="0018"/>
    <d v="2034-11-30T00:00:00"/>
    <d v="2034-12-20T00:00:00"/>
    <x v="145"/>
    <n v="106894"/>
    <m/>
  </r>
  <r>
    <n v="71885"/>
    <x v="891"/>
    <n v="196"/>
    <d v="2034-10-27T00:00:00"/>
    <s v="0004"/>
    <d v="2034-12-22T00:00:00"/>
    <d v="2035-01-13T00:00:00"/>
    <x v="170"/>
    <m/>
    <m/>
  </r>
  <r>
    <n v="71886"/>
    <x v="892"/>
    <n v="50"/>
    <d v="2034-10-27T00:00:00"/>
    <s v="0015"/>
    <d v="2034-12-08T00:00:00"/>
    <d v="2034-12-23T00:00:00"/>
    <x v="145"/>
    <n v="93616"/>
    <m/>
  </r>
  <r>
    <n v="71887"/>
    <x v="893"/>
    <n v="38"/>
    <d v="2034-10-27T00:00:00"/>
    <s v="0010"/>
    <d v="2034-11-26T00:00:00"/>
    <d v="2034-12-16T00:00:00"/>
    <x v="142"/>
    <s v="ganho de causa defesa"/>
    <d v="2035-02-01T00:00:00"/>
  </r>
  <r>
    <n v="71888"/>
    <x v="894"/>
    <n v="73"/>
    <d v="2034-10-27T00:00:00"/>
    <s v="0002"/>
    <d v="2034-12-04T00:00:00"/>
    <d v="2035-01-03T00:00:00"/>
    <x v="174"/>
    <n v="146576"/>
    <m/>
  </r>
  <r>
    <n v="71889"/>
    <x v="895"/>
    <n v="307"/>
    <d v="2034-10-28T00:00:00"/>
    <s v="0004"/>
    <d v="2034-12-06T00:00:00"/>
    <d v="2034-12-21T00:00:00"/>
    <x v="159"/>
    <n v="2007"/>
    <m/>
  </r>
  <r>
    <n v="71890"/>
    <x v="896"/>
    <n v="201"/>
    <d v="2034-10-28T00:00:00"/>
    <s v="0013"/>
    <d v="2034-12-20T00:00:00"/>
    <d v="2035-01-13T00:00:00"/>
    <x v="171"/>
    <s v="ganho de causa defesa"/>
    <m/>
  </r>
  <r>
    <n v="71891"/>
    <x v="897"/>
    <n v="10"/>
    <d v="2034-10-28T00:00:00"/>
    <s v="0010"/>
    <d v="2034-12-06T00:00:00"/>
    <d v="2035-01-01T00:00:00"/>
    <x v="171"/>
    <n v="95627"/>
    <m/>
  </r>
  <r>
    <n v="71892"/>
    <x v="898"/>
    <n v="319"/>
    <d v="2034-10-28T00:00:00"/>
    <s v="0001"/>
    <d v="2034-12-22T00:00:00"/>
    <d v="2035-01-11T00:00:00"/>
    <x v="170"/>
    <m/>
    <m/>
  </r>
  <r>
    <n v="71893"/>
    <x v="899"/>
    <n v="232"/>
    <d v="2034-10-28T00:00:00"/>
    <s v="0008"/>
    <d v="2034-12-21T00:00:00"/>
    <d v="2035-01-06T00:00:00"/>
    <x v="171"/>
    <s v="ganho de causa defesa"/>
    <m/>
  </r>
  <r>
    <n v="71894"/>
    <x v="900"/>
    <n v="32"/>
    <d v="2034-10-29T00:00:00"/>
    <s v="0012"/>
    <d v="2034-12-19T00:00:00"/>
    <d v="2035-01-12T00:00:00"/>
    <x v="170"/>
    <m/>
    <m/>
  </r>
  <r>
    <n v="71895"/>
    <x v="901"/>
    <n v="12"/>
    <d v="2034-10-29T00:00:00"/>
    <s v="0005"/>
    <d v="2034-12-16T00:00:00"/>
    <d v="2035-01-03T00:00:00"/>
    <x v="162"/>
    <s v="ganho de causa defesa"/>
    <m/>
  </r>
  <r>
    <n v="71896"/>
    <x v="902"/>
    <n v="78"/>
    <d v="2034-10-29T00:00:00"/>
    <s v="0014"/>
    <d v="2034-12-13T00:00:00"/>
    <d v="2035-01-10T00:00:00"/>
    <x v="173"/>
    <s v="ganho de causa defesa"/>
    <m/>
  </r>
  <r>
    <n v="71897"/>
    <x v="903"/>
    <n v="160"/>
    <d v="2034-10-29T00:00:00"/>
    <s v="0010"/>
    <d v="2034-11-30T00:00:00"/>
    <d v="2034-12-19T00:00:00"/>
    <x v="151"/>
    <s v="ganho de causa defesa"/>
    <m/>
  </r>
  <r>
    <n v="71898"/>
    <x v="904"/>
    <n v="185"/>
    <d v="2034-10-29T00:00:00"/>
    <s v="0004"/>
    <d v="2034-12-11T00:00:00"/>
    <d v="2035-01-07T00:00:00"/>
    <x v="170"/>
    <m/>
    <m/>
  </r>
  <r>
    <n v="71899"/>
    <x v="905"/>
    <n v="3"/>
    <d v="2034-10-29T00:00:00"/>
    <s v="0003"/>
    <d v="2034-12-10T00:00:00"/>
    <d v="2034-12-26T00:00:00"/>
    <x v="172"/>
    <s v="ganho de causa defesa"/>
    <m/>
  </r>
  <r>
    <n v="71900"/>
    <x v="906"/>
    <n v="265"/>
    <d v="2034-10-30T00:00:00"/>
    <s v="0015"/>
    <d v="2034-12-10T00:00:00"/>
    <d v="2035-01-02T00:00:00"/>
    <x v="171"/>
    <n v="14327"/>
    <m/>
  </r>
  <r>
    <n v="71901"/>
    <x v="907"/>
    <n v="328"/>
    <d v="2034-10-30T00:00:00"/>
    <s v="0007"/>
    <d v="2034-12-04T00:00:00"/>
    <d v="2034-12-25T00:00:00"/>
    <x v="167"/>
    <s v="ganho de causa defesa"/>
    <m/>
  </r>
  <r>
    <n v="71902"/>
    <x v="908"/>
    <n v="152"/>
    <d v="2034-10-30T00:00:00"/>
    <s v="0013"/>
    <d v="2034-12-17T00:00:00"/>
    <d v="2035-01-14T00:00:00"/>
    <x v="170"/>
    <m/>
    <m/>
  </r>
  <r>
    <n v="71903"/>
    <x v="909"/>
    <n v="26"/>
    <d v="2034-10-30T00:00:00"/>
    <s v="0002"/>
    <d v="2034-12-28T00:00:00"/>
    <d v="2035-01-20T00:00:00"/>
    <x v="170"/>
    <m/>
    <m/>
  </r>
  <r>
    <n v="71904"/>
    <x v="910"/>
    <n v="61"/>
    <d v="2034-10-30T00:00:00"/>
    <s v="0003"/>
    <d v="2034-12-23T00:00:00"/>
    <d v="2035-01-16T00:00:00"/>
    <x v="170"/>
    <m/>
    <m/>
  </r>
  <r>
    <n v="71905"/>
    <x v="911"/>
    <n v="94"/>
    <d v="2034-10-30T00:00:00"/>
    <s v="0017"/>
    <d v="2034-12-07T00:00:00"/>
    <d v="2035-01-03T00:00:00"/>
    <x v="167"/>
    <n v="96385"/>
    <m/>
  </r>
  <r>
    <n v="71906"/>
    <x v="912"/>
    <n v="248"/>
    <d v="2034-10-30T00:00:00"/>
    <s v="0012"/>
    <d v="2034-11-29T00:00:00"/>
    <d v="2034-12-28T00:00:00"/>
    <x v="159"/>
    <n v="59802"/>
    <m/>
  </r>
  <r>
    <n v="71907"/>
    <x v="913"/>
    <n v="36"/>
    <d v="2034-10-30T00:00:00"/>
    <s v="0005"/>
    <d v="2034-12-20T00:00:00"/>
    <d v="2035-01-07T00:00:00"/>
    <x v="160"/>
    <n v="63550"/>
    <m/>
  </r>
  <r>
    <n v="71908"/>
    <x v="914"/>
    <n v="194"/>
    <d v="2034-10-31T00:00:00"/>
    <s v="0008"/>
    <d v="2034-12-27T00:00:00"/>
    <d v="2035-01-23T00:00:00"/>
    <x v="170"/>
    <m/>
    <m/>
  </r>
  <r>
    <n v="71909"/>
    <x v="915"/>
    <n v="245"/>
    <d v="2034-10-31T00:00:00"/>
    <s v="0017"/>
    <d v="2034-12-02T00:00:00"/>
    <d v="2034-12-25T00:00:00"/>
    <x v="165"/>
    <s v="ganho de causa defesa"/>
    <m/>
  </r>
  <r>
    <n v="71910"/>
    <x v="916"/>
    <n v="115"/>
    <d v="2034-10-31T00:00:00"/>
    <s v="0010"/>
    <d v="2034-12-09T00:00:00"/>
    <d v="2034-12-24T00:00:00"/>
    <x v="163"/>
    <n v="62155"/>
    <m/>
  </r>
  <r>
    <n v="71911"/>
    <x v="917"/>
    <n v="75"/>
    <d v="2034-10-31T00:00:00"/>
    <s v="0008"/>
    <d v="2034-12-08T00:00:00"/>
    <d v="2035-01-01T00:00:00"/>
    <x v="166"/>
    <s v="ganho de causa defesa"/>
    <m/>
  </r>
  <r>
    <n v="71912"/>
    <x v="918"/>
    <n v="220"/>
    <d v="2034-10-31T00:00:00"/>
    <s v="0017"/>
    <d v="2034-12-29T00:00:00"/>
    <d v="2035-01-23T00:00:00"/>
    <x v="170"/>
    <m/>
    <m/>
  </r>
  <r>
    <n v="71913"/>
    <x v="919"/>
    <n v="104"/>
    <d v="2034-10-31T00:00:00"/>
    <s v="0017"/>
    <d v="2034-12-15T00:00:00"/>
    <d v="2034-12-31T00:00:00"/>
    <x v="158"/>
    <s v="ganho de causa defesa"/>
    <m/>
  </r>
  <r>
    <n v="71914"/>
    <x v="920"/>
    <n v="135"/>
    <d v="2034-10-31T00:00:00"/>
    <s v="0012"/>
    <d v="2034-12-11T00:00:00"/>
    <d v="2035-01-04T00:00:00"/>
    <x v="175"/>
    <s v="ganho de causa defesa"/>
    <m/>
  </r>
  <r>
    <n v="71915"/>
    <x v="921"/>
    <n v="171"/>
    <d v="2034-11-01T00:00:00"/>
    <s v="0011"/>
    <d v="2034-12-02T00:00:00"/>
    <d v="2034-12-21T00:00:00"/>
    <x v="159"/>
    <n v="133617"/>
    <m/>
  </r>
  <r>
    <n v="71916"/>
    <x v="922"/>
    <n v="105"/>
    <d v="2034-11-01T00:00:00"/>
    <s v="0008"/>
    <d v="2034-12-03T00:00:00"/>
    <d v="2034-12-31T00:00:00"/>
    <x v="169"/>
    <s v="ganho de causa defesa"/>
    <m/>
  </r>
  <r>
    <n v="71917"/>
    <x v="923"/>
    <n v="139"/>
    <d v="2034-11-01T00:00:00"/>
    <s v="0010"/>
    <d v="2034-12-20T00:00:00"/>
    <d v="2035-01-06T00:00:00"/>
    <x v="158"/>
    <s v="ganho de causa defesa"/>
    <m/>
  </r>
  <r>
    <n v="71918"/>
    <x v="924"/>
    <n v="324"/>
    <d v="2034-11-01T00:00:00"/>
    <s v="0007"/>
    <d v="2034-12-14T00:00:00"/>
    <d v="2035-01-06T00:00:00"/>
    <x v="160"/>
    <n v="52716"/>
    <m/>
  </r>
  <r>
    <n v="71919"/>
    <x v="925"/>
    <n v="310"/>
    <d v="2034-11-01T00:00:00"/>
    <s v="0010"/>
    <d v="2034-12-20T00:00:00"/>
    <d v="2035-01-08T00:00:00"/>
    <x v="161"/>
    <n v="143370"/>
    <m/>
  </r>
  <r>
    <n v="71920"/>
    <x v="926"/>
    <n v="105"/>
    <d v="2034-11-01T00:00:00"/>
    <s v="0018"/>
    <d v="2034-12-02T00:00:00"/>
    <d v="2034-12-29T00:00:00"/>
    <x v="167"/>
    <n v="97439"/>
    <m/>
  </r>
  <r>
    <n v="71921"/>
    <x v="927"/>
    <n v="185"/>
    <d v="2034-11-01T00:00:00"/>
    <s v="0017"/>
    <d v="2034-12-13T00:00:00"/>
    <d v="2035-01-02T00:00:00"/>
    <x v="153"/>
    <n v="126474"/>
    <m/>
  </r>
  <r>
    <n v="71922"/>
    <x v="928"/>
    <n v="252"/>
    <d v="2034-11-02T00:00:00"/>
    <s v="0017"/>
    <d v="2034-12-04T00:00:00"/>
    <d v="2034-12-26T00:00:00"/>
    <x v="163"/>
    <n v="89658"/>
    <m/>
  </r>
  <r>
    <n v="71923"/>
    <x v="929"/>
    <n v="105"/>
    <d v="2034-11-02T00:00:00"/>
    <s v="0012"/>
    <d v="2034-12-30T00:00:00"/>
    <d v="2035-01-21T00:00:00"/>
    <x v="170"/>
    <m/>
    <m/>
  </r>
  <r>
    <n v="71924"/>
    <x v="930"/>
    <n v="247"/>
    <d v="2034-11-02T00:00:00"/>
    <s v="0018"/>
    <d v="2034-12-11T00:00:00"/>
    <d v="2034-12-26T00:00:00"/>
    <x v="145"/>
    <n v="53590"/>
    <m/>
  </r>
  <r>
    <n v="71925"/>
    <x v="931"/>
    <n v="169"/>
    <d v="2034-11-02T00:00:00"/>
    <s v="0015"/>
    <d v="2034-12-28T00:00:00"/>
    <d v="2035-01-22T00:00:00"/>
    <x v="170"/>
    <m/>
    <m/>
  </r>
  <r>
    <n v="71926"/>
    <x v="932"/>
    <n v="10"/>
    <d v="2034-11-02T00:00:00"/>
    <s v="0007"/>
    <d v="2034-12-25T00:00:00"/>
    <d v="2035-01-19T00:00:00"/>
    <x v="170"/>
    <m/>
    <m/>
  </r>
  <r>
    <n v="71927"/>
    <x v="933"/>
    <n v="300"/>
    <d v="2034-11-02T00:00:00"/>
    <s v="0014"/>
    <d v="2034-12-08T00:00:00"/>
    <d v="2034-12-29T00:00:00"/>
    <x v="166"/>
    <s v="ganho de causa defesa"/>
    <m/>
  </r>
  <r>
    <n v="71928"/>
    <x v="934"/>
    <n v="19"/>
    <d v="2034-11-02T00:00:00"/>
    <s v="0012"/>
    <d v="2034-12-20T00:00:00"/>
    <d v="2035-01-10T00:00:00"/>
    <x v="170"/>
    <m/>
    <m/>
  </r>
  <r>
    <n v="71929"/>
    <x v="935"/>
    <n v="67"/>
    <d v="2034-11-02T00:00:00"/>
    <s v="0007"/>
    <d v="2034-12-25T00:00:00"/>
    <d v="2035-01-23T00:00:00"/>
    <x v="170"/>
    <m/>
    <m/>
  </r>
  <r>
    <n v="71930"/>
    <x v="936"/>
    <n v="225"/>
    <d v="2034-11-03T00:00:00"/>
    <s v="0004"/>
    <d v="2034-12-05T00:00:00"/>
    <d v="2035-01-03T00:00:00"/>
    <x v="170"/>
    <m/>
    <m/>
  </r>
  <r>
    <n v="71931"/>
    <x v="937"/>
    <n v="4"/>
    <d v="2034-11-03T00:00:00"/>
    <s v="0004"/>
    <d v="2034-12-11T00:00:00"/>
    <d v="2035-01-02T00:00:00"/>
    <x v="171"/>
    <n v="111979"/>
    <m/>
  </r>
  <r>
    <n v="71932"/>
    <x v="938"/>
    <n v="154"/>
    <d v="2034-11-03T00:00:00"/>
    <s v="0008"/>
    <d v="2034-12-12T00:00:00"/>
    <d v="2034-12-27T00:00:00"/>
    <x v="163"/>
    <s v="ganho de causa defesa"/>
    <m/>
  </r>
  <r>
    <n v="71933"/>
    <x v="939"/>
    <n v="267"/>
    <d v="2034-11-03T00:00:00"/>
    <s v="0007"/>
    <d v="2034-12-15T00:00:00"/>
    <d v="2035-01-03T00:00:00"/>
    <x v="160"/>
    <n v="17393"/>
    <m/>
  </r>
  <r>
    <n v="71934"/>
    <x v="940"/>
    <n v="55"/>
    <d v="2034-11-03T00:00:00"/>
    <s v="0009"/>
    <d v="2034-12-21T00:00:00"/>
    <d v="2035-01-07T00:00:00"/>
    <x v="170"/>
    <m/>
    <m/>
  </r>
  <r>
    <n v="71935"/>
    <x v="941"/>
    <n v="215"/>
    <d v="2034-11-03T00:00:00"/>
    <s v="0010"/>
    <d v="2034-12-25T00:00:00"/>
    <d v="2035-01-16T00:00:00"/>
    <x v="170"/>
    <m/>
    <m/>
  </r>
  <r>
    <n v="71936"/>
    <x v="942"/>
    <n v="18"/>
    <d v="2034-11-03T00:00:00"/>
    <s v="0006"/>
    <d v="2035-01-01T00:00:00"/>
    <d v="2035-01-25T00:00:00"/>
    <x v="170"/>
    <m/>
    <m/>
  </r>
  <r>
    <n v="71937"/>
    <x v="943"/>
    <n v="142"/>
    <d v="2034-11-03T00:00:00"/>
    <s v="0011"/>
    <d v="2034-12-17T00:00:00"/>
    <d v="2035-01-05T00:00:00"/>
    <x v="163"/>
    <n v="138890"/>
    <m/>
  </r>
  <r>
    <n v="71938"/>
    <x v="944"/>
    <n v="24"/>
    <d v="2034-11-03T00:00:00"/>
    <s v="0008"/>
    <d v="2034-12-06T00:00:00"/>
    <d v="2034-12-26T00:00:00"/>
    <x v="154"/>
    <n v="132744"/>
    <m/>
  </r>
  <r>
    <n v="71939"/>
    <x v="945"/>
    <n v="89"/>
    <d v="2034-11-04T00:00:00"/>
    <s v="0010"/>
    <d v="2034-12-06T00:00:00"/>
    <d v="2034-12-24T00:00:00"/>
    <x v="164"/>
    <n v="67511"/>
    <m/>
  </r>
  <r>
    <n v="71940"/>
    <x v="946"/>
    <n v="262"/>
    <d v="2034-11-04T00:00:00"/>
    <s v="0010"/>
    <d v="2034-12-24T00:00:00"/>
    <d v="2035-01-23T00:00:00"/>
    <x v="170"/>
    <m/>
    <m/>
  </r>
  <r>
    <n v="71941"/>
    <x v="947"/>
    <n v="242"/>
    <d v="2034-11-04T00:00:00"/>
    <s v="0008"/>
    <d v="2034-12-29T00:00:00"/>
    <d v="2035-01-25T00:00:00"/>
    <x v="170"/>
    <m/>
    <m/>
  </r>
  <r>
    <n v="71942"/>
    <x v="948"/>
    <n v="247"/>
    <d v="2034-11-05T00:00:00"/>
    <s v="0002"/>
    <d v="2034-12-29T00:00:00"/>
    <d v="2035-01-24T00:00:00"/>
    <x v="170"/>
    <m/>
    <m/>
  </r>
  <r>
    <n v="71943"/>
    <x v="949"/>
    <n v="113"/>
    <d v="2034-11-05T00:00:00"/>
    <s v="0003"/>
    <d v="2034-12-07T00:00:00"/>
    <d v="2034-12-30T00:00:00"/>
    <x v="174"/>
    <s v="ganho de causa defesa"/>
    <m/>
  </r>
  <r>
    <n v="71944"/>
    <x v="950"/>
    <n v="138"/>
    <d v="2034-11-05T00:00:00"/>
    <s v="0014"/>
    <d v="2034-12-24T00:00:00"/>
    <d v="2035-01-22T00:00:00"/>
    <x v="170"/>
    <m/>
    <m/>
  </r>
  <r>
    <n v="71945"/>
    <x v="951"/>
    <n v="108"/>
    <d v="2034-11-05T00:00:00"/>
    <s v="0012"/>
    <d v="2034-12-06T00:00:00"/>
    <d v="2035-01-05T00:00:00"/>
    <x v="169"/>
    <s v="ganho de causa defesa"/>
    <m/>
  </r>
  <r>
    <n v="71946"/>
    <x v="952"/>
    <n v="105"/>
    <d v="2034-11-05T00:00:00"/>
    <s v="0001"/>
    <d v="2034-12-31T00:00:00"/>
    <d v="2035-01-24T00:00:00"/>
    <x v="170"/>
    <m/>
    <m/>
  </r>
  <r>
    <n v="71947"/>
    <x v="953"/>
    <n v="128"/>
    <d v="2034-11-05T00:00:00"/>
    <s v="0014"/>
    <d v="2034-12-31T00:00:00"/>
    <d v="2035-01-23T00:00:00"/>
    <x v="170"/>
    <m/>
    <m/>
  </r>
  <r>
    <n v="71948"/>
    <x v="954"/>
    <n v="31"/>
    <d v="2034-11-05T00:00:00"/>
    <s v="0001"/>
    <d v="2034-12-26T00:00:00"/>
    <d v="2035-01-13T00:00:00"/>
    <x v="170"/>
    <m/>
    <m/>
  </r>
  <r>
    <n v="71949"/>
    <x v="955"/>
    <n v="231"/>
    <d v="2034-11-05T00:00:00"/>
    <s v="0010"/>
    <d v="2034-12-22T00:00:00"/>
    <d v="2035-01-17T00:00:00"/>
    <x v="170"/>
    <m/>
    <m/>
  </r>
  <r>
    <n v="71950"/>
    <x v="956"/>
    <n v="155"/>
    <d v="2034-11-06T00:00:00"/>
    <s v="0015"/>
    <d v="2034-12-21T00:00:00"/>
    <d v="2035-01-18T00:00:00"/>
    <x v="170"/>
    <m/>
    <m/>
  </r>
  <r>
    <n v="71951"/>
    <x v="957"/>
    <n v="4"/>
    <d v="2034-11-06T00:00:00"/>
    <s v="0003"/>
    <d v="2035-01-02T00:00:00"/>
    <d v="2035-01-31T00:00:00"/>
    <x v="170"/>
    <m/>
    <m/>
  </r>
  <r>
    <n v="71952"/>
    <x v="958"/>
    <n v="79"/>
    <d v="2034-11-06T00:00:00"/>
    <s v="0002"/>
    <d v="2034-12-06T00:00:00"/>
    <d v="2034-12-30T00:00:00"/>
    <x v="165"/>
    <s v="ganho de causa defesa"/>
    <m/>
  </r>
  <r>
    <n v="71953"/>
    <x v="959"/>
    <n v="19"/>
    <d v="2034-11-06T00:00:00"/>
    <s v="0006"/>
    <d v="2034-12-30T00:00:00"/>
    <d v="2035-01-24T00:00:00"/>
    <x v="170"/>
    <m/>
    <m/>
  </r>
  <r>
    <n v="71954"/>
    <x v="960"/>
    <n v="41"/>
    <d v="2034-11-06T00:00:00"/>
    <s v="0003"/>
    <d v="2034-12-15T00:00:00"/>
    <d v="2034-12-30T00:00:00"/>
    <x v="153"/>
    <n v="54301"/>
    <m/>
  </r>
  <r>
    <n v="71955"/>
    <x v="961"/>
    <n v="200"/>
    <d v="2034-11-07T00:00:00"/>
    <s v="0014"/>
    <d v="2034-12-28T00:00:00"/>
    <d v="2035-01-25T00:00:00"/>
    <x v="170"/>
    <m/>
    <m/>
  </r>
  <r>
    <n v="71956"/>
    <x v="962"/>
    <n v="231"/>
    <d v="2034-11-07T00:00:00"/>
    <s v="0018"/>
    <d v="2034-12-25T00:00:00"/>
    <d v="2035-01-12T00:00:00"/>
    <x v="161"/>
    <s v="ganho de causa defesa"/>
    <m/>
  </r>
  <r>
    <n v="71957"/>
    <x v="963"/>
    <n v="172"/>
    <d v="2034-11-07T00:00:00"/>
    <s v="0001"/>
    <d v="2034-12-29T00:00:00"/>
    <d v="2035-01-19T00:00:00"/>
    <x v="170"/>
    <m/>
    <m/>
  </r>
  <r>
    <n v="71958"/>
    <x v="964"/>
    <n v="298"/>
    <d v="2034-11-07T00:00:00"/>
    <s v="0008"/>
    <d v="2034-12-12T00:00:00"/>
    <d v="2035-01-08T00:00:00"/>
    <x v="161"/>
    <s v="ganho de causa defesa"/>
    <m/>
  </r>
  <r>
    <n v="71959"/>
    <x v="965"/>
    <n v="329"/>
    <d v="2034-11-07T00:00:00"/>
    <s v="0008"/>
    <d v="2034-12-09T00:00:00"/>
    <d v="2035-01-03T00:00:00"/>
    <x v="173"/>
    <n v="122617"/>
    <m/>
  </r>
  <r>
    <n v="71960"/>
    <x v="966"/>
    <n v="218"/>
    <d v="2034-11-07T00:00:00"/>
    <s v="0007"/>
    <d v="2034-12-17T00:00:00"/>
    <d v="2035-01-10T00:00:00"/>
    <x v="166"/>
    <s v="ganho de causa defesa"/>
    <m/>
  </r>
  <r>
    <n v="71961"/>
    <x v="967"/>
    <n v="133"/>
    <d v="2034-11-07T00:00:00"/>
    <s v="0001"/>
    <d v="2034-12-09T00:00:00"/>
    <d v="2035-01-04T00:00:00"/>
    <x v="170"/>
    <m/>
    <m/>
  </r>
  <r>
    <n v="71962"/>
    <x v="968"/>
    <n v="265"/>
    <d v="2034-11-08T00:00:00"/>
    <s v="0009"/>
    <d v="2034-12-31T00:00:00"/>
    <d v="2035-01-18T00:00:00"/>
    <x v="170"/>
    <m/>
    <m/>
  </r>
  <r>
    <n v="71963"/>
    <x v="969"/>
    <n v="257"/>
    <d v="2034-11-08T00:00:00"/>
    <s v="0007"/>
    <d v="2035-01-02T00:00:00"/>
    <d v="2035-01-28T00:00:00"/>
    <x v="170"/>
    <m/>
    <m/>
  </r>
  <r>
    <n v="71964"/>
    <x v="970"/>
    <n v="100"/>
    <d v="2034-11-08T00:00:00"/>
    <s v="0011"/>
    <d v="2035-01-06T00:00:00"/>
    <d v="2035-01-23T00:00:00"/>
    <x v="170"/>
    <m/>
    <m/>
  </r>
  <r>
    <n v="71965"/>
    <x v="971"/>
    <n v="149"/>
    <d v="2034-11-08T00:00:00"/>
    <s v="0013"/>
    <d v="2034-12-30T00:00:00"/>
    <d v="2035-01-17T00:00:00"/>
    <x v="170"/>
    <m/>
    <m/>
  </r>
  <r>
    <n v="71966"/>
    <x v="972"/>
    <n v="80"/>
    <d v="2034-11-08T00:00:00"/>
    <s v="0004"/>
    <d v="2034-12-31T00:00:00"/>
    <d v="2035-01-30T00:00:00"/>
    <x v="170"/>
    <m/>
    <m/>
  </r>
  <r>
    <n v="71967"/>
    <x v="973"/>
    <n v="55"/>
    <d v="2034-11-08T00:00:00"/>
    <s v="0004"/>
    <d v="2034-12-16T00:00:00"/>
    <d v="2035-01-10T00:00:00"/>
    <x v="173"/>
    <s v="ganho de causa defesa"/>
    <m/>
  </r>
  <r>
    <n v="71968"/>
    <x v="974"/>
    <n v="117"/>
    <d v="2034-11-09T00:00:00"/>
    <s v="0013"/>
    <d v="2034-12-27T00:00:00"/>
    <d v="2035-01-15T00:00:00"/>
    <x v="169"/>
    <s v="ganho de causa defesa"/>
    <m/>
  </r>
  <r>
    <n v="71969"/>
    <x v="975"/>
    <n v="104"/>
    <d v="2034-11-09T00:00:00"/>
    <s v="0008"/>
    <d v="2034-12-27T00:00:00"/>
    <d v="2035-01-19T00:00:00"/>
    <x v="170"/>
    <m/>
    <m/>
  </r>
  <r>
    <n v="71970"/>
    <x v="976"/>
    <n v="306"/>
    <d v="2034-11-09T00:00:00"/>
    <s v="0012"/>
    <d v="2034-12-25T00:00:00"/>
    <d v="2035-01-20T00:00:00"/>
    <x v="170"/>
    <m/>
    <m/>
  </r>
  <r>
    <n v="71971"/>
    <x v="977"/>
    <n v="109"/>
    <d v="2034-11-09T00:00:00"/>
    <s v="0008"/>
    <d v="2034-12-19T00:00:00"/>
    <d v="2035-01-04T00:00:00"/>
    <x v="171"/>
    <s v="ganho de causa defesa"/>
    <m/>
  </r>
  <r>
    <n v="71972"/>
    <x v="978"/>
    <n v="280"/>
    <d v="2034-11-09T00:00:00"/>
    <s v="0015"/>
    <d v="2034-12-29T00:00:00"/>
    <d v="2035-01-14T00:00:00"/>
    <x v="170"/>
    <m/>
    <m/>
  </r>
  <r>
    <n v="71973"/>
    <x v="979"/>
    <n v="149"/>
    <d v="2034-11-09T00:00:00"/>
    <s v="0017"/>
    <d v="2035-01-01T00:00:00"/>
    <d v="2035-01-21T00:00:00"/>
    <x v="170"/>
    <m/>
    <m/>
  </r>
  <r>
    <n v="71974"/>
    <x v="980"/>
    <n v="310"/>
    <d v="2034-11-09T00:00:00"/>
    <s v="0005"/>
    <d v="2034-12-28T00:00:00"/>
    <d v="2035-01-14T00:00:00"/>
    <x v="170"/>
    <m/>
    <m/>
  </r>
  <r>
    <n v="71975"/>
    <x v="981"/>
    <n v="42"/>
    <d v="2034-11-10T00:00:00"/>
    <s v="0008"/>
    <d v="2034-12-13T00:00:00"/>
    <d v="2035-01-11T00:00:00"/>
    <x v="174"/>
    <n v="96507"/>
    <m/>
  </r>
  <r>
    <n v="71976"/>
    <x v="982"/>
    <n v="134"/>
    <d v="2034-11-10T00:00:00"/>
    <s v="0002"/>
    <d v="2034-12-11T00:00:00"/>
    <d v="2034-12-29T00:00:00"/>
    <x v="153"/>
    <n v="12572"/>
    <m/>
  </r>
  <r>
    <n v="71977"/>
    <x v="983"/>
    <n v="317"/>
    <d v="2034-11-10T00:00:00"/>
    <s v="0007"/>
    <d v="2034-12-31T00:00:00"/>
    <d v="2035-01-27T00:00:00"/>
    <x v="170"/>
    <m/>
    <m/>
  </r>
  <r>
    <n v="71978"/>
    <x v="984"/>
    <n v="68"/>
    <d v="2034-11-10T00:00:00"/>
    <s v="0005"/>
    <d v="2034-12-20T00:00:00"/>
    <d v="2035-01-15T00:00:00"/>
    <x v="170"/>
    <m/>
    <m/>
  </r>
  <r>
    <n v="71979"/>
    <x v="985"/>
    <n v="57"/>
    <d v="2034-11-10T00:00:00"/>
    <s v="0018"/>
    <d v="2034-12-29T00:00:00"/>
    <d v="2035-01-17T00:00:00"/>
    <x v="170"/>
    <m/>
    <m/>
  </r>
  <r>
    <n v="71980"/>
    <x v="986"/>
    <n v="301"/>
    <d v="2034-11-10T00:00:00"/>
    <s v="0018"/>
    <d v="2034-12-17T00:00:00"/>
    <d v="2035-01-12T00:00:00"/>
    <x v="170"/>
    <m/>
    <m/>
  </r>
  <r>
    <n v="71981"/>
    <x v="987"/>
    <n v="334"/>
    <d v="2034-11-10T00:00:00"/>
    <s v="0018"/>
    <d v="2034-12-27T00:00:00"/>
    <d v="2035-01-26T00:00:00"/>
    <x v="170"/>
    <m/>
    <m/>
  </r>
  <r>
    <n v="71982"/>
    <x v="988"/>
    <n v="70"/>
    <d v="2034-11-10T00:00:00"/>
    <s v="0006"/>
    <d v="2034-12-12T00:00:00"/>
    <d v="2035-01-03T00:00:00"/>
    <x v="167"/>
    <n v="40251"/>
    <m/>
  </r>
  <r>
    <n v="71983"/>
    <x v="989"/>
    <n v="45"/>
    <d v="2034-11-10T00:00:00"/>
    <s v="0002"/>
    <d v="2034-12-30T00:00:00"/>
    <d v="2035-01-21T00:00:00"/>
    <x v="170"/>
    <m/>
    <m/>
  </r>
  <r>
    <n v="71984"/>
    <x v="990"/>
    <n v="72"/>
    <d v="2034-11-11T00:00:00"/>
    <s v="0011"/>
    <d v="2034-12-19T00:00:00"/>
    <d v="2035-01-04T00:00:00"/>
    <x v="170"/>
    <m/>
    <m/>
  </r>
  <r>
    <n v="71985"/>
    <x v="991"/>
    <n v="278"/>
    <d v="2034-11-11T00:00:00"/>
    <s v="0009"/>
    <d v="2034-12-20T00:00:00"/>
    <d v="2035-01-16T00:00:00"/>
    <x v="170"/>
    <m/>
    <m/>
  </r>
  <r>
    <n v="71986"/>
    <x v="992"/>
    <n v="45"/>
    <d v="2034-11-11T00:00:00"/>
    <s v="0018"/>
    <d v="2034-12-18T00:00:00"/>
    <d v="2035-01-12T00:00:00"/>
    <x v="170"/>
    <m/>
    <m/>
  </r>
  <r>
    <n v="71987"/>
    <x v="993"/>
    <n v="71"/>
    <d v="2034-11-11T00:00:00"/>
    <s v="0006"/>
    <d v="2034-12-16T00:00:00"/>
    <d v="2035-01-03T00:00:00"/>
    <x v="163"/>
    <s v="ganho de causa defesa"/>
    <m/>
  </r>
  <r>
    <n v="71988"/>
    <x v="994"/>
    <n v="101"/>
    <d v="2034-11-11T00:00:00"/>
    <s v="0002"/>
    <d v="2034-12-17T00:00:00"/>
    <d v="2035-01-12T00:00:00"/>
    <x v="169"/>
    <n v="83856"/>
    <m/>
  </r>
  <r>
    <n v="71989"/>
    <x v="995"/>
    <n v="114"/>
    <d v="2034-11-11T00:00:00"/>
    <s v="0018"/>
    <d v="2035-01-08T00:00:00"/>
    <d v="2035-01-28T00:00:00"/>
    <x v="170"/>
    <m/>
    <m/>
  </r>
  <r>
    <n v="71990"/>
    <x v="996"/>
    <n v="114"/>
    <d v="2034-11-11T00:00:00"/>
    <s v="0002"/>
    <d v="2035-01-05T00:00:00"/>
    <d v="2035-02-01T00:00:00"/>
    <x v="170"/>
    <m/>
    <m/>
  </r>
  <r>
    <n v="71991"/>
    <x v="997"/>
    <n v="231"/>
    <d v="2034-11-12T00:00:00"/>
    <s v="0008"/>
    <d v="2035-01-06T00:00:00"/>
    <m/>
    <x v="170"/>
    <m/>
    <m/>
  </r>
  <r>
    <n v="71992"/>
    <x v="998"/>
    <n v="73"/>
    <d v="2034-11-12T00:00:00"/>
    <s v="0013"/>
    <d v="2035-01-04T00:00:00"/>
    <d v="2035-01-25T00:00:00"/>
    <x v="170"/>
    <m/>
    <m/>
  </r>
  <r>
    <n v="71993"/>
    <x v="999"/>
    <n v="27"/>
    <d v="2034-11-12T00:00:00"/>
    <s v="0005"/>
    <d v="2034-12-23T00:00:00"/>
    <d v="2035-01-20T00:00:00"/>
    <x v="170"/>
    <m/>
    <m/>
  </r>
  <r>
    <n v="71994"/>
    <x v="1000"/>
    <n v="325"/>
    <d v="2034-11-12T00:00:00"/>
    <s v="0003"/>
    <d v="2034-12-14T00:00:00"/>
    <d v="2035-01-03T00:00:00"/>
    <x v="164"/>
    <n v="100877"/>
    <m/>
  </r>
  <r>
    <n v="71995"/>
    <x v="1001"/>
    <n v="289"/>
    <d v="2034-11-13T00:00:00"/>
    <s v="0009"/>
    <d v="2034-12-21T00:00:00"/>
    <d v="2035-01-20T00:00:00"/>
    <x v="170"/>
    <m/>
    <m/>
  </r>
  <r>
    <n v="71996"/>
    <x v="1002"/>
    <n v="53"/>
    <d v="2034-11-13T00:00:00"/>
    <s v="0004"/>
    <d v="2035-01-05T00:00:00"/>
    <d v="2035-01-22T00:00:00"/>
    <x v="170"/>
    <m/>
    <m/>
  </r>
  <r>
    <n v="71997"/>
    <x v="1003"/>
    <n v="251"/>
    <d v="2034-11-13T00:00:00"/>
    <s v="0008"/>
    <d v="2034-12-14T00:00:00"/>
    <d v="2035-01-09T00:00:00"/>
    <x v="158"/>
    <n v="22254"/>
    <m/>
  </r>
  <r>
    <n v="71998"/>
    <x v="1004"/>
    <n v="260"/>
    <d v="2034-11-13T00:00:00"/>
    <s v="0004"/>
    <d v="2034-12-15T00:00:00"/>
    <d v="2035-01-02T00:00:00"/>
    <x v="161"/>
    <n v="114701"/>
    <m/>
  </r>
  <r>
    <n v="71999"/>
    <x v="1005"/>
    <n v="141"/>
    <d v="2034-11-13T00:00:00"/>
    <s v="0013"/>
    <d v="2035-01-09T00:00:00"/>
    <m/>
    <x v="170"/>
    <m/>
    <m/>
  </r>
  <r>
    <n v="72000"/>
    <x v="1006"/>
    <n v="285"/>
    <d v="2034-11-14T00:00:00"/>
    <s v="0003"/>
    <d v="2034-12-14T00:00:00"/>
    <d v="2035-01-10T00:00:00"/>
    <x v="170"/>
    <m/>
    <m/>
  </r>
  <r>
    <n v="72001"/>
    <x v="1007"/>
    <n v="241"/>
    <d v="2034-11-14T00:00:00"/>
    <s v="0007"/>
    <d v="2034-12-21T00:00:00"/>
    <d v="2035-01-09T00:00:00"/>
    <x v="173"/>
    <n v="51383"/>
    <m/>
  </r>
  <r>
    <n v="72002"/>
    <x v="1008"/>
    <n v="214"/>
    <d v="2034-11-14T00:00:00"/>
    <s v="0001"/>
    <d v="2035-01-01T00:00:00"/>
    <d v="2035-01-30T00:00:00"/>
    <x v="170"/>
    <m/>
    <m/>
  </r>
  <r>
    <n v="72003"/>
    <x v="1009"/>
    <n v="180"/>
    <d v="2034-11-14T00:00:00"/>
    <s v="0009"/>
    <d v="2034-12-26T00:00:00"/>
    <d v="2035-01-24T00:00:00"/>
    <x v="170"/>
    <m/>
    <m/>
  </r>
  <r>
    <n v="72004"/>
    <x v="1010"/>
    <n v="270"/>
    <d v="2034-11-14T00:00:00"/>
    <s v="0005"/>
    <d v="2034-12-23T00:00:00"/>
    <d v="2035-01-17T00:00:00"/>
    <x v="170"/>
    <m/>
    <m/>
  </r>
  <r>
    <n v="72005"/>
    <x v="1011"/>
    <n v="115"/>
    <d v="2034-11-15T00:00:00"/>
    <s v="0004"/>
    <d v="2034-12-18T00:00:00"/>
    <d v="2035-01-07T00:00:00"/>
    <x v="171"/>
    <n v="22242"/>
    <m/>
  </r>
  <r>
    <n v="72006"/>
    <x v="1012"/>
    <n v="180"/>
    <d v="2034-11-15T00:00:00"/>
    <s v="0011"/>
    <d v="2035-01-03T00:00:00"/>
    <d v="2035-01-30T00:00:00"/>
    <x v="170"/>
    <m/>
    <m/>
  </r>
  <r>
    <n v="72007"/>
    <x v="1013"/>
    <n v="35"/>
    <d v="2034-11-15T00:00:00"/>
    <s v="0018"/>
    <d v="2035-01-08T00:00:00"/>
    <d v="2035-01-26T00:00:00"/>
    <x v="170"/>
    <m/>
    <m/>
  </r>
  <r>
    <n v="72008"/>
    <x v="1014"/>
    <n v="31"/>
    <d v="2034-11-15T00:00:00"/>
    <s v="0001"/>
    <d v="2035-01-13T00:00:00"/>
    <m/>
    <x v="170"/>
    <m/>
    <m/>
  </r>
  <r>
    <n v="72009"/>
    <x v="1015"/>
    <n v="165"/>
    <d v="2034-11-15T00:00:00"/>
    <s v="0004"/>
    <d v="2035-01-09T00:00:00"/>
    <d v="2035-01-29T00:00:00"/>
    <x v="170"/>
    <m/>
    <m/>
  </r>
  <r>
    <n v="72010"/>
    <x v="1016"/>
    <n v="315"/>
    <d v="2034-11-16T00:00:00"/>
    <s v="0014"/>
    <d v="2034-12-25T00:00:00"/>
    <d v="2035-01-20T00:00:00"/>
    <x v="170"/>
    <m/>
    <m/>
  </r>
  <r>
    <n v="72011"/>
    <x v="1017"/>
    <n v="331"/>
    <d v="2034-11-16T00:00:00"/>
    <s v="0010"/>
    <d v="2034-12-18T00:00:00"/>
    <d v="2035-01-10T00:00:00"/>
    <x v="170"/>
    <m/>
    <m/>
  </r>
  <r>
    <n v="72012"/>
    <x v="1018"/>
    <n v="239"/>
    <d v="2034-11-16T00:00:00"/>
    <s v="0006"/>
    <d v="2034-12-28T00:00:00"/>
    <d v="2035-01-22T00:00:00"/>
    <x v="170"/>
    <m/>
    <m/>
  </r>
  <r>
    <n v="72013"/>
    <x v="1019"/>
    <n v="123"/>
    <d v="2034-11-16T00:00:00"/>
    <s v="0010"/>
    <d v="2035-01-03T00:00:00"/>
    <d v="2035-02-01T00:00:00"/>
    <x v="170"/>
    <m/>
    <m/>
  </r>
  <r>
    <n v="72014"/>
    <x v="1020"/>
    <n v="48"/>
    <d v="2034-11-16T00:00:00"/>
    <s v="0007"/>
    <d v="2035-01-05T00:00:00"/>
    <d v="2035-02-01T00:00:00"/>
    <x v="170"/>
    <m/>
    <m/>
  </r>
  <r>
    <n v="72015"/>
    <x v="1021"/>
    <n v="184"/>
    <d v="2034-11-17T00:00:00"/>
    <s v="0006"/>
    <d v="2034-12-22T00:00:00"/>
    <d v="2035-01-16T00:00:00"/>
    <x v="170"/>
    <m/>
    <m/>
  </r>
  <r>
    <n v="72016"/>
    <x v="1022"/>
    <n v="198"/>
    <d v="2034-11-17T00:00:00"/>
    <s v="0008"/>
    <d v="2034-12-27T00:00:00"/>
    <d v="2035-01-13T00:00:00"/>
    <x v="174"/>
    <s v="ganho de causa defesa"/>
    <m/>
  </r>
  <r>
    <n v="72017"/>
    <x v="1023"/>
    <n v="256"/>
    <d v="2034-11-17T00:00:00"/>
    <s v="0002"/>
    <d v="2035-01-12T00:00:00"/>
    <m/>
    <x v="170"/>
    <m/>
    <m/>
  </r>
  <r>
    <n v="72018"/>
    <x v="1024"/>
    <n v="178"/>
    <d v="2034-11-17T00:00:00"/>
    <s v="0017"/>
    <d v="2034-12-31T00:00:00"/>
    <d v="2035-01-28T00:00:00"/>
    <x v="170"/>
    <m/>
    <m/>
  </r>
  <r>
    <n v="72019"/>
    <x v="1025"/>
    <n v="234"/>
    <d v="2034-11-17T00:00:00"/>
    <s v="0008"/>
    <d v="2035-01-05T00:00:00"/>
    <d v="2035-01-25T00:00:00"/>
    <x v="170"/>
    <m/>
    <m/>
  </r>
  <r>
    <n v="72020"/>
    <x v="1026"/>
    <n v="116"/>
    <d v="2034-11-17T00:00:00"/>
    <s v="0003"/>
    <d v="2034-12-22T00:00:00"/>
    <d v="2035-01-19T00:00:00"/>
    <x v="170"/>
    <m/>
    <m/>
  </r>
  <r>
    <n v="72021"/>
    <x v="1027"/>
    <n v="233"/>
    <d v="2034-11-17T00:00:00"/>
    <s v="0007"/>
    <d v="2034-12-26T00:00:00"/>
    <d v="2035-01-12T00:00:00"/>
    <x v="173"/>
    <n v="31439"/>
    <m/>
  </r>
  <r>
    <n v="72022"/>
    <x v="1028"/>
    <n v="131"/>
    <d v="2034-11-17T00:00:00"/>
    <s v="0008"/>
    <d v="2035-01-13T00:00:00"/>
    <m/>
    <x v="170"/>
    <m/>
    <m/>
  </r>
  <r>
    <n v="72023"/>
    <x v="1029"/>
    <n v="206"/>
    <d v="2034-11-18T00:00:00"/>
    <s v="0007"/>
    <d v="2035-01-12T00:00:00"/>
    <m/>
    <x v="170"/>
    <m/>
    <m/>
  </r>
  <r>
    <n v="72024"/>
    <x v="1030"/>
    <n v="251"/>
    <d v="2034-11-18T00:00:00"/>
    <s v="0010"/>
    <d v="2035-01-11T00:00:00"/>
    <m/>
    <x v="170"/>
    <m/>
    <m/>
  </r>
  <r>
    <n v="72025"/>
    <x v="1031"/>
    <n v="35"/>
    <d v="2034-11-18T00:00:00"/>
    <s v="0009"/>
    <d v="2034-12-20T00:00:00"/>
    <d v="2035-01-04T00:00:00"/>
    <x v="173"/>
    <s v="ganho de causa defesa"/>
    <m/>
  </r>
  <r>
    <n v="72026"/>
    <x v="1032"/>
    <n v="337"/>
    <d v="2034-11-19T00:00:00"/>
    <s v="0018"/>
    <d v="2035-01-13T00:00:00"/>
    <m/>
    <x v="170"/>
    <m/>
    <m/>
  </r>
  <r>
    <n v="72027"/>
    <x v="1033"/>
    <n v="87"/>
    <d v="2034-11-19T00:00:00"/>
    <s v="0010"/>
    <d v="2034-12-19T00:00:00"/>
    <d v="2035-01-14T00:00:00"/>
    <x v="170"/>
    <m/>
    <m/>
  </r>
  <r>
    <n v="72028"/>
    <x v="1034"/>
    <n v="171"/>
    <d v="2034-11-19T00:00:00"/>
    <s v="0017"/>
    <d v="2034-12-21T00:00:00"/>
    <d v="2035-01-15T00:00:00"/>
    <x v="170"/>
    <m/>
    <m/>
  </r>
  <r>
    <n v="72029"/>
    <x v="1035"/>
    <n v="263"/>
    <d v="2034-11-19T00:00:00"/>
    <s v="0005"/>
    <d v="2035-01-16T00:00:00"/>
    <m/>
    <x v="170"/>
    <m/>
    <m/>
  </r>
  <r>
    <n v="72030"/>
    <x v="1036"/>
    <n v="213"/>
    <d v="2034-11-20T00:00:00"/>
    <s v="0017"/>
    <d v="2034-12-29T00:00:00"/>
    <d v="2035-01-17T00:00:00"/>
    <x v="170"/>
    <m/>
    <m/>
  </r>
  <r>
    <n v="72031"/>
    <x v="1037"/>
    <n v="338"/>
    <d v="2034-11-20T00:00:00"/>
    <s v="0005"/>
    <d v="2034-12-29T00:00:00"/>
    <d v="2035-01-20T00:00:00"/>
    <x v="170"/>
    <m/>
    <m/>
  </r>
  <r>
    <n v="72032"/>
    <x v="1038"/>
    <n v="300"/>
    <d v="2034-11-20T00:00:00"/>
    <s v="0010"/>
    <d v="2035-01-01T00:00:00"/>
    <d v="2035-01-23T00:00:00"/>
    <x v="170"/>
    <m/>
    <m/>
  </r>
  <r>
    <n v="72033"/>
    <x v="1039"/>
    <n v="75"/>
    <d v="2034-11-20T00:00:00"/>
    <s v="0011"/>
    <d v="2035-01-13T00:00:00"/>
    <d v="2035-01-29T00:00:00"/>
    <x v="170"/>
    <m/>
    <m/>
  </r>
  <r>
    <n v="72034"/>
    <x v="1040"/>
    <n v="301"/>
    <d v="2034-11-20T00:00:00"/>
    <s v="0008"/>
    <d v="2034-12-22T00:00:00"/>
    <d v="2035-01-20T00:00:00"/>
    <x v="170"/>
    <m/>
    <m/>
  </r>
  <r>
    <n v="72035"/>
    <x v="1041"/>
    <n v="0"/>
    <d v="2034-11-20T00:00:00"/>
    <s v="0004"/>
    <d v="2035-01-18T00:00:00"/>
    <m/>
    <x v="170"/>
    <m/>
    <m/>
  </r>
  <r>
    <n v="72036"/>
    <x v="1042"/>
    <n v="280"/>
    <d v="2034-11-21T00:00:00"/>
    <s v="0013"/>
    <d v="2034-12-31T00:00:00"/>
    <d v="2035-01-22T00:00:00"/>
    <x v="170"/>
    <m/>
    <m/>
  </r>
  <r>
    <n v="72037"/>
    <x v="1043"/>
    <n v="202"/>
    <d v="2034-11-21T00:00:00"/>
    <s v="0018"/>
    <d v="2035-01-09T00:00:00"/>
    <d v="2035-01-28T00:00:00"/>
    <x v="170"/>
    <m/>
    <m/>
  </r>
  <r>
    <n v="72038"/>
    <x v="1044"/>
    <n v="142"/>
    <d v="2034-11-21T00:00:00"/>
    <s v="0001"/>
    <d v="2035-01-09T00:00:00"/>
    <d v="2035-01-28T00:00:00"/>
    <x v="170"/>
    <m/>
    <m/>
  </r>
  <r>
    <n v="72039"/>
    <x v="1045"/>
    <n v="325"/>
    <d v="2034-11-21T00:00:00"/>
    <s v="0012"/>
    <d v="2034-12-24T00:00:00"/>
    <d v="2035-01-10T00:00:00"/>
    <x v="170"/>
    <m/>
    <m/>
  </r>
  <r>
    <n v="72040"/>
    <x v="1046"/>
    <n v="224"/>
    <d v="2034-11-21T00:00:00"/>
    <s v="0018"/>
    <d v="2034-12-29T00:00:00"/>
    <d v="2035-01-18T00:00:00"/>
    <x v="170"/>
    <m/>
    <m/>
  </r>
  <r>
    <n v="72041"/>
    <x v="1047"/>
    <n v="86"/>
    <d v="2034-11-22T00:00:00"/>
    <s v="0005"/>
    <d v="2035-01-12T00:00:00"/>
    <m/>
    <x v="170"/>
    <m/>
    <m/>
  </r>
  <r>
    <n v="72042"/>
    <x v="1048"/>
    <n v="188"/>
    <d v="2034-11-22T00:00:00"/>
    <s v="0002"/>
    <d v="2035-01-19T00:00:00"/>
    <m/>
    <x v="170"/>
    <m/>
    <m/>
  </r>
  <r>
    <n v="72043"/>
    <x v="1049"/>
    <n v="193"/>
    <d v="2034-11-22T00:00:00"/>
    <s v="0013"/>
    <d v="2035-01-16T00:00:00"/>
    <m/>
    <x v="170"/>
    <m/>
    <m/>
  </r>
  <r>
    <n v="72044"/>
    <x v="1050"/>
    <n v="55"/>
    <d v="2034-11-22T00:00:00"/>
    <s v="0018"/>
    <d v="2035-01-12T00:00:00"/>
    <m/>
    <x v="170"/>
    <m/>
    <m/>
  </r>
  <r>
    <n v="72045"/>
    <x v="1051"/>
    <n v="14"/>
    <d v="2034-11-22T00:00:00"/>
    <s v="0011"/>
    <d v="2035-01-03T00:00:00"/>
    <d v="2035-01-18T00:00:00"/>
    <x v="170"/>
    <m/>
    <m/>
  </r>
  <r>
    <n v="72046"/>
    <x v="1052"/>
    <n v="276"/>
    <d v="2034-11-22T00:00:00"/>
    <s v="0017"/>
    <d v="2035-01-15T00:00:00"/>
    <m/>
    <x v="170"/>
    <m/>
    <m/>
  </r>
  <r>
    <n v="72047"/>
    <x v="1053"/>
    <n v="165"/>
    <d v="2034-11-22T00:00:00"/>
    <s v="0017"/>
    <d v="2035-01-17T00:00:00"/>
    <m/>
    <x v="170"/>
    <m/>
    <m/>
  </r>
  <r>
    <n v="72048"/>
    <x v="1054"/>
    <n v="222"/>
    <d v="2034-11-22T00:00:00"/>
    <s v="0017"/>
    <d v="2035-01-14T00:00:00"/>
    <m/>
    <x v="170"/>
    <m/>
    <m/>
  </r>
  <r>
    <n v="72049"/>
    <x v="1055"/>
    <n v="176"/>
    <d v="2034-11-22T00:00:00"/>
    <s v="0014"/>
    <d v="2034-12-27T00:00:00"/>
    <d v="2035-01-25T00:00:00"/>
    <x v="170"/>
    <m/>
    <m/>
  </r>
  <r>
    <n v="72050"/>
    <x v="1056"/>
    <n v="175"/>
    <d v="2034-11-22T00:00:00"/>
    <s v="0018"/>
    <d v="2035-01-13T00:00:00"/>
    <m/>
    <x v="170"/>
    <m/>
    <m/>
  </r>
  <r>
    <n v="72051"/>
    <x v="1057"/>
    <n v="27"/>
    <d v="2034-11-22T00:00:00"/>
    <s v="0009"/>
    <d v="2035-01-05T00:00:00"/>
    <d v="2035-01-21T00:00:00"/>
    <x v="170"/>
    <m/>
    <m/>
  </r>
  <r>
    <n v="72052"/>
    <x v="1058"/>
    <n v="69"/>
    <d v="2034-11-23T00:00:00"/>
    <s v="0015"/>
    <d v="2035-01-20T00:00:00"/>
    <m/>
    <x v="170"/>
    <m/>
    <m/>
  </r>
  <r>
    <n v="72053"/>
    <x v="1059"/>
    <n v="263"/>
    <d v="2034-11-23T00:00:00"/>
    <s v="0008"/>
    <d v="2035-01-18T00:00:00"/>
    <m/>
    <x v="170"/>
    <m/>
    <m/>
  </r>
  <r>
    <n v="72054"/>
    <x v="1060"/>
    <n v="75"/>
    <d v="2034-11-23T00:00:00"/>
    <s v="0012"/>
    <d v="2035-01-08T00:00:00"/>
    <d v="2035-01-25T00:00:00"/>
    <x v="170"/>
    <m/>
    <m/>
  </r>
  <r>
    <n v="72055"/>
    <x v="1061"/>
    <n v="190"/>
    <d v="2034-11-23T00:00:00"/>
    <s v="0017"/>
    <d v="2035-01-04T00:00:00"/>
    <d v="2035-01-24T00:00:00"/>
    <x v="170"/>
    <m/>
    <m/>
  </r>
  <r>
    <n v="72056"/>
    <x v="1062"/>
    <n v="18"/>
    <d v="2034-11-23T00:00:00"/>
    <s v="0002"/>
    <d v="2034-12-26T00:00:00"/>
    <d v="2035-01-17T00:00:00"/>
    <x v="170"/>
    <m/>
    <m/>
  </r>
  <r>
    <n v="72057"/>
    <x v="1063"/>
    <n v="169"/>
    <d v="2034-11-23T00:00:00"/>
    <s v="0005"/>
    <d v="2034-12-23T00:00:00"/>
    <d v="2035-01-17T00:00:00"/>
    <x v="170"/>
    <m/>
    <m/>
  </r>
  <r>
    <n v="72058"/>
    <x v="1064"/>
    <n v="54"/>
    <d v="2034-11-23T00:00:00"/>
    <s v="0015"/>
    <d v="2034-12-31T00:00:00"/>
    <d v="2035-01-21T00:00:00"/>
    <x v="170"/>
    <m/>
    <m/>
  </r>
  <r>
    <n v="72059"/>
    <x v="1065"/>
    <n v="208"/>
    <d v="2034-11-23T00:00:00"/>
    <s v="0018"/>
    <d v="2035-01-04T00:00:00"/>
    <d v="2035-01-23T00:00:00"/>
    <x v="170"/>
    <m/>
    <m/>
  </r>
  <r>
    <n v="72060"/>
    <x v="1066"/>
    <n v="207"/>
    <d v="2034-11-23T00:00:00"/>
    <s v="0010"/>
    <d v="2034-12-26T00:00:00"/>
    <d v="2035-01-13T00:00:00"/>
    <x v="170"/>
    <m/>
    <m/>
  </r>
  <r>
    <n v="72061"/>
    <x v="1067"/>
    <n v="163"/>
    <d v="2034-11-24T00:00:00"/>
    <s v="0010"/>
    <d v="2035-01-01T00:00:00"/>
    <d v="2035-01-24T00:00:00"/>
    <x v="170"/>
    <m/>
    <m/>
  </r>
  <r>
    <n v="72062"/>
    <x v="1068"/>
    <n v="279"/>
    <d v="2034-11-24T00:00:00"/>
    <s v="0002"/>
    <d v="2035-01-04T00:00:00"/>
    <m/>
    <x v="170"/>
    <m/>
    <m/>
  </r>
  <r>
    <n v="72063"/>
    <x v="1069"/>
    <n v="249"/>
    <d v="2034-11-24T00:00:00"/>
    <s v="0003"/>
    <d v="2035-01-18T00:00:00"/>
    <m/>
    <x v="170"/>
    <m/>
    <m/>
  </r>
  <r>
    <n v="72064"/>
    <x v="1070"/>
    <n v="164"/>
    <d v="2034-11-24T00:00:00"/>
    <s v="0013"/>
    <d v="2035-01-21T00:00:00"/>
    <m/>
    <x v="170"/>
    <m/>
    <m/>
  </r>
  <r>
    <n v="72065"/>
    <x v="1071"/>
    <n v="0"/>
    <d v="2034-11-24T00:00:00"/>
    <s v="0004"/>
    <d v="2035-01-13T00:00:00"/>
    <d v="2035-01-30T00:00:00"/>
    <x v="170"/>
    <m/>
    <m/>
  </r>
  <r>
    <n v="72066"/>
    <x v="1072"/>
    <n v="143"/>
    <d v="2034-11-24T00:00:00"/>
    <s v="0005"/>
    <d v="2034-12-30T00:00:00"/>
    <d v="2035-01-17T00:00:00"/>
    <x v="170"/>
    <m/>
    <m/>
  </r>
  <r>
    <n v="72067"/>
    <x v="1073"/>
    <n v="245"/>
    <d v="2034-11-24T00:00:00"/>
    <s v="0015"/>
    <d v="2035-01-11T00:00:00"/>
    <m/>
    <x v="170"/>
    <m/>
    <m/>
  </r>
  <r>
    <n v="72068"/>
    <x v="1074"/>
    <n v="33"/>
    <d v="2034-11-24T00:00:00"/>
    <s v="0013"/>
    <d v="2035-01-20T00:00:00"/>
    <m/>
    <x v="170"/>
    <m/>
    <m/>
  </r>
  <r>
    <n v="72069"/>
    <x v="1075"/>
    <n v="281"/>
    <d v="2034-11-25T00:00:00"/>
    <s v="0005"/>
    <d v="2034-12-31T00:00:00"/>
    <d v="2035-01-17T00:00:00"/>
    <x v="170"/>
    <m/>
    <m/>
  </r>
  <r>
    <n v="72070"/>
    <x v="1076"/>
    <n v="130"/>
    <d v="2034-11-25T00:00:00"/>
    <s v="0018"/>
    <d v="2035-01-24T00:00:00"/>
    <m/>
    <x v="170"/>
    <m/>
    <m/>
  </r>
  <r>
    <n v="72071"/>
    <x v="1077"/>
    <n v="124"/>
    <d v="2034-11-25T00:00:00"/>
    <s v="0014"/>
    <d v="2035-01-12T00:00:00"/>
    <m/>
    <x v="170"/>
    <m/>
    <m/>
  </r>
  <r>
    <n v="72072"/>
    <x v="1078"/>
    <n v="184"/>
    <d v="2034-11-25T00:00:00"/>
    <s v="0010"/>
    <d v="2035-01-03T00:00:00"/>
    <d v="2035-01-30T00:00:00"/>
    <x v="170"/>
    <m/>
    <m/>
  </r>
  <r>
    <n v="72073"/>
    <x v="1079"/>
    <n v="117"/>
    <d v="2034-11-25T00:00:00"/>
    <s v="0008"/>
    <d v="2034-12-30T00:00:00"/>
    <d v="2035-01-14T00:00:00"/>
    <x v="175"/>
    <s v="ganho de causa defesa"/>
    <m/>
  </r>
  <r>
    <n v="72074"/>
    <x v="1080"/>
    <n v="87"/>
    <d v="2034-11-25T00:00:00"/>
    <s v="0002"/>
    <d v="2034-12-27T00:00:00"/>
    <d v="2035-01-13T00:00:00"/>
    <x v="170"/>
    <m/>
    <m/>
  </r>
  <r>
    <n v="72075"/>
    <x v="1081"/>
    <n v="271"/>
    <d v="2034-11-26T00:00:00"/>
    <s v="0010"/>
    <d v="2035-01-03T00:00:00"/>
    <m/>
    <x v="170"/>
    <m/>
    <m/>
  </r>
  <r>
    <n v="72076"/>
    <x v="1082"/>
    <n v="45"/>
    <d v="2034-11-26T00:00:00"/>
    <s v="0018"/>
    <d v="2034-12-28T00:00:00"/>
    <d v="2035-01-12T00:00:00"/>
    <x v="170"/>
    <m/>
    <m/>
  </r>
  <r>
    <n v="72077"/>
    <x v="1083"/>
    <n v="134"/>
    <d v="2034-11-26T00:00:00"/>
    <s v="0004"/>
    <d v="2035-01-11T00:00:00"/>
    <m/>
    <x v="170"/>
    <m/>
    <m/>
  </r>
  <r>
    <n v="72078"/>
    <x v="1084"/>
    <n v="103"/>
    <d v="2034-11-26T00:00:00"/>
    <s v="0008"/>
    <d v="2035-01-10T00:00:00"/>
    <m/>
    <x v="170"/>
    <m/>
    <m/>
  </r>
  <r>
    <n v="72079"/>
    <x v="1085"/>
    <n v="4"/>
    <d v="2034-11-26T00:00:00"/>
    <s v="0003"/>
    <d v="2035-01-05T00:00:00"/>
    <d v="2035-01-31T00:00:00"/>
    <x v="170"/>
    <m/>
    <m/>
  </r>
  <r>
    <n v="72080"/>
    <x v="1086"/>
    <n v="329"/>
    <d v="2034-11-26T00:00:00"/>
    <s v="0013"/>
    <d v="2035-01-06T00:00:00"/>
    <m/>
    <x v="170"/>
    <m/>
    <m/>
  </r>
  <r>
    <n v="72081"/>
    <x v="1087"/>
    <n v="244"/>
    <d v="2034-11-26T00:00:00"/>
    <s v="0011"/>
    <d v="2035-01-06T00:00:00"/>
    <d v="2035-01-22T00:00:00"/>
    <x v="170"/>
    <m/>
    <m/>
  </r>
  <r>
    <n v="72082"/>
    <x v="1088"/>
    <n v="292"/>
    <d v="2034-11-26T00:00:00"/>
    <s v="0009"/>
    <d v="2035-01-09T00:00:00"/>
    <m/>
    <x v="170"/>
    <m/>
    <m/>
  </r>
  <r>
    <n v="72083"/>
    <x v="1089"/>
    <n v="112"/>
    <d v="2034-11-27T00:00:00"/>
    <s v="0018"/>
    <d v="2035-01-13T00:00:00"/>
    <m/>
    <x v="170"/>
    <m/>
    <m/>
  </r>
  <r>
    <n v="72084"/>
    <x v="1090"/>
    <n v="224"/>
    <d v="2034-11-27T00:00:00"/>
    <s v="0015"/>
    <d v="2035-01-09T00:00:00"/>
    <d v="2035-01-29T00:00:00"/>
    <x v="170"/>
    <m/>
    <m/>
  </r>
  <r>
    <n v="72085"/>
    <x v="1091"/>
    <n v="183"/>
    <d v="2034-11-27T00:00:00"/>
    <s v="0015"/>
    <d v="2035-01-07T00:00:00"/>
    <d v="2035-01-31T00:00:00"/>
    <x v="170"/>
    <m/>
    <m/>
  </r>
  <r>
    <n v="72086"/>
    <x v="1092"/>
    <n v="289"/>
    <d v="2034-11-28T00:00:00"/>
    <s v="0005"/>
    <d v="2035-01-05T00:00:00"/>
    <d v="2035-02-01T00:00:00"/>
    <x v="170"/>
    <m/>
    <m/>
  </r>
  <r>
    <n v="72087"/>
    <x v="1093"/>
    <n v="10"/>
    <d v="2034-11-28T00:00:00"/>
    <s v="0016"/>
    <d v="2035-01-11T00:00:00"/>
    <m/>
    <x v="170"/>
    <m/>
    <m/>
  </r>
  <r>
    <n v="72088"/>
    <x v="1094"/>
    <n v="325"/>
    <d v="2034-11-28T00:00:00"/>
    <s v="0018"/>
    <d v="2035-01-18T00:00:00"/>
    <m/>
    <x v="170"/>
    <m/>
    <m/>
  </r>
  <r>
    <n v="72089"/>
    <x v="1095"/>
    <n v="336"/>
    <d v="2034-11-28T00:00:00"/>
    <s v="0008"/>
    <d v="2035-01-23T00:00:00"/>
    <m/>
    <x v="170"/>
    <m/>
    <m/>
  </r>
  <r>
    <n v="72090"/>
    <x v="1096"/>
    <n v="33"/>
    <d v="2034-11-28T00:00:00"/>
    <s v="0001"/>
    <d v="2035-01-22T00:00:00"/>
    <m/>
    <x v="170"/>
    <m/>
    <m/>
  </r>
  <r>
    <n v="72091"/>
    <x v="1097"/>
    <n v="83"/>
    <d v="2034-11-28T00:00:00"/>
    <s v="0008"/>
    <d v="2035-01-08T00:00:00"/>
    <d v="2035-01-24T00:00:00"/>
    <x v="170"/>
    <m/>
    <m/>
  </r>
  <r>
    <n v="72092"/>
    <x v="1098"/>
    <n v="170"/>
    <d v="2034-11-29T00:00:00"/>
    <s v="0017"/>
    <d v="2035-01-06T00:00:00"/>
    <d v="2035-01-23T00:00:00"/>
    <x v="170"/>
    <m/>
    <m/>
  </r>
  <r>
    <n v="72093"/>
    <x v="1099"/>
    <n v="115"/>
    <d v="2034-11-29T00:00:00"/>
    <s v="0017"/>
    <d v="2035-01-28T00:00:00"/>
    <m/>
    <x v="170"/>
    <m/>
    <m/>
  </r>
  <r>
    <n v="72094"/>
    <x v="1100"/>
    <n v="228"/>
    <d v="2034-11-29T00:00:00"/>
    <s v="0007"/>
    <d v="2035-01-22T00:00:00"/>
    <m/>
    <x v="170"/>
    <m/>
    <m/>
  </r>
  <r>
    <n v="72095"/>
    <x v="1101"/>
    <n v="41"/>
    <d v="2034-11-29T00:00:00"/>
    <s v="0018"/>
    <d v="2035-01-05T00:00:00"/>
    <d v="2035-01-30T00:00:00"/>
    <x v="170"/>
    <m/>
    <m/>
  </r>
  <r>
    <n v="72096"/>
    <x v="1102"/>
    <n v="97"/>
    <d v="2034-11-29T00:00:00"/>
    <s v="0001"/>
    <d v="2035-01-13T00:00:00"/>
    <d v="2035-01-30T00:00:00"/>
    <x v="170"/>
    <m/>
    <m/>
  </r>
  <r>
    <n v="72097"/>
    <x v="1103"/>
    <n v="167"/>
    <d v="2034-11-29T00:00:00"/>
    <s v="0017"/>
    <d v="2034-12-31T00:00:00"/>
    <d v="2035-01-22T00:00:00"/>
    <x v="170"/>
    <m/>
    <m/>
  </r>
  <r>
    <n v="72098"/>
    <x v="1104"/>
    <n v="307"/>
    <d v="2034-11-29T00:00:00"/>
    <s v="0007"/>
    <d v="2035-01-25T00:00:00"/>
    <m/>
    <x v="170"/>
    <m/>
    <m/>
  </r>
  <r>
    <n v="72099"/>
    <x v="1105"/>
    <n v="17"/>
    <d v="2034-11-29T00:00:00"/>
    <s v="0011"/>
    <d v="2035-01-13T00:00:00"/>
    <m/>
    <x v="170"/>
    <m/>
    <m/>
  </r>
  <r>
    <n v="72100"/>
    <x v="1106"/>
    <n v="173"/>
    <d v="2034-11-29T00:00:00"/>
    <s v="0005"/>
    <d v="2035-01-20T00:00:00"/>
    <m/>
    <x v="170"/>
    <m/>
    <m/>
  </r>
  <r>
    <n v="72101"/>
    <x v="1107"/>
    <n v="302"/>
    <d v="2034-11-29T00:00:00"/>
    <s v="0018"/>
    <d v="2035-01-05T00:00:00"/>
    <d v="2035-01-20T00:00:00"/>
    <x v="170"/>
    <m/>
    <m/>
  </r>
  <r>
    <n v="72102"/>
    <x v="1108"/>
    <n v="177"/>
    <d v="2034-11-30T00:00:00"/>
    <s v="0009"/>
    <d v="2035-01-26T00:00:00"/>
    <m/>
    <x v="170"/>
    <m/>
    <m/>
  </r>
  <r>
    <n v="72103"/>
    <x v="1109"/>
    <n v="273"/>
    <d v="2034-12-01T00:00:00"/>
    <s v="0005"/>
    <d v="2035-01-11T00:00:00"/>
    <m/>
    <x v="170"/>
    <m/>
    <m/>
  </r>
  <r>
    <n v="72104"/>
    <x v="1110"/>
    <n v="147"/>
    <d v="2034-12-01T00:00:00"/>
    <s v="0013"/>
    <d v="2035-01-21T00:00:00"/>
    <m/>
    <x v="170"/>
    <m/>
    <m/>
  </r>
  <r>
    <n v="72105"/>
    <x v="1111"/>
    <n v="94"/>
    <d v="2034-12-01T00:00:00"/>
    <s v="0003"/>
    <d v="2035-01-11T00:00:00"/>
    <m/>
    <x v="170"/>
    <m/>
    <m/>
  </r>
  <r>
    <n v="72106"/>
    <x v="1112"/>
    <n v="91"/>
    <d v="2034-12-01T00:00:00"/>
    <s v="0012"/>
    <d v="2035-01-30T00:00:00"/>
    <m/>
    <x v="170"/>
    <m/>
    <m/>
  </r>
  <r>
    <n v="72107"/>
    <x v="1113"/>
    <n v="139"/>
    <d v="2034-12-01T00:00:00"/>
    <s v="0007"/>
    <d v="2035-01-15T00:00:00"/>
    <m/>
    <x v="170"/>
    <m/>
    <m/>
  </r>
  <r>
    <n v="72108"/>
    <x v="1114"/>
    <n v="161"/>
    <d v="2034-12-01T00:00:00"/>
    <s v="0016"/>
    <d v="2035-01-20T00:00:00"/>
    <m/>
    <x v="170"/>
    <m/>
    <m/>
  </r>
  <r>
    <n v="72109"/>
    <x v="1115"/>
    <n v="170"/>
    <d v="2034-12-01T00:00:00"/>
    <s v="0013"/>
    <d v="2035-01-22T00:00:00"/>
    <m/>
    <x v="170"/>
    <m/>
    <m/>
  </r>
  <r>
    <n v="72110"/>
    <x v="1116"/>
    <n v="63"/>
    <d v="2034-12-01T00:00:00"/>
    <s v="0007"/>
    <d v="2035-01-24T00:00:00"/>
    <m/>
    <x v="170"/>
    <m/>
    <m/>
  </r>
  <r>
    <n v="72111"/>
    <x v="1117"/>
    <n v="339"/>
    <d v="2034-12-01T00:00:00"/>
    <s v="0006"/>
    <d v="2035-01-20T00:00:00"/>
    <m/>
    <x v="170"/>
    <m/>
    <m/>
  </r>
  <r>
    <n v="72112"/>
    <x v="1118"/>
    <n v="87"/>
    <d v="2034-12-01T00:00:00"/>
    <s v="0002"/>
    <d v="2035-01-12T00:00:00"/>
    <d v="2035-02-01T00:00:00"/>
    <x v="170"/>
    <m/>
    <m/>
  </r>
  <r>
    <n v="72113"/>
    <x v="1119"/>
    <n v="231"/>
    <d v="2034-12-02T00:00:00"/>
    <s v="0016"/>
    <d v="2035-01-29T00:00:00"/>
    <m/>
    <x v="170"/>
    <m/>
    <m/>
  </r>
  <r>
    <n v="72114"/>
    <x v="1120"/>
    <n v="220"/>
    <d v="2034-12-02T00:00:00"/>
    <s v="0004"/>
    <d v="2035-01-06T00:00:00"/>
    <m/>
    <x v="170"/>
    <m/>
    <m/>
  </r>
  <r>
    <n v="72115"/>
    <x v="1121"/>
    <n v="328"/>
    <d v="2034-12-02T00:00:00"/>
    <s v="0009"/>
    <d v="2035-01-10T00:00:00"/>
    <d v="2035-01-29T00:00:00"/>
    <x v="170"/>
    <m/>
    <m/>
  </r>
  <r>
    <n v="72116"/>
    <x v="1122"/>
    <n v="220"/>
    <d v="2034-12-03T00:00:00"/>
    <s v="0009"/>
    <d v="2035-01-04T00:00:00"/>
    <d v="2035-01-25T00:00:00"/>
    <x v="170"/>
    <m/>
    <m/>
  </r>
  <r>
    <n v="72117"/>
    <x v="1123"/>
    <n v="323"/>
    <d v="2034-12-03T00:00:00"/>
    <s v="0010"/>
    <d v="2035-01-02T00:00:00"/>
    <d v="2035-01-17T00:00:00"/>
    <x v="170"/>
    <m/>
    <m/>
  </r>
  <r>
    <n v="72118"/>
    <x v="1124"/>
    <n v="84"/>
    <d v="2034-12-03T00:00:00"/>
    <s v="0018"/>
    <d v="2035-01-22T00:00:00"/>
    <m/>
    <x v="170"/>
    <m/>
    <m/>
  </r>
  <r>
    <n v="72119"/>
    <x v="1125"/>
    <n v="257"/>
    <d v="2034-12-03T00:00:00"/>
    <s v="0015"/>
    <d v="2035-01-20T00:00:00"/>
    <m/>
    <x v="170"/>
    <m/>
    <m/>
  </r>
  <r>
    <n v="72120"/>
    <x v="1126"/>
    <n v="190"/>
    <d v="2034-12-03T00:00:00"/>
    <s v="0005"/>
    <d v="2035-01-21T00:00:00"/>
    <m/>
    <x v="170"/>
    <m/>
    <m/>
  </r>
  <r>
    <n v="72121"/>
    <x v="1127"/>
    <n v="240"/>
    <d v="2034-12-03T00:00:00"/>
    <s v="0009"/>
    <d v="2035-01-22T00:00:00"/>
    <m/>
    <x v="170"/>
    <m/>
    <m/>
  </r>
  <r>
    <n v="72122"/>
    <x v="1128"/>
    <n v="28"/>
    <d v="2034-12-04T00:00:00"/>
    <s v="0018"/>
    <d v="2035-02-01T00:00:00"/>
    <m/>
    <x v="170"/>
    <m/>
    <m/>
  </r>
  <r>
    <n v="72123"/>
    <x v="1129"/>
    <n v="136"/>
    <d v="2034-12-04T00:00:00"/>
    <s v="0009"/>
    <d v="2035-01-21T00:00:00"/>
    <m/>
    <x v="170"/>
    <m/>
    <m/>
  </r>
  <r>
    <n v="72124"/>
    <x v="1130"/>
    <n v="334"/>
    <d v="2034-12-04T00:00:00"/>
    <s v="0009"/>
    <d v="2035-01-30T00:00:00"/>
    <m/>
    <x v="170"/>
    <m/>
    <m/>
  </r>
  <r>
    <n v="72125"/>
    <x v="1131"/>
    <n v="170"/>
    <d v="2034-12-04T00:00:00"/>
    <s v="0017"/>
    <d v="2035-01-29T00:00:00"/>
    <m/>
    <x v="170"/>
    <m/>
    <m/>
  </r>
  <r>
    <n v="72126"/>
    <x v="1132"/>
    <n v="275"/>
    <d v="2034-12-04T00:00:00"/>
    <s v="0017"/>
    <d v="2035-02-01T00:00:00"/>
    <m/>
    <x v="170"/>
    <m/>
    <m/>
  </r>
  <r>
    <n v="72127"/>
    <x v="1133"/>
    <n v="329"/>
    <d v="2034-12-04T00:00:00"/>
    <s v="0014"/>
    <d v="2035-01-29T00:00:00"/>
    <m/>
    <x v="170"/>
    <m/>
    <m/>
  </r>
  <r>
    <n v="72128"/>
    <x v="1134"/>
    <n v="175"/>
    <d v="2034-12-04T00:00:00"/>
    <s v="0016"/>
    <d v="2035-01-15T00:00:00"/>
    <d v="2035-02-01T00:00:00"/>
    <x v="170"/>
    <m/>
    <m/>
  </r>
  <r>
    <n v="72129"/>
    <x v="1135"/>
    <n v="209"/>
    <d v="2034-12-05T00:00:00"/>
    <s v="0018"/>
    <d v="2035-01-17T00:00:00"/>
    <m/>
    <x v="170"/>
    <m/>
    <m/>
  </r>
  <r>
    <n v="72130"/>
    <x v="1136"/>
    <n v="245"/>
    <d v="2034-12-05T00:00:00"/>
    <s v="0013"/>
    <d v="2035-01-21T00:00:00"/>
    <m/>
    <x v="170"/>
    <m/>
    <m/>
  </r>
  <r>
    <n v="72131"/>
    <x v="1137"/>
    <n v="122"/>
    <d v="2034-12-05T00:00:00"/>
    <s v="0002"/>
    <d v="2035-02-02T00:00:00"/>
    <m/>
    <x v="170"/>
    <m/>
    <m/>
  </r>
  <r>
    <n v="72132"/>
    <x v="1138"/>
    <n v="339"/>
    <d v="2034-12-05T00:00:00"/>
    <s v="0008"/>
    <d v="2035-01-08T00:00:00"/>
    <d v="2035-01-29T00:00:00"/>
    <x v="170"/>
    <m/>
    <m/>
  </r>
  <r>
    <n v="72133"/>
    <x v="1139"/>
    <n v="196"/>
    <d v="2034-12-06T00:00:00"/>
    <s v="0017"/>
    <d v="2035-01-23T00:00:00"/>
    <m/>
    <x v="170"/>
    <m/>
    <m/>
  </r>
  <r>
    <n v="72134"/>
    <x v="1140"/>
    <n v="196"/>
    <d v="2034-12-06T00:00:00"/>
    <s v="0004"/>
    <d v="2035-01-07T00:00:00"/>
    <d v="2035-01-28T00:00:00"/>
    <x v="170"/>
    <m/>
    <m/>
  </r>
  <r>
    <n v="72135"/>
    <x v="1141"/>
    <n v="291"/>
    <d v="2034-12-06T00:00:00"/>
    <s v="0001"/>
    <d v="2035-01-12T00:00:00"/>
    <d v="2035-01-28T00:00:00"/>
    <x v="170"/>
    <m/>
    <m/>
  </r>
  <r>
    <n v="72136"/>
    <x v="1142"/>
    <n v="142"/>
    <d v="2034-12-06T00:00:00"/>
    <s v="0013"/>
    <d v="2035-01-23T00:00:00"/>
    <m/>
    <x v="170"/>
    <m/>
    <m/>
  </r>
  <r>
    <n v="72137"/>
    <x v="1143"/>
    <n v="21"/>
    <d v="2034-12-07T00:00:00"/>
    <s v="0011"/>
    <d v="2035-01-15T00:00:00"/>
    <m/>
    <x v="170"/>
    <m/>
    <m/>
  </r>
  <r>
    <n v="72138"/>
    <x v="1144"/>
    <n v="132"/>
    <d v="2034-12-07T00:00:00"/>
    <s v="0011"/>
    <d v="2035-01-10T00:00:00"/>
    <d v="2035-01-26T00:00:00"/>
    <x v="170"/>
    <m/>
    <m/>
  </r>
  <r>
    <n v="72139"/>
    <x v="1145"/>
    <n v="22"/>
    <d v="2034-12-07T00:00:00"/>
    <s v="0002"/>
    <d v="2035-01-12T00:00:00"/>
    <m/>
    <x v="170"/>
    <m/>
    <m/>
  </r>
  <r>
    <n v="72140"/>
    <x v="1146"/>
    <n v="45"/>
    <d v="2034-12-07T00:00:00"/>
    <s v="0009"/>
    <d v="2035-01-29T00:00:00"/>
    <m/>
    <x v="170"/>
    <m/>
    <m/>
  </r>
  <r>
    <n v="72141"/>
    <x v="1147"/>
    <n v="230"/>
    <d v="2034-12-07T00:00:00"/>
    <s v="0015"/>
    <d v="2035-01-19T00:00:00"/>
    <m/>
    <x v="170"/>
    <m/>
    <m/>
  </r>
  <r>
    <n v="72142"/>
    <x v="1148"/>
    <n v="292"/>
    <d v="2034-12-08T00:00:00"/>
    <s v="0013"/>
    <d v="2035-01-22T00:00:00"/>
    <m/>
    <x v="170"/>
    <m/>
    <m/>
  </r>
  <r>
    <n v="72143"/>
    <x v="1149"/>
    <n v="31"/>
    <d v="2034-12-08T00:00:00"/>
    <s v="0016"/>
    <d v="2035-01-14T00:00:00"/>
    <m/>
    <x v="170"/>
    <m/>
    <m/>
  </r>
  <r>
    <n v="72144"/>
    <x v="1150"/>
    <n v="251"/>
    <d v="2034-12-09T00:00:00"/>
    <s v="0012"/>
    <d v="2035-01-08T00:00:00"/>
    <d v="2035-01-24T00:00:00"/>
    <x v="170"/>
    <m/>
    <m/>
  </r>
  <r>
    <n v="72145"/>
    <x v="1151"/>
    <n v="100"/>
    <d v="2034-12-09T00:00:00"/>
    <s v="0010"/>
    <d v="2035-02-02T00:00:00"/>
    <m/>
    <x v="170"/>
    <m/>
    <m/>
  </r>
  <r>
    <n v="72146"/>
    <x v="1152"/>
    <n v="33"/>
    <d v="2034-12-09T00:00:00"/>
    <s v="0015"/>
    <d v="2035-01-25T00:00:00"/>
    <m/>
    <x v="170"/>
    <m/>
    <m/>
  </r>
  <r>
    <n v="72147"/>
    <x v="1153"/>
    <n v="26"/>
    <d v="2034-12-09T00:00:00"/>
    <s v="0007"/>
    <d v="2035-01-24T00:00:00"/>
    <m/>
    <x v="170"/>
    <m/>
    <m/>
  </r>
  <r>
    <n v="72148"/>
    <x v="1154"/>
    <n v="218"/>
    <d v="2034-12-10T00:00:00"/>
    <s v="0007"/>
    <d v="2035-01-24T00:00:00"/>
    <m/>
    <x v="170"/>
    <m/>
    <m/>
  </r>
  <r>
    <n v="72149"/>
    <x v="1155"/>
    <n v="340"/>
    <d v="2034-12-10T00:00:00"/>
    <s v="0014"/>
    <d v="2035-01-27T00:00:00"/>
    <m/>
    <x v="170"/>
    <m/>
    <m/>
  </r>
  <r>
    <n v="72150"/>
    <x v="1156"/>
    <n v="327"/>
    <d v="2034-12-10T00:00:00"/>
    <s v="0015"/>
    <d v="2035-01-16T00:00:00"/>
    <m/>
    <x v="170"/>
    <m/>
    <m/>
  </r>
  <r>
    <n v="72151"/>
    <x v="1157"/>
    <n v="111"/>
    <d v="2034-12-10T00:00:00"/>
    <s v="0014"/>
    <d v="2035-01-10T00:00:00"/>
    <d v="2035-01-25T00:00:00"/>
    <x v="170"/>
    <m/>
    <m/>
  </r>
  <r>
    <n v="72152"/>
    <x v="1158"/>
    <n v="4"/>
    <d v="2034-12-10T00:00:00"/>
    <s v="0011"/>
    <d v="2035-01-29T00:00:00"/>
    <m/>
    <x v="170"/>
    <m/>
    <m/>
  </r>
  <r>
    <n v="72153"/>
    <x v="1159"/>
    <n v="60"/>
    <d v="2034-12-10T00:00:00"/>
    <s v="0013"/>
    <d v="2035-01-28T00:00:00"/>
    <m/>
    <x v="170"/>
    <m/>
    <m/>
  </r>
  <r>
    <n v="72154"/>
    <x v="1160"/>
    <n v="272"/>
    <d v="2034-12-10T00:00:00"/>
    <s v="0005"/>
    <d v="2035-01-09T00:00:00"/>
    <d v="2035-01-30T00:00:00"/>
    <x v="170"/>
    <m/>
    <m/>
  </r>
  <r>
    <n v="72155"/>
    <x v="1161"/>
    <n v="209"/>
    <d v="2034-12-10T00:00:00"/>
    <s v="0001"/>
    <d v="2035-01-20T00:00:00"/>
    <m/>
    <x v="170"/>
    <m/>
    <m/>
  </r>
  <r>
    <n v="72156"/>
    <x v="1162"/>
    <n v="299"/>
    <d v="2034-12-10T00:00:00"/>
    <s v="0011"/>
    <d v="2035-02-03T00:00:00"/>
    <m/>
    <x v="170"/>
    <m/>
    <m/>
  </r>
  <r>
    <n v="72157"/>
    <x v="1163"/>
    <n v="125"/>
    <d v="2034-12-10T00:00:00"/>
    <s v="0005"/>
    <d v="2035-01-31T00:00:00"/>
    <m/>
    <x v="170"/>
    <m/>
    <m/>
  </r>
  <r>
    <n v="72158"/>
    <x v="1164"/>
    <n v="277"/>
    <d v="2034-12-11T00:00:00"/>
    <s v="0005"/>
    <d v="2035-01-27T00:00:00"/>
    <m/>
    <x v="170"/>
    <m/>
    <m/>
  </r>
  <r>
    <n v="72159"/>
    <x v="1165"/>
    <n v="88"/>
    <d v="2034-12-11T00:00:00"/>
    <s v="0016"/>
    <d v="2035-02-05T00:00:00"/>
    <m/>
    <x v="170"/>
    <m/>
    <m/>
  </r>
  <r>
    <n v="72160"/>
    <x v="1166"/>
    <n v="184"/>
    <d v="2034-12-11T00:00:00"/>
    <s v="0013"/>
    <d v="2035-01-29T00:00:00"/>
    <m/>
    <x v="170"/>
    <m/>
    <m/>
  </r>
  <r>
    <n v="72161"/>
    <x v="1167"/>
    <n v="26"/>
    <d v="2034-12-11T00:00:00"/>
    <s v="0014"/>
    <d v="2035-02-04T00:00:00"/>
    <m/>
    <x v="170"/>
    <m/>
    <m/>
  </r>
  <r>
    <n v="72162"/>
    <x v="1168"/>
    <n v="69"/>
    <d v="2034-12-11T00:00:00"/>
    <s v="0010"/>
    <d v="2035-01-10T00:00:00"/>
    <m/>
    <x v="170"/>
    <m/>
    <m/>
  </r>
  <r>
    <n v="72163"/>
    <x v="1169"/>
    <n v="37"/>
    <d v="2034-12-11T00:00:00"/>
    <s v="0001"/>
    <d v="2035-02-09T00:00:00"/>
    <m/>
    <x v="170"/>
    <m/>
    <m/>
  </r>
  <r>
    <n v="72164"/>
    <x v="1170"/>
    <n v="87"/>
    <d v="2034-12-11T00:00:00"/>
    <s v="0001"/>
    <d v="2035-02-09T00:00:00"/>
    <m/>
    <x v="170"/>
    <m/>
    <m/>
  </r>
  <r>
    <n v="72165"/>
    <x v="1171"/>
    <n v="44"/>
    <d v="2034-12-12T00:00:00"/>
    <s v="0002"/>
    <d v="2035-01-18T00:00:00"/>
    <m/>
    <x v="170"/>
    <m/>
    <m/>
  </r>
  <r>
    <n v="72166"/>
    <x v="1172"/>
    <n v="35"/>
    <d v="2034-12-12T00:00:00"/>
    <s v="0015"/>
    <d v="2035-01-12T00:00:00"/>
    <m/>
    <x v="170"/>
    <m/>
    <m/>
  </r>
  <r>
    <n v="72167"/>
    <x v="1173"/>
    <n v="210"/>
    <d v="2034-12-12T00:00:00"/>
    <s v="0016"/>
    <d v="2035-01-19T00:00:00"/>
    <m/>
    <x v="170"/>
    <m/>
    <m/>
  </r>
  <r>
    <n v="72168"/>
    <x v="1174"/>
    <n v="325"/>
    <d v="2034-12-12T00:00:00"/>
    <s v="0009"/>
    <d v="2035-02-01T00:00:00"/>
    <m/>
    <x v="170"/>
    <m/>
    <m/>
  </r>
  <r>
    <n v="72169"/>
    <x v="1175"/>
    <n v="21"/>
    <d v="2034-12-12T00:00:00"/>
    <s v="0014"/>
    <d v="2035-02-10T00:00:00"/>
    <m/>
    <x v="170"/>
    <m/>
    <m/>
  </r>
  <r>
    <n v="72170"/>
    <x v="1176"/>
    <n v="37"/>
    <d v="2034-12-12T00:00:00"/>
    <s v="0003"/>
    <d v="2035-01-20T00:00:00"/>
    <m/>
    <x v="170"/>
    <m/>
    <m/>
  </r>
  <r>
    <n v="72171"/>
    <x v="1177"/>
    <n v="114"/>
    <d v="2034-12-12T00:00:00"/>
    <s v="0014"/>
    <d v="2035-02-04T00:00:00"/>
    <m/>
    <x v="170"/>
    <m/>
    <m/>
  </r>
  <r>
    <n v="72172"/>
    <x v="1178"/>
    <n v="80"/>
    <d v="2034-12-12T00:00:00"/>
    <s v="0013"/>
    <d v="2035-01-16T00:00:00"/>
    <m/>
    <x v="170"/>
    <m/>
    <m/>
  </r>
  <r>
    <n v="72173"/>
    <x v="1179"/>
    <n v="155"/>
    <d v="2034-12-13T00:00:00"/>
    <s v="0008"/>
    <d v="2035-02-01T00:00:00"/>
    <m/>
    <x v="170"/>
    <m/>
    <m/>
  </r>
  <r>
    <n v="72174"/>
    <x v="1180"/>
    <n v="274"/>
    <d v="2034-12-13T00:00:00"/>
    <s v="0007"/>
    <d v="2035-02-11T00:00:00"/>
    <m/>
    <x v="170"/>
    <m/>
    <m/>
  </r>
  <r>
    <n v="72175"/>
    <x v="1181"/>
    <n v="309"/>
    <d v="2034-12-13T00:00:00"/>
    <s v="0014"/>
    <d v="2035-02-08T00:00:00"/>
    <m/>
    <x v="170"/>
    <m/>
    <m/>
  </r>
  <r>
    <n v="72176"/>
    <x v="1182"/>
    <n v="332"/>
    <d v="2034-12-13T00:00:00"/>
    <s v="0017"/>
    <d v="2035-01-12T00:00:00"/>
    <m/>
    <x v="170"/>
    <m/>
    <m/>
  </r>
  <r>
    <n v="72177"/>
    <x v="1183"/>
    <n v="77"/>
    <d v="2034-12-13T00:00:00"/>
    <s v="0005"/>
    <d v="2035-02-09T00:00:00"/>
    <m/>
    <x v="170"/>
    <m/>
    <m/>
  </r>
  <r>
    <n v="72178"/>
    <x v="1184"/>
    <n v="334"/>
    <d v="2034-12-13T00:00:00"/>
    <s v="0001"/>
    <d v="2035-01-31T00:00:00"/>
    <m/>
    <x v="170"/>
    <m/>
    <m/>
  </r>
  <r>
    <n v="72179"/>
    <x v="1185"/>
    <n v="131"/>
    <d v="2034-12-13T00:00:00"/>
    <s v="0009"/>
    <d v="2035-01-27T00:00:00"/>
    <m/>
    <x v="170"/>
    <m/>
    <m/>
  </r>
  <r>
    <n v="72180"/>
    <x v="1186"/>
    <n v="333"/>
    <d v="2034-12-14T00:00:00"/>
    <s v="0005"/>
    <d v="2035-01-20T00:00:00"/>
    <m/>
    <x v="170"/>
    <m/>
    <m/>
  </r>
  <r>
    <n v="72181"/>
    <x v="1187"/>
    <n v="53"/>
    <d v="2034-12-15T00:00:00"/>
    <s v="0014"/>
    <d v="2035-02-01T00:00:00"/>
    <m/>
    <x v="170"/>
    <m/>
    <m/>
  </r>
  <r>
    <n v="72182"/>
    <x v="1188"/>
    <n v="179"/>
    <d v="2034-12-15T00:00:00"/>
    <s v="0008"/>
    <d v="2035-01-17T00:00:00"/>
    <m/>
    <x v="170"/>
    <m/>
    <m/>
  </r>
  <r>
    <n v="72183"/>
    <x v="1189"/>
    <n v="62"/>
    <d v="2034-12-15T00:00:00"/>
    <s v="0005"/>
    <d v="2035-01-28T00:00:00"/>
    <m/>
    <x v="170"/>
    <m/>
    <m/>
  </r>
  <r>
    <n v="72184"/>
    <x v="1190"/>
    <n v="123"/>
    <d v="2034-12-15T00:00:00"/>
    <s v="0007"/>
    <d v="2035-02-03T00:00:00"/>
    <m/>
    <x v="170"/>
    <m/>
    <m/>
  </r>
  <r>
    <n v="72185"/>
    <x v="1191"/>
    <n v="68"/>
    <d v="2034-12-15T00:00:00"/>
    <s v="0009"/>
    <d v="2035-01-19T00:00:00"/>
    <m/>
    <x v="170"/>
    <m/>
    <m/>
  </r>
  <r>
    <n v="72186"/>
    <x v="1192"/>
    <n v="225"/>
    <d v="2034-12-15T00:00:00"/>
    <s v="0013"/>
    <d v="2035-01-30T00:00:00"/>
    <m/>
    <x v="170"/>
    <m/>
    <m/>
  </r>
  <r>
    <n v="72187"/>
    <x v="1193"/>
    <n v="16"/>
    <d v="2034-12-15T00:00:00"/>
    <s v="0006"/>
    <d v="2035-02-13T00:00:00"/>
    <m/>
    <x v="170"/>
    <m/>
    <m/>
  </r>
  <r>
    <n v="72188"/>
    <x v="1194"/>
    <n v="274"/>
    <d v="2034-12-15T00:00:00"/>
    <s v="0017"/>
    <d v="2035-02-07T00:00:00"/>
    <m/>
    <x v="170"/>
    <m/>
    <m/>
  </r>
  <r>
    <n v="72189"/>
    <x v="1195"/>
    <n v="63"/>
    <d v="2034-12-16T00:00:00"/>
    <s v="0008"/>
    <d v="2035-02-10T00:00:00"/>
    <m/>
    <x v="170"/>
    <m/>
    <m/>
  </r>
  <r>
    <n v="72190"/>
    <x v="1196"/>
    <n v="289"/>
    <d v="2034-12-16T00:00:00"/>
    <s v="0016"/>
    <d v="2035-02-06T00:00:00"/>
    <m/>
    <x v="170"/>
    <m/>
    <m/>
  </r>
  <r>
    <n v="72191"/>
    <x v="1197"/>
    <n v="92"/>
    <d v="2034-12-16T00:00:00"/>
    <s v="0006"/>
    <d v="2035-02-04T00:00:00"/>
    <m/>
    <x v="170"/>
    <m/>
    <m/>
  </r>
  <r>
    <n v="72192"/>
    <x v="1198"/>
    <n v="336"/>
    <d v="2034-12-16T00:00:00"/>
    <s v="0006"/>
    <d v="2035-01-28T00:00:00"/>
    <m/>
    <x v="170"/>
    <m/>
    <m/>
  </r>
  <r>
    <n v="72193"/>
    <x v="1199"/>
    <n v="109"/>
    <d v="2034-12-17T00:00:00"/>
    <s v="0004"/>
    <d v="2035-01-20T00:00:00"/>
    <m/>
    <x v="170"/>
    <m/>
    <m/>
  </r>
  <r>
    <n v="72194"/>
    <x v="1200"/>
    <n v="191"/>
    <d v="2034-12-17T00:00:00"/>
    <s v="0002"/>
    <d v="2035-02-10T00:00:00"/>
    <m/>
    <x v="170"/>
    <m/>
    <m/>
  </r>
  <r>
    <n v="72195"/>
    <x v="1201"/>
    <n v="20"/>
    <d v="2034-12-17T00:00:00"/>
    <s v="0006"/>
    <d v="2035-01-25T00:00:00"/>
    <m/>
    <x v="170"/>
    <m/>
    <m/>
  </r>
  <r>
    <n v="72196"/>
    <x v="1202"/>
    <n v="167"/>
    <d v="2034-12-17T00:00:00"/>
    <s v="0008"/>
    <d v="2035-02-15T00:00:00"/>
    <m/>
    <x v="170"/>
    <m/>
    <m/>
  </r>
  <r>
    <n v="72197"/>
    <x v="1203"/>
    <n v="234"/>
    <d v="2034-12-17T00:00:00"/>
    <s v="0018"/>
    <d v="2035-02-13T00:00:00"/>
    <m/>
    <x v="170"/>
    <m/>
    <m/>
  </r>
  <r>
    <n v="72198"/>
    <x v="1204"/>
    <n v="198"/>
    <d v="2034-12-18T00:00:00"/>
    <s v="0010"/>
    <d v="2035-01-27T00:00:00"/>
    <m/>
    <x v="170"/>
    <m/>
    <m/>
  </r>
  <r>
    <n v="72199"/>
    <x v="1205"/>
    <n v="273"/>
    <d v="2034-12-18T00:00:00"/>
    <s v="0012"/>
    <d v="2035-02-06T00:00:00"/>
    <m/>
    <x v="170"/>
    <m/>
    <m/>
  </r>
  <r>
    <n v="72200"/>
    <x v="1206"/>
    <n v="49"/>
    <d v="2034-12-18T00:00:00"/>
    <s v="0016"/>
    <d v="2035-01-29T00:00:00"/>
    <m/>
    <x v="170"/>
    <m/>
    <m/>
  </r>
  <r>
    <n v="72201"/>
    <x v="1207"/>
    <n v="14"/>
    <d v="2034-12-18T00:00:00"/>
    <s v="0018"/>
    <d v="2035-01-22T00:00:00"/>
    <m/>
    <x v="170"/>
    <m/>
    <m/>
  </r>
  <r>
    <n v="72202"/>
    <x v="1208"/>
    <n v="107"/>
    <d v="2034-12-18T00:00:00"/>
    <s v="0017"/>
    <d v="2035-02-09T00:00:00"/>
    <m/>
    <x v="170"/>
    <m/>
    <m/>
  </r>
  <r>
    <n v="72203"/>
    <x v="1209"/>
    <n v="16"/>
    <d v="2034-12-18T00:00:00"/>
    <s v="0008"/>
    <d v="2035-02-12T00:00:00"/>
    <m/>
    <x v="170"/>
    <m/>
    <m/>
  </r>
  <r>
    <n v="72204"/>
    <x v="1210"/>
    <n v="77"/>
    <d v="2034-12-18T00:00:00"/>
    <s v="0008"/>
    <d v="2035-02-01T00:00:00"/>
    <m/>
    <x v="170"/>
    <m/>
    <m/>
  </r>
  <r>
    <n v="72205"/>
    <x v="1211"/>
    <n v="110"/>
    <d v="2034-12-19T00:00:00"/>
    <s v="0008"/>
    <d v="2035-01-21T00:00:00"/>
    <m/>
    <x v="170"/>
    <m/>
    <m/>
  </r>
  <r>
    <n v="72206"/>
    <x v="1212"/>
    <n v="216"/>
    <d v="2034-12-19T00:00:00"/>
    <s v="0010"/>
    <d v="2035-02-01T00:00:00"/>
    <m/>
    <x v="170"/>
    <m/>
    <m/>
  </r>
  <r>
    <n v="72207"/>
    <x v="1213"/>
    <n v="336"/>
    <d v="2034-12-19T00:00:00"/>
    <s v="0004"/>
    <d v="2035-02-04T00:00:00"/>
    <m/>
    <x v="170"/>
    <m/>
    <m/>
  </r>
  <r>
    <n v="72208"/>
    <x v="1214"/>
    <n v="122"/>
    <d v="2034-12-19T00:00:00"/>
    <s v="0017"/>
    <d v="2035-02-01T00:00:00"/>
    <m/>
    <x v="170"/>
    <m/>
    <m/>
  </r>
  <r>
    <n v="72209"/>
    <x v="1215"/>
    <n v="152"/>
    <d v="2034-12-19T00:00:00"/>
    <s v="0008"/>
    <d v="2035-02-04T00:00:00"/>
    <m/>
    <x v="170"/>
    <m/>
    <m/>
  </r>
  <r>
    <n v="72210"/>
    <x v="1216"/>
    <n v="315"/>
    <d v="2034-12-19T00:00:00"/>
    <s v="0018"/>
    <d v="2035-01-19T00:00:00"/>
    <m/>
    <x v="170"/>
    <m/>
    <m/>
  </r>
  <r>
    <n v="72211"/>
    <x v="1217"/>
    <n v="40"/>
    <d v="2034-12-19T00:00:00"/>
    <s v="0007"/>
    <d v="2035-01-23T00:00:00"/>
    <m/>
    <x v="170"/>
    <m/>
    <m/>
  </r>
  <r>
    <n v="72212"/>
    <x v="1218"/>
    <n v="210"/>
    <d v="2034-12-19T00:00:00"/>
    <s v="0009"/>
    <d v="2035-02-04T00:00:00"/>
    <m/>
    <x v="170"/>
    <m/>
    <m/>
  </r>
  <r>
    <n v="72213"/>
    <x v="1219"/>
    <n v="223"/>
    <d v="2034-12-19T00:00:00"/>
    <s v="0017"/>
    <d v="2035-02-08T00:00:00"/>
    <m/>
    <x v="170"/>
    <m/>
    <m/>
  </r>
  <r>
    <n v="72214"/>
    <x v="1220"/>
    <n v="240"/>
    <d v="2034-12-19T00:00:00"/>
    <s v="0010"/>
    <d v="2035-02-14T00:00:00"/>
    <m/>
    <x v="170"/>
    <m/>
    <m/>
  </r>
  <r>
    <n v="72215"/>
    <x v="1221"/>
    <n v="191"/>
    <d v="2034-12-20T00:00:00"/>
    <s v="0014"/>
    <d v="2035-02-15T00:00:00"/>
    <m/>
    <x v="170"/>
    <m/>
    <m/>
  </r>
  <r>
    <n v="72216"/>
    <x v="1222"/>
    <n v="127"/>
    <d v="2034-12-20T00:00:00"/>
    <s v="0008"/>
    <d v="2035-02-01T00:00:00"/>
    <m/>
    <x v="170"/>
    <m/>
    <m/>
  </r>
  <r>
    <n v="72217"/>
    <x v="1223"/>
    <n v="142"/>
    <d v="2034-12-20T00:00:00"/>
    <s v="0003"/>
    <d v="2035-02-12T00:00:00"/>
    <m/>
    <x v="170"/>
    <m/>
    <m/>
  </r>
  <r>
    <n v="72218"/>
    <x v="1224"/>
    <n v="294"/>
    <d v="2034-12-20T00:00:00"/>
    <s v="0007"/>
    <d v="2035-01-20T00:00:00"/>
    <m/>
    <x v="170"/>
    <m/>
    <m/>
  </r>
  <r>
    <n v="72219"/>
    <x v="1225"/>
    <n v="163"/>
    <d v="2034-12-20T00:00:00"/>
    <s v="0012"/>
    <d v="2035-02-01T00:00:00"/>
    <m/>
    <x v="170"/>
    <m/>
    <m/>
  </r>
  <r>
    <n v="72220"/>
    <x v="1226"/>
    <n v="270"/>
    <d v="2034-12-20T00:00:00"/>
    <s v="0005"/>
    <d v="2035-02-07T00:00:00"/>
    <m/>
    <x v="170"/>
    <m/>
    <m/>
  </r>
  <r>
    <n v="72221"/>
    <x v="1227"/>
    <n v="120"/>
    <d v="2034-12-20T00:00:00"/>
    <s v="0009"/>
    <d v="2035-01-21T00:00:00"/>
    <m/>
    <x v="170"/>
    <m/>
    <m/>
  </r>
  <r>
    <n v="72222"/>
    <x v="1228"/>
    <n v="55"/>
    <d v="2034-12-21T00:00:00"/>
    <s v="0006"/>
    <d v="2035-01-24T00:00:00"/>
    <m/>
    <x v="170"/>
    <m/>
    <m/>
  </r>
  <r>
    <n v="72223"/>
    <x v="1229"/>
    <n v="340"/>
    <d v="2034-12-21T00:00:00"/>
    <s v="0003"/>
    <d v="2035-02-10T00:00:00"/>
    <m/>
    <x v="170"/>
    <m/>
    <m/>
  </r>
  <r>
    <n v="72224"/>
    <x v="1230"/>
    <n v="109"/>
    <d v="2034-12-21T00:00:00"/>
    <s v="0015"/>
    <d v="2035-02-16T00:00:00"/>
    <m/>
    <x v="170"/>
    <m/>
    <m/>
  </r>
  <r>
    <n v="72225"/>
    <x v="1231"/>
    <n v="94"/>
    <d v="2034-12-21T00:00:00"/>
    <s v="0011"/>
    <d v="2035-02-02T00:00:00"/>
    <m/>
    <x v="170"/>
    <m/>
    <m/>
  </r>
  <r>
    <n v="72226"/>
    <x v="1232"/>
    <n v="147"/>
    <d v="2034-12-21T00:00:00"/>
    <s v="0009"/>
    <d v="2035-01-30T00:00:00"/>
    <m/>
    <x v="170"/>
    <m/>
    <m/>
  </r>
  <r>
    <n v="72227"/>
    <x v="1233"/>
    <n v="4"/>
    <d v="2034-12-21T00:00:00"/>
    <s v="0013"/>
    <d v="2035-01-26T00:00:00"/>
    <m/>
    <x v="170"/>
    <m/>
    <m/>
  </r>
  <r>
    <n v="72228"/>
    <x v="1234"/>
    <n v="99"/>
    <d v="2034-12-21T00:00:00"/>
    <s v="0011"/>
    <d v="2035-01-25T00:00:00"/>
    <m/>
    <x v="170"/>
    <m/>
    <m/>
  </r>
  <r>
    <n v="72229"/>
    <x v="1235"/>
    <n v="206"/>
    <d v="2034-12-21T00:00:00"/>
    <s v="0003"/>
    <d v="2035-01-22T00:00:00"/>
    <m/>
    <x v="170"/>
    <m/>
    <m/>
  </r>
  <r>
    <n v="72230"/>
    <x v="1236"/>
    <n v="329"/>
    <d v="2034-12-22T00:00:00"/>
    <s v="0018"/>
    <d v="2035-02-10T00:00:00"/>
    <m/>
    <x v="170"/>
    <m/>
    <m/>
  </r>
  <r>
    <n v="72231"/>
    <x v="1237"/>
    <n v="263"/>
    <d v="2034-12-22T00:00:00"/>
    <s v="0009"/>
    <d v="2035-02-07T00:00:00"/>
    <m/>
    <x v="170"/>
    <m/>
    <m/>
  </r>
  <r>
    <n v="72232"/>
    <x v="1238"/>
    <n v="12"/>
    <d v="2034-12-22T00:00:00"/>
    <s v="0008"/>
    <d v="2035-02-12T00:00:00"/>
    <m/>
    <x v="170"/>
    <m/>
    <m/>
  </r>
  <r>
    <n v="72233"/>
    <x v="1239"/>
    <n v="100"/>
    <d v="2034-12-22T00:00:00"/>
    <s v="0013"/>
    <d v="2035-01-28T00:00:00"/>
    <m/>
    <x v="170"/>
    <m/>
    <m/>
  </r>
  <r>
    <n v="72234"/>
    <x v="1240"/>
    <n v="248"/>
    <d v="2034-12-22T00:00:00"/>
    <s v="0006"/>
    <d v="2035-02-09T00:00:00"/>
    <m/>
    <x v="170"/>
    <m/>
    <m/>
  </r>
  <r>
    <n v="72235"/>
    <x v="1241"/>
    <n v="150"/>
    <d v="2034-12-22T00:00:00"/>
    <s v="0003"/>
    <d v="2035-01-26T00:00:00"/>
    <m/>
    <x v="170"/>
    <m/>
    <m/>
  </r>
  <r>
    <n v="72236"/>
    <x v="1242"/>
    <n v="147"/>
    <d v="2034-12-22T00:00:00"/>
    <s v="0005"/>
    <d v="2035-02-08T00:00:00"/>
    <m/>
    <x v="170"/>
    <m/>
    <m/>
  </r>
  <r>
    <n v="72237"/>
    <x v="1243"/>
    <n v="11"/>
    <d v="2034-12-22T00:00:00"/>
    <s v="0006"/>
    <d v="2035-02-11T00:00:00"/>
    <m/>
    <x v="170"/>
    <m/>
    <m/>
  </r>
  <r>
    <n v="72238"/>
    <x v="1244"/>
    <n v="70"/>
    <d v="2034-12-22T00:00:00"/>
    <s v="0009"/>
    <d v="2035-01-25T00:00:00"/>
    <m/>
    <x v="170"/>
    <m/>
    <m/>
  </r>
  <r>
    <n v="72239"/>
    <x v="1245"/>
    <n v="81"/>
    <d v="2034-12-22T00:00:00"/>
    <s v="0005"/>
    <d v="2035-02-15T00:00:00"/>
    <m/>
    <x v="170"/>
    <m/>
    <m/>
  </r>
  <r>
    <n v="72240"/>
    <x v="1246"/>
    <n v="290"/>
    <d v="2034-12-23T00:00:00"/>
    <s v="0014"/>
    <d v="2035-01-31T00:00:00"/>
    <m/>
    <x v="170"/>
    <m/>
    <m/>
  </r>
  <r>
    <n v="72241"/>
    <x v="1247"/>
    <n v="94"/>
    <d v="2034-12-23T00:00:00"/>
    <s v="0002"/>
    <d v="2035-02-01T00:00:00"/>
    <m/>
    <x v="170"/>
    <m/>
    <m/>
  </r>
  <r>
    <n v="72242"/>
    <x v="1248"/>
    <n v="83"/>
    <d v="2034-12-23T00:00:00"/>
    <s v="0013"/>
    <d v="2035-02-11T00:00:00"/>
    <m/>
    <x v="170"/>
    <m/>
    <m/>
  </r>
  <r>
    <n v="72243"/>
    <x v="1249"/>
    <n v="38"/>
    <d v="2034-12-23T00:00:00"/>
    <s v="0008"/>
    <d v="2035-02-04T00:00:00"/>
    <m/>
    <x v="170"/>
    <m/>
    <m/>
  </r>
  <r>
    <n v="72244"/>
    <x v="1250"/>
    <n v="132"/>
    <d v="2034-12-23T00:00:00"/>
    <s v="0009"/>
    <d v="2035-02-10T00:00:00"/>
    <m/>
    <x v="170"/>
    <m/>
    <m/>
  </r>
  <r>
    <n v="72245"/>
    <x v="1251"/>
    <n v="52"/>
    <d v="2034-12-24T00:00:00"/>
    <s v="0008"/>
    <d v="2035-01-23T00:00:00"/>
    <m/>
    <x v="170"/>
    <m/>
    <m/>
  </r>
  <r>
    <n v="72246"/>
    <x v="1252"/>
    <n v="162"/>
    <d v="2034-12-24T00:00:00"/>
    <s v="0013"/>
    <d v="2035-01-23T00:00:00"/>
    <m/>
    <x v="170"/>
    <m/>
    <m/>
  </r>
  <r>
    <n v="72247"/>
    <x v="1253"/>
    <n v="84"/>
    <d v="2034-12-24T00:00:00"/>
    <s v="0007"/>
    <d v="2035-02-19T00:00:00"/>
    <m/>
    <x v="170"/>
    <m/>
    <m/>
  </r>
  <r>
    <n v="72248"/>
    <x v="1254"/>
    <n v="103"/>
    <d v="2034-12-24T00:00:00"/>
    <s v="0010"/>
    <d v="2035-02-08T00:00:00"/>
    <m/>
    <x v="170"/>
    <m/>
    <m/>
  </r>
  <r>
    <n v="72249"/>
    <x v="1255"/>
    <n v="71"/>
    <d v="2034-12-25T00:00:00"/>
    <s v="0001"/>
    <d v="2035-02-05T00:00:00"/>
    <m/>
    <x v="170"/>
    <m/>
    <m/>
  </r>
  <r>
    <n v="72250"/>
    <x v="1256"/>
    <n v="186"/>
    <d v="2034-12-25T00:00:00"/>
    <s v="0012"/>
    <d v="2035-02-18T00:00:00"/>
    <m/>
    <x v="170"/>
    <m/>
    <m/>
  </r>
  <r>
    <n v="72251"/>
    <x v="1257"/>
    <n v="66"/>
    <d v="2034-12-25T00:00:00"/>
    <s v="0004"/>
    <d v="2035-02-17T00:00:00"/>
    <m/>
    <x v="170"/>
    <m/>
    <m/>
  </r>
  <r>
    <n v="72252"/>
    <x v="1258"/>
    <n v="50"/>
    <d v="2034-12-25T00:00:00"/>
    <s v="0009"/>
    <d v="2035-02-05T00:00:00"/>
    <m/>
    <x v="170"/>
    <m/>
    <m/>
  </r>
  <r>
    <n v="72253"/>
    <x v="1259"/>
    <n v="319"/>
    <d v="2034-12-25T00:00:00"/>
    <s v="0011"/>
    <d v="2035-01-30T00:00:00"/>
    <m/>
    <x v="170"/>
    <m/>
    <m/>
  </r>
  <r>
    <n v="72254"/>
    <x v="1260"/>
    <n v="214"/>
    <d v="2034-12-25T00:00:00"/>
    <s v="0017"/>
    <d v="2035-02-20T00:00:00"/>
    <m/>
    <x v="170"/>
    <m/>
    <m/>
  </r>
  <r>
    <n v="72255"/>
    <x v="1261"/>
    <n v="275"/>
    <d v="2034-12-26T00:00:00"/>
    <s v="0014"/>
    <d v="2035-02-16T00:00:00"/>
    <m/>
    <x v="170"/>
    <m/>
    <m/>
  </r>
  <r>
    <n v="72256"/>
    <x v="1262"/>
    <n v="4"/>
    <d v="2034-12-26T00:00:00"/>
    <s v="0006"/>
    <d v="2035-01-25T00:00:00"/>
    <m/>
    <x v="170"/>
    <m/>
    <m/>
  </r>
  <r>
    <n v="72257"/>
    <x v="1263"/>
    <n v="170"/>
    <d v="2034-12-26T00:00:00"/>
    <s v="0012"/>
    <d v="2035-01-29T00:00:00"/>
    <m/>
    <x v="170"/>
    <m/>
    <m/>
  </r>
  <r>
    <n v="72258"/>
    <x v="1264"/>
    <n v="33"/>
    <d v="2034-12-26T00:00:00"/>
    <s v="0006"/>
    <d v="2035-02-09T00:00:00"/>
    <m/>
    <x v="170"/>
    <m/>
    <m/>
  </r>
  <r>
    <n v="72259"/>
    <x v="1265"/>
    <n v="164"/>
    <d v="2034-12-26T00:00:00"/>
    <s v="0018"/>
    <d v="2035-02-04T00:00:00"/>
    <m/>
    <x v="170"/>
    <m/>
    <m/>
  </r>
  <r>
    <n v="72260"/>
    <x v="1266"/>
    <n v="81"/>
    <d v="2034-12-26T00:00:00"/>
    <s v="0008"/>
    <d v="2035-02-18T00:00:00"/>
    <m/>
    <x v="170"/>
    <m/>
    <m/>
  </r>
  <r>
    <n v="72261"/>
    <x v="1267"/>
    <n v="215"/>
    <d v="2034-12-26T00:00:00"/>
    <s v="0004"/>
    <d v="2035-02-22T00:00:00"/>
    <m/>
    <x v="170"/>
    <m/>
    <m/>
  </r>
  <r>
    <n v="72262"/>
    <x v="1268"/>
    <n v="48"/>
    <d v="2034-12-26T00:00:00"/>
    <s v="0003"/>
    <d v="2035-02-15T00:00:00"/>
    <m/>
    <x v="170"/>
    <m/>
    <m/>
  </r>
  <r>
    <n v="72263"/>
    <x v="1269"/>
    <n v="18"/>
    <d v="2034-12-27T00:00:00"/>
    <s v="0018"/>
    <d v="2035-02-13T00:00:00"/>
    <m/>
    <x v="170"/>
    <m/>
    <m/>
  </r>
  <r>
    <n v="72264"/>
    <x v="1270"/>
    <n v="63"/>
    <d v="2034-12-27T00:00:00"/>
    <s v="0009"/>
    <d v="2035-02-04T00:00:00"/>
    <m/>
    <x v="170"/>
    <m/>
    <m/>
  </r>
  <r>
    <n v="72265"/>
    <x v="1271"/>
    <n v="340"/>
    <d v="2034-12-27T00:00:00"/>
    <s v="0005"/>
    <d v="2035-02-03T00:00:00"/>
    <m/>
    <x v="170"/>
    <m/>
    <m/>
  </r>
  <r>
    <n v="72266"/>
    <x v="1272"/>
    <n v="98"/>
    <d v="2034-12-27T00:00:00"/>
    <s v="0016"/>
    <d v="2035-02-03T00:00:00"/>
    <m/>
    <x v="170"/>
    <m/>
    <m/>
  </r>
  <r>
    <n v="72267"/>
    <x v="1273"/>
    <n v="1"/>
    <d v="2034-12-27T00:00:00"/>
    <s v="0014"/>
    <d v="2035-02-22T00:00:00"/>
    <m/>
    <x v="170"/>
    <m/>
    <m/>
  </r>
  <r>
    <n v="72268"/>
    <x v="1274"/>
    <n v="305"/>
    <d v="2034-12-28T00:00:00"/>
    <s v="0015"/>
    <d v="2035-01-31T00:00:00"/>
    <m/>
    <x v="170"/>
    <m/>
    <m/>
  </r>
  <r>
    <n v="72269"/>
    <x v="1275"/>
    <n v="242"/>
    <d v="2034-12-28T00:00:00"/>
    <s v="0005"/>
    <d v="2035-02-15T00:00:00"/>
    <m/>
    <x v="170"/>
    <m/>
    <m/>
  </r>
  <r>
    <n v="72270"/>
    <x v="1276"/>
    <n v="313"/>
    <d v="2034-12-28T00:00:00"/>
    <s v="0012"/>
    <d v="2035-01-30T00:00:00"/>
    <m/>
    <x v="170"/>
    <m/>
    <m/>
  </r>
  <r>
    <n v="72271"/>
    <x v="1277"/>
    <n v="20"/>
    <d v="2034-12-28T00:00:00"/>
    <s v="0018"/>
    <d v="2035-02-13T00:00:00"/>
    <m/>
    <x v="170"/>
    <m/>
    <m/>
  </r>
  <r>
    <n v="72272"/>
    <x v="1278"/>
    <n v="307"/>
    <d v="2034-12-28T00:00:00"/>
    <s v="0008"/>
    <d v="2035-02-26T00:00:00"/>
    <m/>
    <x v="170"/>
    <m/>
    <m/>
  </r>
  <r>
    <n v="72273"/>
    <x v="1279"/>
    <n v="221"/>
    <d v="2034-12-28T00:00:00"/>
    <s v="0009"/>
    <d v="2035-02-22T00:00:00"/>
    <m/>
    <x v="170"/>
    <m/>
    <m/>
  </r>
  <r>
    <n v="72274"/>
    <x v="1280"/>
    <n v="76"/>
    <d v="2034-12-28T00:00:00"/>
    <s v="0018"/>
    <d v="2035-02-22T00:00:00"/>
    <m/>
    <x v="170"/>
    <m/>
    <m/>
  </r>
  <r>
    <n v="72275"/>
    <x v="1281"/>
    <n v="168"/>
    <d v="2034-12-29T00:00:00"/>
    <s v="0003"/>
    <d v="2035-02-05T00:00:00"/>
    <m/>
    <x v="170"/>
    <m/>
    <m/>
  </r>
  <r>
    <n v="72276"/>
    <x v="1282"/>
    <n v="179"/>
    <d v="2034-12-29T00:00:00"/>
    <s v="0006"/>
    <d v="2035-02-17T00:00:00"/>
    <m/>
    <x v="170"/>
    <m/>
    <m/>
  </r>
  <r>
    <n v="72277"/>
    <x v="1283"/>
    <n v="258"/>
    <d v="2034-12-29T00:00:00"/>
    <s v="0015"/>
    <d v="2035-02-17T00:00:00"/>
    <m/>
    <x v="170"/>
    <m/>
    <m/>
  </r>
  <r>
    <n v="72278"/>
    <x v="1284"/>
    <n v="16"/>
    <d v="2034-12-29T00:00:00"/>
    <s v="0015"/>
    <d v="2035-02-21T00:00:00"/>
    <m/>
    <x v="170"/>
    <m/>
    <m/>
  </r>
  <r>
    <n v="72279"/>
    <x v="1285"/>
    <n v="108"/>
    <d v="2034-12-29T00:00:00"/>
    <s v="0006"/>
    <d v="2035-02-22T00:00:00"/>
    <m/>
    <x v="170"/>
    <m/>
    <m/>
  </r>
  <r>
    <n v="72280"/>
    <x v="1286"/>
    <n v="37"/>
    <d v="2034-12-29T00:00:00"/>
    <s v="0001"/>
    <d v="2035-01-31T00:00:00"/>
    <m/>
    <x v="170"/>
    <m/>
    <m/>
  </r>
  <r>
    <n v="72281"/>
    <x v="1287"/>
    <n v="256"/>
    <d v="2034-12-29T00:00:00"/>
    <s v="0002"/>
    <d v="2035-02-20T00:00:00"/>
    <m/>
    <x v="170"/>
    <m/>
    <m/>
  </r>
  <r>
    <n v="72282"/>
    <x v="1288"/>
    <n v="10"/>
    <d v="2034-12-29T00:00:00"/>
    <s v="0015"/>
    <d v="2035-02-15T00:00:00"/>
    <m/>
    <x v="170"/>
    <m/>
    <m/>
  </r>
  <r>
    <n v="72283"/>
    <x v="1289"/>
    <n v="276"/>
    <d v="2034-12-29T00:00:00"/>
    <s v="0010"/>
    <d v="2035-02-04T00:00:00"/>
    <m/>
    <x v="170"/>
    <m/>
    <m/>
  </r>
  <r>
    <n v="72284"/>
    <x v="1290"/>
    <n v="170"/>
    <d v="2034-12-30T00:00:00"/>
    <s v="0007"/>
    <d v="2035-02-18T00:00:00"/>
    <m/>
    <x v="170"/>
    <m/>
    <m/>
  </r>
  <r>
    <n v="72285"/>
    <x v="1291"/>
    <n v="229"/>
    <d v="2034-12-30T00:00:00"/>
    <s v="0017"/>
    <d v="2035-02-11T00:00:00"/>
    <m/>
    <x v="170"/>
    <m/>
    <m/>
  </r>
  <r>
    <n v="72286"/>
    <x v="1292"/>
    <n v="169"/>
    <d v="2034-12-30T00:00:00"/>
    <s v="0014"/>
    <d v="2035-02-13T00:00:00"/>
    <m/>
    <x v="170"/>
    <m/>
    <m/>
  </r>
  <r>
    <n v="72287"/>
    <x v="1293"/>
    <n v="151"/>
    <d v="2034-12-30T00:00:00"/>
    <s v="0004"/>
    <d v="2035-02-01T00:00:00"/>
    <m/>
    <x v="170"/>
    <m/>
    <m/>
  </r>
  <r>
    <n v="72288"/>
    <x v="1294"/>
    <n v="271"/>
    <d v="2034-12-30T00:00:00"/>
    <s v="0012"/>
    <d v="2035-02-04T00:00:00"/>
    <m/>
    <x v="170"/>
    <m/>
    <m/>
  </r>
  <r>
    <n v="72289"/>
    <x v="1295"/>
    <n v="127"/>
    <d v="2034-12-30T00:00:00"/>
    <s v="0001"/>
    <d v="2035-02-03T00:00:00"/>
    <m/>
    <x v="170"/>
    <m/>
    <m/>
  </r>
  <r>
    <n v="72290"/>
    <x v="1296"/>
    <n v="24"/>
    <d v="2034-12-30T00:00:00"/>
    <s v="0006"/>
    <d v="2035-02-18T00:00:00"/>
    <m/>
    <x v="170"/>
    <m/>
    <m/>
  </r>
  <r>
    <n v="72291"/>
    <x v="1297"/>
    <n v="276"/>
    <d v="2034-12-30T00:00:00"/>
    <s v="0004"/>
    <d v="2035-02-21T00:00:00"/>
    <m/>
    <x v="170"/>
    <m/>
    <m/>
  </r>
  <r>
    <n v="72292"/>
    <x v="1298"/>
    <n v="1"/>
    <d v="2034-12-30T00:00:00"/>
    <s v="0014"/>
    <d v="2035-02-22T00:00:00"/>
    <m/>
    <x v="170"/>
    <m/>
    <m/>
  </r>
  <r>
    <n v="72293"/>
    <x v="1299"/>
    <n v="291"/>
    <d v="2034-12-31T00:00:00"/>
    <s v="0015"/>
    <d v="2035-02-15T00:00:00"/>
    <m/>
    <x v="170"/>
    <m/>
    <m/>
  </r>
  <r>
    <n v="72294"/>
    <x v="1300"/>
    <n v="190"/>
    <d v="2034-12-31T00:00:00"/>
    <s v="0017"/>
    <d v="2035-02-01T00:00:00"/>
    <m/>
    <x v="170"/>
    <m/>
    <m/>
  </r>
  <r>
    <n v="72295"/>
    <x v="1301"/>
    <n v="202"/>
    <d v="2034-12-31T00:00:00"/>
    <s v="0004"/>
    <d v="2035-02-27T00:00:00"/>
    <m/>
    <x v="170"/>
    <m/>
    <m/>
  </r>
  <r>
    <n v="72296"/>
    <x v="1302"/>
    <n v="126"/>
    <d v="2034-12-31T00:00:00"/>
    <s v="0001"/>
    <d v="2035-02-09T00:00:00"/>
    <m/>
    <x v="170"/>
    <m/>
    <m/>
  </r>
  <r>
    <n v="72297"/>
    <x v="1303"/>
    <n v="13"/>
    <d v="2034-12-31T00:00:00"/>
    <s v="0005"/>
    <d v="2035-02-09T00:00:00"/>
    <m/>
    <x v="170"/>
    <m/>
    <m/>
  </r>
  <r>
    <n v="72298"/>
    <x v="1304"/>
    <n v="25"/>
    <d v="2035-01-01T00:00:00"/>
    <s v="0014"/>
    <d v="2035-02-25T00:00:00"/>
    <m/>
    <x v="170"/>
    <m/>
    <m/>
  </r>
  <r>
    <n v="72299"/>
    <x v="1305"/>
    <n v="240"/>
    <d v="2035-01-01T00:00:00"/>
    <s v="0011"/>
    <d v="2035-03-01T00:00:00"/>
    <m/>
    <x v="170"/>
    <m/>
    <m/>
  </r>
  <r>
    <n v="72300"/>
    <x v="1306"/>
    <n v="256"/>
    <d v="2035-01-01T00:00:00"/>
    <s v="0014"/>
    <d v="2035-02-04T00:00:00"/>
    <m/>
    <x v="170"/>
    <m/>
    <m/>
  </r>
  <r>
    <n v="72301"/>
    <x v="1307"/>
    <n v="277"/>
    <d v="2035-01-01T00:00:00"/>
    <s v="0009"/>
    <d v="2035-02-01T00:00:00"/>
    <m/>
    <x v="170"/>
    <m/>
    <m/>
  </r>
  <r>
    <n v="72302"/>
    <x v="1308"/>
    <n v="267"/>
    <d v="2035-01-01T00:00:00"/>
    <s v="0011"/>
    <d v="2035-02-12T00:00:00"/>
    <m/>
    <x v="170"/>
    <m/>
    <m/>
  </r>
  <r>
    <n v="72303"/>
    <x v="1309"/>
    <n v="70"/>
    <d v="2035-01-01T00:00:00"/>
    <s v="0018"/>
    <d v="2035-02-11T00:00:00"/>
    <m/>
    <x v="170"/>
    <m/>
    <m/>
  </r>
  <r>
    <n v="72304"/>
    <x v="1310"/>
    <n v="190"/>
    <d v="2035-01-01T00:00:00"/>
    <s v="0017"/>
    <d v="2035-02-09T00:00:00"/>
    <m/>
    <x v="170"/>
    <m/>
    <m/>
  </r>
  <r>
    <n v="72305"/>
    <x v="1311"/>
    <n v="105"/>
    <d v="2035-01-02T00:00:00"/>
    <s v="0007"/>
    <d v="2035-02-02T00:00:00"/>
    <m/>
    <x v="170"/>
    <m/>
    <m/>
  </r>
  <r>
    <n v="72306"/>
    <x v="1312"/>
    <n v="28"/>
    <d v="2035-01-02T00:00:00"/>
    <s v="0006"/>
    <d v="2035-02-17T00:00:00"/>
    <m/>
    <x v="170"/>
    <m/>
    <m/>
  </r>
  <r>
    <n v="72307"/>
    <x v="1313"/>
    <n v="277"/>
    <d v="2035-01-02T00:00:00"/>
    <s v="0014"/>
    <d v="2035-02-03T00:00:00"/>
    <m/>
    <x v="170"/>
    <m/>
    <m/>
  </r>
  <r>
    <n v="72308"/>
    <x v="1314"/>
    <n v="328"/>
    <d v="2035-01-02T00:00:00"/>
    <s v="0009"/>
    <d v="2035-02-09T00:00:00"/>
    <m/>
    <x v="170"/>
    <m/>
    <m/>
  </r>
  <r>
    <n v="72309"/>
    <x v="1315"/>
    <n v="269"/>
    <d v="2035-01-02T00:00:00"/>
    <s v="0006"/>
    <d v="2035-02-07T00:00:00"/>
    <m/>
    <x v="170"/>
    <m/>
    <m/>
  </r>
  <r>
    <n v="72310"/>
    <x v="1316"/>
    <n v="110"/>
    <d v="2035-01-02T00:00:00"/>
    <s v="0006"/>
    <d v="2035-02-28T00:00:00"/>
    <m/>
    <x v="170"/>
    <m/>
    <m/>
  </r>
  <r>
    <n v="72311"/>
    <x v="1317"/>
    <n v="275"/>
    <d v="2035-01-02T00:00:00"/>
    <s v="0018"/>
    <d v="2035-02-22T00:00:00"/>
    <m/>
    <x v="170"/>
    <m/>
    <m/>
  </r>
  <r>
    <n v="72312"/>
    <x v="1318"/>
    <n v="56"/>
    <d v="2035-01-03T00:00:00"/>
    <s v="0013"/>
    <d v="2035-02-09T00:00:00"/>
    <m/>
    <x v="170"/>
    <m/>
    <m/>
  </r>
  <r>
    <n v="72313"/>
    <x v="1319"/>
    <n v="269"/>
    <d v="2035-01-03T00:00:00"/>
    <s v="0012"/>
    <d v="2035-02-03T00:00:00"/>
    <m/>
    <x v="170"/>
    <m/>
    <m/>
  </r>
  <r>
    <n v="72314"/>
    <x v="1320"/>
    <n v="322"/>
    <d v="2035-01-03T00:00:00"/>
    <s v="0008"/>
    <d v="2035-02-13T00:00:00"/>
    <m/>
    <x v="170"/>
    <m/>
    <m/>
  </r>
  <r>
    <n v="72315"/>
    <x v="1321"/>
    <n v="64"/>
    <d v="2035-01-03T00:00:00"/>
    <s v="0013"/>
    <d v="2035-02-10T00:00:00"/>
    <m/>
    <x v="170"/>
    <m/>
    <m/>
  </r>
  <r>
    <n v="72316"/>
    <x v="1322"/>
    <n v="108"/>
    <d v="2035-01-03T00:00:00"/>
    <s v="0012"/>
    <d v="2035-02-25T00:00:00"/>
    <m/>
    <x v="170"/>
    <m/>
    <m/>
  </r>
  <r>
    <n v="72317"/>
    <x v="1323"/>
    <n v="193"/>
    <d v="2035-01-04T00:00:00"/>
    <s v="0011"/>
    <d v="2035-02-18T00:00:00"/>
    <m/>
    <x v="170"/>
    <m/>
    <m/>
  </r>
  <r>
    <n v="72318"/>
    <x v="1324"/>
    <n v="312"/>
    <d v="2035-01-04T00:00:00"/>
    <s v="0004"/>
    <d v="2035-02-10T00:00:00"/>
    <m/>
    <x v="170"/>
    <m/>
    <m/>
  </r>
  <r>
    <n v="72319"/>
    <x v="1325"/>
    <n v="82"/>
    <d v="2035-01-04T00:00:00"/>
    <s v="0009"/>
    <d v="2035-02-27T00:00:00"/>
    <m/>
    <x v="170"/>
    <m/>
    <m/>
  </r>
  <r>
    <n v="72320"/>
    <x v="1326"/>
    <n v="178"/>
    <d v="2035-01-04T00:00:00"/>
    <s v="0005"/>
    <d v="2035-02-05T00:00:00"/>
    <m/>
    <x v="170"/>
    <m/>
    <m/>
  </r>
  <r>
    <n v="72321"/>
    <x v="1327"/>
    <n v="163"/>
    <d v="2035-01-04T00:00:00"/>
    <s v="0005"/>
    <d v="2035-02-04T00:00:00"/>
    <m/>
    <x v="170"/>
    <m/>
    <m/>
  </r>
  <r>
    <n v="72322"/>
    <x v="1328"/>
    <n v="55"/>
    <d v="2035-01-04T00:00:00"/>
    <s v="0006"/>
    <d v="2035-02-25T00:00:00"/>
    <m/>
    <x v="170"/>
    <m/>
    <m/>
  </r>
  <r>
    <n v="72323"/>
    <x v="1329"/>
    <n v="277"/>
    <d v="2035-01-05T00:00:00"/>
    <s v="0013"/>
    <d v="2035-03-06T00:00:00"/>
    <m/>
    <x v="170"/>
    <m/>
    <m/>
  </r>
  <r>
    <n v="72324"/>
    <x v="1330"/>
    <n v="319"/>
    <d v="2035-01-05T00:00:00"/>
    <s v="0005"/>
    <d v="2035-03-04T00:00:00"/>
    <m/>
    <x v="170"/>
    <m/>
    <m/>
  </r>
  <r>
    <n v="72325"/>
    <x v="1331"/>
    <n v="262"/>
    <d v="2035-01-05T00:00:00"/>
    <s v="0017"/>
    <d v="2035-02-07T00:00:00"/>
    <m/>
    <x v="170"/>
    <m/>
    <m/>
  </r>
  <r>
    <n v="72326"/>
    <x v="1332"/>
    <n v="122"/>
    <d v="2035-01-05T00:00:00"/>
    <s v="0004"/>
    <d v="2035-03-02T00:00:00"/>
    <m/>
    <x v="170"/>
    <m/>
    <m/>
  </r>
  <r>
    <n v="72327"/>
    <x v="1333"/>
    <n v="72"/>
    <d v="2035-01-05T00:00:00"/>
    <s v="0006"/>
    <d v="2035-02-25T00:00:00"/>
    <m/>
    <x v="170"/>
    <m/>
    <m/>
  </r>
  <r>
    <n v="72328"/>
    <x v="1334"/>
    <n v="30"/>
    <d v="2035-01-05T00:00:00"/>
    <s v="0012"/>
    <d v="2035-02-09T00:00:00"/>
    <m/>
    <x v="170"/>
    <m/>
    <m/>
  </r>
  <r>
    <n v="72329"/>
    <x v="1335"/>
    <n v="317"/>
    <d v="2035-01-05T00:00:00"/>
    <s v="0005"/>
    <d v="2035-02-22T00:00:00"/>
    <m/>
    <x v="170"/>
    <m/>
    <m/>
  </r>
  <r>
    <n v="72330"/>
    <x v="1336"/>
    <n v="141"/>
    <d v="2035-01-05T00:00:00"/>
    <s v="0006"/>
    <d v="2035-02-19T00:00:00"/>
    <m/>
    <x v="170"/>
    <m/>
    <m/>
  </r>
  <r>
    <n v="72331"/>
    <x v="1337"/>
    <n v="183"/>
    <d v="2035-01-05T00:00:00"/>
    <s v="0016"/>
    <d v="2035-02-21T00:00:00"/>
    <m/>
    <x v="170"/>
    <m/>
    <m/>
  </r>
  <r>
    <n v="72332"/>
    <x v="1338"/>
    <n v="187"/>
    <d v="2035-01-06T00:00:00"/>
    <s v="0009"/>
    <d v="2035-02-18T00:00:00"/>
    <m/>
    <x v="170"/>
    <m/>
    <m/>
  </r>
  <r>
    <n v="72333"/>
    <x v="1339"/>
    <n v="168"/>
    <d v="2035-01-06T00:00:00"/>
    <s v="0003"/>
    <d v="2035-02-26T00:00:00"/>
    <m/>
    <x v="170"/>
    <m/>
    <m/>
  </r>
  <r>
    <n v="72334"/>
    <x v="1340"/>
    <n v="189"/>
    <d v="2035-01-06T00:00:00"/>
    <s v="0002"/>
    <d v="2035-02-08T00:00:00"/>
    <m/>
    <x v="170"/>
    <m/>
    <m/>
  </r>
  <r>
    <n v="72335"/>
    <x v="1341"/>
    <n v="99"/>
    <d v="2035-01-06T00:00:00"/>
    <s v="0010"/>
    <d v="2035-02-05T00:00:00"/>
    <m/>
    <x v="170"/>
    <m/>
    <m/>
  </r>
  <r>
    <n v="72336"/>
    <x v="1342"/>
    <n v="339"/>
    <d v="2035-01-06T00:00:00"/>
    <s v="0018"/>
    <d v="2035-02-09T00:00:00"/>
    <m/>
    <x v="170"/>
    <m/>
    <m/>
  </r>
  <r>
    <n v="72337"/>
    <x v="1343"/>
    <n v="19"/>
    <d v="2035-01-07T00:00:00"/>
    <s v="0015"/>
    <d v="2035-02-15T00:00:00"/>
    <m/>
    <x v="170"/>
    <m/>
    <m/>
  </r>
  <r>
    <n v="72338"/>
    <x v="1344"/>
    <n v="181"/>
    <d v="2035-01-07T00:00:00"/>
    <s v="0016"/>
    <d v="2035-02-09T00:00:00"/>
    <m/>
    <x v="170"/>
    <m/>
    <m/>
  </r>
  <r>
    <n v="72339"/>
    <x v="1345"/>
    <n v="96"/>
    <d v="2035-01-07T00:00:00"/>
    <s v="0012"/>
    <d v="2035-02-23T00:00:00"/>
    <m/>
    <x v="170"/>
    <m/>
    <m/>
  </r>
  <r>
    <n v="72340"/>
    <x v="1346"/>
    <n v="27"/>
    <d v="2035-01-07T00:00:00"/>
    <s v="0012"/>
    <d v="2035-02-12T00:00:00"/>
    <m/>
    <x v="170"/>
    <m/>
    <m/>
  </r>
  <r>
    <n v="72341"/>
    <x v="1347"/>
    <n v="303"/>
    <d v="2035-01-07T00:00:00"/>
    <s v="0007"/>
    <d v="2035-02-15T00:00:00"/>
    <m/>
    <x v="170"/>
    <m/>
    <m/>
  </r>
  <r>
    <n v="72342"/>
    <x v="1348"/>
    <n v="17"/>
    <d v="2035-01-07T00:00:00"/>
    <s v="0007"/>
    <d v="2035-02-26T00:00:00"/>
    <m/>
    <x v="170"/>
    <m/>
    <m/>
  </r>
  <r>
    <n v="72343"/>
    <x v="1349"/>
    <n v="235"/>
    <d v="2035-01-07T00:00:00"/>
    <s v="0006"/>
    <d v="2035-02-08T00:00:00"/>
    <m/>
    <x v="170"/>
    <m/>
    <m/>
  </r>
  <r>
    <n v="72344"/>
    <x v="1350"/>
    <n v="102"/>
    <d v="2035-01-08T00:00:00"/>
    <s v="0002"/>
    <d v="2035-03-05T00:00:00"/>
    <m/>
    <x v="170"/>
    <m/>
    <m/>
  </r>
  <r>
    <n v="72345"/>
    <x v="1351"/>
    <n v="187"/>
    <d v="2035-01-08T00:00:00"/>
    <s v="0002"/>
    <d v="2035-02-10T00:00:00"/>
    <m/>
    <x v="170"/>
    <m/>
    <m/>
  </r>
  <r>
    <n v="72346"/>
    <x v="1352"/>
    <n v="147"/>
    <d v="2035-01-08T00:00:00"/>
    <s v="0016"/>
    <d v="2035-02-15T00:00:00"/>
    <m/>
    <x v="170"/>
    <m/>
    <m/>
  </r>
  <r>
    <n v="72347"/>
    <x v="1353"/>
    <n v="213"/>
    <d v="2035-01-08T00:00:00"/>
    <s v="0014"/>
    <d v="2035-02-25T00:00:00"/>
    <m/>
    <x v="170"/>
    <m/>
    <m/>
  </r>
  <r>
    <n v="72348"/>
    <x v="1354"/>
    <n v="156"/>
    <d v="2035-01-08T00:00:00"/>
    <s v="0011"/>
    <d v="2035-03-02T00:00:00"/>
    <m/>
    <x v="170"/>
    <m/>
    <m/>
  </r>
  <r>
    <n v="72349"/>
    <x v="1355"/>
    <n v="317"/>
    <d v="2035-01-08T00:00:00"/>
    <s v="0003"/>
    <d v="2035-03-03T00:00:00"/>
    <m/>
    <x v="170"/>
    <m/>
    <m/>
  </r>
  <r>
    <n v="72350"/>
    <x v="1356"/>
    <n v="133"/>
    <d v="2035-01-08T00:00:00"/>
    <s v="0008"/>
    <d v="2035-02-26T00:00:00"/>
    <m/>
    <x v="170"/>
    <m/>
    <m/>
  </r>
  <r>
    <n v="72351"/>
    <x v="1357"/>
    <n v="271"/>
    <d v="2035-01-08T00:00:00"/>
    <s v="0014"/>
    <d v="2035-02-08T00:00:00"/>
    <m/>
    <x v="170"/>
    <m/>
    <m/>
  </r>
  <r>
    <n v="72352"/>
    <x v="1358"/>
    <n v="29"/>
    <d v="2035-01-08T00:00:00"/>
    <s v="0010"/>
    <d v="2035-02-20T00:00:00"/>
    <m/>
    <x v="170"/>
    <m/>
    <m/>
  </r>
  <r>
    <n v="72353"/>
    <x v="1359"/>
    <n v="324"/>
    <d v="2035-01-08T00:00:00"/>
    <s v="0002"/>
    <d v="2035-02-16T00:00:00"/>
    <m/>
    <x v="170"/>
    <m/>
    <m/>
  </r>
  <r>
    <n v="72354"/>
    <x v="1360"/>
    <n v="325"/>
    <d v="2035-01-08T00:00:00"/>
    <s v="0007"/>
    <d v="2035-02-10T00:00:00"/>
    <m/>
    <x v="170"/>
    <m/>
    <m/>
  </r>
  <r>
    <n v="72355"/>
    <x v="1361"/>
    <n v="284"/>
    <d v="2035-01-09T00:00:00"/>
    <s v="0006"/>
    <d v="2035-03-05T00:00:00"/>
    <m/>
    <x v="170"/>
    <m/>
    <m/>
  </r>
  <r>
    <n v="72356"/>
    <x v="1362"/>
    <n v="42"/>
    <d v="2035-01-09T00:00:00"/>
    <s v="0010"/>
    <d v="2035-03-06T00:00:00"/>
    <m/>
    <x v="170"/>
    <m/>
    <m/>
  </r>
  <r>
    <n v="72357"/>
    <x v="1363"/>
    <n v="246"/>
    <d v="2035-01-09T00:00:00"/>
    <s v="0005"/>
    <d v="2035-03-10T00:00:00"/>
    <m/>
    <x v="170"/>
    <m/>
    <m/>
  </r>
  <r>
    <n v="72358"/>
    <x v="1364"/>
    <n v="258"/>
    <d v="2035-01-09T00:00:00"/>
    <s v="0016"/>
    <d v="2035-03-10T00:00:00"/>
    <m/>
    <x v="170"/>
    <m/>
    <m/>
  </r>
  <r>
    <n v="72359"/>
    <x v="1365"/>
    <n v="272"/>
    <d v="2035-01-09T00:00:00"/>
    <s v="0007"/>
    <d v="2035-02-20T00:00:00"/>
    <m/>
    <x v="170"/>
    <m/>
    <m/>
  </r>
  <r>
    <n v="72360"/>
    <x v="1366"/>
    <n v="279"/>
    <d v="2035-01-10T00:00:00"/>
    <s v="0004"/>
    <d v="2035-02-16T00:00:00"/>
    <m/>
    <x v="170"/>
    <m/>
    <m/>
  </r>
  <r>
    <n v="72361"/>
    <x v="1367"/>
    <n v="49"/>
    <d v="2035-01-10T00:00:00"/>
    <s v="0001"/>
    <d v="2035-03-07T00:00:00"/>
    <m/>
    <x v="170"/>
    <m/>
    <m/>
  </r>
  <r>
    <n v="72362"/>
    <x v="1368"/>
    <n v="123"/>
    <d v="2035-01-10T00:00:00"/>
    <s v="0009"/>
    <d v="2035-03-02T00:00:00"/>
    <m/>
    <x v="170"/>
    <m/>
    <m/>
  </r>
  <r>
    <n v="72363"/>
    <x v="1369"/>
    <n v="156"/>
    <d v="2035-01-10T00:00:00"/>
    <s v="0013"/>
    <d v="2035-03-05T00:00:00"/>
    <m/>
    <x v="170"/>
    <m/>
    <m/>
  </r>
  <r>
    <n v="72364"/>
    <x v="1370"/>
    <n v="17"/>
    <d v="2035-01-11T00:00:00"/>
    <s v="0010"/>
    <d v="2035-03-05T00:00:00"/>
    <m/>
    <x v="170"/>
    <m/>
    <m/>
  </r>
  <r>
    <n v="72365"/>
    <x v="1371"/>
    <n v="176"/>
    <d v="2035-01-11T00:00:00"/>
    <s v="0005"/>
    <d v="2035-02-11T00:00:00"/>
    <m/>
    <x v="170"/>
    <m/>
    <m/>
  </r>
  <r>
    <n v="72366"/>
    <x v="1372"/>
    <n v="164"/>
    <d v="2035-01-11T00:00:00"/>
    <s v="0002"/>
    <d v="2035-03-10T00:00:00"/>
    <m/>
    <x v="170"/>
    <m/>
    <m/>
  </r>
  <r>
    <n v="72367"/>
    <x v="1373"/>
    <n v="168"/>
    <d v="2035-01-11T00:00:00"/>
    <s v="0011"/>
    <d v="2035-02-16T00:00:00"/>
    <m/>
    <x v="170"/>
    <m/>
    <m/>
  </r>
  <r>
    <n v="72368"/>
    <x v="1374"/>
    <n v="300"/>
    <d v="2035-01-11T00:00:00"/>
    <s v="0001"/>
    <d v="2035-02-22T00:00:00"/>
    <m/>
    <x v="170"/>
    <m/>
    <m/>
  </r>
  <r>
    <n v="72369"/>
    <x v="1375"/>
    <n v="261"/>
    <d v="2035-01-11T00:00:00"/>
    <s v="0010"/>
    <d v="2035-03-05T00:00:00"/>
    <m/>
    <x v="170"/>
    <m/>
    <m/>
  </r>
  <r>
    <n v="72370"/>
    <x v="1376"/>
    <n v="287"/>
    <d v="2035-01-12T00:00:00"/>
    <s v="0007"/>
    <d v="2035-02-28T00:00:00"/>
    <m/>
    <x v="170"/>
    <m/>
    <m/>
  </r>
  <r>
    <n v="72371"/>
    <x v="1377"/>
    <n v="18"/>
    <d v="2035-01-12T00:00:00"/>
    <s v="0010"/>
    <d v="2035-02-15T00:00:00"/>
    <m/>
    <x v="170"/>
    <m/>
    <m/>
  </r>
  <r>
    <n v="72372"/>
    <x v="1378"/>
    <n v="318"/>
    <d v="2035-01-12T00:00:00"/>
    <s v="0004"/>
    <d v="2035-03-04T00:00:00"/>
    <m/>
    <x v="170"/>
    <m/>
    <m/>
  </r>
  <r>
    <n v="72373"/>
    <x v="1379"/>
    <n v="224"/>
    <d v="2035-01-12T00:00:00"/>
    <s v="0016"/>
    <d v="2035-03-10T00:00:00"/>
    <m/>
    <x v="170"/>
    <m/>
    <m/>
  </r>
  <r>
    <n v="72374"/>
    <x v="1380"/>
    <n v="279"/>
    <d v="2035-01-12T00:00:00"/>
    <s v="0007"/>
    <d v="2035-02-15T00:00:00"/>
    <m/>
    <x v="170"/>
    <m/>
    <m/>
  </r>
  <r>
    <n v="72375"/>
    <x v="1381"/>
    <n v="157"/>
    <d v="2035-01-12T00:00:00"/>
    <s v="0004"/>
    <d v="2035-03-11T00:00:00"/>
    <m/>
    <x v="170"/>
    <m/>
    <m/>
  </r>
  <r>
    <n v="72376"/>
    <x v="1382"/>
    <n v="180"/>
    <d v="2035-01-12T00:00:00"/>
    <s v="0013"/>
    <d v="2035-02-19T00:00:00"/>
    <m/>
    <x v="170"/>
    <m/>
    <m/>
  </r>
  <r>
    <n v="72377"/>
    <x v="1383"/>
    <n v="69"/>
    <d v="2035-01-12T00:00:00"/>
    <s v="0002"/>
    <d v="2035-02-15T00:00:00"/>
    <m/>
    <x v="170"/>
    <m/>
    <m/>
  </r>
  <r>
    <n v="72378"/>
    <x v="1384"/>
    <n v="294"/>
    <d v="2035-01-12T00:00:00"/>
    <s v="0001"/>
    <d v="2035-03-04T00:00:00"/>
    <m/>
    <x v="170"/>
    <m/>
    <m/>
  </r>
  <r>
    <n v="72379"/>
    <x v="1385"/>
    <n v="158"/>
    <d v="2035-01-12T00:00:00"/>
    <s v="0011"/>
    <d v="2035-02-17T00:00:00"/>
    <m/>
    <x v="170"/>
    <m/>
    <m/>
  </r>
  <r>
    <n v="72380"/>
    <x v="1386"/>
    <n v="318"/>
    <d v="2035-01-13T00:00:00"/>
    <s v="0002"/>
    <d v="2035-02-27T00:00:00"/>
    <m/>
    <x v="170"/>
    <m/>
    <m/>
  </r>
  <r>
    <n v="72381"/>
    <x v="1387"/>
    <n v="102"/>
    <d v="2035-01-13T00:00:00"/>
    <s v="0009"/>
    <d v="2035-02-25T00:00:00"/>
    <m/>
    <x v="170"/>
    <m/>
    <m/>
  </r>
  <r>
    <n v="72382"/>
    <x v="1388"/>
    <n v="1"/>
    <d v="2035-01-13T00:00:00"/>
    <s v="0015"/>
    <d v="2035-03-08T00:00:00"/>
    <m/>
    <x v="170"/>
    <m/>
    <m/>
  </r>
  <r>
    <n v="72383"/>
    <x v="1389"/>
    <n v="328"/>
    <d v="2035-01-13T00:00:00"/>
    <s v="0011"/>
    <d v="2035-02-27T00:00:00"/>
    <m/>
    <x v="170"/>
    <m/>
    <m/>
  </r>
  <r>
    <n v="72384"/>
    <x v="1390"/>
    <n v="289"/>
    <d v="2035-01-13T00:00:00"/>
    <s v="0018"/>
    <d v="2035-02-22T00:00:00"/>
    <m/>
    <x v="170"/>
    <m/>
    <m/>
  </r>
  <r>
    <n v="72385"/>
    <x v="1391"/>
    <n v="83"/>
    <d v="2035-01-13T00:00:00"/>
    <s v="0014"/>
    <d v="2035-03-08T00:00:00"/>
    <m/>
    <x v="170"/>
    <m/>
    <m/>
  </r>
  <r>
    <n v="72386"/>
    <x v="1392"/>
    <n v="252"/>
    <d v="2035-01-13T00:00:00"/>
    <s v="0004"/>
    <d v="2035-02-25T00:00:00"/>
    <m/>
    <x v="170"/>
    <m/>
    <m/>
  </r>
  <r>
    <n v="72387"/>
    <x v="1393"/>
    <n v="252"/>
    <d v="2035-01-13T00:00:00"/>
    <s v="0005"/>
    <d v="2035-03-04T00:00:00"/>
    <m/>
    <x v="170"/>
    <m/>
    <m/>
  </r>
  <r>
    <n v="72388"/>
    <x v="1394"/>
    <n v="174"/>
    <d v="2035-01-14T00:00:00"/>
    <s v="0004"/>
    <d v="2035-03-10T00:00:00"/>
    <m/>
    <x v="170"/>
    <m/>
    <m/>
  </r>
  <r>
    <n v="72389"/>
    <x v="1395"/>
    <n v="57"/>
    <d v="2035-01-14T00:00:00"/>
    <s v="0009"/>
    <d v="2035-03-05T00:00:00"/>
    <m/>
    <x v="170"/>
    <m/>
    <m/>
  </r>
  <r>
    <n v="72390"/>
    <x v="1396"/>
    <n v="286"/>
    <d v="2035-01-14T00:00:00"/>
    <s v="0002"/>
    <d v="2035-03-01T00:00:00"/>
    <m/>
    <x v="170"/>
    <m/>
    <m/>
  </r>
  <r>
    <n v="72391"/>
    <x v="1397"/>
    <n v="310"/>
    <d v="2035-01-14T00:00:00"/>
    <s v="0002"/>
    <d v="2035-02-16T00:00:00"/>
    <m/>
    <x v="170"/>
    <m/>
    <m/>
  </r>
  <r>
    <n v="72392"/>
    <x v="1398"/>
    <n v="303"/>
    <d v="2035-01-14T00:00:00"/>
    <s v="0018"/>
    <d v="2035-03-08T00:00:00"/>
    <m/>
    <x v="170"/>
    <m/>
    <m/>
  </r>
  <r>
    <n v="72393"/>
    <x v="1399"/>
    <n v="302"/>
    <d v="2035-01-14T00:00:00"/>
    <s v="0010"/>
    <d v="2035-03-12T00:00:00"/>
    <m/>
    <x v="170"/>
    <m/>
    <m/>
  </r>
  <r>
    <n v="72394"/>
    <x v="1400"/>
    <n v="115"/>
    <d v="2035-01-15T00:00:00"/>
    <s v="0018"/>
    <d v="2035-02-18T00:00:00"/>
    <m/>
    <x v="170"/>
    <m/>
    <m/>
  </r>
  <r>
    <n v="72395"/>
    <x v="1401"/>
    <n v="153"/>
    <d v="2035-01-15T00:00:00"/>
    <s v="0005"/>
    <d v="2035-03-04T00:00:00"/>
    <m/>
    <x v="170"/>
    <m/>
    <m/>
  </r>
  <r>
    <n v="72396"/>
    <x v="1402"/>
    <n v="48"/>
    <d v="2035-01-15T00:00:00"/>
    <s v="0011"/>
    <d v="2035-03-11T00:00:00"/>
    <m/>
    <x v="170"/>
    <m/>
    <m/>
  </r>
  <r>
    <n v="72397"/>
    <x v="1403"/>
    <n v="291"/>
    <d v="2035-01-16T00:00:00"/>
    <s v="0013"/>
    <d v="2035-03-02T00:00:00"/>
    <m/>
    <x v="170"/>
    <m/>
    <m/>
  </r>
  <r>
    <n v="72398"/>
    <x v="1404"/>
    <n v="291"/>
    <d v="2035-01-16T00:00:00"/>
    <s v="0015"/>
    <d v="2035-02-25T00:00:00"/>
    <m/>
    <x v="170"/>
    <m/>
    <m/>
  </r>
  <r>
    <n v="72399"/>
    <x v="1405"/>
    <n v="47"/>
    <d v="2035-01-16T00:00:00"/>
    <s v="0018"/>
    <d v="2035-03-08T00:00:00"/>
    <m/>
    <x v="170"/>
    <m/>
    <m/>
  </r>
  <r>
    <n v="72400"/>
    <x v="1406"/>
    <n v="324"/>
    <d v="2035-01-16T00:00:00"/>
    <s v="0013"/>
    <d v="2035-03-11T00:00:00"/>
    <m/>
    <x v="170"/>
    <m/>
    <m/>
  </r>
  <r>
    <n v="72401"/>
    <x v="1407"/>
    <n v="278"/>
    <d v="2035-01-16T00:00:00"/>
    <s v="0018"/>
    <d v="2035-03-06T00:00:00"/>
    <m/>
    <x v="170"/>
    <m/>
    <m/>
  </r>
  <r>
    <n v="72402"/>
    <x v="1408"/>
    <n v="292"/>
    <d v="2035-01-16T00:00:00"/>
    <s v="0011"/>
    <d v="2035-02-20T00:00:00"/>
    <m/>
    <x v="170"/>
    <m/>
    <m/>
  </r>
  <r>
    <n v="72403"/>
    <x v="1409"/>
    <n v="300"/>
    <d v="2035-01-16T00:00:00"/>
    <s v="0005"/>
    <d v="2035-02-16T00:00:00"/>
    <m/>
    <x v="170"/>
    <m/>
    <m/>
  </r>
  <r>
    <n v="72404"/>
    <x v="1410"/>
    <n v="119"/>
    <d v="2035-01-16T00:00:00"/>
    <s v="0012"/>
    <d v="2035-02-22T00:00:00"/>
    <m/>
    <x v="170"/>
    <m/>
    <m/>
  </r>
  <r>
    <n v="72405"/>
    <x v="1411"/>
    <n v="30"/>
    <d v="2035-01-17T00:00:00"/>
    <s v="0012"/>
    <d v="2035-03-13T00:00:00"/>
    <m/>
    <x v="170"/>
    <m/>
    <m/>
  </r>
  <r>
    <n v="72406"/>
    <x v="1412"/>
    <n v="28"/>
    <d v="2035-01-17T00:00:00"/>
    <s v="0017"/>
    <d v="2035-03-18T00:00:00"/>
    <m/>
    <x v="170"/>
    <m/>
    <m/>
  </r>
  <r>
    <n v="72407"/>
    <x v="1413"/>
    <n v="101"/>
    <d v="2035-01-17T00:00:00"/>
    <s v="0012"/>
    <d v="2035-02-21T00:00:00"/>
    <m/>
    <x v="170"/>
    <m/>
    <m/>
  </r>
  <r>
    <n v="72408"/>
    <x v="1414"/>
    <n v="248"/>
    <d v="2035-01-17T00:00:00"/>
    <s v="0015"/>
    <d v="2035-03-02T00:00:00"/>
    <m/>
    <x v="170"/>
    <m/>
    <m/>
  </r>
  <r>
    <n v="72409"/>
    <x v="1415"/>
    <n v="8"/>
    <d v="2035-01-17T00:00:00"/>
    <s v="0008"/>
    <d v="2035-02-24T00:00:00"/>
    <m/>
    <x v="170"/>
    <m/>
    <m/>
  </r>
  <r>
    <n v="72410"/>
    <x v="1416"/>
    <n v="316"/>
    <d v="2035-01-17T00:00:00"/>
    <s v="0011"/>
    <d v="2035-03-02T00:00:00"/>
    <m/>
    <x v="170"/>
    <m/>
    <m/>
  </r>
  <r>
    <n v="72411"/>
    <x v="1417"/>
    <n v="281"/>
    <d v="2035-01-17T00:00:00"/>
    <s v="0017"/>
    <d v="2035-03-15T00:00:00"/>
    <m/>
    <x v="170"/>
    <m/>
    <m/>
  </r>
  <r>
    <n v="72412"/>
    <x v="1418"/>
    <n v="29"/>
    <d v="2035-01-18T00:00:00"/>
    <s v="0014"/>
    <d v="2035-02-26T00:00:00"/>
    <m/>
    <x v="170"/>
    <m/>
    <m/>
  </r>
  <r>
    <n v="72413"/>
    <x v="1419"/>
    <n v="221"/>
    <d v="2035-01-18T00:00:00"/>
    <s v="0008"/>
    <d v="2035-03-19T00:00:00"/>
    <m/>
    <x v="170"/>
    <m/>
    <m/>
  </r>
  <r>
    <n v="72414"/>
    <x v="1420"/>
    <n v="126"/>
    <d v="2035-01-18T00:00:00"/>
    <s v="0006"/>
    <d v="2035-02-27T00:00:00"/>
    <m/>
    <x v="170"/>
    <m/>
    <m/>
  </r>
  <r>
    <n v="72415"/>
    <x v="1421"/>
    <n v="75"/>
    <d v="2035-01-18T00:00:00"/>
    <s v="0005"/>
    <d v="2035-02-21T00:00:00"/>
    <m/>
    <x v="170"/>
    <m/>
    <m/>
  </r>
  <r>
    <n v="72416"/>
    <x v="1422"/>
    <n v="265"/>
    <d v="2035-01-18T00:00:00"/>
    <s v="0008"/>
    <d v="2035-03-14T00:00:00"/>
    <m/>
    <x v="170"/>
    <m/>
    <m/>
  </r>
  <r>
    <n v="72417"/>
    <x v="1423"/>
    <n v="240"/>
    <d v="2035-01-18T00:00:00"/>
    <s v="0013"/>
    <d v="2035-03-10T00:00:00"/>
    <m/>
    <x v="170"/>
    <m/>
    <m/>
  </r>
  <r>
    <n v="72418"/>
    <x v="1424"/>
    <n v="198"/>
    <d v="2035-01-18T00:00:00"/>
    <s v="0013"/>
    <d v="2035-03-17T00:00:00"/>
    <m/>
    <x v="170"/>
    <m/>
    <m/>
  </r>
  <r>
    <n v="72419"/>
    <x v="1425"/>
    <n v="15"/>
    <d v="2035-01-18T00:00:00"/>
    <s v="0018"/>
    <d v="2035-03-14T00:00:00"/>
    <m/>
    <x v="170"/>
    <m/>
    <m/>
  </r>
  <r>
    <n v="72420"/>
    <x v="1426"/>
    <n v="56"/>
    <d v="2035-01-19T00:00:00"/>
    <s v="0015"/>
    <d v="2035-03-13T00:00:00"/>
    <m/>
    <x v="170"/>
    <m/>
    <m/>
  </r>
  <r>
    <n v="72421"/>
    <x v="1427"/>
    <n v="315"/>
    <d v="2035-01-19T00:00:00"/>
    <s v="0003"/>
    <d v="2035-02-27T00:00:00"/>
    <m/>
    <x v="170"/>
    <m/>
    <m/>
  </r>
  <r>
    <n v="72422"/>
    <x v="1428"/>
    <n v="318"/>
    <d v="2035-01-19T00:00:00"/>
    <s v="0018"/>
    <d v="2035-02-28T00:00:00"/>
    <m/>
    <x v="170"/>
    <m/>
    <m/>
  </r>
  <r>
    <n v="72423"/>
    <x v="1429"/>
    <n v="56"/>
    <d v="2035-01-20T00:00:00"/>
    <s v="0015"/>
    <d v="2035-03-13T00:00:00"/>
    <m/>
    <x v="170"/>
    <m/>
    <m/>
  </r>
  <r>
    <n v="72424"/>
    <x v="1430"/>
    <n v="14"/>
    <d v="2035-01-20T00:00:00"/>
    <s v="0011"/>
    <d v="2035-02-28T00:00:00"/>
    <m/>
    <x v="170"/>
    <m/>
    <m/>
  </r>
  <r>
    <n v="72425"/>
    <x v="1431"/>
    <n v="188"/>
    <d v="2035-01-20T00:00:00"/>
    <s v="0008"/>
    <d v="2035-03-19T00:00:00"/>
    <m/>
    <x v="170"/>
    <m/>
    <m/>
  </r>
  <r>
    <n v="72426"/>
    <x v="1432"/>
    <n v="261"/>
    <d v="2035-01-20T00:00:00"/>
    <s v="0008"/>
    <d v="2035-03-06T00:00:00"/>
    <m/>
    <x v="170"/>
    <m/>
    <m/>
  </r>
  <r>
    <n v="72427"/>
    <x v="1433"/>
    <n v="55"/>
    <d v="2035-01-20T00:00:00"/>
    <s v="0002"/>
    <d v="2035-02-22T00:00:00"/>
    <m/>
    <x v="170"/>
    <m/>
    <m/>
  </r>
  <r>
    <n v="72428"/>
    <x v="1434"/>
    <n v="28"/>
    <d v="2035-01-20T00:00:00"/>
    <s v="0017"/>
    <d v="2035-02-20T00:00:00"/>
    <m/>
    <x v="170"/>
    <m/>
    <m/>
  </r>
  <r>
    <n v="72429"/>
    <x v="1435"/>
    <n v="210"/>
    <d v="2035-01-20T00:00:00"/>
    <s v="0001"/>
    <d v="2035-02-27T00:00:00"/>
    <m/>
    <x v="170"/>
    <m/>
    <m/>
  </r>
  <r>
    <n v="72430"/>
    <x v="1436"/>
    <n v="177"/>
    <d v="2035-01-20T00:00:00"/>
    <s v="0003"/>
    <d v="2035-03-20T00:00:00"/>
    <m/>
    <x v="170"/>
    <m/>
    <m/>
  </r>
  <r>
    <n v="72431"/>
    <x v="1437"/>
    <n v="123"/>
    <d v="2035-01-20T00:00:00"/>
    <s v="0016"/>
    <d v="2035-02-23T00:00:00"/>
    <m/>
    <x v="170"/>
    <m/>
    <m/>
  </r>
  <r>
    <n v="72432"/>
    <x v="1438"/>
    <n v="314"/>
    <d v="2035-01-20T00:00:00"/>
    <s v="0017"/>
    <d v="2035-03-09T00:00:00"/>
    <m/>
    <x v="170"/>
    <m/>
    <m/>
  </r>
  <r>
    <n v="72433"/>
    <x v="1439"/>
    <n v="7"/>
    <d v="2035-01-20T00:00:00"/>
    <s v="0001"/>
    <d v="2035-02-25T00:00:00"/>
    <m/>
    <x v="170"/>
    <m/>
    <m/>
  </r>
  <r>
    <n v="72434"/>
    <x v="1440"/>
    <n v="71"/>
    <d v="2035-01-20T00:00:00"/>
    <s v="0001"/>
    <d v="2035-03-06T00:00:00"/>
    <m/>
    <x v="170"/>
    <m/>
    <m/>
  </r>
  <r>
    <n v="72435"/>
    <x v="1441"/>
    <n v="8"/>
    <d v="2035-01-20T00:00:00"/>
    <s v="0012"/>
    <d v="2035-03-12T00:00:00"/>
    <m/>
    <x v="170"/>
    <m/>
    <m/>
  </r>
  <r>
    <n v="72436"/>
    <x v="1442"/>
    <n v="106"/>
    <d v="2035-01-21T00:00:00"/>
    <s v="0017"/>
    <d v="2035-03-22T00:00:00"/>
    <m/>
    <x v="170"/>
    <m/>
    <m/>
  </r>
  <r>
    <n v="72437"/>
    <x v="1443"/>
    <n v="165"/>
    <d v="2035-01-21T00:00:00"/>
    <s v="0010"/>
    <d v="2035-03-02T00:00:00"/>
    <m/>
    <x v="170"/>
    <m/>
    <m/>
  </r>
  <r>
    <n v="72438"/>
    <x v="1444"/>
    <n v="242"/>
    <d v="2035-01-21T00:00:00"/>
    <s v="0012"/>
    <d v="2035-02-20T00:00:00"/>
    <m/>
    <x v="170"/>
    <m/>
    <m/>
  </r>
  <r>
    <n v="72439"/>
    <x v="1445"/>
    <n v="188"/>
    <d v="2035-01-21T00:00:00"/>
    <s v="0017"/>
    <d v="2035-02-24T00:00:00"/>
    <m/>
    <x v="170"/>
    <m/>
    <m/>
  </r>
  <r>
    <n v="72440"/>
    <x v="1446"/>
    <n v="287"/>
    <d v="2035-01-22T00:00:00"/>
    <s v="0002"/>
    <d v="2035-03-01T00:00:00"/>
    <m/>
    <x v="170"/>
    <m/>
    <m/>
  </r>
  <r>
    <n v="72441"/>
    <x v="1447"/>
    <n v="287"/>
    <d v="2035-01-22T00:00:00"/>
    <s v="0007"/>
    <d v="2035-03-13T00:00:00"/>
    <m/>
    <x v="170"/>
    <m/>
    <m/>
  </r>
  <r>
    <n v="72442"/>
    <x v="1448"/>
    <n v="270"/>
    <d v="2035-01-22T00:00:00"/>
    <s v="0015"/>
    <d v="2035-03-03T00:00:00"/>
    <m/>
    <x v="170"/>
    <m/>
    <m/>
  </r>
  <r>
    <n v="72443"/>
    <x v="1449"/>
    <n v="126"/>
    <d v="2035-01-22T00:00:00"/>
    <s v="0009"/>
    <d v="2035-03-21T00:00:00"/>
    <m/>
    <x v="170"/>
    <m/>
    <m/>
  </r>
  <r>
    <n v="72444"/>
    <x v="1450"/>
    <n v="189"/>
    <d v="2035-01-22T00:00:00"/>
    <s v="0017"/>
    <d v="2035-03-17T00:00:00"/>
    <m/>
    <x v="170"/>
    <m/>
    <m/>
  </r>
  <r>
    <n v="72445"/>
    <x v="1451"/>
    <n v="154"/>
    <d v="2035-01-23T00:00:00"/>
    <s v="0007"/>
    <d v="2035-03-13T00:00:00"/>
    <m/>
    <x v="170"/>
    <m/>
    <m/>
  </r>
  <r>
    <n v="72446"/>
    <x v="1452"/>
    <n v="320"/>
    <d v="2035-01-23T00:00:00"/>
    <s v="0013"/>
    <d v="2035-02-22T00:00:00"/>
    <m/>
    <x v="170"/>
    <m/>
    <m/>
  </r>
  <r>
    <n v="72447"/>
    <x v="1453"/>
    <n v="197"/>
    <d v="2035-01-23T00:00:00"/>
    <s v="0007"/>
    <d v="2035-03-22T00:00:00"/>
    <m/>
    <x v="170"/>
    <m/>
    <m/>
  </r>
  <r>
    <n v="72448"/>
    <x v="1454"/>
    <n v="136"/>
    <d v="2035-01-23T00:00:00"/>
    <s v="0015"/>
    <d v="2035-03-13T00:00:00"/>
    <m/>
    <x v="170"/>
    <m/>
    <m/>
  </r>
  <r>
    <n v="72449"/>
    <x v="1455"/>
    <n v="119"/>
    <d v="2035-01-24T00:00:00"/>
    <s v="0017"/>
    <d v="2035-03-16T00:00:00"/>
    <m/>
    <x v="170"/>
    <m/>
    <m/>
  </r>
  <r>
    <n v="72450"/>
    <x v="1456"/>
    <n v="269"/>
    <d v="2035-01-24T00:00:00"/>
    <s v="0007"/>
    <d v="2035-03-17T00:00:00"/>
    <m/>
    <x v="170"/>
    <m/>
    <m/>
  </r>
  <r>
    <n v="72451"/>
    <x v="1457"/>
    <n v="304"/>
    <d v="2035-01-24T00:00:00"/>
    <s v="0013"/>
    <d v="2035-03-05T00:00:00"/>
    <m/>
    <x v="170"/>
    <m/>
    <m/>
  </r>
  <r>
    <n v="72452"/>
    <x v="1458"/>
    <n v="51"/>
    <d v="2035-01-24T00:00:00"/>
    <s v="0007"/>
    <d v="2035-03-20T00:00:00"/>
    <m/>
    <x v="170"/>
    <m/>
    <m/>
  </r>
  <r>
    <n v="72453"/>
    <x v="1459"/>
    <n v="324"/>
    <d v="2035-01-24T00:00:00"/>
    <s v="0010"/>
    <d v="2035-03-18T00:00:00"/>
    <m/>
    <x v="170"/>
    <m/>
    <m/>
  </r>
  <r>
    <n v="72454"/>
    <x v="1460"/>
    <n v="309"/>
    <d v="2035-01-24T00:00:00"/>
    <s v="0009"/>
    <d v="2035-03-17T00:00:00"/>
    <m/>
    <x v="170"/>
    <m/>
    <m/>
  </r>
  <r>
    <n v="72455"/>
    <x v="1461"/>
    <n v="1"/>
    <d v="2035-01-24T00:00:00"/>
    <s v="0014"/>
    <d v="2035-03-13T00:00:00"/>
    <m/>
    <x v="170"/>
    <m/>
    <m/>
  </r>
  <r>
    <n v="72456"/>
    <x v="1462"/>
    <n v="112"/>
    <d v="2035-01-25T00:00:00"/>
    <s v="0008"/>
    <d v="2035-03-14T00:00:00"/>
    <m/>
    <x v="170"/>
    <m/>
    <m/>
  </r>
  <r>
    <n v="72457"/>
    <x v="1463"/>
    <n v="36"/>
    <d v="2035-01-25T00:00:00"/>
    <s v="0004"/>
    <d v="2035-03-22T00:00:00"/>
    <m/>
    <x v="170"/>
    <m/>
    <m/>
  </r>
  <r>
    <n v="72458"/>
    <x v="1464"/>
    <n v="249"/>
    <d v="2035-01-25T00:00:00"/>
    <s v="0002"/>
    <d v="2035-03-03T00:00:00"/>
    <m/>
    <x v="170"/>
    <m/>
    <m/>
  </r>
  <r>
    <n v="72459"/>
    <x v="1465"/>
    <n v="281"/>
    <d v="2035-01-25T00:00:00"/>
    <s v="0011"/>
    <d v="2035-02-27T00:00:00"/>
    <m/>
    <x v="170"/>
    <m/>
    <m/>
  </r>
  <r>
    <n v="72460"/>
    <x v="1466"/>
    <n v="116"/>
    <d v="2035-01-25T00:00:00"/>
    <s v="0009"/>
    <d v="2035-03-19T00:00:00"/>
    <m/>
    <x v="170"/>
    <m/>
    <m/>
  </r>
  <r>
    <n v="72461"/>
    <x v="1467"/>
    <n v="270"/>
    <d v="2035-01-26T00:00:00"/>
    <s v="0013"/>
    <d v="2035-03-06T00:00:00"/>
    <m/>
    <x v="170"/>
    <m/>
    <m/>
  </r>
  <r>
    <n v="72462"/>
    <x v="1468"/>
    <n v="182"/>
    <d v="2035-01-26T00:00:00"/>
    <s v="0016"/>
    <d v="2035-02-28T00:00:00"/>
    <m/>
    <x v="170"/>
    <m/>
    <m/>
  </r>
  <r>
    <n v="72463"/>
    <x v="1469"/>
    <n v="340"/>
    <d v="2035-01-26T00:00:00"/>
    <s v="0014"/>
    <d v="2035-03-06T00:00:00"/>
    <m/>
    <x v="170"/>
    <m/>
    <m/>
  </r>
  <r>
    <n v="72464"/>
    <x v="1470"/>
    <n v="242"/>
    <d v="2035-01-26T00:00:00"/>
    <s v="0018"/>
    <d v="2035-03-11T00:00:00"/>
    <m/>
    <x v="170"/>
    <m/>
    <m/>
  </r>
  <r>
    <n v="72465"/>
    <x v="1471"/>
    <n v="252"/>
    <d v="2035-01-26T00:00:00"/>
    <s v="0008"/>
    <d v="2035-03-04T00:00:00"/>
    <m/>
    <x v="170"/>
    <m/>
    <m/>
  </r>
  <r>
    <n v="72466"/>
    <x v="1472"/>
    <n v="126"/>
    <d v="2035-01-27T00:00:00"/>
    <s v="0012"/>
    <d v="2035-03-14T00:00:00"/>
    <m/>
    <x v="170"/>
    <m/>
    <m/>
  </r>
  <r>
    <n v="72467"/>
    <x v="1473"/>
    <n v="43"/>
    <d v="2035-01-27T00:00:00"/>
    <s v="0011"/>
    <d v="2035-03-01T00:00:00"/>
    <m/>
    <x v="170"/>
    <m/>
    <m/>
  </r>
  <r>
    <n v="72468"/>
    <x v="1474"/>
    <n v="68"/>
    <d v="2035-01-27T00:00:00"/>
    <s v="0006"/>
    <d v="2035-03-27T00:00:00"/>
    <m/>
    <x v="170"/>
    <m/>
    <m/>
  </r>
  <r>
    <n v="72469"/>
    <x v="1475"/>
    <n v="95"/>
    <d v="2035-01-27T00:00:00"/>
    <s v="0004"/>
    <d v="2035-03-16T00:00:00"/>
    <m/>
    <x v="170"/>
    <m/>
    <m/>
  </r>
  <r>
    <n v="72470"/>
    <x v="1476"/>
    <n v="196"/>
    <d v="2035-01-27T00:00:00"/>
    <s v="0016"/>
    <d v="2035-03-03T00:00:00"/>
    <m/>
    <x v="170"/>
    <m/>
    <m/>
  </r>
  <r>
    <n v="72471"/>
    <x v="1477"/>
    <n v="235"/>
    <d v="2035-01-28T00:00:00"/>
    <s v="0016"/>
    <d v="2035-03-18T00:00:00"/>
    <m/>
    <x v="170"/>
    <m/>
    <m/>
  </r>
  <r>
    <n v="72472"/>
    <x v="1478"/>
    <n v="24"/>
    <d v="2035-01-28T00:00:00"/>
    <s v="0001"/>
    <d v="2035-03-18T00:00:00"/>
    <m/>
    <x v="170"/>
    <m/>
    <m/>
  </r>
  <r>
    <n v="72473"/>
    <x v="1479"/>
    <n v="14"/>
    <d v="2035-01-28T00:00:00"/>
    <s v="0016"/>
    <d v="2035-03-22T00:00:00"/>
    <m/>
    <x v="170"/>
    <m/>
    <m/>
  </r>
  <r>
    <n v="72474"/>
    <x v="1480"/>
    <n v="219"/>
    <d v="2035-01-28T00:00:00"/>
    <s v="0003"/>
    <d v="2035-03-12T00:00:00"/>
    <m/>
    <x v="170"/>
    <m/>
    <m/>
  </r>
  <r>
    <n v="72475"/>
    <x v="1481"/>
    <n v="65"/>
    <d v="2035-01-28T00:00:00"/>
    <s v="0001"/>
    <d v="2035-03-04T00:00:00"/>
    <m/>
    <x v="170"/>
    <m/>
    <m/>
  </r>
  <r>
    <n v="72476"/>
    <x v="1482"/>
    <n v="118"/>
    <d v="2035-01-28T00:00:00"/>
    <s v="0012"/>
    <d v="2035-03-14T00:00:00"/>
    <m/>
    <x v="170"/>
    <m/>
    <m/>
  </r>
  <r>
    <n v="72477"/>
    <x v="1483"/>
    <n v="173"/>
    <d v="2035-01-28T00:00:00"/>
    <s v="0009"/>
    <d v="2035-03-10T00:00:00"/>
    <m/>
    <x v="170"/>
    <m/>
    <m/>
  </r>
  <r>
    <n v="72478"/>
    <x v="1484"/>
    <n v="12"/>
    <d v="2035-01-29T00:00:00"/>
    <s v="0010"/>
    <d v="2035-03-19T00:00:00"/>
    <m/>
    <x v="170"/>
    <m/>
    <m/>
  </r>
  <r>
    <n v="72479"/>
    <x v="1485"/>
    <n v="175"/>
    <d v="2035-01-29T00:00:00"/>
    <s v="0013"/>
    <d v="2035-03-02T00:00:00"/>
    <m/>
    <x v="170"/>
    <m/>
    <m/>
  </r>
  <r>
    <n v="72480"/>
    <x v="1486"/>
    <n v="196"/>
    <d v="2035-01-29T00:00:00"/>
    <s v="0005"/>
    <d v="2035-03-10T00:00:00"/>
    <m/>
    <x v="170"/>
    <m/>
    <m/>
  </r>
  <r>
    <n v="72481"/>
    <x v="1487"/>
    <n v="44"/>
    <d v="2035-01-29T00:00:00"/>
    <s v="0015"/>
    <d v="2035-03-21T00:00:00"/>
    <m/>
    <x v="170"/>
    <m/>
    <m/>
  </r>
  <r>
    <n v="72482"/>
    <x v="1488"/>
    <n v="43"/>
    <d v="2035-01-30T00:00:00"/>
    <s v="0016"/>
    <d v="2035-03-18T00:00:00"/>
    <m/>
    <x v="170"/>
    <m/>
    <m/>
  </r>
  <r>
    <n v="72483"/>
    <x v="1489"/>
    <n v="167"/>
    <d v="2035-01-30T00:00:00"/>
    <s v="0012"/>
    <d v="2035-03-03T00:00:00"/>
    <m/>
    <x v="170"/>
    <m/>
    <m/>
  </r>
  <r>
    <n v="72484"/>
    <x v="1490"/>
    <n v="287"/>
    <d v="2035-01-30T00:00:00"/>
    <s v="0010"/>
    <d v="2035-03-04T00:00:00"/>
    <m/>
    <x v="170"/>
    <m/>
    <m/>
  </r>
  <r>
    <n v="72485"/>
    <x v="1491"/>
    <n v="142"/>
    <d v="2035-01-30T00:00:00"/>
    <s v="0001"/>
    <d v="2035-03-04T00:00:00"/>
    <m/>
    <x v="170"/>
    <m/>
    <m/>
  </r>
  <r>
    <n v="72486"/>
    <x v="1492"/>
    <n v="132"/>
    <d v="2035-01-31T00:00:00"/>
    <s v="0014"/>
    <d v="2035-03-18T00:00:00"/>
    <m/>
    <x v="170"/>
    <m/>
    <m/>
  </r>
  <r>
    <n v="72487"/>
    <x v="1493"/>
    <n v="166"/>
    <d v="2035-01-31T00:00:00"/>
    <s v="0006"/>
    <d v="2035-03-13T00:00:00"/>
    <m/>
    <x v="170"/>
    <m/>
    <m/>
  </r>
  <r>
    <n v="72488"/>
    <x v="1494"/>
    <n v="35"/>
    <d v="2035-01-31T00:00:00"/>
    <s v="0016"/>
    <d v="2035-03-09T00:00:00"/>
    <m/>
    <x v="170"/>
    <m/>
    <m/>
  </r>
  <r>
    <n v="72489"/>
    <x v="1495"/>
    <n v="70"/>
    <d v="2035-01-31T00:00:00"/>
    <s v="0011"/>
    <d v="2035-03-29T00:00:00"/>
    <m/>
    <x v="170"/>
    <m/>
    <m/>
  </r>
  <r>
    <n v="72490"/>
    <x v="1496"/>
    <n v="170"/>
    <d v="2035-01-31T00:00:00"/>
    <s v="0007"/>
    <d v="2035-03-23T00:00:00"/>
    <m/>
    <x v="170"/>
    <m/>
    <m/>
  </r>
  <r>
    <n v="72491"/>
    <x v="1497"/>
    <n v="295"/>
    <d v="2035-01-31T00:00:00"/>
    <s v="0014"/>
    <d v="2035-03-20T00:00:00"/>
    <m/>
    <x v="170"/>
    <m/>
    <m/>
  </r>
  <r>
    <n v="72492"/>
    <x v="1498"/>
    <n v="296"/>
    <d v="2035-01-31T00:00:00"/>
    <s v="0009"/>
    <d v="2035-03-12T00:00:00"/>
    <m/>
    <x v="170"/>
    <m/>
    <m/>
  </r>
  <r>
    <n v="72493"/>
    <x v="1499"/>
    <n v="258"/>
    <d v="2035-01-31T00:00:00"/>
    <s v="0008"/>
    <d v="2035-03-30T00:00:00"/>
    <m/>
    <x v="170"/>
    <m/>
    <m/>
  </r>
  <r>
    <n v="72494"/>
    <x v="1500"/>
    <n v="109"/>
    <d v="2035-01-31T00:00:00"/>
    <s v="0010"/>
    <d v="2035-03-14T00:00:00"/>
    <m/>
    <x v="170"/>
    <m/>
    <m/>
  </r>
  <r>
    <n v="72495"/>
    <x v="1501"/>
    <n v="64"/>
    <d v="2035-01-31T00:00:00"/>
    <s v="0003"/>
    <d v="2035-03-04T00:00:00"/>
    <m/>
    <x v="170"/>
    <m/>
    <m/>
  </r>
  <r>
    <n v="72496"/>
    <x v="1502"/>
    <n v="321"/>
    <d v="2035-01-31T00:00:00"/>
    <s v="0013"/>
    <d v="2035-03-03T00:00:00"/>
    <m/>
    <x v="170"/>
    <m/>
    <m/>
  </r>
  <r>
    <n v="72497"/>
    <x v="1503"/>
    <n v="48"/>
    <d v="2035-02-01T00:00:00"/>
    <s v="0018"/>
    <d v="2035-03-25T00:00:00"/>
    <m/>
    <x v="170"/>
    <m/>
    <m/>
  </r>
  <r>
    <n v="72498"/>
    <x v="1504"/>
    <n v="109"/>
    <d v="2035-02-01T00:00:00"/>
    <s v="0009"/>
    <d v="2035-03-15T00:00:00"/>
    <m/>
    <x v="170"/>
    <m/>
    <m/>
  </r>
  <r>
    <n v="72499"/>
    <x v="1505"/>
    <n v="39"/>
    <d v="2035-02-01T00:00:00"/>
    <s v="0008"/>
    <d v="2035-03-31T00:00:00"/>
    <m/>
    <x v="170"/>
    <m/>
    <m/>
  </r>
  <r>
    <n v="72500"/>
    <x v="1506"/>
    <n v="2"/>
    <d v="2035-02-01T00:00:00"/>
    <s v="0014"/>
    <d v="2035-03-30T00:00:00"/>
    <m/>
    <x v="170"/>
    <m/>
    <m/>
  </r>
  <r>
    <n v="72501"/>
    <x v="1507"/>
    <n v="312"/>
    <d v="2035-02-01T00:00:00"/>
    <s v="0004"/>
    <d v="2035-03-28T00:00:00"/>
    <m/>
    <x v="170"/>
    <m/>
    <m/>
  </r>
  <r>
    <n v="72502"/>
    <x v="1508"/>
    <n v="77"/>
    <d v="2035-02-01T00:00:00"/>
    <s v="0004"/>
    <d v="2035-04-02T00:00:00"/>
    <m/>
    <x v="17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1711A-6C81-4573-92A5-3EA3A113BE27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C5" firstHeaderRow="0" firstDataRow="1" firstDataCol="0" rowPageCount="2" colPageCount="1"/>
  <pivotFields count="13">
    <pivotField showAll="0"/>
    <pivotField showAll="0">
      <items count="1510">
        <item x="560"/>
        <item x="660"/>
        <item x="111"/>
        <item x="752"/>
        <item x="1200"/>
        <item x="974"/>
        <item x="818"/>
        <item x="891"/>
        <item x="1330"/>
        <item x="862"/>
        <item x="362"/>
        <item x="1312"/>
        <item x="1378"/>
        <item x="1044"/>
        <item x="65"/>
        <item x="1381"/>
        <item x="1365"/>
        <item x="750"/>
        <item x="702"/>
        <item x="557"/>
        <item x="1106"/>
        <item x="599"/>
        <item x="864"/>
        <item x="833"/>
        <item x="1134"/>
        <item x="1131"/>
        <item x="1196"/>
        <item x="951"/>
        <item x="408"/>
        <item x="1139"/>
        <item x="859"/>
        <item x="661"/>
        <item x="1305"/>
        <item x="797"/>
        <item x="1080"/>
        <item x="1123"/>
        <item x="508"/>
        <item x="576"/>
        <item x="874"/>
        <item x="836"/>
        <item x="1026"/>
        <item x="929"/>
        <item x="76"/>
        <item x="625"/>
        <item x="1168"/>
        <item x="146"/>
        <item x="692"/>
        <item x="373"/>
        <item x="1506"/>
        <item x="425"/>
        <item x="828"/>
        <item x="433"/>
        <item x="616"/>
        <item x="412"/>
        <item x="368"/>
        <item x="29"/>
        <item x="1410"/>
        <item x="85"/>
        <item x="1489"/>
        <item x="623"/>
        <item x="1360"/>
        <item x="60"/>
        <item x="1012"/>
        <item x="1074"/>
        <item x="115"/>
        <item x="1197"/>
        <item x="159"/>
        <item x="1145"/>
        <item x="485"/>
        <item x="421"/>
        <item x="1213"/>
        <item x="116"/>
        <item x="335"/>
        <item x="710"/>
        <item x="491"/>
        <item x="1416"/>
        <item x="203"/>
        <item x="892"/>
        <item x="370"/>
        <item x="608"/>
        <item x="1328"/>
        <item x="89"/>
        <item x="807"/>
        <item x="215"/>
        <item x="516"/>
        <item x="646"/>
        <item x="1343"/>
        <item x="13"/>
        <item x="1204"/>
        <item x="784"/>
        <item x="1175"/>
        <item x="434"/>
        <item x="360"/>
        <item x="22"/>
        <item x="948"/>
        <item x="15"/>
        <item x="546"/>
        <item x="991"/>
        <item x="885"/>
        <item x="694"/>
        <item x="727"/>
        <item x="312"/>
        <item x="82"/>
        <item x="1173"/>
        <item x="273"/>
        <item x="478"/>
        <item x="861"/>
        <item x="269"/>
        <item x="559"/>
        <item x="620"/>
        <item x="868"/>
        <item x="1473"/>
        <item x="69"/>
        <item x="1037"/>
        <item x="1393"/>
        <item x="1058"/>
        <item x="372"/>
        <item x="1237"/>
        <item x="249"/>
        <item x="361"/>
        <item x="1181"/>
        <item x="561"/>
        <item x="514"/>
        <item x="938"/>
        <item x="340"/>
        <item x="665"/>
        <item x="1362"/>
        <item x="163"/>
        <item x="1051"/>
        <item x="728"/>
        <item x="532"/>
        <item x="265"/>
        <item x="1400"/>
        <item x="756"/>
        <item x="1167"/>
        <item x="1234"/>
        <item x="369"/>
        <item x="525"/>
        <item x="26"/>
        <item x="1290"/>
        <item x="857"/>
        <item x="602"/>
        <item x="846"/>
        <item x="1115"/>
        <item x="283"/>
        <item x="663"/>
        <item x="630"/>
        <item x="895"/>
        <item x="610"/>
        <item x="1340"/>
        <item x="244"/>
        <item x="1028"/>
        <item x="617"/>
        <item x="365"/>
        <item x="1183"/>
        <item x="794"/>
        <item x="914"/>
        <item x="411"/>
        <item x="1484"/>
        <item x="1227"/>
        <item x="592"/>
        <item x="1050"/>
        <item x="195"/>
        <item x="109"/>
        <item x="1025"/>
        <item x="184"/>
        <item x="1498"/>
        <item x="462"/>
        <item x="199"/>
        <item x="674"/>
        <item x="67"/>
        <item x="16"/>
        <item x="1121"/>
        <item x="588"/>
        <item x="853"/>
        <item x="72"/>
        <item x="590"/>
        <item x="71"/>
        <item x="1229"/>
        <item x="1264"/>
        <item x="228"/>
        <item x="781"/>
        <item x="958"/>
        <item x="1112"/>
        <item x="296"/>
        <item x="23"/>
        <item x="1256"/>
        <item x="711"/>
        <item x="336"/>
        <item x="179"/>
        <item x="444"/>
        <item x="437"/>
        <item x="449"/>
        <item x="1225"/>
        <item x="939"/>
        <item x="957"/>
        <item x="495"/>
        <item x="494"/>
        <item x="274"/>
        <item x="1219"/>
        <item x="975"/>
        <item x="716"/>
        <item x="451"/>
        <item x="965"/>
        <item x="482"/>
        <item x="798"/>
        <item x="995"/>
        <item x="241"/>
        <item x="860"/>
        <item x="776"/>
        <item x="548"/>
        <item x="775"/>
        <item x="1002"/>
        <item x="1262"/>
        <item x="769"/>
        <item x="1413"/>
        <item x="1422"/>
        <item x="1210"/>
        <item x="547"/>
        <item x="804"/>
        <item x="1267"/>
        <item x="63"/>
        <item x="1158"/>
        <item x="2"/>
        <item x="765"/>
        <item x="290"/>
        <item x="540"/>
        <item x="1310"/>
        <item x="1336"/>
        <item x="410"/>
        <item x="190"/>
        <item x="570"/>
        <item x="1253"/>
        <item x="1348"/>
        <item x="936"/>
        <item x="1163"/>
        <item x="1141"/>
        <item x="91"/>
        <item x="147"/>
        <item x="721"/>
        <item x="164"/>
        <item x="624"/>
        <item x="347"/>
        <item x="154"/>
        <item x="3"/>
        <item x="809"/>
        <item x="1452"/>
        <item x="583"/>
        <item x="33"/>
        <item x="601"/>
        <item x="1024"/>
        <item x="1176"/>
        <item x="723"/>
        <item x="1193"/>
        <item x="878"/>
        <item x="1133"/>
        <item x="955"/>
        <item x="639"/>
        <item x="523"/>
        <item x="732"/>
        <item x="1477"/>
        <item x="1097"/>
        <item x="1380"/>
        <item x="1293"/>
        <item x="386"/>
        <item x="464"/>
        <item x="473"/>
        <item x="211"/>
        <item x="210"/>
        <item x="997"/>
        <item x="17"/>
        <item x="378"/>
        <item x="1109"/>
        <item x="1341"/>
        <item x="799"/>
        <item x="1066"/>
        <item x="1465"/>
        <item x="509"/>
        <item x="1415"/>
        <item x="1208"/>
        <item x="793"/>
        <item x="1468"/>
        <item x="320"/>
        <item x="626"/>
        <item x="619"/>
        <item x="648"/>
        <item x="308"/>
        <item x="782"/>
        <item x="1499"/>
        <item x="1371"/>
        <item x="691"/>
        <item x="1104"/>
        <item x="666"/>
        <item x="417"/>
        <item x="1414"/>
        <item x="574"/>
        <item x="1031"/>
        <item x="94"/>
        <item x="591"/>
        <item x="699"/>
        <item x="1311"/>
        <item x="1043"/>
        <item x="134"/>
        <item x="1056"/>
        <item x="816"/>
        <item x="1334"/>
        <item x="579"/>
        <item x="773"/>
        <item x="858"/>
        <item x="1367"/>
        <item x="1391"/>
        <item x="907"/>
        <item x="345"/>
        <item x="232"/>
        <item x="1249"/>
        <item x="98"/>
        <item x="396"/>
        <item x="511"/>
        <item x="505"/>
        <item x="1395"/>
        <item x="577"/>
        <item x="919"/>
        <item x="1451"/>
        <item x="695"/>
        <item x="767"/>
        <item x="382"/>
        <item x="127"/>
        <item x="39"/>
        <item x="96"/>
        <item x="1092"/>
        <item x="1087"/>
        <item x="605"/>
        <item x="633"/>
        <item x="293"/>
        <item x="1189"/>
        <item x="1384"/>
        <item x="276"/>
        <item x="932"/>
        <item x="664"/>
        <item x="815"/>
        <item x="213"/>
        <item x="689"/>
        <item x="953"/>
        <item x="176"/>
        <item x="358"/>
        <item x="715"/>
        <item x="483"/>
        <item x="90"/>
        <item x="968"/>
        <item x="1209"/>
        <item x="850"/>
        <item x="277"/>
        <item x="170"/>
        <item x="58"/>
        <item x="104"/>
        <item x="1339"/>
        <item x="1198"/>
        <item x="1379"/>
        <item x="287"/>
        <item x="707"/>
        <item x="680"/>
        <item x="1165"/>
        <item x="720"/>
        <item x="1091"/>
        <item x="926"/>
        <item x="53"/>
        <item x="952"/>
        <item x="173"/>
        <item x="254"/>
        <item x="1148"/>
        <item x="1174"/>
        <item x="32"/>
        <item x="675"/>
        <item x="1355"/>
        <item x="564"/>
        <item x="407"/>
        <item x="356"/>
        <item x="100"/>
        <item x="302"/>
        <item x="1496"/>
        <item x="522"/>
        <item x="1315"/>
        <item x="586"/>
        <item x="629"/>
        <item x="234"/>
        <item x="1418"/>
        <item x="1101"/>
        <item x="86"/>
        <item x="1409"/>
        <item x="1356"/>
        <item x="819"/>
        <item x="894"/>
        <item x="1172"/>
        <item x="38"/>
        <item x="158"/>
        <item x="1437"/>
        <item x="1296"/>
        <item x="379"/>
        <item x="1166"/>
        <item x="166"/>
        <item x="1116"/>
        <item x="156"/>
        <item x="1108"/>
        <item x="1266"/>
        <item x="1162"/>
        <item x="1436"/>
        <item x="1405"/>
        <item x="285"/>
        <item x="498"/>
        <item x="683"/>
        <item x="558"/>
        <item x="479"/>
        <item x="902"/>
        <item x="1203"/>
        <item x="393"/>
        <item x="1040"/>
        <item x="66"/>
        <item x="896"/>
        <item x="526"/>
        <item x="1207"/>
        <item x="1110"/>
        <item x="827"/>
        <item x="1055"/>
        <item x="612"/>
        <item x="301"/>
        <item x="1354"/>
        <item x="788"/>
        <item x="504"/>
        <item x="670"/>
        <item x="1157"/>
        <item x="348"/>
        <item x="221"/>
        <item x="1278"/>
        <item x="876"/>
        <item x="1130"/>
        <item x="855"/>
        <item x="500"/>
        <item x="1291"/>
        <item x="193"/>
        <item x="1303"/>
        <item x="943"/>
        <item x="890"/>
        <item x="197"/>
        <item x="152"/>
        <item x="428"/>
        <item x="903"/>
        <item x="1377"/>
        <item x="581"/>
        <item x="1216"/>
        <item x="377"/>
        <item x="1504"/>
        <item x="645"/>
        <item x="1383"/>
        <item x="1347"/>
        <item x="656"/>
        <item x="35"/>
        <item x="219"/>
        <item x="177"/>
        <item x="1191"/>
        <item x="1122"/>
        <item x="1364"/>
        <item x="280"/>
        <item x="701"/>
        <item x="54"/>
        <item x="21"/>
        <item x="1361"/>
        <item x="1077"/>
        <item x="1045"/>
        <item x="673"/>
        <item x="1385"/>
        <item x="1350"/>
        <item x="879"/>
        <item x="565"/>
        <item x="609"/>
        <item x="59"/>
        <item x="763"/>
        <item x="1392"/>
        <item x="1285"/>
        <item x="248"/>
        <item x="202"/>
        <item x="1240"/>
        <item x="1005"/>
        <item x="587"/>
        <item x="1020"/>
        <item x="223"/>
        <item x="834"/>
        <item x="1401"/>
        <item x="1501"/>
        <item x="1244"/>
        <item x="800"/>
        <item x="102"/>
        <item x="316"/>
        <item x="1479"/>
        <item x="101"/>
        <item x="460"/>
        <item x="261"/>
        <item x="966"/>
        <item x="947"/>
        <item x="50"/>
        <item x="1297"/>
        <item x="288"/>
        <item x="344"/>
        <item x="930"/>
        <item x="538"/>
        <item x="725"/>
        <item x="246"/>
        <item x="847"/>
        <item x="787"/>
        <item x="253"/>
        <item x="226"/>
        <item x="545"/>
        <item x="1111"/>
        <item x="68"/>
        <item x="737"/>
        <item x="688"/>
        <item x="944"/>
        <item x="1386"/>
        <item x="1435"/>
        <item x="832"/>
        <item x="1263"/>
        <item x="51"/>
        <item x="1063"/>
        <item x="964"/>
        <item x="385"/>
        <item x="128"/>
        <item x="753"/>
        <item x="1228"/>
        <item x="174"/>
        <item x="840"/>
        <item x="475"/>
        <item x="650"/>
        <item x="969"/>
        <item x="1068"/>
        <item x="976"/>
        <item x="502"/>
        <item x="871"/>
        <item x="1337"/>
        <item x="1078"/>
        <item x="849"/>
        <item x="734"/>
        <item x="327"/>
        <item x="313"/>
        <item x="14"/>
        <item x="501"/>
        <item x="899"/>
        <item x="1046"/>
        <item x="1363"/>
        <item x="456"/>
        <item x="143"/>
        <item x="395"/>
        <item x="10"/>
        <item x="260"/>
        <item x="106"/>
        <item x="1429"/>
        <item x="573"/>
        <item x="988"/>
        <item x="185"/>
        <item x="589"/>
        <item x="350"/>
        <item x="480"/>
        <item x="1331"/>
        <item x="25"/>
        <item x="471"/>
        <item x="1275"/>
        <item x="1490"/>
        <item x="987"/>
        <item x="1233"/>
        <item x="1359"/>
        <item x="93"/>
        <item x="635"/>
        <item x="402"/>
        <item x="390"/>
        <item x="679"/>
        <item x="554"/>
        <item x="1251"/>
        <item x="1230"/>
        <item x="1270"/>
        <item x="1199"/>
        <item x="925"/>
        <item x="144"/>
        <item x="56"/>
        <item x="1402"/>
        <item x="1059"/>
        <item x="80"/>
        <item x="1456"/>
        <item x="796"/>
        <item x="141"/>
        <item x="1353"/>
        <item x="962"/>
        <item x="497"/>
        <item x="1448"/>
        <item x="1419"/>
        <item x="1461"/>
        <item x="681"/>
        <item x="1376"/>
        <item x="1252"/>
        <item x="250"/>
        <item x="813"/>
        <item x="47"/>
        <item x="466"/>
        <item x="284"/>
        <item x="429"/>
        <item x="783"/>
        <item x="171"/>
        <item x="447"/>
        <item x="1137"/>
        <item x="823"/>
        <item x="1308"/>
        <item x="901"/>
        <item x="946"/>
        <item x="1027"/>
        <item x="126"/>
        <item x="1257"/>
        <item x="1272"/>
        <item x="848"/>
        <item x="1281"/>
        <item x="1152"/>
        <item x="1438"/>
        <item x="110"/>
        <item x="700"/>
        <item x="743"/>
        <item x="1388"/>
        <item x="621"/>
        <item x="1182"/>
        <item x="1042"/>
        <item x="824"/>
        <item x="275"/>
        <item x="606"/>
        <item x="1273"/>
        <item x="1226"/>
        <item x="458"/>
        <item x="1160"/>
        <item x="1259"/>
        <item x="760"/>
        <item x="569"/>
        <item x="524"/>
        <item x="73"/>
        <item x="57"/>
        <item x="825"/>
        <item x="534"/>
        <item x="322"/>
        <item x="1089"/>
        <item x="490"/>
        <item x="1171"/>
        <item x="636"/>
        <item x="835"/>
        <item x="1128"/>
        <item x="371"/>
        <item x="1280"/>
        <item x="998"/>
        <item x="484"/>
        <item x="1245"/>
        <item x="349"/>
        <item x="882"/>
        <item x="649"/>
        <item x="343"/>
        <item x="477"/>
        <item x="245"/>
        <item x="1357"/>
        <item x="1169"/>
        <item x="130"/>
        <item x="1469"/>
        <item x="963"/>
        <item x="1358"/>
        <item x="4"/>
        <item x="1083"/>
        <item x="1221"/>
        <item x="820"/>
        <item x="1338"/>
        <item x="354"/>
        <item x="1486"/>
        <item x="906"/>
        <item x="151"/>
        <item x="251"/>
        <item x="1180"/>
        <item x="1471"/>
        <item x="252"/>
        <item x="87"/>
        <item x="595"/>
        <item x="927"/>
        <item x="279"/>
        <item x="671"/>
        <item x="255"/>
        <item x="1320"/>
        <item x="292"/>
        <item x="1184"/>
        <item x="191"/>
        <item x="915"/>
        <item x="696"/>
        <item x="550"/>
        <item x="603"/>
        <item x="749"/>
        <item x="45"/>
        <item x="123"/>
        <item x="1243"/>
        <item x="268"/>
        <item x="1398"/>
        <item x="364"/>
        <item x="44"/>
        <item x="1023"/>
        <item x="205"/>
        <item x="863"/>
        <item x="1179"/>
        <item x="802"/>
        <item x="24"/>
        <item x="1300"/>
        <item x="1403"/>
        <item x="503"/>
        <item x="212"/>
        <item x="225"/>
        <item x="1478"/>
        <item x="512"/>
        <item x="684"/>
        <item x="1372"/>
        <item x="5"/>
        <item x="1022"/>
        <item x="1507"/>
        <item x="167"/>
        <item x="1009"/>
        <item x="387"/>
        <item x="49"/>
        <item x="654"/>
        <item x="188"/>
        <item x="771"/>
        <item x="751"/>
        <item x="1346"/>
        <item x="676"/>
        <item x="1170"/>
        <item x="406"/>
        <item x="842"/>
        <item x="772"/>
        <item x="55"/>
        <item x="168"/>
        <item x="814"/>
        <item x="1274"/>
        <item x="304"/>
        <item x="1147"/>
        <item x="961"/>
        <item x="1366"/>
        <item x="150"/>
        <item x="442"/>
        <item x="367"/>
        <item x="1099"/>
        <item x="1324"/>
        <item x="1287"/>
        <item x="724"/>
        <item x="934"/>
        <item x="706"/>
        <item x="1102"/>
        <item x="1236"/>
        <item x="959"/>
        <item x="1424"/>
        <item x="821"/>
        <item x="1206"/>
        <item x="712"/>
        <item x="682"/>
        <item x="1143"/>
        <item x="75"/>
        <item x="1140"/>
        <item x="717"/>
        <item x="129"/>
        <item x="1491"/>
        <item x="844"/>
        <item x="960"/>
        <item x="838"/>
        <item x="1098"/>
        <item x="920"/>
        <item x="1332"/>
        <item x="1319"/>
        <item x="513"/>
        <item x="1352"/>
        <item x="332"/>
        <item x="543"/>
        <item x="1067"/>
        <item x="1231"/>
        <item x="740"/>
        <item x="970"/>
        <item x="157"/>
        <item x="531"/>
        <item x="64"/>
        <item x="881"/>
        <item x="1493"/>
        <item x="1070"/>
        <item x="905"/>
        <item x="537"/>
        <item x="1323"/>
        <item x="1261"/>
        <item x="1093"/>
        <item x="441"/>
        <item x="1014"/>
        <item x="1038"/>
        <item x="256"/>
        <item x="9"/>
        <item x="1455"/>
        <item x="790"/>
        <item x="1065"/>
        <item x="1146"/>
        <item x="708"/>
        <item x="667"/>
        <item x="1344"/>
        <item x="986"/>
        <item x="1447"/>
        <item x="697"/>
        <item x="1462"/>
        <item x="337"/>
        <item x="325"/>
        <item x="1488"/>
        <item x="718"/>
        <item x="791"/>
        <item x="142"/>
        <item x="397"/>
        <item x="1212"/>
        <item x="415"/>
        <item x="741"/>
        <item x="916"/>
        <item x="1279"/>
        <item x="46"/>
        <item x="469"/>
        <item x="758"/>
        <item x="662"/>
        <item x="810"/>
        <item x="187"/>
        <item x="1090"/>
        <item x="705"/>
        <item x="747"/>
        <item x="1309"/>
        <item x="165"/>
        <item x="1238"/>
        <item x="84"/>
        <item x="1223"/>
        <item x="183"/>
        <item x="598"/>
        <item x="77"/>
        <item x="62"/>
        <item x="580"/>
        <item x="759"/>
        <item x="517"/>
        <item x="615"/>
        <item x="1428"/>
        <item x="738"/>
        <item x="132"/>
        <item x="698"/>
        <item x="237"/>
        <item x="789"/>
        <item x="510"/>
        <item x="430"/>
        <item x="298"/>
        <item x="1114"/>
        <item x="677"/>
        <item x="286"/>
        <item x="264"/>
        <item x="465"/>
        <item x="909"/>
        <item x="770"/>
        <item x="638"/>
        <item x="1242"/>
        <item x="1460"/>
        <item x="1288"/>
        <item x="551"/>
        <item x="1304"/>
        <item x="1406"/>
        <item x="941"/>
        <item x="686"/>
        <item x="352"/>
        <item x="637"/>
        <item x="1004"/>
        <item x="435"/>
        <item x="653"/>
        <item x="918"/>
        <item x="1282"/>
        <item x="792"/>
        <item x="37"/>
        <item x="314"/>
        <item x="6"/>
        <item x="36"/>
        <item x="1107"/>
        <item x="1390"/>
        <item x="133"/>
        <item x="1307"/>
        <item x="169"/>
        <item x="714"/>
        <item x="1271"/>
        <item x="18"/>
        <item x="295"/>
        <item x="1295"/>
        <item x="289"/>
        <item x="1254"/>
        <item x="1006"/>
        <item x="1283"/>
        <item x="854"/>
        <item x="42"/>
        <item x="729"/>
        <item x="1446"/>
        <item x="594"/>
        <item x="528"/>
        <item x="20"/>
        <item x="886"/>
        <item x="331"/>
        <item x="1161"/>
        <item x="1314"/>
        <item x="1286"/>
        <item x="1048"/>
        <item x="1463"/>
        <item x="455"/>
        <item x="208"/>
        <item x="413"/>
        <item x="11"/>
        <item x="445"/>
        <item x="238"/>
        <item x="209"/>
        <item x="644"/>
        <item x="70"/>
        <item x="1329"/>
        <item x="923"/>
        <item x="631"/>
        <item x="1202"/>
        <item x="530"/>
        <item x="704"/>
        <item x="258"/>
        <item x="1440"/>
        <item x="866"/>
        <item x="928"/>
        <item x="450"/>
        <item x="346"/>
        <item x="1387"/>
        <item x="300"/>
        <item x="240"/>
        <item x="1029"/>
        <item x="381"/>
        <item x="1247"/>
        <item x="117"/>
        <item x="883"/>
        <item x="321"/>
        <item x="145"/>
        <item x="1007"/>
        <item x="1265"/>
        <item x="443"/>
        <item x="1432"/>
        <item x="405"/>
        <item x="982"/>
        <item x="1369"/>
        <item x="186"/>
        <item x="640"/>
        <item x="972"/>
        <item x="924"/>
        <item x="1127"/>
        <item x="416"/>
        <item x="357"/>
        <item x="1030"/>
        <item x="539"/>
        <item x="1370"/>
        <item x="1407"/>
        <item x="481"/>
        <item x="744"/>
        <item x="363"/>
        <item x="1450"/>
        <item x="687"/>
        <item x="678"/>
        <item x="575"/>
        <item x="655"/>
        <item x="1032"/>
        <item x="910"/>
        <item x="233"/>
        <item x="1075"/>
        <item x="913"/>
        <item x="1250"/>
        <item x="27"/>
        <item x="34"/>
        <item x="994"/>
        <item x="1073"/>
        <item x="981"/>
        <item x="140"/>
        <item x="139"/>
        <item x="733"/>
        <item x="392"/>
        <item x="1480"/>
        <item x="1016"/>
        <item x="889"/>
        <item x="1459"/>
        <item x="567"/>
        <item x="811"/>
        <item x="1445"/>
        <item x="41"/>
        <item x="172"/>
        <item x="843"/>
        <item x="566"/>
        <item x="999"/>
        <item x="971"/>
        <item x="1138"/>
        <item x="1053"/>
        <item x="311"/>
        <item x="911"/>
        <item x="355"/>
        <item x="206"/>
        <item x="1375"/>
        <item x="323"/>
        <item x="1036"/>
        <item x="690"/>
        <item x="422"/>
        <item x="1194"/>
        <item x="1464"/>
        <item x="761"/>
        <item x="423"/>
        <item x="131"/>
        <item x="826"/>
        <item x="786"/>
        <item x="1117"/>
        <item x="120"/>
        <item x="148"/>
        <item x="319"/>
        <item x="1214"/>
        <item x="611"/>
        <item x="582"/>
        <item x="394"/>
        <item x="1088"/>
        <item x="153"/>
        <item x="757"/>
        <item x="870"/>
        <item x="852"/>
        <item x="1071"/>
        <item x="121"/>
        <item x="628"/>
        <item x="138"/>
        <item x="837"/>
        <item x="107"/>
        <item x="762"/>
        <item x="1301"/>
        <item x="1188"/>
        <item x="992"/>
        <item x="1144"/>
        <item x="1218"/>
        <item x="1316"/>
        <item x="1472"/>
        <item x="1276"/>
        <item x="242"/>
        <item x="1034"/>
        <item x="831"/>
        <item x="990"/>
        <item x="43"/>
        <item x="1444"/>
        <item x="161"/>
        <item x="1284"/>
        <item x="940"/>
        <item x="985"/>
        <item x="1060"/>
        <item x="229"/>
        <item x="817"/>
        <item x="541"/>
        <item x="1467"/>
        <item x="1095"/>
        <item x="1094"/>
        <item x="1368"/>
        <item x="7"/>
        <item x="519"/>
        <item x="1205"/>
        <item x="777"/>
        <item x="1061"/>
        <item x="904"/>
        <item x="1449"/>
        <item x="1072"/>
        <item x="61"/>
        <item x="1119"/>
        <item x="398"/>
        <item x="1113"/>
        <item x="227"/>
        <item x="1502"/>
        <item x="1008"/>
        <item x="1292"/>
        <item x="375"/>
        <item x="342"/>
        <item x="486"/>
        <item x="1003"/>
        <item x="220"/>
        <item x="1019"/>
        <item x="81"/>
        <item x="470"/>
        <item x="83"/>
        <item x="1011"/>
        <item x="1142"/>
        <item x="180"/>
        <item x="795"/>
        <item x="339"/>
        <item x="1129"/>
        <item x="731"/>
        <item x="52"/>
        <item x="1294"/>
        <item x="542"/>
        <item x="388"/>
        <item x="520"/>
        <item x="647"/>
        <item x="641"/>
        <item x="0"/>
        <item x="438"/>
        <item x="499"/>
        <item x="420"/>
        <item x="30"/>
        <item x="980"/>
        <item x="103"/>
        <item x="572"/>
        <item x="1086"/>
        <item x="476"/>
        <item x="78"/>
        <item x="709"/>
        <item x="1394"/>
        <item x="1306"/>
        <item x="535"/>
        <item x="266"/>
        <item x="1487"/>
        <item x="1423"/>
        <item x="830"/>
        <item x="414"/>
        <item x="1495"/>
        <item x="1010"/>
        <item x="489"/>
        <item x="1396"/>
        <item x="597"/>
        <item x="1258"/>
        <item x="467"/>
        <item x="658"/>
        <item x="1494"/>
        <item x="780"/>
        <item x="474"/>
        <item x="472"/>
        <item x="278"/>
        <item x="31"/>
        <item x="1241"/>
        <item x="333"/>
        <item x="552"/>
        <item x="755"/>
        <item x="996"/>
        <item x="1222"/>
        <item x="1155"/>
        <item x="1190"/>
        <item x="1185"/>
        <item x="880"/>
        <item x="685"/>
        <item x="1313"/>
        <item x="571"/>
        <item x="1057"/>
        <item x="657"/>
        <item x="507"/>
        <item x="730"/>
        <item x="1081"/>
        <item x="669"/>
        <item x="418"/>
        <item x="1151"/>
        <item x="785"/>
        <item x="1333"/>
        <item x="270"/>
        <item x="651"/>
        <item x="182"/>
        <item x="585"/>
        <item x="1076"/>
        <item x="403"/>
        <item x="114"/>
        <item x="493"/>
        <item x="1302"/>
        <item x="247"/>
        <item x="401"/>
        <item x="726"/>
        <item x="19"/>
        <item x="1187"/>
        <item x="922"/>
        <item x="297"/>
        <item x="778"/>
        <item x="200"/>
        <item x="1430"/>
        <item x="1321"/>
        <item x="652"/>
        <item x="1342"/>
        <item x="983"/>
        <item x="468"/>
        <item x="893"/>
        <item x="231"/>
        <item x="945"/>
        <item x="1062"/>
        <item x="584"/>
        <item x="806"/>
        <item x="984"/>
        <item x="281"/>
        <item x="754"/>
        <item x="1039"/>
        <item x="1470"/>
        <item x="488"/>
        <item x="334"/>
        <item x="216"/>
        <item x="1277"/>
        <item x="877"/>
        <item x="719"/>
        <item x="162"/>
        <item x="317"/>
        <item x="851"/>
        <item x="713"/>
        <item x="1500"/>
        <item x="563"/>
        <item x="136"/>
        <item x="1"/>
        <item x="318"/>
        <item x="1485"/>
        <item x="399"/>
        <item x="672"/>
        <item x="307"/>
        <item x="155"/>
        <item x="518"/>
        <item x="865"/>
        <item x="578"/>
        <item x="1085"/>
        <item x="1013"/>
        <item x="614"/>
        <item x="374"/>
        <item x="912"/>
        <item x="380"/>
        <item x="1178"/>
        <item x="201"/>
        <item x="978"/>
        <item x="856"/>
        <item x="1015"/>
        <item x="271"/>
        <item x="977"/>
        <item x="1159"/>
        <item x="192"/>
        <item x="196"/>
        <item x="446"/>
        <item x="353"/>
        <item x="1084"/>
        <item x="1408"/>
        <item x="931"/>
        <item x="607"/>
        <item x="299"/>
        <item x="113"/>
        <item x="207"/>
        <item x="764"/>
        <item x="214"/>
        <item x="736"/>
        <item x="426"/>
        <item x="1492"/>
        <item x="194"/>
        <item x="1192"/>
        <item x="459"/>
        <item x="1434"/>
        <item x="1373"/>
        <item x="1220"/>
        <item x="125"/>
        <item x="48"/>
        <item x="204"/>
        <item x="1327"/>
        <item x="1136"/>
        <item x="272"/>
        <item x="1349"/>
        <item x="1317"/>
        <item x="1404"/>
        <item x="1215"/>
        <item x="181"/>
        <item x="845"/>
        <item x="243"/>
        <item x="282"/>
        <item x="555"/>
        <item x="1442"/>
        <item x="735"/>
        <item x="1154"/>
        <item x="632"/>
        <item x="1443"/>
        <item x="527"/>
        <item x="1474"/>
        <item x="1001"/>
        <item x="309"/>
        <item x="1503"/>
        <item x="1318"/>
        <item x="178"/>
        <item x="1047"/>
        <item x="693"/>
        <item x="305"/>
        <item x="897"/>
        <item x="1420"/>
        <item x="1425"/>
        <item x="294"/>
        <item x="1235"/>
        <item x="1322"/>
        <item x="1483"/>
        <item x="1399"/>
        <item x="315"/>
        <item x="1232"/>
        <item x="1482"/>
        <item x="88"/>
        <item x="872"/>
        <item x="1269"/>
        <item x="1431"/>
        <item x="1248"/>
        <item x="613"/>
        <item x="917"/>
        <item x="351"/>
        <item x="1382"/>
        <item x="812"/>
        <item x="1466"/>
        <item x="230"/>
        <item x="189"/>
        <item x="887"/>
        <item x="1156"/>
        <item x="808"/>
        <item x="1457"/>
        <item x="1345"/>
        <item x="217"/>
        <item x="942"/>
        <item x="448"/>
        <item x="492"/>
        <item x="1389"/>
        <item x="921"/>
        <item x="956"/>
        <item x="1018"/>
        <item x="668"/>
        <item x="748"/>
        <item x="118"/>
        <item x="1335"/>
        <item x="801"/>
        <item x="1508"/>
        <item x="949"/>
        <item x="536"/>
        <item x="99"/>
        <item x="389"/>
        <item x="137"/>
        <item x="659"/>
        <item x="108"/>
        <item x="1260"/>
        <item x="1454"/>
        <item x="175"/>
        <item x="596"/>
        <item x="989"/>
        <item x="454"/>
        <item x="1069"/>
        <item x="440"/>
        <item x="8"/>
        <item x="1325"/>
        <item x="326"/>
        <item x="310"/>
        <item x="1397"/>
        <item x="515"/>
        <item x="627"/>
        <item x="1132"/>
        <item x="259"/>
        <item x="1079"/>
        <item x="1239"/>
        <item x="1049"/>
        <item x="105"/>
        <item x="1411"/>
        <item x="262"/>
        <item x="239"/>
        <item x="768"/>
        <item x="1224"/>
        <item x="1149"/>
        <item x="1505"/>
        <item x="867"/>
        <item x="593"/>
        <item x="888"/>
        <item x="937"/>
        <item x="869"/>
        <item x="1421"/>
        <item x="1246"/>
        <item x="359"/>
        <item x="898"/>
        <item x="1153"/>
        <item x="774"/>
        <item x="1476"/>
        <item x="933"/>
        <item x="568"/>
        <item x="1017"/>
        <item x="328"/>
        <item x="553"/>
        <item x="954"/>
        <item x="935"/>
        <item x="149"/>
        <item x="1427"/>
        <item x="873"/>
        <item x="1103"/>
        <item x="950"/>
        <item x="235"/>
        <item x="1100"/>
        <item x="1426"/>
        <item x="622"/>
        <item x="303"/>
        <item x="236"/>
        <item x="875"/>
        <item x="391"/>
        <item x="28"/>
        <item x="1186"/>
        <item x="112"/>
        <item x="424"/>
        <item x="556"/>
        <item x="1458"/>
        <item x="604"/>
        <item x="1105"/>
        <item x="1326"/>
        <item x="218"/>
        <item x="1417"/>
        <item x="600"/>
        <item x="263"/>
        <item x="324"/>
        <item x="198"/>
        <item x="1052"/>
        <item x="160"/>
        <item x="124"/>
        <item x="267"/>
        <item x="533"/>
        <item x="1439"/>
        <item x="1211"/>
        <item x="1096"/>
        <item x="544"/>
        <item x="1054"/>
        <item x="79"/>
        <item x="745"/>
        <item x="1126"/>
        <item x="884"/>
        <item x="1000"/>
        <item x="900"/>
        <item x="822"/>
        <item x="74"/>
        <item x="1041"/>
        <item x="224"/>
        <item x="1289"/>
        <item x="1217"/>
        <item x="1298"/>
        <item x="1201"/>
        <item x="766"/>
        <item x="1255"/>
        <item x="12"/>
        <item x="506"/>
        <item x="829"/>
        <item x="1124"/>
        <item x="419"/>
        <item x="1177"/>
        <item x="436"/>
        <item x="722"/>
        <item x="1021"/>
        <item x="908"/>
        <item x="329"/>
        <item x="427"/>
        <item x="521"/>
        <item x="839"/>
        <item x="40"/>
        <item x="1135"/>
        <item x="366"/>
        <item x="634"/>
        <item x="973"/>
        <item x="1374"/>
        <item x="1453"/>
        <item x="452"/>
        <item x="979"/>
        <item x="779"/>
        <item x="222"/>
        <item x="384"/>
        <item x="457"/>
        <item x="746"/>
        <item x="1441"/>
        <item x="1035"/>
        <item x="376"/>
        <item x="306"/>
        <item x="1475"/>
        <item x="383"/>
        <item x="95"/>
        <item x="993"/>
        <item x="1082"/>
        <item x="463"/>
        <item x="841"/>
        <item x="257"/>
        <item x="1351"/>
        <item x="1497"/>
        <item x="1164"/>
        <item x="496"/>
        <item x="341"/>
        <item x="400"/>
        <item x="1433"/>
        <item x="1150"/>
        <item x="122"/>
        <item x="291"/>
        <item x="119"/>
        <item x="453"/>
        <item x="642"/>
        <item x="409"/>
        <item x="1299"/>
        <item x="739"/>
        <item x="803"/>
        <item x="1268"/>
        <item x="1064"/>
        <item x="549"/>
        <item x="135"/>
        <item x="643"/>
        <item x="439"/>
        <item x="92"/>
        <item x="1412"/>
        <item x="618"/>
        <item x="529"/>
        <item x="1195"/>
        <item x="461"/>
        <item x="1481"/>
        <item x="432"/>
        <item x="404"/>
        <item x="1033"/>
        <item x="703"/>
        <item x="330"/>
        <item x="487"/>
        <item x="1125"/>
        <item x="967"/>
        <item x="805"/>
        <item x="1118"/>
        <item x="742"/>
        <item x="97"/>
        <item x="431"/>
        <item x="562"/>
        <item x="338"/>
        <item x="1120"/>
        <item t="default"/>
      </items>
    </pivotField>
    <pivotField showAll="0"/>
    <pivotField numFmtId="15" showAll="0"/>
    <pivotField showAll="0"/>
    <pivotField numFmtId="15" showAll="0"/>
    <pivotField showAll="0"/>
    <pivotField showAll="0">
      <items count="177">
        <item x="19"/>
        <item x="24"/>
        <item x="30"/>
        <item x="2"/>
        <item x="13"/>
        <item x="36"/>
        <item x="3"/>
        <item x="21"/>
        <item x="9"/>
        <item x="29"/>
        <item x="38"/>
        <item x="18"/>
        <item x="42"/>
        <item x="17"/>
        <item x="5"/>
        <item x="7"/>
        <item x="11"/>
        <item x="15"/>
        <item x="12"/>
        <item x="8"/>
        <item x="27"/>
        <item x="4"/>
        <item x="0"/>
        <item x="43"/>
        <item x="46"/>
        <item x="26"/>
        <item x="41"/>
        <item x="47"/>
        <item x="23"/>
        <item x="14"/>
        <item x="44"/>
        <item x="10"/>
        <item x="49"/>
        <item x="33"/>
        <item x="20"/>
        <item x="1"/>
        <item x="28"/>
        <item x="40"/>
        <item x="51"/>
        <item x="35"/>
        <item x="37"/>
        <item x="31"/>
        <item x="50"/>
        <item x="6"/>
        <item x="48"/>
        <item x="32"/>
        <item x="39"/>
        <item x="25"/>
        <item x="16"/>
        <item x="34"/>
        <item x="45"/>
        <item x="22"/>
        <item x="78"/>
        <item x="58"/>
        <item x="63"/>
        <item x="53"/>
        <item x="54"/>
        <item x="61"/>
        <item x="52"/>
        <item x="60"/>
        <item x="64"/>
        <item x="62"/>
        <item x="55"/>
        <item x="59"/>
        <item x="56"/>
        <item x="66"/>
        <item x="79"/>
        <item x="71"/>
        <item x="57"/>
        <item x="85"/>
        <item x="76"/>
        <item x="73"/>
        <item x="65"/>
        <item x="96"/>
        <item x="75"/>
        <item x="72"/>
        <item x="88"/>
        <item x="69"/>
        <item x="68"/>
        <item x="74"/>
        <item x="70"/>
        <item x="87"/>
        <item x="82"/>
        <item x="77"/>
        <item x="98"/>
        <item x="67"/>
        <item x="83"/>
        <item x="86"/>
        <item x="81"/>
        <item x="89"/>
        <item x="90"/>
        <item x="80"/>
        <item x="92"/>
        <item x="104"/>
        <item x="84"/>
        <item x="93"/>
        <item x="101"/>
        <item x="94"/>
        <item x="120"/>
        <item x="97"/>
        <item x="95"/>
        <item x="91"/>
        <item x="110"/>
        <item x="109"/>
        <item x="115"/>
        <item x="100"/>
        <item x="102"/>
        <item x="105"/>
        <item x="108"/>
        <item x="111"/>
        <item x="121"/>
        <item x="99"/>
        <item x="106"/>
        <item x="122"/>
        <item x="107"/>
        <item x="103"/>
        <item x="117"/>
        <item x="116"/>
        <item x="114"/>
        <item x="113"/>
        <item x="119"/>
        <item x="112"/>
        <item x="126"/>
        <item x="125"/>
        <item x="124"/>
        <item x="132"/>
        <item x="135"/>
        <item x="136"/>
        <item x="123"/>
        <item x="129"/>
        <item x="137"/>
        <item x="118"/>
        <item x="128"/>
        <item x="157"/>
        <item x="130"/>
        <item x="139"/>
        <item x="134"/>
        <item x="127"/>
        <item x="156"/>
        <item x="138"/>
        <item x="131"/>
        <item x="133"/>
        <item x="140"/>
        <item x="152"/>
        <item x="144"/>
        <item x="142"/>
        <item x="143"/>
        <item x="147"/>
        <item x="151"/>
        <item x="155"/>
        <item x="141"/>
        <item x="148"/>
        <item x="145"/>
        <item x="146"/>
        <item x="150"/>
        <item x="149"/>
        <item x="159"/>
        <item x="168"/>
        <item x="172"/>
        <item x="154"/>
        <item x="167"/>
        <item x="164"/>
        <item x="153"/>
        <item x="163"/>
        <item x="165"/>
        <item x="160"/>
        <item x="162"/>
        <item x="158"/>
        <item x="166"/>
        <item x="161"/>
        <item x="171"/>
        <item x="174"/>
        <item x="169"/>
        <item x="173"/>
        <item x="175"/>
        <item x="170"/>
        <item t="default"/>
      </items>
    </pivotField>
    <pivotField dataField="1" showAll="0"/>
    <pivotField showAll="0"/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5">
        <item sd="0" x="0"/>
        <item sd="0" x="1"/>
        <item sd="0" x="2"/>
        <item sd="0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2">
    <pageField fld="12" item="2" hier="-1"/>
    <pageField fld="10" item="1" hier="-1"/>
  </pageFields>
  <dataFields count="2">
    <dataField name="Contagem de Valor Execução" fld="8" subtotal="count" baseField="0" baseItem="0"/>
    <dataField name="Soma de Valor Execução" fld="8" baseField="0" baseItem="0" numFmtId="168"/>
  </dataFields>
  <formats count="1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U1" zoomScale="115" zoomScaleNormal="115" workbookViewId="0">
      <selection activeCell="C4" sqref="C4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31" t="s">
        <v>0</v>
      </c>
      <c r="C2" s="32"/>
      <c r="F2" s="34" t="s">
        <v>16</v>
      </c>
      <c r="G2" s="35"/>
      <c r="H2" s="35"/>
      <c r="I2" s="35"/>
      <c r="J2" s="35"/>
      <c r="L2" s="35" t="s">
        <v>18</v>
      </c>
      <c r="M2" s="35"/>
      <c r="N2" s="35"/>
      <c r="O2" s="35"/>
      <c r="P2" s="35"/>
      <c r="Q2" s="35"/>
      <c r="S2" s="34" t="s">
        <v>20</v>
      </c>
      <c r="T2" s="35"/>
      <c r="U2" s="35"/>
      <c r="V2" s="35"/>
      <c r="W2" s="35"/>
      <c r="X2" s="35"/>
      <c r="Z2" s="39" t="str">
        <f ca="1">"Atualizado em "&amp;TEXT(TODAY(),"dd/mmm/aaaa")</f>
        <v>Atualizado em 13/dez/2025</v>
      </c>
      <c r="AA2" s="39"/>
      <c r="AB2" s="39"/>
      <c r="AC2" s="39"/>
      <c r="AD2" s="39"/>
      <c r="AE2" s="39"/>
    </row>
    <row r="3" spans="1:31" x14ac:dyDescent="0.35">
      <c r="A3" s="2"/>
      <c r="B3" s="24" t="s">
        <v>1</v>
      </c>
      <c r="C3" s="5" t="s">
        <v>81</v>
      </c>
    </row>
    <row r="4" spans="1:31" x14ac:dyDescent="0.35">
      <c r="A4" s="2"/>
      <c r="B4" s="24" t="s">
        <v>2</v>
      </c>
      <c r="C4" s="5" t="s">
        <v>82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34" t="s">
        <v>28</v>
      </c>
      <c r="AA4" s="35"/>
      <c r="AB4" s="35"/>
      <c r="AC4" s="35"/>
      <c r="AD4" s="35"/>
      <c r="AE4" s="35"/>
    </row>
    <row r="5" spans="1:31" x14ac:dyDescent="0.35">
      <c r="A5" s="2"/>
      <c r="B5" s="25" t="s">
        <v>3</v>
      </c>
      <c r="C5" s="5" t="s">
        <v>42</v>
      </c>
      <c r="F5" s="4">
        <f t="shared" ref="F5:F16" si="0">DATE($C$9,E7,1)</f>
        <v>49310</v>
      </c>
      <c r="G5" s="16">
        <v>39433.454081632655</v>
      </c>
      <c r="H5" s="16">
        <v>37998.188775510207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39433.454081632655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5"/>
      <c r="T5" s="5"/>
      <c r="U5" s="6"/>
      <c r="V5" s="6"/>
      <c r="W5" s="4" t="str">
        <f>IF(V5="","",DATE(YEAR(V5),MONTH(V5),1))</f>
        <v/>
      </c>
      <c r="X5" s="3" t="str">
        <f>IFERROR(VLOOKUP(V5,Auxiliar!$T$3:$X$367,5,FALSE),"")</f>
        <v/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16"/>
      <c r="H6" s="16">
        <v>37998.188775510207</v>
      </c>
      <c r="I6" s="21" t="str">
        <f t="shared" si="1"/>
        <v/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5"/>
      <c r="T6" s="5"/>
      <c r="U6" s="6"/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36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R$ 39.433 (R$ 1.435 pior do que meta de R$ 37.998).</v>
      </c>
      <c r="AA6" s="36"/>
      <c r="AB6" s="36"/>
      <c r="AC6" s="36"/>
      <c r="AD6" s="36"/>
      <c r="AE6" s="36"/>
    </row>
    <row r="7" spans="1:31" x14ac:dyDescent="0.35">
      <c r="A7" s="2"/>
      <c r="E7" s="3">
        <v>1</v>
      </c>
      <c r="F7" s="4">
        <f t="shared" si="0"/>
        <v>49369</v>
      </c>
      <c r="G7" s="16"/>
      <c r="H7" s="16">
        <v>37553.674610001071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5"/>
      <c r="T7" s="5"/>
      <c r="U7" s="6"/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33" t="s">
        <v>7</v>
      </c>
      <c r="C8" s="33"/>
      <c r="E8" s="3">
        <f>E7+1</f>
        <v>2</v>
      </c>
      <c r="F8" s="4">
        <f t="shared" si="0"/>
        <v>49400</v>
      </c>
      <c r="G8" s="16"/>
      <c r="H8" s="16">
        <v>37109.160444491936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5"/>
      <c r="T8" s="5"/>
      <c r="U8" s="6"/>
      <c r="V8" s="6"/>
      <c r="W8" s="4" t="str">
        <f t="shared" si="6"/>
        <v/>
      </c>
      <c r="X8" s="3" t="str">
        <f>IFERROR(VLOOKUP(V8,Auxiliar!$T$3:$X$367,5,FALSE),"")</f>
        <v/>
      </c>
      <c r="AA8" s="37" t="str">
        <f>C3&amp;" ("&amp;Auxiliar!G3&amp;")"</f>
        <v>Valor Médio Indezinado (R$)</v>
      </c>
      <c r="AB8" s="37"/>
      <c r="AC8" s="37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16"/>
      <c r="H9" s="16">
        <v>36664.6462789828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5"/>
      <c r="T9" s="5"/>
      <c r="U9" s="6"/>
      <c r="V9" s="6"/>
      <c r="W9" s="4" t="str">
        <f t="shared" si="6"/>
        <v/>
      </c>
      <c r="X9" s="3" t="str">
        <f>IFERROR(VLOOKUP(V9,Auxiliar!$T$3:$X$367,5,FALSE),"")</f>
        <v/>
      </c>
      <c r="AA9" s="37"/>
      <c r="AB9" s="37"/>
      <c r="AC9" s="37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89</v>
      </c>
      <c r="E10" s="3">
        <f t="shared" si="7"/>
        <v>4</v>
      </c>
      <c r="F10" s="4">
        <f t="shared" si="0"/>
        <v>49461</v>
      </c>
      <c r="G10" s="16"/>
      <c r="H10" s="16">
        <v>36220.132113473665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5"/>
      <c r="T10" s="5"/>
      <c r="U10" s="6"/>
      <c r="V10" s="6"/>
      <c r="W10" s="4" t="str">
        <f t="shared" si="6"/>
        <v/>
      </c>
      <c r="X10" s="3" t="str">
        <f>IFERROR(VLOOKUP(V10,Auxiliar!$T$3:$X$367,5,FALSE),"")</f>
        <v/>
      </c>
      <c r="AA10" s="38" t="str">
        <f>C4</f>
        <v>Valor Total das Indenizações / Núm. Processos Trabalhistas Recebidos</v>
      </c>
      <c r="AB10" s="38"/>
      <c r="AC10" s="38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16"/>
      <c r="H11" s="16">
        <v>35775.617947964529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5"/>
      <c r="T11" s="5"/>
      <c r="U11" s="6"/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16"/>
      <c r="H12" s="16">
        <v>35331.103782455393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5"/>
      <c r="T12" s="5"/>
      <c r="U12" s="6"/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16"/>
      <c r="H13" s="16">
        <v>34886.589616946258</v>
      </c>
      <c r="I13" s="21" t="str">
        <f t="shared" si="1"/>
        <v/>
      </c>
      <c r="J13" s="21" t="str">
        <f t="shared" si="2"/>
        <v/>
      </c>
      <c r="S13" s="5"/>
      <c r="T13" s="5"/>
      <c r="U13" s="6"/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16"/>
      <c r="H14" s="16">
        <v>34442.075451437122</v>
      </c>
      <c r="I14" s="21" t="str">
        <f t="shared" si="1"/>
        <v/>
      </c>
      <c r="J14" s="21" t="str">
        <f t="shared" si="2"/>
        <v/>
      </c>
      <c r="S14" s="5"/>
      <c r="T14" s="5"/>
      <c r="U14" s="6"/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16"/>
      <c r="H15" s="16">
        <v>33997.561285927986</v>
      </c>
      <c r="I15" s="21" t="str">
        <f t="shared" si="1"/>
        <v/>
      </c>
      <c r="J15" s="21" t="str">
        <f t="shared" si="2"/>
        <v/>
      </c>
      <c r="S15" s="5"/>
      <c r="T15" s="5"/>
      <c r="U15" s="6"/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16"/>
      <c r="H16" s="16">
        <v>33553.047120418851</v>
      </c>
      <c r="I16" s="21" t="str">
        <f t="shared" si="1"/>
        <v/>
      </c>
      <c r="J16" s="21" t="str">
        <f t="shared" si="2"/>
        <v/>
      </c>
      <c r="S16" s="5"/>
      <c r="T16" s="5"/>
      <c r="U16" s="6"/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5"/>
      <c r="T17" s="5"/>
      <c r="U17" s="6"/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5"/>
      <c r="T18" s="5"/>
      <c r="U18" s="6"/>
      <c r="V18" s="9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5"/>
      <c r="T19" s="5"/>
      <c r="U19" s="6"/>
      <c r="V19" s="9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5"/>
      <c r="T20" s="5"/>
      <c r="U20" s="6"/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34" t="s">
        <v>29</v>
      </c>
      <c r="AA29" s="35"/>
      <c r="AB29" s="35"/>
      <c r="AC29" s="35"/>
      <c r="AD29" s="35"/>
      <c r="AE29" s="35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36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R$  (R$  melhor do que meta de R$ ).</v>
      </c>
      <c r="AA31" s="36"/>
      <c r="AB31" s="36"/>
      <c r="AC31" s="36"/>
      <c r="AD31" s="36"/>
      <c r="AE31" s="36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37" t="str">
        <f>C3&amp;" ("&amp;Auxiliar!G3&amp;")"</f>
        <v>Valor Médio Indezinado (R$)</v>
      </c>
      <c r="AB33" s="37"/>
      <c r="AC33" s="37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37"/>
      <c r="AB34" s="37"/>
      <c r="AC34" s="37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8" t="str">
        <f>C4</f>
        <v>Valor Total das Indenizações / Núm. Processos Trabalhistas Recebidos</v>
      </c>
      <c r="AB35" s="38"/>
      <c r="AC35" s="38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AA35:AC35"/>
    <mergeCell ref="L2:Q2"/>
    <mergeCell ref="F2:J2"/>
    <mergeCell ref="Z4:AE4"/>
    <mergeCell ref="Z29:AE29"/>
    <mergeCell ref="Z6:AE6"/>
    <mergeCell ref="AA8:AC9"/>
    <mergeCell ref="AA10:AC10"/>
    <mergeCell ref="Z2:AE2"/>
    <mergeCell ref="B2:C2"/>
    <mergeCell ref="B8:C8"/>
    <mergeCell ref="S2:X2"/>
    <mergeCell ref="Z31:AE31"/>
    <mergeCell ref="AA33:AC34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B1:D5"/>
  <sheetViews>
    <sheetView workbookViewId="0">
      <selection activeCell="B1" sqref="B1"/>
    </sheetView>
  </sheetViews>
  <sheetFormatPr defaultRowHeight="14.5" x14ac:dyDescent="0.35"/>
  <cols>
    <col min="2" max="2" width="25.36328125" bestFit="1" customWidth="1"/>
    <col min="3" max="3" width="21.36328125" bestFit="1" customWidth="1"/>
    <col min="4" max="4" width="8.90625" bestFit="1" customWidth="1"/>
  </cols>
  <sheetData>
    <row r="1" spans="2:4" x14ac:dyDescent="0.35">
      <c r="B1" s="29" t="s">
        <v>85</v>
      </c>
      <c r="C1" t="s">
        <v>83</v>
      </c>
    </row>
    <row r="2" spans="2:4" x14ac:dyDescent="0.35">
      <c r="B2" s="29" t="s">
        <v>86</v>
      </c>
      <c r="C2" t="s">
        <v>84</v>
      </c>
    </row>
    <row r="4" spans="2:4" x14ac:dyDescent="0.35">
      <c r="B4" t="s">
        <v>87</v>
      </c>
      <c r="C4" t="s">
        <v>88</v>
      </c>
    </row>
    <row r="5" spans="2:4" x14ac:dyDescent="0.35">
      <c r="B5">
        <v>196</v>
      </c>
      <c r="C5" s="30">
        <v>7728957</v>
      </c>
      <c r="D5" s="30">
        <f>C5/B5</f>
        <v>39433.454081632655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39433.454081632655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0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R$</v>
      </c>
      <c r="H3" s="3" t="str">
        <f>VLOOKUP('Gráfico Controle de Resultados'!C5,Auxiliar!B:D,3,FALSE)</f>
        <v>R$ #.##</v>
      </c>
      <c r="I3" s="3" t="str">
        <f>VLOOKUP('Gráfico Controle de Resultados'!C5,Auxiliar!B:E,4,FALSE)</f>
        <v>[$R$] #.##0;"";""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37998.188775510207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0</v>
      </c>
      <c r="AO4" s="3">
        <f>AN4+AO3</f>
        <v>0</v>
      </c>
      <c r="AQ4" s="26" t="s">
        <v>58</v>
      </c>
      <c r="AR4" s="3">
        <f>IF('Gráfico Controle de Resultados'!C6="Cima",Auxiliar!AR2-Auxiliar!AR3,AR3-AR2)</f>
        <v>-1435.2653061224482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0</v>
      </c>
      <c r="AQ5" s="26" t="s">
        <v>60</v>
      </c>
      <c r="AR5" s="3">
        <f>ABS(AR4)</f>
        <v>1435.2653061224482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0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0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0</v>
      </c>
      <c r="AT8" s="3">
        <f t="shared" si="12"/>
        <v>6</v>
      </c>
      <c r="AU8" s="3">
        <f>COUNTIF('Gráfico Controle de Resultados'!X:X,Auxiliar!AT8)</f>
        <v>0</v>
      </c>
      <c r="AV8" s="3">
        <f t="shared" si="13"/>
        <v>0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0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0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0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0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0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0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0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0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0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0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0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0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0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0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0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0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0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0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0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0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0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0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0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0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0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0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0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0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0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0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0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0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0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0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0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0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0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0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0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0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0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0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0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0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0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0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0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0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0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0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0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0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0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Gráfico Controle de Resultados</vt:lpstr>
      <vt:lpstr>Realizado Jan35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2025-12-13T22:33:19Z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