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133" documentId="13_ncr:1_{2A45562E-7195-4637-8913-4A69A2013963}" xr6:coauthVersionLast="47" xr6:coauthVersionMax="47" xr10:uidLastSave="{D65CA3EE-101B-4661-BA59-EBBB6CD733E4}"/>
  <bookViews>
    <workbookView xWindow="-110" yWindow="-110" windowWidth="25820" windowHeight="14620" xr2:uid="{00000000-000D-0000-FFFF-FFFF00000000}"/>
  </bookViews>
  <sheets>
    <sheet name="Gráfico Controle de Resultados" sheetId="6" r:id="rId1"/>
    <sheet name="Realizado Jan35" sheetId="8" r:id="rId2"/>
    <sheet name="Auxiliar" sheetId="7" state="hidden" r:id="rId3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8" l="1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4626" i="8"/>
  <c r="F4627" i="8"/>
  <c r="F4628" i="8"/>
  <c r="F4629" i="8"/>
  <c r="F4630" i="8"/>
  <c r="F4631" i="8"/>
  <c r="F4632" i="8"/>
  <c r="F4633" i="8"/>
  <c r="F4634" i="8"/>
  <c r="F4635" i="8"/>
  <c r="F4636" i="8"/>
  <c r="F4637" i="8"/>
  <c r="F4638" i="8"/>
  <c r="F4639" i="8"/>
  <c r="F4640" i="8"/>
  <c r="F4641" i="8"/>
  <c r="F4642" i="8"/>
  <c r="F4643" i="8"/>
  <c r="F4644" i="8"/>
  <c r="F4645" i="8"/>
  <c r="F4646" i="8"/>
  <c r="F4647" i="8"/>
  <c r="F4648" i="8"/>
  <c r="F4649" i="8"/>
  <c r="F4650" i="8"/>
  <c r="F4651" i="8"/>
  <c r="F4652" i="8"/>
  <c r="F4653" i="8"/>
  <c r="F4654" i="8"/>
  <c r="F4655" i="8"/>
  <c r="F4656" i="8"/>
  <c r="F4657" i="8"/>
  <c r="F4658" i="8"/>
  <c r="F4659" i="8"/>
  <c r="F4660" i="8"/>
  <c r="F4661" i="8"/>
  <c r="F4662" i="8"/>
  <c r="F4663" i="8"/>
  <c r="F4664" i="8"/>
  <c r="F4665" i="8"/>
  <c r="F4666" i="8"/>
  <c r="F4667" i="8"/>
  <c r="F4668" i="8"/>
  <c r="F4669" i="8"/>
  <c r="F4670" i="8"/>
  <c r="F4671" i="8"/>
  <c r="F4672" i="8"/>
  <c r="F4673" i="8"/>
  <c r="F4674" i="8"/>
  <c r="F4675" i="8"/>
  <c r="F4676" i="8"/>
  <c r="F4677" i="8"/>
  <c r="F4678" i="8"/>
  <c r="F4679" i="8"/>
  <c r="F4680" i="8"/>
  <c r="F4681" i="8"/>
  <c r="F4682" i="8"/>
  <c r="F4683" i="8"/>
  <c r="F4684" i="8"/>
  <c r="F4685" i="8"/>
  <c r="F4686" i="8"/>
  <c r="F4687" i="8"/>
  <c r="F4688" i="8"/>
  <c r="F4689" i="8"/>
  <c r="F4690" i="8"/>
  <c r="F4691" i="8"/>
  <c r="F4692" i="8"/>
  <c r="F4693" i="8"/>
  <c r="F4694" i="8"/>
  <c r="F4695" i="8"/>
  <c r="F4696" i="8"/>
  <c r="F4697" i="8"/>
  <c r="F4698" i="8"/>
  <c r="F4699" i="8"/>
  <c r="F4700" i="8"/>
  <c r="F4701" i="8"/>
  <c r="F4702" i="8"/>
  <c r="F4703" i="8"/>
  <c r="F4704" i="8"/>
  <c r="F4705" i="8"/>
  <c r="F4706" i="8"/>
  <c r="F4707" i="8"/>
  <c r="F4708" i="8"/>
  <c r="F4709" i="8"/>
  <c r="F4710" i="8"/>
  <c r="F4711" i="8"/>
  <c r="F4712" i="8"/>
  <c r="F4713" i="8"/>
  <c r="F4714" i="8"/>
  <c r="F4715" i="8"/>
  <c r="F4716" i="8"/>
  <c r="F4717" i="8"/>
  <c r="F4718" i="8"/>
  <c r="F4719" i="8"/>
  <c r="F4720" i="8"/>
  <c r="F4721" i="8"/>
  <c r="F4722" i="8"/>
  <c r="F4723" i="8"/>
  <c r="F4724" i="8"/>
  <c r="F4725" i="8"/>
  <c r="F4726" i="8"/>
  <c r="F4727" i="8"/>
  <c r="F4728" i="8"/>
  <c r="F4729" i="8"/>
  <c r="F4730" i="8"/>
  <c r="F4731" i="8"/>
  <c r="F4732" i="8"/>
  <c r="F4733" i="8"/>
  <c r="F4734" i="8"/>
  <c r="F4735" i="8"/>
  <c r="F4736" i="8"/>
  <c r="F4737" i="8"/>
  <c r="F4738" i="8"/>
  <c r="F4739" i="8"/>
  <c r="F4740" i="8"/>
  <c r="F4741" i="8"/>
  <c r="F4742" i="8"/>
  <c r="F4743" i="8"/>
  <c r="F4744" i="8"/>
  <c r="F4745" i="8"/>
  <c r="F4746" i="8"/>
  <c r="F4747" i="8"/>
  <c r="F4748" i="8"/>
  <c r="F4749" i="8"/>
  <c r="F4750" i="8"/>
  <c r="F4751" i="8"/>
  <c r="F4752" i="8"/>
  <c r="F4753" i="8"/>
  <c r="F4754" i="8"/>
  <c r="F4755" i="8"/>
  <c r="F4756" i="8"/>
  <c r="F4757" i="8"/>
  <c r="F4758" i="8"/>
  <c r="F4759" i="8"/>
  <c r="F4760" i="8"/>
  <c r="F4761" i="8"/>
  <c r="F4762" i="8"/>
  <c r="F4763" i="8"/>
  <c r="F4764" i="8"/>
  <c r="F4765" i="8"/>
  <c r="F4766" i="8"/>
  <c r="F4767" i="8"/>
  <c r="F4768" i="8"/>
  <c r="F4769" i="8"/>
  <c r="F4770" i="8"/>
  <c r="F4771" i="8"/>
  <c r="F4772" i="8"/>
  <c r="F4773" i="8"/>
  <c r="F4774" i="8"/>
  <c r="F4775" i="8"/>
  <c r="F4776" i="8"/>
  <c r="F4777" i="8"/>
  <c r="F4778" i="8"/>
  <c r="F4779" i="8"/>
  <c r="F4780" i="8"/>
  <c r="F4781" i="8"/>
  <c r="F4782" i="8"/>
  <c r="F4783" i="8"/>
  <c r="F4784" i="8"/>
  <c r="F4785" i="8"/>
  <c r="F4786" i="8"/>
  <c r="F4787" i="8"/>
  <c r="F4788" i="8"/>
  <c r="F4789" i="8"/>
  <c r="F4790" i="8"/>
  <c r="F4791" i="8"/>
  <c r="F4792" i="8"/>
  <c r="F4793" i="8"/>
  <c r="F4794" i="8"/>
  <c r="F4795" i="8"/>
  <c r="F4796" i="8"/>
  <c r="F4797" i="8"/>
  <c r="F4798" i="8"/>
  <c r="F4799" i="8"/>
  <c r="F4800" i="8"/>
  <c r="F4801" i="8"/>
  <c r="F4802" i="8"/>
  <c r="F4803" i="8"/>
  <c r="F4804" i="8"/>
  <c r="F4805" i="8"/>
  <c r="F4806" i="8"/>
  <c r="F4807" i="8"/>
  <c r="F4808" i="8"/>
  <c r="F4809" i="8"/>
  <c r="F4810" i="8"/>
  <c r="F4811" i="8"/>
  <c r="F4812" i="8"/>
  <c r="F4813" i="8"/>
  <c r="F4814" i="8"/>
  <c r="F4815" i="8"/>
  <c r="F4816" i="8"/>
  <c r="F4817" i="8"/>
  <c r="F4818" i="8"/>
  <c r="F4819" i="8"/>
  <c r="F4820" i="8"/>
  <c r="F4821" i="8"/>
  <c r="F4822" i="8"/>
  <c r="F4823" i="8"/>
  <c r="F4824" i="8"/>
  <c r="F4825" i="8"/>
  <c r="F4826" i="8"/>
  <c r="F4827" i="8"/>
  <c r="F4828" i="8"/>
  <c r="F4829" i="8"/>
  <c r="F4830" i="8"/>
  <c r="F4831" i="8"/>
  <c r="F4832" i="8"/>
  <c r="F4833" i="8"/>
  <c r="F4834" i="8"/>
  <c r="F4835" i="8"/>
  <c r="F4836" i="8"/>
  <c r="F4837" i="8"/>
  <c r="F4838" i="8"/>
  <c r="F4839" i="8"/>
  <c r="F4840" i="8"/>
  <c r="F4841" i="8"/>
  <c r="F4842" i="8"/>
  <c r="F4843" i="8"/>
  <c r="F4844" i="8"/>
  <c r="F4845" i="8"/>
  <c r="F4846" i="8"/>
  <c r="F4847" i="8"/>
  <c r="F4848" i="8"/>
  <c r="F4849" i="8"/>
  <c r="F4850" i="8"/>
  <c r="F4851" i="8"/>
  <c r="F4852" i="8"/>
  <c r="F4853" i="8"/>
  <c r="F4854" i="8"/>
  <c r="F4855" i="8"/>
  <c r="F4856" i="8"/>
  <c r="F4857" i="8"/>
  <c r="F4858" i="8"/>
  <c r="F4859" i="8"/>
  <c r="F4860" i="8"/>
  <c r="F4861" i="8"/>
  <c r="F4862" i="8"/>
  <c r="F4863" i="8"/>
  <c r="F4864" i="8"/>
  <c r="F4865" i="8"/>
  <c r="F4866" i="8"/>
  <c r="F4867" i="8"/>
  <c r="F4868" i="8"/>
  <c r="F4869" i="8"/>
  <c r="F4870" i="8"/>
  <c r="F4871" i="8"/>
  <c r="F4872" i="8"/>
  <c r="F4873" i="8"/>
  <c r="F4874" i="8"/>
  <c r="F4875" i="8"/>
  <c r="F4876" i="8"/>
  <c r="F4877" i="8"/>
  <c r="F4878" i="8"/>
  <c r="F4879" i="8"/>
  <c r="F4880" i="8"/>
  <c r="F4881" i="8"/>
  <c r="F4882" i="8"/>
  <c r="F4883" i="8"/>
  <c r="F4884" i="8"/>
  <c r="F4885" i="8"/>
  <c r="F4886" i="8"/>
  <c r="F4887" i="8"/>
  <c r="F4888" i="8"/>
  <c r="F4889" i="8"/>
  <c r="F4890" i="8"/>
  <c r="F4891" i="8"/>
  <c r="F4892" i="8"/>
  <c r="F4893" i="8"/>
  <c r="F4894" i="8"/>
  <c r="F4895" i="8"/>
  <c r="F4896" i="8"/>
  <c r="F4897" i="8"/>
  <c r="F4898" i="8"/>
  <c r="F4899" i="8"/>
  <c r="F4900" i="8"/>
  <c r="F4901" i="8"/>
  <c r="F4902" i="8"/>
  <c r="F4903" i="8"/>
  <c r="F4904" i="8"/>
  <c r="F4905" i="8"/>
  <c r="F4906" i="8"/>
  <c r="F4907" i="8"/>
  <c r="F4908" i="8"/>
  <c r="F4909" i="8"/>
  <c r="F4910" i="8"/>
  <c r="F4911" i="8"/>
  <c r="F4912" i="8"/>
  <c r="F4913" i="8"/>
  <c r="F4914" i="8"/>
  <c r="F4915" i="8"/>
  <c r="F4916" i="8"/>
  <c r="F4917" i="8"/>
  <c r="F4918" i="8"/>
  <c r="F4919" i="8"/>
  <c r="F4920" i="8"/>
  <c r="F4921" i="8"/>
  <c r="F4922" i="8"/>
  <c r="F4923" i="8"/>
  <c r="F4924" i="8"/>
  <c r="F4925" i="8"/>
  <c r="F4926" i="8"/>
  <c r="F4927" i="8"/>
  <c r="F4928" i="8"/>
  <c r="F4929" i="8"/>
  <c r="F4930" i="8"/>
  <c r="F4931" i="8"/>
  <c r="F4932" i="8"/>
  <c r="F4933" i="8"/>
  <c r="F4934" i="8"/>
  <c r="F4935" i="8"/>
  <c r="F4936" i="8"/>
  <c r="F4937" i="8"/>
  <c r="F4938" i="8"/>
  <c r="F4939" i="8"/>
  <c r="F4940" i="8"/>
  <c r="F4941" i="8"/>
  <c r="F4942" i="8"/>
  <c r="F4943" i="8"/>
  <c r="F4944" i="8"/>
  <c r="F4945" i="8"/>
  <c r="F4946" i="8"/>
  <c r="F4947" i="8"/>
  <c r="F4948" i="8"/>
  <c r="F4949" i="8"/>
  <c r="F4950" i="8"/>
  <c r="F4951" i="8"/>
  <c r="F4952" i="8"/>
  <c r="F4953" i="8"/>
  <c r="F4954" i="8"/>
  <c r="F4955" i="8"/>
  <c r="F4956" i="8"/>
  <c r="F4957" i="8"/>
  <c r="F4958" i="8"/>
  <c r="F4959" i="8"/>
  <c r="F4960" i="8"/>
  <c r="F4961" i="8"/>
  <c r="F4962" i="8"/>
  <c r="F4963" i="8"/>
  <c r="F4964" i="8"/>
  <c r="F4965" i="8"/>
  <c r="F4966" i="8"/>
  <c r="F4967" i="8"/>
  <c r="F4968" i="8"/>
  <c r="F4969" i="8"/>
  <c r="F4970" i="8"/>
  <c r="F4971" i="8"/>
  <c r="F4972" i="8"/>
  <c r="F4973" i="8"/>
  <c r="F4974" i="8"/>
  <c r="F4975" i="8"/>
  <c r="F4976" i="8"/>
  <c r="F4977" i="8"/>
  <c r="F4978" i="8"/>
  <c r="F4979" i="8"/>
  <c r="F4980" i="8"/>
  <c r="F4981" i="8"/>
  <c r="F4982" i="8"/>
  <c r="F4983" i="8"/>
  <c r="F4984" i="8"/>
  <c r="F4985" i="8"/>
  <c r="F4986" i="8"/>
  <c r="F4987" i="8"/>
  <c r="F4988" i="8"/>
  <c r="F4989" i="8"/>
  <c r="F4990" i="8"/>
  <c r="F4991" i="8"/>
  <c r="F4992" i="8"/>
  <c r="F4993" i="8"/>
  <c r="F4994" i="8"/>
  <c r="F4995" i="8"/>
  <c r="F4996" i="8"/>
  <c r="F4997" i="8"/>
  <c r="F4998" i="8"/>
  <c r="F4999" i="8"/>
  <c r="F5000" i="8"/>
  <c r="F5001" i="8"/>
  <c r="F5002" i="8"/>
  <c r="F5003" i="8"/>
  <c r="F5004" i="8"/>
  <c r="F5005" i="8"/>
  <c r="F5006" i="8"/>
  <c r="F5007" i="8"/>
  <c r="F5008" i="8"/>
  <c r="F5009" i="8"/>
  <c r="F5010" i="8"/>
  <c r="F5011" i="8"/>
  <c r="F5012" i="8"/>
  <c r="F5013" i="8"/>
  <c r="F5014" i="8"/>
  <c r="F5015" i="8"/>
  <c r="F5016" i="8"/>
  <c r="F5017" i="8"/>
  <c r="F5018" i="8"/>
  <c r="F5019" i="8"/>
  <c r="F5020" i="8"/>
  <c r="F5021" i="8"/>
  <c r="F5022" i="8"/>
  <c r="F5023" i="8"/>
  <c r="F5024" i="8"/>
  <c r="F5025" i="8"/>
  <c r="F5026" i="8"/>
  <c r="F5027" i="8"/>
  <c r="F5028" i="8"/>
  <c r="F5029" i="8"/>
  <c r="F5030" i="8"/>
  <c r="F5031" i="8"/>
  <c r="F5032" i="8"/>
  <c r="F5033" i="8"/>
  <c r="F5034" i="8"/>
  <c r="F5035" i="8"/>
  <c r="F5036" i="8"/>
  <c r="F5037" i="8"/>
  <c r="F5038" i="8"/>
  <c r="F5039" i="8"/>
  <c r="F5040" i="8"/>
  <c r="F5041" i="8"/>
  <c r="F5042" i="8"/>
  <c r="F5043" i="8"/>
  <c r="F5044" i="8"/>
  <c r="F5045" i="8"/>
  <c r="F5046" i="8"/>
  <c r="F5047" i="8"/>
  <c r="F5048" i="8"/>
  <c r="F5049" i="8"/>
  <c r="F5050" i="8"/>
  <c r="F5051" i="8"/>
  <c r="F5052" i="8"/>
  <c r="F5053" i="8"/>
  <c r="F5054" i="8"/>
  <c r="F5055" i="8"/>
  <c r="F5056" i="8"/>
  <c r="F5057" i="8"/>
  <c r="F5058" i="8"/>
  <c r="F5059" i="8"/>
  <c r="F5060" i="8"/>
  <c r="F5061" i="8"/>
  <c r="F5062" i="8"/>
  <c r="F5063" i="8"/>
  <c r="F5064" i="8"/>
  <c r="F5065" i="8"/>
  <c r="F5066" i="8"/>
  <c r="F5067" i="8"/>
  <c r="F5068" i="8"/>
  <c r="F5069" i="8"/>
  <c r="F5070" i="8"/>
  <c r="F5071" i="8"/>
  <c r="F5072" i="8"/>
  <c r="F5073" i="8"/>
  <c r="F5074" i="8"/>
  <c r="F5075" i="8"/>
  <c r="F5076" i="8"/>
  <c r="F5077" i="8"/>
  <c r="F5078" i="8"/>
  <c r="F5079" i="8"/>
  <c r="F5080" i="8"/>
  <c r="F5081" i="8"/>
  <c r="F5082" i="8"/>
  <c r="F5083" i="8"/>
  <c r="F5084" i="8"/>
  <c r="F5085" i="8"/>
  <c r="F5086" i="8"/>
  <c r="F5087" i="8"/>
  <c r="F5088" i="8"/>
  <c r="F5089" i="8"/>
  <c r="F5090" i="8"/>
  <c r="F5091" i="8"/>
  <c r="F5092" i="8"/>
  <c r="F5093" i="8"/>
  <c r="F5094" i="8"/>
  <c r="F5095" i="8"/>
  <c r="F5096" i="8"/>
  <c r="F5097" i="8"/>
  <c r="F5098" i="8"/>
  <c r="F5099" i="8"/>
  <c r="F5100" i="8"/>
  <c r="F5101" i="8"/>
  <c r="F5102" i="8"/>
  <c r="F5103" i="8"/>
  <c r="F5104" i="8"/>
  <c r="F5105" i="8"/>
  <c r="F5106" i="8"/>
  <c r="F5107" i="8"/>
  <c r="F5108" i="8"/>
  <c r="F5109" i="8"/>
  <c r="F5110" i="8"/>
  <c r="F5111" i="8"/>
  <c r="F5112" i="8"/>
  <c r="F5113" i="8"/>
  <c r="F5114" i="8"/>
  <c r="F5115" i="8"/>
  <c r="F5116" i="8"/>
  <c r="F5117" i="8"/>
  <c r="F5118" i="8"/>
  <c r="F5119" i="8"/>
  <c r="F5120" i="8"/>
  <c r="F5121" i="8"/>
  <c r="F5122" i="8"/>
  <c r="F5123" i="8"/>
  <c r="F5124" i="8"/>
  <c r="F5125" i="8"/>
  <c r="F5126" i="8"/>
  <c r="F5127" i="8"/>
  <c r="F5128" i="8"/>
  <c r="F5129" i="8"/>
  <c r="F5130" i="8"/>
  <c r="F5131" i="8"/>
  <c r="F5132" i="8"/>
  <c r="F5133" i="8"/>
  <c r="F5134" i="8"/>
  <c r="F5135" i="8"/>
  <c r="F5136" i="8"/>
  <c r="F5137" i="8"/>
  <c r="F5138" i="8"/>
  <c r="F5139" i="8"/>
  <c r="F5140" i="8"/>
  <c r="F5141" i="8"/>
  <c r="F5142" i="8"/>
  <c r="F5143" i="8"/>
  <c r="F5144" i="8"/>
  <c r="F5145" i="8"/>
  <c r="F5146" i="8"/>
  <c r="F5147" i="8"/>
  <c r="F5148" i="8"/>
  <c r="F5149" i="8"/>
  <c r="F5150" i="8"/>
  <c r="F5151" i="8"/>
  <c r="F5152" i="8"/>
  <c r="F5153" i="8"/>
  <c r="F5154" i="8"/>
  <c r="F5155" i="8"/>
  <c r="F5156" i="8"/>
  <c r="F5157" i="8"/>
  <c r="F5158" i="8"/>
  <c r="F5159" i="8"/>
  <c r="F5160" i="8"/>
  <c r="F5161" i="8"/>
  <c r="F5162" i="8"/>
  <c r="F5163" i="8"/>
  <c r="F5164" i="8"/>
  <c r="F5165" i="8"/>
  <c r="F5166" i="8"/>
  <c r="F5167" i="8"/>
  <c r="F5168" i="8"/>
  <c r="F5169" i="8"/>
  <c r="F5170" i="8"/>
  <c r="F5171" i="8"/>
  <c r="F5172" i="8"/>
  <c r="F5173" i="8"/>
  <c r="F5174" i="8"/>
  <c r="F5175" i="8"/>
  <c r="F5176" i="8"/>
  <c r="F5177" i="8"/>
  <c r="F5178" i="8"/>
  <c r="F5179" i="8"/>
  <c r="F5180" i="8"/>
  <c r="F5181" i="8"/>
  <c r="F5182" i="8"/>
  <c r="F5183" i="8"/>
  <c r="F5184" i="8"/>
  <c r="F5185" i="8"/>
  <c r="F5186" i="8"/>
  <c r="F5187" i="8"/>
  <c r="F5188" i="8"/>
  <c r="F5189" i="8"/>
  <c r="F5190" i="8"/>
  <c r="F5191" i="8"/>
  <c r="F5192" i="8"/>
  <c r="F5193" i="8"/>
  <c r="F5194" i="8"/>
  <c r="F5195" i="8"/>
  <c r="F5196" i="8"/>
  <c r="F5197" i="8"/>
  <c r="F5198" i="8"/>
  <c r="F5199" i="8"/>
  <c r="F5200" i="8"/>
  <c r="F5201" i="8"/>
  <c r="F5202" i="8"/>
  <c r="F5203" i="8"/>
  <c r="F5204" i="8"/>
  <c r="F5205" i="8"/>
  <c r="F5206" i="8"/>
  <c r="F5207" i="8"/>
  <c r="F5208" i="8"/>
  <c r="F5209" i="8"/>
  <c r="F5210" i="8"/>
  <c r="F5211" i="8"/>
  <c r="F5212" i="8"/>
  <c r="F5213" i="8"/>
  <c r="F5214" i="8"/>
  <c r="F5215" i="8"/>
  <c r="F5216" i="8"/>
  <c r="F5217" i="8"/>
  <c r="F5218" i="8"/>
  <c r="F5219" i="8"/>
  <c r="F5220" i="8"/>
  <c r="F5221" i="8"/>
  <c r="F5222" i="8"/>
  <c r="F5223" i="8"/>
  <c r="F5224" i="8"/>
  <c r="F5225" i="8"/>
  <c r="F5226" i="8"/>
  <c r="F5227" i="8"/>
  <c r="F5228" i="8"/>
  <c r="F5229" i="8"/>
  <c r="F5230" i="8"/>
  <c r="F5231" i="8"/>
  <c r="F5232" i="8"/>
  <c r="F5233" i="8"/>
  <c r="F5234" i="8"/>
  <c r="F5235" i="8"/>
  <c r="F5236" i="8"/>
  <c r="F5237" i="8"/>
  <c r="F5238" i="8"/>
  <c r="F5239" i="8"/>
  <c r="F5240" i="8"/>
  <c r="F5241" i="8"/>
  <c r="F5242" i="8"/>
  <c r="F5243" i="8"/>
  <c r="F5244" i="8"/>
  <c r="F5245" i="8"/>
  <c r="F5246" i="8"/>
  <c r="F5247" i="8"/>
  <c r="F5248" i="8"/>
  <c r="F5249" i="8"/>
  <c r="F5250" i="8"/>
  <c r="F5251" i="8"/>
  <c r="F5252" i="8"/>
  <c r="F5253" i="8"/>
  <c r="F5254" i="8"/>
  <c r="F5255" i="8"/>
  <c r="F5256" i="8"/>
  <c r="F5257" i="8"/>
  <c r="F5258" i="8"/>
  <c r="F5259" i="8"/>
  <c r="F5260" i="8"/>
  <c r="F5261" i="8"/>
  <c r="F5262" i="8"/>
  <c r="F5263" i="8"/>
  <c r="F5264" i="8"/>
  <c r="F5265" i="8"/>
  <c r="F5266" i="8"/>
  <c r="F5267" i="8"/>
  <c r="F5268" i="8"/>
  <c r="F5269" i="8"/>
  <c r="F5270" i="8"/>
  <c r="F5271" i="8"/>
  <c r="F5272" i="8"/>
  <c r="F5273" i="8"/>
  <c r="F5274" i="8"/>
  <c r="F5275" i="8"/>
  <c r="F5276" i="8"/>
  <c r="F5277" i="8"/>
  <c r="F5278" i="8"/>
  <c r="F5279" i="8"/>
  <c r="F5280" i="8"/>
  <c r="F5281" i="8"/>
  <c r="F5282" i="8"/>
  <c r="F5283" i="8"/>
  <c r="F5284" i="8"/>
  <c r="F5285" i="8"/>
  <c r="F5286" i="8"/>
  <c r="F5287" i="8"/>
  <c r="F5288" i="8"/>
  <c r="F5289" i="8"/>
  <c r="F5290" i="8"/>
  <c r="F5291" i="8"/>
  <c r="F5292" i="8"/>
  <c r="F5293" i="8"/>
  <c r="F5294" i="8"/>
  <c r="F5295" i="8"/>
  <c r="F5296" i="8"/>
  <c r="F5297" i="8"/>
  <c r="F5298" i="8"/>
  <c r="F5299" i="8"/>
  <c r="F5300" i="8"/>
  <c r="F5301" i="8"/>
  <c r="F5302" i="8"/>
  <c r="F5303" i="8"/>
  <c r="F5304" i="8"/>
  <c r="F5305" i="8"/>
  <c r="F5306" i="8"/>
  <c r="F5307" i="8"/>
  <c r="F5308" i="8"/>
  <c r="F5309" i="8"/>
  <c r="F5310" i="8"/>
  <c r="F5311" i="8"/>
  <c r="F5312" i="8"/>
  <c r="F5313" i="8"/>
  <c r="F5314" i="8"/>
  <c r="F5315" i="8"/>
  <c r="F5316" i="8"/>
  <c r="F5317" i="8"/>
  <c r="F5318" i="8"/>
  <c r="F5319" i="8"/>
  <c r="F5320" i="8"/>
  <c r="F5321" i="8"/>
  <c r="F5322" i="8"/>
  <c r="F5323" i="8"/>
  <c r="F5324" i="8"/>
  <c r="F5325" i="8"/>
  <c r="F5326" i="8"/>
  <c r="F5327" i="8"/>
  <c r="F5328" i="8"/>
  <c r="F5329" i="8"/>
  <c r="F5330" i="8"/>
  <c r="F5331" i="8"/>
  <c r="F5332" i="8"/>
  <c r="F5333" i="8"/>
  <c r="F5334" i="8"/>
  <c r="F5335" i="8"/>
  <c r="F5336" i="8"/>
  <c r="F5337" i="8"/>
  <c r="F5338" i="8"/>
  <c r="F5339" i="8"/>
  <c r="F5340" i="8"/>
  <c r="F5341" i="8"/>
  <c r="F5342" i="8"/>
  <c r="F5343" i="8"/>
  <c r="F5344" i="8"/>
  <c r="F5345" i="8"/>
  <c r="F5346" i="8"/>
  <c r="F5347" i="8"/>
  <c r="F5348" i="8"/>
  <c r="F5349" i="8"/>
  <c r="F5350" i="8"/>
  <c r="F5351" i="8"/>
  <c r="F5352" i="8"/>
  <c r="F5353" i="8"/>
  <c r="F5354" i="8"/>
  <c r="F5355" i="8"/>
  <c r="F5356" i="8"/>
  <c r="F5357" i="8"/>
  <c r="F5358" i="8"/>
  <c r="F5359" i="8"/>
  <c r="F5360" i="8"/>
  <c r="F5361" i="8"/>
  <c r="F5362" i="8"/>
  <c r="F5363" i="8"/>
  <c r="F5364" i="8"/>
  <c r="F5365" i="8"/>
  <c r="F5366" i="8"/>
  <c r="F5367" i="8"/>
  <c r="F5368" i="8"/>
  <c r="F5369" i="8"/>
  <c r="F5370" i="8"/>
  <c r="F5371" i="8"/>
  <c r="F5372" i="8"/>
  <c r="F5373" i="8"/>
  <c r="F5374" i="8"/>
  <c r="F5375" i="8"/>
  <c r="F5376" i="8"/>
  <c r="F5377" i="8"/>
  <c r="F5378" i="8"/>
  <c r="F5379" i="8"/>
  <c r="F5380" i="8"/>
  <c r="F5381" i="8"/>
  <c r="F5382" i="8"/>
  <c r="F5383" i="8"/>
  <c r="F5384" i="8"/>
  <c r="F5385" i="8"/>
  <c r="F5386" i="8"/>
  <c r="F5387" i="8"/>
  <c r="F5388" i="8"/>
  <c r="F5389" i="8"/>
  <c r="F5390" i="8"/>
  <c r="F5391" i="8"/>
  <c r="F5392" i="8"/>
  <c r="F5393" i="8"/>
  <c r="F5394" i="8"/>
  <c r="F5395" i="8"/>
  <c r="F5396" i="8"/>
  <c r="F5397" i="8"/>
  <c r="F5398" i="8"/>
  <c r="F5399" i="8"/>
  <c r="F5400" i="8"/>
  <c r="F5401" i="8"/>
  <c r="F5402" i="8"/>
  <c r="F5403" i="8"/>
  <c r="F5404" i="8"/>
  <c r="F5405" i="8"/>
  <c r="F5406" i="8"/>
  <c r="F5407" i="8"/>
  <c r="F5408" i="8"/>
  <c r="F5409" i="8"/>
  <c r="F5410" i="8"/>
  <c r="F5411" i="8"/>
  <c r="F5412" i="8"/>
  <c r="F5413" i="8"/>
  <c r="F5414" i="8"/>
  <c r="F5415" i="8"/>
  <c r="F5416" i="8"/>
  <c r="F5417" i="8"/>
  <c r="F5418" i="8"/>
  <c r="F5419" i="8"/>
  <c r="F5420" i="8"/>
  <c r="F5421" i="8"/>
  <c r="F5422" i="8"/>
  <c r="F5423" i="8"/>
  <c r="F5424" i="8"/>
  <c r="F5425" i="8"/>
  <c r="F5426" i="8"/>
  <c r="F5427" i="8"/>
  <c r="F5428" i="8"/>
  <c r="F5429" i="8"/>
  <c r="F5430" i="8"/>
  <c r="F5431" i="8"/>
  <c r="F5432" i="8"/>
  <c r="F5433" i="8"/>
  <c r="F5434" i="8"/>
  <c r="F5435" i="8"/>
  <c r="F5436" i="8"/>
  <c r="F5437" i="8"/>
  <c r="F5438" i="8"/>
  <c r="F5439" i="8"/>
  <c r="F5440" i="8"/>
  <c r="F5441" i="8"/>
  <c r="F5442" i="8"/>
  <c r="F5443" i="8"/>
  <c r="F5444" i="8"/>
  <c r="F5445" i="8"/>
  <c r="F5446" i="8"/>
  <c r="F5447" i="8"/>
  <c r="F5448" i="8"/>
  <c r="F5449" i="8"/>
  <c r="F5450" i="8"/>
  <c r="F5451" i="8"/>
  <c r="F5452" i="8"/>
  <c r="F5453" i="8"/>
  <c r="F5454" i="8"/>
  <c r="F5455" i="8"/>
  <c r="F5456" i="8"/>
  <c r="F5457" i="8"/>
  <c r="F5458" i="8"/>
  <c r="F5459" i="8"/>
  <c r="F5460" i="8"/>
  <c r="F5461" i="8"/>
  <c r="F5462" i="8"/>
  <c r="F5463" i="8"/>
  <c r="F5464" i="8"/>
  <c r="F5465" i="8"/>
  <c r="F5466" i="8"/>
  <c r="F5467" i="8"/>
  <c r="F5468" i="8"/>
  <c r="F5469" i="8"/>
  <c r="F5470" i="8"/>
  <c r="F5471" i="8"/>
  <c r="F5472" i="8"/>
  <c r="F5473" i="8"/>
  <c r="F5474" i="8"/>
  <c r="F5475" i="8"/>
  <c r="F5476" i="8"/>
  <c r="F5477" i="8"/>
  <c r="F5478" i="8"/>
  <c r="F5479" i="8"/>
  <c r="F5480" i="8"/>
  <c r="F5481" i="8"/>
  <c r="F5482" i="8"/>
  <c r="F5483" i="8"/>
  <c r="F5484" i="8"/>
  <c r="F5485" i="8"/>
  <c r="F5486" i="8"/>
  <c r="F5487" i="8"/>
  <c r="F5488" i="8"/>
  <c r="F5489" i="8"/>
  <c r="F5490" i="8"/>
  <c r="F5491" i="8"/>
  <c r="F5492" i="8"/>
  <c r="F5493" i="8"/>
  <c r="F5494" i="8"/>
  <c r="F5495" i="8"/>
  <c r="F5496" i="8"/>
  <c r="F5497" i="8"/>
  <c r="F5498" i="8"/>
  <c r="F5499" i="8"/>
  <c r="F5500" i="8"/>
  <c r="F5501" i="8"/>
  <c r="F5502" i="8"/>
  <c r="F5503" i="8"/>
  <c r="F5504" i="8"/>
  <c r="F5505" i="8"/>
  <c r="F5506" i="8"/>
  <c r="F5507" i="8"/>
  <c r="F5508" i="8"/>
  <c r="F5509" i="8"/>
  <c r="F5510" i="8"/>
  <c r="F5511" i="8"/>
  <c r="F5512" i="8"/>
  <c r="F5513" i="8"/>
  <c r="F5514" i="8"/>
  <c r="F5515" i="8"/>
  <c r="F5516" i="8"/>
  <c r="F5517" i="8"/>
  <c r="F5518" i="8"/>
  <c r="F5519" i="8"/>
  <c r="F5520" i="8"/>
  <c r="F5521" i="8"/>
  <c r="F5522" i="8"/>
  <c r="F5523" i="8"/>
  <c r="F5524" i="8"/>
  <c r="F5525" i="8"/>
  <c r="F5526" i="8"/>
  <c r="F5527" i="8"/>
  <c r="F5528" i="8"/>
  <c r="F5529" i="8"/>
  <c r="F5530" i="8"/>
  <c r="F5531" i="8"/>
  <c r="F5532" i="8"/>
  <c r="F5533" i="8"/>
  <c r="F5534" i="8"/>
  <c r="F5535" i="8"/>
  <c r="F5536" i="8"/>
  <c r="F5537" i="8"/>
  <c r="F5538" i="8"/>
  <c r="F5539" i="8"/>
  <c r="F5540" i="8"/>
  <c r="F5541" i="8"/>
  <c r="F5542" i="8"/>
  <c r="F5543" i="8"/>
  <c r="F5544" i="8"/>
  <c r="F5545" i="8"/>
  <c r="F5546" i="8"/>
  <c r="F5547" i="8"/>
  <c r="F5548" i="8"/>
  <c r="F5549" i="8"/>
  <c r="F5550" i="8"/>
  <c r="F5551" i="8"/>
  <c r="F5552" i="8"/>
  <c r="F5553" i="8"/>
  <c r="F5554" i="8"/>
  <c r="F5555" i="8"/>
  <c r="F5556" i="8"/>
  <c r="F5557" i="8"/>
  <c r="F5558" i="8"/>
  <c r="F5559" i="8"/>
  <c r="F5560" i="8"/>
  <c r="F5561" i="8"/>
  <c r="F5562" i="8"/>
  <c r="F5563" i="8"/>
  <c r="F5564" i="8"/>
  <c r="F5565" i="8"/>
  <c r="F5566" i="8"/>
  <c r="F5567" i="8"/>
  <c r="F5568" i="8"/>
  <c r="F5569" i="8"/>
  <c r="F5570" i="8"/>
  <c r="F5571" i="8"/>
  <c r="F5572" i="8"/>
  <c r="F5573" i="8"/>
  <c r="F5574" i="8"/>
  <c r="F5575" i="8"/>
  <c r="F5576" i="8"/>
  <c r="F5577" i="8"/>
  <c r="F5578" i="8"/>
  <c r="F5579" i="8"/>
  <c r="F5580" i="8"/>
  <c r="F5581" i="8"/>
  <c r="F5582" i="8"/>
  <c r="F5583" i="8"/>
  <c r="F5584" i="8"/>
  <c r="F5585" i="8"/>
  <c r="F5586" i="8"/>
  <c r="F5587" i="8"/>
  <c r="F5588" i="8"/>
  <c r="F5589" i="8"/>
  <c r="F5590" i="8"/>
  <c r="F5591" i="8"/>
  <c r="F5592" i="8"/>
  <c r="F5593" i="8"/>
  <c r="F5594" i="8"/>
  <c r="F5595" i="8"/>
  <c r="F5596" i="8"/>
  <c r="F5597" i="8"/>
  <c r="F5598" i="8"/>
  <c r="F5599" i="8"/>
  <c r="F5600" i="8"/>
  <c r="F5601" i="8"/>
  <c r="F5602" i="8"/>
  <c r="F5603" i="8"/>
  <c r="F5604" i="8"/>
  <c r="F5605" i="8"/>
  <c r="F5606" i="8"/>
  <c r="F5607" i="8"/>
  <c r="F5608" i="8"/>
  <c r="F5609" i="8"/>
  <c r="F5610" i="8"/>
  <c r="F5611" i="8"/>
  <c r="F5612" i="8"/>
  <c r="F5613" i="8"/>
  <c r="F5614" i="8"/>
  <c r="F5615" i="8"/>
  <c r="F5616" i="8"/>
  <c r="F5617" i="8"/>
  <c r="F5618" i="8"/>
  <c r="F5619" i="8"/>
  <c r="F5620" i="8"/>
  <c r="F5621" i="8"/>
  <c r="F5622" i="8"/>
  <c r="F5623" i="8"/>
  <c r="F5624" i="8"/>
  <c r="F5625" i="8"/>
  <c r="F5626" i="8"/>
  <c r="F5627" i="8"/>
  <c r="F5628" i="8"/>
  <c r="F5629" i="8"/>
  <c r="F5630" i="8"/>
  <c r="F5631" i="8"/>
  <c r="F5632" i="8"/>
  <c r="F5633" i="8"/>
  <c r="F5634" i="8"/>
  <c r="F5635" i="8"/>
  <c r="F5636" i="8"/>
  <c r="F5637" i="8"/>
  <c r="F5638" i="8"/>
  <c r="F5639" i="8"/>
  <c r="F5640" i="8"/>
  <c r="F5641" i="8"/>
  <c r="F5642" i="8"/>
  <c r="F5643" i="8"/>
  <c r="F5644" i="8"/>
  <c r="F5645" i="8"/>
  <c r="F5646" i="8"/>
  <c r="F5647" i="8"/>
  <c r="F5648" i="8"/>
  <c r="F5649" i="8"/>
  <c r="F5650" i="8"/>
  <c r="F5651" i="8"/>
  <c r="F5652" i="8"/>
  <c r="F5653" i="8"/>
  <c r="F5654" i="8"/>
  <c r="F5655" i="8"/>
  <c r="F5656" i="8"/>
  <c r="F5657" i="8"/>
  <c r="F5658" i="8"/>
  <c r="F5659" i="8"/>
  <c r="F5660" i="8"/>
  <c r="F5661" i="8"/>
  <c r="F5662" i="8"/>
  <c r="F5663" i="8"/>
  <c r="F5664" i="8"/>
  <c r="F5665" i="8"/>
  <c r="F5666" i="8"/>
  <c r="F5667" i="8"/>
  <c r="F5668" i="8"/>
  <c r="F5669" i="8"/>
  <c r="F5670" i="8"/>
  <c r="F5671" i="8"/>
  <c r="F5672" i="8"/>
  <c r="F5673" i="8"/>
  <c r="F5674" i="8"/>
  <c r="F5675" i="8"/>
  <c r="F5676" i="8"/>
  <c r="F5677" i="8"/>
  <c r="F5678" i="8"/>
  <c r="F5679" i="8"/>
  <c r="F5680" i="8"/>
  <c r="F5681" i="8"/>
  <c r="F5682" i="8"/>
  <c r="F5683" i="8"/>
  <c r="F5684" i="8"/>
  <c r="F5685" i="8"/>
  <c r="F5686" i="8"/>
  <c r="F5687" i="8"/>
  <c r="F5688" i="8"/>
  <c r="F5689" i="8"/>
  <c r="F5690" i="8"/>
  <c r="F5691" i="8"/>
  <c r="F5692" i="8"/>
  <c r="F5693" i="8"/>
  <c r="F5694" i="8"/>
  <c r="F5695" i="8"/>
  <c r="F5696" i="8"/>
  <c r="F5697" i="8"/>
  <c r="F5698" i="8"/>
  <c r="F5699" i="8"/>
  <c r="F5700" i="8"/>
  <c r="F5701" i="8"/>
  <c r="F5702" i="8"/>
  <c r="F5703" i="8"/>
  <c r="F5704" i="8"/>
  <c r="F5705" i="8"/>
  <c r="F5706" i="8"/>
  <c r="F5707" i="8"/>
  <c r="F5708" i="8"/>
  <c r="F5709" i="8"/>
  <c r="F5710" i="8"/>
  <c r="F5711" i="8"/>
  <c r="F5712" i="8"/>
  <c r="F5713" i="8"/>
  <c r="F5714" i="8"/>
  <c r="F5715" i="8"/>
  <c r="F5716" i="8"/>
  <c r="F5717" i="8"/>
  <c r="F5718" i="8"/>
  <c r="F5719" i="8"/>
  <c r="F5720" i="8"/>
  <c r="F5721" i="8"/>
  <c r="F5722" i="8"/>
  <c r="F5723" i="8"/>
  <c r="F5724" i="8"/>
  <c r="F5725" i="8"/>
  <c r="F5726" i="8"/>
  <c r="F5727" i="8"/>
  <c r="F5728" i="8"/>
  <c r="F5729" i="8"/>
  <c r="F5730" i="8"/>
  <c r="F5731" i="8"/>
  <c r="F5732" i="8"/>
  <c r="F5733" i="8"/>
  <c r="F5734" i="8"/>
  <c r="F5735" i="8"/>
  <c r="F5736" i="8"/>
  <c r="F5737" i="8"/>
  <c r="F5738" i="8"/>
  <c r="F5739" i="8"/>
  <c r="F5740" i="8"/>
  <c r="F5741" i="8"/>
  <c r="F5742" i="8"/>
  <c r="F5743" i="8"/>
  <c r="F5744" i="8"/>
  <c r="F5745" i="8"/>
  <c r="F5746" i="8"/>
  <c r="F5747" i="8"/>
  <c r="F5748" i="8"/>
  <c r="F5749" i="8"/>
  <c r="F5750" i="8"/>
  <c r="F5751" i="8"/>
  <c r="F5752" i="8"/>
  <c r="F5753" i="8"/>
  <c r="F5754" i="8"/>
  <c r="F5755" i="8"/>
  <c r="F5756" i="8"/>
  <c r="F5757" i="8"/>
  <c r="F5758" i="8"/>
  <c r="F5759" i="8"/>
  <c r="F5760" i="8"/>
  <c r="F5761" i="8"/>
  <c r="F5762" i="8"/>
  <c r="F5763" i="8"/>
  <c r="F5764" i="8"/>
  <c r="F5765" i="8"/>
  <c r="F5766" i="8"/>
  <c r="F5767" i="8"/>
  <c r="F5768" i="8"/>
  <c r="F5769" i="8"/>
  <c r="F5770" i="8"/>
  <c r="F5771" i="8"/>
  <c r="F5772" i="8"/>
  <c r="F5773" i="8"/>
  <c r="F5774" i="8"/>
  <c r="F5775" i="8"/>
  <c r="F5776" i="8"/>
  <c r="F5777" i="8"/>
  <c r="F5778" i="8"/>
  <c r="F5779" i="8"/>
  <c r="F5780" i="8"/>
  <c r="F5781" i="8"/>
  <c r="F5782" i="8"/>
  <c r="F5783" i="8"/>
  <c r="F5784" i="8"/>
  <c r="F5785" i="8"/>
  <c r="F5786" i="8"/>
  <c r="F5787" i="8"/>
  <c r="F5788" i="8"/>
  <c r="F5789" i="8"/>
  <c r="F5790" i="8"/>
  <c r="F5791" i="8"/>
  <c r="F5792" i="8"/>
  <c r="F5793" i="8"/>
  <c r="F5794" i="8"/>
  <c r="F5795" i="8"/>
  <c r="F5796" i="8"/>
  <c r="F5797" i="8"/>
  <c r="F5798" i="8"/>
  <c r="F5799" i="8"/>
  <c r="F5800" i="8"/>
  <c r="F5801" i="8"/>
  <c r="F5802" i="8"/>
  <c r="F5803" i="8"/>
  <c r="F5804" i="8"/>
  <c r="F5805" i="8"/>
  <c r="F5806" i="8"/>
  <c r="F5807" i="8"/>
  <c r="F5808" i="8"/>
  <c r="F5809" i="8"/>
  <c r="F5810" i="8"/>
  <c r="F5811" i="8"/>
  <c r="F5812" i="8"/>
  <c r="F5813" i="8"/>
  <c r="F5814" i="8"/>
  <c r="F5815" i="8"/>
  <c r="F5816" i="8"/>
  <c r="F5817" i="8"/>
  <c r="F5818" i="8"/>
  <c r="F5819" i="8"/>
  <c r="F5820" i="8"/>
  <c r="F5821" i="8"/>
  <c r="F5822" i="8"/>
  <c r="F5823" i="8"/>
  <c r="F5824" i="8"/>
  <c r="F5825" i="8"/>
  <c r="F5826" i="8"/>
  <c r="F5827" i="8"/>
  <c r="F5828" i="8"/>
  <c r="F5829" i="8"/>
  <c r="F5830" i="8"/>
  <c r="F5831" i="8"/>
  <c r="F5832" i="8"/>
  <c r="F5833" i="8"/>
  <c r="F5834" i="8"/>
  <c r="F5835" i="8"/>
  <c r="F5836" i="8"/>
  <c r="F5837" i="8"/>
  <c r="F5838" i="8"/>
  <c r="F5839" i="8"/>
  <c r="F5840" i="8"/>
  <c r="F5841" i="8"/>
  <c r="F5842" i="8"/>
  <c r="F5843" i="8"/>
  <c r="F5844" i="8"/>
  <c r="F5845" i="8"/>
  <c r="F5846" i="8"/>
  <c r="F5847" i="8"/>
  <c r="F5848" i="8"/>
  <c r="F5849" i="8"/>
  <c r="F5850" i="8"/>
  <c r="F5851" i="8"/>
  <c r="F5852" i="8"/>
  <c r="F5853" i="8"/>
  <c r="F5854" i="8"/>
  <c r="F5855" i="8"/>
  <c r="F5856" i="8"/>
  <c r="F5857" i="8"/>
  <c r="F5858" i="8"/>
  <c r="F5859" i="8"/>
  <c r="F5860" i="8"/>
  <c r="F5861" i="8"/>
  <c r="F5862" i="8"/>
  <c r="F5863" i="8"/>
  <c r="F5864" i="8"/>
  <c r="F5865" i="8"/>
  <c r="F5866" i="8"/>
  <c r="F5867" i="8"/>
  <c r="F5868" i="8"/>
  <c r="F5869" i="8"/>
  <c r="F5870" i="8"/>
  <c r="F5871" i="8"/>
  <c r="F5872" i="8"/>
  <c r="F5873" i="8"/>
  <c r="F5874" i="8"/>
  <c r="F5875" i="8"/>
  <c r="F5876" i="8"/>
  <c r="F5877" i="8"/>
  <c r="F5878" i="8"/>
  <c r="F5879" i="8"/>
  <c r="F5880" i="8"/>
  <c r="F5881" i="8"/>
  <c r="F5882" i="8"/>
  <c r="F5883" i="8"/>
  <c r="F5884" i="8"/>
  <c r="F5885" i="8"/>
  <c r="F5886" i="8"/>
  <c r="F5887" i="8"/>
  <c r="F5888" i="8"/>
  <c r="F5889" i="8"/>
  <c r="F5890" i="8"/>
  <c r="F5891" i="8"/>
  <c r="F5892" i="8"/>
  <c r="F5893" i="8"/>
  <c r="F5894" i="8"/>
  <c r="F5895" i="8"/>
  <c r="F5896" i="8"/>
  <c r="F5897" i="8"/>
  <c r="F5898" i="8"/>
  <c r="F5899" i="8"/>
  <c r="F5900" i="8"/>
  <c r="F5901" i="8"/>
  <c r="F5902" i="8"/>
  <c r="F5903" i="8"/>
  <c r="F5904" i="8"/>
  <c r="F5905" i="8"/>
  <c r="F5906" i="8"/>
  <c r="F5907" i="8"/>
  <c r="F5908" i="8"/>
  <c r="F5909" i="8"/>
  <c r="F5910" i="8"/>
  <c r="F5911" i="8"/>
  <c r="F5912" i="8"/>
  <c r="F5913" i="8"/>
  <c r="F5914" i="8"/>
  <c r="F5915" i="8"/>
  <c r="F5916" i="8"/>
  <c r="F5917" i="8"/>
  <c r="F5918" i="8"/>
  <c r="F5919" i="8"/>
  <c r="F5920" i="8"/>
  <c r="F5921" i="8"/>
  <c r="F5922" i="8"/>
  <c r="F5923" i="8"/>
  <c r="F5924" i="8"/>
  <c r="F5925" i="8"/>
  <c r="F5926" i="8"/>
  <c r="F5927" i="8"/>
  <c r="F5928" i="8"/>
  <c r="F5929" i="8"/>
  <c r="F5930" i="8"/>
  <c r="F5931" i="8"/>
  <c r="F5932" i="8"/>
  <c r="F5933" i="8"/>
  <c r="F5934" i="8"/>
  <c r="F5935" i="8"/>
  <c r="F5936" i="8"/>
  <c r="F5937" i="8"/>
  <c r="F5938" i="8"/>
  <c r="F5939" i="8"/>
  <c r="F5940" i="8"/>
  <c r="F5941" i="8"/>
  <c r="F5942" i="8"/>
  <c r="F5943" i="8"/>
  <c r="F5944" i="8"/>
  <c r="F5945" i="8"/>
  <c r="F5946" i="8"/>
  <c r="F5947" i="8"/>
  <c r="F5948" i="8"/>
  <c r="F5949" i="8"/>
  <c r="F5950" i="8"/>
  <c r="F5951" i="8"/>
  <c r="F5952" i="8"/>
  <c r="F5953" i="8"/>
  <c r="F5954" i="8"/>
  <c r="F5955" i="8"/>
  <c r="F5956" i="8"/>
  <c r="F5957" i="8"/>
  <c r="F5958" i="8"/>
  <c r="F5959" i="8"/>
  <c r="F5960" i="8"/>
  <c r="F5961" i="8"/>
  <c r="F5962" i="8"/>
  <c r="F5963" i="8"/>
  <c r="F5964" i="8"/>
  <c r="F5965" i="8"/>
  <c r="F5966" i="8"/>
  <c r="F5967" i="8"/>
  <c r="F5968" i="8"/>
  <c r="F5969" i="8"/>
  <c r="F5970" i="8"/>
  <c r="F5971" i="8"/>
  <c r="F5972" i="8"/>
  <c r="F5973" i="8"/>
  <c r="F5974" i="8"/>
  <c r="F5975" i="8"/>
  <c r="F5976" i="8"/>
  <c r="F5977" i="8"/>
  <c r="F5978" i="8"/>
  <c r="F5979" i="8"/>
  <c r="F5980" i="8"/>
  <c r="F5981" i="8"/>
  <c r="F5982" i="8"/>
  <c r="F5983" i="8"/>
  <c r="F5984" i="8"/>
  <c r="F5985" i="8"/>
  <c r="F5986" i="8"/>
  <c r="F5987" i="8"/>
  <c r="F5988" i="8"/>
  <c r="F5989" i="8"/>
  <c r="F5990" i="8"/>
  <c r="F5991" i="8"/>
  <c r="F5992" i="8"/>
  <c r="F5993" i="8"/>
  <c r="F5994" i="8"/>
  <c r="F5995" i="8"/>
  <c r="F5996" i="8"/>
  <c r="F5997" i="8"/>
  <c r="F5998" i="8"/>
  <c r="F5999" i="8"/>
  <c r="F6000" i="8"/>
  <c r="F6001" i="8"/>
  <c r="F6002" i="8"/>
  <c r="F6003" i="8"/>
  <c r="F6004" i="8"/>
  <c r="F6005" i="8"/>
  <c r="F6006" i="8"/>
  <c r="F6007" i="8"/>
  <c r="F6008" i="8"/>
  <c r="F6009" i="8"/>
  <c r="F6010" i="8"/>
  <c r="F6011" i="8"/>
  <c r="F6012" i="8"/>
  <c r="F6013" i="8"/>
  <c r="F6014" i="8"/>
  <c r="F6015" i="8"/>
  <c r="F6016" i="8"/>
  <c r="F6017" i="8"/>
  <c r="F6018" i="8"/>
  <c r="F6019" i="8"/>
  <c r="F6020" i="8"/>
  <c r="F6021" i="8"/>
  <c r="F6022" i="8"/>
  <c r="F6023" i="8"/>
  <c r="F6024" i="8"/>
  <c r="F6025" i="8"/>
  <c r="F6026" i="8"/>
  <c r="F6027" i="8"/>
  <c r="F6028" i="8"/>
  <c r="F6029" i="8"/>
  <c r="F6030" i="8"/>
  <c r="F6031" i="8"/>
  <c r="F6032" i="8"/>
  <c r="F6033" i="8"/>
  <c r="F6034" i="8"/>
  <c r="F6035" i="8"/>
  <c r="F6036" i="8"/>
  <c r="F6037" i="8"/>
  <c r="F6038" i="8"/>
  <c r="F6039" i="8"/>
  <c r="F6040" i="8"/>
  <c r="F6041" i="8"/>
  <c r="F6042" i="8"/>
  <c r="F6043" i="8"/>
  <c r="F6044" i="8"/>
  <c r="F6045" i="8"/>
  <c r="F6046" i="8"/>
  <c r="F6047" i="8"/>
  <c r="F6048" i="8"/>
  <c r="F6049" i="8"/>
  <c r="F6050" i="8"/>
  <c r="F6051" i="8"/>
  <c r="F6052" i="8"/>
  <c r="F6053" i="8"/>
  <c r="F6054" i="8"/>
  <c r="F6055" i="8"/>
  <c r="F6056" i="8"/>
  <c r="F6057" i="8"/>
  <c r="F6058" i="8"/>
  <c r="F6059" i="8"/>
  <c r="F6060" i="8"/>
  <c r="F6061" i="8"/>
  <c r="F6062" i="8"/>
  <c r="F6063" i="8"/>
  <c r="F6064" i="8"/>
  <c r="F6065" i="8"/>
  <c r="F6066" i="8"/>
  <c r="F6067" i="8"/>
  <c r="F6068" i="8"/>
  <c r="F6069" i="8"/>
  <c r="F6070" i="8"/>
  <c r="F6071" i="8"/>
  <c r="F6072" i="8"/>
  <c r="F6073" i="8"/>
  <c r="F6074" i="8"/>
  <c r="F6075" i="8"/>
  <c r="F6076" i="8"/>
  <c r="F6077" i="8"/>
  <c r="F6078" i="8"/>
  <c r="F6079" i="8"/>
  <c r="F6080" i="8"/>
  <c r="F6081" i="8"/>
  <c r="F6082" i="8"/>
  <c r="F6083" i="8"/>
  <c r="F6084" i="8"/>
  <c r="F6085" i="8"/>
  <c r="F6086" i="8"/>
  <c r="F6087" i="8"/>
  <c r="F6088" i="8"/>
  <c r="F6089" i="8"/>
  <c r="F6090" i="8"/>
  <c r="F6091" i="8"/>
  <c r="F6092" i="8"/>
  <c r="F6093" i="8"/>
  <c r="F6094" i="8"/>
  <c r="F6095" i="8"/>
  <c r="F6096" i="8"/>
  <c r="F6097" i="8"/>
  <c r="F6098" i="8"/>
  <c r="F6099" i="8"/>
  <c r="F6100" i="8"/>
  <c r="F6101" i="8"/>
  <c r="F6102" i="8"/>
  <c r="F6103" i="8"/>
  <c r="F6104" i="8"/>
  <c r="F6105" i="8"/>
  <c r="F6106" i="8"/>
  <c r="F6107" i="8"/>
  <c r="F6108" i="8"/>
  <c r="F6109" i="8"/>
  <c r="F6110" i="8"/>
  <c r="F6111" i="8"/>
  <c r="F6112" i="8"/>
  <c r="F6113" i="8"/>
  <c r="F6114" i="8"/>
  <c r="F6115" i="8"/>
  <c r="F6116" i="8"/>
  <c r="F6117" i="8"/>
  <c r="F6118" i="8"/>
  <c r="F6119" i="8"/>
  <c r="F6120" i="8"/>
  <c r="F6121" i="8"/>
  <c r="F6122" i="8"/>
  <c r="F6123" i="8"/>
  <c r="F6124" i="8"/>
  <c r="F6125" i="8"/>
  <c r="F6126" i="8"/>
  <c r="F6127" i="8"/>
  <c r="F6128" i="8"/>
  <c r="F6129" i="8"/>
  <c r="F6130" i="8"/>
  <c r="F6131" i="8"/>
  <c r="F6132" i="8"/>
  <c r="F6133" i="8"/>
  <c r="F6134" i="8"/>
  <c r="F6135" i="8"/>
  <c r="F6136" i="8"/>
  <c r="F6137" i="8"/>
  <c r="F6138" i="8"/>
  <c r="F6139" i="8"/>
  <c r="F6140" i="8"/>
  <c r="F6141" i="8"/>
  <c r="F6142" i="8"/>
  <c r="F6143" i="8"/>
  <c r="F6144" i="8"/>
  <c r="F6145" i="8"/>
  <c r="F6146" i="8"/>
  <c r="F6147" i="8"/>
  <c r="F6148" i="8"/>
  <c r="F6149" i="8"/>
  <c r="F6150" i="8"/>
  <c r="F6151" i="8"/>
  <c r="F6152" i="8"/>
  <c r="F6153" i="8"/>
  <c r="F6154" i="8"/>
  <c r="F6155" i="8"/>
  <c r="F6156" i="8"/>
  <c r="F6157" i="8"/>
  <c r="F6158" i="8"/>
  <c r="F6159" i="8"/>
  <c r="F6160" i="8"/>
  <c r="F6161" i="8"/>
  <c r="F6162" i="8"/>
  <c r="F6163" i="8"/>
  <c r="F6164" i="8"/>
  <c r="F6165" i="8"/>
  <c r="F6166" i="8"/>
  <c r="F6167" i="8"/>
  <c r="F6168" i="8"/>
  <c r="F6169" i="8"/>
  <c r="F6170" i="8"/>
  <c r="F6171" i="8"/>
  <c r="F6172" i="8"/>
  <c r="F6173" i="8"/>
  <c r="F6174" i="8"/>
  <c r="F6175" i="8"/>
  <c r="F6176" i="8"/>
  <c r="F6177" i="8"/>
  <c r="F6178" i="8"/>
  <c r="F6179" i="8"/>
  <c r="F6180" i="8"/>
  <c r="F6181" i="8"/>
  <c r="F6182" i="8"/>
  <c r="F6183" i="8"/>
  <c r="F6184" i="8"/>
  <c r="F6185" i="8"/>
  <c r="F6186" i="8"/>
  <c r="F6187" i="8"/>
  <c r="F6188" i="8"/>
  <c r="F6189" i="8"/>
  <c r="F6190" i="8"/>
  <c r="F6191" i="8"/>
  <c r="F6192" i="8"/>
  <c r="F6193" i="8"/>
  <c r="F6194" i="8"/>
  <c r="F6195" i="8"/>
  <c r="F6196" i="8"/>
  <c r="F6197" i="8"/>
  <c r="F6198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E10" i="7"/>
  <c r="Z9" i="7"/>
  <c r="AM3" i="7"/>
  <c r="E10" i="6"/>
  <c r="F7" i="6"/>
  <c r="AM5" i="7" s="1"/>
  <c r="AN5" i="7" s="1"/>
  <c r="S7" i="7" l="1"/>
  <c r="X6" i="7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E12" i="7"/>
  <c r="Z11" i="7"/>
  <c r="AO6" i="7"/>
  <c r="E12" i="6"/>
  <c r="F9" i="6"/>
  <c r="S9" i="7" l="1"/>
  <c r="X8" i="7"/>
  <c r="AE13" i="7"/>
  <c r="Z12" i="7"/>
  <c r="AM7" i="7"/>
  <c r="E13" i="6"/>
  <c r="F10" i="6"/>
  <c r="AM8" i="7" s="1"/>
  <c r="S10" i="7" l="1"/>
  <c r="AA4" i="7" s="1"/>
  <c r="X9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E15" i="7"/>
  <c r="Z14" i="7"/>
  <c r="AO8" i="7"/>
  <c r="AN9" i="7"/>
  <c r="E15" i="6"/>
  <c r="F12" i="6"/>
  <c r="AM10" i="7" s="1"/>
  <c r="S12" i="7" l="1"/>
  <c r="X11" i="7"/>
  <c r="AO9" i="7"/>
  <c r="AE16" i="7"/>
  <c r="Z15" i="7"/>
  <c r="AN10" i="7"/>
  <c r="E16" i="6"/>
  <c r="F13" i="6"/>
  <c r="AM11" i="7" s="1"/>
  <c r="AO10" i="7" l="1"/>
  <c r="S13" i="7"/>
  <c r="X12" i="7"/>
  <c r="AE17" i="7"/>
  <c r="Z16" i="7"/>
  <c r="AN11" i="7"/>
  <c r="E17" i="6"/>
  <c r="F14" i="6"/>
  <c r="AM12" i="7" s="1"/>
  <c r="AO11" i="7" l="1"/>
  <c r="S14" i="7"/>
  <c r="X13" i="7"/>
  <c r="AE18" i="7"/>
  <c r="Z17" i="7"/>
  <c r="AN12" i="7"/>
  <c r="E18" i="6"/>
  <c r="F16" i="6" s="1"/>
  <c r="F15" i="6"/>
  <c r="AM13" i="7" s="1"/>
  <c r="AO12" i="7" l="1"/>
  <c r="S15" i="7"/>
  <c r="X14" i="7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X5" i="6" s="1"/>
  <c r="AE43" i="7"/>
  <c r="Z42" i="7"/>
  <c r="AU46" i="7" l="1"/>
  <c r="AU30" i="7"/>
  <c r="AU18" i="7"/>
  <c r="AU6" i="7"/>
  <c r="AU17" i="7"/>
  <c r="AU4" i="7"/>
  <c r="AU53" i="7"/>
  <c r="AU51" i="7"/>
  <c r="AU48" i="7"/>
  <c r="AU20" i="7"/>
  <c r="AU54" i="7"/>
  <c r="AU14" i="7"/>
  <c r="AU21" i="7"/>
  <c r="AU52" i="7"/>
  <c r="AU28" i="7"/>
  <c r="AU3" i="7"/>
  <c r="AV3" i="7" s="1"/>
  <c r="AU35" i="7"/>
  <c r="AU19" i="7"/>
  <c r="AU24" i="7"/>
  <c r="AU50" i="7"/>
  <c r="AU34" i="7"/>
  <c r="AU49" i="7"/>
  <c r="AU41" i="7"/>
  <c r="AU25" i="7"/>
  <c r="AU44" i="7"/>
  <c r="AU8" i="7"/>
  <c r="AU10" i="7"/>
  <c r="AU33" i="7"/>
  <c r="AU42" i="7"/>
  <c r="AU36" i="7"/>
  <c r="AU40" i="7"/>
  <c r="AU32" i="7"/>
  <c r="AU11" i="7"/>
  <c r="AU37" i="7"/>
  <c r="AU9" i="7"/>
  <c r="AU29" i="7"/>
  <c r="AU31" i="7"/>
  <c r="AU26" i="7"/>
  <c r="AU13" i="7"/>
  <c r="AU22" i="7"/>
  <c r="AU23" i="7"/>
  <c r="AU38" i="7"/>
  <c r="AU5" i="7"/>
  <c r="AU16" i="7"/>
  <c r="AU43" i="7"/>
  <c r="AU45" i="7"/>
  <c r="AU15" i="7"/>
  <c r="AU12" i="7"/>
  <c r="AU55" i="7"/>
  <c r="AU39" i="7"/>
  <c r="AU7" i="7"/>
  <c r="AU27" i="7"/>
  <c r="AU47" i="7"/>
  <c r="S40" i="7"/>
  <c r="X39" i="7"/>
  <c r="AE44" i="7"/>
  <c r="Z43" i="7"/>
  <c r="AV4" i="7" l="1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V23" i="7" s="1"/>
  <c r="AV24" i="7" s="1"/>
  <c r="AV25" i="7" s="1"/>
  <c r="AV26" i="7" s="1"/>
  <c r="AV27" i="7" s="1"/>
  <c r="AV28" i="7" s="1"/>
  <c r="AV29" i="7" s="1"/>
  <c r="AV30" i="7" s="1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S41" i="7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<sst xmlns="http://schemas.openxmlformats.org/spreadsheetml/2006/main" count="4626" uniqueCount="115">
  <si>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</si>
  <si>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</si>
  <si>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</si>
  <si>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</si>
  <si>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</si>
  <si>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</si>
  <si>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</si>
  <si>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</si>
  <si>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</si>
  <si>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</si>
  <si>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</si>
  <si>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</si>
  <si>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</si>
  <si>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</si>
  <si>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</si>
  <si>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</si>
  <si>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</si>
  <si>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</si>
  <si>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</si>
  <si>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</si>
  <si>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</si>
  <si>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</si>
  <si>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</si>
  <si>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</si>
  <si>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</si>
  <si>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</si>
  <si>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</si>
  <si>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</si>
  <si>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</si>
  <si>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</si>
  <si>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</si>
  <si>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</si>
  <si>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</si>
  <si>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</si>
  <si>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</si>
  <si>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</si>
  <si>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</si>
  <si>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</si>
  <si>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</si>
  <si>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</si>
  <si>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</si>
  <si>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</si>
  <si>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</si>
  <si>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</si>
  <si>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</si>
  <si>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</si>
  <si>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</si>
  <si>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</si>
  <si>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</si>
  <si>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</si>
  <si>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</si>
  <si>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</si>
  <si>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</si>
  <si>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</si>
  <si>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</si>
  <si>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</si>
  <si>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</si>
  <si>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</si>
  <si>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</si>
  <si>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</si>
  <si>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</si>
  <si>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</si>
  <si>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</si>
  <si>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</si>
  <si>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</si>
  <si>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</si>
  <si>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</si>
  <si>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</si>
  <si>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</si>
  <si>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</si>
  <si>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</si>
  <si>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</si>
  <si>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</si>
  <si>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</si>
  <si>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</si>
  <si>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</si>
  <si>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</si>
  <si>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</si>
  <si>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</si>
  <si>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</si>
  <si>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</si>
  <si>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Semana 5: de 28/jan/2035 a 03/fev/2035</t>
  </si>
  <si>
    <t>Data Petição</t>
  </si>
  <si>
    <t>Contagem de Data Desligamento</t>
  </si>
  <si>
    <t>Data Desligamento</t>
  </si>
  <si>
    <t>PIS/PASEP</t>
  </si>
  <si>
    <t>Filial ID</t>
  </si>
  <si>
    <t/>
  </si>
  <si>
    <t>Ano-Mês Desligamento</t>
  </si>
  <si>
    <t>Ano-Mês Petição</t>
  </si>
  <si>
    <t>2035-01</t>
  </si>
  <si>
    <t>Contagem de Ano-Mês Petição</t>
  </si>
  <si>
    <t>Entrada de Processos Trabalhistas</t>
  </si>
  <si>
    <t>Núm. Processos Trabalhistas Recebidos / Núm. Funcionários em Loja Desligados</t>
  </si>
  <si>
    <t>João Ribas (Gerente)</t>
  </si>
  <si>
    <t>Treinar o Davi (coordenador) em PDCA (Análises e Planos de Ação).</t>
  </si>
  <si>
    <t>Davi Andrade (Coordenador)</t>
  </si>
  <si>
    <t>Samara Nogueira (Analista)</t>
  </si>
  <si>
    <t>Kelly Silva (Advogada)</t>
  </si>
  <si>
    <t>Kleber Maragnone (Assistente)</t>
  </si>
  <si>
    <t>RS: Revisar as pesquisas de clima do primeiro semestre de 2033 e incorporar pontos críticos à redução de Entrada de Processos Trabalhistas aos treinamentos, políticas e padrões de processo que serão criados junto ao RH.</t>
  </si>
  <si>
    <t>RS: Revisar as pesquisas de clima do segundo semestre de 2033 e incorporar pontos críticos à redução de Entrada de Processos Trabalhistas aos treinamentos, políticas e padrões de processo que serão criados junto ao RH.</t>
  </si>
  <si>
    <t>RS: Revisar as pesquisas de clima do primeiro semestre de 2034 e incorporar pontos críticos à redução de Entrada de Processos Trabalhistas aos treinamentos, políticas e padrões de processo que serão criados junto ao RH.</t>
  </si>
  <si>
    <t>RS: Revisar as pesquisas de clima do segundo semestre de 2034 e incorporar pontos críticos à redução de Entrada de Processos Trabalhistas aos treinamentos, políticas e padrões de processo que serão criados junto ao RH.</t>
  </si>
  <si>
    <t>RS: Obter o desligamento imediato do Fabrício (gerente geral da regional 03) junto ao João (ger. jurídico) e ao Márcio (dir. operações), com base nos Ishikawas levantados pela equipe.</t>
  </si>
  <si>
    <t>RS: Repassar o treinamento, a Política Corporativa e o "mini manual" a todos os gerentes regionais, instruindo-os a como repassarem os conteúdos aos seus gerentes de loja.</t>
  </si>
  <si>
    <t>RS: Montar junto à Joyce (ger. RH) um treinamento específico sobre como conduzir reuniões de desligamento, para os gerentes de loja.</t>
  </si>
  <si>
    <t>RS: Encaminhar a versão final (dos e-mails de boas práticas comportamentais e reuniões de desligamento) para todos os gerentes de loja, contextualizando-os sobre o esforço de redução de Entrada de Processos Trabalhistas e solicitando confirmação de leitura.</t>
  </si>
  <si>
    <t>RS: Revisar junto à Raphaela e à Karina (analistas RH) a rotina de montagem de escalas e apontamento de liderança de turno para as lojas, especialmente para fins de semana e feriados.</t>
  </si>
  <si>
    <t>RS: Montar junto ao Márcio (Dir. Operações) um e-mail para explicar os desligamentos propostos, de forma a contextualizar todos os gerentes gerais e os gerentes de loja sobre a priorização da companhia por habilidades comportamentais como esforço para redução do Indicador de Entrada de Processos Trabalhistas.</t>
  </si>
  <si>
    <t>BC: Revisar junto à Joyce (ger. RH) o processo de contratação de gerentes de loja, para iluminar as etapas e o perfil desejado também sob a ótica do dpto. jurídico (visando a reduzir a entrada de processos trabalhistas).</t>
  </si>
  <si>
    <t>BC: Revisar junto à Joyce (ger. RH) o processo de avaliação e promoção de gerentes de loja, para iluminar as etapas e o perfil desejado também sob a ótica do dpto. jurídico (visando a reduzir a entrada de processos trabalhistas) e para incluir a pesquisa de clima nos critérios de avaliação e promoção dos gerentes de loja.</t>
  </si>
  <si>
    <t>RS: Alinhar as datas e prazos de treinamento nos novos Padrões criados (Padrões para montagem de escalas), para que os gerentes gerais treinem os gerentes de loja.</t>
  </si>
  <si>
    <t>RS: Fazer orçamento e junto à Machado para potencial consultoria de Método Gerencial voltado às soft skills para os gerentes gerais das regionais e replicação aos gerentes de loja.</t>
  </si>
  <si>
    <t>RS: Obter a substituição imediata dos gerentes das lojas 296, 125, 10, 182, 124, 285, 279, 337, 306 e 262 junto ao João (ger. jurídico) e ao Márcio (dir. operações), com base nos Ishikawas levantados.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</si>
</sst>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0" fontId="1" fillId="5" borderId="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0" xfId="2" applyNumberFormat="1" applyFont="1"/>
    <xf numFmtId="10" fontId="0" fillId="2" borderId="1" xfId="2" applyNumberFormat="1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0" fillId="2" borderId="1" xfId="0" applyFill="1" applyBorder="1"/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0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#,#0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0.22222222222222221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0.00%</c:formatCode>
                <c:ptCount val="12"/>
                <c:pt idx="0">
                  <c:v>0.21184929971664709</c:v>
                </c:pt>
                <c:pt idx="1">
                  <c:v>0.20994524337937476</c:v>
                </c:pt>
                <c:pt idx="2">
                  <c:v>0.20804118704210242</c:v>
                </c:pt>
                <c:pt idx="3">
                  <c:v>0.20613713070483011</c:v>
                </c:pt>
                <c:pt idx="4">
                  <c:v>0.20423307436755778</c:v>
                </c:pt>
                <c:pt idx="5">
                  <c:v>0.20232901803028544</c:v>
                </c:pt>
                <c:pt idx="6">
                  <c:v>0.20042496169301313</c:v>
                </c:pt>
                <c:pt idx="7">
                  <c:v>0.1985209053557408</c:v>
                </c:pt>
                <c:pt idx="8">
                  <c:v>0.19661684901846849</c:v>
                </c:pt>
                <c:pt idx="9">
                  <c:v>0.19471279268119615</c:v>
                </c:pt>
                <c:pt idx="10">
                  <c:v>0.19280873634392381</c:v>
                </c:pt>
                <c:pt idx="11">
                  <c:v>0.19153936545240893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-%20GR&#193;FICO%20CONTROLE%20DE%20RESULTADOS%202035-01%20(ENTRADA%20DE%20PROCESSOS%20TRABALHISTAS)%20-%20Copia%20(2).xlsm?14423949" TargetMode="External"/><Relationship Id="rId2" Type="http://schemas.openxmlformats.org/officeDocument/2006/relationships/externalLinkPath" Target="file:///\\14423949\ESTUDO%20DE%20CASO%2006%20-%20GR&#193;FICO%20CONTROLE%20DE%20RESULTADOS%202035-01%20(ENTRADA%20DE%20PROCESSOS%20TRABALHISTAS)%20-%20Copia%20(2)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4.601766087966" createdVersion="8" refreshedVersion="8" minRefreshableVersion="3" recordCount="6197" xr:uid="{C57287E7-29A7-4B5B-A22A-7BFE47757B7F}">
  <cacheSource type="worksheet">
    <worksheetSource name="Tabela1" r:id="rId2"/>
  </cacheSource>
  <cacheFields count="6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2-02T00:00:00"/>
    </cacheField>
    <cacheField name="Data Petição" numFmtId="15">
      <sharedItems containsDate="1" containsBlank="1" containsMixedTypes="1" minDate="2034-06-11T00:00:00" maxDate="2035-02-02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7">
  <r>
    <n v="19797464187"/>
    <n v="9"/>
    <d v="2034-06-01T00:00:00"/>
    <m/>
    <x v="0"/>
    <x v="0"/>
  </r>
  <r>
    <n v="54808625754"/>
    <n v="10"/>
    <d v="2034-06-01T00:00:00"/>
    <s v=""/>
    <x v="0"/>
    <x v="0"/>
  </r>
  <r>
    <n v="61978720710"/>
    <n v="37"/>
    <d v="2034-06-01T00:00:00"/>
    <m/>
    <x v="0"/>
    <x v="0"/>
  </r>
  <r>
    <n v="28403151297"/>
    <n v="43"/>
    <d v="2034-06-01T00:00:00"/>
    <m/>
    <x v="0"/>
    <x v="0"/>
  </r>
  <r>
    <n v="51475771178"/>
    <n v="49"/>
    <d v="2034-06-01T00:00:00"/>
    <s v=""/>
    <x v="0"/>
    <x v="0"/>
  </r>
  <r>
    <n v="58526540691"/>
    <n v="54"/>
    <d v="2034-06-01T00:00:00"/>
    <m/>
    <x v="0"/>
    <x v="0"/>
  </r>
  <r>
    <n v="75179825599"/>
    <n v="63"/>
    <d v="2034-06-01T00:00:00"/>
    <s v=""/>
    <x v="0"/>
    <x v="0"/>
  </r>
  <r>
    <n v="79575596607"/>
    <n v="66"/>
    <d v="2034-06-01T00:00:00"/>
    <s v=""/>
    <x v="0"/>
    <x v="0"/>
  </r>
  <r>
    <n v="94593467641"/>
    <n v="67"/>
    <d v="2034-06-01T00:00:00"/>
    <s v=""/>
    <x v="0"/>
    <x v="0"/>
  </r>
  <r>
    <n v="85706999212"/>
    <n v="92"/>
    <d v="2034-06-01T00:00:00"/>
    <s v=""/>
    <x v="0"/>
    <x v="0"/>
  </r>
  <r>
    <n v="68622980113"/>
    <n v="132"/>
    <d v="2034-06-01T00:00:00"/>
    <s v=""/>
    <x v="0"/>
    <x v="0"/>
  </r>
  <r>
    <n v="80253330439"/>
    <n v="139"/>
    <d v="2034-06-01T00:00:00"/>
    <s v=""/>
    <x v="0"/>
    <x v="0"/>
  </r>
  <r>
    <n v="55485643970"/>
    <n v="163"/>
    <d v="2034-06-01T00:00:00"/>
    <s v=""/>
    <x v="0"/>
    <x v="0"/>
  </r>
  <r>
    <n v="64500920291"/>
    <n v="174"/>
    <d v="2034-06-01T00:00:00"/>
    <d v="2034-06-16T00:00:00"/>
    <x v="0"/>
    <x v="1"/>
  </r>
  <r>
    <n v="72912456724"/>
    <n v="179"/>
    <d v="2034-06-01T00:00:00"/>
    <s v=""/>
    <x v="0"/>
    <x v="0"/>
  </r>
  <r>
    <n v="65667728917"/>
    <n v="192"/>
    <d v="2034-06-01T00:00:00"/>
    <s v=""/>
    <x v="0"/>
    <x v="0"/>
  </r>
  <r>
    <n v="29498829985"/>
    <n v="207"/>
    <d v="2034-06-01T00:00:00"/>
    <d v="2034-06-22T00:00:00"/>
    <x v="0"/>
    <x v="1"/>
  </r>
  <r>
    <n v="99947995195"/>
    <n v="220"/>
    <d v="2034-06-01T00:00:00"/>
    <s v=""/>
    <x v="0"/>
    <x v="0"/>
  </r>
  <r>
    <n v="75048331084"/>
    <n v="233"/>
    <d v="2034-06-01T00:00:00"/>
    <s v=""/>
    <x v="0"/>
    <x v="0"/>
  </r>
  <r>
    <n v="22030167053"/>
    <n v="244"/>
    <d v="2034-06-01T00:00:00"/>
    <s v=""/>
    <x v="0"/>
    <x v="0"/>
  </r>
  <r>
    <n v="97313214546"/>
    <n v="257"/>
    <d v="2034-06-01T00:00:00"/>
    <s v=""/>
    <x v="0"/>
    <x v="0"/>
  </r>
  <r>
    <n v="62808703889"/>
    <n v="269"/>
    <d v="2034-06-01T00:00:00"/>
    <d v="2034-06-13T00:00:00"/>
    <x v="0"/>
    <x v="1"/>
  </r>
  <r>
    <n v="16738043104"/>
    <n v="276"/>
    <d v="2034-06-01T00:00:00"/>
    <s v=""/>
    <x v="0"/>
    <x v="0"/>
  </r>
  <r>
    <n v="83595093631"/>
    <n v="313"/>
    <d v="2034-06-01T00:00:00"/>
    <s v=""/>
    <x v="0"/>
    <x v="0"/>
  </r>
  <r>
    <n v="78385067201"/>
    <n v="317"/>
    <d v="2034-06-01T00:00:00"/>
    <m/>
    <x v="0"/>
    <x v="0"/>
  </r>
  <r>
    <n v="44306405916"/>
    <n v="3"/>
    <d v="2034-06-02T00:00:00"/>
    <s v=""/>
    <x v="0"/>
    <x v="0"/>
  </r>
  <r>
    <n v="97553312828"/>
    <n v="20"/>
    <d v="2034-06-02T00:00:00"/>
    <s v=""/>
    <x v="0"/>
    <x v="0"/>
  </r>
  <r>
    <n v="63312272052"/>
    <n v="21"/>
    <d v="2034-06-02T00:00:00"/>
    <m/>
    <x v="0"/>
    <x v="0"/>
  </r>
  <r>
    <n v="84675285827"/>
    <n v="24"/>
    <d v="2034-06-02T00:00:00"/>
    <s v=""/>
    <x v="0"/>
    <x v="0"/>
  </r>
  <r>
    <n v="89067755842"/>
    <n v="38"/>
    <d v="2034-06-02T00:00:00"/>
    <s v=""/>
    <x v="0"/>
    <x v="0"/>
  </r>
  <r>
    <n v="97661729319"/>
    <n v="79"/>
    <d v="2034-06-02T00:00:00"/>
    <s v=""/>
    <x v="0"/>
    <x v="0"/>
  </r>
  <r>
    <n v="71078196504"/>
    <n v="80"/>
    <d v="2034-06-02T00:00:00"/>
    <d v="2034-07-12T00:00:00"/>
    <x v="0"/>
    <x v="2"/>
  </r>
  <r>
    <n v="68859493800"/>
    <n v="103"/>
    <d v="2034-06-02T00:00:00"/>
    <s v=""/>
    <x v="0"/>
    <x v="0"/>
  </r>
  <r>
    <n v="51310937610"/>
    <n v="113"/>
    <d v="2034-06-02T00:00:00"/>
    <m/>
    <x v="0"/>
    <x v="0"/>
  </r>
  <r>
    <n v="17985992575"/>
    <n v="149"/>
    <d v="2034-06-02T00:00:00"/>
    <d v="2034-07-22T00:00:00"/>
    <x v="0"/>
    <x v="2"/>
  </r>
  <r>
    <n v="92344335927"/>
    <n v="175"/>
    <d v="2034-06-02T00:00:00"/>
    <s v=""/>
    <x v="0"/>
    <x v="0"/>
  </r>
  <r>
    <n v="40151593663"/>
    <n v="180"/>
    <d v="2034-06-02T00:00:00"/>
    <s v=""/>
    <x v="0"/>
    <x v="0"/>
  </r>
  <r>
    <n v="38720666306"/>
    <n v="185"/>
    <d v="2034-06-02T00:00:00"/>
    <s v=""/>
    <x v="0"/>
    <x v="0"/>
  </r>
  <r>
    <n v="48231569074"/>
    <n v="196"/>
    <d v="2034-06-02T00:00:00"/>
    <m/>
    <x v="0"/>
    <x v="0"/>
  </r>
  <r>
    <n v="24684376290"/>
    <n v="204"/>
    <d v="2034-06-02T00:00:00"/>
    <d v="2034-09-29T00:00:00"/>
    <x v="0"/>
    <x v="3"/>
  </r>
  <r>
    <n v="25864935346"/>
    <n v="206"/>
    <d v="2034-06-02T00:00:00"/>
    <d v="2034-07-07T00:00:00"/>
    <x v="0"/>
    <x v="2"/>
  </r>
  <r>
    <n v="33817417258"/>
    <n v="212"/>
    <d v="2034-06-02T00:00:00"/>
    <s v=""/>
    <x v="0"/>
    <x v="0"/>
  </r>
  <r>
    <n v="52148869418"/>
    <n v="220"/>
    <d v="2034-06-02T00:00:00"/>
    <s v=""/>
    <x v="0"/>
    <x v="0"/>
  </r>
  <r>
    <n v="25693723998"/>
    <n v="226"/>
    <d v="2034-06-02T00:00:00"/>
    <s v=""/>
    <x v="0"/>
    <x v="0"/>
  </r>
  <r>
    <n v="68518364725"/>
    <n v="229"/>
    <d v="2034-06-02T00:00:00"/>
    <m/>
    <x v="0"/>
    <x v="0"/>
  </r>
  <r>
    <n v="41121975012"/>
    <n v="237"/>
    <d v="2034-06-02T00:00:00"/>
    <s v=""/>
    <x v="0"/>
    <x v="0"/>
  </r>
  <r>
    <n v="67666228453"/>
    <n v="256"/>
    <d v="2034-06-02T00:00:00"/>
    <s v=""/>
    <x v="0"/>
    <x v="0"/>
  </r>
  <r>
    <n v="53285055591"/>
    <n v="288"/>
    <d v="2034-06-02T00:00:00"/>
    <s v=""/>
    <x v="0"/>
    <x v="0"/>
  </r>
  <r>
    <n v="13563146093"/>
    <n v="300"/>
    <d v="2034-06-02T00:00:00"/>
    <s v=""/>
    <x v="0"/>
    <x v="0"/>
  </r>
  <r>
    <n v="54332366001"/>
    <n v="335"/>
    <d v="2034-06-02T00:00:00"/>
    <s v=""/>
    <x v="0"/>
    <x v="0"/>
  </r>
  <r>
    <n v="62461148056"/>
    <n v="336"/>
    <d v="2034-06-02T00:00:00"/>
    <s v=""/>
    <x v="0"/>
    <x v="0"/>
  </r>
  <r>
    <n v="14298161081"/>
    <n v="7"/>
    <d v="2034-06-03T00:00:00"/>
    <s v=""/>
    <x v="0"/>
    <x v="0"/>
  </r>
  <r>
    <n v="98317258880"/>
    <n v="25"/>
    <d v="2034-06-03T00:00:00"/>
    <s v=""/>
    <x v="0"/>
    <x v="0"/>
  </r>
  <r>
    <n v="34650918733"/>
    <n v="27"/>
    <d v="2034-06-03T00:00:00"/>
    <d v="2034-08-19T00:00:00"/>
    <x v="0"/>
    <x v="4"/>
  </r>
  <r>
    <n v="48937844432"/>
    <n v="31"/>
    <d v="2034-06-03T00:00:00"/>
    <s v=""/>
    <x v="0"/>
    <x v="0"/>
  </r>
  <r>
    <n v="84099720954"/>
    <n v="37"/>
    <d v="2034-06-03T00:00:00"/>
    <s v=""/>
    <x v="0"/>
    <x v="0"/>
  </r>
  <r>
    <n v="23523628914"/>
    <n v="70"/>
    <d v="2034-06-03T00:00:00"/>
    <s v=""/>
    <x v="0"/>
    <x v="0"/>
  </r>
  <r>
    <n v="93089735190"/>
    <n v="76"/>
    <d v="2034-06-03T00:00:00"/>
    <s v=""/>
    <x v="0"/>
    <x v="0"/>
  </r>
  <r>
    <n v="83496259240"/>
    <n v="84"/>
    <d v="2034-06-03T00:00:00"/>
    <d v="2034-08-01T00:00:00"/>
    <x v="0"/>
    <x v="4"/>
  </r>
  <r>
    <n v="81452980476"/>
    <n v="113"/>
    <d v="2034-06-03T00:00:00"/>
    <d v="2034-07-13T00:00:00"/>
    <x v="0"/>
    <x v="2"/>
  </r>
  <r>
    <n v="44433988919"/>
    <n v="132"/>
    <d v="2034-06-03T00:00:00"/>
    <s v=""/>
    <x v="0"/>
    <x v="0"/>
  </r>
  <r>
    <n v="14657560532"/>
    <n v="149"/>
    <d v="2034-06-03T00:00:00"/>
    <s v=""/>
    <x v="0"/>
    <x v="0"/>
  </r>
  <r>
    <n v="25782504693"/>
    <n v="149"/>
    <d v="2034-06-03T00:00:00"/>
    <s v=""/>
    <x v="0"/>
    <x v="0"/>
  </r>
  <r>
    <n v="45552920259"/>
    <n v="160"/>
    <d v="2034-06-03T00:00:00"/>
    <s v=""/>
    <x v="0"/>
    <x v="0"/>
  </r>
  <r>
    <n v="63073437128"/>
    <n v="163"/>
    <d v="2034-06-03T00:00:00"/>
    <m/>
    <x v="0"/>
    <x v="0"/>
  </r>
  <r>
    <n v="98371504645"/>
    <n v="173"/>
    <d v="2034-06-03T00:00:00"/>
    <s v=""/>
    <x v="0"/>
    <x v="0"/>
  </r>
  <r>
    <n v="92833192216"/>
    <n v="178"/>
    <d v="2034-06-03T00:00:00"/>
    <s v=""/>
    <x v="0"/>
    <x v="0"/>
  </r>
  <r>
    <n v="83773601754"/>
    <n v="195"/>
    <d v="2034-06-03T00:00:00"/>
    <s v=""/>
    <x v="0"/>
    <x v="0"/>
  </r>
  <r>
    <n v="16532160760"/>
    <n v="197"/>
    <d v="2034-06-03T00:00:00"/>
    <s v=""/>
    <x v="0"/>
    <x v="0"/>
  </r>
  <r>
    <n v="91925411950"/>
    <n v="197"/>
    <d v="2034-06-03T00:00:00"/>
    <m/>
    <x v="0"/>
    <x v="0"/>
  </r>
  <r>
    <n v="61727785217"/>
    <n v="211"/>
    <d v="2034-06-03T00:00:00"/>
    <s v=""/>
    <x v="0"/>
    <x v="0"/>
  </r>
  <r>
    <n v="51877094484"/>
    <n v="237"/>
    <d v="2034-06-03T00:00:00"/>
    <d v="2034-06-27T00:00:00"/>
    <x v="0"/>
    <x v="1"/>
  </r>
  <r>
    <n v="23445980733"/>
    <n v="243"/>
    <d v="2034-06-03T00:00:00"/>
    <d v="2034-06-29T00:00:00"/>
    <x v="0"/>
    <x v="1"/>
  </r>
  <r>
    <n v="20736724237"/>
    <n v="262"/>
    <d v="2034-06-03T00:00:00"/>
    <m/>
    <x v="0"/>
    <x v="0"/>
  </r>
  <r>
    <n v="66401252331"/>
    <n v="271"/>
    <d v="2034-06-03T00:00:00"/>
    <s v=""/>
    <x v="0"/>
    <x v="0"/>
  </r>
  <r>
    <n v="67929085408"/>
    <n v="286"/>
    <d v="2034-06-03T00:00:00"/>
    <d v="2034-07-04T00:00:00"/>
    <x v="0"/>
    <x v="2"/>
  </r>
  <r>
    <n v="61167481842"/>
    <n v="292"/>
    <d v="2034-06-03T00:00:00"/>
    <s v=""/>
    <x v="0"/>
    <x v="0"/>
  </r>
  <r>
    <n v="94171582845"/>
    <n v="304"/>
    <d v="2034-06-03T00:00:00"/>
    <s v=""/>
    <x v="0"/>
    <x v="0"/>
  </r>
  <r>
    <n v="62817224430"/>
    <n v="327"/>
    <d v="2034-06-03T00:00:00"/>
    <d v="2034-07-12T00:00:00"/>
    <x v="0"/>
    <x v="2"/>
  </r>
  <r>
    <n v="76777025578"/>
    <n v="17"/>
    <d v="2034-06-04T00:00:00"/>
    <s v=""/>
    <x v="0"/>
    <x v="0"/>
  </r>
  <r>
    <n v="87829283804"/>
    <n v="29"/>
    <d v="2034-06-04T00:00:00"/>
    <d v="2034-06-11T00:00:00"/>
    <x v="0"/>
    <x v="1"/>
  </r>
  <r>
    <n v="36811208391"/>
    <n v="35"/>
    <d v="2034-06-04T00:00:00"/>
    <s v=""/>
    <x v="0"/>
    <x v="0"/>
  </r>
  <r>
    <n v="11440065075"/>
    <n v="45"/>
    <d v="2034-06-04T00:00:00"/>
    <m/>
    <x v="0"/>
    <x v="0"/>
  </r>
  <r>
    <n v="11447295009"/>
    <n v="47"/>
    <d v="2034-06-04T00:00:00"/>
    <s v=""/>
    <x v="0"/>
    <x v="0"/>
  </r>
  <r>
    <n v="65695665079"/>
    <n v="53"/>
    <d v="2034-06-04T00:00:00"/>
    <s v=""/>
    <x v="0"/>
    <x v="0"/>
  </r>
  <r>
    <n v="17861885355"/>
    <n v="55"/>
    <d v="2034-06-04T00:00:00"/>
    <s v=""/>
    <x v="0"/>
    <x v="0"/>
  </r>
  <r>
    <n v="32710064720"/>
    <n v="56"/>
    <d v="2034-06-04T00:00:00"/>
    <s v=""/>
    <x v="0"/>
    <x v="0"/>
  </r>
  <r>
    <n v="18099518603"/>
    <n v="64"/>
    <d v="2034-06-04T00:00:00"/>
    <s v=""/>
    <x v="0"/>
    <x v="0"/>
  </r>
  <r>
    <n v="80467421792"/>
    <n v="73"/>
    <d v="2034-06-04T00:00:00"/>
    <d v="2034-10-01T00:00:00"/>
    <x v="0"/>
    <x v="5"/>
  </r>
  <r>
    <n v="91970535678"/>
    <n v="96"/>
    <d v="2034-06-04T00:00:00"/>
    <s v=""/>
    <x v="0"/>
    <x v="0"/>
  </r>
  <r>
    <n v="83470857628"/>
    <n v="105"/>
    <d v="2034-06-04T00:00:00"/>
    <m/>
    <x v="0"/>
    <x v="0"/>
  </r>
  <r>
    <n v="68344179710"/>
    <n v="148"/>
    <d v="2034-06-04T00:00:00"/>
    <s v=""/>
    <x v="0"/>
    <x v="0"/>
  </r>
  <r>
    <n v="84562390951"/>
    <n v="177"/>
    <d v="2034-06-04T00:00:00"/>
    <s v=""/>
    <x v="0"/>
    <x v="0"/>
  </r>
  <r>
    <n v="11139592028"/>
    <n v="189"/>
    <d v="2034-06-04T00:00:00"/>
    <s v=""/>
    <x v="0"/>
    <x v="0"/>
  </r>
  <r>
    <n v="30282900450"/>
    <n v="195"/>
    <d v="2034-06-04T00:00:00"/>
    <d v="2034-09-03T00:00:00"/>
    <x v="0"/>
    <x v="3"/>
  </r>
  <r>
    <n v="59335004798"/>
    <n v="206"/>
    <d v="2034-06-04T00:00:00"/>
    <s v=""/>
    <x v="0"/>
    <x v="0"/>
  </r>
  <r>
    <n v="61958741227"/>
    <n v="208"/>
    <d v="2034-06-04T00:00:00"/>
    <d v="2034-07-14T00:00:00"/>
    <x v="0"/>
    <x v="2"/>
  </r>
  <r>
    <n v="37278200645"/>
    <n v="220"/>
    <d v="2034-06-04T00:00:00"/>
    <s v=""/>
    <x v="0"/>
    <x v="0"/>
  </r>
  <r>
    <n v="11539782471"/>
    <n v="225"/>
    <d v="2034-06-04T00:00:00"/>
    <m/>
    <x v="0"/>
    <x v="0"/>
  </r>
  <r>
    <n v="17570785395"/>
    <n v="236"/>
    <d v="2034-06-04T00:00:00"/>
    <d v="2034-09-29T00:00:00"/>
    <x v="0"/>
    <x v="3"/>
  </r>
  <r>
    <n v="27500417384"/>
    <n v="236"/>
    <d v="2034-06-04T00:00:00"/>
    <s v=""/>
    <x v="0"/>
    <x v="0"/>
  </r>
  <r>
    <n v="30681810272"/>
    <n v="256"/>
    <d v="2034-06-04T00:00:00"/>
    <s v=""/>
    <x v="0"/>
    <x v="0"/>
  </r>
  <r>
    <n v="87748308974"/>
    <n v="259"/>
    <d v="2034-06-04T00:00:00"/>
    <s v=""/>
    <x v="0"/>
    <x v="0"/>
  </r>
  <r>
    <n v="37660936317"/>
    <n v="273"/>
    <d v="2034-06-04T00:00:00"/>
    <s v=""/>
    <x v="0"/>
    <x v="0"/>
  </r>
  <r>
    <n v="80913597524"/>
    <n v="283"/>
    <d v="2034-06-04T00:00:00"/>
    <m/>
    <x v="0"/>
    <x v="0"/>
  </r>
  <r>
    <n v="33493522229"/>
    <n v="285"/>
    <d v="2034-06-04T00:00:00"/>
    <m/>
    <x v="0"/>
    <x v="0"/>
  </r>
  <r>
    <n v="89588647459"/>
    <n v="312"/>
    <d v="2034-06-04T00:00:00"/>
    <s v=""/>
    <x v="0"/>
    <x v="0"/>
  </r>
  <r>
    <n v="47102724651"/>
    <n v="319"/>
    <d v="2034-06-04T00:00:00"/>
    <d v="2034-07-04T00:00:00"/>
    <x v="0"/>
    <x v="2"/>
  </r>
  <r>
    <n v="85494213717"/>
    <n v="328"/>
    <d v="2034-06-04T00:00:00"/>
    <s v=""/>
    <x v="0"/>
    <x v="0"/>
  </r>
  <r>
    <n v="42518879407"/>
    <n v="331"/>
    <d v="2034-06-04T00:00:00"/>
    <s v=""/>
    <x v="0"/>
    <x v="0"/>
  </r>
  <r>
    <n v="13658254445"/>
    <n v="336"/>
    <d v="2034-06-04T00:00:00"/>
    <m/>
    <x v="0"/>
    <x v="0"/>
  </r>
  <r>
    <n v="24098776063"/>
    <n v="337"/>
    <d v="2034-06-04T00:00:00"/>
    <d v="2034-09-26T00:00:00"/>
    <x v="0"/>
    <x v="3"/>
  </r>
  <r>
    <n v="45480594740"/>
    <n v="19"/>
    <d v="2034-06-05T00:00:00"/>
    <s v=""/>
    <x v="0"/>
    <x v="0"/>
  </r>
  <r>
    <n v="56389259269"/>
    <n v="44"/>
    <d v="2034-06-05T00:00:00"/>
    <s v=""/>
    <x v="0"/>
    <x v="0"/>
  </r>
  <r>
    <n v="54044939110"/>
    <n v="62"/>
    <d v="2034-06-05T00:00:00"/>
    <s v=""/>
    <x v="0"/>
    <x v="0"/>
  </r>
  <r>
    <n v="74413770691"/>
    <n v="66"/>
    <d v="2034-06-05T00:00:00"/>
    <d v="2034-08-31T00:00:00"/>
    <x v="0"/>
    <x v="4"/>
  </r>
  <r>
    <n v="52349663305"/>
    <n v="100"/>
    <d v="2034-06-05T00:00:00"/>
    <s v=""/>
    <x v="0"/>
    <x v="0"/>
  </r>
  <r>
    <n v="82737217828"/>
    <n v="119"/>
    <d v="2034-06-05T00:00:00"/>
    <d v="2034-07-17T00:00:00"/>
    <x v="0"/>
    <x v="2"/>
  </r>
  <r>
    <n v="81894593644"/>
    <n v="123"/>
    <d v="2034-06-05T00:00:00"/>
    <s v=""/>
    <x v="0"/>
    <x v="0"/>
  </r>
  <r>
    <n v="68663986578"/>
    <n v="131"/>
    <d v="2034-06-05T00:00:00"/>
    <s v=""/>
    <x v="0"/>
    <x v="0"/>
  </r>
  <r>
    <n v="96603048332"/>
    <n v="161"/>
    <d v="2034-06-05T00:00:00"/>
    <s v=""/>
    <x v="0"/>
    <x v="0"/>
  </r>
  <r>
    <n v="68442251362"/>
    <n v="175"/>
    <d v="2034-06-05T00:00:00"/>
    <s v=""/>
    <x v="0"/>
    <x v="0"/>
  </r>
  <r>
    <n v="31403660181"/>
    <n v="198"/>
    <d v="2034-06-05T00:00:00"/>
    <d v="2034-09-29T00:00:00"/>
    <x v="0"/>
    <x v="3"/>
  </r>
  <r>
    <n v="30408027907"/>
    <n v="244"/>
    <d v="2034-06-05T00:00:00"/>
    <d v="2034-08-26T00:00:00"/>
    <x v="0"/>
    <x v="4"/>
  </r>
  <r>
    <n v="40262893439"/>
    <n v="245"/>
    <d v="2034-06-05T00:00:00"/>
    <s v=""/>
    <x v="0"/>
    <x v="0"/>
  </r>
  <r>
    <n v="49000195592"/>
    <n v="255"/>
    <d v="2034-06-05T00:00:00"/>
    <s v=""/>
    <x v="0"/>
    <x v="0"/>
  </r>
  <r>
    <n v="52940949514"/>
    <n v="264"/>
    <d v="2034-06-05T00:00:00"/>
    <s v=""/>
    <x v="0"/>
    <x v="0"/>
  </r>
  <r>
    <n v="92198983293"/>
    <n v="267"/>
    <d v="2034-06-05T00:00:00"/>
    <s v=""/>
    <x v="0"/>
    <x v="0"/>
  </r>
  <r>
    <n v="54220913514"/>
    <n v="292"/>
    <d v="2034-06-05T00:00:00"/>
    <s v=""/>
    <x v="0"/>
    <x v="0"/>
  </r>
  <r>
    <n v="79159356875"/>
    <n v="303"/>
    <d v="2034-06-05T00:00:00"/>
    <s v=""/>
    <x v="0"/>
    <x v="0"/>
  </r>
  <r>
    <n v="89002165412"/>
    <n v="305"/>
    <d v="2034-06-05T00:00:00"/>
    <d v="2034-08-25T00:00:00"/>
    <x v="0"/>
    <x v="4"/>
  </r>
  <r>
    <n v="52193465909"/>
    <n v="316"/>
    <d v="2034-06-05T00:00:00"/>
    <d v="2034-07-12T00:00:00"/>
    <x v="0"/>
    <x v="2"/>
  </r>
  <r>
    <n v="29638421062"/>
    <n v="321"/>
    <d v="2034-06-05T00:00:00"/>
    <s v=""/>
    <x v="0"/>
    <x v="0"/>
  </r>
  <r>
    <n v="54415848313"/>
    <n v="321"/>
    <d v="2034-06-05T00:00:00"/>
    <m/>
    <x v="0"/>
    <x v="0"/>
  </r>
  <r>
    <n v="30452376622"/>
    <n v="0"/>
    <d v="2034-06-06T00:00:00"/>
    <s v=""/>
    <x v="0"/>
    <x v="0"/>
  </r>
  <r>
    <n v="49602868371"/>
    <n v="12"/>
    <d v="2034-06-06T00:00:00"/>
    <d v="2034-08-16T00:00:00"/>
    <x v="0"/>
    <x v="4"/>
  </r>
  <r>
    <n v="68981738704"/>
    <n v="32"/>
    <d v="2034-06-06T00:00:00"/>
    <s v=""/>
    <x v="0"/>
    <x v="0"/>
  </r>
  <r>
    <n v="28505290381"/>
    <n v="36"/>
    <d v="2034-06-06T00:00:00"/>
    <s v=""/>
    <x v="0"/>
    <x v="0"/>
  </r>
  <r>
    <n v="22595611907"/>
    <n v="53"/>
    <d v="2034-06-06T00:00:00"/>
    <d v="2034-07-06T00:00:00"/>
    <x v="0"/>
    <x v="2"/>
  </r>
  <r>
    <n v="33489958569"/>
    <n v="80"/>
    <d v="2034-06-06T00:00:00"/>
    <s v=""/>
    <x v="0"/>
    <x v="0"/>
  </r>
  <r>
    <n v="64424388113"/>
    <n v="80"/>
    <d v="2034-06-06T00:00:00"/>
    <s v=""/>
    <x v="0"/>
    <x v="0"/>
  </r>
  <r>
    <n v="25692838458"/>
    <n v="82"/>
    <d v="2034-06-06T00:00:00"/>
    <s v=""/>
    <x v="0"/>
    <x v="0"/>
  </r>
  <r>
    <n v="19130622628"/>
    <n v="91"/>
    <d v="2034-06-06T00:00:00"/>
    <d v="2034-06-21T00:00:00"/>
    <x v="0"/>
    <x v="1"/>
  </r>
  <r>
    <n v="73786944731"/>
    <n v="100"/>
    <d v="2034-06-06T00:00:00"/>
    <s v=""/>
    <x v="0"/>
    <x v="0"/>
  </r>
  <r>
    <n v="45608462359"/>
    <n v="104"/>
    <d v="2034-06-06T00:00:00"/>
    <m/>
    <x v="0"/>
    <x v="0"/>
  </r>
  <r>
    <n v="73872394443"/>
    <n v="108"/>
    <d v="2034-06-06T00:00:00"/>
    <d v="2034-09-22T00:00:00"/>
    <x v="0"/>
    <x v="3"/>
  </r>
  <r>
    <n v="48119834370"/>
    <n v="159"/>
    <d v="2034-06-06T00:00:00"/>
    <s v=""/>
    <x v="0"/>
    <x v="0"/>
  </r>
  <r>
    <n v="12083000103"/>
    <n v="162"/>
    <d v="2034-06-06T00:00:00"/>
    <s v=""/>
    <x v="0"/>
    <x v="0"/>
  </r>
  <r>
    <n v="57812898537"/>
    <n v="169"/>
    <d v="2034-06-06T00:00:00"/>
    <s v=""/>
    <x v="0"/>
    <x v="0"/>
  </r>
  <r>
    <n v="96574786861"/>
    <n v="184"/>
    <d v="2034-06-06T00:00:00"/>
    <s v=""/>
    <x v="0"/>
    <x v="0"/>
  </r>
  <r>
    <n v="90352683215"/>
    <n v="185"/>
    <d v="2034-06-06T00:00:00"/>
    <s v=""/>
    <x v="0"/>
    <x v="0"/>
  </r>
  <r>
    <n v="67390836972"/>
    <n v="185"/>
    <d v="2034-06-06T00:00:00"/>
    <m/>
    <x v="0"/>
    <x v="0"/>
  </r>
  <r>
    <n v="23856397500"/>
    <n v="190"/>
    <d v="2034-06-06T00:00:00"/>
    <s v=""/>
    <x v="0"/>
    <x v="0"/>
  </r>
  <r>
    <n v="98900253453"/>
    <n v="217"/>
    <d v="2034-06-06T00:00:00"/>
    <d v="2034-06-20T00:00:00"/>
    <x v="0"/>
    <x v="1"/>
  </r>
  <r>
    <n v="89518193257"/>
    <n v="263"/>
    <d v="2034-06-06T00:00:00"/>
    <d v="2034-08-14T00:00:00"/>
    <x v="0"/>
    <x v="4"/>
  </r>
  <r>
    <n v="75824928246"/>
    <n v="269"/>
    <d v="2034-06-06T00:00:00"/>
    <s v=""/>
    <x v="0"/>
    <x v="0"/>
  </r>
  <r>
    <n v="49977649326"/>
    <n v="287"/>
    <d v="2034-06-06T00:00:00"/>
    <s v=""/>
    <x v="0"/>
    <x v="0"/>
  </r>
  <r>
    <n v="21705381983"/>
    <n v="295"/>
    <d v="2034-06-06T00:00:00"/>
    <m/>
    <x v="0"/>
    <x v="0"/>
  </r>
  <r>
    <n v="68124840363"/>
    <n v="308"/>
    <d v="2034-06-06T00:00:00"/>
    <m/>
    <x v="0"/>
    <x v="0"/>
  </r>
  <r>
    <n v="95503056289"/>
    <n v="330"/>
    <d v="2034-06-06T00:00:00"/>
    <s v=""/>
    <x v="0"/>
    <x v="0"/>
  </r>
  <r>
    <n v="26355558319"/>
    <n v="340"/>
    <d v="2034-06-06T00:00:00"/>
    <d v="2034-09-03T00:00:00"/>
    <x v="0"/>
    <x v="3"/>
  </r>
  <r>
    <n v="49061723505"/>
    <n v="4"/>
    <d v="2034-06-07T00:00:00"/>
    <d v="2034-09-09T00:00:00"/>
    <x v="0"/>
    <x v="3"/>
  </r>
  <r>
    <n v="53546490102"/>
    <n v="11"/>
    <d v="2034-06-07T00:00:00"/>
    <s v=""/>
    <x v="0"/>
    <x v="0"/>
  </r>
  <r>
    <n v="87157023141"/>
    <n v="40"/>
    <d v="2034-06-07T00:00:00"/>
    <s v=""/>
    <x v="0"/>
    <x v="0"/>
  </r>
  <r>
    <n v="90969142315"/>
    <n v="41"/>
    <d v="2034-06-07T00:00:00"/>
    <s v=""/>
    <x v="0"/>
    <x v="0"/>
  </r>
  <r>
    <n v="56817868837"/>
    <n v="41"/>
    <d v="2034-06-07T00:00:00"/>
    <s v=""/>
    <x v="0"/>
    <x v="0"/>
  </r>
  <r>
    <n v="99410324373"/>
    <n v="66"/>
    <d v="2034-06-07T00:00:00"/>
    <d v="2034-06-11T00:00:00"/>
    <x v="0"/>
    <x v="1"/>
  </r>
  <r>
    <n v="35716934981"/>
    <n v="78"/>
    <d v="2034-06-07T00:00:00"/>
    <s v=""/>
    <x v="0"/>
    <x v="0"/>
  </r>
  <r>
    <n v="56804120393"/>
    <n v="104"/>
    <d v="2034-06-07T00:00:00"/>
    <s v=""/>
    <x v="0"/>
    <x v="0"/>
  </r>
  <r>
    <n v="50727772213"/>
    <n v="105"/>
    <d v="2034-06-07T00:00:00"/>
    <s v=""/>
    <x v="0"/>
    <x v="0"/>
  </r>
  <r>
    <n v="89874883804"/>
    <n v="109"/>
    <d v="2034-06-07T00:00:00"/>
    <s v=""/>
    <x v="0"/>
    <x v="0"/>
  </r>
  <r>
    <n v="30526619105"/>
    <n v="113"/>
    <d v="2034-06-07T00:00:00"/>
    <m/>
    <x v="0"/>
    <x v="0"/>
  </r>
  <r>
    <n v="39757848097"/>
    <n v="138"/>
    <d v="2034-06-07T00:00:00"/>
    <s v=""/>
    <x v="0"/>
    <x v="0"/>
  </r>
  <r>
    <n v="39714125450"/>
    <n v="141"/>
    <d v="2034-06-07T00:00:00"/>
    <s v=""/>
    <x v="0"/>
    <x v="0"/>
  </r>
  <r>
    <n v="40288599322"/>
    <n v="143"/>
    <d v="2034-06-07T00:00:00"/>
    <s v=""/>
    <x v="0"/>
    <x v="0"/>
  </r>
  <r>
    <n v="30780679395"/>
    <n v="164"/>
    <d v="2034-06-07T00:00:00"/>
    <s v=""/>
    <x v="0"/>
    <x v="0"/>
  </r>
  <r>
    <n v="51525174613"/>
    <n v="172"/>
    <d v="2034-06-07T00:00:00"/>
    <d v="2034-08-06T00:00:00"/>
    <x v="0"/>
    <x v="4"/>
  </r>
  <r>
    <n v="28168515100"/>
    <n v="180"/>
    <d v="2034-06-07T00:00:00"/>
    <s v=""/>
    <x v="0"/>
    <x v="0"/>
  </r>
  <r>
    <n v="97899299443"/>
    <n v="189"/>
    <d v="2034-06-07T00:00:00"/>
    <s v=""/>
    <x v="0"/>
    <x v="0"/>
  </r>
  <r>
    <n v="39149675165"/>
    <n v="236"/>
    <d v="2034-06-07T00:00:00"/>
    <s v=""/>
    <x v="0"/>
    <x v="0"/>
  </r>
  <r>
    <n v="12283340089"/>
    <n v="253"/>
    <d v="2034-06-07T00:00:00"/>
    <s v=""/>
    <x v="0"/>
    <x v="0"/>
  </r>
  <r>
    <n v="69004613131"/>
    <n v="257"/>
    <d v="2034-06-07T00:00:00"/>
    <d v="2034-08-24T00:00:00"/>
    <x v="0"/>
    <x v="4"/>
  </r>
  <r>
    <n v="65566296177"/>
    <n v="262"/>
    <d v="2034-06-07T00:00:00"/>
    <s v=""/>
    <x v="0"/>
    <x v="0"/>
  </r>
  <r>
    <n v="28733099641"/>
    <n v="269"/>
    <d v="2034-06-07T00:00:00"/>
    <s v=""/>
    <x v="0"/>
    <x v="0"/>
  </r>
  <r>
    <n v="51978844204"/>
    <n v="295"/>
    <d v="2034-06-07T00:00:00"/>
    <s v=""/>
    <x v="0"/>
    <x v="0"/>
  </r>
  <r>
    <n v="64103501680"/>
    <n v="317"/>
    <d v="2034-06-07T00:00:00"/>
    <d v="2034-07-28T00:00:00"/>
    <x v="0"/>
    <x v="2"/>
  </r>
  <r>
    <n v="60895409923"/>
    <n v="332"/>
    <d v="2034-06-07T00:00:00"/>
    <d v="2034-06-24T00:00:00"/>
    <x v="0"/>
    <x v="1"/>
  </r>
  <r>
    <n v="86036356620"/>
    <n v="335"/>
    <d v="2034-06-07T00:00:00"/>
    <m/>
    <x v="0"/>
    <x v="0"/>
  </r>
  <r>
    <n v="42326882307"/>
    <n v="4"/>
    <d v="2034-06-08T00:00:00"/>
    <d v="2034-09-15T00:00:00"/>
    <x v="0"/>
    <x v="3"/>
  </r>
  <r>
    <n v="52600355957"/>
    <n v="8"/>
    <d v="2034-06-08T00:00:00"/>
    <m/>
    <x v="0"/>
    <x v="0"/>
  </r>
  <r>
    <n v="44408803140"/>
    <n v="22"/>
    <d v="2034-06-08T00:00:00"/>
    <s v=""/>
    <x v="0"/>
    <x v="0"/>
  </r>
  <r>
    <n v="86997567522"/>
    <n v="23"/>
    <d v="2034-06-08T00:00:00"/>
    <s v=""/>
    <x v="0"/>
    <x v="0"/>
  </r>
  <r>
    <n v="48962964851"/>
    <n v="31"/>
    <d v="2034-06-08T00:00:00"/>
    <s v=""/>
    <x v="0"/>
    <x v="0"/>
  </r>
  <r>
    <n v="83760591201"/>
    <n v="35"/>
    <d v="2034-06-08T00:00:00"/>
    <m/>
    <x v="0"/>
    <x v="0"/>
  </r>
  <r>
    <n v="79918640037"/>
    <n v="58"/>
    <d v="2034-06-08T00:00:00"/>
    <d v="2034-07-03T00:00:00"/>
    <x v="0"/>
    <x v="2"/>
  </r>
  <r>
    <n v="12017329141"/>
    <n v="75"/>
    <d v="2034-06-08T00:00:00"/>
    <m/>
    <x v="0"/>
    <x v="0"/>
  </r>
  <r>
    <n v="29950026033"/>
    <n v="103"/>
    <d v="2034-06-08T00:00:00"/>
    <s v=""/>
    <x v="0"/>
    <x v="0"/>
  </r>
  <r>
    <n v="72611004481"/>
    <n v="113"/>
    <d v="2034-06-08T00:00:00"/>
    <s v=""/>
    <x v="0"/>
    <x v="0"/>
  </r>
  <r>
    <n v="88822766623"/>
    <n v="120"/>
    <d v="2034-06-08T00:00:00"/>
    <s v=""/>
    <x v="0"/>
    <x v="0"/>
  </r>
  <r>
    <n v="58982870897"/>
    <n v="135"/>
    <d v="2034-06-08T00:00:00"/>
    <d v="2034-10-02T00:00:00"/>
    <x v="0"/>
    <x v="5"/>
  </r>
  <r>
    <n v="72595637444"/>
    <n v="144"/>
    <d v="2034-06-08T00:00:00"/>
    <m/>
    <x v="0"/>
    <x v="0"/>
  </r>
  <r>
    <n v="74479231337"/>
    <n v="179"/>
    <d v="2034-06-08T00:00:00"/>
    <s v=""/>
    <x v="0"/>
    <x v="0"/>
  </r>
  <r>
    <n v="20291302859"/>
    <n v="182"/>
    <d v="2034-06-08T00:00:00"/>
    <s v=""/>
    <x v="0"/>
    <x v="0"/>
  </r>
  <r>
    <n v="66486145377"/>
    <n v="183"/>
    <d v="2034-06-08T00:00:00"/>
    <d v="2034-09-25T00:00:00"/>
    <x v="0"/>
    <x v="3"/>
  </r>
  <r>
    <n v="90500713123"/>
    <n v="203"/>
    <d v="2034-06-08T00:00:00"/>
    <s v=""/>
    <x v="0"/>
    <x v="0"/>
  </r>
  <r>
    <n v="70635010707"/>
    <n v="212"/>
    <d v="2034-06-08T00:00:00"/>
    <s v=""/>
    <x v="0"/>
    <x v="0"/>
  </r>
  <r>
    <n v="11397739114"/>
    <n v="224"/>
    <d v="2034-06-08T00:00:00"/>
    <d v="2034-10-03T00:00:00"/>
    <x v="0"/>
    <x v="5"/>
  </r>
  <r>
    <n v="52759008905"/>
    <n v="227"/>
    <d v="2034-06-08T00:00:00"/>
    <s v=""/>
    <x v="0"/>
    <x v="0"/>
  </r>
  <r>
    <n v="37827348854"/>
    <n v="282"/>
    <d v="2034-06-08T00:00:00"/>
    <d v="2034-08-10T00:00:00"/>
    <x v="0"/>
    <x v="4"/>
  </r>
  <r>
    <n v="97933346811"/>
    <n v="287"/>
    <d v="2034-06-08T00:00:00"/>
    <s v=""/>
    <x v="0"/>
    <x v="0"/>
  </r>
  <r>
    <n v="16339287787"/>
    <n v="291"/>
    <d v="2034-06-08T00:00:00"/>
    <s v=""/>
    <x v="0"/>
    <x v="0"/>
  </r>
  <r>
    <n v="21456037287"/>
    <n v="296"/>
    <d v="2034-06-08T00:00:00"/>
    <d v="2034-10-03T00:00:00"/>
    <x v="0"/>
    <x v="5"/>
  </r>
  <r>
    <n v="89396160996"/>
    <n v="303"/>
    <d v="2034-06-08T00:00:00"/>
    <s v=""/>
    <x v="0"/>
    <x v="0"/>
  </r>
  <r>
    <n v="47739418607"/>
    <n v="313"/>
    <d v="2034-06-08T00:00:00"/>
    <s v=""/>
    <x v="0"/>
    <x v="0"/>
  </r>
  <r>
    <n v="91831207751"/>
    <n v="340"/>
    <d v="2034-06-08T00:00:00"/>
    <m/>
    <x v="0"/>
    <x v="0"/>
  </r>
  <r>
    <n v="56724322673"/>
    <n v="88"/>
    <d v="2034-06-09T00:00:00"/>
    <m/>
    <x v="0"/>
    <x v="0"/>
  </r>
  <r>
    <n v="57102947971"/>
    <n v="99"/>
    <d v="2034-06-09T00:00:00"/>
    <s v=""/>
    <x v="0"/>
    <x v="0"/>
  </r>
  <r>
    <n v="64086056554"/>
    <n v="109"/>
    <d v="2034-06-09T00:00:00"/>
    <s v=""/>
    <x v="0"/>
    <x v="0"/>
  </r>
  <r>
    <n v="90783347673"/>
    <n v="117"/>
    <d v="2034-06-09T00:00:00"/>
    <m/>
    <x v="0"/>
    <x v="0"/>
  </r>
  <r>
    <n v="91398539092"/>
    <n v="129"/>
    <d v="2034-06-09T00:00:00"/>
    <s v=""/>
    <x v="0"/>
    <x v="0"/>
  </r>
  <r>
    <n v="51401320452"/>
    <n v="134"/>
    <d v="2034-06-09T00:00:00"/>
    <m/>
    <x v="0"/>
    <x v="0"/>
  </r>
  <r>
    <n v="51888848323"/>
    <n v="147"/>
    <d v="2034-06-09T00:00:00"/>
    <s v=""/>
    <x v="0"/>
    <x v="0"/>
  </r>
  <r>
    <n v="86375490438"/>
    <n v="168"/>
    <d v="2034-06-09T00:00:00"/>
    <m/>
    <x v="0"/>
    <x v="0"/>
  </r>
  <r>
    <n v="97298033943"/>
    <n v="185"/>
    <d v="2034-06-09T00:00:00"/>
    <s v=""/>
    <x v="0"/>
    <x v="0"/>
  </r>
  <r>
    <n v="32086957056"/>
    <n v="208"/>
    <d v="2034-06-09T00:00:00"/>
    <m/>
    <x v="0"/>
    <x v="0"/>
  </r>
  <r>
    <n v="98609012350"/>
    <n v="221"/>
    <d v="2034-06-09T00:00:00"/>
    <d v="2034-07-17T00:00:00"/>
    <x v="0"/>
    <x v="2"/>
  </r>
  <r>
    <n v="60571799869"/>
    <n v="265"/>
    <d v="2034-06-09T00:00:00"/>
    <s v=""/>
    <x v="0"/>
    <x v="0"/>
  </r>
  <r>
    <n v="97070945189"/>
    <n v="290"/>
    <d v="2034-06-09T00:00:00"/>
    <s v=""/>
    <x v="0"/>
    <x v="0"/>
  </r>
  <r>
    <n v="53740076255"/>
    <n v="295"/>
    <d v="2034-06-09T00:00:00"/>
    <s v=""/>
    <x v="0"/>
    <x v="0"/>
  </r>
  <r>
    <n v="81445821967"/>
    <n v="295"/>
    <d v="2034-06-09T00:00:00"/>
    <s v=""/>
    <x v="0"/>
    <x v="0"/>
  </r>
  <r>
    <n v="50334320844"/>
    <n v="309"/>
    <d v="2034-06-09T00:00:00"/>
    <d v="2034-09-03T00:00:00"/>
    <x v="0"/>
    <x v="3"/>
  </r>
  <r>
    <n v="92912775291"/>
    <n v="332"/>
    <d v="2034-06-09T00:00:00"/>
    <m/>
    <x v="0"/>
    <x v="0"/>
  </r>
  <r>
    <n v="42730388755"/>
    <n v="336"/>
    <d v="2034-06-09T00:00:00"/>
    <s v=""/>
    <x v="0"/>
    <x v="0"/>
  </r>
  <r>
    <n v="48439991630"/>
    <n v="22"/>
    <d v="2034-06-10T00:00:00"/>
    <s v=""/>
    <x v="0"/>
    <x v="0"/>
  </r>
  <r>
    <n v="62025203193"/>
    <n v="33"/>
    <d v="2034-06-10T00:00:00"/>
    <s v=""/>
    <x v="0"/>
    <x v="0"/>
  </r>
  <r>
    <n v="35771925753"/>
    <n v="35"/>
    <d v="2034-06-10T00:00:00"/>
    <s v=""/>
    <x v="0"/>
    <x v="0"/>
  </r>
  <r>
    <n v="33925931179"/>
    <n v="42"/>
    <d v="2034-06-10T00:00:00"/>
    <s v=""/>
    <x v="0"/>
    <x v="0"/>
  </r>
  <r>
    <n v="54432237912"/>
    <n v="75"/>
    <d v="2034-06-10T00:00:00"/>
    <m/>
    <x v="0"/>
    <x v="0"/>
  </r>
  <r>
    <n v="51946754709"/>
    <n v="90"/>
    <d v="2034-06-10T00:00:00"/>
    <d v="2034-07-13T00:00:00"/>
    <x v="0"/>
    <x v="2"/>
  </r>
  <r>
    <n v="97100992462"/>
    <n v="97"/>
    <d v="2034-06-10T00:00:00"/>
    <s v=""/>
    <x v="0"/>
    <x v="0"/>
  </r>
  <r>
    <n v="45927201699"/>
    <n v="129"/>
    <d v="2034-06-10T00:00:00"/>
    <d v="2034-07-05T00:00:00"/>
    <x v="0"/>
    <x v="2"/>
  </r>
  <r>
    <n v="40876987569"/>
    <n v="134"/>
    <d v="2034-06-10T00:00:00"/>
    <s v=""/>
    <x v="0"/>
    <x v="0"/>
  </r>
  <r>
    <n v="36629457271"/>
    <n v="160"/>
    <d v="2034-06-10T00:00:00"/>
    <s v=""/>
    <x v="0"/>
    <x v="0"/>
  </r>
  <r>
    <n v="74043418930"/>
    <n v="182"/>
    <d v="2034-06-10T00:00:00"/>
    <m/>
    <x v="0"/>
    <x v="0"/>
  </r>
  <r>
    <n v="82450210670"/>
    <n v="200"/>
    <d v="2034-06-10T00:00:00"/>
    <d v="2034-09-02T00:00:00"/>
    <x v="0"/>
    <x v="3"/>
  </r>
  <r>
    <n v="91044587618"/>
    <n v="224"/>
    <d v="2034-06-10T00:00:00"/>
    <s v=""/>
    <x v="0"/>
    <x v="0"/>
  </r>
  <r>
    <n v="72116914058"/>
    <n v="229"/>
    <d v="2034-06-10T00:00:00"/>
    <s v=""/>
    <x v="0"/>
    <x v="0"/>
  </r>
  <r>
    <n v="55048652983"/>
    <n v="237"/>
    <d v="2034-06-10T00:00:00"/>
    <d v="2034-07-04T00:00:00"/>
    <x v="0"/>
    <x v="2"/>
  </r>
  <r>
    <n v="95716476838"/>
    <n v="242"/>
    <d v="2034-06-10T00:00:00"/>
    <s v=""/>
    <x v="0"/>
    <x v="0"/>
  </r>
  <r>
    <n v="49947679400"/>
    <n v="243"/>
    <d v="2034-06-10T00:00:00"/>
    <s v=""/>
    <x v="0"/>
    <x v="0"/>
  </r>
  <r>
    <n v="47936913634"/>
    <n v="255"/>
    <d v="2034-06-10T00:00:00"/>
    <s v=""/>
    <x v="0"/>
    <x v="0"/>
  </r>
  <r>
    <n v="15795772622"/>
    <n v="262"/>
    <d v="2034-06-10T00:00:00"/>
    <s v=""/>
    <x v="0"/>
    <x v="0"/>
  </r>
  <r>
    <n v="47887251756"/>
    <n v="266"/>
    <d v="2034-06-10T00:00:00"/>
    <s v=""/>
    <x v="0"/>
    <x v="0"/>
  </r>
  <r>
    <n v="95408740402"/>
    <n v="285"/>
    <d v="2034-06-10T00:00:00"/>
    <s v=""/>
    <x v="0"/>
    <x v="0"/>
  </r>
  <r>
    <n v="73122446750"/>
    <n v="312"/>
    <d v="2034-06-10T00:00:00"/>
    <m/>
    <x v="0"/>
    <x v="0"/>
  </r>
  <r>
    <n v="16564247599"/>
    <n v="10"/>
    <d v="2034-06-11T00:00:00"/>
    <s v=""/>
    <x v="0"/>
    <x v="0"/>
  </r>
  <r>
    <n v="79294948101"/>
    <n v="26"/>
    <d v="2034-06-11T00:00:00"/>
    <s v=""/>
    <x v="0"/>
    <x v="0"/>
  </r>
  <r>
    <n v="57130124164"/>
    <n v="34"/>
    <d v="2034-06-11T00:00:00"/>
    <d v="2034-06-16T00:00:00"/>
    <x v="0"/>
    <x v="1"/>
  </r>
  <r>
    <n v="12507516163"/>
    <n v="39"/>
    <d v="2034-06-11T00:00:00"/>
    <s v=""/>
    <x v="0"/>
    <x v="0"/>
  </r>
  <r>
    <n v="62119762787"/>
    <n v="57"/>
    <d v="2034-06-11T00:00:00"/>
    <d v="2034-06-28T00:00:00"/>
    <x v="0"/>
    <x v="1"/>
  </r>
  <r>
    <n v="51929060073"/>
    <n v="81"/>
    <d v="2034-06-11T00:00:00"/>
    <s v=""/>
    <x v="0"/>
    <x v="0"/>
  </r>
  <r>
    <n v="62302915341"/>
    <n v="112"/>
    <d v="2034-06-11T00:00:00"/>
    <s v=""/>
    <x v="0"/>
    <x v="0"/>
  </r>
  <r>
    <n v="68532993017"/>
    <n v="139"/>
    <d v="2034-06-11T00:00:00"/>
    <s v=""/>
    <x v="0"/>
    <x v="0"/>
  </r>
  <r>
    <n v="31808204510"/>
    <n v="148"/>
    <d v="2034-06-11T00:00:00"/>
    <m/>
    <x v="0"/>
    <x v="0"/>
  </r>
  <r>
    <n v="20299178851"/>
    <n v="164"/>
    <d v="2034-06-11T00:00:00"/>
    <d v="2034-06-16T00:00:00"/>
    <x v="0"/>
    <x v="1"/>
  </r>
  <r>
    <n v="78475663404"/>
    <n v="165"/>
    <d v="2034-06-11T00:00:00"/>
    <s v=""/>
    <x v="0"/>
    <x v="0"/>
  </r>
  <r>
    <n v="71650831543"/>
    <n v="185"/>
    <d v="2034-06-11T00:00:00"/>
    <d v="2034-09-27T00:00:00"/>
    <x v="0"/>
    <x v="3"/>
  </r>
  <r>
    <n v="25522572738"/>
    <n v="187"/>
    <d v="2034-06-11T00:00:00"/>
    <s v=""/>
    <x v="0"/>
    <x v="0"/>
  </r>
  <r>
    <n v="64339211163"/>
    <n v="198"/>
    <d v="2034-06-11T00:00:00"/>
    <s v=""/>
    <x v="0"/>
    <x v="0"/>
  </r>
  <r>
    <n v="54384481287"/>
    <n v="228"/>
    <d v="2034-06-11T00:00:00"/>
    <m/>
    <x v="0"/>
    <x v="0"/>
  </r>
  <r>
    <n v="11875592074"/>
    <n v="230"/>
    <d v="2034-06-11T00:00:00"/>
    <s v=""/>
    <x v="0"/>
    <x v="0"/>
  </r>
  <r>
    <n v="18696150076"/>
    <n v="234"/>
    <d v="2034-06-11T00:00:00"/>
    <s v=""/>
    <x v="0"/>
    <x v="0"/>
  </r>
  <r>
    <n v="29987371915"/>
    <n v="238"/>
    <d v="2034-06-11T00:00:00"/>
    <s v=""/>
    <x v="0"/>
    <x v="0"/>
  </r>
  <r>
    <n v="60107041099"/>
    <n v="248"/>
    <d v="2034-06-11T00:00:00"/>
    <s v=""/>
    <x v="0"/>
    <x v="0"/>
  </r>
  <r>
    <n v="54901049151"/>
    <n v="255"/>
    <d v="2034-06-11T00:00:00"/>
    <s v=""/>
    <x v="0"/>
    <x v="0"/>
  </r>
  <r>
    <n v="87504251864"/>
    <n v="255"/>
    <d v="2034-06-11T00:00:00"/>
    <s v=""/>
    <x v="0"/>
    <x v="0"/>
  </r>
  <r>
    <n v="52744432224"/>
    <n v="258"/>
    <d v="2034-06-11T00:00:00"/>
    <d v="2034-08-18T00:00:00"/>
    <x v="0"/>
    <x v="4"/>
  </r>
  <r>
    <n v="23827158582"/>
    <n v="264"/>
    <d v="2034-06-11T00:00:00"/>
    <s v=""/>
    <x v="0"/>
    <x v="0"/>
  </r>
  <r>
    <n v="42986304076"/>
    <n v="264"/>
    <d v="2034-06-11T00:00:00"/>
    <s v=""/>
    <x v="0"/>
    <x v="0"/>
  </r>
  <r>
    <n v="50706529576"/>
    <n v="266"/>
    <d v="2034-06-11T00:00:00"/>
    <d v="2034-08-26T00:00:00"/>
    <x v="0"/>
    <x v="4"/>
  </r>
  <r>
    <n v="63651035533"/>
    <n v="273"/>
    <d v="2034-06-11T00:00:00"/>
    <m/>
    <x v="0"/>
    <x v="0"/>
  </r>
  <r>
    <n v="21441655286"/>
    <n v="274"/>
    <d v="2034-06-11T00:00:00"/>
    <m/>
    <x v="0"/>
    <x v="0"/>
  </r>
  <r>
    <n v="64793623057"/>
    <n v="284"/>
    <d v="2034-06-11T00:00:00"/>
    <s v=""/>
    <x v="0"/>
    <x v="0"/>
  </r>
  <r>
    <n v="20444974273"/>
    <n v="287"/>
    <d v="2034-06-11T00:00:00"/>
    <s v=""/>
    <x v="0"/>
    <x v="0"/>
  </r>
  <r>
    <n v="22396256593"/>
    <n v="294"/>
    <d v="2034-06-11T00:00:00"/>
    <s v=""/>
    <x v="0"/>
    <x v="0"/>
  </r>
  <r>
    <n v="72670921426"/>
    <n v="309"/>
    <d v="2034-06-11T00:00:00"/>
    <s v=""/>
    <x v="0"/>
    <x v="0"/>
  </r>
  <r>
    <n v="23130222873"/>
    <n v="313"/>
    <d v="2034-06-11T00:00:00"/>
    <d v="2034-09-17T00:00:00"/>
    <x v="0"/>
    <x v="3"/>
  </r>
  <r>
    <n v="89753082790"/>
    <n v="324"/>
    <d v="2034-06-11T00:00:00"/>
    <s v=""/>
    <x v="0"/>
    <x v="0"/>
  </r>
  <r>
    <n v="13779621960"/>
    <n v="327"/>
    <d v="2034-06-11T00:00:00"/>
    <s v=""/>
    <x v="0"/>
    <x v="0"/>
  </r>
  <r>
    <n v="74929221210"/>
    <n v="331"/>
    <d v="2034-06-11T00:00:00"/>
    <s v=""/>
    <x v="0"/>
    <x v="0"/>
  </r>
  <r>
    <n v="71379982756"/>
    <n v="333"/>
    <d v="2034-06-11T00:00:00"/>
    <s v=""/>
    <x v="0"/>
    <x v="0"/>
  </r>
  <r>
    <n v="54012934457"/>
    <n v="334"/>
    <d v="2034-06-11T00:00:00"/>
    <m/>
    <x v="0"/>
    <x v="0"/>
  </r>
  <r>
    <n v="71248709513"/>
    <n v="9"/>
    <d v="2034-06-12T00:00:00"/>
    <d v="2034-08-21T00:00:00"/>
    <x v="0"/>
    <x v="4"/>
  </r>
  <r>
    <n v="80053456136"/>
    <n v="19"/>
    <d v="2034-06-12T00:00:00"/>
    <d v="2034-07-22T00:00:00"/>
    <x v="0"/>
    <x v="2"/>
  </r>
  <r>
    <n v="23528450909"/>
    <n v="25"/>
    <d v="2034-06-12T00:00:00"/>
    <d v="2034-09-06T00:00:00"/>
    <x v="0"/>
    <x v="3"/>
  </r>
  <r>
    <n v="86370204609"/>
    <n v="37"/>
    <d v="2034-06-12T00:00:00"/>
    <s v=""/>
    <x v="0"/>
    <x v="0"/>
  </r>
  <r>
    <n v="68809070776"/>
    <n v="41"/>
    <d v="2034-06-12T00:00:00"/>
    <s v=""/>
    <x v="0"/>
    <x v="0"/>
  </r>
  <r>
    <n v="14724004635"/>
    <n v="51"/>
    <d v="2034-06-12T00:00:00"/>
    <s v=""/>
    <x v="0"/>
    <x v="0"/>
  </r>
  <r>
    <n v="29627021626"/>
    <n v="65"/>
    <d v="2034-06-12T00:00:00"/>
    <s v=""/>
    <x v="0"/>
    <x v="0"/>
  </r>
  <r>
    <n v="63003892022"/>
    <n v="73"/>
    <d v="2034-06-12T00:00:00"/>
    <s v=""/>
    <x v="0"/>
    <x v="0"/>
  </r>
  <r>
    <n v="61187601147"/>
    <n v="99"/>
    <d v="2034-06-12T00:00:00"/>
    <s v=""/>
    <x v="0"/>
    <x v="0"/>
  </r>
  <r>
    <n v="29289358803"/>
    <n v="109"/>
    <d v="2034-06-12T00:00:00"/>
    <s v=""/>
    <x v="0"/>
    <x v="0"/>
  </r>
  <r>
    <n v="92879270225"/>
    <n v="114"/>
    <d v="2034-06-12T00:00:00"/>
    <s v=""/>
    <x v="0"/>
    <x v="0"/>
  </r>
  <r>
    <n v="76887312493"/>
    <n v="116"/>
    <d v="2034-06-12T00:00:00"/>
    <s v=""/>
    <x v="0"/>
    <x v="0"/>
  </r>
  <r>
    <n v="96374996541"/>
    <n v="126"/>
    <d v="2034-06-12T00:00:00"/>
    <s v=""/>
    <x v="0"/>
    <x v="0"/>
  </r>
  <r>
    <n v="89295718128"/>
    <n v="127"/>
    <d v="2034-06-12T00:00:00"/>
    <s v=""/>
    <x v="0"/>
    <x v="0"/>
  </r>
  <r>
    <n v="47668846734"/>
    <n v="144"/>
    <d v="2034-06-12T00:00:00"/>
    <m/>
    <x v="0"/>
    <x v="0"/>
  </r>
  <r>
    <n v="23408438681"/>
    <n v="150"/>
    <d v="2034-06-12T00:00:00"/>
    <s v=""/>
    <x v="0"/>
    <x v="0"/>
  </r>
  <r>
    <n v="61855864468"/>
    <n v="153"/>
    <d v="2034-06-12T00:00:00"/>
    <s v=""/>
    <x v="0"/>
    <x v="0"/>
  </r>
  <r>
    <n v="44102314047"/>
    <n v="169"/>
    <d v="2034-06-12T00:00:00"/>
    <d v="2034-08-13T00:00:00"/>
    <x v="0"/>
    <x v="4"/>
  </r>
  <r>
    <n v="55212951693"/>
    <n v="194"/>
    <d v="2034-06-12T00:00:00"/>
    <s v=""/>
    <x v="0"/>
    <x v="0"/>
  </r>
  <r>
    <n v="80604742850"/>
    <n v="203"/>
    <d v="2034-06-12T00:00:00"/>
    <m/>
    <x v="0"/>
    <x v="0"/>
  </r>
  <r>
    <n v="85754299905"/>
    <n v="203"/>
    <d v="2034-06-12T00:00:00"/>
    <s v=""/>
    <x v="0"/>
    <x v="0"/>
  </r>
  <r>
    <n v="44156032294"/>
    <n v="206"/>
    <d v="2034-06-12T00:00:00"/>
    <m/>
    <x v="0"/>
    <x v="0"/>
  </r>
  <r>
    <n v="37909125073"/>
    <n v="223"/>
    <d v="2034-06-12T00:00:00"/>
    <d v="2034-07-02T00:00:00"/>
    <x v="0"/>
    <x v="2"/>
  </r>
  <r>
    <n v="50037942469"/>
    <n v="233"/>
    <d v="2034-06-12T00:00:00"/>
    <d v="2034-08-20T00:00:00"/>
    <x v="0"/>
    <x v="4"/>
  </r>
  <r>
    <n v="99319862523"/>
    <n v="238"/>
    <d v="2034-06-12T00:00:00"/>
    <d v="2034-07-28T00:00:00"/>
    <x v="0"/>
    <x v="2"/>
  </r>
  <r>
    <n v="36205925517"/>
    <n v="244"/>
    <d v="2034-06-12T00:00:00"/>
    <s v=""/>
    <x v="0"/>
    <x v="0"/>
  </r>
  <r>
    <n v="90061200054"/>
    <n v="272"/>
    <d v="2034-06-12T00:00:00"/>
    <s v=""/>
    <x v="0"/>
    <x v="0"/>
  </r>
  <r>
    <n v="46435354222"/>
    <n v="293"/>
    <d v="2034-06-12T00:00:00"/>
    <m/>
    <x v="0"/>
    <x v="0"/>
  </r>
  <r>
    <n v="54735404832"/>
    <n v="321"/>
    <d v="2034-06-12T00:00:00"/>
    <s v=""/>
    <x v="0"/>
    <x v="0"/>
  </r>
  <r>
    <n v="99434737070"/>
    <n v="2"/>
    <d v="2034-06-13T00:00:00"/>
    <s v=""/>
    <x v="0"/>
    <x v="0"/>
  </r>
  <r>
    <n v="56199743596"/>
    <n v="4"/>
    <d v="2034-06-13T00:00:00"/>
    <m/>
    <x v="0"/>
    <x v="0"/>
  </r>
  <r>
    <n v="14652678590"/>
    <n v="9"/>
    <d v="2034-06-13T00:00:00"/>
    <s v=""/>
    <x v="0"/>
    <x v="0"/>
  </r>
  <r>
    <n v="69663441531"/>
    <n v="16"/>
    <d v="2034-06-13T00:00:00"/>
    <d v="2034-07-21T00:00:00"/>
    <x v="0"/>
    <x v="2"/>
  </r>
  <r>
    <n v="63241550524"/>
    <n v="27"/>
    <d v="2034-06-13T00:00:00"/>
    <d v="2034-09-22T00:00:00"/>
    <x v="0"/>
    <x v="3"/>
  </r>
  <r>
    <n v="12645608327"/>
    <n v="29"/>
    <d v="2034-06-13T00:00:00"/>
    <s v=""/>
    <x v="0"/>
    <x v="0"/>
  </r>
  <r>
    <n v="74191410219"/>
    <n v="39"/>
    <d v="2034-06-13T00:00:00"/>
    <s v=""/>
    <x v="0"/>
    <x v="0"/>
  </r>
  <r>
    <n v="79308144066"/>
    <n v="42"/>
    <d v="2034-06-13T00:00:00"/>
    <d v="2034-06-13T00:00:00"/>
    <x v="0"/>
    <x v="1"/>
  </r>
  <r>
    <n v="51502044299"/>
    <n v="43"/>
    <d v="2034-06-13T00:00:00"/>
    <s v=""/>
    <x v="0"/>
    <x v="0"/>
  </r>
  <r>
    <n v="35974939224"/>
    <n v="43"/>
    <d v="2034-06-13T00:00:00"/>
    <s v=""/>
    <x v="0"/>
    <x v="0"/>
  </r>
  <r>
    <n v="23375685091"/>
    <n v="48"/>
    <d v="2034-06-13T00:00:00"/>
    <d v="2034-06-15T00:00:00"/>
    <x v="0"/>
    <x v="1"/>
  </r>
  <r>
    <n v="55798151606"/>
    <n v="68"/>
    <d v="2034-06-13T00:00:00"/>
    <d v="2034-10-07T00:00:00"/>
    <x v="0"/>
    <x v="5"/>
  </r>
  <r>
    <n v="23595702622"/>
    <n v="71"/>
    <d v="2034-06-13T00:00:00"/>
    <s v=""/>
    <x v="0"/>
    <x v="0"/>
  </r>
  <r>
    <n v="31876912454"/>
    <n v="74"/>
    <d v="2034-06-13T00:00:00"/>
    <s v=""/>
    <x v="0"/>
    <x v="0"/>
  </r>
  <r>
    <n v="23648505513"/>
    <n v="77"/>
    <d v="2034-06-13T00:00:00"/>
    <s v=""/>
    <x v="0"/>
    <x v="0"/>
  </r>
  <r>
    <n v="56984563106"/>
    <n v="104"/>
    <d v="2034-06-13T00:00:00"/>
    <d v="2034-08-31T00:00:00"/>
    <x v="0"/>
    <x v="4"/>
  </r>
  <r>
    <n v="25743018934"/>
    <n v="139"/>
    <d v="2034-06-13T00:00:00"/>
    <s v=""/>
    <x v="0"/>
    <x v="0"/>
  </r>
  <r>
    <n v="44424098610"/>
    <n v="194"/>
    <d v="2034-06-13T00:00:00"/>
    <m/>
    <x v="0"/>
    <x v="0"/>
  </r>
  <r>
    <n v="79701537110"/>
    <n v="210"/>
    <d v="2034-06-13T00:00:00"/>
    <s v=""/>
    <x v="0"/>
    <x v="0"/>
  </r>
  <r>
    <n v="62247581713"/>
    <n v="211"/>
    <d v="2034-06-13T00:00:00"/>
    <m/>
    <x v="0"/>
    <x v="0"/>
  </r>
  <r>
    <n v="77528382923"/>
    <n v="221"/>
    <d v="2034-06-13T00:00:00"/>
    <s v=""/>
    <x v="0"/>
    <x v="0"/>
  </r>
  <r>
    <n v="89674575384"/>
    <n v="225"/>
    <d v="2034-06-13T00:00:00"/>
    <d v="2034-09-24T00:00:00"/>
    <x v="0"/>
    <x v="3"/>
  </r>
  <r>
    <n v="74014145400"/>
    <n v="256"/>
    <d v="2034-06-13T00:00:00"/>
    <s v=""/>
    <x v="0"/>
    <x v="0"/>
  </r>
  <r>
    <n v="13388823949"/>
    <n v="266"/>
    <d v="2034-06-13T00:00:00"/>
    <s v=""/>
    <x v="0"/>
    <x v="0"/>
  </r>
  <r>
    <n v="97174943406"/>
    <n v="280"/>
    <d v="2034-06-13T00:00:00"/>
    <m/>
    <x v="0"/>
    <x v="0"/>
  </r>
  <r>
    <n v="28210188923"/>
    <n v="282"/>
    <d v="2034-06-13T00:00:00"/>
    <d v="2034-08-03T00:00:00"/>
    <x v="0"/>
    <x v="4"/>
  </r>
  <r>
    <n v="49217432457"/>
    <n v="287"/>
    <d v="2034-06-13T00:00:00"/>
    <s v=""/>
    <x v="0"/>
    <x v="0"/>
  </r>
  <r>
    <n v="64432348990"/>
    <n v="290"/>
    <d v="2034-06-13T00:00:00"/>
    <d v="2034-08-01T00:00:00"/>
    <x v="0"/>
    <x v="4"/>
  </r>
  <r>
    <n v="55985341230"/>
    <n v="291"/>
    <d v="2034-06-13T00:00:00"/>
    <s v=""/>
    <x v="0"/>
    <x v="0"/>
  </r>
  <r>
    <n v="85658632145"/>
    <n v="307"/>
    <d v="2034-06-13T00:00:00"/>
    <d v="2034-08-17T00:00:00"/>
    <x v="0"/>
    <x v="4"/>
  </r>
  <r>
    <n v="73542394783"/>
    <n v="308"/>
    <d v="2034-06-13T00:00:00"/>
    <s v=""/>
    <x v="0"/>
    <x v="0"/>
  </r>
  <r>
    <n v="96618384212"/>
    <n v="311"/>
    <d v="2034-06-13T00:00:00"/>
    <d v="2034-08-21T00:00:00"/>
    <x v="0"/>
    <x v="4"/>
  </r>
  <r>
    <n v="95816975387"/>
    <n v="327"/>
    <d v="2034-06-13T00:00:00"/>
    <d v="2034-07-04T00:00:00"/>
    <x v="0"/>
    <x v="2"/>
  </r>
  <r>
    <n v="21995673548"/>
    <n v="330"/>
    <d v="2034-06-13T00:00:00"/>
    <s v=""/>
    <x v="0"/>
    <x v="0"/>
  </r>
  <r>
    <n v="23049620330"/>
    <n v="333"/>
    <d v="2034-06-13T00:00:00"/>
    <d v="2034-08-02T00:00:00"/>
    <x v="0"/>
    <x v="4"/>
  </r>
  <r>
    <n v="59177031739"/>
    <n v="337"/>
    <d v="2034-06-13T00:00:00"/>
    <s v=""/>
    <x v="0"/>
    <x v="0"/>
  </r>
  <r>
    <n v="37463165377"/>
    <n v="338"/>
    <d v="2034-06-13T00:00:00"/>
    <s v=""/>
    <x v="0"/>
    <x v="0"/>
  </r>
  <r>
    <n v="46977566214"/>
    <n v="4"/>
    <d v="2034-06-14T00:00:00"/>
    <s v=""/>
    <x v="0"/>
    <x v="0"/>
  </r>
  <r>
    <n v="77214004957"/>
    <n v="9"/>
    <d v="2034-06-14T00:00:00"/>
    <d v="2034-06-15T00:00:00"/>
    <x v="0"/>
    <x v="1"/>
  </r>
  <r>
    <n v="56731754552"/>
    <n v="10"/>
    <d v="2034-06-14T00:00:00"/>
    <d v="2034-08-31T00:00:00"/>
    <x v="0"/>
    <x v="4"/>
  </r>
  <r>
    <n v="17349583026"/>
    <n v="17"/>
    <d v="2034-06-14T00:00:00"/>
    <s v=""/>
    <x v="0"/>
    <x v="0"/>
  </r>
  <r>
    <n v="13005534210"/>
    <n v="39"/>
    <d v="2034-06-14T00:00:00"/>
    <s v=""/>
    <x v="0"/>
    <x v="0"/>
  </r>
  <r>
    <n v="95067966187"/>
    <n v="73"/>
    <d v="2034-06-14T00:00:00"/>
    <s v=""/>
    <x v="0"/>
    <x v="0"/>
  </r>
  <r>
    <n v="54934918776"/>
    <n v="85"/>
    <d v="2034-06-14T00:00:00"/>
    <d v="2034-07-30T00:00:00"/>
    <x v="0"/>
    <x v="2"/>
  </r>
  <r>
    <n v="74265856160"/>
    <n v="89"/>
    <d v="2034-06-14T00:00:00"/>
    <s v=""/>
    <x v="0"/>
    <x v="0"/>
  </r>
  <r>
    <n v="26800396801"/>
    <n v="90"/>
    <d v="2034-06-14T00:00:00"/>
    <s v=""/>
    <x v="0"/>
    <x v="0"/>
  </r>
  <r>
    <n v="53254240436"/>
    <n v="92"/>
    <d v="2034-06-14T00:00:00"/>
    <s v=""/>
    <x v="0"/>
    <x v="0"/>
  </r>
  <r>
    <n v="66482380537"/>
    <n v="104"/>
    <d v="2034-06-14T00:00:00"/>
    <d v="2034-09-26T00:00:00"/>
    <x v="0"/>
    <x v="3"/>
  </r>
  <r>
    <n v="41700883500"/>
    <n v="119"/>
    <d v="2034-06-14T00:00:00"/>
    <s v=""/>
    <x v="0"/>
    <x v="0"/>
  </r>
  <r>
    <n v="43000911141"/>
    <n v="123"/>
    <d v="2034-06-14T00:00:00"/>
    <s v=""/>
    <x v="0"/>
    <x v="0"/>
  </r>
  <r>
    <n v="71538271240"/>
    <n v="126"/>
    <d v="2034-06-14T00:00:00"/>
    <d v="2034-09-09T00:00:00"/>
    <x v="0"/>
    <x v="3"/>
  </r>
  <r>
    <n v="45492605380"/>
    <n v="143"/>
    <d v="2034-06-14T00:00:00"/>
    <d v="2034-07-30T00:00:00"/>
    <x v="0"/>
    <x v="2"/>
  </r>
  <r>
    <n v="14510996826"/>
    <n v="152"/>
    <d v="2034-06-14T00:00:00"/>
    <m/>
    <x v="0"/>
    <x v="0"/>
  </r>
  <r>
    <n v="26545423302"/>
    <n v="153"/>
    <d v="2034-06-14T00:00:00"/>
    <d v="2034-09-27T00:00:00"/>
    <x v="0"/>
    <x v="3"/>
  </r>
  <r>
    <n v="27940418301"/>
    <n v="154"/>
    <d v="2034-06-14T00:00:00"/>
    <s v=""/>
    <x v="0"/>
    <x v="0"/>
  </r>
  <r>
    <n v="61881076924"/>
    <n v="175"/>
    <d v="2034-06-14T00:00:00"/>
    <s v=""/>
    <x v="0"/>
    <x v="0"/>
  </r>
  <r>
    <n v="44981582888"/>
    <n v="179"/>
    <d v="2034-06-14T00:00:00"/>
    <s v=""/>
    <x v="0"/>
    <x v="0"/>
  </r>
  <r>
    <n v="82336399318"/>
    <n v="199"/>
    <d v="2034-06-14T00:00:00"/>
    <s v=""/>
    <x v="0"/>
    <x v="0"/>
  </r>
  <r>
    <n v="20571376693"/>
    <n v="222"/>
    <d v="2034-06-14T00:00:00"/>
    <m/>
    <x v="0"/>
    <x v="0"/>
  </r>
  <r>
    <n v="20207529693"/>
    <n v="244"/>
    <d v="2034-06-14T00:00:00"/>
    <m/>
    <x v="0"/>
    <x v="0"/>
  </r>
  <r>
    <n v="24034384134"/>
    <n v="251"/>
    <d v="2034-06-14T00:00:00"/>
    <s v=""/>
    <x v="0"/>
    <x v="0"/>
  </r>
  <r>
    <n v="80261510585"/>
    <n v="269"/>
    <d v="2034-06-14T00:00:00"/>
    <s v=""/>
    <x v="0"/>
    <x v="0"/>
  </r>
  <r>
    <n v="83001100691"/>
    <n v="277"/>
    <d v="2034-06-14T00:00:00"/>
    <s v=""/>
    <x v="0"/>
    <x v="0"/>
  </r>
  <r>
    <n v="55564130029"/>
    <n v="296"/>
    <d v="2034-06-14T00:00:00"/>
    <d v="2034-08-22T00:00:00"/>
    <x v="0"/>
    <x v="4"/>
  </r>
  <r>
    <n v="96282111210"/>
    <n v="307"/>
    <d v="2034-06-14T00:00:00"/>
    <m/>
    <x v="0"/>
    <x v="0"/>
  </r>
  <r>
    <n v="25691686090"/>
    <n v="331"/>
    <d v="2034-06-14T00:00:00"/>
    <m/>
    <x v="0"/>
    <x v="0"/>
  </r>
  <r>
    <n v="78909491626"/>
    <n v="15"/>
    <d v="2034-06-15T00:00:00"/>
    <d v="2034-08-16T00:00:00"/>
    <x v="0"/>
    <x v="4"/>
  </r>
  <r>
    <n v="91531659593"/>
    <n v="16"/>
    <d v="2034-06-15T00:00:00"/>
    <s v=""/>
    <x v="0"/>
    <x v="0"/>
  </r>
  <r>
    <n v="68094302684"/>
    <n v="18"/>
    <d v="2034-06-15T00:00:00"/>
    <s v=""/>
    <x v="0"/>
    <x v="0"/>
  </r>
  <r>
    <n v="79240853865"/>
    <n v="20"/>
    <d v="2034-06-15T00:00:00"/>
    <m/>
    <x v="0"/>
    <x v="0"/>
  </r>
  <r>
    <n v="93041615697"/>
    <n v="24"/>
    <d v="2034-06-15T00:00:00"/>
    <s v=""/>
    <x v="0"/>
    <x v="0"/>
  </r>
  <r>
    <n v="54983901861"/>
    <n v="38"/>
    <d v="2034-06-15T00:00:00"/>
    <s v=""/>
    <x v="0"/>
    <x v="0"/>
  </r>
  <r>
    <n v="65583645786"/>
    <n v="45"/>
    <d v="2034-06-15T00:00:00"/>
    <s v=""/>
    <x v="0"/>
    <x v="0"/>
  </r>
  <r>
    <n v="11332500827"/>
    <n v="54"/>
    <d v="2034-06-15T00:00:00"/>
    <d v="2034-07-13T00:00:00"/>
    <x v="0"/>
    <x v="2"/>
  </r>
  <r>
    <n v="91226465058"/>
    <n v="54"/>
    <d v="2034-06-15T00:00:00"/>
    <m/>
    <x v="0"/>
    <x v="0"/>
  </r>
  <r>
    <n v="44492911862"/>
    <n v="81"/>
    <d v="2034-06-15T00:00:00"/>
    <s v=""/>
    <x v="0"/>
    <x v="0"/>
  </r>
  <r>
    <n v="78938622655"/>
    <n v="112"/>
    <d v="2034-06-15T00:00:00"/>
    <s v=""/>
    <x v="0"/>
    <x v="0"/>
  </r>
  <r>
    <n v="37215243064"/>
    <n v="116"/>
    <d v="2034-06-15T00:00:00"/>
    <s v=""/>
    <x v="0"/>
    <x v="0"/>
  </r>
  <r>
    <n v="94831446933"/>
    <n v="136"/>
    <d v="2034-06-15T00:00:00"/>
    <s v=""/>
    <x v="0"/>
    <x v="0"/>
  </r>
  <r>
    <n v="47836579701"/>
    <n v="144"/>
    <d v="2034-06-15T00:00:00"/>
    <s v=""/>
    <x v="0"/>
    <x v="0"/>
  </r>
  <r>
    <n v="14631487643"/>
    <n v="191"/>
    <d v="2034-06-15T00:00:00"/>
    <s v=""/>
    <x v="0"/>
    <x v="0"/>
  </r>
  <r>
    <n v="30470294987"/>
    <n v="205"/>
    <d v="2034-06-15T00:00:00"/>
    <s v=""/>
    <x v="0"/>
    <x v="0"/>
  </r>
  <r>
    <n v="39045300938"/>
    <n v="210"/>
    <d v="2034-06-15T00:00:00"/>
    <s v=""/>
    <x v="0"/>
    <x v="0"/>
  </r>
  <r>
    <n v="90043903556"/>
    <n v="214"/>
    <d v="2034-06-15T00:00:00"/>
    <d v="2034-08-15T00:00:00"/>
    <x v="0"/>
    <x v="4"/>
  </r>
  <r>
    <n v="46652462939"/>
    <n v="217"/>
    <d v="2034-06-15T00:00:00"/>
    <s v=""/>
    <x v="0"/>
    <x v="0"/>
  </r>
  <r>
    <n v="76860732303"/>
    <n v="223"/>
    <d v="2034-06-15T00:00:00"/>
    <s v=""/>
    <x v="0"/>
    <x v="0"/>
  </r>
  <r>
    <n v="31167769367"/>
    <n v="223"/>
    <d v="2034-06-15T00:00:00"/>
    <d v="2034-08-02T00:00:00"/>
    <x v="0"/>
    <x v="4"/>
  </r>
  <r>
    <n v="73960456202"/>
    <n v="238"/>
    <d v="2034-06-15T00:00:00"/>
    <s v=""/>
    <x v="0"/>
    <x v="0"/>
  </r>
  <r>
    <n v="19435287831"/>
    <n v="248"/>
    <d v="2034-06-15T00:00:00"/>
    <d v="2034-08-25T00:00:00"/>
    <x v="0"/>
    <x v="4"/>
  </r>
  <r>
    <n v="25637261358"/>
    <n v="251"/>
    <d v="2034-06-15T00:00:00"/>
    <s v=""/>
    <x v="0"/>
    <x v="0"/>
  </r>
  <r>
    <n v="43367328675"/>
    <n v="258"/>
    <d v="2034-06-15T00:00:00"/>
    <s v=""/>
    <x v="0"/>
    <x v="0"/>
  </r>
  <r>
    <n v="40528961571"/>
    <n v="264"/>
    <d v="2034-06-15T00:00:00"/>
    <s v=""/>
    <x v="0"/>
    <x v="0"/>
  </r>
  <r>
    <n v="42698807077"/>
    <n v="266"/>
    <d v="2034-06-15T00:00:00"/>
    <d v="2034-06-22T00:00:00"/>
    <x v="0"/>
    <x v="1"/>
  </r>
  <r>
    <n v="45577878463"/>
    <n v="281"/>
    <d v="2034-06-15T00:00:00"/>
    <s v=""/>
    <x v="0"/>
    <x v="0"/>
  </r>
  <r>
    <n v="88573831822"/>
    <n v="288"/>
    <d v="2034-06-15T00:00:00"/>
    <s v=""/>
    <x v="0"/>
    <x v="0"/>
  </r>
  <r>
    <n v="76401997823"/>
    <n v="294"/>
    <d v="2034-06-15T00:00:00"/>
    <m/>
    <x v="0"/>
    <x v="0"/>
  </r>
  <r>
    <n v="71800294026"/>
    <n v="296"/>
    <d v="2034-06-15T00:00:00"/>
    <s v=""/>
    <x v="0"/>
    <x v="0"/>
  </r>
  <r>
    <n v="38232664367"/>
    <n v="302"/>
    <d v="2034-06-15T00:00:00"/>
    <s v=""/>
    <x v="0"/>
    <x v="0"/>
  </r>
  <r>
    <n v="28245004359"/>
    <n v="309"/>
    <d v="2034-06-15T00:00:00"/>
    <d v="2034-06-19T00:00:00"/>
    <x v="0"/>
    <x v="1"/>
  </r>
  <r>
    <n v="94582652645"/>
    <n v="312"/>
    <d v="2034-06-15T00:00:00"/>
    <s v=""/>
    <x v="0"/>
    <x v="0"/>
  </r>
  <r>
    <n v="90594514381"/>
    <n v="329"/>
    <d v="2034-06-15T00:00:00"/>
    <s v=""/>
    <x v="0"/>
    <x v="0"/>
  </r>
  <r>
    <n v="42177960497"/>
    <n v="0"/>
    <d v="2034-06-16T00:00:00"/>
    <s v=""/>
    <x v="0"/>
    <x v="0"/>
  </r>
  <r>
    <n v="90172708129"/>
    <n v="1"/>
    <d v="2034-06-16T00:00:00"/>
    <s v=""/>
    <x v="0"/>
    <x v="0"/>
  </r>
  <r>
    <n v="82823223669"/>
    <n v="14"/>
    <d v="2034-06-16T00:00:00"/>
    <s v=""/>
    <x v="0"/>
    <x v="0"/>
  </r>
  <r>
    <n v="91635176733"/>
    <n v="17"/>
    <d v="2034-06-16T00:00:00"/>
    <d v="2034-10-09T00:00:00"/>
    <x v="0"/>
    <x v="5"/>
  </r>
  <r>
    <n v="59578824729"/>
    <n v="27"/>
    <d v="2034-06-16T00:00:00"/>
    <d v="2034-06-19T00:00:00"/>
    <x v="0"/>
    <x v="1"/>
  </r>
  <r>
    <n v="72844856800"/>
    <n v="31"/>
    <d v="2034-06-16T00:00:00"/>
    <s v=""/>
    <x v="0"/>
    <x v="0"/>
  </r>
  <r>
    <n v="33374171050"/>
    <n v="38"/>
    <d v="2034-06-16T00:00:00"/>
    <s v=""/>
    <x v="0"/>
    <x v="0"/>
  </r>
  <r>
    <n v="92609295034"/>
    <n v="59"/>
    <d v="2034-06-16T00:00:00"/>
    <s v=""/>
    <x v="0"/>
    <x v="0"/>
  </r>
  <r>
    <n v="71637818176"/>
    <n v="82"/>
    <d v="2034-06-16T00:00:00"/>
    <d v="2034-07-28T00:00:00"/>
    <x v="0"/>
    <x v="2"/>
  </r>
  <r>
    <n v="55516996293"/>
    <n v="85"/>
    <d v="2034-06-16T00:00:00"/>
    <m/>
    <x v="0"/>
    <x v="0"/>
  </r>
  <r>
    <n v="68357200302"/>
    <n v="93"/>
    <d v="2034-06-16T00:00:00"/>
    <m/>
    <x v="0"/>
    <x v="0"/>
  </r>
  <r>
    <n v="45877587505"/>
    <n v="97"/>
    <d v="2034-06-16T00:00:00"/>
    <s v=""/>
    <x v="0"/>
    <x v="0"/>
  </r>
  <r>
    <n v="40373828439"/>
    <n v="100"/>
    <d v="2034-06-16T00:00:00"/>
    <m/>
    <x v="0"/>
    <x v="0"/>
  </r>
  <r>
    <n v="43313905300"/>
    <n v="101"/>
    <d v="2034-06-16T00:00:00"/>
    <s v=""/>
    <x v="0"/>
    <x v="0"/>
  </r>
  <r>
    <n v="30261884560"/>
    <n v="112"/>
    <d v="2034-06-16T00:00:00"/>
    <s v=""/>
    <x v="0"/>
    <x v="0"/>
  </r>
  <r>
    <n v="28228148696"/>
    <n v="117"/>
    <d v="2034-06-16T00:00:00"/>
    <s v=""/>
    <x v="0"/>
    <x v="0"/>
  </r>
  <r>
    <n v="70914499125"/>
    <n v="123"/>
    <d v="2034-06-16T00:00:00"/>
    <s v=""/>
    <x v="0"/>
    <x v="0"/>
  </r>
  <r>
    <n v="13837900546"/>
    <n v="145"/>
    <d v="2034-06-16T00:00:00"/>
    <s v=""/>
    <x v="0"/>
    <x v="0"/>
  </r>
  <r>
    <n v="67861617550"/>
    <n v="163"/>
    <d v="2034-06-16T00:00:00"/>
    <s v=""/>
    <x v="0"/>
    <x v="0"/>
  </r>
  <r>
    <n v="20617472291"/>
    <n v="170"/>
    <d v="2034-06-16T00:00:00"/>
    <s v=""/>
    <x v="0"/>
    <x v="0"/>
  </r>
  <r>
    <n v="98904237154"/>
    <n v="171"/>
    <d v="2034-06-16T00:00:00"/>
    <m/>
    <x v="0"/>
    <x v="0"/>
  </r>
  <r>
    <n v="15147549330"/>
    <n v="182"/>
    <d v="2034-06-16T00:00:00"/>
    <s v=""/>
    <x v="0"/>
    <x v="0"/>
  </r>
  <r>
    <n v="82677957921"/>
    <n v="188"/>
    <d v="2034-06-16T00:00:00"/>
    <d v="2034-07-21T00:00:00"/>
    <x v="0"/>
    <x v="2"/>
  </r>
  <r>
    <n v="48392889827"/>
    <n v="211"/>
    <d v="2034-06-16T00:00:00"/>
    <s v=""/>
    <x v="0"/>
    <x v="0"/>
  </r>
  <r>
    <n v="60367710787"/>
    <n v="216"/>
    <d v="2034-06-16T00:00:00"/>
    <m/>
    <x v="0"/>
    <x v="0"/>
  </r>
  <r>
    <n v="84564344704"/>
    <n v="227"/>
    <d v="2034-06-16T00:00:00"/>
    <m/>
    <x v="0"/>
    <x v="0"/>
  </r>
  <r>
    <n v="56534338989"/>
    <n v="234"/>
    <d v="2034-06-16T00:00:00"/>
    <d v="2034-09-29T00:00:00"/>
    <x v="0"/>
    <x v="3"/>
  </r>
  <r>
    <n v="33895669976"/>
    <n v="260"/>
    <d v="2034-06-16T00:00:00"/>
    <d v="2034-06-23T00:00:00"/>
    <x v="0"/>
    <x v="1"/>
  </r>
  <r>
    <n v="99259593938"/>
    <n v="283"/>
    <d v="2034-06-16T00:00:00"/>
    <s v=""/>
    <x v="0"/>
    <x v="0"/>
  </r>
  <r>
    <n v="14886303279"/>
    <n v="288"/>
    <d v="2034-06-16T00:00:00"/>
    <s v=""/>
    <x v="0"/>
    <x v="0"/>
  </r>
  <r>
    <n v="25868700504"/>
    <n v="289"/>
    <d v="2034-06-16T00:00:00"/>
    <s v=""/>
    <x v="0"/>
    <x v="0"/>
  </r>
  <r>
    <n v="96741561672"/>
    <n v="293"/>
    <d v="2034-06-16T00:00:00"/>
    <s v=""/>
    <x v="0"/>
    <x v="0"/>
  </r>
  <r>
    <n v="76015109882"/>
    <n v="302"/>
    <d v="2034-06-16T00:00:00"/>
    <s v=""/>
    <x v="0"/>
    <x v="0"/>
  </r>
  <r>
    <n v="32896332847"/>
    <n v="314"/>
    <d v="2034-06-16T00:00:00"/>
    <s v=""/>
    <x v="0"/>
    <x v="0"/>
  </r>
  <r>
    <n v="22287226570"/>
    <n v="319"/>
    <d v="2034-06-16T00:00:00"/>
    <s v=""/>
    <x v="0"/>
    <x v="0"/>
  </r>
  <r>
    <n v="55805365270"/>
    <n v="336"/>
    <d v="2034-06-16T00:00:00"/>
    <s v=""/>
    <x v="0"/>
    <x v="0"/>
  </r>
  <r>
    <n v="29053710284"/>
    <n v="2"/>
    <d v="2034-06-17T00:00:00"/>
    <d v="2034-07-18T00:00:00"/>
    <x v="0"/>
    <x v="2"/>
  </r>
  <r>
    <n v="26937759469"/>
    <n v="19"/>
    <d v="2034-06-17T00:00:00"/>
    <s v=""/>
    <x v="0"/>
    <x v="0"/>
  </r>
  <r>
    <n v="80666822686"/>
    <n v="46"/>
    <d v="2034-06-17T00:00:00"/>
    <s v=""/>
    <x v="0"/>
    <x v="0"/>
  </r>
  <r>
    <n v="79951220624"/>
    <n v="59"/>
    <d v="2034-06-17T00:00:00"/>
    <m/>
    <x v="0"/>
    <x v="0"/>
  </r>
  <r>
    <n v="79518651477"/>
    <n v="68"/>
    <d v="2034-06-17T00:00:00"/>
    <d v="2034-08-03T00:00:00"/>
    <x v="0"/>
    <x v="4"/>
  </r>
  <r>
    <n v="39063667492"/>
    <n v="72"/>
    <d v="2034-06-17T00:00:00"/>
    <s v=""/>
    <x v="0"/>
    <x v="0"/>
  </r>
  <r>
    <n v="96408294656"/>
    <n v="75"/>
    <d v="2034-06-17T00:00:00"/>
    <m/>
    <x v="0"/>
    <x v="0"/>
  </r>
  <r>
    <n v="26541229834"/>
    <n v="78"/>
    <d v="2034-06-17T00:00:00"/>
    <m/>
    <x v="0"/>
    <x v="0"/>
  </r>
  <r>
    <n v="64342206206"/>
    <n v="99"/>
    <d v="2034-06-17T00:00:00"/>
    <s v=""/>
    <x v="0"/>
    <x v="0"/>
  </r>
  <r>
    <n v="19457902114"/>
    <n v="101"/>
    <d v="2034-06-17T00:00:00"/>
    <s v=""/>
    <x v="0"/>
    <x v="0"/>
  </r>
  <r>
    <n v="19709471953"/>
    <n v="115"/>
    <d v="2034-06-17T00:00:00"/>
    <d v="2034-09-07T00:00:00"/>
    <x v="0"/>
    <x v="3"/>
  </r>
  <r>
    <n v="95384100713"/>
    <n v="117"/>
    <d v="2034-06-17T00:00:00"/>
    <d v="2034-08-20T00:00:00"/>
    <x v="0"/>
    <x v="4"/>
  </r>
  <r>
    <n v="60562837550"/>
    <n v="126"/>
    <d v="2034-06-17T00:00:00"/>
    <s v=""/>
    <x v="0"/>
    <x v="0"/>
  </r>
  <r>
    <n v="98328218258"/>
    <n v="133"/>
    <d v="2034-06-17T00:00:00"/>
    <s v=""/>
    <x v="0"/>
    <x v="0"/>
  </r>
  <r>
    <n v="20391415814"/>
    <n v="164"/>
    <d v="2034-06-17T00:00:00"/>
    <m/>
    <x v="0"/>
    <x v="0"/>
  </r>
  <r>
    <n v="57811364146"/>
    <n v="166"/>
    <d v="2034-06-17T00:00:00"/>
    <s v=""/>
    <x v="0"/>
    <x v="0"/>
  </r>
  <r>
    <n v="15584073123"/>
    <n v="167"/>
    <d v="2034-06-17T00:00:00"/>
    <d v="2034-09-07T00:00:00"/>
    <x v="0"/>
    <x v="3"/>
  </r>
  <r>
    <n v="71790035042"/>
    <n v="182"/>
    <d v="2034-06-17T00:00:00"/>
    <d v="2034-09-10T00:00:00"/>
    <x v="0"/>
    <x v="3"/>
  </r>
  <r>
    <n v="14496157112"/>
    <n v="212"/>
    <d v="2034-06-17T00:00:00"/>
    <s v=""/>
    <x v="0"/>
    <x v="0"/>
  </r>
  <r>
    <n v="82375358875"/>
    <n v="242"/>
    <d v="2034-06-17T00:00:00"/>
    <m/>
    <x v="0"/>
    <x v="0"/>
  </r>
  <r>
    <n v="37615059784"/>
    <n v="254"/>
    <d v="2034-06-17T00:00:00"/>
    <s v=""/>
    <x v="0"/>
    <x v="0"/>
  </r>
  <r>
    <n v="50111933896"/>
    <n v="261"/>
    <d v="2034-06-17T00:00:00"/>
    <s v=""/>
    <x v="0"/>
    <x v="0"/>
  </r>
  <r>
    <n v="89659478147"/>
    <n v="263"/>
    <d v="2034-06-17T00:00:00"/>
    <s v=""/>
    <x v="0"/>
    <x v="0"/>
  </r>
  <r>
    <n v="57478701962"/>
    <n v="267"/>
    <d v="2034-06-17T00:00:00"/>
    <m/>
    <x v="0"/>
    <x v="0"/>
  </r>
  <r>
    <n v="33924049001"/>
    <n v="287"/>
    <d v="2034-06-17T00:00:00"/>
    <s v=""/>
    <x v="0"/>
    <x v="0"/>
  </r>
  <r>
    <n v="79890296508"/>
    <n v="318"/>
    <d v="2034-06-17T00:00:00"/>
    <m/>
    <x v="0"/>
    <x v="0"/>
  </r>
  <r>
    <n v="66637127658"/>
    <n v="323"/>
    <d v="2034-06-17T00:00:00"/>
    <s v=""/>
    <x v="0"/>
    <x v="0"/>
  </r>
  <r>
    <n v="55744140421"/>
    <n v="336"/>
    <d v="2034-06-17T00:00:00"/>
    <d v="2034-07-20T00:00:00"/>
    <x v="0"/>
    <x v="2"/>
  </r>
  <r>
    <n v="32186038644"/>
    <n v="338"/>
    <d v="2034-06-17T00:00:00"/>
    <s v=""/>
    <x v="0"/>
    <x v="0"/>
  </r>
  <r>
    <n v="51571927888"/>
    <n v="6"/>
    <d v="2034-06-18T00:00:00"/>
    <s v=""/>
    <x v="0"/>
    <x v="0"/>
  </r>
  <r>
    <n v="54943287429"/>
    <n v="6"/>
    <d v="2034-06-18T00:00:00"/>
    <s v=""/>
    <x v="0"/>
    <x v="0"/>
  </r>
  <r>
    <n v="26076092469"/>
    <n v="12"/>
    <d v="2034-06-18T00:00:00"/>
    <s v=""/>
    <x v="0"/>
    <x v="0"/>
  </r>
  <r>
    <n v="27319559740"/>
    <n v="25"/>
    <d v="2034-06-18T00:00:00"/>
    <s v=""/>
    <x v="0"/>
    <x v="0"/>
  </r>
  <r>
    <n v="53972951404"/>
    <n v="32"/>
    <d v="2034-06-18T00:00:00"/>
    <s v=""/>
    <x v="0"/>
    <x v="0"/>
  </r>
  <r>
    <n v="59313825847"/>
    <n v="34"/>
    <d v="2034-06-18T00:00:00"/>
    <d v="2034-10-09T00:00:00"/>
    <x v="0"/>
    <x v="5"/>
  </r>
  <r>
    <n v="16310796902"/>
    <n v="37"/>
    <d v="2034-06-18T00:00:00"/>
    <s v=""/>
    <x v="0"/>
    <x v="0"/>
  </r>
  <r>
    <n v="31133701444"/>
    <n v="41"/>
    <d v="2034-06-18T00:00:00"/>
    <s v=""/>
    <x v="0"/>
    <x v="0"/>
  </r>
  <r>
    <n v="92939296722"/>
    <n v="49"/>
    <d v="2034-06-18T00:00:00"/>
    <s v=""/>
    <x v="0"/>
    <x v="0"/>
  </r>
  <r>
    <n v="93570663098"/>
    <n v="66"/>
    <d v="2034-06-18T00:00:00"/>
    <d v="2034-09-15T00:00:00"/>
    <x v="0"/>
    <x v="3"/>
  </r>
  <r>
    <n v="27012250743"/>
    <n v="70"/>
    <d v="2034-06-18T00:00:00"/>
    <s v=""/>
    <x v="0"/>
    <x v="0"/>
  </r>
  <r>
    <n v="68579618516"/>
    <n v="74"/>
    <d v="2034-06-18T00:00:00"/>
    <s v=""/>
    <x v="0"/>
    <x v="0"/>
  </r>
  <r>
    <n v="41270542524"/>
    <n v="82"/>
    <d v="2034-06-18T00:00:00"/>
    <d v="2034-06-22T00:00:00"/>
    <x v="0"/>
    <x v="1"/>
  </r>
  <r>
    <n v="57522391455"/>
    <n v="111"/>
    <d v="2034-06-18T00:00:00"/>
    <s v=""/>
    <x v="0"/>
    <x v="0"/>
  </r>
  <r>
    <n v="19552202403"/>
    <n v="115"/>
    <d v="2034-06-18T00:00:00"/>
    <s v=""/>
    <x v="0"/>
    <x v="0"/>
  </r>
  <r>
    <n v="54958394059"/>
    <n v="119"/>
    <d v="2034-06-18T00:00:00"/>
    <s v=""/>
    <x v="0"/>
    <x v="0"/>
  </r>
  <r>
    <n v="47422543382"/>
    <n v="136"/>
    <d v="2034-06-18T00:00:00"/>
    <s v=""/>
    <x v="0"/>
    <x v="0"/>
  </r>
  <r>
    <n v="17330372728"/>
    <n v="139"/>
    <d v="2034-06-18T00:00:00"/>
    <m/>
    <x v="0"/>
    <x v="0"/>
  </r>
  <r>
    <n v="26364072676"/>
    <n v="152"/>
    <d v="2034-06-18T00:00:00"/>
    <d v="2034-06-20T00:00:00"/>
    <x v="0"/>
    <x v="1"/>
  </r>
  <r>
    <n v="97453667148"/>
    <n v="160"/>
    <d v="2034-06-18T00:00:00"/>
    <d v="2034-08-05T00:00:00"/>
    <x v="0"/>
    <x v="4"/>
  </r>
  <r>
    <n v="52156239337"/>
    <n v="172"/>
    <d v="2034-06-18T00:00:00"/>
    <s v=""/>
    <x v="0"/>
    <x v="0"/>
  </r>
  <r>
    <n v="94172228074"/>
    <n v="175"/>
    <d v="2034-06-18T00:00:00"/>
    <s v=""/>
    <x v="0"/>
    <x v="0"/>
  </r>
  <r>
    <n v="70422717645"/>
    <n v="182"/>
    <d v="2034-06-18T00:00:00"/>
    <s v=""/>
    <x v="0"/>
    <x v="0"/>
  </r>
  <r>
    <n v="82975611764"/>
    <n v="184"/>
    <d v="2034-06-18T00:00:00"/>
    <d v="2034-08-19T00:00:00"/>
    <x v="0"/>
    <x v="4"/>
  </r>
  <r>
    <n v="84420140412"/>
    <n v="201"/>
    <d v="2034-06-18T00:00:00"/>
    <s v=""/>
    <x v="0"/>
    <x v="0"/>
  </r>
  <r>
    <n v="46686471524"/>
    <n v="205"/>
    <d v="2034-06-18T00:00:00"/>
    <s v=""/>
    <x v="0"/>
    <x v="0"/>
  </r>
  <r>
    <n v="89788551641"/>
    <n v="211"/>
    <d v="2034-06-18T00:00:00"/>
    <d v="2034-10-11T00:00:00"/>
    <x v="0"/>
    <x v="5"/>
  </r>
  <r>
    <n v="55717030250"/>
    <n v="242"/>
    <d v="2034-06-18T00:00:00"/>
    <s v=""/>
    <x v="0"/>
    <x v="0"/>
  </r>
  <r>
    <n v="18131363500"/>
    <n v="253"/>
    <d v="2034-06-18T00:00:00"/>
    <s v=""/>
    <x v="0"/>
    <x v="0"/>
  </r>
  <r>
    <n v="32529627066"/>
    <n v="315"/>
    <d v="2034-06-18T00:00:00"/>
    <d v="2034-09-01T00:00:00"/>
    <x v="0"/>
    <x v="3"/>
  </r>
  <r>
    <n v="45475720449"/>
    <n v="315"/>
    <d v="2034-06-18T00:00:00"/>
    <s v=""/>
    <x v="0"/>
    <x v="0"/>
  </r>
  <r>
    <n v="99946487496"/>
    <n v="326"/>
    <d v="2034-06-18T00:00:00"/>
    <m/>
    <x v="0"/>
    <x v="0"/>
  </r>
  <r>
    <n v="81791155637"/>
    <n v="334"/>
    <d v="2034-06-18T00:00:00"/>
    <s v=""/>
    <x v="0"/>
    <x v="0"/>
  </r>
  <r>
    <n v="32537063791"/>
    <n v="339"/>
    <d v="2034-06-18T00:00:00"/>
    <s v=""/>
    <x v="0"/>
    <x v="0"/>
  </r>
  <r>
    <n v="96334428002"/>
    <n v="26"/>
    <d v="2034-06-19T00:00:00"/>
    <s v=""/>
    <x v="0"/>
    <x v="0"/>
  </r>
  <r>
    <n v="52641553572"/>
    <n v="30"/>
    <d v="2034-06-19T00:00:00"/>
    <s v=""/>
    <x v="0"/>
    <x v="0"/>
  </r>
  <r>
    <n v="18606397329"/>
    <n v="39"/>
    <d v="2034-06-19T00:00:00"/>
    <s v=""/>
    <x v="0"/>
    <x v="0"/>
  </r>
  <r>
    <n v="65724771311"/>
    <n v="56"/>
    <d v="2034-06-19T00:00:00"/>
    <d v="2034-09-18T00:00:00"/>
    <x v="0"/>
    <x v="3"/>
  </r>
  <r>
    <n v="81993628410"/>
    <n v="89"/>
    <d v="2034-06-19T00:00:00"/>
    <m/>
    <x v="0"/>
    <x v="0"/>
  </r>
  <r>
    <n v="72580366602"/>
    <n v="91"/>
    <d v="2034-06-19T00:00:00"/>
    <m/>
    <x v="0"/>
    <x v="0"/>
  </r>
  <r>
    <n v="62731185872"/>
    <n v="94"/>
    <d v="2034-06-19T00:00:00"/>
    <d v="2034-09-10T00:00:00"/>
    <x v="0"/>
    <x v="3"/>
  </r>
  <r>
    <n v="17255612685"/>
    <n v="95"/>
    <d v="2034-06-19T00:00:00"/>
    <d v="2034-06-25T00:00:00"/>
    <x v="0"/>
    <x v="1"/>
  </r>
  <r>
    <n v="42338124468"/>
    <n v="105"/>
    <d v="2034-06-19T00:00:00"/>
    <m/>
    <x v="0"/>
    <x v="0"/>
  </r>
  <r>
    <n v="56800821837"/>
    <n v="106"/>
    <d v="2034-06-19T00:00:00"/>
    <s v=""/>
    <x v="0"/>
    <x v="0"/>
  </r>
  <r>
    <n v="51668627840"/>
    <n v="107"/>
    <d v="2034-06-19T00:00:00"/>
    <s v=""/>
    <x v="0"/>
    <x v="0"/>
  </r>
  <r>
    <n v="11566683365"/>
    <n v="113"/>
    <d v="2034-06-19T00:00:00"/>
    <d v="2034-07-08T00:00:00"/>
    <x v="0"/>
    <x v="2"/>
  </r>
  <r>
    <n v="80614638749"/>
    <n v="115"/>
    <d v="2034-06-19T00:00:00"/>
    <m/>
    <x v="0"/>
    <x v="0"/>
  </r>
  <r>
    <n v="47030316689"/>
    <n v="128"/>
    <d v="2034-06-19T00:00:00"/>
    <s v=""/>
    <x v="0"/>
    <x v="0"/>
  </r>
  <r>
    <n v="40762659999"/>
    <n v="136"/>
    <d v="2034-06-19T00:00:00"/>
    <d v="2034-09-23T00:00:00"/>
    <x v="0"/>
    <x v="3"/>
  </r>
  <r>
    <n v="30462124470"/>
    <n v="168"/>
    <d v="2034-06-19T00:00:00"/>
    <s v=""/>
    <x v="0"/>
    <x v="0"/>
  </r>
  <r>
    <n v="76901500760"/>
    <n v="170"/>
    <d v="2034-06-19T00:00:00"/>
    <d v="2034-08-27T00:00:00"/>
    <x v="0"/>
    <x v="4"/>
  </r>
  <r>
    <n v="28981326032"/>
    <n v="178"/>
    <d v="2034-06-19T00:00:00"/>
    <d v="2034-09-15T00:00:00"/>
    <x v="0"/>
    <x v="3"/>
  </r>
  <r>
    <n v="36287905745"/>
    <n v="202"/>
    <d v="2034-06-19T00:00:00"/>
    <m/>
    <x v="0"/>
    <x v="0"/>
  </r>
  <r>
    <n v="47569024479"/>
    <n v="218"/>
    <d v="2034-06-19T00:00:00"/>
    <s v=""/>
    <x v="0"/>
    <x v="0"/>
  </r>
  <r>
    <n v="28959069513"/>
    <n v="229"/>
    <d v="2034-06-19T00:00:00"/>
    <d v="2034-07-25T00:00:00"/>
    <x v="0"/>
    <x v="2"/>
  </r>
  <r>
    <n v="18816690077"/>
    <n v="235"/>
    <d v="2034-06-19T00:00:00"/>
    <s v=""/>
    <x v="0"/>
    <x v="0"/>
  </r>
  <r>
    <n v="38798644576"/>
    <n v="246"/>
    <d v="2034-06-19T00:00:00"/>
    <s v=""/>
    <x v="0"/>
    <x v="0"/>
  </r>
  <r>
    <n v="53400804477"/>
    <n v="266"/>
    <d v="2034-06-19T00:00:00"/>
    <s v=""/>
    <x v="0"/>
    <x v="0"/>
  </r>
  <r>
    <n v="36591959460"/>
    <n v="267"/>
    <d v="2034-06-19T00:00:00"/>
    <s v=""/>
    <x v="0"/>
    <x v="0"/>
  </r>
  <r>
    <n v="88235747253"/>
    <n v="283"/>
    <d v="2034-06-19T00:00:00"/>
    <m/>
    <x v="0"/>
    <x v="0"/>
  </r>
  <r>
    <n v="87658544110"/>
    <n v="292"/>
    <d v="2034-06-19T00:00:00"/>
    <s v=""/>
    <x v="0"/>
    <x v="0"/>
  </r>
  <r>
    <n v="70866150095"/>
    <n v="310"/>
    <d v="2034-06-19T00:00:00"/>
    <s v=""/>
    <x v="0"/>
    <x v="0"/>
  </r>
  <r>
    <n v="39947883773"/>
    <n v="314"/>
    <d v="2034-06-19T00:00:00"/>
    <m/>
    <x v="0"/>
    <x v="0"/>
  </r>
  <r>
    <n v="66639587660"/>
    <n v="324"/>
    <d v="2034-06-19T00:00:00"/>
    <d v="2034-09-25T00:00:00"/>
    <x v="0"/>
    <x v="3"/>
  </r>
  <r>
    <n v="86085918906"/>
    <n v="337"/>
    <d v="2034-06-19T00:00:00"/>
    <d v="2034-08-05T00:00:00"/>
    <x v="0"/>
    <x v="4"/>
  </r>
  <r>
    <n v="85337613206"/>
    <n v="7"/>
    <d v="2034-06-20T00:00:00"/>
    <d v="2034-10-04T00:00:00"/>
    <x v="0"/>
    <x v="5"/>
  </r>
  <r>
    <n v="52856554284"/>
    <n v="12"/>
    <d v="2034-06-20T00:00:00"/>
    <s v=""/>
    <x v="0"/>
    <x v="0"/>
  </r>
  <r>
    <n v="11142816321"/>
    <n v="13"/>
    <d v="2034-06-20T00:00:00"/>
    <d v="2034-06-26T00:00:00"/>
    <x v="0"/>
    <x v="1"/>
  </r>
  <r>
    <n v="46323510362"/>
    <n v="24"/>
    <d v="2034-06-20T00:00:00"/>
    <s v=""/>
    <x v="0"/>
    <x v="0"/>
  </r>
  <r>
    <n v="12071908303"/>
    <n v="28"/>
    <d v="2034-06-20T00:00:00"/>
    <d v="2034-08-16T00:00:00"/>
    <x v="0"/>
    <x v="4"/>
  </r>
  <r>
    <n v="78991489127"/>
    <n v="38"/>
    <d v="2034-06-20T00:00:00"/>
    <m/>
    <x v="0"/>
    <x v="0"/>
  </r>
  <r>
    <n v="34121521151"/>
    <n v="47"/>
    <d v="2034-06-20T00:00:00"/>
    <s v=""/>
    <x v="0"/>
    <x v="0"/>
  </r>
  <r>
    <n v="64584641256"/>
    <n v="48"/>
    <d v="2034-06-20T00:00:00"/>
    <d v="2034-07-11T00:00:00"/>
    <x v="0"/>
    <x v="2"/>
  </r>
  <r>
    <n v="30774026730"/>
    <n v="51"/>
    <d v="2034-06-20T00:00:00"/>
    <d v="2034-07-06T00:00:00"/>
    <x v="0"/>
    <x v="2"/>
  </r>
  <r>
    <n v="31351325437"/>
    <n v="77"/>
    <d v="2034-06-20T00:00:00"/>
    <s v=""/>
    <x v="0"/>
    <x v="0"/>
  </r>
  <r>
    <n v="49421511530"/>
    <n v="82"/>
    <d v="2034-06-20T00:00:00"/>
    <d v="2034-09-06T00:00:00"/>
    <x v="0"/>
    <x v="3"/>
  </r>
  <r>
    <n v="64125500138"/>
    <n v="89"/>
    <d v="2034-06-20T00:00:00"/>
    <d v="2034-06-26T00:00:00"/>
    <x v="0"/>
    <x v="1"/>
  </r>
  <r>
    <n v="16914923484"/>
    <n v="97"/>
    <d v="2034-06-20T00:00:00"/>
    <m/>
    <x v="0"/>
    <x v="0"/>
  </r>
  <r>
    <n v="75911092481"/>
    <n v="102"/>
    <d v="2034-06-20T00:00:00"/>
    <s v=""/>
    <x v="0"/>
    <x v="0"/>
  </r>
  <r>
    <n v="27684302130"/>
    <n v="116"/>
    <d v="2034-06-20T00:00:00"/>
    <s v=""/>
    <x v="0"/>
    <x v="0"/>
  </r>
  <r>
    <n v="68634812540"/>
    <n v="141"/>
    <d v="2034-06-20T00:00:00"/>
    <s v=""/>
    <x v="0"/>
    <x v="0"/>
  </r>
  <r>
    <n v="72694318739"/>
    <n v="153"/>
    <d v="2034-06-20T00:00:00"/>
    <s v=""/>
    <x v="0"/>
    <x v="0"/>
  </r>
  <r>
    <n v="62212263512"/>
    <n v="153"/>
    <d v="2034-06-20T00:00:00"/>
    <s v=""/>
    <x v="0"/>
    <x v="0"/>
  </r>
  <r>
    <n v="95249480560"/>
    <n v="159"/>
    <d v="2034-06-20T00:00:00"/>
    <d v="2034-07-04T00:00:00"/>
    <x v="0"/>
    <x v="2"/>
  </r>
  <r>
    <n v="89613149274"/>
    <n v="163"/>
    <d v="2034-06-20T00:00:00"/>
    <m/>
    <x v="0"/>
    <x v="0"/>
  </r>
  <r>
    <n v="49408922679"/>
    <n v="170"/>
    <d v="2034-06-20T00:00:00"/>
    <s v=""/>
    <x v="0"/>
    <x v="0"/>
  </r>
  <r>
    <n v="99506373294"/>
    <n v="174"/>
    <d v="2034-06-20T00:00:00"/>
    <s v=""/>
    <x v="0"/>
    <x v="0"/>
  </r>
  <r>
    <n v="71520203627"/>
    <n v="177"/>
    <d v="2034-06-20T00:00:00"/>
    <d v="2034-09-12T00:00:00"/>
    <x v="0"/>
    <x v="3"/>
  </r>
  <r>
    <n v="92293197080"/>
    <n v="182"/>
    <d v="2034-06-20T00:00:00"/>
    <s v=""/>
    <x v="0"/>
    <x v="0"/>
  </r>
  <r>
    <n v="21604756572"/>
    <n v="188"/>
    <d v="2034-06-20T00:00:00"/>
    <s v=""/>
    <x v="0"/>
    <x v="0"/>
  </r>
  <r>
    <n v="82512947308"/>
    <n v="195"/>
    <d v="2034-06-20T00:00:00"/>
    <d v="2034-10-02T00:00:00"/>
    <x v="0"/>
    <x v="5"/>
  </r>
  <r>
    <n v="67726237221"/>
    <n v="202"/>
    <d v="2034-06-20T00:00:00"/>
    <s v=""/>
    <x v="0"/>
    <x v="0"/>
  </r>
  <r>
    <n v="11420464250"/>
    <n v="216"/>
    <d v="2034-06-20T00:00:00"/>
    <d v="2034-06-26T00:00:00"/>
    <x v="0"/>
    <x v="1"/>
  </r>
  <r>
    <n v="78737983933"/>
    <n v="222"/>
    <d v="2034-06-20T00:00:00"/>
    <m/>
    <x v="0"/>
    <x v="0"/>
  </r>
  <r>
    <n v="99768877460"/>
    <n v="238"/>
    <d v="2034-06-20T00:00:00"/>
    <s v=""/>
    <x v="0"/>
    <x v="0"/>
  </r>
  <r>
    <n v="71718883524"/>
    <n v="251"/>
    <d v="2034-06-20T00:00:00"/>
    <s v=""/>
    <x v="0"/>
    <x v="0"/>
  </r>
  <r>
    <n v="89989440154"/>
    <n v="287"/>
    <d v="2034-06-20T00:00:00"/>
    <s v=""/>
    <x v="0"/>
    <x v="0"/>
  </r>
  <r>
    <n v="67743901880"/>
    <n v="293"/>
    <d v="2034-06-20T00:00:00"/>
    <d v="2034-10-09T00:00:00"/>
    <x v="0"/>
    <x v="5"/>
  </r>
  <r>
    <n v="12861010424"/>
    <n v="297"/>
    <d v="2034-06-20T00:00:00"/>
    <s v=""/>
    <x v="0"/>
    <x v="0"/>
  </r>
  <r>
    <n v="68642315941"/>
    <n v="298"/>
    <d v="2034-06-20T00:00:00"/>
    <m/>
    <x v="0"/>
    <x v="0"/>
  </r>
  <r>
    <n v="14343386135"/>
    <n v="28"/>
    <d v="2034-06-21T00:00:00"/>
    <s v=""/>
    <x v="0"/>
    <x v="0"/>
  </r>
  <r>
    <n v="49145493045"/>
    <n v="28"/>
    <d v="2034-06-21T00:00:00"/>
    <s v=""/>
    <x v="0"/>
    <x v="0"/>
  </r>
  <r>
    <n v="21045497400"/>
    <n v="43"/>
    <d v="2034-06-21T00:00:00"/>
    <s v=""/>
    <x v="0"/>
    <x v="0"/>
  </r>
  <r>
    <n v="78564476950"/>
    <n v="69"/>
    <d v="2034-06-21T00:00:00"/>
    <s v=""/>
    <x v="0"/>
    <x v="0"/>
  </r>
  <r>
    <n v="42454454681"/>
    <n v="87"/>
    <d v="2034-06-21T00:00:00"/>
    <s v=""/>
    <x v="0"/>
    <x v="0"/>
  </r>
  <r>
    <n v="88773722932"/>
    <n v="110"/>
    <d v="2034-06-21T00:00:00"/>
    <s v=""/>
    <x v="0"/>
    <x v="0"/>
  </r>
  <r>
    <n v="36278216957"/>
    <n v="119"/>
    <d v="2034-06-21T00:00:00"/>
    <s v=""/>
    <x v="0"/>
    <x v="0"/>
  </r>
  <r>
    <n v="75083743224"/>
    <n v="132"/>
    <d v="2034-06-21T00:00:00"/>
    <d v="2034-08-15T00:00:00"/>
    <x v="0"/>
    <x v="4"/>
  </r>
  <r>
    <n v="51523930309"/>
    <n v="137"/>
    <d v="2034-06-21T00:00:00"/>
    <d v="2034-07-26T00:00:00"/>
    <x v="0"/>
    <x v="2"/>
  </r>
  <r>
    <n v="45525747369"/>
    <n v="149"/>
    <d v="2034-06-21T00:00:00"/>
    <s v=""/>
    <x v="0"/>
    <x v="0"/>
  </r>
  <r>
    <n v="29910895242"/>
    <n v="154"/>
    <d v="2034-06-21T00:00:00"/>
    <s v=""/>
    <x v="0"/>
    <x v="0"/>
  </r>
  <r>
    <n v="62498982726"/>
    <n v="155"/>
    <d v="2034-06-21T00:00:00"/>
    <m/>
    <x v="0"/>
    <x v="0"/>
  </r>
  <r>
    <n v="89114890366"/>
    <n v="156"/>
    <d v="2034-06-21T00:00:00"/>
    <m/>
    <x v="0"/>
    <x v="0"/>
  </r>
  <r>
    <n v="60775003858"/>
    <n v="170"/>
    <d v="2034-06-21T00:00:00"/>
    <s v=""/>
    <x v="0"/>
    <x v="0"/>
  </r>
  <r>
    <n v="66330386371"/>
    <n v="220"/>
    <d v="2034-06-21T00:00:00"/>
    <s v=""/>
    <x v="0"/>
    <x v="0"/>
  </r>
  <r>
    <n v="88833096912"/>
    <n v="254"/>
    <d v="2034-06-21T00:00:00"/>
    <s v=""/>
    <x v="0"/>
    <x v="0"/>
  </r>
  <r>
    <n v="89781336327"/>
    <n v="263"/>
    <d v="2034-06-21T00:00:00"/>
    <s v=""/>
    <x v="0"/>
    <x v="0"/>
  </r>
  <r>
    <n v="26912080818"/>
    <n v="263"/>
    <d v="2034-06-21T00:00:00"/>
    <s v=""/>
    <x v="0"/>
    <x v="0"/>
  </r>
  <r>
    <n v="68471959274"/>
    <n v="298"/>
    <d v="2034-06-21T00:00:00"/>
    <d v="2034-07-09T00:00:00"/>
    <x v="0"/>
    <x v="2"/>
  </r>
  <r>
    <n v="22712987119"/>
    <n v="308"/>
    <d v="2034-06-21T00:00:00"/>
    <d v="2034-06-25T00:00:00"/>
    <x v="0"/>
    <x v="1"/>
  </r>
  <r>
    <n v="24313203890"/>
    <n v="311"/>
    <d v="2034-06-21T00:00:00"/>
    <s v=""/>
    <x v="0"/>
    <x v="0"/>
  </r>
  <r>
    <n v="99514845211"/>
    <n v="320"/>
    <d v="2034-06-21T00:00:00"/>
    <s v=""/>
    <x v="0"/>
    <x v="0"/>
  </r>
  <r>
    <n v="76816895285"/>
    <n v="321"/>
    <d v="2034-06-21T00:00:00"/>
    <s v=""/>
    <x v="0"/>
    <x v="0"/>
  </r>
  <r>
    <n v="87600971847"/>
    <n v="327"/>
    <d v="2034-06-21T00:00:00"/>
    <m/>
    <x v="0"/>
    <x v="0"/>
  </r>
  <r>
    <n v="30877105272"/>
    <n v="335"/>
    <d v="2034-06-21T00:00:00"/>
    <s v=""/>
    <x v="0"/>
    <x v="0"/>
  </r>
  <r>
    <n v="84427127702"/>
    <n v="340"/>
    <d v="2034-06-21T00:00:00"/>
    <s v=""/>
    <x v="0"/>
    <x v="0"/>
  </r>
  <r>
    <n v="46434112476"/>
    <n v="10"/>
    <d v="2034-06-22T00:00:00"/>
    <s v=""/>
    <x v="0"/>
    <x v="0"/>
  </r>
  <r>
    <n v="47755595174"/>
    <n v="43"/>
    <d v="2034-06-22T00:00:00"/>
    <s v=""/>
    <x v="0"/>
    <x v="0"/>
  </r>
  <r>
    <n v="76862096653"/>
    <n v="63"/>
    <d v="2034-06-22T00:00:00"/>
    <m/>
    <x v="0"/>
    <x v="0"/>
  </r>
  <r>
    <n v="99449830056"/>
    <n v="77"/>
    <d v="2034-06-22T00:00:00"/>
    <m/>
    <x v="0"/>
    <x v="0"/>
  </r>
  <r>
    <n v="30521065395"/>
    <n v="86"/>
    <d v="2034-06-22T00:00:00"/>
    <s v=""/>
    <x v="0"/>
    <x v="0"/>
  </r>
  <r>
    <n v="73077704740"/>
    <n v="94"/>
    <d v="2034-06-22T00:00:00"/>
    <s v=""/>
    <x v="0"/>
    <x v="0"/>
  </r>
  <r>
    <n v="24213589086"/>
    <n v="108"/>
    <d v="2034-06-22T00:00:00"/>
    <s v=""/>
    <x v="0"/>
    <x v="0"/>
  </r>
  <r>
    <n v="98214939779"/>
    <n v="132"/>
    <d v="2034-06-22T00:00:00"/>
    <s v=""/>
    <x v="0"/>
    <x v="0"/>
  </r>
  <r>
    <n v="89599258784"/>
    <n v="140"/>
    <d v="2034-06-22T00:00:00"/>
    <d v="2034-09-27T00:00:00"/>
    <x v="0"/>
    <x v="3"/>
  </r>
  <r>
    <n v="37296258557"/>
    <n v="143"/>
    <d v="2034-06-22T00:00:00"/>
    <s v=""/>
    <x v="0"/>
    <x v="0"/>
  </r>
  <r>
    <n v="50424887906"/>
    <n v="148"/>
    <d v="2034-06-22T00:00:00"/>
    <m/>
    <x v="0"/>
    <x v="0"/>
  </r>
  <r>
    <n v="22308672622"/>
    <n v="152"/>
    <d v="2034-06-22T00:00:00"/>
    <m/>
    <x v="0"/>
    <x v="0"/>
  </r>
  <r>
    <n v="33659269406"/>
    <n v="156"/>
    <d v="2034-06-22T00:00:00"/>
    <s v=""/>
    <x v="0"/>
    <x v="0"/>
  </r>
  <r>
    <n v="42592269239"/>
    <n v="163"/>
    <d v="2034-06-22T00:00:00"/>
    <m/>
    <x v="0"/>
    <x v="0"/>
  </r>
  <r>
    <n v="29832085295"/>
    <n v="182"/>
    <d v="2034-06-22T00:00:00"/>
    <d v="2034-10-11T00:00:00"/>
    <x v="0"/>
    <x v="5"/>
  </r>
  <r>
    <n v="72820664733"/>
    <n v="188"/>
    <d v="2034-06-22T00:00:00"/>
    <s v=""/>
    <x v="0"/>
    <x v="0"/>
  </r>
  <r>
    <n v="77073468873"/>
    <n v="192"/>
    <d v="2034-06-22T00:00:00"/>
    <s v=""/>
    <x v="0"/>
    <x v="0"/>
  </r>
  <r>
    <n v="31353927368"/>
    <n v="196"/>
    <d v="2034-06-22T00:00:00"/>
    <s v=""/>
    <x v="0"/>
    <x v="0"/>
  </r>
  <r>
    <n v="96321883066"/>
    <n v="198"/>
    <d v="2034-06-22T00:00:00"/>
    <s v=""/>
    <x v="0"/>
    <x v="0"/>
  </r>
  <r>
    <n v="48497190026"/>
    <n v="208"/>
    <d v="2034-06-22T00:00:00"/>
    <d v="2034-09-28T00:00:00"/>
    <x v="0"/>
    <x v="3"/>
  </r>
  <r>
    <n v="98215622961"/>
    <n v="215"/>
    <d v="2034-06-22T00:00:00"/>
    <m/>
    <x v="0"/>
    <x v="0"/>
  </r>
  <r>
    <n v="39575027006"/>
    <n v="217"/>
    <d v="2034-06-22T00:00:00"/>
    <s v=""/>
    <x v="0"/>
    <x v="0"/>
  </r>
  <r>
    <n v="51425792346"/>
    <n v="217"/>
    <d v="2034-06-22T00:00:00"/>
    <d v="2034-07-16T00:00:00"/>
    <x v="0"/>
    <x v="2"/>
  </r>
  <r>
    <n v="80221538036"/>
    <n v="222"/>
    <d v="2034-06-22T00:00:00"/>
    <s v=""/>
    <x v="0"/>
    <x v="0"/>
  </r>
  <r>
    <n v="28293372655"/>
    <n v="248"/>
    <d v="2034-06-22T00:00:00"/>
    <s v=""/>
    <x v="0"/>
    <x v="0"/>
  </r>
  <r>
    <n v="56026837863"/>
    <n v="269"/>
    <d v="2034-06-22T00:00:00"/>
    <s v=""/>
    <x v="0"/>
    <x v="0"/>
  </r>
  <r>
    <n v="85168319185"/>
    <n v="314"/>
    <d v="2034-06-22T00:00:00"/>
    <s v=""/>
    <x v="0"/>
    <x v="0"/>
  </r>
  <r>
    <n v="85089520717"/>
    <n v="315"/>
    <d v="2034-06-22T00:00:00"/>
    <s v=""/>
    <x v="0"/>
    <x v="0"/>
  </r>
  <r>
    <n v="80997651016"/>
    <n v="319"/>
    <d v="2034-06-22T00:00:00"/>
    <s v=""/>
    <x v="0"/>
    <x v="0"/>
  </r>
  <r>
    <n v="49344286814"/>
    <n v="331"/>
    <d v="2034-06-22T00:00:00"/>
    <m/>
    <x v="0"/>
    <x v="0"/>
  </r>
  <r>
    <n v="94653395468"/>
    <n v="9"/>
    <d v="2034-06-23T00:00:00"/>
    <s v=""/>
    <x v="0"/>
    <x v="0"/>
  </r>
  <r>
    <n v="48736025960"/>
    <n v="9"/>
    <d v="2034-06-23T00:00:00"/>
    <s v=""/>
    <x v="0"/>
    <x v="0"/>
  </r>
  <r>
    <n v="23328446864"/>
    <n v="12"/>
    <d v="2034-06-23T00:00:00"/>
    <s v=""/>
    <x v="0"/>
    <x v="0"/>
  </r>
  <r>
    <n v="58160735927"/>
    <n v="21"/>
    <d v="2034-06-23T00:00:00"/>
    <s v=""/>
    <x v="0"/>
    <x v="0"/>
  </r>
  <r>
    <n v="41766472122"/>
    <n v="24"/>
    <d v="2034-06-23T00:00:00"/>
    <s v=""/>
    <x v="0"/>
    <x v="0"/>
  </r>
  <r>
    <n v="99957451170"/>
    <n v="35"/>
    <d v="2034-06-23T00:00:00"/>
    <s v=""/>
    <x v="0"/>
    <x v="0"/>
  </r>
  <r>
    <n v="31270787993"/>
    <n v="38"/>
    <d v="2034-06-23T00:00:00"/>
    <s v=""/>
    <x v="0"/>
    <x v="0"/>
  </r>
  <r>
    <n v="67931877588"/>
    <n v="38"/>
    <d v="2034-06-23T00:00:00"/>
    <s v=""/>
    <x v="0"/>
    <x v="0"/>
  </r>
  <r>
    <n v="74558848345"/>
    <n v="38"/>
    <d v="2034-06-23T00:00:00"/>
    <s v=""/>
    <x v="0"/>
    <x v="0"/>
  </r>
  <r>
    <n v="41309531750"/>
    <n v="51"/>
    <d v="2034-06-23T00:00:00"/>
    <m/>
    <x v="0"/>
    <x v="0"/>
  </r>
  <r>
    <n v="34978879554"/>
    <n v="58"/>
    <d v="2034-06-23T00:00:00"/>
    <s v=""/>
    <x v="0"/>
    <x v="0"/>
  </r>
  <r>
    <n v="95814467719"/>
    <n v="91"/>
    <d v="2034-06-23T00:00:00"/>
    <s v=""/>
    <x v="0"/>
    <x v="0"/>
  </r>
  <r>
    <n v="87314472981"/>
    <n v="107"/>
    <d v="2034-06-23T00:00:00"/>
    <s v=""/>
    <x v="0"/>
    <x v="0"/>
  </r>
  <r>
    <n v="42273895445"/>
    <n v="108"/>
    <d v="2034-06-23T00:00:00"/>
    <s v=""/>
    <x v="0"/>
    <x v="0"/>
  </r>
  <r>
    <n v="63250797404"/>
    <n v="111"/>
    <d v="2034-06-23T00:00:00"/>
    <s v=""/>
    <x v="0"/>
    <x v="0"/>
  </r>
  <r>
    <n v="73388622688"/>
    <n v="126"/>
    <d v="2034-06-23T00:00:00"/>
    <s v=""/>
    <x v="0"/>
    <x v="0"/>
  </r>
  <r>
    <n v="25429853324"/>
    <n v="148"/>
    <d v="2034-06-23T00:00:00"/>
    <s v=""/>
    <x v="0"/>
    <x v="0"/>
  </r>
  <r>
    <n v="71920956504"/>
    <n v="155"/>
    <d v="2034-06-23T00:00:00"/>
    <m/>
    <x v="0"/>
    <x v="0"/>
  </r>
  <r>
    <n v="35002577285"/>
    <n v="187"/>
    <d v="2034-06-23T00:00:00"/>
    <d v="2034-07-29T00:00:00"/>
    <x v="0"/>
    <x v="2"/>
  </r>
  <r>
    <n v="60029401074"/>
    <n v="208"/>
    <d v="2034-06-23T00:00:00"/>
    <s v=""/>
    <x v="0"/>
    <x v="0"/>
  </r>
  <r>
    <n v="42464936292"/>
    <n v="242"/>
    <d v="2034-06-23T00:00:00"/>
    <m/>
    <x v="0"/>
    <x v="0"/>
  </r>
  <r>
    <n v="69286287719"/>
    <n v="244"/>
    <d v="2034-06-23T00:00:00"/>
    <m/>
    <x v="0"/>
    <x v="0"/>
  </r>
  <r>
    <n v="54067931243"/>
    <n v="258"/>
    <d v="2034-06-23T00:00:00"/>
    <s v=""/>
    <x v="0"/>
    <x v="0"/>
  </r>
  <r>
    <n v="42749943635"/>
    <n v="308"/>
    <d v="2034-06-23T00:00:00"/>
    <s v=""/>
    <x v="0"/>
    <x v="0"/>
  </r>
  <r>
    <n v="45144142743"/>
    <n v="314"/>
    <d v="2034-06-23T00:00:00"/>
    <s v=""/>
    <x v="0"/>
    <x v="0"/>
  </r>
  <r>
    <n v="25309721332"/>
    <n v="333"/>
    <d v="2034-06-23T00:00:00"/>
    <s v=""/>
    <x v="0"/>
    <x v="0"/>
  </r>
  <r>
    <n v="16361497688"/>
    <n v="8"/>
    <d v="2034-06-24T00:00:00"/>
    <s v=""/>
    <x v="0"/>
    <x v="0"/>
  </r>
  <r>
    <n v="30034189700"/>
    <n v="23"/>
    <d v="2034-06-24T00:00:00"/>
    <s v=""/>
    <x v="0"/>
    <x v="0"/>
  </r>
  <r>
    <n v="74318531486"/>
    <n v="26"/>
    <d v="2034-06-24T00:00:00"/>
    <s v=""/>
    <x v="0"/>
    <x v="0"/>
  </r>
  <r>
    <n v="41938184580"/>
    <n v="41"/>
    <d v="2034-06-24T00:00:00"/>
    <s v=""/>
    <x v="0"/>
    <x v="0"/>
  </r>
  <r>
    <n v="88732019715"/>
    <n v="43"/>
    <d v="2034-06-24T00:00:00"/>
    <s v=""/>
    <x v="0"/>
    <x v="0"/>
  </r>
  <r>
    <n v="19525675770"/>
    <n v="65"/>
    <d v="2034-06-24T00:00:00"/>
    <s v=""/>
    <x v="0"/>
    <x v="0"/>
  </r>
  <r>
    <n v="52941894383"/>
    <n v="76"/>
    <d v="2034-06-24T00:00:00"/>
    <s v=""/>
    <x v="0"/>
    <x v="0"/>
  </r>
  <r>
    <n v="42321415990"/>
    <n v="78"/>
    <d v="2034-06-24T00:00:00"/>
    <m/>
    <x v="0"/>
    <x v="0"/>
  </r>
  <r>
    <n v="12065646048"/>
    <n v="80"/>
    <d v="2034-06-24T00:00:00"/>
    <s v=""/>
    <x v="0"/>
    <x v="0"/>
  </r>
  <r>
    <n v="76559094489"/>
    <n v="105"/>
    <d v="2034-06-24T00:00:00"/>
    <s v=""/>
    <x v="0"/>
    <x v="0"/>
  </r>
  <r>
    <n v="13210988579"/>
    <n v="107"/>
    <d v="2034-06-24T00:00:00"/>
    <s v=""/>
    <x v="0"/>
    <x v="0"/>
  </r>
  <r>
    <n v="73267379211"/>
    <n v="121"/>
    <d v="2034-06-24T00:00:00"/>
    <m/>
    <x v="0"/>
    <x v="0"/>
  </r>
  <r>
    <n v="64618713469"/>
    <n v="131"/>
    <d v="2034-06-24T00:00:00"/>
    <s v=""/>
    <x v="0"/>
    <x v="0"/>
  </r>
  <r>
    <n v="32389305260"/>
    <n v="147"/>
    <d v="2034-06-24T00:00:00"/>
    <m/>
    <x v="0"/>
    <x v="0"/>
  </r>
  <r>
    <n v="66739952156"/>
    <n v="172"/>
    <d v="2034-06-24T00:00:00"/>
    <d v="2034-10-09T00:00:00"/>
    <x v="0"/>
    <x v="5"/>
  </r>
  <r>
    <n v="34101970722"/>
    <n v="202"/>
    <d v="2034-06-24T00:00:00"/>
    <s v=""/>
    <x v="0"/>
    <x v="0"/>
  </r>
  <r>
    <n v="82877382576"/>
    <n v="206"/>
    <d v="2034-06-24T00:00:00"/>
    <m/>
    <x v="0"/>
    <x v="0"/>
  </r>
  <r>
    <n v="25430753940"/>
    <n v="206"/>
    <d v="2034-06-24T00:00:00"/>
    <d v="2034-08-24T00:00:00"/>
    <x v="0"/>
    <x v="4"/>
  </r>
  <r>
    <n v="82565916808"/>
    <n v="212"/>
    <d v="2034-06-24T00:00:00"/>
    <m/>
    <x v="0"/>
    <x v="0"/>
  </r>
  <r>
    <n v="27561695060"/>
    <n v="220"/>
    <d v="2034-06-24T00:00:00"/>
    <m/>
    <x v="0"/>
    <x v="0"/>
  </r>
  <r>
    <n v="83071441370"/>
    <n v="230"/>
    <d v="2034-06-24T00:00:00"/>
    <m/>
    <x v="0"/>
    <x v="0"/>
  </r>
  <r>
    <n v="68913181997"/>
    <n v="241"/>
    <d v="2034-06-24T00:00:00"/>
    <s v=""/>
    <x v="0"/>
    <x v="0"/>
  </r>
  <r>
    <n v="93881537658"/>
    <n v="243"/>
    <d v="2034-06-24T00:00:00"/>
    <m/>
    <x v="0"/>
    <x v="0"/>
  </r>
  <r>
    <n v="11686497228"/>
    <n v="253"/>
    <d v="2034-06-24T00:00:00"/>
    <d v="2034-07-15T00:00:00"/>
    <x v="0"/>
    <x v="2"/>
  </r>
  <r>
    <n v="50724858788"/>
    <n v="255"/>
    <d v="2034-06-24T00:00:00"/>
    <s v=""/>
    <x v="0"/>
    <x v="0"/>
  </r>
  <r>
    <n v="13240826394"/>
    <n v="257"/>
    <d v="2034-06-24T00:00:00"/>
    <d v="2034-10-05T00:00:00"/>
    <x v="0"/>
    <x v="5"/>
  </r>
  <r>
    <n v="32963137068"/>
    <n v="271"/>
    <d v="2034-06-24T00:00:00"/>
    <m/>
    <x v="0"/>
    <x v="0"/>
  </r>
  <r>
    <n v="43936653484"/>
    <n v="274"/>
    <d v="2034-06-24T00:00:00"/>
    <d v="2034-07-18T00:00:00"/>
    <x v="0"/>
    <x v="2"/>
  </r>
  <r>
    <n v="84945659161"/>
    <n v="277"/>
    <d v="2034-06-24T00:00:00"/>
    <s v=""/>
    <x v="0"/>
    <x v="0"/>
  </r>
  <r>
    <n v="43548639626"/>
    <n v="300"/>
    <d v="2034-06-24T00:00:00"/>
    <s v=""/>
    <x v="0"/>
    <x v="0"/>
  </r>
  <r>
    <n v="99962298514"/>
    <n v="304"/>
    <d v="2034-06-24T00:00:00"/>
    <s v=""/>
    <x v="0"/>
    <x v="0"/>
  </r>
  <r>
    <n v="69615886139"/>
    <n v="314"/>
    <d v="2034-06-24T00:00:00"/>
    <s v=""/>
    <x v="0"/>
    <x v="0"/>
  </r>
  <r>
    <n v="39773169370"/>
    <n v="322"/>
    <d v="2034-06-24T00:00:00"/>
    <s v=""/>
    <x v="0"/>
    <x v="0"/>
  </r>
  <r>
    <n v="98521990045"/>
    <n v="10"/>
    <d v="2034-06-25T00:00:00"/>
    <s v=""/>
    <x v="0"/>
    <x v="0"/>
  </r>
  <r>
    <n v="70368318300"/>
    <n v="35"/>
    <d v="2034-06-25T00:00:00"/>
    <s v=""/>
    <x v="0"/>
    <x v="0"/>
  </r>
  <r>
    <n v="40037850256"/>
    <n v="36"/>
    <d v="2034-06-25T00:00:00"/>
    <s v=""/>
    <x v="0"/>
    <x v="0"/>
  </r>
  <r>
    <n v="66819335113"/>
    <n v="74"/>
    <d v="2034-06-25T00:00:00"/>
    <s v=""/>
    <x v="0"/>
    <x v="0"/>
  </r>
  <r>
    <n v="92135679735"/>
    <n v="84"/>
    <d v="2034-06-25T00:00:00"/>
    <d v="2034-08-19T00:00:00"/>
    <x v="0"/>
    <x v="4"/>
  </r>
  <r>
    <n v="56258163125"/>
    <n v="84"/>
    <d v="2034-06-25T00:00:00"/>
    <s v=""/>
    <x v="0"/>
    <x v="0"/>
  </r>
  <r>
    <n v="99718226466"/>
    <n v="93"/>
    <d v="2034-06-25T00:00:00"/>
    <s v=""/>
    <x v="0"/>
    <x v="0"/>
  </r>
  <r>
    <n v="33483290206"/>
    <n v="98"/>
    <d v="2034-06-25T00:00:00"/>
    <s v=""/>
    <x v="0"/>
    <x v="0"/>
  </r>
  <r>
    <n v="93199434455"/>
    <n v="103"/>
    <d v="2034-06-25T00:00:00"/>
    <s v=""/>
    <x v="0"/>
    <x v="0"/>
  </r>
  <r>
    <n v="58107069339"/>
    <n v="136"/>
    <d v="2034-06-25T00:00:00"/>
    <m/>
    <x v="0"/>
    <x v="0"/>
  </r>
  <r>
    <n v="84259711458"/>
    <n v="137"/>
    <d v="2034-06-25T00:00:00"/>
    <s v=""/>
    <x v="0"/>
    <x v="0"/>
  </r>
  <r>
    <n v="68216442714"/>
    <n v="140"/>
    <d v="2034-06-25T00:00:00"/>
    <d v="2034-06-26T00:00:00"/>
    <x v="0"/>
    <x v="1"/>
  </r>
  <r>
    <n v="46815094050"/>
    <n v="165"/>
    <d v="2034-06-25T00:00:00"/>
    <s v=""/>
    <x v="0"/>
    <x v="0"/>
  </r>
  <r>
    <n v="14635710714"/>
    <n v="176"/>
    <d v="2034-06-25T00:00:00"/>
    <d v="2034-07-02T00:00:00"/>
    <x v="0"/>
    <x v="2"/>
  </r>
  <r>
    <n v="58174807191"/>
    <n v="193"/>
    <d v="2034-06-25T00:00:00"/>
    <d v="2034-09-28T00:00:00"/>
    <x v="0"/>
    <x v="3"/>
  </r>
  <r>
    <n v="20787693597"/>
    <n v="199"/>
    <d v="2034-06-25T00:00:00"/>
    <s v=""/>
    <x v="0"/>
    <x v="0"/>
  </r>
  <r>
    <n v="11885609273"/>
    <n v="232"/>
    <d v="2034-06-25T00:00:00"/>
    <s v=""/>
    <x v="0"/>
    <x v="0"/>
  </r>
  <r>
    <n v="69966644391"/>
    <n v="240"/>
    <d v="2034-06-25T00:00:00"/>
    <s v=""/>
    <x v="0"/>
    <x v="0"/>
  </r>
  <r>
    <n v="60974202230"/>
    <n v="241"/>
    <d v="2034-06-25T00:00:00"/>
    <s v=""/>
    <x v="0"/>
    <x v="0"/>
  </r>
  <r>
    <n v="55001368140"/>
    <n v="246"/>
    <d v="2034-06-25T00:00:00"/>
    <s v=""/>
    <x v="0"/>
    <x v="0"/>
  </r>
  <r>
    <n v="66457957384"/>
    <n v="247"/>
    <d v="2034-06-25T00:00:00"/>
    <s v=""/>
    <x v="0"/>
    <x v="0"/>
  </r>
  <r>
    <n v="59547522286"/>
    <n v="268"/>
    <d v="2034-06-25T00:00:00"/>
    <s v=""/>
    <x v="0"/>
    <x v="0"/>
  </r>
  <r>
    <n v="71758383126"/>
    <n v="273"/>
    <d v="2034-06-25T00:00:00"/>
    <s v=""/>
    <x v="0"/>
    <x v="0"/>
  </r>
  <r>
    <n v="48466343173"/>
    <n v="320"/>
    <d v="2034-06-25T00:00:00"/>
    <s v=""/>
    <x v="0"/>
    <x v="0"/>
  </r>
  <r>
    <n v="95441523261"/>
    <n v="34"/>
    <d v="2034-06-26T00:00:00"/>
    <m/>
    <x v="0"/>
    <x v="0"/>
  </r>
  <r>
    <n v="42949245134"/>
    <n v="34"/>
    <d v="2034-06-26T00:00:00"/>
    <s v=""/>
    <x v="0"/>
    <x v="0"/>
  </r>
  <r>
    <n v="81159111037"/>
    <n v="50"/>
    <d v="2034-06-26T00:00:00"/>
    <d v="2034-10-03T00:00:00"/>
    <x v="0"/>
    <x v="5"/>
  </r>
  <r>
    <n v="86546372920"/>
    <n v="53"/>
    <d v="2034-06-26T00:00:00"/>
    <s v=""/>
    <x v="0"/>
    <x v="0"/>
  </r>
  <r>
    <n v="18144477384"/>
    <n v="84"/>
    <d v="2034-06-26T00:00:00"/>
    <d v="2034-09-05T00:00:00"/>
    <x v="0"/>
    <x v="3"/>
  </r>
  <r>
    <n v="62331595011"/>
    <n v="98"/>
    <d v="2034-06-26T00:00:00"/>
    <d v="2034-09-17T00:00:00"/>
    <x v="0"/>
    <x v="3"/>
  </r>
  <r>
    <n v="38736908132"/>
    <n v="105"/>
    <d v="2034-06-26T00:00:00"/>
    <s v=""/>
    <x v="0"/>
    <x v="0"/>
  </r>
  <r>
    <n v="87354219247"/>
    <n v="113"/>
    <d v="2034-06-26T00:00:00"/>
    <s v=""/>
    <x v="0"/>
    <x v="0"/>
  </r>
  <r>
    <n v="34609547704"/>
    <n v="124"/>
    <d v="2034-06-26T00:00:00"/>
    <d v="2034-10-03T00:00:00"/>
    <x v="0"/>
    <x v="5"/>
  </r>
  <r>
    <n v="65793398297"/>
    <n v="132"/>
    <d v="2034-06-26T00:00:00"/>
    <s v=""/>
    <x v="0"/>
    <x v="0"/>
  </r>
  <r>
    <n v="95587144776"/>
    <n v="136"/>
    <d v="2034-06-26T00:00:00"/>
    <s v=""/>
    <x v="0"/>
    <x v="0"/>
  </r>
  <r>
    <n v="63173321861"/>
    <n v="142"/>
    <d v="2034-06-26T00:00:00"/>
    <m/>
    <x v="0"/>
    <x v="0"/>
  </r>
  <r>
    <n v="82115273741"/>
    <n v="169"/>
    <d v="2034-06-26T00:00:00"/>
    <s v=""/>
    <x v="0"/>
    <x v="0"/>
  </r>
  <r>
    <n v="11590486350"/>
    <n v="174"/>
    <d v="2034-06-26T00:00:00"/>
    <d v="2034-09-07T00:00:00"/>
    <x v="0"/>
    <x v="3"/>
  </r>
  <r>
    <n v="84910823894"/>
    <n v="185"/>
    <d v="2034-06-26T00:00:00"/>
    <d v="2034-10-15T00:00:00"/>
    <x v="0"/>
    <x v="5"/>
  </r>
  <r>
    <n v="92981096369"/>
    <n v="202"/>
    <d v="2034-06-26T00:00:00"/>
    <d v="2034-07-27T00:00:00"/>
    <x v="0"/>
    <x v="2"/>
  </r>
  <r>
    <n v="39793931625"/>
    <n v="206"/>
    <d v="2034-06-26T00:00:00"/>
    <s v=""/>
    <x v="0"/>
    <x v="0"/>
  </r>
  <r>
    <n v="94169318658"/>
    <n v="210"/>
    <d v="2034-06-26T00:00:00"/>
    <s v=""/>
    <x v="0"/>
    <x v="0"/>
  </r>
  <r>
    <n v="47476874820"/>
    <n v="223"/>
    <d v="2034-06-26T00:00:00"/>
    <s v=""/>
    <x v="0"/>
    <x v="0"/>
  </r>
  <r>
    <n v="56247334117"/>
    <n v="237"/>
    <d v="2034-06-26T00:00:00"/>
    <s v=""/>
    <x v="0"/>
    <x v="0"/>
  </r>
  <r>
    <n v="24957627792"/>
    <n v="277"/>
    <d v="2034-06-26T00:00:00"/>
    <s v=""/>
    <x v="0"/>
    <x v="0"/>
  </r>
  <r>
    <n v="20535771562"/>
    <n v="283"/>
    <d v="2034-06-26T00:00:00"/>
    <s v=""/>
    <x v="0"/>
    <x v="0"/>
  </r>
  <r>
    <n v="73280621696"/>
    <n v="293"/>
    <d v="2034-06-26T00:00:00"/>
    <s v=""/>
    <x v="0"/>
    <x v="0"/>
  </r>
  <r>
    <n v="99913725386"/>
    <n v="303"/>
    <d v="2034-06-26T00:00:00"/>
    <s v=""/>
    <x v="0"/>
    <x v="0"/>
  </r>
  <r>
    <n v="57415942424"/>
    <n v="304"/>
    <d v="2034-06-26T00:00:00"/>
    <s v=""/>
    <x v="0"/>
    <x v="0"/>
  </r>
  <r>
    <n v="43047990447"/>
    <n v="322"/>
    <d v="2034-06-26T00:00:00"/>
    <s v=""/>
    <x v="0"/>
    <x v="0"/>
  </r>
  <r>
    <n v="47699480470"/>
    <n v="14"/>
    <d v="2034-06-27T00:00:00"/>
    <d v="2034-07-29T00:00:00"/>
    <x v="0"/>
    <x v="2"/>
  </r>
  <r>
    <n v="79054538341"/>
    <n v="14"/>
    <d v="2034-06-27T00:00:00"/>
    <d v="2034-10-02T00:00:00"/>
    <x v="0"/>
    <x v="5"/>
  </r>
  <r>
    <n v="70616557469"/>
    <n v="19"/>
    <d v="2034-06-27T00:00:00"/>
    <s v=""/>
    <x v="0"/>
    <x v="0"/>
  </r>
  <r>
    <n v="44404908329"/>
    <n v="26"/>
    <d v="2034-06-27T00:00:00"/>
    <m/>
    <x v="0"/>
    <x v="0"/>
  </r>
  <r>
    <n v="53356730104"/>
    <n v="27"/>
    <d v="2034-06-27T00:00:00"/>
    <m/>
    <x v="0"/>
    <x v="0"/>
  </r>
  <r>
    <n v="45539195308"/>
    <n v="55"/>
    <d v="2034-06-27T00:00:00"/>
    <s v=""/>
    <x v="0"/>
    <x v="0"/>
  </r>
  <r>
    <n v="27812806974"/>
    <n v="58"/>
    <d v="2034-06-27T00:00:00"/>
    <m/>
    <x v="0"/>
    <x v="0"/>
  </r>
  <r>
    <n v="98403130680"/>
    <n v="75"/>
    <d v="2034-06-27T00:00:00"/>
    <d v="2034-09-10T00:00:00"/>
    <x v="0"/>
    <x v="3"/>
  </r>
  <r>
    <n v="81838135784"/>
    <n v="81"/>
    <d v="2034-06-27T00:00:00"/>
    <d v="2034-10-10T00:00:00"/>
    <x v="0"/>
    <x v="5"/>
  </r>
  <r>
    <n v="33325467724"/>
    <n v="87"/>
    <d v="2034-06-27T00:00:00"/>
    <m/>
    <x v="0"/>
    <x v="0"/>
  </r>
  <r>
    <n v="16132224538"/>
    <n v="99"/>
    <d v="2034-06-27T00:00:00"/>
    <s v=""/>
    <x v="0"/>
    <x v="0"/>
  </r>
  <r>
    <n v="80604899826"/>
    <n v="124"/>
    <d v="2034-06-27T00:00:00"/>
    <s v=""/>
    <x v="0"/>
    <x v="0"/>
  </r>
  <r>
    <n v="53433268697"/>
    <n v="133"/>
    <d v="2034-06-27T00:00:00"/>
    <d v="2034-09-12T00:00:00"/>
    <x v="0"/>
    <x v="3"/>
  </r>
  <r>
    <n v="77687226541"/>
    <n v="155"/>
    <d v="2034-06-27T00:00:00"/>
    <s v=""/>
    <x v="0"/>
    <x v="0"/>
  </r>
  <r>
    <n v="26513159795"/>
    <n v="162"/>
    <d v="2034-06-27T00:00:00"/>
    <s v=""/>
    <x v="0"/>
    <x v="0"/>
  </r>
  <r>
    <n v="48724441539"/>
    <n v="163"/>
    <d v="2034-06-27T00:00:00"/>
    <s v=""/>
    <x v="0"/>
    <x v="0"/>
  </r>
  <r>
    <n v="34399707292"/>
    <n v="164"/>
    <d v="2034-06-27T00:00:00"/>
    <s v=""/>
    <x v="0"/>
    <x v="0"/>
  </r>
  <r>
    <n v="11443957938"/>
    <n v="164"/>
    <d v="2034-06-27T00:00:00"/>
    <s v=""/>
    <x v="0"/>
    <x v="0"/>
  </r>
  <r>
    <n v="32079262178"/>
    <n v="177"/>
    <d v="2034-06-27T00:00:00"/>
    <m/>
    <x v="0"/>
    <x v="0"/>
  </r>
  <r>
    <n v="36034081109"/>
    <n v="177"/>
    <d v="2034-06-27T00:00:00"/>
    <s v=""/>
    <x v="0"/>
    <x v="0"/>
  </r>
  <r>
    <n v="54121901961"/>
    <n v="187"/>
    <d v="2034-06-27T00:00:00"/>
    <d v="2034-09-13T00:00:00"/>
    <x v="0"/>
    <x v="3"/>
  </r>
  <r>
    <n v="42469886221"/>
    <n v="216"/>
    <d v="2034-06-27T00:00:00"/>
    <s v=""/>
    <x v="0"/>
    <x v="0"/>
  </r>
  <r>
    <n v="39417898936"/>
    <n v="218"/>
    <d v="2034-06-27T00:00:00"/>
    <d v="2034-08-27T00:00:00"/>
    <x v="0"/>
    <x v="4"/>
  </r>
  <r>
    <n v="39970754683"/>
    <n v="273"/>
    <d v="2034-06-27T00:00:00"/>
    <m/>
    <x v="0"/>
    <x v="0"/>
  </r>
  <r>
    <n v="46600302138"/>
    <n v="275"/>
    <d v="2034-06-27T00:00:00"/>
    <m/>
    <x v="0"/>
    <x v="0"/>
  </r>
  <r>
    <n v="38875344270"/>
    <n v="277"/>
    <d v="2034-06-27T00:00:00"/>
    <s v=""/>
    <x v="0"/>
    <x v="0"/>
  </r>
  <r>
    <n v="90104868272"/>
    <n v="278"/>
    <d v="2034-06-27T00:00:00"/>
    <m/>
    <x v="0"/>
    <x v="0"/>
  </r>
  <r>
    <n v="47881138746"/>
    <n v="307"/>
    <d v="2034-06-27T00:00:00"/>
    <s v=""/>
    <x v="0"/>
    <x v="0"/>
  </r>
  <r>
    <n v="61065302537"/>
    <n v="322"/>
    <d v="2034-06-27T00:00:00"/>
    <s v=""/>
    <x v="0"/>
    <x v="0"/>
  </r>
  <r>
    <n v="42828927693"/>
    <n v="325"/>
    <d v="2034-06-27T00:00:00"/>
    <d v="2034-08-12T00:00:00"/>
    <x v="0"/>
    <x v="4"/>
  </r>
  <r>
    <n v="81924306760"/>
    <n v="34"/>
    <d v="2034-06-28T00:00:00"/>
    <s v=""/>
    <x v="0"/>
    <x v="0"/>
  </r>
  <r>
    <n v="58116034858"/>
    <n v="38"/>
    <d v="2034-06-28T00:00:00"/>
    <d v="2034-08-27T00:00:00"/>
    <x v="0"/>
    <x v="4"/>
  </r>
  <r>
    <n v="92562281322"/>
    <n v="41"/>
    <d v="2034-06-28T00:00:00"/>
    <s v=""/>
    <x v="0"/>
    <x v="0"/>
  </r>
  <r>
    <n v="45536164253"/>
    <n v="49"/>
    <d v="2034-06-28T00:00:00"/>
    <m/>
    <x v="0"/>
    <x v="0"/>
  </r>
  <r>
    <n v="48706504819"/>
    <n v="65"/>
    <d v="2034-06-28T00:00:00"/>
    <s v=""/>
    <x v="0"/>
    <x v="0"/>
  </r>
  <r>
    <n v="74309087993"/>
    <n v="79"/>
    <d v="2034-06-28T00:00:00"/>
    <d v="2034-07-26T00:00:00"/>
    <x v="0"/>
    <x v="2"/>
  </r>
  <r>
    <n v="46553557203"/>
    <n v="81"/>
    <d v="2034-06-28T00:00:00"/>
    <s v=""/>
    <x v="0"/>
    <x v="0"/>
  </r>
  <r>
    <n v="32924117087"/>
    <n v="85"/>
    <d v="2034-06-28T00:00:00"/>
    <s v=""/>
    <x v="0"/>
    <x v="0"/>
  </r>
  <r>
    <n v="21711116675"/>
    <n v="87"/>
    <d v="2034-06-28T00:00:00"/>
    <s v=""/>
    <x v="0"/>
    <x v="0"/>
  </r>
  <r>
    <n v="45770135809"/>
    <n v="127"/>
    <d v="2034-06-28T00:00:00"/>
    <s v=""/>
    <x v="0"/>
    <x v="0"/>
  </r>
  <r>
    <n v="89149096085"/>
    <n v="211"/>
    <d v="2034-06-28T00:00:00"/>
    <d v="2034-08-03T00:00:00"/>
    <x v="0"/>
    <x v="4"/>
  </r>
  <r>
    <n v="12865599957"/>
    <n v="213"/>
    <d v="2034-06-28T00:00:00"/>
    <d v="2034-07-06T00:00:00"/>
    <x v="0"/>
    <x v="2"/>
  </r>
  <r>
    <n v="48399733342"/>
    <n v="224"/>
    <d v="2034-06-28T00:00:00"/>
    <m/>
    <x v="0"/>
    <x v="0"/>
  </r>
  <r>
    <n v="67247070705"/>
    <n v="241"/>
    <d v="2034-06-28T00:00:00"/>
    <s v=""/>
    <x v="0"/>
    <x v="0"/>
  </r>
  <r>
    <n v="14547197633"/>
    <n v="253"/>
    <d v="2034-06-28T00:00:00"/>
    <s v=""/>
    <x v="0"/>
    <x v="0"/>
  </r>
  <r>
    <n v="48403463231"/>
    <n v="257"/>
    <d v="2034-06-28T00:00:00"/>
    <s v=""/>
    <x v="0"/>
    <x v="0"/>
  </r>
  <r>
    <n v="83272360691"/>
    <n v="270"/>
    <d v="2034-06-28T00:00:00"/>
    <s v=""/>
    <x v="0"/>
    <x v="0"/>
  </r>
  <r>
    <n v="33154790361"/>
    <n v="299"/>
    <d v="2034-06-28T00:00:00"/>
    <s v=""/>
    <x v="0"/>
    <x v="0"/>
  </r>
  <r>
    <n v="23971017017"/>
    <n v="301"/>
    <d v="2034-06-28T00:00:00"/>
    <s v=""/>
    <x v="0"/>
    <x v="0"/>
  </r>
  <r>
    <n v="66139149065"/>
    <n v="321"/>
    <d v="2034-06-28T00:00:00"/>
    <s v=""/>
    <x v="0"/>
    <x v="0"/>
  </r>
  <r>
    <n v="56811261634"/>
    <n v="324"/>
    <d v="2034-06-28T00:00:00"/>
    <m/>
    <x v="0"/>
    <x v="0"/>
  </r>
  <r>
    <n v="91557912533"/>
    <n v="326"/>
    <d v="2034-06-28T00:00:00"/>
    <m/>
    <x v="0"/>
    <x v="0"/>
  </r>
  <r>
    <n v="63741923021"/>
    <n v="333"/>
    <d v="2034-06-28T00:00:00"/>
    <s v=""/>
    <x v="0"/>
    <x v="0"/>
  </r>
  <r>
    <n v="87504700820"/>
    <n v="5"/>
    <d v="2034-06-29T00:00:00"/>
    <s v=""/>
    <x v="0"/>
    <x v="0"/>
  </r>
  <r>
    <n v="61973555842"/>
    <n v="31"/>
    <d v="2034-06-29T00:00:00"/>
    <d v="2034-09-02T00:00:00"/>
    <x v="0"/>
    <x v="3"/>
  </r>
  <r>
    <n v="93944570468"/>
    <n v="46"/>
    <d v="2034-06-29T00:00:00"/>
    <s v=""/>
    <x v="0"/>
    <x v="0"/>
  </r>
  <r>
    <n v="81419666440"/>
    <n v="54"/>
    <d v="2034-06-29T00:00:00"/>
    <s v=""/>
    <x v="0"/>
    <x v="0"/>
  </r>
  <r>
    <n v="29436738076"/>
    <n v="63"/>
    <d v="2034-06-29T00:00:00"/>
    <s v=""/>
    <x v="0"/>
    <x v="0"/>
  </r>
  <r>
    <n v="27060404735"/>
    <n v="67"/>
    <d v="2034-06-29T00:00:00"/>
    <s v=""/>
    <x v="0"/>
    <x v="0"/>
  </r>
  <r>
    <n v="45884479832"/>
    <n v="74"/>
    <d v="2034-06-29T00:00:00"/>
    <s v=""/>
    <x v="0"/>
    <x v="0"/>
  </r>
  <r>
    <n v="88232186588"/>
    <n v="76"/>
    <d v="2034-06-29T00:00:00"/>
    <s v=""/>
    <x v="0"/>
    <x v="0"/>
  </r>
  <r>
    <n v="27137406885"/>
    <n v="80"/>
    <d v="2034-06-29T00:00:00"/>
    <s v=""/>
    <x v="0"/>
    <x v="0"/>
  </r>
  <r>
    <n v="18735526676"/>
    <n v="106"/>
    <d v="2034-06-29T00:00:00"/>
    <s v=""/>
    <x v="0"/>
    <x v="0"/>
  </r>
  <r>
    <n v="18389132051"/>
    <n v="131"/>
    <d v="2034-06-29T00:00:00"/>
    <s v=""/>
    <x v="0"/>
    <x v="0"/>
  </r>
  <r>
    <n v="26675958214"/>
    <n v="132"/>
    <d v="2034-06-29T00:00:00"/>
    <s v=""/>
    <x v="0"/>
    <x v="0"/>
  </r>
  <r>
    <n v="53207430505"/>
    <n v="156"/>
    <d v="2034-06-29T00:00:00"/>
    <d v="2034-09-19T00:00:00"/>
    <x v="0"/>
    <x v="3"/>
  </r>
  <r>
    <n v="58164715539"/>
    <n v="167"/>
    <d v="2034-06-29T00:00:00"/>
    <s v=""/>
    <x v="0"/>
    <x v="0"/>
  </r>
  <r>
    <n v="82939861040"/>
    <n v="170"/>
    <d v="2034-06-29T00:00:00"/>
    <s v=""/>
    <x v="0"/>
    <x v="0"/>
  </r>
  <r>
    <n v="43144680688"/>
    <n v="172"/>
    <d v="2034-06-29T00:00:00"/>
    <s v=""/>
    <x v="0"/>
    <x v="0"/>
  </r>
  <r>
    <n v="79517428260"/>
    <n v="172"/>
    <d v="2034-06-29T00:00:00"/>
    <s v=""/>
    <x v="0"/>
    <x v="0"/>
  </r>
  <r>
    <n v="37667378140"/>
    <n v="173"/>
    <d v="2034-06-29T00:00:00"/>
    <s v=""/>
    <x v="0"/>
    <x v="0"/>
  </r>
  <r>
    <n v="78137937475"/>
    <n v="210"/>
    <d v="2034-06-29T00:00:00"/>
    <s v=""/>
    <x v="0"/>
    <x v="0"/>
  </r>
  <r>
    <n v="77326099748"/>
    <n v="235"/>
    <d v="2034-06-29T00:00:00"/>
    <m/>
    <x v="0"/>
    <x v="0"/>
  </r>
  <r>
    <n v="56328586999"/>
    <n v="258"/>
    <d v="2034-06-29T00:00:00"/>
    <s v=""/>
    <x v="0"/>
    <x v="0"/>
  </r>
  <r>
    <n v="35531491430"/>
    <n v="284"/>
    <d v="2034-06-29T00:00:00"/>
    <s v=""/>
    <x v="0"/>
    <x v="0"/>
  </r>
  <r>
    <n v="53288734842"/>
    <n v="304"/>
    <d v="2034-06-29T00:00:00"/>
    <m/>
    <x v="0"/>
    <x v="0"/>
  </r>
  <r>
    <n v="88584283836"/>
    <n v="331"/>
    <d v="2034-06-29T00:00:00"/>
    <d v="2034-09-18T00:00:00"/>
    <x v="0"/>
    <x v="3"/>
  </r>
  <r>
    <n v="28750443238"/>
    <n v="3"/>
    <d v="2034-06-30T00:00:00"/>
    <s v=""/>
    <x v="0"/>
    <x v="0"/>
  </r>
  <r>
    <n v="76041601855"/>
    <n v="20"/>
    <d v="2034-06-30T00:00:00"/>
    <d v="2034-09-16T00:00:00"/>
    <x v="0"/>
    <x v="3"/>
  </r>
  <r>
    <n v="82754263583"/>
    <n v="30"/>
    <d v="2034-06-30T00:00:00"/>
    <d v="2034-08-30T00:00:00"/>
    <x v="0"/>
    <x v="4"/>
  </r>
  <r>
    <n v="58616609092"/>
    <n v="32"/>
    <d v="2034-06-30T00:00:00"/>
    <m/>
    <x v="0"/>
    <x v="0"/>
  </r>
  <r>
    <n v="52784225667"/>
    <n v="43"/>
    <d v="2034-06-30T00:00:00"/>
    <s v=""/>
    <x v="0"/>
    <x v="0"/>
  </r>
  <r>
    <n v="73538942801"/>
    <n v="58"/>
    <d v="2034-06-30T00:00:00"/>
    <s v=""/>
    <x v="0"/>
    <x v="0"/>
  </r>
  <r>
    <n v="98289925565"/>
    <n v="80"/>
    <d v="2034-06-30T00:00:00"/>
    <s v=""/>
    <x v="0"/>
    <x v="0"/>
  </r>
  <r>
    <n v="11988368769"/>
    <n v="110"/>
    <d v="2034-06-30T00:00:00"/>
    <s v=""/>
    <x v="0"/>
    <x v="0"/>
  </r>
  <r>
    <n v="56187951936"/>
    <n v="112"/>
    <d v="2034-06-30T00:00:00"/>
    <d v="2034-07-27T00:00:00"/>
    <x v="0"/>
    <x v="2"/>
  </r>
  <r>
    <n v="73528405165"/>
    <n v="119"/>
    <d v="2034-06-30T00:00:00"/>
    <d v="2034-07-01T00:00:00"/>
    <x v="0"/>
    <x v="2"/>
  </r>
  <r>
    <n v="24076084288"/>
    <n v="124"/>
    <d v="2034-06-30T00:00:00"/>
    <d v="2034-08-22T00:00:00"/>
    <x v="0"/>
    <x v="4"/>
  </r>
  <r>
    <n v="45140495647"/>
    <n v="139"/>
    <d v="2034-06-30T00:00:00"/>
    <s v=""/>
    <x v="0"/>
    <x v="0"/>
  </r>
  <r>
    <n v="77059291140"/>
    <n v="152"/>
    <d v="2034-06-30T00:00:00"/>
    <s v=""/>
    <x v="0"/>
    <x v="0"/>
  </r>
  <r>
    <n v="66866342994"/>
    <n v="184"/>
    <d v="2034-06-30T00:00:00"/>
    <s v=""/>
    <x v="0"/>
    <x v="0"/>
  </r>
  <r>
    <n v="67602448349"/>
    <n v="191"/>
    <d v="2034-06-30T00:00:00"/>
    <s v=""/>
    <x v="0"/>
    <x v="0"/>
  </r>
  <r>
    <n v="80253047093"/>
    <n v="236"/>
    <d v="2034-06-30T00:00:00"/>
    <s v=""/>
    <x v="0"/>
    <x v="0"/>
  </r>
  <r>
    <n v="38471034630"/>
    <n v="263"/>
    <d v="2034-06-30T00:00:00"/>
    <s v=""/>
    <x v="0"/>
    <x v="0"/>
  </r>
  <r>
    <n v="88730976583"/>
    <n v="287"/>
    <d v="2034-06-30T00:00:00"/>
    <s v=""/>
    <x v="0"/>
    <x v="0"/>
  </r>
  <r>
    <n v="39942173399"/>
    <n v="291"/>
    <d v="2034-06-30T00:00:00"/>
    <m/>
    <x v="0"/>
    <x v="0"/>
  </r>
  <r>
    <n v="81658649032"/>
    <n v="292"/>
    <d v="2034-06-30T00:00:00"/>
    <m/>
    <x v="0"/>
    <x v="0"/>
  </r>
  <r>
    <n v="35660727677"/>
    <n v="311"/>
    <d v="2034-06-30T00:00:00"/>
    <s v=""/>
    <x v="0"/>
    <x v="0"/>
  </r>
  <r>
    <n v="51248643688"/>
    <n v="312"/>
    <d v="2034-06-30T00:00:00"/>
    <s v=""/>
    <x v="0"/>
    <x v="0"/>
  </r>
  <r>
    <n v="85597588840"/>
    <n v="2"/>
    <d v="2034-07-01T00:00:00"/>
    <s v=""/>
    <x v="1"/>
    <x v="0"/>
  </r>
  <r>
    <n v="92481886532"/>
    <n v="23"/>
    <d v="2034-07-01T00:00:00"/>
    <s v=""/>
    <x v="1"/>
    <x v="0"/>
  </r>
  <r>
    <n v="67383012930"/>
    <n v="39"/>
    <d v="2034-07-01T00:00:00"/>
    <s v=""/>
    <x v="1"/>
    <x v="0"/>
  </r>
  <r>
    <n v="60974686343"/>
    <n v="40"/>
    <d v="2034-07-01T00:00:00"/>
    <s v=""/>
    <x v="1"/>
    <x v="0"/>
  </r>
  <r>
    <n v="86370576590"/>
    <n v="46"/>
    <d v="2034-07-01T00:00:00"/>
    <s v=""/>
    <x v="1"/>
    <x v="0"/>
  </r>
  <r>
    <n v="91809130622"/>
    <n v="87"/>
    <d v="2034-07-01T00:00:00"/>
    <d v="2034-07-27T00:00:00"/>
    <x v="1"/>
    <x v="2"/>
  </r>
  <r>
    <n v="98051540035"/>
    <n v="96"/>
    <d v="2034-07-01T00:00:00"/>
    <d v="2034-10-24T00:00:00"/>
    <x v="1"/>
    <x v="5"/>
  </r>
  <r>
    <n v="13637592571"/>
    <n v="96"/>
    <d v="2034-07-01T00:00:00"/>
    <s v=""/>
    <x v="1"/>
    <x v="0"/>
  </r>
  <r>
    <n v="20685575326"/>
    <n v="112"/>
    <d v="2034-07-01T00:00:00"/>
    <s v=""/>
    <x v="1"/>
    <x v="0"/>
  </r>
  <r>
    <n v="59373563851"/>
    <n v="120"/>
    <d v="2034-07-01T00:00:00"/>
    <s v=""/>
    <x v="1"/>
    <x v="0"/>
  </r>
  <r>
    <n v="92336037120"/>
    <n v="161"/>
    <d v="2034-07-01T00:00:00"/>
    <s v=""/>
    <x v="1"/>
    <x v="0"/>
  </r>
  <r>
    <n v="37355318107"/>
    <n v="172"/>
    <d v="2034-07-01T00:00:00"/>
    <d v="2034-09-10T00:00:00"/>
    <x v="1"/>
    <x v="3"/>
  </r>
  <r>
    <n v="30487113130"/>
    <n v="175"/>
    <d v="2034-07-01T00:00:00"/>
    <d v="2034-07-04T00:00:00"/>
    <x v="1"/>
    <x v="2"/>
  </r>
  <r>
    <n v="96454120029"/>
    <n v="180"/>
    <d v="2034-07-01T00:00:00"/>
    <s v=""/>
    <x v="1"/>
    <x v="0"/>
  </r>
  <r>
    <n v="73547296448"/>
    <n v="184"/>
    <d v="2034-07-01T00:00:00"/>
    <s v=""/>
    <x v="1"/>
    <x v="0"/>
  </r>
  <r>
    <n v="91122993858"/>
    <n v="190"/>
    <d v="2034-07-01T00:00:00"/>
    <d v="2034-09-09T00:00:00"/>
    <x v="1"/>
    <x v="3"/>
  </r>
  <r>
    <n v="82438682711"/>
    <n v="190"/>
    <d v="2034-07-01T00:00:00"/>
    <s v=""/>
    <x v="1"/>
    <x v="0"/>
  </r>
  <r>
    <n v="92193766367"/>
    <n v="196"/>
    <d v="2034-07-01T00:00:00"/>
    <s v=""/>
    <x v="1"/>
    <x v="0"/>
  </r>
  <r>
    <n v="58089163987"/>
    <n v="220"/>
    <d v="2034-07-01T00:00:00"/>
    <s v=""/>
    <x v="1"/>
    <x v="0"/>
  </r>
  <r>
    <n v="33861321904"/>
    <n v="232"/>
    <d v="2034-07-01T00:00:00"/>
    <s v=""/>
    <x v="1"/>
    <x v="0"/>
  </r>
  <r>
    <n v="76058655338"/>
    <n v="238"/>
    <d v="2034-07-01T00:00:00"/>
    <s v=""/>
    <x v="1"/>
    <x v="0"/>
  </r>
  <r>
    <n v="91836022701"/>
    <n v="245"/>
    <d v="2034-07-01T00:00:00"/>
    <s v=""/>
    <x v="1"/>
    <x v="0"/>
  </r>
  <r>
    <n v="21376510085"/>
    <n v="260"/>
    <d v="2034-07-01T00:00:00"/>
    <s v=""/>
    <x v="1"/>
    <x v="0"/>
  </r>
  <r>
    <n v="25148112272"/>
    <n v="261"/>
    <d v="2034-07-01T00:00:00"/>
    <s v=""/>
    <x v="1"/>
    <x v="0"/>
  </r>
  <r>
    <n v="35233435278"/>
    <n v="268"/>
    <d v="2034-07-01T00:00:00"/>
    <s v=""/>
    <x v="1"/>
    <x v="0"/>
  </r>
  <r>
    <n v="26257771630"/>
    <n v="274"/>
    <d v="2034-07-01T00:00:00"/>
    <m/>
    <x v="1"/>
    <x v="0"/>
  </r>
  <r>
    <n v="21842597103"/>
    <n v="289"/>
    <d v="2034-07-01T00:00:00"/>
    <s v=""/>
    <x v="1"/>
    <x v="0"/>
  </r>
  <r>
    <n v="61148579356"/>
    <n v="289"/>
    <d v="2034-07-01T00:00:00"/>
    <s v=""/>
    <x v="1"/>
    <x v="0"/>
  </r>
  <r>
    <n v="69195622129"/>
    <n v="312"/>
    <d v="2034-07-01T00:00:00"/>
    <s v=""/>
    <x v="1"/>
    <x v="0"/>
  </r>
  <r>
    <n v="38155186358"/>
    <n v="332"/>
    <d v="2034-07-01T00:00:00"/>
    <m/>
    <x v="1"/>
    <x v="0"/>
  </r>
  <r>
    <n v="14162203218"/>
    <n v="336"/>
    <d v="2034-07-01T00:00:00"/>
    <s v=""/>
    <x v="1"/>
    <x v="0"/>
  </r>
  <r>
    <n v="14506369237"/>
    <n v="1"/>
    <d v="2034-07-02T00:00:00"/>
    <d v="2034-10-14T00:00:00"/>
    <x v="1"/>
    <x v="5"/>
  </r>
  <r>
    <n v="75278138310"/>
    <n v="5"/>
    <d v="2034-07-02T00:00:00"/>
    <d v="2034-10-17T00:00:00"/>
    <x v="1"/>
    <x v="5"/>
  </r>
  <r>
    <n v="33055692727"/>
    <n v="17"/>
    <d v="2034-07-02T00:00:00"/>
    <s v=""/>
    <x v="1"/>
    <x v="0"/>
  </r>
  <r>
    <n v="55651533536"/>
    <n v="39"/>
    <d v="2034-07-02T00:00:00"/>
    <s v=""/>
    <x v="1"/>
    <x v="0"/>
  </r>
  <r>
    <n v="73482366047"/>
    <n v="43"/>
    <d v="2034-07-02T00:00:00"/>
    <s v=""/>
    <x v="1"/>
    <x v="0"/>
  </r>
  <r>
    <n v="95890894836"/>
    <n v="47"/>
    <d v="2034-07-02T00:00:00"/>
    <m/>
    <x v="1"/>
    <x v="0"/>
  </r>
  <r>
    <n v="48698908159"/>
    <n v="49"/>
    <d v="2034-07-02T00:00:00"/>
    <s v=""/>
    <x v="1"/>
    <x v="0"/>
  </r>
  <r>
    <n v="68199923393"/>
    <n v="53"/>
    <d v="2034-07-02T00:00:00"/>
    <m/>
    <x v="1"/>
    <x v="0"/>
  </r>
  <r>
    <n v="29465609449"/>
    <n v="57"/>
    <d v="2034-07-02T00:00:00"/>
    <s v=""/>
    <x v="1"/>
    <x v="0"/>
  </r>
  <r>
    <n v="31183270027"/>
    <n v="96"/>
    <d v="2034-07-02T00:00:00"/>
    <s v=""/>
    <x v="1"/>
    <x v="0"/>
  </r>
  <r>
    <n v="82209764401"/>
    <n v="130"/>
    <d v="2034-07-02T00:00:00"/>
    <s v=""/>
    <x v="1"/>
    <x v="0"/>
  </r>
  <r>
    <n v="24331051008"/>
    <n v="136"/>
    <d v="2034-07-02T00:00:00"/>
    <s v=""/>
    <x v="1"/>
    <x v="0"/>
  </r>
  <r>
    <n v="11898312281"/>
    <n v="137"/>
    <d v="2034-07-02T00:00:00"/>
    <d v="2034-09-03T00:00:00"/>
    <x v="1"/>
    <x v="3"/>
  </r>
  <r>
    <n v="87078594163"/>
    <n v="156"/>
    <d v="2034-07-02T00:00:00"/>
    <d v="2034-10-01T00:00:00"/>
    <x v="1"/>
    <x v="5"/>
  </r>
  <r>
    <n v="55898908290"/>
    <n v="164"/>
    <d v="2034-07-02T00:00:00"/>
    <s v=""/>
    <x v="1"/>
    <x v="0"/>
  </r>
  <r>
    <n v="30932071097"/>
    <n v="195"/>
    <d v="2034-07-02T00:00:00"/>
    <s v=""/>
    <x v="1"/>
    <x v="0"/>
  </r>
  <r>
    <n v="76676708268"/>
    <n v="199"/>
    <d v="2034-07-02T00:00:00"/>
    <s v=""/>
    <x v="1"/>
    <x v="0"/>
  </r>
  <r>
    <n v="88583341190"/>
    <n v="200"/>
    <d v="2034-07-02T00:00:00"/>
    <s v=""/>
    <x v="1"/>
    <x v="0"/>
  </r>
  <r>
    <n v="14278083367"/>
    <n v="253"/>
    <d v="2034-07-02T00:00:00"/>
    <m/>
    <x v="1"/>
    <x v="0"/>
  </r>
  <r>
    <n v="44728123168"/>
    <n v="272"/>
    <d v="2034-07-02T00:00:00"/>
    <d v="2034-10-28T00:00:00"/>
    <x v="1"/>
    <x v="5"/>
  </r>
  <r>
    <n v="36571233624"/>
    <n v="280"/>
    <d v="2034-07-02T00:00:00"/>
    <m/>
    <x v="1"/>
    <x v="0"/>
  </r>
  <r>
    <n v="17294567116"/>
    <n v="286"/>
    <d v="2034-07-02T00:00:00"/>
    <d v="2034-07-09T00:00:00"/>
    <x v="1"/>
    <x v="2"/>
  </r>
  <r>
    <n v="62715446958"/>
    <n v="329"/>
    <d v="2034-07-02T00:00:00"/>
    <m/>
    <x v="1"/>
    <x v="0"/>
  </r>
  <r>
    <n v="21152426434"/>
    <n v="335"/>
    <d v="2034-07-02T00:00:00"/>
    <s v=""/>
    <x v="1"/>
    <x v="0"/>
  </r>
  <r>
    <n v="71051588983"/>
    <n v="22"/>
    <d v="2034-07-03T00:00:00"/>
    <d v="2034-10-11T00:00:00"/>
    <x v="1"/>
    <x v="5"/>
  </r>
  <r>
    <n v="63866622804"/>
    <n v="27"/>
    <d v="2034-07-03T00:00:00"/>
    <d v="2034-08-10T00:00:00"/>
    <x v="1"/>
    <x v="4"/>
  </r>
  <r>
    <n v="80684223971"/>
    <n v="28"/>
    <d v="2034-07-03T00:00:00"/>
    <s v=""/>
    <x v="1"/>
    <x v="0"/>
  </r>
  <r>
    <n v="87648209992"/>
    <n v="42"/>
    <d v="2034-07-03T00:00:00"/>
    <s v=""/>
    <x v="1"/>
    <x v="0"/>
  </r>
  <r>
    <n v="13317253263"/>
    <n v="50"/>
    <d v="2034-07-03T00:00:00"/>
    <s v=""/>
    <x v="1"/>
    <x v="0"/>
  </r>
  <r>
    <n v="99978378492"/>
    <n v="50"/>
    <d v="2034-07-03T00:00:00"/>
    <s v=""/>
    <x v="1"/>
    <x v="0"/>
  </r>
  <r>
    <n v="82427963656"/>
    <n v="52"/>
    <d v="2034-07-03T00:00:00"/>
    <m/>
    <x v="1"/>
    <x v="0"/>
  </r>
  <r>
    <n v="84435766652"/>
    <n v="96"/>
    <d v="2034-07-03T00:00:00"/>
    <d v="2034-10-22T00:00:00"/>
    <x v="1"/>
    <x v="5"/>
  </r>
  <r>
    <n v="35427365921"/>
    <n v="106"/>
    <d v="2034-07-03T00:00:00"/>
    <s v=""/>
    <x v="1"/>
    <x v="0"/>
  </r>
  <r>
    <n v="19748476661"/>
    <n v="131"/>
    <d v="2034-07-03T00:00:00"/>
    <d v="2034-09-06T00:00:00"/>
    <x v="1"/>
    <x v="3"/>
  </r>
  <r>
    <n v="75773453186"/>
    <n v="139"/>
    <d v="2034-07-03T00:00:00"/>
    <s v=""/>
    <x v="1"/>
    <x v="0"/>
  </r>
  <r>
    <n v="20793290391"/>
    <n v="141"/>
    <d v="2034-07-03T00:00:00"/>
    <d v="2034-08-19T00:00:00"/>
    <x v="1"/>
    <x v="4"/>
  </r>
  <r>
    <n v="60035900277"/>
    <n v="144"/>
    <d v="2034-07-03T00:00:00"/>
    <s v=""/>
    <x v="1"/>
    <x v="0"/>
  </r>
  <r>
    <n v="38262429586"/>
    <n v="156"/>
    <d v="2034-07-03T00:00:00"/>
    <s v=""/>
    <x v="1"/>
    <x v="0"/>
  </r>
  <r>
    <n v="40807810151"/>
    <n v="181"/>
    <d v="2034-07-03T00:00:00"/>
    <m/>
    <x v="1"/>
    <x v="0"/>
  </r>
  <r>
    <n v="81690402837"/>
    <n v="199"/>
    <d v="2034-07-03T00:00:00"/>
    <d v="2034-10-22T00:00:00"/>
    <x v="1"/>
    <x v="5"/>
  </r>
  <r>
    <n v="87707724896"/>
    <n v="237"/>
    <d v="2034-07-03T00:00:00"/>
    <s v=""/>
    <x v="1"/>
    <x v="0"/>
  </r>
  <r>
    <n v="57781674671"/>
    <n v="246"/>
    <d v="2034-07-03T00:00:00"/>
    <d v="2034-07-08T00:00:00"/>
    <x v="1"/>
    <x v="2"/>
  </r>
  <r>
    <n v="22204674324"/>
    <n v="277"/>
    <d v="2034-07-03T00:00:00"/>
    <s v=""/>
    <x v="1"/>
    <x v="0"/>
  </r>
  <r>
    <n v="39382682676"/>
    <n v="283"/>
    <d v="2034-07-03T00:00:00"/>
    <s v=""/>
    <x v="1"/>
    <x v="0"/>
  </r>
  <r>
    <n v="49939236227"/>
    <n v="288"/>
    <d v="2034-07-03T00:00:00"/>
    <s v=""/>
    <x v="1"/>
    <x v="0"/>
  </r>
  <r>
    <n v="33727478211"/>
    <n v="296"/>
    <d v="2034-07-03T00:00:00"/>
    <s v=""/>
    <x v="1"/>
    <x v="0"/>
  </r>
  <r>
    <n v="18570918924"/>
    <n v="305"/>
    <d v="2034-07-03T00:00:00"/>
    <d v="2034-09-06T00:00:00"/>
    <x v="1"/>
    <x v="3"/>
  </r>
  <r>
    <n v="94339233802"/>
    <n v="313"/>
    <d v="2034-07-03T00:00:00"/>
    <d v="2034-07-06T00:00:00"/>
    <x v="1"/>
    <x v="2"/>
  </r>
  <r>
    <n v="58119032587"/>
    <n v="320"/>
    <d v="2034-07-03T00:00:00"/>
    <s v=""/>
    <x v="1"/>
    <x v="0"/>
  </r>
  <r>
    <n v="64102121145"/>
    <n v="335"/>
    <d v="2034-07-03T00:00:00"/>
    <s v=""/>
    <x v="1"/>
    <x v="0"/>
  </r>
  <r>
    <n v="22001153346"/>
    <n v="11"/>
    <d v="2034-07-04T00:00:00"/>
    <s v=""/>
    <x v="1"/>
    <x v="0"/>
  </r>
  <r>
    <n v="15233929936"/>
    <n v="25"/>
    <d v="2034-07-04T00:00:00"/>
    <d v="2034-10-12T00:00:00"/>
    <x v="1"/>
    <x v="5"/>
  </r>
  <r>
    <n v="36360576085"/>
    <n v="48"/>
    <d v="2034-07-04T00:00:00"/>
    <s v=""/>
    <x v="1"/>
    <x v="0"/>
  </r>
  <r>
    <n v="94880719426"/>
    <n v="54"/>
    <d v="2034-07-04T00:00:00"/>
    <s v=""/>
    <x v="1"/>
    <x v="0"/>
  </r>
  <r>
    <n v="54620706745"/>
    <n v="55"/>
    <d v="2034-07-04T00:00:00"/>
    <m/>
    <x v="1"/>
    <x v="0"/>
  </r>
  <r>
    <n v="15335905269"/>
    <n v="85"/>
    <d v="2034-07-04T00:00:00"/>
    <s v=""/>
    <x v="1"/>
    <x v="0"/>
  </r>
  <r>
    <n v="48725289104"/>
    <n v="88"/>
    <d v="2034-07-04T00:00:00"/>
    <s v=""/>
    <x v="1"/>
    <x v="0"/>
  </r>
  <r>
    <n v="94864439735"/>
    <n v="102"/>
    <d v="2034-07-04T00:00:00"/>
    <d v="2034-09-13T00:00:00"/>
    <x v="1"/>
    <x v="3"/>
  </r>
  <r>
    <n v="63931672081"/>
    <n v="103"/>
    <d v="2034-07-04T00:00:00"/>
    <d v="2034-08-19T00:00:00"/>
    <x v="1"/>
    <x v="4"/>
  </r>
  <r>
    <n v="90471655199"/>
    <n v="105"/>
    <d v="2034-07-04T00:00:00"/>
    <s v=""/>
    <x v="1"/>
    <x v="0"/>
  </r>
  <r>
    <n v="36591141070"/>
    <n v="115"/>
    <d v="2034-07-04T00:00:00"/>
    <d v="2034-09-20T00:00:00"/>
    <x v="1"/>
    <x v="3"/>
  </r>
  <r>
    <n v="24965621616"/>
    <n v="142"/>
    <d v="2034-07-04T00:00:00"/>
    <s v=""/>
    <x v="1"/>
    <x v="0"/>
  </r>
  <r>
    <n v="85202821059"/>
    <n v="157"/>
    <d v="2034-07-04T00:00:00"/>
    <d v="2034-07-05T00:00:00"/>
    <x v="1"/>
    <x v="2"/>
  </r>
  <r>
    <n v="63743097516"/>
    <n v="163"/>
    <d v="2034-07-04T00:00:00"/>
    <s v=""/>
    <x v="1"/>
    <x v="0"/>
  </r>
  <r>
    <n v="61676886514"/>
    <n v="163"/>
    <d v="2034-07-04T00:00:00"/>
    <s v=""/>
    <x v="1"/>
    <x v="0"/>
  </r>
  <r>
    <n v="69588527557"/>
    <n v="171"/>
    <d v="2034-07-04T00:00:00"/>
    <m/>
    <x v="1"/>
    <x v="0"/>
  </r>
  <r>
    <n v="97186100003"/>
    <n v="173"/>
    <d v="2034-07-04T00:00:00"/>
    <s v=""/>
    <x v="1"/>
    <x v="0"/>
  </r>
  <r>
    <n v="31475179914"/>
    <n v="180"/>
    <d v="2034-07-04T00:00:00"/>
    <s v=""/>
    <x v="1"/>
    <x v="0"/>
  </r>
  <r>
    <n v="40596272278"/>
    <n v="180"/>
    <d v="2034-07-04T00:00:00"/>
    <m/>
    <x v="1"/>
    <x v="0"/>
  </r>
  <r>
    <n v="99027420975"/>
    <n v="216"/>
    <d v="2034-07-04T00:00:00"/>
    <s v=""/>
    <x v="1"/>
    <x v="0"/>
  </r>
  <r>
    <n v="53465157692"/>
    <n v="227"/>
    <d v="2034-07-04T00:00:00"/>
    <s v=""/>
    <x v="1"/>
    <x v="0"/>
  </r>
  <r>
    <n v="38677598171"/>
    <n v="232"/>
    <d v="2034-07-04T00:00:00"/>
    <s v=""/>
    <x v="1"/>
    <x v="0"/>
  </r>
  <r>
    <n v="22357882899"/>
    <n v="245"/>
    <d v="2034-07-04T00:00:00"/>
    <s v=""/>
    <x v="1"/>
    <x v="0"/>
  </r>
  <r>
    <n v="60093542683"/>
    <n v="246"/>
    <d v="2034-07-04T00:00:00"/>
    <s v=""/>
    <x v="1"/>
    <x v="0"/>
  </r>
  <r>
    <n v="76674842828"/>
    <n v="248"/>
    <d v="2034-07-04T00:00:00"/>
    <s v=""/>
    <x v="1"/>
    <x v="0"/>
  </r>
  <r>
    <n v="44103956387"/>
    <n v="251"/>
    <d v="2034-07-04T00:00:00"/>
    <d v="2034-09-11T00:00:00"/>
    <x v="1"/>
    <x v="3"/>
  </r>
  <r>
    <n v="31056433940"/>
    <n v="272"/>
    <d v="2034-07-04T00:00:00"/>
    <s v=""/>
    <x v="1"/>
    <x v="0"/>
  </r>
  <r>
    <n v="97138491934"/>
    <n v="280"/>
    <d v="2034-07-04T00:00:00"/>
    <s v=""/>
    <x v="1"/>
    <x v="0"/>
  </r>
  <r>
    <n v="70142518678"/>
    <n v="308"/>
    <d v="2034-07-04T00:00:00"/>
    <s v=""/>
    <x v="1"/>
    <x v="0"/>
  </r>
  <r>
    <n v="48379156255"/>
    <n v="308"/>
    <d v="2034-07-04T00:00:00"/>
    <s v=""/>
    <x v="1"/>
    <x v="0"/>
  </r>
  <r>
    <n v="94436566573"/>
    <n v="327"/>
    <d v="2034-07-04T00:00:00"/>
    <s v=""/>
    <x v="1"/>
    <x v="0"/>
  </r>
  <r>
    <n v="28155667999"/>
    <n v="335"/>
    <d v="2034-07-04T00:00:00"/>
    <s v=""/>
    <x v="1"/>
    <x v="0"/>
  </r>
  <r>
    <n v="24526886618"/>
    <n v="336"/>
    <d v="2034-07-04T00:00:00"/>
    <d v="2034-07-13T00:00:00"/>
    <x v="1"/>
    <x v="2"/>
  </r>
  <r>
    <n v="82666800824"/>
    <n v="29"/>
    <d v="2034-07-05T00:00:00"/>
    <s v=""/>
    <x v="1"/>
    <x v="0"/>
  </r>
  <r>
    <n v="23036646766"/>
    <n v="41"/>
    <d v="2034-07-05T00:00:00"/>
    <s v=""/>
    <x v="1"/>
    <x v="0"/>
  </r>
  <r>
    <n v="65668948194"/>
    <n v="41"/>
    <d v="2034-07-05T00:00:00"/>
    <d v="2034-10-28T00:00:00"/>
    <x v="1"/>
    <x v="5"/>
  </r>
  <r>
    <n v="18964842667"/>
    <n v="53"/>
    <d v="2034-07-05T00:00:00"/>
    <s v=""/>
    <x v="1"/>
    <x v="0"/>
  </r>
  <r>
    <n v="61045719788"/>
    <n v="63"/>
    <d v="2034-07-05T00:00:00"/>
    <s v=""/>
    <x v="1"/>
    <x v="0"/>
  </r>
  <r>
    <n v="99698481153"/>
    <n v="71"/>
    <d v="2034-07-05T00:00:00"/>
    <s v=""/>
    <x v="1"/>
    <x v="0"/>
  </r>
  <r>
    <n v="22332102375"/>
    <n v="71"/>
    <d v="2034-07-05T00:00:00"/>
    <s v=""/>
    <x v="1"/>
    <x v="0"/>
  </r>
  <r>
    <n v="33390716518"/>
    <n v="87"/>
    <d v="2034-07-05T00:00:00"/>
    <s v=""/>
    <x v="1"/>
    <x v="0"/>
  </r>
  <r>
    <n v="94683463154"/>
    <n v="93"/>
    <d v="2034-07-05T00:00:00"/>
    <s v=""/>
    <x v="1"/>
    <x v="0"/>
  </r>
  <r>
    <n v="45476578092"/>
    <n v="111"/>
    <d v="2034-07-05T00:00:00"/>
    <s v=""/>
    <x v="1"/>
    <x v="0"/>
  </r>
  <r>
    <n v="68059835764"/>
    <n v="112"/>
    <d v="2034-07-05T00:00:00"/>
    <s v=""/>
    <x v="1"/>
    <x v="0"/>
  </r>
  <r>
    <n v="56420121290"/>
    <n v="129"/>
    <d v="2034-07-05T00:00:00"/>
    <m/>
    <x v="1"/>
    <x v="0"/>
  </r>
  <r>
    <n v="89791861202"/>
    <n v="146"/>
    <d v="2034-07-05T00:00:00"/>
    <s v=""/>
    <x v="1"/>
    <x v="0"/>
  </r>
  <r>
    <n v="16567254715"/>
    <n v="164"/>
    <d v="2034-07-05T00:00:00"/>
    <d v="2034-08-25T00:00:00"/>
    <x v="1"/>
    <x v="4"/>
  </r>
  <r>
    <n v="62722648617"/>
    <n v="190"/>
    <d v="2034-07-05T00:00:00"/>
    <s v=""/>
    <x v="1"/>
    <x v="0"/>
  </r>
  <r>
    <n v="11159722480"/>
    <n v="196"/>
    <d v="2034-07-05T00:00:00"/>
    <d v="2034-07-29T00:00:00"/>
    <x v="1"/>
    <x v="2"/>
  </r>
  <r>
    <n v="21141488862"/>
    <n v="213"/>
    <d v="2034-07-05T00:00:00"/>
    <s v=""/>
    <x v="1"/>
    <x v="0"/>
  </r>
  <r>
    <n v="21698082799"/>
    <n v="218"/>
    <d v="2034-07-05T00:00:00"/>
    <s v=""/>
    <x v="1"/>
    <x v="0"/>
  </r>
  <r>
    <n v="52470133794"/>
    <n v="224"/>
    <d v="2034-07-05T00:00:00"/>
    <m/>
    <x v="1"/>
    <x v="0"/>
  </r>
  <r>
    <n v="90535474327"/>
    <n v="245"/>
    <d v="2034-07-05T00:00:00"/>
    <d v="2034-10-30T00:00:00"/>
    <x v="1"/>
    <x v="5"/>
  </r>
  <r>
    <n v="90729927642"/>
    <n v="303"/>
    <d v="2034-07-05T00:00:00"/>
    <s v=""/>
    <x v="1"/>
    <x v="0"/>
  </r>
  <r>
    <n v="52487021382"/>
    <n v="305"/>
    <d v="2034-07-05T00:00:00"/>
    <m/>
    <x v="1"/>
    <x v="0"/>
  </r>
  <r>
    <n v="34862733445"/>
    <n v="308"/>
    <d v="2034-07-05T00:00:00"/>
    <m/>
    <x v="1"/>
    <x v="0"/>
  </r>
  <r>
    <n v="31650006791"/>
    <n v="322"/>
    <d v="2034-07-05T00:00:00"/>
    <s v=""/>
    <x v="1"/>
    <x v="0"/>
  </r>
  <r>
    <n v="18309119852"/>
    <n v="2"/>
    <d v="2034-07-06T00:00:00"/>
    <s v=""/>
    <x v="1"/>
    <x v="0"/>
  </r>
  <r>
    <n v="48555402208"/>
    <n v="21"/>
    <d v="2034-07-06T00:00:00"/>
    <s v=""/>
    <x v="1"/>
    <x v="0"/>
  </r>
  <r>
    <n v="42097405825"/>
    <n v="31"/>
    <d v="2034-07-06T00:00:00"/>
    <s v=""/>
    <x v="1"/>
    <x v="0"/>
  </r>
  <r>
    <n v="66110010656"/>
    <n v="62"/>
    <d v="2034-07-06T00:00:00"/>
    <d v="2034-07-28T00:00:00"/>
    <x v="1"/>
    <x v="2"/>
  </r>
  <r>
    <n v="31729892548"/>
    <n v="64"/>
    <d v="2034-07-06T00:00:00"/>
    <s v=""/>
    <x v="1"/>
    <x v="0"/>
  </r>
  <r>
    <n v="68638272032"/>
    <n v="70"/>
    <d v="2034-07-06T00:00:00"/>
    <d v="2034-07-26T00:00:00"/>
    <x v="1"/>
    <x v="2"/>
  </r>
  <r>
    <n v="77613531944"/>
    <n v="83"/>
    <d v="2034-07-06T00:00:00"/>
    <s v=""/>
    <x v="1"/>
    <x v="0"/>
  </r>
  <r>
    <n v="57037112020"/>
    <n v="85"/>
    <d v="2034-07-06T00:00:00"/>
    <s v=""/>
    <x v="1"/>
    <x v="0"/>
  </r>
  <r>
    <n v="62417887438"/>
    <n v="88"/>
    <d v="2034-07-06T00:00:00"/>
    <d v="2034-08-17T00:00:00"/>
    <x v="1"/>
    <x v="4"/>
  </r>
  <r>
    <n v="22129529237"/>
    <n v="103"/>
    <d v="2034-07-06T00:00:00"/>
    <s v=""/>
    <x v="1"/>
    <x v="0"/>
  </r>
  <r>
    <n v="21958648234"/>
    <n v="120"/>
    <d v="2034-07-06T00:00:00"/>
    <s v=""/>
    <x v="1"/>
    <x v="0"/>
  </r>
  <r>
    <n v="85619274560"/>
    <n v="125"/>
    <d v="2034-07-06T00:00:00"/>
    <s v=""/>
    <x v="1"/>
    <x v="0"/>
  </r>
  <r>
    <n v="81195357353"/>
    <n v="128"/>
    <d v="2034-07-06T00:00:00"/>
    <s v=""/>
    <x v="1"/>
    <x v="0"/>
  </r>
  <r>
    <n v="45720043231"/>
    <n v="175"/>
    <d v="2034-07-06T00:00:00"/>
    <s v=""/>
    <x v="1"/>
    <x v="0"/>
  </r>
  <r>
    <n v="88073394775"/>
    <n v="189"/>
    <d v="2034-07-06T00:00:00"/>
    <s v=""/>
    <x v="1"/>
    <x v="0"/>
  </r>
  <r>
    <n v="85290612906"/>
    <n v="193"/>
    <d v="2034-07-06T00:00:00"/>
    <s v=""/>
    <x v="1"/>
    <x v="0"/>
  </r>
  <r>
    <n v="46173520385"/>
    <n v="195"/>
    <d v="2034-07-06T00:00:00"/>
    <s v=""/>
    <x v="1"/>
    <x v="0"/>
  </r>
  <r>
    <n v="12975982717"/>
    <n v="213"/>
    <d v="2034-07-06T00:00:00"/>
    <s v=""/>
    <x v="1"/>
    <x v="0"/>
  </r>
  <r>
    <n v="86578442466"/>
    <n v="230"/>
    <d v="2034-07-06T00:00:00"/>
    <d v="2034-09-21T00:00:00"/>
    <x v="1"/>
    <x v="3"/>
  </r>
  <r>
    <n v="22003807183"/>
    <n v="233"/>
    <d v="2034-07-06T00:00:00"/>
    <m/>
    <x v="1"/>
    <x v="0"/>
  </r>
  <r>
    <n v="47138136788"/>
    <n v="242"/>
    <d v="2034-07-06T00:00:00"/>
    <m/>
    <x v="1"/>
    <x v="0"/>
  </r>
  <r>
    <n v="75696909250"/>
    <n v="247"/>
    <d v="2034-07-06T00:00:00"/>
    <s v=""/>
    <x v="1"/>
    <x v="0"/>
  </r>
  <r>
    <n v="60783752189"/>
    <n v="259"/>
    <d v="2034-07-06T00:00:00"/>
    <m/>
    <x v="1"/>
    <x v="0"/>
  </r>
  <r>
    <n v="24605368133"/>
    <n v="265"/>
    <d v="2034-07-06T00:00:00"/>
    <s v=""/>
    <x v="1"/>
    <x v="0"/>
  </r>
  <r>
    <n v="16344182084"/>
    <n v="288"/>
    <d v="2034-07-06T00:00:00"/>
    <m/>
    <x v="1"/>
    <x v="0"/>
  </r>
  <r>
    <n v="78223769377"/>
    <n v="291"/>
    <d v="2034-07-06T00:00:00"/>
    <s v=""/>
    <x v="1"/>
    <x v="0"/>
  </r>
  <r>
    <n v="21028790392"/>
    <n v="306"/>
    <d v="2034-07-06T00:00:00"/>
    <s v=""/>
    <x v="1"/>
    <x v="0"/>
  </r>
  <r>
    <n v="23669274576"/>
    <n v="43"/>
    <d v="2034-07-07T00:00:00"/>
    <s v=""/>
    <x v="1"/>
    <x v="0"/>
  </r>
  <r>
    <n v="22271397748"/>
    <n v="55"/>
    <d v="2034-07-07T00:00:00"/>
    <s v=""/>
    <x v="1"/>
    <x v="0"/>
  </r>
  <r>
    <n v="61531224712"/>
    <n v="57"/>
    <d v="2034-07-07T00:00:00"/>
    <m/>
    <x v="1"/>
    <x v="0"/>
  </r>
  <r>
    <n v="49498180410"/>
    <n v="86"/>
    <d v="2034-07-07T00:00:00"/>
    <d v="2034-08-01T00:00:00"/>
    <x v="1"/>
    <x v="4"/>
  </r>
  <r>
    <n v="20176583884"/>
    <n v="104"/>
    <d v="2034-07-07T00:00:00"/>
    <s v=""/>
    <x v="1"/>
    <x v="0"/>
  </r>
  <r>
    <n v="22905130306"/>
    <n v="115"/>
    <d v="2034-07-07T00:00:00"/>
    <m/>
    <x v="1"/>
    <x v="0"/>
  </r>
  <r>
    <n v="85036881962"/>
    <n v="133"/>
    <d v="2034-07-07T00:00:00"/>
    <s v=""/>
    <x v="1"/>
    <x v="0"/>
  </r>
  <r>
    <n v="27699207440"/>
    <n v="151"/>
    <d v="2034-07-07T00:00:00"/>
    <s v=""/>
    <x v="1"/>
    <x v="0"/>
  </r>
  <r>
    <n v="58673124694"/>
    <n v="176"/>
    <d v="2034-07-07T00:00:00"/>
    <s v=""/>
    <x v="1"/>
    <x v="0"/>
  </r>
  <r>
    <n v="68636625831"/>
    <n v="194"/>
    <d v="2034-07-07T00:00:00"/>
    <m/>
    <x v="1"/>
    <x v="0"/>
  </r>
  <r>
    <n v="59019403496"/>
    <n v="224"/>
    <d v="2034-07-07T00:00:00"/>
    <s v=""/>
    <x v="1"/>
    <x v="0"/>
  </r>
  <r>
    <n v="87082985068"/>
    <n v="254"/>
    <d v="2034-07-07T00:00:00"/>
    <s v=""/>
    <x v="1"/>
    <x v="0"/>
  </r>
  <r>
    <n v="82306968127"/>
    <n v="263"/>
    <d v="2034-07-07T00:00:00"/>
    <s v=""/>
    <x v="1"/>
    <x v="0"/>
  </r>
  <r>
    <n v="50436319128"/>
    <n v="274"/>
    <d v="2034-07-07T00:00:00"/>
    <s v=""/>
    <x v="1"/>
    <x v="0"/>
  </r>
  <r>
    <n v="30828925618"/>
    <n v="277"/>
    <d v="2034-07-07T00:00:00"/>
    <s v=""/>
    <x v="1"/>
    <x v="0"/>
  </r>
  <r>
    <n v="42724275731"/>
    <n v="292"/>
    <d v="2034-07-07T00:00:00"/>
    <d v="2034-08-22T00:00:00"/>
    <x v="1"/>
    <x v="4"/>
  </r>
  <r>
    <n v="40333280688"/>
    <n v="322"/>
    <d v="2034-07-07T00:00:00"/>
    <s v=""/>
    <x v="1"/>
    <x v="0"/>
  </r>
  <r>
    <n v="84483655090"/>
    <n v="329"/>
    <d v="2034-07-07T00:00:00"/>
    <m/>
    <x v="1"/>
    <x v="0"/>
  </r>
  <r>
    <n v="62183462776"/>
    <n v="335"/>
    <d v="2034-07-07T00:00:00"/>
    <d v="2034-07-17T00:00:00"/>
    <x v="1"/>
    <x v="2"/>
  </r>
  <r>
    <n v="62262752475"/>
    <n v="0"/>
    <d v="2034-07-08T00:00:00"/>
    <s v=""/>
    <x v="1"/>
    <x v="0"/>
  </r>
  <r>
    <n v="16926845395"/>
    <n v="2"/>
    <d v="2034-07-08T00:00:00"/>
    <d v="2034-07-15T00:00:00"/>
    <x v="1"/>
    <x v="2"/>
  </r>
  <r>
    <n v="44594633412"/>
    <n v="16"/>
    <d v="2034-07-08T00:00:00"/>
    <s v=""/>
    <x v="1"/>
    <x v="0"/>
  </r>
  <r>
    <n v="54575637391"/>
    <n v="29"/>
    <d v="2034-07-08T00:00:00"/>
    <s v=""/>
    <x v="1"/>
    <x v="0"/>
  </r>
  <r>
    <n v="62150858125"/>
    <n v="34"/>
    <d v="2034-07-08T00:00:00"/>
    <s v=""/>
    <x v="1"/>
    <x v="0"/>
  </r>
  <r>
    <n v="22090934788"/>
    <n v="55"/>
    <d v="2034-07-08T00:00:00"/>
    <s v=""/>
    <x v="1"/>
    <x v="0"/>
  </r>
  <r>
    <n v="55042282942"/>
    <n v="78"/>
    <d v="2034-07-08T00:00:00"/>
    <s v=""/>
    <x v="1"/>
    <x v="0"/>
  </r>
  <r>
    <n v="78847698496"/>
    <n v="80"/>
    <d v="2034-07-08T00:00:00"/>
    <s v=""/>
    <x v="1"/>
    <x v="0"/>
  </r>
  <r>
    <n v="86699548216"/>
    <n v="94"/>
    <d v="2034-07-08T00:00:00"/>
    <s v=""/>
    <x v="1"/>
    <x v="0"/>
  </r>
  <r>
    <n v="77920343068"/>
    <n v="101"/>
    <d v="2034-07-08T00:00:00"/>
    <s v=""/>
    <x v="1"/>
    <x v="0"/>
  </r>
  <r>
    <n v="58972175437"/>
    <n v="105"/>
    <d v="2034-07-08T00:00:00"/>
    <d v="2034-08-22T00:00:00"/>
    <x v="1"/>
    <x v="4"/>
  </r>
  <r>
    <n v="81138136040"/>
    <n v="119"/>
    <d v="2034-07-08T00:00:00"/>
    <d v="2034-10-02T00:00:00"/>
    <x v="1"/>
    <x v="5"/>
  </r>
  <r>
    <n v="50637120097"/>
    <n v="128"/>
    <d v="2034-07-08T00:00:00"/>
    <d v="2034-10-06T00:00:00"/>
    <x v="1"/>
    <x v="5"/>
  </r>
  <r>
    <n v="71757309240"/>
    <n v="134"/>
    <d v="2034-07-08T00:00:00"/>
    <d v="2034-09-15T00:00:00"/>
    <x v="1"/>
    <x v="3"/>
  </r>
  <r>
    <n v="52383226822"/>
    <n v="147"/>
    <d v="2034-07-08T00:00:00"/>
    <s v=""/>
    <x v="1"/>
    <x v="0"/>
  </r>
  <r>
    <n v="16260923814"/>
    <n v="148"/>
    <d v="2034-07-08T00:00:00"/>
    <d v="2034-09-02T00:00:00"/>
    <x v="1"/>
    <x v="3"/>
  </r>
  <r>
    <n v="91607117949"/>
    <n v="171"/>
    <d v="2034-07-08T00:00:00"/>
    <m/>
    <x v="1"/>
    <x v="0"/>
  </r>
  <r>
    <n v="22827388681"/>
    <n v="175"/>
    <d v="2034-07-08T00:00:00"/>
    <m/>
    <x v="1"/>
    <x v="0"/>
  </r>
  <r>
    <n v="49227941318"/>
    <n v="175"/>
    <d v="2034-07-08T00:00:00"/>
    <s v=""/>
    <x v="1"/>
    <x v="0"/>
  </r>
  <r>
    <n v="52174283643"/>
    <n v="197"/>
    <d v="2034-07-08T00:00:00"/>
    <s v=""/>
    <x v="1"/>
    <x v="0"/>
  </r>
  <r>
    <n v="44995671139"/>
    <n v="199"/>
    <d v="2034-07-08T00:00:00"/>
    <s v=""/>
    <x v="1"/>
    <x v="0"/>
  </r>
  <r>
    <n v="83769435455"/>
    <n v="222"/>
    <d v="2034-07-08T00:00:00"/>
    <s v=""/>
    <x v="1"/>
    <x v="0"/>
  </r>
  <r>
    <n v="45424381867"/>
    <n v="225"/>
    <d v="2034-07-08T00:00:00"/>
    <s v=""/>
    <x v="1"/>
    <x v="0"/>
  </r>
  <r>
    <n v="13838408173"/>
    <n v="246"/>
    <d v="2034-07-08T00:00:00"/>
    <s v=""/>
    <x v="1"/>
    <x v="0"/>
  </r>
  <r>
    <n v="82960452603"/>
    <n v="251"/>
    <d v="2034-07-08T00:00:00"/>
    <s v=""/>
    <x v="1"/>
    <x v="0"/>
  </r>
  <r>
    <n v="91286865856"/>
    <n v="272"/>
    <d v="2034-07-08T00:00:00"/>
    <m/>
    <x v="1"/>
    <x v="0"/>
  </r>
  <r>
    <n v="88517856199"/>
    <n v="287"/>
    <d v="2034-07-08T00:00:00"/>
    <s v=""/>
    <x v="1"/>
    <x v="0"/>
  </r>
  <r>
    <n v="41103930963"/>
    <n v="309"/>
    <d v="2034-07-08T00:00:00"/>
    <s v=""/>
    <x v="1"/>
    <x v="0"/>
  </r>
  <r>
    <n v="13875750654"/>
    <n v="312"/>
    <d v="2034-07-08T00:00:00"/>
    <s v=""/>
    <x v="1"/>
    <x v="0"/>
  </r>
  <r>
    <n v="24802891281"/>
    <n v="312"/>
    <d v="2034-07-08T00:00:00"/>
    <m/>
    <x v="1"/>
    <x v="0"/>
  </r>
  <r>
    <n v="18623904439"/>
    <n v="314"/>
    <d v="2034-07-08T00:00:00"/>
    <s v=""/>
    <x v="1"/>
    <x v="0"/>
  </r>
  <r>
    <n v="37591518620"/>
    <n v="7"/>
    <d v="2034-07-09T00:00:00"/>
    <m/>
    <x v="1"/>
    <x v="0"/>
  </r>
  <r>
    <n v="34476751574"/>
    <n v="9"/>
    <d v="2034-07-09T00:00:00"/>
    <s v=""/>
    <x v="1"/>
    <x v="0"/>
  </r>
  <r>
    <n v="44468146119"/>
    <n v="21"/>
    <d v="2034-07-09T00:00:00"/>
    <s v=""/>
    <x v="1"/>
    <x v="0"/>
  </r>
  <r>
    <n v="56255613067"/>
    <n v="33"/>
    <d v="2034-07-09T00:00:00"/>
    <s v=""/>
    <x v="1"/>
    <x v="0"/>
  </r>
  <r>
    <n v="42454624438"/>
    <n v="59"/>
    <d v="2034-07-09T00:00:00"/>
    <d v="2034-10-21T00:00:00"/>
    <x v="1"/>
    <x v="5"/>
  </r>
  <r>
    <n v="32144073033"/>
    <n v="72"/>
    <d v="2034-07-09T00:00:00"/>
    <s v=""/>
    <x v="1"/>
    <x v="0"/>
  </r>
  <r>
    <n v="40417023839"/>
    <n v="84"/>
    <d v="2034-07-09T00:00:00"/>
    <s v=""/>
    <x v="1"/>
    <x v="0"/>
  </r>
  <r>
    <n v="72163524340"/>
    <n v="87"/>
    <d v="2034-07-09T00:00:00"/>
    <d v="2034-08-14T00:00:00"/>
    <x v="1"/>
    <x v="4"/>
  </r>
  <r>
    <n v="75108870050"/>
    <n v="94"/>
    <d v="2034-07-09T00:00:00"/>
    <d v="2034-07-28T00:00:00"/>
    <x v="1"/>
    <x v="2"/>
  </r>
  <r>
    <n v="66198245667"/>
    <n v="112"/>
    <d v="2034-07-09T00:00:00"/>
    <s v=""/>
    <x v="1"/>
    <x v="0"/>
  </r>
  <r>
    <n v="34072182090"/>
    <n v="123"/>
    <d v="2034-07-09T00:00:00"/>
    <s v=""/>
    <x v="1"/>
    <x v="0"/>
  </r>
  <r>
    <n v="76659416746"/>
    <n v="128"/>
    <d v="2034-07-09T00:00:00"/>
    <s v=""/>
    <x v="1"/>
    <x v="0"/>
  </r>
  <r>
    <n v="16991618458"/>
    <n v="134"/>
    <d v="2034-07-09T00:00:00"/>
    <s v=""/>
    <x v="1"/>
    <x v="0"/>
  </r>
  <r>
    <n v="31012749168"/>
    <n v="176"/>
    <d v="2034-07-09T00:00:00"/>
    <d v="2034-08-12T00:00:00"/>
    <x v="1"/>
    <x v="4"/>
  </r>
  <r>
    <n v="64020627936"/>
    <n v="183"/>
    <d v="2034-07-09T00:00:00"/>
    <m/>
    <x v="1"/>
    <x v="0"/>
  </r>
  <r>
    <n v="26717890557"/>
    <n v="199"/>
    <d v="2034-07-09T00:00:00"/>
    <s v=""/>
    <x v="1"/>
    <x v="0"/>
  </r>
  <r>
    <n v="19910644693"/>
    <n v="223"/>
    <d v="2034-07-09T00:00:00"/>
    <s v=""/>
    <x v="1"/>
    <x v="0"/>
  </r>
  <r>
    <n v="32163862809"/>
    <n v="227"/>
    <d v="2034-07-09T00:00:00"/>
    <s v=""/>
    <x v="1"/>
    <x v="0"/>
  </r>
  <r>
    <n v="59813379210"/>
    <n v="252"/>
    <d v="2034-07-09T00:00:00"/>
    <d v="2034-07-31T00:00:00"/>
    <x v="1"/>
    <x v="2"/>
  </r>
  <r>
    <n v="63171219880"/>
    <n v="272"/>
    <d v="2034-07-09T00:00:00"/>
    <s v=""/>
    <x v="1"/>
    <x v="0"/>
  </r>
  <r>
    <n v="37360204114"/>
    <n v="309"/>
    <d v="2034-07-09T00:00:00"/>
    <s v=""/>
    <x v="1"/>
    <x v="0"/>
  </r>
  <r>
    <n v="65124752809"/>
    <n v="320"/>
    <d v="2034-07-09T00:00:00"/>
    <s v=""/>
    <x v="1"/>
    <x v="0"/>
  </r>
  <r>
    <n v="83052916050"/>
    <n v="330"/>
    <d v="2034-07-09T00:00:00"/>
    <s v=""/>
    <x v="1"/>
    <x v="0"/>
  </r>
  <r>
    <n v="87080665474"/>
    <n v="11"/>
    <d v="2034-07-10T00:00:00"/>
    <s v=""/>
    <x v="1"/>
    <x v="0"/>
  </r>
  <r>
    <n v="88012195650"/>
    <n v="12"/>
    <d v="2034-07-10T00:00:00"/>
    <s v=""/>
    <x v="1"/>
    <x v="0"/>
  </r>
  <r>
    <n v="57323006821"/>
    <n v="14"/>
    <d v="2034-07-10T00:00:00"/>
    <s v=""/>
    <x v="1"/>
    <x v="0"/>
  </r>
  <r>
    <n v="93063582676"/>
    <n v="23"/>
    <d v="2034-07-10T00:00:00"/>
    <s v=""/>
    <x v="1"/>
    <x v="0"/>
  </r>
  <r>
    <n v="28552881712"/>
    <n v="24"/>
    <d v="2034-07-10T00:00:00"/>
    <s v=""/>
    <x v="1"/>
    <x v="0"/>
  </r>
  <r>
    <n v="40370179477"/>
    <n v="25"/>
    <d v="2034-07-10T00:00:00"/>
    <s v=""/>
    <x v="1"/>
    <x v="0"/>
  </r>
  <r>
    <n v="60075197162"/>
    <n v="36"/>
    <d v="2034-07-10T00:00:00"/>
    <d v="2034-10-02T00:00:00"/>
    <x v="1"/>
    <x v="5"/>
  </r>
  <r>
    <n v="11980143407"/>
    <n v="45"/>
    <d v="2034-07-10T00:00:00"/>
    <d v="2034-07-16T00:00:00"/>
    <x v="1"/>
    <x v="2"/>
  </r>
  <r>
    <n v="84381747810"/>
    <n v="53"/>
    <d v="2034-07-10T00:00:00"/>
    <d v="2034-09-06T00:00:00"/>
    <x v="1"/>
    <x v="3"/>
  </r>
  <r>
    <n v="72485336065"/>
    <n v="66"/>
    <d v="2034-07-10T00:00:00"/>
    <s v=""/>
    <x v="1"/>
    <x v="0"/>
  </r>
  <r>
    <n v="87903203875"/>
    <n v="68"/>
    <d v="2034-07-10T00:00:00"/>
    <s v=""/>
    <x v="1"/>
    <x v="0"/>
  </r>
  <r>
    <n v="48556706223"/>
    <n v="72"/>
    <d v="2034-07-10T00:00:00"/>
    <s v=""/>
    <x v="1"/>
    <x v="0"/>
  </r>
  <r>
    <n v="89792875823"/>
    <n v="74"/>
    <d v="2034-07-10T00:00:00"/>
    <s v=""/>
    <x v="1"/>
    <x v="0"/>
  </r>
  <r>
    <n v="83001707157"/>
    <n v="79"/>
    <d v="2034-07-10T00:00:00"/>
    <s v=""/>
    <x v="1"/>
    <x v="0"/>
  </r>
  <r>
    <n v="48448930905"/>
    <n v="107"/>
    <d v="2034-07-10T00:00:00"/>
    <s v=""/>
    <x v="1"/>
    <x v="0"/>
  </r>
  <r>
    <n v="34042896504"/>
    <n v="113"/>
    <d v="2034-07-10T00:00:00"/>
    <m/>
    <x v="1"/>
    <x v="0"/>
  </r>
  <r>
    <n v="78522345818"/>
    <n v="128"/>
    <d v="2034-07-10T00:00:00"/>
    <m/>
    <x v="1"/>
    <x v="0"/>
  </r>
  <r>
    <n v="35138320951"/>
    <n v="136"/>
    <d v="2034-07-10T00:00:00"/>
    <m/>
    <x v="1"/>
    <x v="0"/>
  </r>
  <r>
    <n v="14672851719"/>
    <n v="138"/>
    <d v="2034-07-10T00:00:00"/>
    <s v=""/>
    <x v="1"/>
    <x v="0"/>
  </r>
  <r>
    <n v="65755303158"/>
    <n v="156"/>
    <d v="2034-07-10T00:00:00"/>
    <s v=""/>
    <x v="1"/>
    <x v="0"/>
  </r>
  <r>
    <n v="59797869205"/>
    <n v="157"/>
    <d v="2034-07-10T00:00:00"/>
    <s v=""/>
    <x v="1"/>
    <x v="0"/>
  </r>
  <r>
    <n v="48915576454"/>
    <n v="180"/>
    <d v="2034-07-10T00:00:00"/>
    <s v=""/>
    <x v="1"/>
    <x v="0"/>
  </r>
  <r>
    <n v="13246139023"/>
    <n v="184"/>
    <d v="2034-07-10T00:00:00"/>
    <m/>
    <x v="1"/>
    <x v="0"/>
  </r>
  <r>
    <n v="72131776398"/>
    <n v="195"/>
    <d v="2034-07-10T00:00:00"/>
    <d v="2034-09-15T00:00:00"/>
    <x v="1"/>
    <x v="3"/>
  </r>
  <r>
    <n v="95610002309"/>
    <n v="198"/>
    <d v="2034-07-10T00:00:00"/>
    <m/>
    <x v="1"/>
    <x v="0"/>
  </r>
  <r>
    <n v="84675239459"/>
    <n v="215"/>
    <d v="2034-07-10T00:00:00"/>
    <s v=""/>
    <x v="1"/>
    <x v="0"/>
  </r>
  <r>
    <n v="46620050714"/>
    <n v="216"/>
    <d v="2034-07-10T00:00:00"/>
    <s v=""/>
    <x v="1"/>
    <x v="0"/>
  </r>
  <r>
    <n v="26572627436"/>
    <n v="242"/>
    <d v="2034-07-10T00:00:00"/>
    <s v=""/>
    <x v="1"/>
    <x v="0"/>
  </r>
  <r>
    <n v="54657718696"/>
    <n v="249"/>
    <d v="2034-07-10T00:00:00"/>
    <s v=""/>
    <x v="1"/>
    <x v="0"/>
  </r>
  <r>
    <n v="25315104992"/>
    <n v="255"/>
    <d v="2034-07-10T00:00:00"/>
    <s v=""/>
    <x v="1"/>
    <x v="0"/>
  </r>
  <r>
    <n v="18780883885"/>
    <n v="259"/>
    <d v="2034-07-10T00:00:00"/>
    <m/>
    <x v="1"/>
    <x v="0"/>
  </r>
  <r>
    <n v="23984338823"/>
    <n v="269"/>
    <d v="2034-07-10T00:00:00"/>
    <s v=""/>
    <x v="1"/>
    <x v="0"/>
  </r>
  <r>
    <n v="93796056517"/>
    <n v="285"/>
    <d v="2034-07-10T00:00:00"/>
    <d v="2034-09-18T00:00:00"/>
    <x v="1"/>
    <x v="3"/>
  </r>
  <r>
    <n v="24979610495"/>
    <n v="291"/>
    <d v="2034-07-10T00:00:00"/>
    <d v="2034-10-13T00:00:00"/>
    <x v="1"/>
    <x v="5"/>
  </r>
  <r>
    <n v="95517205808"/>
    <n v="300"/>
    <d v="2034-07-10T00:00:00"/>
    <s v=""/>
    <x v="1"/>
    <x v="0"/>
  </r>
  <r>
    <n v="20117876658"/>
    <n v="305"/>
    <d v="2034-07-10T00:00:00"/>
    <s v=""/>
    <x v="1"/>
    <x v="0"/>
  </r>
  <r>
    <n v="69961058149"/>
    <n v="306"/>
    <d v="2034-07-10T00:00:00"/>
    <d v="2034-08-21T00:00:00"/>
    <x v="1"/>
    <x v="4"/>
  </r>
  <r>
    <n v="59553935654"/>
    <n v="306"/>
    <d v="2034-07-10T00:00:00"/>
    <s v=""/>
    <x v="1"/>
    <x v="0"/>
  </r>
  <r>
    <n v="58707168576"/>
    <n v="318"/>
    <d v="2034-07-10T00:00:00"/>
    <s v=""/>
    <x v="1"/>
    <x v="0"/>
  </r>
  <r>
    <n v="23112289245"/>
    <n v="333"/>
    <d v="2034-07-10T00:00:00"/>
    <d v="2034-09-10T00:00:00"/>
    <x v="1"/>
    <x v="3"/>
  </r>
  <r>
    <n v="70730692444"/>
    <n v="6"/>
    <d v="2034-07-11T00:00:00"/>
    <s v=""/>
    <x v="1"/>
    <x v="0"/>
  </r>
  <r>
    <n v="51941436149"/>
    <n v="15"/>
    <d v="2034-07-11T00:00:00"/>
    <m/>
    <x v="1"/>
    <x v="0"/>
  </r>
  <r>
    <n v="43867666363"/>
    <n v="25"/>
    <d v="2034-07-11T00:00:00"/>
    <s v=""/>
    <x v="1"/>
    <x v="0"/>
  </r>
  <r>
    <n v="13968201913"/>
    <n v="47"/>
    <d v="2034-07-11T00:00:00"/>
    <d v="2034-07-13T00:00:00"/>
    <x v="1"/>
    <x v="2"/>
  </r>
  <r>
    <n v="88546765967"/>
    <n v="55"/>
    <d v="2034-07-11T00:00:00"/>
    <s v=""/>
    <x v="1"/>
    <x v="0"/>
  </r>
  <r>
    <n v="11248075650"/>
    <n v="59"/>
    <d v="2034-07-11T00:00:00"/>
    <s v=""/>
    <x v="1"/>
    <x v="0"/>
  </r>
  <r>
    <n v="15007957644"/>
    <n v="69"/>
    <d v="2034-07-11T00:00:00"/>
    <m/>
    <x v="1"/>
    <x v="0"/>
  </r>
  <r>
    <n v="26951281581"/>
    <n v="71"/>
    <d v="2034-07-11T00:00:00"/>
    <d v="2034-11-04T00:00:00"/>
    <x v="1"/>
    <x v="6"/>
  </r>
  <r>
    <n v="14627174114"/>
    <n v="74"/>
    <d v="2034-07-11T00:00:00"/>
    <s v=""/>
    <x v="1"/>
    <x v="0"/>
  </r>
  <r>
    <n v="26810711389"/>
    <n v="74"/>
    <d v="2034-07-11T00:00:00"/>
    <s v=""/>
    <x v="1"/>
    <x v="0"/>
  </r>
  <r>
    <n v="60316369542"/>
    <n v="74"/>
    <d v="2034-07-11T00:00:00"/>
    <s v=""/>
    <x v="1"/>
    <x v="0"/>
  </r>
  <r>
    <n v="60352478421"/>
    <n v="82"/>
    <d v="2034-07-11T00:00:00"/>
    <s v=""/>
    <x v="1"/>
    <x v="0"/>
  </r>
  <r>
    <n v="47314041034"/>
    <n v="91"/>
    <d v="2034-07-11T00:00:00"/>
    <s v=""/>
    <x v="1"/>
    <x v="0"/>
  </r>
  <r>
    <n v="79424739746"/>
    <n v="98"/>
    <d v="2034-07-11T00:00:00"/>
    <s v=""/>
    <x v="1"/>
    <x v="0"/>
  </r>
  <r>
    <n v="14256185166"/>
    <n v="123"/>
    <d v="2034-07-11T00:00:00"/>
    <d v="2034-10-09T00:00:00"/>
    <x v="1"/>
    <x v="5"/>
  </r>
  <r>
    <n v="60266834925"/>
    <n v="125"/>
    <d v="2034-07-11T00:00:00"/>
    <d v="2034-09-29T00:00:00"/>
    <x v="1"/>
    <x v="3"/>
  </r>
  <r>
    <n v="18761583681"/>
    <n v="130"/>
    <d v="2034-07-11T00:00:00"/>
    <s v=""/>
    <x v="1"/>
    <x v="0"/>
  </r>
  <r>
    <n v="97018959655"/>
    <n v="133"/>
    <d v="2034-07-11T00:00:00"/>
    <d v="2034-08-27T00:00:00"/>
    <x v="1"/>
    <x v="4"/>
  </r>
  <r>
    <n v="83057201811"/>
    <n v="140"/>
    <d v="2034-07-11T00:00:00"/>
    <d v="2034-08-30T00:00:00"/>
    <x v="1"/>
    <x v="4"/>
  </r>
  <r>
    <n v="78894468515"/>
    <n v="147"/>
    <d v="2034-07-11T00:00:00"/>
    <s v=""/>
    <x v="1"/>
    <x v="0"/>
  </r>
  <r>
    <n v="33286256015"/>
    <n v="154"/>
    <d v="2034-07-11T00:00:00"/>
    <s v=""/>
    <x v="1"/>
    <x v="0"/>
  </r>
  <r>
    <n v="67085925516"/>
    <n v="193"/>
    <d v="2034-07-11T00:00:00"/>
    <s v=""/>
    <x v="1"/>
    <x v="0"/>
  </r>
  <r>
    <n v="24618484138"/>
    <n v="199"/>
    <d v="2034-07-11T00:00:00"/>
    <s v=""/>
    <x v="1"/>
    <x v="0"/>
  </r>
  <r>
    <n v="70141577788"/>
    <n v="203"/>
    <d v="2034-07-11T00:00:00"/>
    <s v=""/>
    <x v="1"/>
    <x v="0"/>
  </r>
  <r>
    <n v="59491007445"/>
    <n v="214"/>
    <d v="2034-07-11T00:00:00"/>
    <d v="2034-08-20T00:00:00"/>
    <x v="1"/>
    <x v="4"/>
  </r>
  <r>
    <n v="37545853067"/>
    <n v="224"/>
    <d v="2034-07-11T00:00:00"/>
    <s v=""/>
    <x v="1"/>
    <x v="0"/>
  </r>
  <r>
    <n v="39247218528"/>
    <n v="240"/>
    <d v="2034-07-11T00:00:00"/>
    <m/>
    <x v="1"/>
    <x v="0"/>
  </r>
  <r>
    <n v="23139658474"/>
    <n v="241"/>
    <d v="2034-07-11T00:00:00"/>
    <s v=""/>
    <x v="1"/>
    <x v="0"/>
  </r>
  <r>
    <n v="80316056267"/>
    <n v="249"/>
    <d v="2034-07-11T00:00:00"/>
    <s v=""/>
    <x v="1"/>
    <x v="0"/>
  </r>
  <r>
    <n v="48433728433"/>
    <n v="296"/>
    <d v="2034-07-11T00:00:00"/>
    <d v="2034-07-25T00:00:00"/>
    <x v="1"/>
    <x v="2"/>
  </r>
  <r>
    <n v="32241820591"/>
    <n v="302"/>
    <d v="2034-07-11T00:00:00"/>
    <m/>
    <x v="1"/>
    <x v="0"/>
  </r>
  <r>
    <n v="44783012488"/>
    <n v="310"/>
    <d v="2034-07-11T00:00:00"/>
    <s v=""/>
    <x v="1"/>
    <x v="0"/>
  </r>
  <r>
    <n v="11595234929"/>
    <n v="328"/>
    <d v="2034-07-11T00:00:00"/>
    <s v=""/>
    <x v="1"/>
    <x v="0"/>
  </r>
  <r>
    <n v="25645809151"/>
    <n v="4"/>
    <d v="2034-07-12T00:00:00"/>
    <s v=""/>
    <x v="1"/>
    <x v="0"/>
  </r>
  <r>
    <n v="86648289589"/>
    <n v="8"/>
    <d v="2034-07-12T00:00:00"/>
    <s v=""/>
    <x v="1"/>
    <x v="0"/>
  </r>
  <r>
    <n v="28194385980"/>
    <n v="11"/>
    <d v="2034-07-12T00:00:00"/>
    <s v=""/>
    <x v="1"/>
    <x v="0"/>
  </r>
  <r>
    <n v="65501609538"/>
    <n v="14"/>
    <d v="2034-07-12T00:00:00"/>
    <s v=""/>
    <x v="1"/>
    <x v="0"/>
  </r>
  <r>
    <n v="63660981762"/>
    <n v="54"/>
    <d v="2034-07-12T00:00:00"/>
    <d v="2034-10-19T00:00:00"/>
    <x v="1"/>
    <x v="5"/>
  </r>
  <r>
    <n v="20326204269"/>
    <n v="81"/>
    <d v="2034-07-12T00:00:00"/>
    <d v="2034-08-17T00:00:00"/>
    <x v="1"/>
    <x v="4"/>
  </r>
  <r>
    <n v="33469621915"/>
    <n v="101"/>
    <d v="2034-07-12T00:00:00"/>
    <s v=""/>
    <x v="1"/>
    <x v="0"/>
  </r>
  <r>
    <n v="82186420348"/>
    <n v="126"/>
    <d v="2034-07-12T00:00:00"/>
    <s v=""/>
    <x v="1"/>
    <x v="0"/>
  </r>
  <r>
    <n v="37942198183"/>
    <n v="149"/>
    <d v="2034-07-12T00:00:00"/>
    <m/>
    <x v="1"/>
    <x v="0"/>
  </r>
  <r>
    <n v="49534039674"/>
    <n v="163"/>
    <d v="2034-07-12T00:00:00"/>
    <s v=""/>
    <x v="1"/>
    <x v="0"/>
  </r>
  <r>
    <n v="43090428248"/>
    <n v="169"/>
    <d v="2034-07-12T00:00:00"/>
    <s v=""/>
    <x v="1"/>
    <x v="0"/>
  </r>
  <r>
    <n v="99905380883"/>
    <n v="175"/>
    <d v="2034-07-12T00:00:00"/>
    <d v="2034-11-09T00:00:00"/>
    <x v="1"/>
    <x v="6"/>
  </r>
  <r>
    <n v="26337687448"/>
    <n v="182"/>
    <d v="2034-07-12T00:00:00"/>
    <d v="2034-09-15T00:00:00"/>
    <x v="1"/>
    <x v="3"/>
  </r>
  <r>
    <n v="22057594435"/>
    <n v="187"/>
    <d v="2034-07-12T00:00:00"/>
    <m/>
    <x v="1"/>
    <x v="0"/>
  </r>
  <r>
    <n v="78109183660"/>
    <n v="203"/>
    <d v="2034-07-12T00:00:00"/>
    <d v="2034-07-20T00:00:00"/>
    <x v="1"/>
    <x v="2"/>
  </r>
  <r>
    <n v="49824519645"/>
    <n v="220"/>
    <d v="2034-07-12T00:00:00"/>
    <d v="2034-10-15T00:00:00"/>
    <x v="1"/>
    <x v="5"/>
  </r>
  <r>
    <n v="41023751976"/>
    <n v="263"/>
    <d v="2034-07-12T00:00:00"/>
    <d v="2034-11-03T00:00:00"/>
    <x v="1"/>
    <x v="6"/>
  </r>
  <r>
    <n v="48892846770"/>
    <n v="275"/>
    <d v="2034-07-12T00:00:00"/>
    <d v="2034-07-30T00:00:00"/>
    <x v="1"/>
    <x v="2"/>
  </r>
  <r>
    <n v="59048018032"/>
    <n v="277"/>
    <d v="2034-07-12T00:00:00"/>
    <d v="2034-09-24T00:00:00"/>
    <x v="1"/>
    <x v="3"/>
  </r>
  <r>
    <n v="44096878950"/>
    <n v="290"/>
    <d v="2034-07-12T00:00:00"/>
    <s v=""/>
    <x v="1"/>
    <x v="0"/>
  </r>
  <r>
    <n v="23746024566"/>
    <n v="300"/>
    <d v="2034-07-12T00:00:00"/>
    <s v=""/>
    <x v="1"/>
    <x v="0"/>
  </r>
  <r>
    <n v="64745071151"/>
    <n v="305"/>
    <d v="2034-07-12T00:00:00"/>
    <s v=""/>
    <x v="1"/>
    <x v="0"/>
  </r>
  <r>
    <n v="95852057690"/>
    <n v="309"/>
    <d v="2034-07-12T00:00:00"/>
    <s v=""/>
    <x v="1"/>
    <x v="0"/>
  </r>
  <r>
    <n v="98622328984"/>
    <n v="323"/>
    <d v="2034-07-12T00:00:00"/>
    <s v=""/>
    <x v="1"/>
    <x v="0"/>
  </r>
  <r>
    <n v="33918368800"/>
    <n v="0"/>
    <d v="2034-07-13T00:00:00"/>
    <s v=""/>
    <x v="1"/>
    <x v="0"/>
  </r>
  <r>
    <n v="19244668817"/>
    <n v="10"/>
    <d v="2034-07-13T00:00:00"/>
    <d v="2034-11-01T00:00:00"/>
    <x v="1"/>
    <x v="6"/>
  </r>
  <r>
    <n v="48718455651"/>
    <n v="11"/>
    <d v="2034-07-13T00:00:00"/>
    <m/>
    <x v="1"/>
    <x v="0"/>
  </r>
  <r>
    <n v="23740748270"/>
    <n v="11"/>
    <d v="2034-07-13T00:00:00"/>
    <s v=""/>
    <x v="1"/>
    <x v="0"/>
  </r>
  <r>
    <n v="50556398438"/>
    <n v="19"/>
    <d v="2034-07-13T00:00:00"/>
    <d v="2034-10-30T00:00:00"/>
    <x v="1"/>
    <x v="5"/>
  </r>
  <r>
    <n v="30207722157"/>
    <n v="21"/>
    <d v="2034-07-13T00:00:00"/>
    <s v=""/>
    <x v="1"/>
    <x v="0"/>
  </r>
  <r>
    <n v="46098534373"/>
    <n v="23"/>
    <d v="2034-07-13T00:00:00"/>
    <s v=""/>
    <x v="1"/>
    <x v="0"/>
  </r>
  <r>
    <n v="91767966589"/>
    <n v="44"/>
    <d v="2034-07-13T00:00:00"/>
    <s v=""/>
    <x v="1"/>
    <x v="0"/>
  </r>
  <r>
    <n v="32773491528"/>
    <n v="114"/>
    <d v="2034-07-13T00:00:00"/>
    <d v="2034-08-01T00:00:00"/>
    <x v="1"/>
    <x v="4"/>
  </r>
  <r>
    <n v="87699070762"/>
    <n v="129"/>
    <d v="2034-07-13T00:00:00"/>
    <s v=""/>
    <x v="1"/>
    <x v="0"/>
  </r>
  <r>
    <n v="99388514355"/>
    <n v="147"/>
    <d v="2034-07-13T00:00:00"/>
    <m/>
    <x v="1"/>
    <x v="0"/>
  </r>
  <r>
    <n v="92067624597"/>
    <n v="149"/>
    <d v="2034-07-13T00:00:00"/>
    <s v=""/>
    <x v="1"/>
    <x v="0"/>
  </r>
  <r>
    <n v="80507228799"/>
    <n v="154"/>
    <d v="2034-07-13T00:00:00"/>
    <s v=""/>
    <x v="1"/>
    <x v="0"/>
  </r>
  <r>
    <n v="47182300718"/>
    <n v="159"/>
    <d v="2034-07-13T00:00:00"/>
    <s v=""/>
    <x v="1"/>
    <x v="0"/>
  </r>
  <r>
    <n v="99563380288"/>
    <n v="191"/>
    <d v="2034-07-13T00:00:00"/>
    <s v=""/>
    <x v="1"/>
    <x v="0"/>
  </r>
  <r>
    <n v="55687455763"/>
    <n v="204"/>
    <d v="2034-07-13T00:00:00"/>
    <s v=""/>
    <x v="1"/>
    <x v="0"/>
  </r>
  <r>
    <n v="56848451832"/>
    <n v="222"/>
    <d v="2034-07-13T00:00:00"/>
    <d v="2034-08-31T00:00:00"/>
    <x v="1"/>
    <x v="4"/>
  </r>
  <r>
    <n v="78063973885"/>
    <n v="228"/>
    <d v="2034-07-13T00:00:00"/>
    <m/>
    <x v="1"/>
    <x v="0"/>
  </r>
  <r>
    <n v="36397590668"/>
    <n v="256"/>
    <d v="2034-07-13T00:00:00"/>
    <d v="2034-08-18T00:00:00"/>
    <x v="1"/>
    <x v="4"/>
  </r>
  <r>
    <n v="41031825787"/>
    <n v="264"/>
    <d v="2034-07-13T00:00:00"/>
    <s v=""/>
    <x v="1"/>
    <x v="0"/>
  </r>
  <r>
    <n v="23404051452"/>
    <n v="268"/>
    <d v="2034-07-13T00:00:00"/>
    <s v=""/>
    <x v="1"/>
    <x v="0"/>
  </r>
  <r>
    <n v="30262953212"/>
    <n v="284"/>
    <d v="2034-07-13T00:00:00"/>
    <s v=""/>
    <x v="1"/>
    <x v="0"/>
  </r>
  <r>
    <n v="87238853788"/>
    <n v="43"/>
    <d v="2034-07-14T00:00:00"/>
    <s v=""/>
    <x v="1"/>
    <x v="0"/>
  </r>
  <r>
    <n v="15152467408"/>
    <n v="43"/>
    <d v="2034-07-14T00:00:00"/>
    <s v=""/>
    <x v="1"/>
    <x v="0"/>
  </r>
  <r>
    <n v="74206201903"/>
    <n v="57"/>
    <d v="2034-07-14T00:00:00"/>
    <s v=""/>
    <x v="1"/>
    <x v="0"/>
  </r>
  <r>
    <n v="99404335018"/>
    <n v="58"/>
    <d v="2034-07-14T00:00:00"/>
    <s v=""/>
    <x v="1"/>
    <x v="0"/>
  </r>
  <r>
    <n v="32889615625"/>
    <n v="92"/>
    <d v="2034-07-14T00:00:00"/>
    <s v=""/>
    <x v="1"/>
    <x v="0"/>
  </r>
  <r>
    <n v="24585006657"/>
    <n v="101"/>
    <d v="2034-07-14T00:00:00"/>
    <s v=""/>
    <x v="1"/>
    <x v="0"/>
  </r>
  <r>
    <n v="55822806203"/>
    <n v="116"/>
    <d v="2034-07-14T00:00:00"/>
    <s v=""/>
    <x v="1"/>
    <x v="0"/>
  </r>
  <r>
    <n v="20676225210"/>
    <n v="118"/>
    <d v="2034-07-14T00:00:00"/>
    <s v=""/>
    <x v="1"/>
    <x v="0"/>
  </r>
  <r>
    <n v="84920602697"/>
    <n v="128"/>
    <d v="2034-07-14T00:00:00"/>
    <s v=""/>
    <x v="1"/>
    <x v="0"/>
  </r>
  <r>
    <n v="34978500144"/>
    <n v="139"/>
    <d v="2034-07-14T00:00:00"/>
    <s v=""/>
    <x v="1"/>
    <x v="0"/>
  </r>
  <r>
    <n v="80507755554"/>
    <n v="142"/>
    <d v="2034-07-14T00:00:00"/>
    <d v="2034-09-30T00:00:00"/>
    <x v="1"/>
    <x v="3"/>
  </r>
  <r>
    <n v="57695134194"/>
    <n v="171"/>
    <d v="2034-07-14T00:00:00"/>
    <s v=""/>
    <x v="1"/>
    <x v="0"/>
  </r>
  <r>
    <n v="63932830491"/>
    <n v="180"/>
    <d v="2034-07-14T00:00:00"/>
    <s v=""/>
    <x v="1"/>
    <x v="0"/>
  </r>
  <r>
    <n v="39096817197"/>
    <n v="222"/>
    <d v="2034-07-14T00:00:00"/>
    <m/>
    <x v="1"/>
    <x v="0"/>
  </r>
  <r>
    <n v="80305691069"/>
    <n v="227"/>
    <d v="2034-07-14T00:00:00"/>
    <s v=""/>
    <x v="1"/>
    <x v="0"/>
  </r>
  <r>
    <n v="40227431114"/>
    <n v="234"/>
    <d v="2034-07-14T00:00:00"/>
    <s v=""/>
    <x v="1"/>
    <x v="0"/>
  </r>
  <r>
    <n v="17626365760"/>
    <n v="241"/>
    <d v="2034-07-14T00:00:00"/>
    <s v=""/>
    <x v="1"/>
    <x v="0"/>
  </r>
  <r>
    <n v="72844953989"/>
    <n v="245"/>
    <d v="2034-07-14T00:00:00"/>
    <s v=""/>
    <x v="1"/>
    <x v="0"/>
  </r>
  <r>
    <n v="22782407817"/>
    <n v="253"/>
    <d v="2034-07-14T00:00:00"/>
    <s v=""/>
    <x v="1"/>
    <x v="0"/>
  </r>
  <r>
    <n v="49507996609"/>
    <n v="278"/>
    <d v="2034-07-14T00:00:00"/>
    <s v=""/>
    <x v="1"/>
    <x v="0"/>
  </r>
  <r>
    <n v="89335413200"/>
    <n v="299"/>
    <d v="2034-07-14T00:00:00"/>
    <s v=""/>
    <x v="1"/>
    <x v="0"/>
  </r>
  <r>
    <n v="65415617313"/>
    <n v="320"/>
    <d v="2034-07-14T00:00:00"/>
    <m/>
    <x v="1"/>
    <x v="0"/>
  </r>
  <r>
    <n v="21532015388"/>
    <n v="6"/>
    <d v="2034-07-15T00:00:00"/>
    <d v="2034-10-01T00:00:00"/>
    <x v="1"/>
    <x v="5"/>
  </r>
  <r>
    <n v="96257260880"/>
    <n v="17"/>
    <d v="2034-07-15T00:00:00"/>
    <d v="2034-09-23T00:00:00"/>
    <x v="1"/>
    <x v="3"/>
  </r>
  <r>
    <n v="83050794368"/>
    <n v="40"/>
    <d v="2034-07-15T00:00:00"/>
    <s v=""/>
    <x v="1"/>
    <x v="0"/>
  </r>
  <r>
    <n v="90485595579"/>
    <n v="40"/>
    <d v="2034-07-15T00:00:00"/>
    <d v="2034-09-11T00:00:00"/>
    <x v="1"/>
    <x v="3"/>
  </r>
  <r>
    <n v="62556653783"/>
    <n v="56"/>
    <d v="2034-07-15T00:00:00"/>
    <s v=""/>
    <x v="1"/>
    <x v="0"/>
  </r>
  <r>
    <n v="45532981311"/>
    <n v="74"/>
    <d v="2034-07-15T00:00:00"/>
    <s v=""/>
    <x v="1"/>
    <x v="0"/>
  </r>
  <r>
    <n v="31296810837"/>
    <n v="98"/>
    <d v="2034-07-15T00:00:00"/>
    <s v=""/>
    <x v="1"/>
    <x v="0"/>
  </r>
  <r>
    <n v="33540266131"/>
    <n v="110"/>
    <d v="2034-07-15T00:00:00"/>
    <s v=""/>
    <x v="1"/>
    <x v="0"/>
  </r>
  <r>
    <n v="27353863560"/>
    <n v="118"/>
    <d v="2034-07-15T00:00:00"/>
    <s v=""/>
    <x v="1"/>
    <x v="0"/>
  </r>
  <r>
    <n v="39343133426"/>
    <n v="158"/>
    <d v="2034-07-15T00:00:00"/>
    <s v=""/>
    <x v="1"/>
    <x v="0"/>
  </r>
  <r>
    <n v="97866428304"/>
    <n v="160"/>
    <d v="2034-07-15T00:00:00"/>
    <d v="2034-10-09T00:00:00"/>
    <x v="1"/>
    <x v="5"/>
  </r>
  <r>
    <n v="34074858218"/>
    <n v="182"/>
    <d v="2034-07-15T00:00:00"/>
    <d v="2034-10-13T00:00:00"/>
    <x v="1"/>
    <x v="5"/>
  </r>
  <r>
    <n v="19651343968"/>
    <n v="208"/>
    <d v="2034-07-15T00:00:00"/>
    <s v=""/>
    <x v="1"/>
    <x v="0"/>
  </r>
  <r>
    <n v="76972268872"/>
    <n v="220"/>
    <d v="2034-07-15T00:00:00"/>
    <d v="2034-08-26T00:00:00"/>
    <x v="1"/>
    <x v="4"/>
  </r>
  <r>
    <n v="41780044781"/>
    <n v="237"/>
    <d v="2034-07-15T00:00:00"/>
    <s v=""/>
    <x v="1"/>
    <x v="0"/>
  </r>
  <r>
    <n v="59926104611"/>
    <n v="239"/>
    <d v="2034-07-15T00:00:00"/>
    <s v=""/>
    <x v="1"/>
    <x v="0"/>
  </r>
  <r>
    <n v="67136855235"/>
    <n v="243"/>
    <d v="2034-07-15T00:00:00"/>
    <m/>
    <x v="1"/>
    <x v="0"/>
  </r>
  <r>
    <n v="93392742986"/>
    <n v="260"/>
    <d v="2034-07-15T00:00:00"/>
    <s v=""/>
    <x v="1"/>
    <x v="0"/>
  </r>
  <r>
    <n v="86731980137"/>
    <n v="261"/>
    <d v="2034-07-15T00:00:00"/>
    <s v=""/>
    <x v="1"/>
    <x v="0"/>
  </r>
  <r>
    <n v="68876487019"/>
    <n v="277"/>
    <d v="2034-07-15T00:00:00"/>
    <s v=""/>
    <x v="1"/>
    <x v="0"/>
  </r>
  <r>
    <n v="23866123351"/>
    <n v="281"/>
    <d v="2034-07-15T00:00:00"/>
    <d v="2034-11-02T00:00:00"/>
    <x v="1"/>
    <x v="6"/>
  </r>
  <r>
    <n v="76327385799"/>
    <n v="284"/>
    <d v="2034-07-15T00:00:00"/>
    <s v=""/>
    <x v="1"/>
    <x v="0"/>
  </r>
  <r>
    <n v="78298287198"/>
    <n v="284"/>
    <d v="2034-07-15T00:00:00"/>
    <s v=""/>
    <x v="1"/>
    <x v="0"/>
  </r>
  <r>
    <n v="75511643545"/>
    <n v="297"/>
    <d v="2034-07-15T00:00:00"/>
    <s v=""/>
    <x v="1"/>
    <x v="0"/>
  </r>
  <r>
    <n v="36155346799"/>
    <n v="306"/>
    <d v="2034-07-15T00:00:00"/>
    <s v=""/>
    <x v="1"/>
    <x v="0"/>
  </r>
  <r>
    <n v="86914069128"/>
    <n v="316"/>
    <d v="2034-07-15T00:00:00"/>
    <s v=""/>
    <x v="1"/>
    <x v="0"/>
  </r>
  <r>
    <n v="37797819762"/>
    <n v="321"/>
    <d v="2034-07-15T00:00:00"/>
    <d v="2034-10-11T00:00:00"/>
    <x v="1"/>
    <x v="5"/>
  </r>
  <r>
    <n v="91763568997"/>
    <n v="324"/>
    <d v="2034-07-15T00:00:00"/>
    <s v=""/>
    <x v="1"/>
    <x v="0"/>
  </r>
  <r>
    <n v="13251507138"/>
    <n v="328"/>
    <d v="2034-07-15T00:00:00"/>
    <m/>
    <x v="1"/>
    <x v="0"/>
  </r>
  <r>
    <n v="59679660356"/>
    <n v="10"/>
    <d v="2034-07-16T00:00:00"/>
    <d v="2034-09-17T00:00:00"/>
    <x v="1"/>
    <x v="3"/>
  </r>
  <r>
    <n v="77098245858"/>
    <n v="11"/>
    <d v="2034-07-16T00:00:00"/>
    <s v=""/>
    <x v="1"/>
    <x v="0"/>
  </r>
  <r>
    <n v="51868754408"/>
    <n v="56"/>
    <d v="2034-07-16T00:00:00"/>
    <m/>
    <x v="1"/>
    <x v="0"/>
  </r>
  <r>
    <n v="43960292501"/>
    <n v="60"/>
    <d v="2034-07-16T00:00:00"/>
    <s v=""/>
    <x v="1"/>
    <x v="0"/>
  </r>
  <r>
    <n v="37297082805"/>
    <n v="64"/>
    <d v="2034-07-16T00:00:00"/>
    <m/>
    <x v="1"/>
    <x v="0"/>
  </r>
  <r>
    <n v="52967193206"/>
    <n v="87"/>
    <d v="2034-07-16T00:00:00"/>
    <s v=""/>
    <x v="1"/>
    <x v="0"/>
  </r>
  <r>
    <n v="27868433723"/>
    <n v="95"/>
    <d v="2034-07-16T00:00:00"/>
    <m/>
    <x v="1"/>
    <x v="0"/>
  </r>
  <r>
    <n v="29294769958"/>
    <n v="101"/>
    <d v="2034-07-16T00:00:00"/>
    <s v=""/>
    <x v="1"/>
    <x v="0"/>
  </r>
  <r>
    <n v="31339743208"/>
    <n v="119"/>
    <d v="2034-07-16T00:00:00"/>
    <s v=""/>
    <x v="1"/>
    <x v="0"/>
  </r>
  <r>
    <n v="96629488227"/>
    <n v="154"/>
    <d v="2034-07-16T00:00:00"/>
    <s v=""/>
    <x v="1"/>
    <x v="0"/>
  </r>
  <r>
    <n v="23087911259"/>
    <n v="155"/>
    <d v="2034-07-16T00:00:00"/>
    <d v="2034-07-16T00:00:00"/>
    <x v="1"/>
    <x v="2"/>
  </r>
  <r>
    <n v="79916678114"/>
    <n v="193"/>
    <d v="2034-07-16T00:00:00"/>
    <m/>
    <x v="1"/>
    <x v="0"/>
  </r>
  <r>
    <n v="49736387177"/>
    <n v="238"/>
    <d v="2034-07-16T00:00:00"/>
    <s v=""/>
    <x v="1"/>
    <x v="0"/>
  </r>
  <r>
    <n v="69240000846"/>
    <n v="246"/>
    <d v="2034-07-16T00:00:00"/>
    <s v=""/>
    <x v="1"/>
    <x v="0"/>
  </r>
  <r>
    <n v="87566302748"/>
    <n v="256"/>
    <d v="2034-07-16T00:00:00"/>
    <s v=""/>
    <x v="1"/>
    <x v="0"/>
  </r>
  <r>
    <n v="65836938941"/>
    <n v="258"/>
    <d v="2034-07-16T00:00:00"/>
    <s v=""/>
    <x v="1"/>
    <x v="0"/>
  </r>
  <r>
    <n v="41627495299"/>
    <n v="276"/>
    <d v="2034-07-16T00:00:00"/>
    <s v=""/>
    <x v="1"/>
    <x v="0"/>
  </r>
  <r>
    <n v="12226974826"/>
    <n v="276"/>
    <d v="2034-07-16T00:00:00"/>
    <s v=""/>
    <x v="1"/>
    <x v="0"/>
  </r>
  <r>
    <n v="81390419388"/>
    <n v="280"/>
    <d v="2034-07-16T00:00:00"/>
    <s v=""/>
    <x v="1"/>
    <x v="0"/>
  </r>
  <r>
    <n v="93641081019"/>
    <n v="320"/>
    <d v="2034-07-16T00:00:00"/>
    <s v=""/>
    <x v="1"/>
    <x v="0"/>
  </r>
  <r>
    <n v="27070429593"/>
    <n v="336"/>
    <d v="2034-07-16T00:00:00"/>
    <d v="2034-10-17T00:00:00"/>
    <x v="1"/>
    <x v="5"/>
  </r>
  <r>
    <n v="91402114623"/>
    <n v="339"/>
    <d v="2034-07-16T00:00:00"/>
    <d v="2034-08-29T00:00:00"/>
    <x v="1"/>
    <x v="4"/>
  </r>
  <r>
    <n v="77775797473"/>
    <n v="340"/>
    <d v="2034-07-16T00:00:00"/>
    <d v="2034-07-23T00:00:00"/>
    <x v="1"/>
    <x v="2"/>
  </r>
  <r>
    <n v="89948959945"/>
    <n v="4"/>
    <d v="2034-07-17T00:00:00"/>
    <s v=""/>
    <x v="1"/>
    <x v="0"/>
  </r>
  <r>
    <n v="18419780593"/>
    <n v="5"/>
    <d v="2034-07-17T00:00:00"/>
    <s v=""/>
    <x v="1"/>
    <x v="0"/>
  </r>
  <r>
    <n v="78556523873"/>
    <n v="16"/>
    <d v="2034-07-17T00:00:00"/>
    <s v=""/>
    <x v="1"/>
    <x v="0"/>
  </r>
  <r>
    <n v="86491534434"/>
    <n v="17"/>
    <d v="2034-07-17T00:00:00"/>
    <s v=""/>
    <x v="1"/>
    <x v="0"/>
  </r>
  <r>
    <n v="68849619365"/>
    <n v="29"/>
    <d v="2034-07-17T00:00:00"/>
    <s v=""/>
    <x v="1"/>
    <x v="0"/>
  </r>
  <r>
    <n v="35773615334"/>
    <n v="37"/>
    <d v="2034-07-17T00:00:00"/>
    <s v=""/>
    <x v="1"/>
    <x v="0"/>
  </r>
  <r>
    <n v="66095559872"/>
    <n v="44"/>
    <d v="2034-07-17T00:00:00"/>
    <d v="2034-09-28T00:00:00"/>
    <x v="1"/>
    <x v="3"/>
  </r>
  <r>
    <n v="64402787526"/>
    <n v="55"/>
    <d v="2034-07-17T00:00:00"/>
    <s v=""/>
    <x v="1"/>
    <x v="0"/>
  </r>
  <r>
    <n v="18118120652"/>
    <n v="79"/>
    <d v="2034-07-17T00:00:00"/>
    <s v=""/>
    <x v="1"/>
    <x v="0"/>
  </r>
  <r>
    <n v="18818370414"/>
    <n v="104"/>
    <d v="2034-07-17T00:00:00"/>
    <d v="2034-09-30T00:00:00"/>
    <x v="1"/>
    <x v="3"/>
  </r>
  <r>
    <n v="24895543311"/>
    <n v="158"/>
    <d v="2034-07-17T00:00:00"/>
    <s v=""/>
    <x v="1"/>
    <x v="0"/>
  </r>
  <r>
    <n v="67145834979"/>
    <n v="161"/>
    <d v="2034-07-17T00:00:00"/>
    <s v=""/>
    <x v="1"/>
    <x v="0"/>
  </r>
  <r>
    <n v="97598088690"/>
    <n v="166"/>
    <d v="2034-07-17T00:00:00"/>
    <m/>
    <x v="1"/>
    <x v="0"/>
  </r>
  <r>
    <n v="41730712328"/>
    <n v="168"/>
    <d v="2034-07-17T00:00:00"/>
    <s v=""/>
    <x v="1"/>
    <x v="0"/>
  </r>
  <r>
    <n v="41566118487"/>
    <n v="204"/>
    <d v="2034-07-17T00:00:00"/>
    <s v=""/>
    <x v="1"/>
    <x v="0"/>
  </r>
  <r>
    <n v="54127669903"/>
    <n v="206"/>
    <d v="2034-07-17T00:00:00"/>
    <d v="2034-08-23T00:00:00"/>
    <x v="1"/>
    <x v="4"/>
  </r>
  <r>
    <n v="54823011639"/>
    <n v="238"/>
    <d v="2034-07-17T00:00:00"/>
    <s v=""/>
    <x v="1"/>
    <x v="0"/>
  </r>
  <r>
    <n v="11332647580"/>
    <n v="246"/>
    <d v="2034-07-17T00:00:00"/>
    <s v=""/>
    <x v="1"/>
    <x v="0"/>
  </r>
  <r>
    <n v="92897131872"/>
    <n v="325"/>
    <d v="2034-07-17T00:00:00"/>
    <s v=""/>
    <x v="1"/>
    <x v="0"/>
  </r>
  <r>
    <n v="41492926595"/>
    <n v="9"/>
    <d v="2034-07-18T00:00:00"/>
    <s v=""/>
    <x v="1"/>
    <x v="0"/>
  </r>
  <r>
    <n v="25987726536"/>
    <n v="23"/>
    <d v="2034-07-18T00:00:00"/>
    <s v=""/>
    <x v="1"/>
    <x v="0"/>
  </r>
  <r>
    <n v="91381772114"/>
    <n v="39"/>
    <d v="2034-07-18T00:00:00"/>
    <s v=""/>
    <x v="1"/>
    <x v="0"/>
  </r>
  <r>
    <n v="84862140722"/>
    <n v="59"/>
    <d v="2034-07-18T00:00:00"/>
    <s v=""/>
    <x v="1"/>
    <x v="0"/>
  </r>
  <r>
    <n v="74523023374"/>
    <n v="64"/>
    <d v="2034-07-18T00:00:00"/>
    <s v=""/>
    <x v="1"/>
    <x v="0"/>
  </r>
  <r>
    <n v="67178614084"/>
    <n v="78"/>
    <d v="2034-07-18T00:00:00"/>
    <s v=""/>
    <x v="1"/>
    <x v="0"/>
  </r>
  <r>
    <n v="20107921325"/>
    <n v="89"/>
    <d v="2034-07-18T00:00:00"/>
    <d v="2034-09-29T00:00:00"/>
    <x v="1"/>
    <x v="3"/>
  </r>
  <r>
    <n v="49636765561"/>
    <n v="112"/>
    <d v="2034-07-18T00:00:00"/>
    <s v=""/>
    <x v="1"/>
    <x v="0"/>
  </r>
  <r>
    <n v="34866835999"/>
    <n v="126"/>
    <d v="2034-07-18T00:00:00"/>
    <s v=""/>
    <x v="1"/>
    <x v="0"/>
  </r>
  <r>
    <n v="14741907808"/>
    <n v="159"/>
    <d v="2034-07-18T00:00:00"/>
    <s v=""/>
    <x v="1"/>
    <x v="0"/>
  </r>
  <r>
    <n v="15642272260"/>
    <n v="161"/>
    <d v="2034-07-18T00:00:00"/>
    <s v=""/>
    <x v="1"/>
    <x v="0"/>
  </r>
  <r>
    <n v="45952913351"/>
    <n v="163"/>
    <d v="2034-07-18T00:00:00"/>
    <s v=""/>
    <x v="1"/>
    <x v="0"/>
  </r>
  <r>
    <n v="43667098795"/>
    <n v="189"/>
    <d v="2034-07-18T00:00:00"/>
    <s v=""/>
    <x v="1"/>
    <x v="0"/>
  </r>
  <r>
    <n v="69803614849"/>
    <n v="202"/>
    <d v="2034-07-18T00:00:00"/>
    <s v=""/>
    <x v="1"/>
    <x v="0"/>
  </r>
  <r>
    <n v="43308705381"/>
    <n v="215"/>
    <d v="2034-07-18T00:00:00"/>
    <d v="2034-10-16T00:00:00"/>
    <x v="1"/>
    <x v="5"/>
  </r>
  <r>
    <n v="19023878318"/>
    <n v="230"/>
    <d v="2034-07-18T00:00:00"/>
    <d v="2034-09-11T00:00:00"/>
    <x v="1"/>
    <x v="3"/>
  </r>
  <r>
    <n v="72359450513"/>
    <n v="233"/>
    <d v="2034-07-18T00:00:00"/>
    <s v=""/>
    <x v="1"/>
    <x v="0"/>
  </r>
  <r>
    <n v="13288697228"/>
    <n v="244"/>
    <d v="2034-07-18T00:00:00"/>
    <s v=""/>
    <x v="1"/>
    <x v="0"/>
  </r>
  <r>
    <n v="70341557676"/>
    <n v="245"/>
    <d v="2034-07-18T00:00:00"/>
    <s v=""/>
    <x v="1"/>
    <x v="0"/>
  </r>
  <r>
    <n v="13249654769"/>
    <n v="248"/>
    <d v="2034-07-18T00:00:00"/>
    <s v=""/>
    <x v="1"/>
    <x v="0"/>
  </r>
  <r>
    <n v="33446849377"/>
    <n v="255"/>
    <d v="2034-07-18T00:00:00"/>
    <s v=""/>
    <x v="1"/>
    <x v="0"/>
  </r>
  <r>
    <n v="93119955349"/>
    <n v="273"/>
    <d v="2034-07-18T00:00:00"/>
    <m/>
    <x v="1"/>
    <x v="0"/>
  </r>
  <r>
    <n v="65126626404"/>
    <n v="302"/>
    <d v="2034-07-18T00:00:00"/>
    <s v=""/>
    <x v="1"/>
    <x v="0"/>
  </r>
  <r>
    <n v="31946707156"/>
    <n v="303"/>
    <d v="2034-07-18T00:00:00"/>
    <s v=""/>
    <x v="1"/>
    <x v="0"/>
  </r>
  <r>
    <n v="46958649124"/>
    <n v="314"/>
    <d v="2034-07-18T00:00:00"/>
    <s v=""/>
    <x v="1"/>
    <x v="0"/>
  </r>
  <r>
    <n v="71388120390"/>
    <n v="340"/>
    <d v="2034-07-18T00:00:00"/>
    <s v=""/>
    <x v="1"/>
    <x v="0"/>
  </r>
  <r>
    <n v="78597313905"/>
    <n v="27"/>
    <d v="2034-07-19T00:00:00"/>
    <s v=""/>
    <x v="1"/>
    <x v="0"/>
  </r>
  <r>
    <n v="46077662104"/>
    <n v="34"/>
    <d v="2034-07-19T00:00:00"/>
    <m/>
    <x v="1"/>
    <x v="0"/>
  </r>
  <r>
    <n v="50085905188"/>
    <n v="38"/>
    <d v="2034-07-19T00:00:00"/>
    <s v=""/>
    <x v="1"/>
    <x v="0"/>
  </r>
  <r>
    <n v="32659350184"/>
    <n v="70"/>
    <d v="2034-07-19T00:00:00"/>
    <s v=""/>
    <x v="1"/>
    <x v="0"/>
  </r>
  <r>
    <n v="42249078819"/>
    <n v="71"/>
    <d v="2034-07-19T00:00:00"/>
    <d v="2034-10-30T00:00:00"/>
    <x v="1"/>
    <x v="5"/>
  </r>
  <r>
    <n v="63514927072"/>
    <n v="75"/>
    <d v="2034-07-19T00:00:00"/>
    <m/>
    <x v="1"/>
    <x v="0"/>
  </r>
  <r>
    <n v="43909521820"/>
    <n v="77"/>
    <d v="2034-07-19T00:00:00"/>
    <s v=""/>
    <x v="1"/>
    <x v="0"/>
  </r>
  <r>
    <n v="90466578841"/>
    <n v="79"/>
    <d v="2034-07-19T00:00:00"/>
    <m/>
    <x v="1"/>
    <x v="0"/>
  </r>
  <r>
    <n v="35177226759"/>
    <n v="88"/>
    <d v="2034-07-19T00:00:00"/>
    <s v=""/>
    <x v="1"/>
    <x v="0"/>
  </r>
  <r>
    <n v="39769600586"/>
    <n v="102"/>
    <d v="2034-07-19T00:00:00"/>
    <s v=""/>
    <x v="1"/>
    <x v="0"/>
  </r>
  <r>
    <n v="62112399635"/>
    <n v="105"/>
    <d v="2034-07-19T00:00:00"/>
    <s v=""/>
    <x v="1"/>
    <x v="0"/>
  </r>
  <r>
    <n v="72206450704"/>
    <n v="114"/>
    <d v="2034-07-19T00:00:00"/>
    <s v=""/>
    <x v="1"/>
    <x v="0"/>
  </r>
  <r>
    <n v="64798255688"/>
    <n v="149"/>
    <d v="2034-07-19T00:00:00"/>
    <s v=""/>
    <x v="1"/>
    <x v="0"/>
  </r>
  <r>
    <n v="49576180245"/>
    <n v="152"/>
    <d v="2034-07-19T00:00:00"/>
    <s v=""/>
    <x v="1"/>
    <x v="0"/>
  </r>
  <r>
    <n v="59543190928"/>
    <n v="180"/>
    <d v="2034-07-19T00:00:00"/>
    <s v=""/>
    <x v="1"/>
    <x v="0"/>
  </r>
  <r>
    <n v="25003479827"/>
    <n v="182"/>
    <d v="2034-07-19T00:00:00"/>
    <s v=""/>
    <x v="1"/>
    <x v="0"/>
  </r>
  <r>
    <n v="37167189675"/>
    <n v="199"/>
    <d v="2034-07-19T00:00:00"/>
    <d v="2034-07-22T00:00:00"/>
    <x v="1"/>
    <x v="2"/>
  </r>
  <r>
    <n v="23172936946"/>
    <n v="209"/>
    <d v="2034-07-19T00:00:00"/>
    <s v=""/>
    <x v="1"/>
    <x v="0"/>
  </r>
  <r>
    <n v="47193934838"/>
    <n v="234"/>
    <d v="2034-07-19T00:00:00"/>
    <d v="2034-09-01T00:00:00"/>
    <x v="1"/>
    <x v="3"/>
  </r>
  <r>
    <n v="70497562333"/>
    <n v="245"/>
    <d v="2034-07-19T00:00:00"/>
    <s v=""/>
    <x v="1"/>
    <x v="0"/>
  </r>
  <r>
    <n v="46890136415"/>
    <n v="278"/>
    <d v="2034-07-19T00:00:00"/>
    <m/>
    <x v="1"/>
    <x v="0"/>
  </r>
  <r>
    <n v="43463529276"/>
    <n v="300"/>
    <d v="2034-07-19T00:00:00"/>
    <s v=""/>
    <x v="1"/>
    <x v="0"/>
  </r>
  <r>
    <n v="91552388118"/>
    <n v="306"/>
    <d v="2034-07-19T00:00:00"/>
    <s v=""/>
    <x v="1"/>
    <x v="0"/>
  </r>
  <r>
    <n v="88325077574"/>
    <n v="309"/>
    <d v="2034-07-19T00:00:00"/>
    <s v=""/>
    <x v="1"/>
    <x v="0"/>
  </r>
  <r>
    <n v="21192999281"/>
    <n v="31"/>
    <d v="2034-07-20T00:00:00"/>
    <m/>
    <x v="1"/>
    <x v="0"/>
  </r>
  <r>
    <n v="13686592624"/>
    <n v="32"/>
    <d v="2034-07-20T00:00:00"/>
    <s v=""/>
    <x v="1"/>
    <x v="0"/>
  </r>
  <r>
    <n v="85608824489"/>
    <n v="39"/>
    <d v="2034-07-20T00:00:00"/>
    <d v="2034-08-08T00:00:00"/>
    <x v="1"/>
    <x v="4"/>
  </r>
  <r>
    <n v="78578072457"/>
    <n v="54"/>
    <d v="2034-07-20T00:00:00"/>
    <s v=""/>
    <x v="1"/>
    <x v="0"/>
  </r>
  <r>
    <n v="33338200390"/>
    <n v="88"/>
    <d v="2034-07-20T00:00:00"/>
    <s v=""/>
    <x v="1"/>
    <x v="0"/>
  </r>
  <r>
    <n v="42464261977"/>
    <n v="99"/>
    <d v="2034-07-20T00:00:00"/>
    <s v=""/>
    <x v="1"/>
    <x v="0"/>
  </r>
  <r>
    <n v="42428271915"/>
    <n v="99"/>
    <d v="2034-07-20T00:00:00"/>
    <s v=""/>
    <x v="1"/>
    <x v="0"/>
  </r>
  <r>
    <n v="62679548257"/>
    <n v="106"/>
    <d v="2034-07-20T00:00:00"/>
    <s v=""/>
    <x v="1"/>
    <x v="0"/>
  </r>
  <r>
    <n v="17285419358"/>
    <n v="109"/>
    <d v="2034-07-20T00:00:00"/>
    <m/>
    <x v="1"/>
    <x v="0"/>
  </r>
  <r>
    <n v="53101769965"/>
    <n v="113"/>
    <d v="2034-07-20T00:00:00"/>
    <s v=""/>
    <x v="1"/>
    <x v="0"/>
  </r>
  <r>
    <n v="59240322277"/>
    <n v="121"/>
    <d v="2034-07-20T00:00:00"/>
    <d v="2034-10-17T00:00:00"/>
    <x v="1"/>
    <x v="5"/>
  </r>
  <r>
    <n v="99916712821"/>
    <n v="195"/>
    <d v="2034-07-20T00:00:00"/>
    <s v=""/>
    <x v="1"/>
    <x v="0"/>
  </r>
  <r>
    <n v="82780660927"/>
    <n v="210"/>
    <d v="2034-07-20T00:00:00"/>
    <s v=""/>
    <x v="1"/>
    <x v="0"/>
  </r>
  <r>
    <n v="65086436020"/>
    <n v="225"/>
    <d v="2034-07-20T00:00:00"/>
    <s v=""/>
    <x v="1"/>
    <x v="0"/>
  </r>
  <r>
    <n v="42911039475"/>
    <n v="225"/>
    <d v="2034-07-20T00:00:00"/>
    <m/>
    <x v="1"/>
    <x v="0"/>
  </r>
  <r>
    <n v="72091008370"/>
    <n v="237"/>
    <d v="2034-07-20T00:00:00"/>
    <d v="2034-10-06T00:00:00"/>
    <x v="1"/>
    <x v="5"/>
  </r>
  <r>
    <n v="93681802394"/>
    <n v="249"/>
    <d v="2034-07-20T00:00:00"/>
    <d v="2034-08-20T00:00:00"/>
    <x v="1"/>
    <x v="4"/>
  </r>
  <r>
    <n v="66556230264"/>
    <n v="259"/>
    <d v="2034-07-20T00:00:00"/>
    <m/>
    <x v="1"/>
    <x v="0"/>
  </r>
  <r>
    <n v="30555691339"/>
    <n v="266"/>
    <d v="2034-07-20T00:00:00"/>
    <d v="2034-07-21T00:00:00"/>
    <x v="1"/>
    <x v="2"/>
  </r>
  <r>
    <n v="84542160902"/>
    <n v="309"/>
    <d v="2034-07-20T00:00:00"/>
    <s v=""/>
    <x v="1"/>
    <x v="0"/>
  </r>
  <r>
    <n v="71737191330"/>
    <n v="313"/>
    <d v="2034-07-20T00:00:00"/>
    <d v="2034-09-15T00:00:00"/>
    <x v="1"/>
    <x v="3"/>
  </r>
  <r>
    <n v="18741199026"/>
    <n v="329"/>
    <d v="2034-07-20T00:00:00"/>
    <s v=""/>
    <x v="1"/>
    <x v="0"/>
  </r>
  <r>
    <n v="20028830289"/>
    <n v="334"/>
    <d v="2034-07-20T00:00:00"/>
    <d v="2034-10-25T00:00:00"/>
    <x v="1"/>
    <x v="5"/>
  </r>
  <r>
    <n v="16624300321"/>
    <n v="9"/>
    <d v="2034-07-21T00:00:00"/>
    <d v="2034-09-28T00:00:00"/>
    <x v="1"/>
    <x v="3"/>
  </r>
  <r>
    <n v="76733036336"/>
    <n v="29"/>
    <d v="2034-07-21T00:00:00"/>
    <m/>
    <x v="1"/>
    <x v="0"/>
  </r>
  <r>
    <n v="16492810003"/>
    <n v="31"/>
    <d v="2034-07-21T00:00:00"/>
    <d v="2034-09-08T00:00:00"/>
    <x v="1"/>
    <x v="3"/>
  </r>
  <r>
    <n v="33706397325"/>
    <n v="49"/>
    <d v="2034-07-21T00:00:00"/>
    <m/>
    <x v="1"/>
    <x v="0"/>
  </r>
  <r>
    <n v="22994798050"/>
    <n v="50"/>
    <d v="2034-07-21T00:00:00"/>
    <s v=""/>
    <x v="1"/>
    <x v="0"/>
  </r>
  <r>
    <n v="28485171147"/>
    <n v="65"/>
    <d v="2034-07-21T00:00:00"/>
    <s v=""/>
    <x v="1"/>
    <x v="0"/>
  </r>
  <r>
    <n v="54277106114"/>
    <n v="68"/>
    <d v="2034-07-21T00:00:00"/>
    <s v=""/>
    <x v="1"/>
    <x v="0"/>
  </r>
  <r>
    <n v="80092376340"/>
    <n v="75"/>
    <d v="2034-07-21T00:00:00"/>
    <s v=""/>
    <x v="1"/>
    <x v="0"/>
  </r>
  <r>
    <n v="53114851651"/>
    <n v="145"/>
    <d v="2034-07-21T00:00:00"/>
    <d v="2034-11-06T00:00:00"/>
    <x v="1"/>
    <x v="6"/>
  </r>
  <r>
    <n v="16130163146"/>
    <n v="152"/>
    <d v="2034-07-21T00:00:00"/>
    <s v=""/>
    <x v="1"/>
    <x v="0"/>
  </r>
  <r>
    <n v="22271486716"/>
    <n v="157"/>
    <d v="2034-07-21T00:00:00"/>
    <s v=""/>
    <x v="1"/>
    <x v="0"/>
  </r>
  <r>
    <n v="99982715860"/>
    <n v="157"/>
    <d v="2034-07-21T00:00:00"/>
    <m/>
    <x v="1"/>
    <x v="0"/>
  </r>
  <r>
    <n v="80377129868"/>
    <n v="173"/>
    <d v="2034-07-21T00:00:00"/>
    <s v=""/>
    <x v="1"/>
    <x v="0"/>
  </r>
  <r>
    <n v="55524292153"/>
    <n v="175"/>
    <d v="2034-07-21T00:00:00"/>
    <d v="2034-10-29T00:00:00"/>
    <x v="1"/>
    <x v="5"/>
  </r>
  <r>
    <n v="87192739071"/>
    <n v="210"/>
    <d v="2034-07-21T00:00:00"/>
    <s v=""/>
    <x v="1"/>
    <x v="0"/>
  </r>
  <r>
    <n v="37328669481"/>
    <n v="226"/>
    <d v="2034-07-21T00:00:00"/>
    <s v=""/>
    <x v="1"/>
    <x v="0"/>
  </r>
  <r>
    <n v="33968540993"/>
    <n v="230"/>
    <d v="2034-07-21T00:00:00"/>
    <d v="2034-09-12T00:00:00"/>
    <x v="1"/>
    <x v="3"/>
  </r>
  <r>
    <n v="94755187190"/>
    <n v="250"/>
    <d v="2034-07-21T00:00:00"/>
    <s v=""/>
    <x v="1"/>
    <x v="0"/>
  </r>
  <r>
    <n v="74938670905"/>
    <n v="275"/>
    <d v="2034-07-21T00:00:00"/>
    <s v=""/>
    <x v="1"/>
    <x v="0"/>
  </r>
  <r>
    <n v="78807434967"/>
    <n v="308"/>
    <d v="2034-07-21T00:00:00"/>
    <d v="2034-09-30T00:00:00"/>
    <x v="1"/>
    <x v="3"/>
  </r>
  <r>
    <n v="27347704398"/>
    <n v="339"/>
    <d v="2034-07-21T00:00:00"/>
    <d v="2034-07-23T00:00:00"/>
    <x v="1"/>
    <x v="2"/>
  </r>
  <r>
    <n v="51309608438"/>
    <n v="7"/>
    <d v="2034-07-22T00:00:00"/>
    <s v=""/>
    <x v="1"/>
    <x v="0"/>
  </r>
  <r>
    <n v="92178756143"/>
    <n v="16"/>
    <d v="2034-07-22T00:00:00"/>
    <s v=""/>
    <x v="1"/>
    <x v="0"/>
  </r>
  <r>
    <n v="35097139790"/>
    <n v="18"/>
    <d v="2034-07-22T00:00:00"/>
    <m/>
    <x v="1"/>
    <x v="0"/>
  </r>
  <r>
    <n v="73001107690"/>
    <n v="28"/>
    <d v="2034-07-22T00:00:00"/>
    <s v=""/>
    <x v="1"/>
    <x v="0"/>
  </r>
  <r>
    <n v="73738876888"/>
    <n v="54"/>
    <d v="2034-07-22T00:00:00"/>
    <s v=""/>
    <x v="1"/>
    <x v="0"/>
  </r>
  <r>
    <n v="16652801829"/>
    <n v="64"/>
    <d v="2034-07-22T00:00:00"/>
    <m/>
    <x v="1"/>
    <x v="0"/>
  </r>
  <r>
    <n v="89716530950"/>
    <n v="80"/>
    <d v="2034-07-22T00:00:00"/>
    <s v=""/>
    <x v="1"/>
    <x v="0"/>
  </r>
  <r>
    <n v="18058327390"/>
    <n v="83"/>
    <d v="2034-07-22T00:00:00"/>
    <s v=""/>
    <x v="1"/>
    <x v="0"/>
  </r>
  <r>
    <n v="16415270889"/>
    <n v="85"/>
    <d v="2034-07-22T00:00:00"/>
    <s v=""/>
    <x v="1"/>
    <x v="0"/>
  </r>
  <r>
    <n v="90386509125"/>
    <n v="90"/>
    <d v="2034-07-22T00:00:00"/>
    <s v=""/>
    <x v="1"/>
    <x v="0"/>
  </r>
  <r>
    <n v="35112058659"/>
    <n v="90"/>
    <d v="2034-07-22T00:00:00"/>
    <d v="2034-11-14T00:00:00"/>
    <x v="1"/>
    <x v="6"/>
  </r>
  <r>
    <n v="80663110373"/>
    <n v="90"/>
    <d v="2034-07-22T00:00:00"/>
    <d v="2034-08-29T00:00:00"/>
    <x v="1"/>
    <x v="4"/>
  </r>
  <r>
    <n v="47994806538"/>
    <n v="96"/>
    <d v="2034-07-22T00:00:00"/>
    <m/>
    <x v="1"/>
    <x v="0"/>
  </r>
  <r>
    <n v="73979608841"/>
    <n v="127"/>
    <d v="2034-07-22T00:00:00"/>
    <s v=""/>
    <x v="1"/>
    <x v="0"/>
  </r>
  <r>
    <n v="48235671216"/>
    <n v="134"/>
    <d v="2034-07-22T00:00:00"/>
    <m/>
    <x v="1"/>
    <x v="0"/>
  </r>
  <r>
    <n v="93301598481"/>
    <n v="136"/>
    <d v="2034-07-22T00:00:00"/>
    <s v=""/>
    <x v="1"/>
    <x v="0"/>
  </r>
  <r>
    <n v="71308708279"/>
    <n v="138"/>
    <d v="2034-07-22T00:00:00"/>
    <s v=""/>
    <x v="1"/>
    <x v="0"/>
  </r>
  <r>
    <n v="56389127610"/>
    <n v="140"/>
    <d v="2034-07-22T00:00:00"/>
    <m/>
    <x v="1"/>
    <x v="0"/>
  </r>
  <r>
    <n v="37179472991"/>
    <n v="150"/>
    <d v="2034-07-22T00:00:00"/>
    <m/>
    <x v="1"/>
    <x v="0"/>
  </r>
  <r>
    <n v="36432127278"/>
    <n v="161"/>
    <d v="2034-07-22T00:00:00"/>
    <m/>
    <x v="1"/>
    <x v="0"/>
  </r>
  <r>
    <n v="56326728863"/>
    <n v="161"/>
    <d v="2034-07-22T00:00:00"/>
    <d v="2034-08-19T00:00:00"/>
    <x v="1"/>
    <x v="4"/>
  </r>
  <r>
    <n v="75292296223"/>
    <n v="175"/>
    <d v="2034-07-22T00:00:00"/>
    <s v=""/>
    <x v="1"/>
    <x v="0"/>
  </r>
  <r>
    <n v="91915196884"/>
    <n v="181"/>
    <d v="2034-07-22T00:00:00"/>
    <s v=""/>
    <x v="1"/>
    <x v="0"/>
  </r>
  <r>
    <n v="94514821042"/>
    <n v="188"/>
    <d v="2034-07-22T00:00:00"/>
    <s v=""/>
    <x v="1"/>
    <x v="0"/>
  </r>
  <r>
    <n v="26696884386"/>
    <n v="189"/>
    <d v="2034-07-22T00:00:00"/>
    <s v=""/>
    <x v="1"/>
    <x v="0"/>
  </r>
  <r>
    <n v="88440823910"/>
    <n v="204"/>
    <d v="2034-07-22T00:00:00"/>
    <s v=""/>
    <x v="1"/>
    <x v="0"/>
  </r>
  <r>
    <n v="69144087696"/>
    <n v="227"/>
    <d v="2034-07-22T00:00:00"/>
    <d v="2034-08-24T00:00:00"/>
    <x v="1"/>
    <x v="4"/>
  </r>
  <r>
    <n v="83500253673"/>
    <n v="227"/>
    <d v="2034-07-22T00:00:00"/>
    <d v="2034-11-13T00:00:00"/>
    <x v="1"/>
    <x v="6"/>
  </r>
  <r>
    <n v="25631260966"/>
    <n v="233"/>
    <d v="2034-07-22T00:00:00"/>
    <m/>
    <x v="1"/>
    <x v="0"/>
  </r>
  <r>
    <n v="69890825470"/>
    <n v="234"/>
    <d v="2034-07-22T00:00:00"/>
    <m/>
    <x v="1"/>
    <x v="0"/>
  </r>
  <r>
    <n v="12852029948"/>
    <n v="243"/>
    <d v="2034-07-22T00:00:00"/>
    <m/>
    <x v="1"/>
    <x v="0"/>
  </r>
  <r>
    <n v="40395532921"/>
    <n v="247"/>
    <d v="2034-07-22T00:00:00"/>
    <s v=""/>
    <x v="1"/>
    <x v="0"/>
  </r>
  <r>
    <n v="97403464333"/>
    <n v="267"/>
    <d v="2034-07-22T00:00:00"/>
    <s v=""/>
    <x v="1"/>
    <x v="0"/>
  </r>
  <r>
    <n v="86156959572"/>
    <n v="270"/>
    <d v="2034-07-22T00:00:00"/>
    <s v=""/>
    <x v="1"/>
    <x v="0"/>
  </r>
  <r>
    <n v="53095634532"/>
    <n v="282"/>
    <d v="2034-07-22T00:00:00"/>
    <s v=""/>
    <x v="1"/>
    <x v="0"/>
  </r>
  <r>
    <n v="23546741465"/>
    <n v="284"/>
    <d v="2034-07-22T00:00:00"/>
    <s v=""/>
    <x v="1"/>
    <x v="0"/>
  </r>
  <r>
    <n v="62121124301"/>
    <n v="296"/>
    <d v="2034-07-22T00:00:00"/>
    <d v="2034-11-08T00:00:00"/>
    <x v="1"/>
    <x v="6"/>
  </r>
  <r>
    <n v="17688942312"/>
    <n v="301"/>
    <d v="2034-07-22T00:00:00"/>
    <s v=""/>
    <x v="1"/>
    <x v="0"/>
  </r>
  <r>
    <n v="81554517588"/>
    <n v="330"/>
    <d v="2034-07-22T00:00:00"/>
    <s v=""/>
    <x v="1"/>
    <x v="0"/>
  </r>
  <r>
    <n v="82307037207"/>
    <n v="29"/>
    <d v="2034-07-23T00:00:00"/>
    <m/>
    <x v="1"/>
    <x v="0"/>
  </r>
  <r>
    <n v="43748541462"/>
    <n v="41"/>
    <d v="2034-07-23T00:00:00"/>
    <m/>
    <x v="1"/>
    <x v="0"/>
  </r>
  <r>
    <n v="75697725997"/>
    <n v="62"/>
    <d v="2034-07-23T00:00:00"/>
    <m/>
    <x v="1"/>
    <x v="0"/>
  </r>
  <r>
    <n v="90057741508"/>
    <n v="73"/>
    <d v="2034-07-23T00:00:00"/>
    <s v=""/>
    <x v="1"/>
    <x v="0"/>
  </r>
  <r>
    <n v="95126954019"/>
    <n v="102"/>
    <d v="2034-07-23T00:00:00"/>
    <d v="2034-10-01T00:00:00"/>
    <x v="1"/>
    <x v="5"/>
  </r>
  <r>
    <n v="27407722662"/>
    <n v="103"/>
    <d v="2034-07-23T00:00:00"/>
    <s v=""/>
    <x v="1"/>
    <x v="0"/>
  </r>
  <r>
    <n v="88744250446"/>
    <n v="116"/>
    <d v="2034-07-23T00:00:00"/>
    <m/>
    <x v="1"/>
    <x v="0"/>
  </r>
  <r>
    <n v="19039660491"/>
    <n v="122"/>
    <d v="2034-07-23T00:00:00"/>
    <m/>
    <x v="1"/>
    <x v="0"/>
  </r>
  <r>
    <n v="54100765165"/>
    <n v="126"/>
    <d v="2034-07-23T00:00:00"/>
    <s v=""/>
    <x v="1"/>
    <x v="0"/>
  </r>
  <r>
    <n v="48557101362"/>
    <n v="133"/>
    <d v="2034-07-23T00:00:00"/>
    <s v=""/>
    <x v="1"/>
    <x v="0"/>
  </r>
  <r>
    <n v="47529978253"/>
    <n v="134"/>
    <d v="2034-07-23T00:00:00"/>
    <s v=""/>
    <x v="1"/>
    <x v="0"/>
  </r>
  <r>
    <n v="11749188620"/>
    <n v="141"/>
    <d v="2034-07-23T00:00:00"/>
    <d v="2034-10-12T00:00:00"/>
    <x v="1"/>
    <x v="5"/>
  </r>
  <r>
    <n v="30213117318"/>
    <n v="143"/>
    <d v="2034-07-23T00:00:00"/>
    <m/>
    <x v="1"/>
    <x v="0"/>
  </r>
  <r>
    <n v="89269709439"/>
    <n v="154"/>
    <d v="2034-07-23T00:00:00"/>
    <d v="2034-11-14T00:00:00"/>
    <x v="1"/>
    <x v="6"/>
  </r>
  <r>
    <n v="72856271710"/>
    <n v="165"/>
    <d v="2034-07-23T00:00:00"/>
    <s v=""/>
    <x v="1"/>
    <x v="0"/>
  </r>
  <r>
    <n v="15925444994"/>
    <n v="172"/>
    <d v="2034-07-23T00:00:00"/>
    <s v=""/>
    <x v="1"/>
    <x v="0"/>
  </r>
  <r>
    <n v="20942396884"/>
    <n v="224"/>
    <d v="2034-07-23T00:00:00"/>
    <d v="2034-10-29T00:00:00"/>
    <x v="1"/>
    <x v="5"/>
  </r>
  <r>
    <n v="84605026196"/>
    <n v="226"/>
    <d v="2034-07-23T00:00:00"/>
    <s v=""/>
    <x v="1"/>
    <x v="0"/>
  </r>
  <r>
    <n v="18604515997"/>
    <n v="226"/>
    <d v="2034-07-23T00:00:00"/>
    <d v="2034-09-01T00:00:00"/>
    <x v="1"/>
    <x v="3"/>
  </r>
  <r>
    <n v="32049312109"/>
    <n v="233"/>
    <d v="2034-07-23T00:00:00"/>
    <s v=""/>
    <x v="1"/>
    <x v="0"/>
  </r>
  <r>
    <n v="61141295438"/>
    <n v="234"/>
    <d v="2034-07-23T00:00:00"/>
    <d v="2034-08-14T00:00:00"/>
    <x v="1"/>
    <x v="4"/>
  </r>
  <r>
    <n v="33668961560"/>
    <n v="252"/>
    <d v="2034-07-23T00:00:00"/>
    <s v=""/>
    <x v="1"/>
    <x v="0"/>
  </r>
  <r>
    <n v="81504317654"/>
    <n v="258"/>
    <d v="2034-07-23T00:00:00"/>
    <s v=""/>
    <x v="1"/>
    <x v="0"/>
  </r>
  <r>
    <n v="42430518373"/>
    <n v="285"/>
    <d v="2034-07-23T00:00:00"/>
    <s v=""/>
    <x v="1"/>
    <x v="0"/>
  </r>
  <r>
    <n v="13972357320"/>
    <n v="314"/>
    <d v="2034-07-23T00:00:00"/>
    <s v=""/>
    <x v="1"/>
    <x v="0"/>
  </r>
  <r>
    <n v="30854413636"/>
    <n v="314"/>
    <d v="2034-07-23T00:00:00"/>
    <s v=""/>
    <x v="1"/>
    <x v="0"/>
  </r>
  <r>
    <n v="26242094959"/>
    <n v="325"/>
    <d v="2034-07-23T00:00:00"/>
    <s v=""/>
    <x v="1"/>
    <x v="0"/>
  </r>
  <r>
    <n v="53597709966"/>
    <n v="329"/>
    <d v="2034-07-23T00:00:00"/>
    <s v=""/>
    <x v="1"/>
    <x v="0"/>
  </r>
  <r>
    <n v="27449624091"/>
    <n v="29"/>
    <d v="2034-07-24T00:00:00"/>
    <d v="2034-11-09T00:00:00"/>
    <x v="1"/>
    <x v="6"/>
  </r>
  <r>
    <n v="27686145305"/>
    <n v="53"/>
    <d v="2034-07-24T00:00:00"/>
    <s v=""/>
    <x v="1"/>
    <x v="0"/>
  </r>
  <r>
    <n v="39869900688"/>
    <n v="62"/>
    <d v="2034-07-24T00:00:00"/>
    <m/>
    <x v="1"/>
    <x v="0"/>
  </r>
  <r>
    <n v="68713075111"/>
    <n v="65"/>
    <d v="2034-07-24T00:00:00"/>
    <s v=""/>
    <x v="1"/>
    <x v="0"/>
  </r>
  <r>
    <n v="17364429284"/>
    <n v="77"/>
    <d v="2034-07-24T00:00:00"/>
    <s v=""/>
    <x v="1"/>
    <x v="0"/>
  </r>
  <r>
    <n v="25026134456"/>
    <n v="97"/>
    <d v="2034-07-24T00:00:00"/>
    <d v="2034-10-28T00:00:00"/>
    <x v="1"/>
    <x v="5"/>
  </r>
  <r>
    <n v="79656394698"/>
    <n v="110"/>
    <d v="2034-07-24T00:00:00"/>
    <m/>
    <x v="1"/>
    <x v="0"/>
  </r>
  <r>
    <n v="75071504995"/>
    <n v="111"/>
    <d v="2034-07-24T00:00:00"/>
    <s v=""/>
    <x v="1"/>
    <x v="0"/>
  </r>
  <r>
    <n v="96621222477"/>
    <n v="123"/>
    <d v="2034-07-24T00:00:00"/>
    <s v=""/>
    <x v="1"/>
    <x v="0"/>
  </r>
  <r>
    <n v="37240814245"/>
    <n v="135"/>
    <d v="2034-07-24T00:00:00"/>
    <d v="2034-08-15T00:00:00"/>
    <x v="1"/>
    <x v="4"/>
  </r>
  <r>
    <n v="18806267350"/>
    <n v="182"/>
    <d v="2034-07-24T00:00:00"/>
    <d v="2034-09-06T00:00:00"/>
    <x v="1"/>
    <x v="3"/>
  </r>
  <r>
    <n v="45029187971"/>
    <n v="197"/>
    <d v="2034-07-24T00:00:00"/>
    <d v="2034-11-15T00:00:00"/>
    <x v="1"/>
    <x v="6"/>
  </r>
  <r>
    <n v="15262334252"/>
    <n v="216"/>
    <d v="2034-07-24T00:00:00"/>
    <s v=""/>
    <x v="1"/>
    <x v="0"/>
  </r>
  <r>
    <n v="31406060429"/>
    <n v="221"/>
    <d v="2034-07-24T00:00:00"/>
    <s v=""/>
    <x v="1"/>
    <x v="0"/>
  </r>
  <r>
    <n v="68299709383"/>
    <n v="222"/>
    <d v="2034-07-24T00:00:00"/>
    <s v=""/>
    <x v="1"/>
    <x v="0"/>
  </r>
  <r>
    <n v="46704653403"/>
    <n v="223"/>
    <d v="2034-07-24T00:00:00"/>
    <s v=""/>
    <x v="1"/>
    <x v="0"/>
  </r>
  <r>
    <n v="55183202243"/>
    <n v="228"/>
    <d v="2034-07-24T00:00:00"/>
    <m/>
    <x v="1"/>
    <x v="0"/>
  </r>
  <r>
    <n v="74378708199"/>
    <n v="239"/>
    <d v="2034-07-24T00:00:00"/>
    <s v=""/>
    <x v="1"/>
    <x v="0"/>
  </r>
  <r>
    <n v="20755901426"/>
    <n v="250"/>
    <d v="2034-07-24T00:00:00"/>
    <s v=""/>
    <x v="1"/>
    <x v="0"/>
  </r>
  <r>
    <n v="43082318039"/>
    <n v="255"/>
    <d v="2034-07-24T00:00:00"/>
    <m/>
    <x v="1"/>
    <x v="0"/>
  </r>
  <r>
    <n v="33183534556"/>
    <n v="276"/>
    <d v="2034-07-24T00:00:00"/>
    <s v=""/>
    <x v="1"/>
    <x v="0"/>
  </r>
  <r>
    <n v="38686685007"/>
    <n v="281"/>
    <d v="2034-07-24T00:00:00"/>
    <d v="2034-10-09T00:00:00"/>
    <x v="1"/>
    <x v="5"/>
  </r>
  <r>
    <n v="81939517481"/>
    <n v="283"/>
    <d v="2034-07-24T00:00:00"/>
    <s v=""/>
    <x v="1"/>
    <x v="0"/>
  </r>
  <r>
    <n v="18375363806"/>
    <n v="302"/>
    <d v="2034-07-24T00:00:00"/>
    <s v=""/>
    <x v="1"/>
    <x v="0"/>
  </r>
  <r>
    <n v="94688507234"/>
    <n v="324"/>
    <d v="2034-07-24T00:00:00"/>
    <m/>
    <x v="1"/>
    <x v="0"/>
  </r>
  <r>
    <n v="54663320752"/>
    <n v="325"/>
    <d v="2034-07-24T00:00:00"/>
    <d v="2034-09-26T00:00:00"/>
    <x v="1"/>
    <x v="3"/>
  </r>
  <r>
    <n v="85141384408"/>
    <n v="325"/>
    <d v="2034-07-24T00:00:00"/>
    <s v=""/>
    <x v="1"/>
    <x v="0"/>
  </r>
  <r>
    <n v="76422012279"/>
    <n v="334"/>
    <d v="2034-07-24T00:00:00"/>
    <s v=""/>
    <x v="1"/>
    <x v="0"/>
  </r>
  <r>
    <n v="90346727738"/>
    <n v="6"/>
    <d v="2034-07-25T00:00:00"/>
    <s v=""/>
    <x v="1"/>
    <x v="0"/>
  </r>
  <r>
    <n v="48307526178"/>
    <n v="25"/>
    <d v="2034-07-25T00:00:00"/>
    <s v=""/>
    <x v="1"/>
    <x v="0"/>
  </r>
  <r>
    <n v="74672651744"/>
    <n v="33"/>
    <d v="2034-07-25T00:00:00"/>
    <s v=""/>
    <x v="1"/>
    <x v="0"/>
  </r>
  <r>
    <n v="31716402145"/>
    <n v="53"/>
    <d v="2034-07-25T00:00:00"/>
    <s v=""/>
    <x v="1"/>
    <x v="0"/>
  </r>
  <r>
    <n v="50768594952"/>
    <n v="143"/>
    <d v="2034-07-25T00:00:00"/>
    <s v=""/>
    <x v="1"/>
    <x v="0"/>
  </r>
  <r>
    <n v="51668786516"/>
    <n v="193"/>
    <d v="2034-07-25T00:00:00"/>
    <s v=""/>
    <x v="1"/>
    <x v="0"/>
  </r>
  <r>
    <n v="20146178178"/>
    <n v="242"/>
    <d v="2034-07-25T00:00:00"/>
    <s v=""/>
    <x v="1"/>
    <x v="0"/>
  </r>
  <r>
    <n v="32763747467"/>
    <n v="253"/>
    <d v="2034-07-25T00:00:00"/>
    <s v=""/>
    <x v="1"/>
    <x v="0"/>
  </r>
  <r>
    <n v="30556930716"/>
    <n v="255"/>
    <d v="2034-07-25T00:00:00"/>
    <d v="2034-11-10T00:00:00"/>
    <x v="1"/>
    <x v="6"/>
  </r>
  <r>
    <n v="43709876690"/>
    <n v="267"/>
    <d v="2034-07-25T00:00:00"/>
    <s v=""/>
    <x v="1"/>
    <x v="0"/>
  </r>
  <r>
    <n v="68346514069"/>
    <n v="288"/>
    <d v="2034-07-25T00:00:00"/>
    <s v=""/>
    <x v="1"/>
    <x v="0"/>
  </r>
  <r>
    <n v="78028431714"/>
    <n v="294"/>
    <d v="2034-07-25T00:00:00"/>
    <d v="2034-07-29T00:00:00"/>
    <x v="1"/>
    <x v="2"/>
  </r>
  <r>
    <n v="61170329314"/>
    <n v="301"/>
    <d v="2034-07-25T00:00:00"/>
    <d v="2034-09-03T00:00:00"/>
    <x v="1"/>
    <x v="3"/>
  </r>
  <r>
    <n v="80842132142"/>
    <n v="306"/>
    <d v="2034-07-25T00:00:00"/>
    <d v="2034-07-31T00:00:00"/>
    <x v="1"/>
    <x v="2"/>
  </r>
  <r>
    <n v="25355679963"/>
    <n v="316"/>
    <d v="2034-07-25T00:00:00"/>
    <m/>
    <x v="1"/>
    <x v="0"/>
  </r>
  <r>
    <n v="40926331260"/>
    <n v="318"/>
    <d v="2034-07-25T00:00:00"/>
    <d v="2034-10-19T00:00:00"/>
    <x v="1"/>
    <x v="5"/>
  </r>
  <r>
    <n v="59047152206"/>
    <n v="321"/>
    <d v="2034-07-25T00:00:00"/>
    <s v=""/>
    <x v="1"/>
    <x v="0"/>
  </r>
  <r>
    <n v="19254583742"/>
    <n v="327"/>
    <d v="2034-07-25T00:00:00"/>
    <m/>
    <x v="1"/>
    <x v="0"/>
  </r>
  <r>
    <n v="27836596635"/>
    <n v="327"/>
    <d v="2034-07-25T00:00:00"/>
    <s v=""/>
    <x v="1"/>
    <x v="0"/>
  </r>
  <r>
    <n v="70463821980"/>
    <n v="330"/>
    <d v="2034-07-25T00:00:00"/>
    <m/>
    <x v="1"/>
    <x v="0"/>
  </r>
  <r>
    <n v="44570631272"/>
    <n v="338"/>
    <d v="2034-07-25T00:00:00"/>
    <s v=""/>
    <x v="1"/>
    <x v="0"/>
  </r>
  <r>
    <n v="56507333045"/>
    <n v="0"/>
    <d v="2034-07-26T00:00:00"/>
    <s v=""/>
    <x v="1"/>
    <x v="0"/>
  </r>
  <r>
    <n v="76325960832"/>
    <n v="1"/>
    <d v="2034-07-26T00:00:00"/>
    <s v=""/>
    <x v="1"/>
    <x v="0"/>
  </r>
  <r>
    <n v="39534055766"/>
    <n v="14"/>
    <d v="2034-07-26T00:00:00"/>
    <m/>
    <x v="1"/>
    <x v="0"/>
  </r>
  <r>
    <n v="31931873004"/>
    <n v="18"/>
    <d v="2034-07-26T00:00:00"/>
    <s v=""/>
    <x v="1"/>
    <x v="0"/>
  </r>
  <r>
    <n v="70159402948"/>
    <n v="57"/>
    <d v="2034-07-26T00:00:00"/>
    <s v=""/>
    <x v="1"/>
    <x v="0"/>
  </r>
  <r>
    <n v="25182580259"/>
    <n v="59"/>
    <d v="2034-07-26T00:00:00"/>
    <s v=""/>
    <x v="1"/>
    <x v="0"/>
  </r>
  <r>
    <n v="68000264345"/>
    <n v="87"/>
    <d v="2034-07-26T00:00:00"/>
    <s v=""/>
    <x v="1"/>
    <x v="0"/>
  </r>
  <r>
    <n v="73520238747"/>
    <n v="114"/>
    <d v="2034-07-26T00:00:00"/>
    <m/>
    <x v="1"/>
    <x v="0"/>
  </r>
  <r>
    <n v="96332781395"/>
    <n v="114"/>
    <d v="2034-07-26T00:00:00"/>
    <d v="2034-09-11T00:00:00"/>
    <x v="1"/>
    <x v="3"/>
  </r>
  <r>
    <n v="33500406123"/>
    <n v="135"/>
    <d v="2034-07-26T00:00:00"/>
    <m/>
    <x v="1"/>
    <x v="0"/>
  </r>
  <r>
    <n v="73554912833"/>
    <n v="150"/>
    <d v="2034-07-26T00:00:00"/>
    <s v=""/>
    <x v="1"/>
    <x v="0"/>
  </r>
  <r>
    <n v="37412270909"/>
    <n v="170"/>
    <d v="2034-07-26T00:00:00"/>
    <d v="2034-09-29T00:00:00"/>
    <x v="1"/>
    <x v="3"/>
  </r>
  <r>
    <n v="43253555439"/>
    <n v="181"/>
    <d v="2034-07-26T00:00:00"/>
    <m/>
    <x v="1"/>
    <x v="0"/>
  </r>
  <r>
    <n v="95701555869"/>
    <n v="182"/>
    <d v="2034-07-26T00:00:00"/>
    <s v=""/>
    <x v="1"/>
    <x v="0"/>
  </r>
  <r>
    <n v="92691948202"/>
    <n v="187"/>
    <d v="2034-07-26T00:00:00"/>
    <s v=""/>
    <x v="1"/>
    <x v="0"/>
  </r>
  <r>
    <n v="17004125842"/>
    <n v="197"/>
    <d v="2034-07-26T00:00:00"/>
    <s v=""/>
    <x v="1"/>
    <x v="0"/>
  </r>
  <r>
    <n v="79548649538"/>
    <n v="204"/>
    <d v="2034-07-26T00:00:00"/>
    <s v=""/>
    <x v="1"/>
    <x v="0"/>
  </r>
  <r>
    <n v="20392999566"/>
    <n v="233"/>
    <d v="2034-07-26T00:00:00"/>
    <s v=""/>
    <x v="1"/>
    <x v="0"/>
  </r>
  <r>
    <n v="92113887398"/>
    <n v="257"/>
    <d v="2034-07-26T00:00:00"/>
    <m/>
    <x v="1"/>
    <x v="0"/>
  </r>
  <r>
    <n v="98483436903"/>
    <n v="258"/>
    <d v="2034-07-26T00:00:00"/>
    <m/>
    <x v="1"/>
    <x v="0"/>
  </r>
  <r>
    <n v="81850099882"/>
    <n v="260"/>
    <d v="2034-07-26T00:00:00"/>
    <d v="2034-08-25T00:00:00"/>
    <x v="1"/>
    <x v="4"/>
  </r>
  <r>
    <n v="67803947589"/>
    <n v="261"/>
    <d v="2034-07-26T00:00:00"/>
    <s v=""/>
    <x v="1"/>
    <x v="0"/>
  </r>
  <r>
    <n v="28853062942"/>
    <n v="262"/>
    <d v="2034-07-26T00:00:00"/>
    <s v=""/>
    <x v="1"/>
    <x v="0"/>
  </r>
  <r>
    <n v="53877932750"/>
    <n v="274"/>
    <d v="2034-07-26T00:00:00"/>
    <s v=""/>
    <x v="1"/>
    <x v="0"/>
  </r>
  <r>
    <n v="29055297950"/>
    <n v="286"/>
    <d v="2034-07-26T00:00:00"/>
    <s v=""/>
    <x v="1"/>
    <x v="0"/>
  </r>
  <r>
    <n v="89304439557"/>
    <n v="305"/>
    <d v="2034-07-26T00:00:00"/>
    <d v="2034-08-02T00:00:00"/>
    <x v="1"/>
    <x v="4"/>
  </r>
  <r>
    <n v="71760851511"/>
    <n v="3"/>
    <d v="2034-07-27T00:00:00"/>
    <s v=""/>
    <x v="1"/>
    <x v="0"/>
  </r>
  <r>
    <n v="92299181151"/>
    <n v="3"/>
    <d v="2034-07-27T00:00:00"/>
    <m/>
    <x v="1"/>
    <x v="0"/>
  </r>
  <r>
    <n v="72873090382"/>
    <n v="11"/>
    <d v="2034-07-27T00:00:00"/>
    <s v=""/>
    <x v="1"/>
    <x v="0"/>
  </r>
  <r>
    <n v="48490259137"/>
    <n v="38"/>
    <d v="2034-07-27T00:00:00"/>
    <s v=""/>
    <x v="1"/>
    <x v="0"/>
  </r>
  <r>
    <n v="68502028178"/>
    <n v="49"/>
    <d v="2034-07-27T00:00:00"/>
    <s v=""/>
    <x v="1"/>
    <x v="0"/>
  </r>
  <r>
    <n v="57447131140"/>
    <n v="79"/>
    <d v="2034-07-27T00:00:00"/>
    <s v=""/>
    <x v="1"/>
    <x v="0"/>
  </r>
  <r>
    <n v="87421355345"/>
    <n v="100"/>
    <d v="2034-07-27T00:00:00"/>
    <s v=""/>
    <x v="1"/>
    <x v="0"/>
  </r>
  <r>
    <n v="15150488071"/>
    <n v="106"/>
    <d v="2034-07-27T00:00:00"/>
    <m/>
    <x v="1"/>
    <x v="0"/>
  </r>
  <r>
    <n v="69736160592"/>
    <n v="124"/>
    <d v="2034-07-27T00:00:00"/>
    <d v="2034-09-08T00:00:00"/>
    <x v="1"/>
    <x v="3"/>
  </r>
  <r>
    <n v="36547662483"/>
    <n v="132"/>
    <d v="2034-07-27T00:00:00"/>
    <s v=""/>
    <x v="1"/>
    <x v="0"/>
  </r>
  <r>
    <n v="82149169114"/>
    <n v="202"/>
    <d v="2034-07-27T00:00:00"/>
    <m/>
    <x v="1"/>
    <x v="0"/>
  </r>
  <r>
    <n v="77883328755"/>
    <n v="206"/>
    <d v="2034-07-27T00:00:00"/>
    <s v=""/>
    <x v="1"/>
    <x v="0"/>
  </r>
  <r>
    <n v="77367227565"/>
    <n v="210"/>
    <d v="2034-07-27T00:00:00"/>
    <s v=""/>
    <x v="1"/>
    <x v="0"/>
  </r>
  <r>
    <n v="21601358812"/>
    <n v="221"/>
    <d v="2034-07-27T00:00:00"/>
    <d v="2034-10-15T00:00:00"/>
    <x v="1"/>
    <x v="5"/>
  </r>
  <r>
    <n v="54116953352"/>
    <n v="239"/>
    <d v="2034-07-27T00:00:00"/>
    <s v=""/>
    <x v="1"/>
    <x v="0"/>
  </r>
  <r>
    <n v="31286431130"/>
    <n v="261"/>
    <d v="2034-07-27T00:00:00"/>
    <d v="2034-10-22T00:00:00"/>
    <x v="1"/>
    <x v="5"/>
  </r>
  <r>
    <n v="88065975581"/>
    <n v="263"/>
    <d v="2034-07-27T00:00:00"/>
    <m/>
    <x v="1"/>
    <x v="0"/>
  </r>
  <r>
    <n v="91812190016"/>
    <n v="270"/>
    <d v="2034-07-27T00:00:00"/>
    <s v=""/>
    <x v="1"/>
    <x v="0"/>
  </r>
  <r>
    <n v="45013193736"/>
    <n v="272"/>
    <d v="2034-07-27T00:00:00"/>
    <d v="2034-10-14T00:00:00"/>
    <x v="1"/>
    <x v="5"/>
  </r>
  <r>
    <n v="50569658047"/>
    <n v="275"/>
    <d v="2034-07-27T00:00:00"/>
    <s v=""/>
    <x v="1"/>
    <x v="0"/>
  </r>
  <r>
    <n v="31434509926"/>
    <n v="279"/>
    <d v="2034-07-27T00:00:00"/>
    <d v="2034-08-06T00:00:00"/>
    <x v="1"/>
    <x v="4"/>
  </r>
  <r>
    <n v="51787062082"/>
    <n v="279"/>
    <d v="2034-07-27T00:00:00"/>
    <d v="2034-08-26T00:00:00"/>
    <x v="1"/>
    <x v="4"/>
  </r>
  <r>
    <n v="73975156091"/>
    <n v="280"/>
    <d v="2034-07-27T00:00:00"/>
    <s v=""/>
    <x v="1"/>
    <x v="0"/>
  </r>
  <r>
    <n v="88571070556"/>
    <n v="286"/>
    <d v="2034-07-27T00:00:00"/>
    <s v=""/>
    <x v="1"/>
    <x v="0"/>
  </r>
  <r>
    <n v="68624430508"/>
    <n v="305"/>
    <d v="2034-07-27T00:00:00"/>
    <d v="2034-07-29T00:00:00"/>
    <x v="1"/>
    <x v="2"/>
  </r>
  <r>
    <n v="47371871800"/>
    <n v="309"/>
    <d v="2034-07-27T00:00:00"/>
    <s v=""/>
    <x v="1"/>
    <x v="0"/>
  </r>
  <r>
    <n v="23597519048"/>
    <n v="312"/>
    <d v="2034-07-27T00:00:00"/>
    <s v=""/>
    <x v="1"/>
    <x v="0"/>
  </r>
  <r>
    <n v="60124945204"/>
    <n v="318"/>
    <d v="2034-07-27T00:00:00"/>
    <d v="2034-09-03T00:00:00"/>
    <x v="1"/>
    <x v="3"/>
  </r>
  <r>
    <n v="80545923586"/>
    <n v="332"/>
    <d v="2034-07-27T00:00:00"/>
    <s v=""/>
    <x v="1"/>
    <x v="0"/>
  </r>
  <r>
    <n v="46260782883"/>
    <n v="3"/>
    <d v="2034-07-28T00:00:00"/>
    <d v="2034-08-25T00:00:00"/>
    <x v="1"/>
    <x v="4"/>
  </r>
  <r>
    <n v="83457948269"/>
    <n v="12"/>
    <d v="2034-07-28T00:00:00"/>
    <d v="2034-10-20T00:00:00"/>
    <x v="1"/>
    <x v="5"/>
  </r>
  <r>
    <n v="65197318559"/>
    <n v="80"/>
    <d v="2034-07-28T00:00:00"/>
    <s v=""/>
    <x v="1"/>
    <x v="0"/>
  </r>
  <r>
    <n v="61461131882"/>
    <n v="87"/>
    <d v="2034-07-28T00:00:00"/>
    <s v=""/>
    <x v="1"/>
    <x v="0"/>
  </r>
  <r>
    <n v="45816102610"/>
    <n v="89"/>
    <d v="2034-07-28T00:00:00"/>
    <s v=""/>
    <x v="1"/>
    <x v="0"/>
  </r>
  <r>
    <n v="36221990164"/>
    <n v="97"/>
    <d v="2034-07-28T00:00:00"/>
    <m/>
    <x v="1"/>
    <x v="0"/>
  </r>
  <r>
    <n v="31870015594"/>
    <n v="110"/>
    <d v="2034-07-28T00:00:00"/>
    <s v=""/>
    <x v="1"/>
    <x v="0"/>
  </r>
  <r>
    <n v="34197861129"/>
    <n v="115"/>
    <d v="2034-07-28T00:00:00"/>
    <m/>
    <x v="1"/>
    <x v="0"/>
  </r>
  <r>
    <n v="60575924002"/>
    <n v="136"/>
    <d v="2034-07-28T00:00:00"/>
    <s v=""/>
    <x v="1"/>
    <x v="0"/>
  </r>
  <r>
    <n v="24739371952"/>
    <n v="141"/>
    <d v="2034-07-28T00:00:00"/>
    <s v=""/>
    <x v="1"/>
    <x v="0"/>
  </r>
  <r>
    <n v="88400990419"/>
    <n v="155"/>
    <d v="2034-07-28T00:00:00"/>
    <d v="2034-10-09T00:00:00"/>
    <x v="1"/>
    <x v="5"/>
  </r>
  <r>
    <n v="96154970314"/>
    <n v="161"/>
    <d v="2034-07-28T00:00:00"/>
    <s v=""/>
    <x v="1"/>
    <x v="0"/>
  </r>
  <r>
    <n v="28555975129"/>
    <n v="175"/>
    <d v="2034-07-28T00:00:00"/>
    <d v="2034-11-14T00:00:00"/>
    <x v="1"/>
    <x v="6"/>
  </r>
  <r>
    <n v="86544074154"/>
    <n v="176"/>
    <d v="2034-07-28T00:00:00"/>
    <s v=""/>
    <x v="1"/>
    <x v="0"/>
  </r>
  <r>
    <n v="78091932993"/>
    <n v="208"/>
    <d v="2034-07-28T00:00:00"/>
    <s v=""/>
    <x v="1"/>
    <x v="0"/>
  </r>
  <r>
    <n v="39024335094"/>
    <n v="215"/>
    <d v="2034-07-28T00:00:00"/>
    <s v=""/>
    <x v="1"/>
    <x v="0"/>
  </r>
  <r>
    <n v="48996578978"/>
    <n v="216"/>
    <d v="2034-07-28T00:00:00"/>
    <s v=""/>
    <x v="1"/>
    <x v="0"/>
  </r>
  <r>
    <n v="96269664193"/>
    <n v="224"/>
    <d v="2034-07-28T00:00:00"/>
    <s v=""/>
    <x v="1"/>
    <x v="0"/>
  </r>
  <r>
    <n v="40623421723"/>
    <n v="252"/>
    <d v="2034-07-28T00:00:00"/>
    <s v=""/>
    <x v="1"/>
    <x v="0"/>
  </r>
  <r>
    <n v="62392965661"/>
    <n v="316"/>
    <d v="2034-07-28T00:00:00"/>
    <d v="2034-09-06T00:00:00"/>
    <x v="1"/>
    <x v="3"/>
  </r>
  <r>
    <n v="22335020051"/>
    <n v="326"/>
    <d v="2034-07-28T00:00:00"/>
    <s v=""/>
    <x v="1"/>
    <x v="0"/>
  </r>
  <r>
    <n v="30116213306"/>
    <n v="333"/>
    <d v="2034-07-28T00:00:00"/>
    <s v=""/>
    <x v="1"/>
    <x v="0"/>
  </r>
  <r>
    <n v="29740736829"/>
    <n v="335"/>
    <d v="2034-07-28T00:00:00"/>
    <s v=""/>
    <x v="1"/>
    <x v="0"/>
  </r>
  <r>
    <n v="93406206179"/>
    <n v="340"/>
    <d v="2034-07-28T00:00:00"/>
    <s v=""/>
    <x v="1"/>
    <x v="0"/>
  </r>
  <r>
    <n v="60689463958"/>
    <n v="1"/>
    <d v="2034-07-29T00:00:00"/>
    <s v=""/>
    <x v="1"/>
    <x v="0"/>
  </r>
  <r>
    <n v="95227982688"/>
    <n v="22"/>
    <d v="2034-07-29T00:00:00"/>
    <d v="2034-09-28T00:00:00"/>
    <x v="1"/>
    <x v="3"/>
  </r>
  <r>
    <n v="51622529885"/>
    <n v="27"/>
    <d v="2034-07-29T00:00:00"/>
    <s v=""/>
    <x v="1"/>
    <x v="0"/>
  </r>
  <r>
    <n v="43428230947"/>
    <n v="37"/>
    <d v="2034-07-29T00:00:00"/>
    <s v=""/>
    <x v="1"/>
    <x v="0"/>
  </r>
  <r>
    <n v="43355369425"/>
    <n v="40"/>
    <d v="2034-07-29T00:00:00"/>
    <s v=""/>
    <x v="1"/>
    <x v="0"/>
  </r>
  <r>
    <n v="81883306705"/>
    <n v="50"/>
    <d v="2034-07-29T00:00:00"/>
    <m/>
    <x v="1"/>
    <x v="0"/>
  </r>
  <r>
    <n v="46046461150"/>
    <n v="58"/>
    <d v="2034-07-29T00:00:00"/>
    <s v=""/>
    <x v="1"/>
    <x v="0"/>
  </r>
  <r>
    <n v="52076802524"/>
    <n v="60"/>
    <d v="2034-07-29T00:00:00"/>
    <d v="2034-11-25T00:00:00"/>
    <x v="1"/>
    <x v="6"/>
  </r>
  <r>
    <n v="74049775593"/>
    <n v="101"/>
    <d v="2034-07-29T00:00:00"/>
    <d v="2034-10-22T00:00:00"/>
    <x v="1"/>
    <x v="5"/>
  </r>
  <r>
    <n v="36130064274"/>
    <n v="105"/>
    <d v="2034-07-29T00:00:00"/>
    <s v=""/>
    <x v="1"/>
    <x v="0"/>
  </r>
  <r>
    <n v="26080908600"/>
    <n v="109"/>
    <d v="2034-07-29T00:00:00"/>
    <s v=""/>
    <x v="1"/>
    <x v="0"/>
  </r>
  <r>
    <n v="85844017157"/>
    <n v="110"/>
    <d v="2034-07-29T00:00:00"/>
    <d v="2034-09-10T00:00:00"/>
    <x v="1"/>
    <x v="3"/>
  </r>
  <r>
    <n v="57012757879"/>
    <n v="124"/>
    <d v="2034-07-29T00:00:00"/>
    <s v=""/>
    <x v="1"/>
    <x v="0"/>
  </r>
  <r>
    <n v="17616568557"/>
    <n v="132"/>
    <d v="2034-07-29T00:00:00"/>
    <m/>
    <x v="1"/>
    <x v="0"/>
  </r>
  <r>
    <n v="16124985022"/>
    <n v="138"/>
    <d v="2034-07-29T00:00:00"/>
    <s v=""/>
    <x v="1"/>
    <x v="0"/>
  </r>
  <r>
    <n v="69010426298"/>
    <n v="144"/>
    <d v="2034-07-29T00:00:00"/>
    <m/>
    <x v="1"/>
    <x v="0"/>
  </r>
  <r>
    <n v="22200150323"/>
    <n v="187"/>
    <d v="2034-07-29T00:00:00"/>
    <s v=""/>
    <x v="1"/>
    <x v="0"/>
  </r>
  <r>
    <n v="18338440086"/>
    <n v="187"/>
    <d v="2034-07-29T00:00:00"/>
    <s v=""/>
    <x v="1"/>
    <x v="0"/>
  </r>
  <r>
    <n v="94704139121"/>
    <n v="191"/>
    <d v="2034-07-29T00:00:00"/>
    <s v=""/>
    <x v="1"/>
    <x v="0"/>
  </r>
  <r>
    <n v="54945623738"/>
    <n v="205"/>
    <d v="2034-07-29T00:00:00"/>
    <s v=""/>
    <x v="1"/>
    <x v="0"/>
  </r>
  <r>
    <n v="95621650154"/>
    <n v="216"/>
    <d v="2034-07-29T00:00:00"/>
    <m/>
    <x v="1"/>
    <x v="0"/>
  </r>
  <r>
    <n v="72763503987"/>
    <n v="218"/>
    <d v="2034-07-29T00:00:00"/>
    <d v="2034-11-23T00:00:00"/>
    <x v="1"/>
    <x v="6"/>
  </r>
  <r>
    <n v="97349254090"/>
    <n v="223"/>
    <d v="2034-07-29T00:00:00"/>
    <d v="2034-08-02T00:00:00"/>
    <x v="1"/>
    <x v="4"/>
  </r>
  <r>
    <n v="34788371146"/>
    <n v="234"/>
    <d v="2034-07-29T00:00:00"/>
    <s v=""/>
    <x v="1"/>
    <x v="0"/>
  </r>
  <r>
    <n v="21234984388"/>
    <n v="248"/>
    <d v="2034-07-29T00:00:00"/>
    <d v="2034-11-20T00:00:00"/>
    <x v="1"/>
    <x v="6"/>
  </r>
  <r>
    <n v="84979617447"/>
    <n v="287"/>
    <d v="2034-07-29T00:00:00"/>
    <d v="2034-08-28T00:00:00"/>
    <x v="1"/>
    <x v="4"/>
  </r>
  <r>
    <n v="45126996875"/>
    <n v="324"/>
    <d v="2034-07-29T00:00:00"/>
    <m/>
    <x v="1"/>
    <x v="0"/>
  </r>
  <r>
    <n v="54501452176"/>
    <n v="325"/>
    <d v="2034-07-29T00:00:00"/>
    <s v=""/>
    <x v="1"/>
    <x v="0"/>
  </r>
  <r>
    <n v="42188556436"/>
    <n v="328"/>
    <d v="2034-07-29T00:00:00"/>
    <s v=""/>
    <x v="1"/>
    <x v="0"/>
  </r>
  <r>
    <n v="59217896373"/>
    <n v="2"/>
    <d v="2034-07-30T00:00:00"/>
    <s v=""/>
    <x v="1"/>
    <x v="0"/>
  </r>
  <r>
    <n v="90813532436"/>
    <n v="3"/>
    <d v="2034-07-30T00:00:00"/>
    <s v=""/>
    <x v="1"/>
    <x v="0"/>
  </r>
  <r>
    <n v="87618999023"/>
    <n v="31"/>
    <d v="2034-07-30T00:00:00"/>
    <d v="2034-11-16T00:00:00"/>
    <x v="1"/>
    <x v="6"/>
  </r>
  <r>
    <n v="78486044470"/>
    <n v="40"/>
    <d v="2034-07-30T00:00:00"/>
    <s v=""/>
    <x v="1"/>
    <x v="0"/>
  </r>
  <r>
    <n v="34020676674"/>
    <n v="44"/>
    <d v="2034-07-30T00:00:00"/>
    <s v=""/>
    <x v="1"/>
    <x v="0"/>
  </r>
  <r>
    <n v="75777634915"/>
    <n v="59"/>
    <d v="2034-07-30T00:00:00"/>
    <s v=""/>
    <x v="1"/>
    <x v="0"/>
  </r>
  <r>
    <n v="86814388679"/>
    <n v="75"/>
    <d v="2034-07-30T00:00:00"/>
    <s v=""/>
    <x v="1"/>
    <x v="0"/>
  </r>
  <r>
    <n v="95098323030"/>
    <n v="84"/>
    <d v="2034-07-30T00:00:00"/>
    <s v=""/>
    <x v="1"/>
    <x v="0"/>
  </r>
  <r>
    <n v="55056282087"/>
    <n v="110"/>
    <d v="2034-07-30T00:00:00"/>
    <s v=""/>
    <x v="1"/>
    <x v="0"/>
  </r>
  <r>
    <n v="61124179180"/>
    <n v="121"/>
    <d v="2034-07-30T00:00:00"/>
    <s v=""/>
    <x v="1"/>
    <x v="0"/>
  </r>
  <r>
    <n v="16866542600"/>
    <n v="127"/>
    <d v="2034-07-30T00:00:00"/>
    <s v=""/>
    <x v="1"/>
    <x v="0"/>
  </r>
  <r>
    <n v="56508422179"/>
    <n v="144"/>
    <d v="2034-07-30T00:00:00"/>
    <d v="2034-10-31T00:00:00"/>
    <x v="1"/>
    <x v="5"/>
  </r>
  <r>
    <n v="12358386817"/>
    <n v="146"/>
    <d v="2034-07-30T00:00:00"/>
    <m/>
    <x v="1"/>
    <x v="0"/>
  </r>
  <r>
    <n v="96303426211"/>
    <n v="149"/>
    <d v="2034-07-30T00:00:00"/>
    <d v="2034-10-12T00:00:00"/>
    <x v="1"/>
    <x v="5"/>
  </r>
  <r>
    <n v="59531967148"/>
    <n v="151"/>
    <d v="2034-07-30T00:00:00"/>
    <d v="2034-08-02T00:00:00"/>
    <x v="1"/>
    <x v="4"/>
  </r>
  <r>
    <n v="34106657166"/>
    <n v="159"/>
    <d v="2034-07-30T00:00:00"/>
    <s v=""/>
    <x v="1"/>
    <x v="0"/>
  </r>
  <r>
    <n v="88474919767"/>
    <n v="173"/>
    <d v="2034-07-30T00:00:00"/>
    <d v="2034-11-01T00:00:00"/>
    <x v="1"/>
    <x v="6"/>
  </r>
  <r>
    <n v="76717973116"/>
    <n v="184"/>
    <d v="2034-07-30T00:00:00"/>
    <d v="2034-08-01T00:00:00"/>
    <x v="1"/>
    <x v="4"/>
  </r>
  <r>
    <n v="12141451894"/>
    <n v="186"/>
    <d v="2034-07-30T00:00:00"/>
    <d v="2034-08-29T00:00:00"/>
    <x v="1"/>
    <x v="4"/>
  </r>
  <r>
    <n v="28091160060"/>
    <n v="207"/>
    <d v="2034-07-30T00:00:00"/>
    <s v=""/>
    <x v="1"/>
    <x v="0"/>
  </r>
  <r>
    <n v="38210578453"/>
    <n v="208"/>
    <d v="2034-07-30T00:00:00"/>
    <s v=""/>
    <x v="1"/>
    <x v="0"/>
  </r>
  <r>
    <n v="97920451787"/>
    <n v="225"/>
    <d v="2034-07-30T00:00:00"/>
    <d v="2034-11-03T00:00:00"/>
    <x v="1"/>
    <x v="6"/>
  </r>
  <r>
    <n v="81156179282"/>
    <n v="239"/>
    <d v="2034-07-30T00:00:00"/>
    <s v=""/>
    <x v="1"/>
    <x v="0"/>
  </r>
  <r>
    <n v="19056804870"/>
    <n v="239"/>
    <d v="2034-07-30T00:00:00"/>
    <s v=""/>
    <x v="1"/>
    <x v="0"/>
  </r>
  <r>
    <n v="31091243591"/>
    <n v="255"/>
    <d v="2034-07-30T00:00:00"/>
    <s v=""/>
    <x v="1"/>
    <x v="0"/>
  </r>
  <r>
    <n v="69256075199"/>
    <n v="270"/>
    <d v="2034-07-30T00:00:00"/>
    <d v="2034-11-23T00:00:00"/>
    <x v="1"/>
    <x v="6"/>
  </r>
  <r>
    <n v="66727925965"/>
    <n v="286"/>
    <d v="2034-07-30T00:00:00"/>
    <s v=""/>
    <x v="1"/>
    <x v="0"/>
  </r>
  <r>
    <n v="66218745929"/>
    <n v="298"/>
    <d v="2034-07-30T00:00:00"/>
    <s v=""/>
    <x v="1"/>
    <x v="0"/>
  </r>
  <r>
    <n v="64463957419"/>
    <n v="301"/>
    <d v="2034-07-30T00:00:00"/>
    <m/>
    <x v="1"/>
    <x v="0"/>
  </r>
  <r>
    <n v="52367310654"/>
    <n v="302"/>
    <d v="2034-07-30T00:00:00"/>
    <s v=""/>
    <x v="1"/>
    <x v="0"/>
  </r>
  <r>
    <n v="93296187700"/>
    <n v="317"/>
    <d v="2034-07-30T00:00:00"/>
    <d v="2034-08-16T00:00:00"/>
    <x v="1"/>
    <x v="4"/>
  </r>
  <r>
    <n v="65496378824"/>
    <n v="322"/>
    <d v="2034-07-30T00:00:00"/>
    <s v=""/>
    <x v="1"/>
    <x v="0"/>
  </r>
  <r>
    <n v="38476929211"/>
    <n v="328"/>
    <d v="2034-07-30T00:00:00"/>
    <s v=""/>
    <x v="1"/>
    <x v="0"/>
  </r>
  <r>
    <n v="74662333996"/>
    <n v="334"/>
    <d v="2034-07-30T00:00:00"/>
    <s v=""/>
    <x v="1"/>
    <x v="0"/>
  </r>
  <r>
    <n v="21738621719"/>
    <n v="57"/>
    <d v="2034-07-31T00:00:00"/>
    <s v=""/>
    <x v="1"/>
    <x v="0"/>
  </r>
  <r>
    <n v="87673567845"/>
    <n v="57"/>
    <d v="2034-07-31T00:00:00"/>
    <m/>
    <x v="1"/>
    <x v="0"/>
  </r>
  <r>
    <n v="13884787596"/>
    <n v="59"/>
    <d v="2034-07-31T00:00:00"/>
    <m/>
    <x v="1"/>
    <x v="0"/>
  </r>
  <r>
    <n v="90900836845"/>
    <n v="84"/>
    <d v="2034-07-31T00:00:00"/>
    <s v=""/>
    <x v="1"/>
    <x v="0"/>
  </r>
  <r>
    <n v="29588699548"/>
    <n v="86"/>
    <d v="2034-07-31T00:00:00"/>
    <d v="2034-08-29T00:00:00"/>
    <x v="1"/>
    <x v="4"/>
  </r>
  <r>
    <n v="38913046091"/>
    <n v="89"/>
    <d v="2034-07-31T00:00:00"/>
    <s v=""/>
    <x v="1"/>
    <x v="0"/>
  </r>
  <r>
    <n v="44307932403"/>
    <n v="116"/>
    <d v="2034-07-31T00:00:00"/>
    <s v=""/>
    <x v="1"/>
    <x v="0"/>
  </r>
  <r>
    <n v="55080891550"/>
    <n v="121"/>
    <d v="2034-07-31T00:00:00"/>
    <m/>
    <x v="1"/>
    <x v="0"/>
  </r>
  <r>
    <n v="80314378521"/>
    <n v="140"/>
    <d v="2034-07-31T00:00:00"/>
    <s v=""/>
    <x v="1"/>
    <x v="0"/>
  </r>
  <r>
    <n v="58369926643"/>
    <n v="141"/>
    <d v="2034-07-31T00:00:00"/>
    <s v=""/>
    <x v="1"/>
    <x v="0"/>
  </r>
  <r>
    <n v="77760270552"/>
    <n v="178"/>
    <d v="2034-07-31T00:00:00"/>
    <s v=""/>
    <x v="1"/>
    <x v="0"/>
  </r>
  <r>
    <n v="48958589886"/>
    <n v="185"/>
    <d v="2034-07-31T00:00:00"/>
    <s v=""/>
    <x v="1"/>
    <x v="0"/>
  </r>
  <r>
    <n v="55765092648"/>
    <n v="187"/>
    <d v="2034-07-31T00:00:00"/>
    <s v=""/>
    <x v="1"/>
    <x v="0"/>
  </r>
  <r>
    <n v="60495428572"/>
    <n v="225"/>
    <d v="2034-07-31T00:00:00"/>
    <s v=""/>
    <x v="1"/>
    <x v="0"/>
  </r>
  <r>
    <n v="36276835926"/>
    <n v="247"/>
    <d v="2034-07-31T00:00:00"/>
    <s v=""/>
    <x v="1"/>
    <x v="0"/>
  </r>
  <r>
    <n v="11429735254"/>
    <n v="269"/>
    <d v="2034-07-31T00:00:00"/>
    <m/>
    <x v="1"/>
    <x v="0"/>
  </r>
  <r>
    <n v="71538551671"/>
    <n v="314"/>
    <d v="2034-07-31T00:00:00"/>
    <s v=""/>
    <x v="1"/>
    <x v="0"/>
  </r>
  <r>
    <n v="11235423687"/>
    <n v="319"/>
    <d v="2034-07-31T00:00:00"/>
    <d v="2034-10-19T00:00:00"/>
    <x v="1"/>
    <x v="5"/>
  </r>
  <r>
    <n v="92361561981"/>
    <n v="13"/>
    <d v="2034-08-01T00:00:00"/>
    <s v=""/>
    <x v="2"/>
    <x v="0"/>
  </r>
  <r>
    <n v="59816584428"/>
    <n v="13"/>
    <d v="2034-08-01T00:00:00"/>
    <s v=""/>
    <x v="2"/>
    <x v="0"/>
  </r>
  <r>
    <n v="91843653151"/>
    <n v="14"/>
    <d v="2034-08-01T00:00:00"/>
    <d v="2034-09-16T00:00:00"/>
    <x v="2"/>
    <x v="3"/>
  </r>
  <r>
    <n v="84528103773"/>
    <n v="21"/>
    <d v="2034-08-01T00:00:00"/>
    <s v=""/>
    <x v="2"/>
    <x v="0"/>
  </r>
  <r>
    <n v="68158996217"/>
    <n v="22"/>
    <d v="2034-08-01T00:00:00"/>
    <s v=""/>
    <x v="2"/>
    <x v="0"/>
  </r>
  <r>
    <n v="43478194132"/>
    <n v="46"/>
    <d v="2034-08-01T00:00:00"/>
    <s v=""/>
    <x v="2"/>
    <x v="0"/>
  </r>
  <r>
    <n v="26431203700"/>
    <n v="81"/>
    <d v="2034-08-01T00:00:00"/>
    <s v=""/>
    <x v="2"/>
    <x v="0"/>
  </r>
  <r>
    <n v="45778448155"/>
    <n v="97"/>
    <d v="2034-08-01T00:00:00"/>
    <s v=""/>
    <x v="2"/>
    <x v="0"/>
  </r>
  <r>
    <n v="90153575083"/>
    <n v="113"/>
    <d v="2034-08-01T00:00:00"/>
    <s v=""/>
    <x v="2"/>
    <x v="0"/>
  </r>
  <r>
    <n v="49113905900"/>
    <n v="127"/>
    <d v="2034-08-01T00:00:00"/>
    <d v="2034-10-18T00:00:00"/>
    <x v="2"/>
    <x v="5"/>
  </r>
  <r>
    <n v="76151003408"/>
    <n v="138"/>
    <d v="2034-08-01T00:00:00"/>
    <s v=""/>
    <x v="2"/>
    <x v="0"/>
  </r>
  <r>
    <n v="33793212157"/>
    <n v="155"/>
    <d v="2034-08-01T00:00:00"/>
    <s v=""/>
    <x v="2"/>
    <x v="0"/>
  </r>
  <r>
    <n v="35147123943"/>
    <n v="157"/>
    <d v="2034-08-01T00:00:00"/>
    <s v=""/>
    <x v="2"/>
    <x v="0"/>
  </r>
  <r>
    <n v="99079995200"/>
    <n v="166"/>
    <d v="2034-08-01T00:00:00"/>
    <s v=""/>
    <x v="2"/>
    <x v="0"/>
  </r>
  <r>
    <n v="27760122881"/>
    <n v="173"/>
    <d v="2034-08-01T00:00:00"/>
    <s v=""/>
    <x v="2"/>
    <x v="0"/>
  </r>
  <r>
    <n v="42409794017"/>
    <n v="190"/>
    <d v="2034-08-01T00:00:00"/>
    <m/>
    <x v="2"/>
    <x v="0"/>
  </r>
  <r>
    <n v="84675849237"/>
    <n v="199"/>
    <d v="2034-08-01T00:00:00"/>
    <s v=""/>
    <x v="2"/>
    <x v="0"/>
  </r>
  <r>
    <n v="44982428786"/>
    <n v="218"/>
    <d v="2034-08-01T00:00:00"/>
    <s v=""/>
    <x v="2"/>
    <x v="0"/>
  </r>
  <r>
    <n v="28797944464"/>
    <n v="222"/>
    <d v="2034-08-01T00:00:00"/>
    <m/>
    <x v="2"/>
    <x v="0"/>
  </r>
  <r>
    <n v="93928028240"/>
    <n v="232"/>
    <d v="2034-08-01T00:00:00"/>
    <s v=""/>
    <x v="2"/>
    <x v="0"/>
  </r>
  <r>
    <n v="92117815769"/>
    <n v="249"/>
    <d v="2034-08-01T00:00:00"/>
    <s v=""/>
    <x v="2"/>
    <x v="0"/>
  </r>
  <r>
    <n v="50503541348"/>
    <n v="256"/>
    <d v="2034-08-01T00:00:00"/>
    <s v=""/>
    <x v="2"/>
    <x v="0"/>
  </r>
  <r>
    <n v="32723448286"/>
    <n v="256"/>
    <d v="2034-08-01T00:00:00"/>
    <d v="2034-08-03T00:00:00"/>
    <x v="2"/>
    <x v="4"/>
  </r>
  <r>
    <n v="11320705218"/>
    <n v="257"/>
    <d v="2034-08-01T00:00:00"/>
    <s v=""/>
    <x v="2"/>
    <x v="0"/>
  </r>
  <r>
    <n v="68917008783"/>
    <n v="259"/>
    <d v="2034-08-01T00:00:00"/>
    <s v=""/>
    <x v="2"/>
    <x v="0"/>
  </r>
  <r>
    <n v="44825446005"/>
    <n v="263"/>
    <d v="2034-08-01T00:00:00"/>
    <s v=""/>
    <x v="2"/>
    <x v="0"/>
  </r>
  <r>
    <n v="40816200883"/>
    <n v="286"/>
    <d v="2034-08-01T00:00:00"/>
    <d v="2034-10-12T00:00:00"/>
    <x v="2"/>
    <x v="5"/>
  </r>
  <r>
    <n v="71360708177"/>
    <n v="289"/>
    <d v="2034-08-01T00:00:00"/>
    <m/>
    <x v="2"/>
    <x v="0"/>
  </r>
  <r>
    <n v="73707685036"/>
    <n v="294"/>
    <d v="2034-08-01T00:00:00"/>
    <s v=""/>
    <x v="2"/>
    <x v="0"/>
  </r>
  <r>
    <n v="38403060769"/>
    <n v="304"/>
    <d v="2034-08-01T00:00:00"/>
    <d v="2034-08-28T00:00:00"/>
    <x v="2"/>
    <x v="4"/>
  </r>
  <r>
    <n v="84318595830"/>
    <n v="336"/>
    <d v="2034-08-01T00:00:00"/>
    <s v=""/>
    <x v="2"/>
    <x v="0"/>
  </r>
  <r>
    <n v="21554017919"/>
    <n v="12"/>
    <d v="2034-08-02T00:00:00"/>
    <s v=""/>
    <x v="2"/>
    <x v="0"/>
  </r>
  <r>
    <n v="58546927512"/>
    <n v="15"/>
    <d v="2034-08-02T00:00:00"/>
    <m/>
    <x v="2"/>
    <x v="0"/>
  </r>
  <r>
    <n v="45966083166"/>
    <n v="33"/>
    <d v="2034-08-02T00:00:00"/>
    <s v=""/>
    <x v="2"/>
    <x v="0"/>
  </r>
  <r>
    <n v="54248234642"/>
    <n v="40"/>
    <d v="2034-08-02T00:00:00"/>
    <d v="2034-09-02T00:00:00"/>
    <x v="2"/>
    <x v="3"/>
  </r>
  <r>
    <n v="43002880400"/>
    <n v="56"/>
    <d v="2034-08-02T00:00:00"/>
    <s v=""/>
    <x v="2"/>
    <x v="0"/>
  </r>
  <r>
    <n v="66068127427"/>
    <n v="126"/>
    <d v="2034-08-02T00:00:00"/>
    <s v=""/>
    <x v="2"/>
    <x v="0"/>
  </r>
  <r>
    <n v="61019924283"/>
    <n v="128"/>
    <d v="2034-08-02T00:00:00"/>
    <m/>
    <x v="2"/>
    <x v="0"/>
  </r>
  <r>
    <n v="32480144448"/>
    <n v="144"/>
    <d v="2034-08-02T00:00:00"/>
    <s v=""/>
    <x v="2"/>
    <x v="0"/>
  </r>
  <r>
    <n v="54159685297"/>
    <n v="152"/>
    <d v="2034-08-02T00:00:00"/>
    <s v=""/>
    <x v="2"/>
    <x v="0"/>
  </r>
  <r>
    <n v="62939475692"/>
    <n v="160"/>
    <d v="2034-08-02T00:00:00"/>
    <m/>
    <x v="2"/>
    <x v="0"/>
  </r>
  <r>
    <n v="51174044261"/>
    <n v="164"/>
    <d v="2034-08-02T00:00:00"/>
    <d v="2034-09-23T00:00:00"/>
    <x v="2"/>
    <x v="3"/>
  </r>
  <r>
    <n v="79470127798"/>
    <n v="190"/>
    <d v="2034-08-02T00:00:00"/>
    <s v=""/>
    <x v="2"/>
    <x v="0"/>
  </r>
  <r>
    <n v="71394839565"/>
    <n v="206"/>
    <d v="2034-08-02T00:00:00"/>
    <s v=""/>
    <x v="2"/>
    <x v="0"/>
  </r>
  <r>
    <n v="43360995493"/>
    <n v="212"/>
    <d v="2034-08-02T00:00:00"/>
    <d v="2034-10-22T00:00:00"/>
    <x v="2"/>
    <x v="5"/>
  </r>
  <r>
    <n v="43270935845"/>
    <n v="246"/>
    <d v="2034-08-02T00:00:00"/>
    <m/>
    <x v="2"/>
    <x v="0"/>
  </r>
  <r>
    <n v="83454855229"/>
    <n v="271"/>
    <d v="2034-08-02T00:00:00"/>
    <s v=""/>
    <x v="2"/>
    <x v="0"/>
  </r>
  <r>
    <n v="88122814968"/>
    <n v="274"/>
    <d v="2034-08-02T00:00:00"/>
    <s v=""/>
    <x v="2"/>
    <x v="0"/>
  </r>
  <r>
    <n v="59054273136"/>
    <n v="323"/>
    <d v="2034-08-02T00:00:00"/>
    <s v=""/>
    <x v="2"/>
    <x v="0"/>
  </r>
  <r>
    <n v="56051707355"/>
    <n v="329"/>
    <d v="2034-08-02T00:00:00"/>
    <d v="2034-10-15T00:00:00"/>
    <x v="2"/>
    <x v="5"/>
  </r>
  <r>
    <n v="34603176662"/>
    <n v="34"/>
    <d v="2034-08-03T00:00:00"/>
    <s v=""/>
    <x v="2"/>
    <x v="0"/>
  </r>
  <r>
    <n v="98637002009"/>
    <n v="47"/>
    <d v="2034-08-03T00:00:00"/>
    <s v=""/>
    <x v="2"/>
    <x v="0"/>
  </r>
  <r>
    <n v="78133245588"/>
    <n v="86"/>
    <d v="2034-08-03T00:00:00"/>
    <m/>
    <x v="2"/>
    <x v="0"/>
  </r>
  <r>
    <n v="58501923477"/>
    <n v="144"/>
    <d v="2034-08-03T00:00:00"/>
    <s v=""/>
    <x v="2"/>
    <x v="0"/>
  </r>
  <r>
    <n v="63381973497"/>
    <n v="146"/>
    <d v="2034-08-03T00:00:00"/>
    <s v=""/>
    <x v="2"/>
    <x v="0"/>
  </r>
  <r>
    <n v="16919450947"/>
    <n v="148"/>
    <d v="2034-08-03T00:00:00"/>
    <s v=""/>
    <x v="2"/>
    <x v="0"/>
  </r>
  <r>
    <n v="94205400465"/>
    <n v="195"/>
    <d v="2034-08-03T00:00:00"/>
    <s v=""/>
    <x v="2"/>
    <x v="0"/>
  </r>
  <r>
    <n v="60451512602"/>
    <n v="205"/>
    <d v="2034-08-03T00:00:00"/>
    <s v=""/>
    <x v="2"/>
    <x v="0"/>
  </r>
  <r>
    <n v="35060471236"/>
    <n v="244"/>
    <d v="2034-08-03T00:00:00"/>
    <d v="2034-10-23T00:00:00"/>
    <x v="2"/>
    <x v="5"/>
  </r>
  <r>
    <n v="29409607753"/>
    <n v="254"/>
    <d v="2034-08-03T00:00:00"/>
    <s v=""/>
    <x v="2"/>
    <x v="0"/>
  </r>
  <r>
    <n v="42928515875"/>
    <n v="276"/>
    <d v="2034-08-03T00:00:00"/>
    <s v=""/>
    <x v="2"/>
    <x v="0"/>
  </r>
  <r>
    <n v="32242793034"/>
    <n v="288"/>
    <d v="2034-08-03T00:00:00"/>
    <s v=""/>
    <x v="2"/>
    <x v="0"/>
  </r>
  <r>
    <n v="33033794001"/>
    <n v="304"/>
    <d v="2034-08-03T00:00:00"/>
    <d v="2034-10-13T00:00:00"/>
    <x v="2"/>
    <x v="5"/>
  </r>
  <r>
    <n v="24098734101"/>
    <n v="316"/>
    <d v="2034-08-03T00:00:00"/>
    <s v=""/>
    <x v="2"/>
    <x v="0"/>
  </r>
  <r>
    <n v="31321233839"/>
    <n v="331"/>
    <d v="2034-08-03T00:00:00"/>
    <s v=""/>
    <x v="2"/>
    <x v="0"/>
  </r>
  <r>
    <n v="78739435644"/>
    <n v="333"/>
    <d v="2034-08-03T00:00:00"/>
    <s v=""/>
    <x v="2"/>
    <x v="0"/>
  </r>
  <r>
    <n v="36489193175"/>
    <n v="33"/>
    <d v="2034-08-04T00:00:00"/>
    <s v=""/>
    <x v="2"/>
    <x v="0"/>
  </r>
  <r>
    <n v="83120095945"/>
    <n v="47"/>
    <d v="2034-08-04T00:00:00"/>
    <s v=""/>
    <x v="2"/>
    <x v="0"/>
  </r>
  <r>
    <n v="97612597558"/>
    <n v="62"/>
    <d v="2034-08-04T00:00:00"/>
    <s v=""/>
    <x v="2"/>
    <x v="0"/>
  </r>
  <r>
    <n v="96165690155"/>
    <n v="107"/>
    <d v="2034-08-04T00:00:00"/>
    <s v=""/>
    <x v="2"/>
    <x v="0"/>
  </r>
  <r>
    <n v="70055981916"/>
    <n v="131"/>
    <d v="2034-08-04T00:00:00"/>
    <s v=""/>
    <x v="2"/>
    <x v="0"/>
  </r>
  <r>
    <n v="80288337566"/>
    <n v="152"/>
    <d v="2034-08-04T00:00:00"/>
    <d v="2034-11-16T00:00:00"/>
    <x v="2"/>
    <x v="6"/>
  </r>
  <r>
    <n v="29932728051"/>
    <n v="158"/>
    <d v="2034-08-04T00:00:00"/>
    <s v=""/>
    <x v="2"/>
    <x v="0"/>
  </r>
  <r>
    <n v="70622756239"/>
    <n v="202"/>
    <d v="2034-08-04T00:00:00"/>
    <s v=""/>
    <x v="2"/>
    <x v="0"/>
  </r>
  <r>
    <n v="77185146588"/>
    <n v="207"/>
    <d v="2034-08-04T00:00:00"/>
    <s v=""/>
    <x v="2"/>
    <x v="0"/>
  </r>
  <r>
    <n v="65707000952"/>
    <n v="208"/>
    <d v="2034-08-04T00:00:00"/>
    <m/>
    <x v="2"/>
    <x v="0"/>
  </r>
  <r>
    <n v="94075834088"/>
    <n v="230"/>
    <d v="2034-08-04T00:00:00"/>
    <s v=""/>
    <x v="2"/>
    <x v="0"/>
  </r>
  <r>
    <n v="81292396193"/>
    <n v="240"/>
    <d v="2034-08-04T00:00:00"/>
    <s v=""/>
    <x v="2"/>
    <x v="0"/>
  </r>
  <r>
    <n v="89850406464"/>
    <n v="242"/>
    <d v="2034-08-04T00:00:00"/>
    <d v="2034-12-02T00:00:00"/>
    <x v="2"/>
    <x v="7"/>
  </r>
  <r>
    <n v="90626995973"/>
    <n v="316"/>
    <d v="2034-08-04T00:00:00"/>
    <s v=""/>
    <x v="2"/>
    <x v="0"/>
  </r>
  <r>
    <n v="60219641224"/>
    <n v="14"/>
    <d v="2034-08-05T00:00:00"/>
    <d v="2034-09-27T00:00:00"/>
    <x v="2"/>
    <x v="3"/>
  </r>
  <r>
    <n v="37001072094"/>
    <n v="17"/>
    <d v="2034-08-05T00:00:00"/>
    <s v=""/>
    <x v="2"/>
    <x v="0"/>
  </r>
  <r>
    <n v="54005198397"/>
    <n v="38"/>
    <d v="2034-08-05T00:00:00"/>
    <s v=""/>
    <x v="2"/>
    <x v="0"/>
  </r>
  <r>
    <n v="51068080788"/>
    <n v="41"/>
    <d v="2034-08-05T00:00:00"/>
    <s v=""/>
    <x v="2"/>
    <x v="0"/>
  </r>
  <r>
    <n v="50610107072"/>
    <n v="58"/>
    <d v="2034-08-05T00:00:00"/>
    <s v=""/>
    <x v="2"/>
    <x v="0"/>
  </r>
  <r>
    <n v="42886351727"/>
    <n v="64"/>
    <d v="2034-08-05T00:00:00"/>
    <s v=""/>
    <x v="2"/>
    <x v="0"/>
  </r>
  <r>
    <n v="16933277417"/>
    <n v="64"/>
    <d v="2034-08-05T00:00:00"/>
    <s v=""/>
    <x v="2"/>
    <x v="0"/>
  </r>
  <r>
    <n v="20789536931"/>
    <n v="69"/>
    <d v="2034-08-05T00:00:00"/>
    <d v="2034-08-06T00:00:00"/>
    <x v="2"/>
    <x v="4"/>
  </r>
  <r>
    <n v="76599422903"/>
    <n v="84"/>
    <d v="2034-08-05T00:00:00"/>
    <s v=""/>
    <x v="2"/>
    <x v="0"/>
  </r>
  <r>
    <n v="87413795240"/>
    <n v="118"/>
    <d v="2034-08-05T00:00:00"/>
    <s v=""/>
    <x v="2"/>
    <x v="0"/>
  </r>
  <r>
    <n v="20270821641"/>
    <n v="149"/>
    <d v="2034-08-05T00:00:00"/>
    <d v="2034-09-11T00:00:00"/>
    <x v="2"/>
    <x v="3"/>
  </r>
  <r>
    <n v="76743173510"/>
    <n v="165"/>
    <d v="2034-08-05T00:00:00"/>
    <s v=""/>
    <x v="2"/>
    <x v="0"/>
  </r>
  <r>
    <n v="84296347950"/>
    <n v="190"/>
    <d v="2034-08-05T00:00:00"/>
    <s v=""/>
    <x v="2"/>
    <x v="0"/>
  </r>
  <r>
    <n v="94491093736"/>
    <n v="200"/>
    <d v="2034-08-05T00:00:00"/>
    <s v=""/>
    <x v="2"/>
    <x v="0"/>
  </r>
  <r>
    <n v="56799038383"/>
    <n v="200"/>
    <d v="2034-08-05T00:00:00"/>
    <s v=""/>
    <x v="2"/>
    <x v="0"/>
  </r>
  <r>
    <n v="39230156270"/>
    <n v="201"/>
    <d v="2034-08-05T00:00:00"/>
    <s v=""/>
    <x v="2"/>
    <x v="0"/>
  </r>
  <r>
    <n v="43020745504"/>
    <n v="205"/>
    <d v="2034-08-05T00:00:00"/>
    <s v=""/>
    <x v="2"/>
    <x v="0"/>
  </r>
  <r>
    <n v="96172892477"/>
    <n v="214"/>
    <d v="2034-08-05T00:00:00"/>
    <s v=""/>
    <x v="2"/>
    <x v="0"/>
  </r>
  <r>
    <n v="43048616534"/>
    <n v="220"/>
    <d v="2034-08-05T00:00:00"/>
    <s v=""/>
    <x v="2"/>
    <x v="0"/>
  </r>
  <r>
    <n v="43214180428"/>
    <n v="233"/>
    <d v="2034-08-05T00:00:00"/>
    <s v=""/>
    <x v="2"/>
    <x v="0"/>
  </r>
  <r>
    <n v="31106429386"/>
    <n v="234"/>
    <d v="2034-08-05T00:00:00"/>
    <s v=""/>
    <x v="2"/>
    <x v="0"/>
  </r>
  <r>
    <n v="55534977201"/>
    <n v="238"/>
    <d v="2034-08-05T00:00:00"/>
    <s v=""/>
    <x v="2"/>
    <x v="0"/>
  </r>
  <r>
    <n v="19761634123"/>
    <n v="251"/>
    <d v="2034-08-05T00:00:00"/>
    <s v=""/>
    <x v="2"/>
    <x v="0"/>
  </r>
  <r>
    <n v="70803680998"/>
    <n v="276"/>
    <d v="2034-08-05T00:00:00"/>
    <d v="2034-11-04T00:00:00"/>
    <x v="2"/>
    <x v="6"/>
  </r>
  <r>
    <n v="54486107158"/>
    <n v="294"/>
    <d v="2034-08-05T00:00:00"/>
    <m/>
    <x v="2"/>
    <x v="0"/>
  </r>
  <r>
    <n v="85505686006"/>
    <n v="311"/>
    <d v="2034-08-05T00:00:00"/>
    <s v=""/>
    <x v="2"/>
    <x v="0"/>
  </r>
  <r>
    <n v="30541245196"/>
    <n v="338"/>
    <d v="2034-08-05T00:00:00"/>
    <d v="2034-10-05T00:00:00"/>
    <x v="2"/>
    <x v="5"/>
  </r>
  <r>
    <n v="90404149800"/>
    <n v="8"/>
    <d v="2034-08-06T00:00:00"/>
    <s v=""/>
    <x v="2"/>
    <x v="0"/>
  </r>
  <r>
    <n v="52207982576"/>
    <n v="16"/>
    <d v="2034-08-06T00:00:00"/>
    <s v=""/>
    <x v="2"/>
    <x v="0"/>
  </r>
  <r>
    <n v="84423535063"/>
    <n v="19"/>
    <d v="2034-08-06T00:00:00"/>
    <s v=""/>
    <x v="2"/>
    <x v="0"/>
  </r>
  <r>
    <n v="48324100936"/>
    <n v="23"/>
    <d v="2034-08-06T00:00:00"/>
    <s v=""/>
    <x v="2"/>
    <x v="0"/>
  </r>
  <r>
    <n v="99727638662"/>
    <n v="36"/>
    <d v="2034-08-06T00:00:00"/>
    <m/>
    <x v="2"/>
    <x v="0"/>
  </r>
  <r>
    <n v="57186355912"/>
    <n v="46"/>
    <d v="2034-08-06T00:00:00"/>
    <s v=""/>
    <x v="2"/>
    <x v="0"/>
  </r>
  <r>
    <n v="29317621936"/>
    <n v="47"/>
    <d v="2034-08-06T00:00:00"/>
    <s v=""/>
    <x v="2"/>
    <x v="0"/>
  </r>
  <r>
    <n v="34534163795"/>
    <n v="105"/>
    <d v="2034-08-06T00:00:00"/>
    <d v="2034-10-03T00:00:00"/>
    <x v="2"/>
    <x v="5"/>
  </r>
  <r>
    <n v="39197055728"/>
    <n v="111"/>
    <d v="2034-08-06T00:00:00"/>
    <m/>
    <x v="2"/>
    <x v="0"/>
  </r>
  <r>
    <n v="62509010423"/>
    <n v="115"/>
    <d v="2034-08-06T00:00:00"/>
    <s v=""/>
    <x v="2"/>
    <x v="0"/>
  </r>
  <r>
    <n v="50648553298"/>
    <n v="123"/>
    <d v="2034-08-06T00:00:00"/>
    <s v=""/>
    <x v="2"/>
    <x v="0"/>
  </r>
  <r>
    <n v="98628367034"/>
    <n v="135"/>
    <d v="2034-08-06T00:00:00"/>
    <s v=""/>
    <x v="2"/>
    <x v="0"/>
  </r>
  <r>
    <n v="82963969778"/>
    <n v="151"/>
    <d v="2034-08-06T00:00:00"/>
    <m/>
    <x v="2"/>
    <x v="0"/>
  </r>
  <r>
    <n v="48799942531"/>
    <n v="178"/>
    <d v="2034-08-06T00:00:00"/>
    <s v=""/>
    <x v="2"/>
    <x v="0"/>
  </r>
  <r>
    <n v="80684049499"/>
    <n v="185"/>
    <d v="2034-08-06T00:00:00"/>
    <s v=""/>
    <x v="2"/>
    <x v="0"/>
  </r>
  <r>
    <n v="44333130078"/>
    <n v="213"/>
    <d v="2034-08-06T00:00:00"/>
    <s v=""/>
    <x v="2"/>
    <x v="0"/>
  </r>
  <r>
    <n v="23961115690"/>
    <n v="230"/>
    <d v="2034-08-06T00:00:00"/>
    <s v=""/>
    <x v="2"/>
    <x v="0"/>
  </r>
  <r>
    <n v="76907593219"/>
    <n v="242"/>
    <d v="2034-08-06T00:00:00"/>
    <s v=""/>
    <x v="2"/>
    <x v="0"/>
  </r>
  <r>
    <n v="67608245481"/>
    <n v="253"/>
    <d v="2034-08-06T00:00:00"/>
    <d v="2034-09-07T00:00:00"/>
    <x v="2"/>
    <x v="3"/>
  </r>
  <r>
    <n v="70360784043"/>
    <n v="259"/>
    <d v="2034-08-06T00:00:00"/>
    <s v=""/>
    <x v="2"/>
    <x v="0"/>
  </r>
  <r>
    <n v="23599653324"/>
    <n v="282"/>
    <d v="2034-08-06T00:00:00"/>
    <d v="2034-08-24T00:00:00"/>
    <x v="2"/>
    <x v="4"/>
  </r>
  <r>
    <n v="24116123261"/>
    <n v="289"/>
    <d v="2034-08-06T00:00:00"/>
    <s v=""/>
    <x v="2"/>
    <x v="0"/>
  </r>
  <r>
    <n v="61008671853"/>
    <n v="316"/>
    <d v="2034-08-06T00:00:00"/>
    <s v=""/>
    <x v="2"/>
    <x v="0"/>
  </r>
  <r>
    <n v="47180208242"/>
    <n v="325"/>
    <d v="2034-08-06T00:00:00"/>
    <s v=""/>
    <x v="2"/>
    <x v="0"/>
  </r>
  <r>
    <n v="89115803525"/>
    <n v="22"/>
    <d v="2034-08-07T00:00:00"/>
    <d v="2034-08-25T00:00:00"/>
    <x v="2"/>
    <x v="4"/>
  </r>
  <r>
    <n v="60413949604"/>
    <n v="50"/>
    <d v="2034-08-07T00:00:00"/>
    <d v="2034-08-22T00:00:00"/>
    <x v="2"/>
    <x v="4"/>
  </r>
  <r>
    <n v="76095825632"/>
    <n v="56"/>
    <d v="2034-08-07T00:00:00"/>
    <m/>
    <x v="2"/>
    <x v="0"/>
  </r>
  <r>
    <n v="90885946417"/>
    <n v="93"/>
    <d v="2034-08-07T00:00:00"/>
    <s v=""/>
    <x v="2"/>
    <x v="0"/>
  </r>
  <r>
    <n v="13073504413"/>
    <n v="95"/>
    <d v="2034-08-07T00:00:00"/>
    <s v=""/>
    <x v="2"/>
    <x v="0"/>
  </r>
  <r>
    <n v="85565411013"/>
    <n v="105"/>
    <d v="2034-08-07T00:00:00"/>
    <s v=""/>
    <x v="2"/>
    <x v="0"/>
  </r>
  <r>
    <n v="26870047993"/>
    <n v="114"/>
    <d v="2034-08-07T00:00:00"/>
    <s v=""/>
    <x v="2"/>
    <x v="0"/>
  </r>
  <r>
    <n v="77038818208"/>
    <n v="120"/>
    <d v="2034-08-07T00:00:00"/>
    <m/>
    <x v="2"/>
    <x v="0"/>
  </r>
  <r>
    <n v="38625186922"/>
    <n v="128"/>
    <d v="2034-08-07T00:00:00"/>
    <s v=""/>
    <x v="2"/>
    <x v="0"/>
  </r>
  <r>
    <n v="86330646325"/>
    <n v="141"/>
    <d v="2034-08-07T00:00:00"/>
    <s v=""/>
    <x v="2"/>
    <x v="0"/>
  </r>
  <r>
    <n v="37913741268"/>
    <n v="144"/>
    <d v="2034-08-07T00:00:00"/>
    <d v="2034-11-15T00:00:00"/>
    <x v="2"/>
    <x v="6"/>
  </r>
  <r>
    <n v="50039265775"/>
    <n v="153"/>
    <d v="2034-08-07T00:00:00"/>
    <s v=""/>
    <x v="2"/>
    <x v="0"/>
  </r>
  <r>
    <n v="51735025683"/>
    <n v="170"/>
    <d v="2034-08-07T00:00:00"/>
    <s v=""/>
    <x v="2"/>
    <x v="0"/>
  </r>
  <r>
    <n v="16108636223"/>
    <n v="181"/>
    <d v="2034-08-07T00:00:00"/>
    <s v=""/>
    <x v="2"/>
    <x v="0"/>
  </r>
  <r>
    <n v="26996583633"/>
    <n v="186"/>
    <d v="2034-08-07T00:00:00"/>
    <s v=""/>
    <x v="2"/>
    <x v="0"/>
  </r>
  <r>
    <n v="51394234580"/>
    <n v="187"/>
    <d v="2034-08-07T00:00:00"/>
    <m/>
    <x v="2"/>
    <x v="0"/>
  </r>
  <r>
    <n v="36250900182"/>
    <n v="195"/>
    <d v="2034-08-07T00:00:00"/>
    <d v="2034-12-01T00:00:00"/>
    <x v="2"/>
    <x v="7"/>
  </r>
  <r>
    <n v="57956876074"/>
    <n v="199"/>
    <d v="2034-08-07T00:00:00"/>
    <s v=""/>
    <x v="2"/>
    <x v="0"/>
  </r>
  <r>
    <n v="18308693109"/>
    <n v="202"/>
    <d v="2034-08-07T00:00:00"/>
    <d v="2034-09-11T00:00:00"/>
    <x v="2"/>
    <x v="3"/>
  </r>
  <r>
    <n v="85023887032"/>
    <n v="221"/>
    <d v="2034-08-07T00:00:00"/>
    <d v="2034-08-26T00:00:00"/>
    <x v="2"/>
    <x v="4"/>
  </r>
  <r>
    <n v="97555683046"/>
    <n v="231"/>
    <d v="2034-08-07T00:00:00"/>
    <s v=""/>
    <x v="2"/>
    <x v="0"/>
  </r>
  <r>
    <n v="86270542963"/>
    <n v="237"/>
    <d v="2034-08-07T00:00:00"/>
    <d v="2034-11-16T00:00:00"/>
    <x v="2"/>
    <x v="6"/>
  </r>
  <r>
    <n v="57603412835"/>
    <n v="257"/>
    <d v="2034-08-07T00:00:00"/>
    <d v="2034-12-04T00:00:00"/>
    <x v="2"/>
    <x v="7"/>
  </r>
  <r>
    <n v="96620365402"/>
    <n v="264"/>
    <d v="2034-08-07T00:00:00"/>
    <s v=""/>
    <x v="2"/>
    <x v="0"/>
  </r>
  <r>
    <n v="67455767152"/>
    <n v="302"/>
    <d v="2034-08-07T00:00:00"/>
    <s v=""/>
    <x v="2"/>
    <x v="0"/>
  </r>
  <r>
    <n v="84465125000"/>
    <n v="328"/>
    <d v="2034-08-07T00:00:00"/>
    <s v=""/>
    <x v="2"/>
    <x v="0"/>
  </r>
  <r>
    <n v="51251401076"/>
    <n v="333"/>
    <d v="2034-08-07T00:00:00"/>
    <d v="2034-11-05T00:00:00"/>
    <x v="2"/>
    <x v="6"/>
  </r>
  <r>
    <n v="78307455223"/>
    <n v="336"/>
    <d v="2034-08-07T00:00:00"/>
    <d v="2034-08-21T00:00:00"/>
    <x v="2"/>
    <x v="4"/>
  </r>
  <r>
    <n v="82861831167"/>
    <n v="14"/>
    <d v="2034-08-08T00:00:00"/>
    <s v=""/>
    <x v="2"/>
    <x v="0"/>
  </r>
  <r>
    <n v="97301292379"/>
    <n v="50"/>
    <d v="2034-08-08T00:00:00"/>
    <s v=""/>
    <x v="2"/>
    <x v="0"/>
  </r>
  <r>
    <n v="46248368895"/>
    <n v="52"/>
    <d v="2034-08-08T00:00:00"/>
    <d v="2034-09-23T00:00:00"/>
    <x v="2"/>
    <x v="3"/>
  </r>
  <r>
    <n v="45385133720"/>
    <n v="58"/>
    <d v="2034-08-08T00:00:00"/>
    <s v=""/>
    <x v="2"/>
    <x v="0"/>
  </r>
  <r>
    <n v="81286443151"/>
    <n v="61"/>
    <d v="2034-08-08T00:00:00"/>
    <s v=""/>
    <x v="2"/>
    <x v="0"/>
  </r>
  <r>
    <n v="40659697771"/>
    <n v="69"/>
    <d v="2034-08-08T00:00:00"/>
    <s v=""/>
    <x v="2"/>
    <x v="0"/>
  </r>
  <r>
    <n v="66786844509"/>
    <n v="99"/>
    <d v="2034-08-08T00:00:00"/>
    <s v=""/>
    <x v="2"/>
    <x v="0"/>
  </r>
  <r>
    <n v="78075079287"/>
    <n v="119"/>
    <d v="2034-08-08T00:00:00"/>
    <s v=""/>
    <x v="2"/>
    <x v="0"/>
  </r>
  <r>
    <n v="54956216360"/>
    <n v="130"/>
    <d v="2034-08-08T00:00:00"/>
    <s v=""/>
    <x v="2"/>
    <x v="0"/>
  </r>
  <r>
    <n v="64512139354"/>
    <n v="153"/>
    <d v="2034-08-08T00:00:00"/>
    <s v=""/>
    <x v="2"/>
    <x v="0"/>
  </r>
  <r>
    <n v="84920261442"/>
    <n v="162"/>
    <d v="2034-08-08T00:00:00"/>
    <s v=""/>
    <x v="2"/>
    <x v="0"/>
  </r>
  <r>
    <n v="27892077619"/>
    <n v="183"/>
    <d v="2034-08-08T00:00:00"/>
    <s v=""/>
    <x v="2"/>
    <x v="0"/>
  </r>
  <r>
    <n v="76052873897"/>
    <n v="204"/>
    <d v="2034-08-08T00:00:00"/>
    <s v=""/>
    <x v="2"/>
    <x v="0"/>
  </r>
  <r>
    <n v="54020666885"/>
    <n v="215"/>
    <d v="2034-08-08T00:00:00"/>
    <s v=""/>
    <x v="2"/>
    <x v="0"/>
  </r>
  <r>
    <n v="73706695482"/>
    <n v="234"/>
    <d v="2034-08-08T00:00:00"/>
    <s v=""/>
    <x v="2"/>
    <x v="0"/>
  </r>
  <r>
    <n v="28039493894"/>
    <n v="246"/>
    <d v="2034-08-08T00:00:00"/>
    <s v=""/>
    <x v="2"/>
    <x v="0"/>
  </r>
  <r>
    <n v="75748390520"/>
    <n v="284"/>
    <d v="2034-08-08T00:00:00"/>
    <s v=""/>
    <x v="2"/>
    <x v="0"/>
  </r>
  <r>
    <n v="48089539884"/>
    <n v="288"/>
    <d v="2034-08-08T00:00:00"/>
    <s v=""/>
    <x v="2"/>
    <x v="0"/>
  </r>
  <r>
    <n v="90781011815"/>
    <n v="290"/>
    <d v="2034-08-08T00:00:00"/>
    <d v="2034-12-04T00:00:00"/>
    <x v="2"/>
    <x v="7"/>
  </r>
  <r>
    <n v="29817575147"/>
    <n v="301"/>
    <d v="2034-08-08T00:00:00"/>
    <d v="2034-09-28T00:00:00"/>
    <x v="2"/>
    <x v="3"/>
  </r>
  <r>
    <n v="41811159939"/>
    <n v="334"/>
    <d v="2034-08-08T00:00:00"/>
    <d v="2034-10-14T00:00:00"/>
    <x v="2"/>
    <x v="5"/>
  </r>
  <r>
    <n v="98441537737"/>
    <n v="0"/>
    <d v="2034-08-09T00:00:00"/>
    <m/>
    <x v="2"/>
    <x v="0"/>
  </r>
  <r>
    <n v="23027282574"/>
    <n v="7"/>
    <d v="2034-08-09T00:00:00"/>
    <s v=""/>
    <x v="2"/>
    <x v="0"/>
  </r>
  <r>
    <n v="37404099326"/>
    <n v="8"/>
    <d v="2034-08-09T00:00:00"/>
    <s v=""/>
    <x v="2"/>
    <x v="0"/>
  </r>
  <r>
    <n v="71911565159"/>
    <n v="23"/>
    <d v="2034-08-09T00:00:00"/>
    <s v=""/>
    <x v="2"/>
    <x v="0"/>
  </r>
  <r>
    <n v="74859663699"/>
    <n v="25"/>
    <d v="2034-08-09T00:00:00"/>
    <s v=""/>
    <x v="2"/>
    <x v="0"/>
  </r>
  <r>
    <n v="39060375941"/>
    <n v="34"/>
    <d v="2034-08-09T00:00:00"/>
    <d v="2034-09-29T00:00:00"/>
    <x v="2"/>
    <x v="3"/>
  </r>
  <r>
    <n v="51105193231"/>
    <n v="44"/>
    <d v="2034-08-09T00:00:00"/>
    <s v=""/>
    <x v="2"/>
    <x v="0"/>
  </r>
  <r>
    <n v="40953896264"/>
    <n v="58"/>
    <d v="2034-08-09T00:00:00"/>
    <d v="2034-08-09T00:00:00"/>
    <x v="2"/>
    <x v="4"/>
  </r>
  <r>
    <n v="36012420993"/>
    <n v="68"/>
    <d v="2034-08-09T00:00:00"/>
    <d v="2034-09-27T00:00:00"/>
    <x v="2"/>
    <x v="3"/>
  </r>
  <r>
    <n v="93912746655"/>
    <n v="81"/>
    <d v="2034-08-09T00:00:00"/>
    <s v=""/>
    <x v="2"/>
    <x v="0"/>
  </r>
  <r>
    <n v="57491985142"/>
    <n v="91"/>
    <d v="2034-08-09T00:00:00"/>
    <m/>
    <x v="2"/>
    <x v="0"/>
  </r>
  <r>
    <n v="58132139349"/>
    <n v="125"/>
    <d v="2034-08-09T00:00:00"/>
    <s v=""/>
    <x v="2"/>
    <x v="0"/>
  </r>
  <r>
    <n v="23603877313"/>
    <n v="131"/>
    <d v="2034-08-09T00:00:00"/>
    <s v=""/>
    <x v="2"/>
    <x v="0"/>
  </r>
  <r>
    <n v="63153207502"/>
    <n v="142"/>
    <d v="2034-08-09T00:00:00"/>
    <s v=""/>
    <x v="2"/>
    <x v="0"/>
  </r>
  <r>
    <n v="72953101313"/>
    <n v="142"/>
    <d v="2034-08-09T00:00:00"/>
    <s v=""/>
    <x v="2"/>
    <x v="0"/>
  </r>
  <r>
    <n v="21334835986"/>
    <n v="150"/>
    <d v="2034-08-09T00:00:00"/>
    <m/>
    <x v="2"/>
    <x v="0"/>
  </r>
  <r>
    <n v="32834281650"/>
    <n v="192"/>
    <d v="2034-08-09T00:00:00"/>
    <d v="2034-09-07T00:00:00"/>
    <x v="2"/>
    <x v="3"/>
  </r>
  <r>
    <n v="83000014181"/>
    <n v="215"/>
    <d v="2034-08-09T00:00:00"/>
    <s v=""/>
    <x v="2"/>
    <x v="0"/>
  </r>
  <r>
    <n v="40938186566"/>
    <n v="238"/>
    <d v="2034-08-09T00:00:00"/>
    <s v=""/>
    <x v="2"/>
    <x v="0"/>
  </r>
  <r>
    <n v="13687287800"/>
    <n v="256"/>
    <d v="2034-08-09T00:00:00"/>
    <s v=""/>
    <x v="2"/>
    <x v="0"/>
  </r>
  <r>
    <n v="73819021208"/>
    <n v="258"/>
    <d v="2034-08-09T00:00:00"/>
    <d v="2034-10-10T00:00:00"/>
    <x v="2"/>
    <x v="5"/>
  </r>
  <r>
    <n v="71412338624"/>
    <n v="273"/>
    <d v="2034-08-09T00:00:00"/>
    <s v=""/>
    <x v="2"/>
    <x v="0"/>
  </r>
  <r>
    <n v="65761119202"/>
    <n v="290"/>
    <d v="2034-08-09T00:00:00"/>
    <m/>
    <x v="2"/>
    <x v="0"/>
  </r>
  <r>
    <n v="20154667294"/>
    <n v="310"/>
    <d v="2034-08-09T00:00:00"/>
    <s v=""/>
    <x v="2"/>
    <x v="0"/>
  </r>
  <r>
    <n v="78570424588"/>
    <n v="318"/>
    <d v="2034-08-09T00:00:00"/>
    <s v=""/>
    <x v="2"/>
    <x v="0"/>
  </r>
  <r>
    <n v="81297046938"/>
    <n v="8"/>
    <d v="2034-08-10T00:00:00"/>
    <d v="2034-09-11T00:00:00"/>
    <x v="2"/>
    <x v="3"/>
  </r>
  <r>
    <n v="95211021932"/>
    <n v="19"/>
    <d v="2034-08-10T00:00:00"/>
    <s v=""/>
    <x v="2"/>
    <x v="0"/>
  </r>
  <r>
    <n v="76820078128"/>
    <n v="30"/>
    <d v="2034-08-10T00:00:00"/>
    <s v=""/>
    <x v="2"/>
    <x v="0"/>
  </r>
  <r>
    <n v="33258653697"/>
    <n v="54"/>
    <d v="2034-08-10T00:00:00"/>
    <d v="2034-12-04T00:00:00"/>
    <x v="2"/>
    <x v="7"/>
  </r>
  <r>
    <n v="33000829293"/>
    <n v="55"/>
    <d v="2034-08-10T00:00:00"/>
    <s v=""/>
    <x v="2"/>
    <x v="0"/>
  </r>
  <r>
    <n v="40137503561"/>
    <n v="92"/>
    <d v="2034-08-10T00:00:00"/>
    <d v="2034-11-30T00:00:00"/>
    <x v="2"/>
    <x v="6"/>
  </r>
  <r>
    <n v="34938633418"/>
    <n v="95"/>
    <d v="2034-08-10T00:00:00"/>
    <d v="2034-09-17T00:00:00"/>
    <x v="2"/>
    <x v="3"/>
  </r>
  <r>
    <n v="41213775689"/>
    <n v="103"/>
    <d v="2034-08-10T00:00:00"/>
    <d v="2034-09-20T00:00:00"/>
    <x v="2"/>
    <x v="3"/>
  </r>
  <r>
    <n v="76028758453"/>
    <n v="107"/>
    <d v="2034-08-10T00:00:00"/>
    <d v="2034-09-04T00:00:00"/>
    <x v="2"/>
    <x v="3"/>
  </r>
  <r>
    <n v="58233670709"/>
    <n v="110"/>
    <d v="2034-08-10T00:00:00"/>
    <s v=""/>
    <x v="2"/>
    <x v="0"/>
  </r>
  <r>
    <n v="88751405288"/>
    <n v="115"/>
    <d v="2034-08-10T00:00:00"/>
    <s v=""/>
    <x v="2"/>
    <x v="0"/>
  </r>
  <r>
    <n v="49470176290"/>
    <n v="140"/>
    <d v="2034-08-10T00:00:00"/>
    <s v=""/>
    <x v="2"/>
    <x v="0"/>
  </r>
  <r>
    <n v="46574981792"/>
    <n v="152"/>
    <d v="2034-08-10T00:00:00"/>
    <s v=""/>
    <x v="2"/>
    <x v="0"/>
  </r>
  <r>
    <n v="91241014241"/>
    <n v="191"/>
    <d v="2034-08-10T00:00:00"/>
    <s v=""/>
    <x v="2"/>
    <x v="0"/>
  </r>
  <r>
    <n v="24357531290"/>
    <n v="215"/>
    <d v="2034-08-10T00:00:00"/>
    <s v=""/>
    <x v="2"/>
    <x v="0"/>
  </r>
  <r>
    <n v="65421302781"/>
    <n v="265"/>
    <d v="2034-08-10T00:00:00"/>
    <d v="2034-08-28T00:00:00"/>
    <x v="2"/>
    <x v="4"/>
  </r>
  <r>
    <n v="97257395469"/>
    <n v="277"/>
    <d v="2034-08-10T00:00:00"/>
    <s v=""/>
    <x v="2"/>
    <x v="0"/>
  </r>
  <r>
    <n v="94348738345"/>
    <n v="301"/>
    <d v="2034-08-10T00:00:00"/>
    <s v=""/>
    <x v="2"/>
    <x v="0"/>
  </r>
  <r>
    <n v="44977388322"/>
    <n v="311"/>
    <d v="2034-08-10T00:00:00"/>
    <d v="2034-10-10T00:00:00"/>
    <x v="2"/>
    <x v="5"/>
  </r>
  <r>
    <n v="56796581364"/>
    <n v="7"/>
    <d v="2034-08-11T00:00:00"/>
    <d v="2034-10-01T00:00:00"/>
    <x v="2"/>
    <x v="5"/>
  </r>
  <r>
    <n v="30522087890"/>
    <n v="8"/>
    <d v="2034-08-11T00:00:00"/>
    <s v=""/>
    <x v="2"/>
    <x v="0"/>
  </r>
  <r>
    <n v="78747594519"/>
    <n v="75"/>
    <d v="2034-08-11T00:00:00"/>
    <d v="2034-11-06T00:00:00"/>
    <x v="2"/>
    <x v="6"/>
  </r>
  <r>
    <n v="93989075461"/>
    <n v="94"/>
    <d v="2034-08-11T00:00:00"/>
    <s v=""/>
    <x v="2"/>
    <x v="0"/>
  </r>
  <r>
    <n v="30013707638"/>
    <n v="124"/>
    <d v="2034-08-11T00:00:00"/>
    <s v=""/>
    <x v="2"/>
    <x v="0"/>
  </r>
  <r>
    <n v="64830649719"/>
    <n v="124"/>
    <d v="2034-08-11T00:00:00"/>
    <s v=""/>
    <x v="2"/>
    <x v="0"/>
  </r>
  <r>
    <n v="63153796101"/>
    <n v="132"/>
    <d v="2034-08-11T00:00:00"/>
    <s v=""/>
    <x v="2"/>
    <x v="0"/>
  </r>
  <r>
    <n v="49058353390"/>
    <n v="148"/>
    <d v="2034-08-11T00:00:00"/>
    <s v=""/>
    <x v="2"/>
    <x v="0"/>
  </r>
  <r>
    <n v="15129876332"/>
    <n v="149"/>
    <d v="2034-08-11T00:00:00"/>
    <s v=""/>
    <x v="2"/>
    <x v="0"/>
  </r>
  <r>
    <n v="79840864773"/>
    <n v="157"/>
    <d v="2034-08-11T00:00:00"/>
    <s v=""/>
    <x v="2"/>
    <x v="0"/>
  </r>
  <r>
    <n v="30635210876"/>
    <n v="162"/>
    <d v="2034-08-11T00:00:00"/>
    <s v=""/>
    <x v="2"/>
    <x v="0"/>
  </r>
  <r>
    <n v="13233794737"/>
    <n v="166"/>
    <d v="2034-08-11T00:00:00"/>
    <s v=""/>
    <x v="2"/>
    <x v="0"/>
  </r>
  <r>
    <n v="28910415025"/>
    <n v="185"/>
    <d v="2034-08-11T00:00:00"/>
    <s v=""/>
    <x v="2"/>
    <x v="0"/>
  </r>
  <r>
    <n v="48524647133"/>
    <n v="198"/>
    <d v="2034-08-11T00:00:00"/>
    <d v="2034-09-14T00:00:00"/>
    <x v="2"/>
    <x v="3"/>
  </r>
  <r>
    <n v="33781857130"/>
    <n v="201"/>
    <d v="2034-08-11T00:00:00"/>
    <s v=""/>
    <x v="2"/>
    <x v="0"/>
  </r>
  <r>
    <n v="33667573853"/>
    <n v="230"/>
    <d v="2034-08-11T00:00:00"/>
    <s v=""/>
    <x v="2"/>
    <x v="0"/>
  </r>
  <r>
    <n v="44809069453"/>
    <n v="237"/>
    <d v="2034-08-11T00:00:00"/>
    <m/>
    <x v="2"/>
    <x v="0"/>
  </r>
  <r>
    <n v="90969263333"/>
    <n v="240"/>
    <d v="2034-08-11T00:00:00"/>
    <s v=""/>
    <x v="2"/>
    <x v="0"/>
  </r>
  <r>
    <n v="58608009978"/>
    <n v="260"/>
    <d v="2034-08-11T00:00:00"/>
    <s v=""/>
    <x v="2"/>
    <x v="0"/>
  </r>
  <r>
    <n v="40441266373"/>
    <n v="273"/>
    <d v="2034-08-11T00:00:00"/>
    <d v="2034-09-16T00:00:00"/>
    <x v="2"/>
    <x v="3"/>
  </r>
  <r>
    <n v="58253294989"/>
    <n v="281"/>
    <d v="2034-08-11T00:00:00"/>
    <s v=""/>
    <x v="2"/>
    <x v="0"/>
  </r>
  <r>
    <n v="18155390416"/>
    <n v="287"/>
    <d v="2034-08-11T00:00:00"/>
    <d v="2034-08-19T00:00:00"/>
    <x v="2"/>
    <x v="4"/>
  </r>
  <r>
    <n v="82058128900"/>
    <n v="290"/>
    <d v="2034-08-11T00:00:00"/>
    <s v=""/>
    <x v="2"/>
    <x v="0"/>
  </r>
  <r>
    <n v="90417168307"/>
    <n v="293"/>
    <d v="2034-08-11T00:00:00"/>
    <m/>
    <x v="2"/>
    <x v="0"/>
  </r>
  <r>
    <n v="64506366097"/>
    <n v="306"/>
    <d v="2034-08-11T00:00:00"/>
    <d v="2034-12-08T00:00:00"/>
    <x v="2"/>
    <x v="7"/>
  </r>
  <r>
    <n v="14778185314"/>
    <n v="11"/>
    <d v="2034-08-12T00:00:00"/>
    <m/>
    <x v="2"/>
    <x v="0"/>
  </r>
  <r>
    <n v="88779324349"/>
    <n v="36"/>
    <d v="2034-08-12T00:00:00"/>
    <s v=""/>
    <x v="2"/>
    <x v="0"/>
  </r>
  <r>
    <n v="26020352333"/>
    <n v="54"/>
    <d v="2034-08-12T00:00:00"/>
    <d v="2034-12-06T00:00:00"/>
    <x v="2"/>
    <x v="7"/>
  </r>
  <r>
    <n v="25439973492"/>
    <n v="64"/>
    <d v="2034-08-12T00:00:00"/>
    <s v=""/>
    <x v="2"/>
    <x v="0"/>
  </r>
  <r>
    <n v="78654833041"/>
    <n v="98"/>
    <d v="2034-08-12T00:00:00"/>
    <s v=""/>
    <x v="2"/>
    <x v="0"/>
  </r>
  <r>
    <n v="16924443207"/>
    <n v="110"/>
    <d v="2034-08-12T00:00:00"/>
    <s v=""/>
    <x v="2"/>
    <x v="0"/>
  </r>
  <r>
    <n v="30310528460"/>
    <n v="112"/>
    <d v="2034-08-12T00:00:00"/>
    <s v=""/>
    <x v="2"/>
    <x v="0"/>
  </r>
  <r>
    <n v="38016487835"/>
    <n v="112"/>
    <d v="2034-08-12T00:00:00"/>
    <s v=""/>
    <x v="2"/>
    <x v="0"/>
  </r>
  <r>
    <n v="15385217157"/>
    <n v="165"/>
    <d v="2034-08-12T00:00:00"/>
    <d v="2034-12-07T00:00:00"/>
    <x v="2"/>
    <x v="7"/>
  </r>
  <r>
    <n v="41204718055"/>
    <n v="173"/>
    <d v="2034-08-12T00:00:00"/>
    <s v=""/>
    <x v="2"/>
    <x v="0"/>
  </r>
  <r>
    <n v="91743120045"/>
    <n v="179"/>
    <d v="2034-08-12T00:00:00"/>
    <s v=""/>
    <x v="2"/>
    <x v="0"/>
  </r>
  <r>
    <n v="26022907523"/>
    <n v="183"/>
    <d v="2034-08-12T00:00:00"/>
    <s v=""/>
    <x v="2"/>
    <x v="0"/>
  </r>
  <r>
    <n v="43763814202"/>
    <n v="211"/>
    <d v="2034-08-12T00:00:00"/>
    <s v=""/>
    <x v="2"/>
    <x v="0"/>
  </r>
  <r>
    <n v="56420092453"/>
    <n v="224"/>
    <d v="2034-08-12T00:00:00"/>
    <s v=""/>
    <x v="2"/>
    <x v="0"/>
  </r>
  <r>
    <n v="27648148815"/>
    <n v="252"/>
    <d v="2034-08-12T00:00:00"/>
    <m/>
    <x v="2"/>
    <x v="0"/>
  </r>
  <r>
    <n v="76473511259"/>
    <n v="255"/>
    <d v="2034-08-12T00:00:00"/>
    <s v=""/>
    <x v="2"/>
    <x v="0"/>
  </r>
  <r>
    <n v="75113438461"/>
    <n v="291"/>
    <d v="2034-08-12T00:00:00"/>
    <s v=""/>
    <x v="2"/>
    <x v="0"/>
  </r>
  <r>
    <n v="71452978471"/>
    <n v="319"/>
    <d v="2034-08-12T00:00:00"/>
    <s v=""/>
    <x v="2"/>
    <x v="0"/>
  </r>
  <r>
    <n v="33054200715"/>
    <n v="328"/>
    <d v="2034-08-12T00:00:00"/>
    <s v=""/>
    <x v="2"/>
    <x v="0"/>
  </r>
  <r>
    <n v="61176513402"/>
    <n v="334"/>
    <d v="2034-08-12T00:00:00"/>
    <m/>
    <x v="2"/>
    <x v="0"/>
  </r>
  <r>
    <n v="85359887079"/>
    <n v="339"/>
    <d v="2034-08-12T00:00:00"/>
    <s v=""/>
    <x v="2"/>
    <x v="0"/>
  </r>
  <r>
    <n v="41803840882"/>
    <n v="4"/>
    <d v="2034-08-13T00:00:00"/>
    <d v="2034-11-09T00:00:00"/>
    <x v="2"/>
    <x v="6"/>
  </r>
  <r>
    <n v="72914659394"/>
    <n v="5"/>
    <d v="2034-08-13T00:00:00"/>
    <m/>
    <x v="2"/>
    <x v="0"/>
  </r>
  <r>
    <n v="40637222564"/>
    <n v="25"/>
    <d v="2034-08-13T00:00:00"/>
    <d v="2034-11-19T00:00:00"/>
    <x v="2"/>
    <x v="6"/>
  </r>
  <r>
    <n v="37614374210"/>
    <n v="35"/>
    <d v="2034-08-13T00:00:00"/>
    <s v=""/>
    <x v="2"/>
    <x v="0"/>
  </r>
  <r>
    <n v="50282250511"/>
    <n v="86"/>
    <d v="2034-08-13T00:00:00"/>
    <s v=""/>
    <x v="2"/>
    <x v="0"/>
  </r>
  <r>
    <n v="12725158977"/>
    <n v="105"/>
    <d v="2034-08-13T00:00:00"/>
    <d v="2034-08-21T00:00:00"/>
    <x v="2"/>
    <x v="4"/>
  </r>
  <r>
    <n v="15764766184"/>
    <n v="120"/>
    <d v="2034-08-13T00:00:00"/>
    <s v=""/>
    <x v="2"/>
    <x v="0"/>
  </r>
  <r>
    <n v="58162084500"/>
    <n v="128"/>
    <d v="2034-08-13T00:00:00"/>
    <s v=""/>
    <x v="2"/>
    <x v="0"/>
  </r>
  <r>
    <n v="77496164720"/>
    <n v="174"/>
    <d v="2034-08-13T00:00:00"/>
    <d v="2034-09-15T00:00:00"/>
    <x v="2"/>
    <x v="3"/>
  </r>
  <r>
    <n v="98592572118"/>
    <n v="178"/>
    <d v="2034-08-13T00:00:00"/>
    <s v=""/>
    <x v="2"/>
    <x v="0"/>
  </r>
  <r>
    <n v="83529800230"/>
    <n v="189"/>
    <d v="2034-08-13T00:00:00"/>
    <s v=""/>
    <x v="2"/>
    <x v="0"/>
  </r>
  <r>
    <n v="47783371009"/>
    <n v="196"/>
    <d v="2034-08-13T00:00:00"/>
    <s v=""/>
    <x v="2"/>
    <x v="0"/>
  </r>
  <r>
    <n v="30920859610"/>
    <n v="198"/>
    <d v="2034-08-13T00:00:00"/>
    <s v=""/>
    <x v="2"/>
    <x v="0"/>
  </r>
  <r>
    <n v="20926017907"/>
    <n v="205"/>
    <d v="2034-08-13T00:00:00"/>
    <m/>
    <x v="2"/>
    <x v="0"/>
  </r>
  <r>
    <n v="97150608475"/>
    <n v="209"/>
    <d v="2034-08-13T00:00:00"/>
    <d v="2034-08-15T00:00:00"/>
    <x v="2"/>
    <x v="4"/>
  </r>
  <r>
    <n v="82352704355"/>
    <n v="234"/>
    <d v="2034-08-13T00:00:00"/>
    <s v=""/>
    <x v="2"/>
    <x v="0"/>
  </r>
  <r>
    <n v="24090331832"/>
    <n v="274"/>
    <d v="2034-08-13T00:00:00"/>
    <d v="2034-10-14T00:00:00"/>
    <x v="2"/>
    <x v="5"/>
  </r>
  <r>
    <n v="21684363278"/>
    <n v="275"/>
    <d v="2034-08-13T00:00:00"/>
    <s v=""/>
    <x v="2"/>
    <x v="0"/>
  </r>
  <r>
    <n v="26533805694"/>
    <n v="276"/>
    <d v="2034-08-13T00:00:00"/>
    <s v=""/>
    <x v="2"/>
    <x v="0"/>
  </r>
  <r>
    <n v="38270616166"/>
    <n v="295"/>
    <d v="2034-08-13T00:00:00"/>
    <s v=""/>
    <x v="2"/>
    <x v="0"/>
  </r>
  <r>
    <n v="54676171855"/>
    <n v="329"/>
    <d v="2034-08-13T00:00:00"/>
    <s v=""/>
    <x v="2"/>
    <x v="0"/>
  </r>
  <r>
    <n v="12058627094"/>
    <n v="35"/>
    <d v="2034-08-14T00:00:00"/>
    <s v=""/>
    <x v="2"/>
    <x v="0"/>
  </r>
  <r>
    <n v="21011104886"/>
    <n v="58"/>
    <d v="2034-08-14T00:00:00"/>
    <m/>
    <x v="2"/>
    <x v="0"/>
  </r>
  <r>
    <n v="13432594521"/>
    <n v="75"/>
    <d v="2034-08-14T00:00:00"/>
    <d v="2034-12-12T00:00:00"/>
    <x v="2"/>
    <x v="7"/>
  </r>
  <r>
    <n v="49305145505"/>
    <n v="91"/>
    <d v="2034-08-14T00:00:00"/>
    <s v=""/>
    <x v="2"/>
    <x v="0"/>
  </r>
  <r>
    <n v="49892544854"/>
    <n v="130"/>
    <d v="2034-08-14T00:00:00"/>
    <s v=""/>
    <x v="2"/>
    <x v="0"/>
  </r>
  <r>
    <n v="54241099885"/>
    <n v="164"/>
    <d v="2034-08-14T00:00:00"/>
    <d v="2034-10-16T00:00:00"/>
    <x v="2"/>
    <x v="5"/>
  </r>
  <r>
    <n v="91651012700"/>
    <n v="173"/>
    <d v="2034-08-14T00:00:00"/>
    <m/>
    <x v="2"/>
    <x v="0"/>
  </r>
  <r>
    <n v="57224593567"/>
    <n v="190"/>
    <d v="2034-08-14T00:00:00"/>
    <d v="2034-08-15T00:00:00"/>
    <x v="2"/>
    <x v="4"/>
  </r>
  <r>
    <n v="19392035521"/>
    <n v="191"/>
    <d v="2034-08-14T00:00:00"/>
    <s v=""/>
    <x v="2"/>
    <x v="0"/>
  </r>
  <r>
    <n v="66293438071"/>
    <n v="215"/>
    <d v="2034-08-14T00:00:00"/>
    <s v=""/>
    <x v="2"/>
    <x v="0"/>
  </r>
  <r>
    <n v="48740924876"/>
    <n v="235"/>
    <d v="2034-08-14T00:00:00"/>
    <s v=""/>
    <x v="2"/>
    <x v="0"/>
  </r>
  <r>
    <n v="70163085344"/>
    <n v="260"/>
    <d v="2034-08-14T00:00:00"/>
    <s v=""/>
    <x v="2"/>
    <x v="0"/>
  </r>
  <r>
    <n v="52561319643"/>
    <n v="327"/>
    <d v="2034-08-14T00:00:00"/>
    <s v=""/>
    <x v="2"/>
    <x v="0"/>
  </r>
  <r>
    <n v="22130114285"/>
    <n v="1"/>
    <d v="2034-08-15T00:00:00"/>
    <s v=""/>
    <x v="2"/>
    <x v="0"/>
  </r>
  <r>
    <n v="13451602367"/>
    <n v="9"/>
    <d v="2034-08-15T00:00:00"/>
    <d v="2034-08-16T00:00:00"/>
    <x v="2"/>
    <x v="4"/>
  </r>
  <r>
    <n v="62555300496"/>
    <n v="13"/>
    <d v="2034-08-15T00:00:00"/>
    <s v=""/>
    <x v="2"/>
    <x v="0"/>
  </r>
  <r>
    <n v="44312892340"/>
    <n v="59"/>
    <d v="2034-08-15T00:00:00"/>
    <s v=""/>
    <x v="2"/>
    <x v="0"/>
  </r>
  <r>
    <n v="33775388156"/>
    <n v="67"/>
    <d v="2034-08-15T00:00:00"/>
    <s v=""/>
    <x v="2"/>
    <x v="0"/>
  </r>
  <r>
    <n v="89593877645"/>
    <n v="77"/>
    <d v="2034-08-15T00:00:00"/>
    <d v="2034-08-26T00:00:00"/>
    <x v="2"/>
    <x v="4"/>
  </r>
  <r>
    <n v="49544418034"/>
    <n v="84"/>
    <d v="2034-08-15T00:00:00"/>
    <d v="2034-12-05T00:00:00"/>
    <x v="2"/>
    <x v="7"/>
  </r>
  <r>
    <n v="51343210002"/>
    <n v="97"/>
    <d v="2034-08-15T00:00:00"/>
    <d v="2034-08-24T00:00:00"/>
    <x v="2"/>
    <x v="4"/>
  </r>
  <r>
    <n v="89291518736"/>
    <n v="165"/>
    <d v="2034-08-15T00:00:00"/>
    <s v=""/>
    <x v="2"/>
    <x v="0"/>
  </r>
  <r>
    <n v="11840077812"/>
    <n v="165"/>
    <d v="2034-08-15T00:00:00"/>
    <s v=""/>
    <x v="2"/>
    <x v="0"/>
  </r>
  <r>
    <n v="20782426453"/>
    <n v="233"/>
    <d v="2034-08-15T00:00:00"/>
    <s v=""/>
    <x v="2"/>
    <x v="0"/>
  </r>
  <r>
    <n v="83211368115"/>
    <n v="241"/>
    <d v="2034-08-15T00:00:00"/>
    <d v="2034-10-27T00:00:00"/>
    <x v="2"/>
    <x v="5"/>
  </r>
  <r>
    <n v="15182677184"/>
    <n v="246"/>
    <d v="2034-08-15T00:00:00"/>
    <s v=""/>
    <x v="2"/>
    <x v="0"/>
  </r>
  <r>
    <n v="61620877315"/>
    <n v="254"/>
    <d v="2034-08-15T00:00:00"/>
    <s v=""/>
    <x v="2"/>
    <x v="0"/>
  </r>
  <r>
    <n v="25227024838"/>
    <n v="300"/>
    <d v="2034-08-15T00:00:00"/>
    <s v=""/>
    <x v="2"/>
    <x v="0"/>
  </r>
  <r>
    <n v="80513600382"/>
    <n v="304"/>
    <d v="2034-08-15T00:00:00"/>
    <s v=""/>
    <x v="2"/>
    <x v="0"/>
  </r>
  <r>
    <n v="25931979716"/>
    <n v="313"/>
    <d v="2034-08-15T00:00:00"/>
    <d v="2034-09-25T00:00:00"/>
    <x v="2"/>
    <x v="3"/>
  </r>
  <r>
    <n v="20742136191"/>
    <n v="323"/>
    <d v="2034-08-15T00:00:00"/>
    <s v=""/>
    <x v="2"/>
    <x v="0"/>
  </r>
  <r>
    <n v="26679816806"/>
    <n v="10"/>
    <d v="2034-08-16T00:00:00"/>
    <s v=""/>
    <x v="2"/>
    <x v="0"/>
  </r>
  <r>
    <n v="43525130372"/>
    <n v="14"/>
    <d v="2034-08-16T00:00:00"/>
    <s v=""/>
    <x v="2"/>
    <x v="0"/>
  </r>
  <r>
    <n v="65703755003"/>
    <n v="34"/>
    <d v="2034-08-16T00:00:00"/>
    <d v="2034-12-11T00:00:00"/>
    <x v="2"/>
    <x v="7"/>
  </r>
  <r>
    <n v="64097036240"/>
    <n v="71"/>
    <d v="2034-08-16T00:00:00"/>
    <s v=""/>
    <x v="2"/>
    <x v="0"/>
  </r>
  <r>
    <n v="30058404113"/>
    <n v="84"/>
    <d v="2034-08-16T00:00:00"/>
    <s v=""/>
    <x v="2"/>
    <x v="0"/>
  </r>
  <r>
    <n v="95411277511"/>
    <n v="92"/>
    <d v="2034-08-16T00:00:00"/>
    <d v="2034-11-12T00:00:00"/>
    <x v="2"/>
    <x v="6"/>
  </r>
  <r>
    <n v="61619947035"/>
    <n v="96"/>
    <d v="2034-08-16T00:00:00"/>
    <s v=""/>
    <x v="2"/>
    <x v="0"/>
  </r>
  <r>
    <n v="35723535549"/>
    <n v="107"/>
    <d v="2034-08-16T00:00:00"/>
    <s v=""/>
    <x v="2"/>
    <x v="0"/>
  </r>
  <r>
    <n v="35872395570"/>
    <n v="116"/>
    <d v="2034-08-16T00:00:00"/>
    <s v=""/>
    <x v="2"/>
    <x v="0"/>
  </r>
  <r>
    <n v="69588972051"/>
    <n v="117"/>
    <d v="2034-08-16T00:00:00"/>
    <d v="2034-09-15T00:00:00"/>
    <x v="2"/>
    <x v="3"/>
  </r>
  <r>
    <n v="79557331093"/>
    <n v="150"/>
    <d v="2034-08-16T00:00:00"/>
    <s v=""/>
    <x v="2"/>
    <x v="0"/>
  </r>
  <r>
    <n v="85490112021"/>
    <n v="150"/>
    <d v="2034-08-16T00:00:00"/>
    <s v=""/>
    <x v="2"/>
    <x v="0"/>
  </r>
  <r>
    <n v="27195582973"/>
    <n v="153"/>
    <d v="2034-08-16T00:00:00"/>
    <d v="2034-10-13T00:00:00"/>
    <x v="2"/>
    <x v="5"/>
  </r>
  <r>
    <n v="29151595583"/>
    <n v="164"/>
    <d v="2034-08-16T00:00:00"/>
    <s v=""/>
    <x v="2"/>
    <x v="0"/>
  </r>
  <r>
    <n v="93610280949"/>
    <n v="170"/>
    <d v="2034-08-16T00:00:00"/>
    <s v=""/>
    <x v="2"/>
    <x v="0"/>
  </r>
  <r>
    <n v="52160336050"/>
    <n v="175"/>
    <d v="2034-08-16T00:00:00"/>
    <s v=""/>
    <x v="2"/>
    <x v="0"/>
  </r>
  <r>
    <n v="99030425279"/>
    <n v="198"/>
    <d v="2034-08-16T00:00:00"/>
    <m/>
    <x v="2"/>
    <x v="0"/>
  </r>
  <r>
    <n v="43394252865"/>
    <n v="201"/>
    <d v="2034-08-16T00:00:00"/>
    <d v="2034-09-11T00:00:00"/>
    <x v="2"/>
    <x v="3"/>
  </r>
  <r>
    <n v="81307194086"/>
    <n v="205"/>
    <d v="2034-08-16T00:00:00"/>
    <s v=""/>
    <x v="2"/>
    <x v="0"/>
  </r>
  <r>
    <n v="95877988309"/>
    <n v="229"/>
    <d v="2034-08-16T00:00:00"/>
    <s v=""/>
    <x v="2"/>
    <x v="0"/>
  </r>
  <r>
    <n v="33490749940"/>
    <n v="329"/>
    <d v="2034-08-16T00:00:00"/>
    <m/>
    <x v="2"/>
    <x v="0"/>
  </r>
  <r>
    <n v="52731712412"/>
    <n v="9"/>
    <d v="2034-08-17T00:00:00"/>
    <s v=""/>
    <x v="2"/>
    <x v="0"/>
  </r>
  <r>
    <n v="21112848134"/>
    <n v="22"/>
    <d v="2034-08-17T00:00:00"/>
    <s v=""/>
    <x v="2"/>
    <x v="0"/>
  </r>
  <r>
    <n v="58220392556"/>
    <n v="24"/>
    <d v="2034-08-17T00:00:00"/>
    <d v="2034-12-04T00:00:00"/>
    <x v="2"/>
    <x v="7"/>
  </r>
  <r>
    <n v="37466989845"/>
    <n v="58"/>
    <d v="2034-08-17T00:00:00"/>
    <d v="2034-12-07T00:00:00"/>
    <x v="2"/>
    <x v="7"/>
  </r>
  <r>
    <n v="56073590346"/>
    <n v="89"/>
    <d v="2034-08-17T00:00:00"/>
    <s v=""/>
    <x v="2"/>
    <x v="0"/>
  </r>
  <r>
    <n v="79515182961"/>
    <n v="94"/>
    <d v="2034-08-17T00:00:00"/>
    <m/>
    <x v="2"/>
    <x v="0"/>
  </r>
  <r>
    <n v="51672648963"/>
    <n v="97"/>
    <d v="2034-08-17T00:00:00"/>
    <m/>
    <x v="2"/>
    <x v="0"/>
  </r>
  <r>
    <n v="24323484962"/>
    <n v="99"/>
    <d v="2034-08-17T00:00:00"/>
    <s v=""/>
    <x v="2"/>
    <x v="0"/>
  </r>
  <r>
    <n v="76192602983"/>
    <n v="103"/>
    <d v="2034-08-17T00:00:00"/>
    <s v=""/>
    <x v="2"/>
    <x v="0"/>
  </r>
  <r>
    <n v="90853673757"/>
    <n v="109"/>
    <d v="2034-08-17T00:00:00"/>
    <s v=""/>
    <x v="2"/>
    <x v="0"/>
  </r>
  <r>
    <n v="77109061500"/>
    <n v="168"/>
    <d v="2034-08-17T00:00:00"/>
    <s v=""/>
    <x v="2"/>
    <x v="0"/>
  </r>
  <r>
    <n v="50495431113"/>
    <n v="196"/>
    <d v="2034-08-17T00:00:00"/>
    <s v=""/>
    <x v="2"/>
    <x v="0"/>
  </r>
  <r>
    <n v="45412331482"/>
    <n v="203"/>
    <d v="2034-08-17T00:00:00"/>
    <s v=""/>
    <x v="2"/>
    <x v="0"/>
  </r>
  <r>
    <n v="49356982495"/>
    <n v="234"/>
    <d v="2034-08-17T00:00:00"/>
    <s v=""/>
    <x v="2"/>
    <x v="0"/>
  </r>
  <r>
    <n v="81041044370"/>
    <n v="235"/>
    <d v="2034-08-17T00:00:00"/>
    <d v="2034-11-04T00:00:00"/>
    <x v="2"/>
    <x v="6"/>
  </r>
  <r>
    <n v="62423950619"/>
    <n v="238"/>
    <d v="2034-08-17T00:00:00"/>
    <s v=""/>
    <x v="2"/>
    <x v="0"/>
  </r>
  <r>
    <n v="94982832301"/>
    <n v="244"/>
    <d v="2034-08-17T00:00:00"/>
    <s v=""/>
    <x v="2"/>
    <x v="0"/>
  </r>
  <r>
    <n v="87282161384"/>
    <n v="252"/>
    <d v="2034-08-17T00:00:00"/>
    <s v=""/>
    <x v="2"/>
    <x v="0"/>
  </r>
  <r>
    <n v="52502316429"/>
    <n v="253"/>
    <d v="2034-08-17T00:00:00"/>
    <s v=""/>
    <x v="2"/>
    <x v="0"/>
  </r>
  <r>
    <n v="72736582305"/>
    <n v="276"/>
    <d v="2034-08-17T00:00:00"/>
    <s v=""/>
    <x v="2"/>
    <x v="0"/>
  </r>
  <r>
    <n v="92703422800"/>
    <n v="293"/>
    <d v="2034-08-17T00:00:00"/>
    <s v=""/>
    <x v="2"/>
    <x v="0"/>
  </r>
  <r>
    <n v="34263668827"/>
    <n v="302"/>
    <d v="2034-08-17T00:00:00"/>
    <s v=""/>
    <x v="2"/>
    <x v="0"/>
  </r>
  <r>
    <n v="30285813485"/>
    <n v="320"/>
    <d v="2034-08-17T00:00:00"/>
    <s v=""/>
    <x v="2"/>
    <x v="0"/>
  </r>
  <r>
    <n v="36523520055"/>
    <n v="326"/>
    <d v="2034-08-17T00:00:00"/>
    <s v=""/>
    <x v="2"/>
    <x v="0"/>
  </r>
  <r>
    <n v="98948017834"/>
    <n v="326"/>
    <d v="2034-08-17T00:00:00"/>
    <d v="2034-11-05T00:00:00"/>
    <x v="2"/>
    <x v="6"/>
  </r>
  <r>
    <n v="74730872469"/>
    <n v="31"/>
    <d v="2034-08-18T00:00:00"/>
    <d v="2034-12-14T00:00:00"/>
    <x v="2"/>
    <x v="7"/>
  </r>
  <r>
    <n v="29583650585"/>
    <n v="36"/>
    <d v="2034-08-18T00:00:00"/>
    <d v="2034-12-04T00:00:00"/>
    <x v="2"/>
    <x v="7"/>
  </r>
  <r>
    <n v="65815515862"/>
    <n v="37"/>
    <d v="2034-08-18T00:00:00"/>
    <s v=""/>
    <x v="2"/>
    <x v="0"/>
  </r>
  <r>
    <n v="37107090388"/>
    <n v="61"/>
    <d v="2034-08-18T00:00:00"/>
    <s v=""/>
    <x v="2"/>
    <x v="0"/>
  </r>
  <r>
    <n v="53372617574"/>
    <n v="70"/>
    <d v="2034-08-18T00:00:00"/>
    <s v=""/>
    <x v="2"/>
    <x v="0"/>
  </r>
  <r>
    <n v="96323551787"/>
    <n v="73"/>
    <d v="2034-08-18T00:00:00"/>
    <s v=""/>
    <x v="2"/>
    <x v="0"/>
  </r>
  <r>
    <n v="95918220378"/>
    <n v="90"/>
    <d v="2034-08-18T00:00:00"/>
    <d v="2034-10-29T00:00:00"/>
    <x v="2"/>
    <x v="5"/>
  </r>
  <r>
    <n v="51166213884"/>
    <n v="96"/>
    <d v="2034-08-18T00:00:00"/>
    <s v=""/>
    <x v="2"/>
    <x v="0"/>
  </r>
  <r>
    <n v="71632987496"/>
    <n v="108"/>
    <d v="2034-08-18T00:00:00"/>
    <d v="2034-09-14T00:00:00"/>
    <x v="2"/>
    <x v="3"/>
  </r>
  <r>
    <n v="70873577141"/>
    <n v="111"/>
    <d v="2034-08-18T00:00:00"/>
    <d v="2034-09-02T00:00:00"/>
    <x v="2"/>
    <x v="3"/>
  </r>
  <r>
    <n v="98330573270"/>
    <n v="113"/>
    <d v="2034-08-18T00:00:00"/>
    <s v=""/>
    <x v="2"/>
    <x v="0"/>
  </r>
  <r>
    <n v="36688024134"/>
    <n v="117"/>
    <d v="2034-08-18T00:00:00"/>
    <m/>
    <x v="2"/>
    <x v="0"/>
  </r>
  <r>
    <n v="27980271502"/>
    <n v="150"/>
    <d v="2034-08-18T00:00:00"/>
    <d v="2034-11-23T00:00:00"/>
    <x v="2"/>
    <x v="6"/>
  </r>
  <r>
    <n v="97186913070"/>
    <n v="158"/>
    <d v="2034-08-18T00:00:00"/>
    <s v=""/>
    <x v="2"/>
    <x v="0"/>
  </r>
  <r>
    <n v="72299635350"/>
    <n v="161"/>
    <d v="2034-08-18T00:00:00"/>
    <s v=""/>
    <x v="2"/>
    <x v="0"/>
  </r>
  <r>
    <n v="32801292282"/>
    <n v="210"/>
    <d v="2034-08-18T00:00:00"/>
    <d v="2034-11-24T00:00:00"/>
    <x v="2"/>
    <x v="6"/>
  </r>
  <r>
    <n v="67959414174"/>
    <n v="229"/>
    <d v="2034-08-18T00:00:00"/>
    <d v="2034-09-24T00:00:00"/>
    <x v="2"/>
    <x v="3"/>
  </r>
  <r>
    <n v="82664822830"/>
    <n v="254"/>
    <d v="2034-08-18T00:00:00"/>
    <m/>
    <x v="2"/>
    <x v="0"/>
  </r>
  <r>
    <n v="99425591347"/>
    <n v="276"/>
    <d v="2034-08-18T00:00:00"/>
    <d v="2034-10-29T00:00:00"/>
    <x v="2"/>
    <x v="5"/>
  </r>
  <r>
    <n v="97386097994"/>
    <n v="286"/>
    <d v="2034-08-18T00:00:00"/>
    <s v=""/>
    <x v="2"/>
    <x v="0"/>
  </r>
  <r>
    <n v="57208653195"/>
    <n v="288"/>
    <d v="2034-08-18T00:00:00"/>
    <s v=""/>
    <x v="2"/>
    <x v="0"/>
  </r>
  <r>
    <n v="56481695595"/>
    <n v="289"/>
    <d v="2034-08-18T00:00:00"/>
    <s v=""/>
    <x v="2"/>
    <x v="0"/>
  </r>
  <r>
    <n v="54768019285"/>
    <n v="324"/>
    <d v="2034-08-18T00:00:00"/>
    <d v="2034-10-12T00:00:00"/>
    <x v="2"/>
    <x v="5"/>
  </r>
  <r>
    <n v="13640455725"/>
    <n v="14"/>
    <d v="2034-08-19T00:00:00"/>
    <s v=""/>
    <x v="2"/>
    <x v="0"/>
  </r>
  <r>
    <n v="95222989933"/>
    <n v="24"/>
    <d v="2034-08-19T00:00:00"/>
    <s v=""/>
    <x v="2"/>
    <x v="0"/>
  </r>
  <r>
    <n v="89495622312"/>
    <n v="28"/>
    <d v="2034-08-19T00:00:00"/>
    <s v=""/>
    <x v="2"/>
    <x v="0"/>
  </r>
  <r>
    <n v="47149499414"/>
    <n v="48"/>
    <d v="2034-08-19T00:00:00"/>
    <s v=""/>
    <x v="2"/>
    <x v="0"/>
  </r>
  <r>
    <n v="60371158253"/>
    <n v="52"/>
    <d v="2034-08-19T00:00:00"/>
    <s v=""/>
    <x v="2"/>
    <x v="0"/>
  </r>
  <r>
    <n v="96851450314"/>
    <n v="68"/>
    <d v="2034-08-19T00:00:00"/>
    <s v=""/>
    <x v="2"/>
    <x v="0"/>
  </r>
  <r>
    <n v="74657281615"/>
    <n v="90"/>
    <d v="2034-08-19T00:00:00"/>
    <m/>
    <x v="2"/>
    <x v="0"/>
  </r>
  <r>
    <n v="30657026834"/>
    <n v="96"/>
    <d v="2034-08-19T00:00:00"/>
    <d v="2034-10-21T00:00:00"/>
    <x v="2"/>
    <x v="5"/>
  </r>
  <r>
    <n v="48756259129"/>
    <n v="138"/>
    <d v="2034-08-19T00:00:00"/>
    <s v=""/>
    <x v="2"/>
    <x v="0"/>
  </r>
  <r>
    <n v="75368089957"/>
    <n v="141"/>
    <d v="2034-08-19T00:00:00"/>
    <s v=""/>
    <x v="2"/>
    <x v="0"/>
  </r>
  <r>
    <n v="94108612694"/>
    <n v="143"/>
    <d v="2034-08-19T00:00:00"/>
    <d v="2034-11-07T00:00:00"/>
    <x v="2"/>
    <x v="6"/>
  </r>
  <r>
    <n v="76194272752"/>
    <n v="151"/>
    <d v="2034-08-19T00:00:00"/>
    <s v=""/>
    <x v="2"/>
    <x v="0"/>
  </r>
  <r>
    <n v="98137973587"/>
    <n v="160"/>
    <d v="2034-08-19T00:00:00"/>
    <s v=""/>
    <x v="2"/>
    <x v="0"/>
  </r>
  <r>
    <n v="68832226801"/>
    <n v="160"/>
    <d v="2034-08-19T00:00:00"/>
    <s v=""/>
    <x v="2"/>
    <x v="0"/>
  </r>
  <r>
    <n v="46933717410"/>
    <n v="166"/>
    <d v="2034-08-19T00:00:00"/>
    <d v="2034-12-15T00:00:00"/>
    <x v="2"/>
    <x v="7"/>
  </r>
  <r>
    <n v="79066061623"/>
    <n v="182"/>
    <d v="2034-08-19T00:00:00"/>
    <s v=""/>
    <x v="2"/>
    <x v="0"/>
  </r>
  <r>
    <n v="58935440493"/>
    <n v="187"/>
    <d v="2034-08-19T00:00:00"/>
    <s v=""/>
    <x v="2"/>
    <x v="0"/>
  </r>
  <r>
    <n v="98806937668"/>
    <n v="206"/>
    <d v="2034-08-19T00:00:00"/>
    <s v=""/>
    <x v="2"/>
    <x v="0"/>
  </r>
  <r>
    <n v="57559605684"/>
    <n v="209"/>
    <d v="2034-08-19T00:00:00"/>
    <s v=""/>
    <x v="2"/>
    <x v="0"/>
  </r>
  <r>
    <n v="73243724003"/>
    <n v="225"/>
    <d v="2034-08-19T00:00:00"/>
    <s v=""/>
    <x v="2"/>
    <x v="0"/>
  </r>
  <r>
    <n v="98287829588"/>
    <n v="259"/>
    <d v="2034-08-19T00:00:00"/>
    <s v=""/>
    <x v="2"/>
    <x v="0"/>
  </r>
  <r>
    <n v="83234967341"/>
    <n v="262"/>
    <d v="2034-08-19T00:00:00"/>
    <s v=""/>
    <x v="2"/>
    <x v="0"/>
  </r>
  <r>
    <n v="12253436966"/>
    <n v="282"/>
    <d v="2034-08-19T00:00:00"/>
    <d v="2034-09-23T00:00:00"/>
    <x v="2"/>
    <x v="3"/>
  </r>
  <r>
    <n v="46622353825"/>
    <n v="289"/>
    <d v="2034-08-19T00:00:00"/>
    <s v=""/>
    <x v="2"/>
    <x v="0"/>
  </r>
  <r>
    <n v="76668210512"/>
    <n v="292"/>
    <d v="2034-08-19T00:00:00"/>
    <d v="2034-11-01T00:00:00"/>
    <x v="2"/>
    <x v="6"/>
  </r>
  <r>
    <n v="38675550074"/>
    <n v="298"/>
    <d v="2034-08-19T00:00:00"/>
    <d v="2034-09-28T00:00:00"/>
    <x v="2"/>
    <x v="3"/>
  </r>
  <r>
    <n v="24343798699"/>
    <n v="299"/>
    <d v="2034-08-19T00:00:00"/>
    <s v=""/>
    <x v="2"/>
    <x v="0"/>
  </r>
  <r>
    <n v="39551670088"/>
    <n v="305"/>
    <d v="2034-08-19T00:00:00"/>
    <s v=""/>
    <x v="2"/>
    <x v="0"/>
  </r>
  <r>
    <n v="11521116332"/>
    <n v="308"/>
    <d v="2034-08-19T00:00:00"/>
    <m/>
    <x v="2"/>
    <x v="0"/>
  </r>
  <r>
    <n v="20628507133"/>
    <n v="327"/>
    <d v="2034-08-19T00:00:00"/>
    <d v="2034-12-06T00:00:00"/>
    <x v="2"/>
    <x v="7"/>
  </r>
  <r>
    <n v="33356560548"/>
    <n v="327"/>
    <d v="2034-08-19T00:00:00"/>
    <d v="2034-09-21T00:00:00"/>
    <x v="2"/>
    <x v="3"/>
  </r>
  <r>
    <n v="55852176677"/>
    <n v="8"/>
    <d v="2034-08-20T00:00:00"/>
    <m/>
    <x v="2"/>
    <x v="0"/>
  </r>
  <r>
    <n v="54565176914"/>
    <n v="13"/>
    <d v="2034-08-20T00:00:00"/>
    <s v=""/>
    <x v="2"/>
    <x v="0"/>
  </r>
  <r>
    <n v="46615194903"/>
    <n v="30"/>
    <d v="2034-08-20T00:00:00"/>
    <s v=""/>
    <x v="2"/>
    <x v="0"/>
  </r>
  <r>
    <n v="25272231377"/>
    <n v="67"/>
    <d v="2034-08-20T00:00:00"/>
    <s v=""/>
    <x v="2"/>
    <x v="0"/>
  </r>
  <r>
    <n v="95079254038"/>
    <n v="102"/>
    <d v="2034-08-20T00:00:00"/>
    <s v=""/>
    <x v="2"/>
    <x v="0"/>
  </r>
  <r>
    <n v="53153251780"/>
    <n v="112"/>
    <d v="2034-08-20T00:00:00"/>
    <s v=""/>
    <x v="2"/>
    <x v="0"/>
  </r>
  <r>
    <n v="28381639640"/>
    <n v="116"/>
    <d v="2034-08-20T00:00:00"/>
    <s v=""/>
    <x v="2"/>
    <x v="0"/>
  </r>
  <r>
    <n v="36032283326"/>
    <n v="121"/>
    <d v="2034-08-20T00:00:00"/>
    <d v="2034-08-24T00:00:00"/>
    <x v="2"/>
    <x v="4"/>
  </r>
  <r>
    <n v="24107470218"/>
    <n v="124"/>
    <d v="2034-08-20T00:00:00"/>
    <s v=""/>
    <x v="2"/>
    <x v="0"/>
  </r>
  <r>
    <n v="51625412662"/>
    <n v="124"/>
    <d v="2034-08-20T00:00:00"/>
    <d v="2034-10-09T00:00:00"/>
    <x v="2"/>
    <x v="5"/>
  </r>
  <r>
    <n v="28809433892"/>
    <n v="128"/>
    <d v="2034-08-20T00:00:00"/>
    <d v="2034-12-06T00:00:00"/>
    <x v="2"/>
    <x v="7"/>
  </r>
  <r>
    <n v="73991346705"/>
    <n v="133"/>
    <d v="2034-08-20T00:00:00"/>
    <d v="2034-10-12T00:00:00"/>
    <x v="2"/>
    <x v="5"/>
  </r>
  <r>
    <n v="28916070337"/>
    <n v="136"/>
    <d v="2034-08-20T00:00:00"/>
    <s v=""/>
    <x v="2"/>
    <x v="0"/>
  </r>
  <r>
    <n v="47056129089"/>
    <n v="143"/>
    <d v="2034-08-20T00:00:00"/>
    <d v="2034-09-15T00:00:00"/>
    <x v="2"/>
    <x v="3"/>
  </r>
  <r>
    <n v="16379209383"/>
    <n v="169"/>
    <d v="2034-08-20T00:00:00"/>
    <s v=""/>
    <x v="2"/>
    <x v="0"/>
  </r>
  <r>
    <n v="67232530546"/>
    <n v="192"/>
    <d v="2034-08-20T00:00:00"/>
    <s v=""/>
    <x v="2"/>
    <x v="0"/>
  </r>
  <r>
    <n v="56463247638"/>
    <n v="204"/>
    <d v="2034-08-20T00:00:00"/>
    <s v=""/>
    <x v="2"/>
    <x v="0"/>
  </r>
  <r>
    <n v="93744129785"/>
    <n v="213"/>
    <d v="2034-08-20T00:00:00"/>
    <s v=""/>
    <x v="2"/>
    <x v="0"/>
  </r>
  <r>
    <n v="36553812196"/>
    <n v="235"/>
    <d v="2034-08-20T00:00:00"/>
    <m/>
    <x v="2"/>
    <x v="0"/>
  </r>
  <r>
    <n v="78153828007"/>
    <n v="248"/>
    <d v="2034-08-20T00:00:00"/>
    <s v=""/>
    <x v="2"/>
    <x v="0"/>
  </r>
  <r>
    <n v="74944760775"/>
    <n v="256"/>
    <d v="2034-08-20T00:00:00"/>
    <s v=""/>
    <x v="2"/>
    <x v="0"/>
  </r>
  <r>
    <n v="23138889411"/>
    <n v="271"/>
    <d v="2034-08-20T00:00:00"/>
    <s v=""/>
    <x v="2"/>
    <x v="0"/>
  </r>
  <r>
    <n v="76670615335"/>
    <n v="273"/>
    <d v="2034-08-20T00:00:00"/>
    <s v=""/>
    <x v="2"/>
    <x v="0"/>
  </r>
  <r>
    <n v="11124873907"/>
    <n v="287"/>
    <d v="2034-08-20T00:00:00"/>
    <s v=""/>
    <x v="2"/>
    <x v="0"/>
  </r>
  <r>
    <n v="29388830387"/>
    <n v="291"/>
    <d v="2034-08-20T00:00:00"/>
    <s v=""/>
    <x v="2"/>
    <x v="0"/>
  </r>
  <r>
    <n v="52078632720"/>
    <n v="297"/>
    <d v="2034-08-20T00:00:00"/>
    <s v=""/>
    <x v="2"/>
    <x v="0"/>
  </r>
  <r>
    <n v="16422889578"/>
    <n v="21"/>
    <d v="2034-08-21T00:00:00"/>
    <s v=""/>
    <x v="2"/>
    <x v="0"/>
  </r>
  <r>
    <n v="46082208801"/>
    <n v="29"/>
    <d v="2034-08-21T00:00:00"/>
    <s v=""/>
    <x v="2"/>
    <x v="0"/>
  </r>
  <r>
    <n v="65075505934"/>
    <n v="30"/>
    <d v="2034-08-21T00:00:00"/>
    <s v=""/>
    <x v="2"/>
    <x v="0"/>
  </r>
  <r>
    <n v="96547994657"/>
    <n v="38"/>
    <d v="2034-08-21T00:00:00"/>
    <s v=""/>
    <x v="2"/>
    <x v="0"/>
  </r>
  <r>
    <n v="54880186182"/>
    <n v="73"/>
    <d v="2034-08-21T00:00:00"/>
    <d v="2034-10-22T00:00:00"/>
    <x v="2"/>
    <x v="5"/>
  </r>
  <r>
    <n v="22205939337"/>
    <n v="90"/>
    <d v="2034-08-21T00:00:00"/>
    <s v=""/>
    <x v="2"/>
    <x v="0"/>
  </r>
  <r>
    <n v="73622285068"/>
    <n v="90"/>
    <d v="2034-08-21T00:00:00"/>
    <d v="2034-12-10T00:00:00"/>
    <x v="2"/>
    <x v="7"/>
  </r>
  <r>
    <n v="20997327207"/>
    <n v="113"/>
    <d v="2034-08-21T00:00:00"/>
    <d v="2034-11-29T00:00:00"/>
    <x v="2"/>
    <x v="6"/>
  </r>
  <r>
    <n v="97809732078"/>
    <n v="129"/>
    <d v="2034-08-21T00:00:00"/>
    <d v="2034-09-29T00:00:00"/>
    <x v="2"/>
    <x v="3"/>
  </r>
  <r>
    <n v="33904365619"/>
    <n v="136"/>
    <d v="2034-08-21T00:00:00"/>
    <s v=""/>
    <x v="2"/>
    <x v="0"/>
  </r>
  <r>
    <n v="43925108238"/>
    <n v="178"/>
    <d v="2034-08-21T00:00:00"/>
    <s v=""/>
    <x v="2"/>
    <x v="0"/>
  </r>
  <r>
    <n v="14820302412"/>
    <n v="184"/>
    <d v="2034-08-21T00:00:00"/>
    <s v=""/>
    <x v="2"/>
    <x v="0"/>
  </r>
  <r>
    <n v="95706733452"/>
    <n v="188"/>
    <d v="2034-08-21T00:00:00"/>
    <d v="2034-11-19T00:00:00"/>
    <x v="2"/>
    <x v="6"/>
  </r>
  <r>
    <n v="82954917836"/>
    <n v="196"/>
    <d v="2034-08-21T00:00:00"/>
    <s v=""/>
    <x v="2"/>
    <x v="0"/>
  </r>
  <r>
    <n v="12703278401"/>
    <n v="216"/>
    <d v="2034-08-21T00:00:00"/>
    <s v=""/>
    <x v="2"/>
    <x v="0"/>
  </r>
  <r>
    <n v="93033369991"/>
    <n v="217"/>
    <d v="2034-08-21T00:00:00"/>
    <d v="2034-10-20T00:00:00"/>
    <x v="2"/>
    <x v="5"/>
  </r>
  <r>
    <n v="23913032188"/>
    <n v="239"/>
    <d v="2034-08-21T00:00:00"/>
    <s v=""/>
    <x v="2"/>
    <x v="0"/>
  </r>
  <r>
    <n v="94647370349"/>
    <n v="247"/>
    <d v="2034-08-21T00:00:00"/>
    <s v=""/>
    <x v="2"/>
    <x v="0"/>
  </r>
  <r>
    <n v="27356930771"/>
    <n v="247"/>
    <d v="2034-08-21T00:00:00"/>
    <s v=""/>
    <x v="2"/>
    <x v="0"/>
  </r>
  <r>
    <n v="73978794721"/>
    <n v="258"/>
    <d v="2034-08-21T00:00:00"/>
    <s v=""/>
    <x v="2"/>
    <x v="0"/>
  </r>
  <r>
    <n v="85750991960"/>
    <n v="282"/>
    <d v="2034-08-21T00:00:00"/>
    <s v=""/>
    <x v="2"/>
    <x v="0"/>
  </r>
  <r>
    <n v="47253157745"/>
    <n v="287"/>
    <d v="2034-08-21T00:00:00"/>
    <s v=""/>
    <x v="2"/>
    <x v="0"/>
  </r>
  <r>
    <n v="45393113332"/>
    <n v="299"/>
    <d v="2034-08-21T00:00:00"/>
    <s v=""/>
    <x v="2"/>
    <x v="0"/>
  </r>
  <r>
    <n v="98667553292"/>
    <n v="316"/>
    <d v="2034-08-21T00:00:00"/>
    <s v=""/>
    <x v="2"/>
    <x v="0"/>
  </r>
  <r>
    <n v="87609993552"/>
    <n v="317"/>
    <d v="2034-08-21T00:00:00"/>
    <d v="2034-12-04T00:00:00"/>
    <x v="2"/>
    <x v="7"/>
  </r>
  <r>
    <n v="26398082603"/>
    <n v="322"/>
    <d v="2034-08-21T00:00:00"/>
    <s v=""/>
    <x v="2"/>
    <x v="0"/>
  </r>
  <r>
    <n v="60661420512"/>
    <n v="322"/>
    <d v="2034-08-21T00:00:00"/>
    <d v="2034-12-19T00:00:00"/>
    <x v="2"/>
    <x v="7"/>
  </r>
  <r>
    <n v="43899334692"/>
    <n v="16"/>
    <d v="2034-08-22T00:00:00"/>
    <s v=""/>
    <x v="2"/>
    <x v="0"/>
  </r>
  <r>
    <n v="55863813957"/>
    <n v="26"/>
    <d v="2034-08-22T00:00:00"/>
    <s v=""/>
    <x v="2"/>
    <x v="0"/>
  </r>
  <r>
    <n v="90235948435"/>
    <n v="31"/>
    <d v="2034-08-22T00:00:00"/>
    <s v=""/>
    <x v="2"/>
    <x v="0"/>
  </r>
  <r>
    <n v="63593084914"/>
    <n v="33"/>
    <d v="2034-08-22T00:00:00"/>
    <s v=""/>
    <x v="2"/>
    <x v="0"/>
  </r>
  <r>
    <n v="23623224082"/>
    <n v="57"/>
    <d v="2034-08-22T00:00:00"/>
    <s v=""/>
    <x v="2"/>
    <x v="0"/>
  </r>
  <r>
    <n v="36591759011"/>
    <n v="65"/>
    <d v="2034-08-22T00:00:00"/>
    <s v=""/>
    <x v="2"/>
    <x v="0"/>
  </r>
  <r>
    <n v="76799900064"/>
    <n v="81"/>
    <d v="2034-08-22T00:00:00"/>
    <s v=""/>
    <x v="2"/>
    <x v="0"/>
  </r>
  <r>
    <n v="12858644842"/>
    <n v="117"/>
    <d v="2034-08-22T00:00:00"/>
    <s v=""/>
    <x v="2"/>
    <x v="0"/>
  </r>
  <r>
    <n v="72179296893"/>
    <n v="129"/>
    <d v="2034-08-22T00:00:00"/>
    <s v=""/>
    <x v="2"/>
    <x v="0"/>
  </r>
  <r>
    <n v="87789733412"/>
    <n v="136"/>
    <d v="2034-08-22T00:00:00"/>
    <s v=""/>
    <x v="2"/>
    <x v="0"/>
  </r>
  <r>
    <n v="16802531143"/>
    <n v="140"/>
    <d v="2034-08-22T00:00:00"/>
    <s v=""/>
    <x v="2"/>
    <x v="0"/>
  </r>
  <r>
    <n v="49749628417"/>
    <n v="158"/>
    <d v="2034-08-22T00:00:00"/>
    <s v=""/>
    <x v="2"/>
    <x v="0"/>
  </r>
  <r>
    <n v="26858440756"/>
    <n v="173"/>
    <d v="2034-08-22T00:00:00"/>
    <s v=""/>
    <x v="2"/>
    <x v="0"/>
  </r>
  <r>
    <n v="52314592599"/>
    <n v="184"/>
    <d v="2034-08-22T00:00:00"/>
    <s v=""/>
    <x v="2"/>
    <x v="0"/>
  </r>
  <r>
    <n v="95564924724"/>
    <n v="186"/>
    <d v="2034-08-22T00:00:00"/>
    <s v=""/>
    <x v="2"/>
    <x v="0"/>
  </r>
  <r>
    <n v="12013591314"/>
    <n v="226"/>
    <d v="2034-08-22T00:00:00"/>
    <s v=""/>
    <x v="2"/>
    <x v="0"/>
  </r>
  <r>
    <n v="65838017795"/>
    <n v="236"/>
    <d v="2034-08-22T00:00:00"/>
    <s v=""/>
    <x v="2"/>
    <x v="0"/>
  </r>
  <r>
    <n v="99623915295"/>
    <n v="245"/>
    <d v="2034-08-22T00:00:00"/>
    <s v=""/>
    <x v="2"/>
    <x v="0"/>
  </r>
  <r>
    <n v="32262346715"/>
    <n v="269"/>
    <d v="2034-08-22T00:00:00"/>
    <s v=""/>
    <x v="2"/>
    <x v="0"/>
  </r>
  <r>
    <n v="35857323733"/>
    <n v="291"/>
    <d v="2034-08-22T00:00:00"/>
    <s v=""/>
    <x v="2"/>
    <x v="0"/>
  </r>
  <r>
    <n v="54081661536"/>
    <n v="291"/>
    <d v="2034-08-22T00:00:00"/>
    <m/>
    <x v="2"/>
    <x v="0"/>
  </r>
  <r>
    <n v="61998582284"/>
    <n v="293"/>
    <d v="2034-08-22T00:00:00"/>
    <s v=""/>
    <x v="2"/>
    <x v="0"/>
  </r>
  <r>
    <n v="54558172132"/>
    <n v="297"/>
    <d v="2034-08-22T00:00:00"/>
    <m/>
    <x v="2"/>
    <x v="0"/>
  </r>
  <r>
    <n v="19210587905"/>
    <n v="322"/>
    <d v="2034-08-22T00:00:00"/>
    <s v=""/>
    <x v="2"/>
    <x v="0"/>
  </r>
  <r>
    <n v="57034742930"/>
    <n v="325"/>
    <d v="2034-08-22T00:00:00"/>
    <d v="2034-09-27T00:00:00"/>
    <x v="2"/>
    <x v="3"/>
  </r>
  <r>
    <n v="76992951778"/>
    <n v="329"/>
    <d v="2034-08-22T00:00:00"/>
    <s v=""/>
    <x v="2"/>
    <x v="0"/>
  </r>
  <r>
    <n v="26455410414"/>
    <n v="2"/>
    <d v="2034-08-23T00:00:00"/>
    <m/>
    <x v="2"/>
    <x v="0"/>
  </r>
  <r>
    <n v="90440917123"/>
    <n v="5"/>
    <d v="2034-08-23T00:00:00"/>
    <s v=""/>
    <x v="2"/>
    <x v="0"/>
  </r>
  <r>
    <n v="22974730929"/>
    <n v="45"/>
    <d v="2034-08-23T00:00:00"/>
    <m/>
    <x v="2"/>
    <x v="0"/>
  </r>
  <r>
    <n v="41010808494"/>
    <n v="69"/>
    <d v="2034-08-23T00:00:00"/>
    <s v=""/>
    <x v="2"/>
    <x v="0"/>
  </r>
  <r>
    <n v="16360964013"/>
    <n v="71"/>
    <d v="2034-08-23T00:00:00"/>
    <d v="2034-11-05T00:00:00"/>
    <x v="2"/>
    <x v="6"/>
  </r>
  <r>
    <n v="78361960244"/>
    <n v="84"/>
    <d v="2034-08-23T00:00:00"/>
    <s v=""/>
    <x v="2"/>
    <x v="0"/>
  </r>
  <r>
    <n v="42789258086"/>
    <n v="108"/>
    <d v="2034-08-23T00:00:00"/>
    <s v=""/>
    <x v="2"/>
    <x v="0"/>
  </r>
  <r>
    <n v="19234352163"/>
    <n v="128"/>
    <d v="2034-08-23T00:00:00"/>
    <m/>
    <x v="2"/>
    <x v="0"/>
  </r>
  <r>
    <n v="64824468586"/>
    <n v="130"/>
    <d v="2034-08-23T00:00:00"/>
    <s v=""/>
    <x v="2"/>
    <x v="0"/>
  </r>
  <r>
    <n v="65563690422"/>
    <n v="142"/>
    <d v="2034-08-23T00:00:00"/>
    <s v=""/>
    <x v="2"/>
    <x v="0"/>
  </r>
  <r>
    <n v="57157794621"/>
    <n v="149"/>
    <d v="2034-08-23T00:00:00"/>
    <s v=""/>
    <x v="2"/>
    <x v="0"/>
  </r>
  <r>
    <n v="87506553836"/>
    <n v="150"/>
    <d v="2034-08-23T00:00:00"/>
    <s v=""/>
    <x v="2"/>
    <x v="0"/>
  </r>
  <r>
    <n v="90615992497"/>
    <n v="159"/>
    <d v="2034-08-23T00:00:00"/>
    <d v="2034-10-01T00:00:00"/>
    <x v="2"/>
    <x v="5"/>
  </r>
  <r>
    <n v="70242299505"/>
    <n v="168"/>
    <d v="2034-08-23T00:00:00"/>
    <m/>
    <x v="2"/>
    <x v="0"/>
  </r>
  <r>
    <n v="57098645733"/>
    <n v="172"/>
    <d v="2034-08-23T00:00:00"/>
    <s v=""/>
    <x v="2"/>
    <x v="0"/>
  </r>
  <r>
    <n v="59675028926"/>
    <n v="173"/>
    <d v="2034-08-23T00:00:00"/>
    <s v=""/>
    <x v="2"/>
    <x v="0"/>
  </r>
  <r>
    <n v="33288395616"/>
    <n v="178"/>
    <d v="2034-08-23T00:00:00"/>
    <s v=""/>
    <x v="2"/>
    <x v="0"/>
  </r>
  <r>
    <n v="71316549009"/>
    <n v="209"/>
    <d v="2034-08-23T00:00:00"/>
    <s v=""/>
    <x v="2"/>
    <x v="0"/>
  </r>
  <r>
    <n v="25339743367"/>
    <n v="226"/>
    <d v="2034-08-23T00:00:00"/>
    <d v="2034-12-20T00:00:00"/>
    <x v="2"/>
    <x v="7"/>
  </r>
  <r>
    <n v="98513990668"/>
    <n v="242"/>
    <d v="2034-08-23T00:00:00"/>
    <s v=""/>
    <x v="2"/>
    <x v="0"/>
  </r>
  <r>
    <n v="93051478565"/>
    <n v="242"/>
    <d v="2034-08-23T00:00:00"/>
    <s v=""/>
    <x v="2"/>
    <x v="0"/>
  </r>
  <r>
    <n v="49070467726"/>
    <n v="257"/>
    <d v="2034-08-23T00:00:00"/>
    <s v=""/>
    <x v="2"/>
    <x v="0"/>
  </r>
  <r>
    <n v="49201455776"/>
    <n v="269"/>
    <d v="2034-08-23T00:00:00"/>
    <d v="2034-11-17T00:00:00"/>
    <x v="2"/>
    <x v="6"/>
  </r>
  <r>
    <n v="59121447122"/>
    <n v="279"/>
    <d v="2034-08-23T00:00:00"/>
    <d v="2034-09-19T00:00:00"/>
    <x v="2"/>
    <x v="3"/>
  </r>
  <r>
    <n v="79350262783"/>
    <n v="293"/>
    <d v="2034-08-23T00:00:00"/>
    <s v=""/>
    <x v="2"/>
    <x v="0"/>
  </r>
  <r>
    <n v="63022130558"/>
    <n v="294"/>
    <d v="2034-08-23T00:00:00"/>
    <s v=""/>
    <x v="2"/>
    <x v="0"/>
  </r>
  <r>
    <n v="63997597784"/>
    <n v="297"/>
    <d v="2034-08-23T00:00:00"/>
    <s v=""/>
    <x v="2"/>
    <x v="0"/>
  </r>
  <r>
    <n v="37959296971"/>
    <n v="317"/>
    <d v="2034-08-23T00:00:00"/>
    <s v=""/>
    <x v="2"/>
    <x v="0"/>
  </r>
  <r>
    <n v="11854454378"/>
    <n v="326"/>
    <d v="2034-08-23T00:00:00"/>
    <d v="2034-11-30T00:00:00"/>
    <x v="2"/>
    <x v="6"/>
  </r>
  <r>
    <n v="42706154808"/>
    <n v="328"/>
    <d v="2034-08-23T00:00:00"/>
    <s v=""/>
    <x v="2"/>
    <x v="0"/>
  </r>
  <r>
    <n v="81815529577"/>
    <n v="6"/>
    <d v="2034-08-24T00:00:00"/>
    <d v="2034-08-30T00:00:00"/>
    <x v="2"/>
    <x v="4"/>
  </r>
  <r>
    <n v="15183410718"/>
    <n v="13"/>
    <d v="2034-08-24T00:00:00"/>
    <s v=""/>
    <x v="2"/>
    <x v="0"/>
  </r>
  <r>
    <n v="18773954955"/>
    <n v="20"/>
    <d v="2034-08-24T00:00:00"/>
    <s v=""/>
    <x v="2"/>
    <x v="0"/>
  </r>
  <r>
    <n v="60953538195"/>
    <n v="27"/>
    <d v="2034-08-24T00:00:00"/>
    <s v=""/>
    <x v="2"/>
    <x v="0"/>
  </r>
  <r>
    <n v="26838082025"/>
    <n v="38"/>
    <d v="2034-08-24T00:00:00"/>
    <d v="2034-08-28T00:00:00"/>
    <x v="2"/>
    <x v="4"/>
  </r>
  <r>
    <n v="66328149594"/>
    <n v="55"/>
    <d v="2034-08-24T00:00:00"/>
    <s v=""/>
    <x v="2"/>
    <x v="0"/>
  </r>
  <r>
    <n v="69177441314"/>
    <n v="86"/>
    <d v="2034-08-24T00:00:00"/>
    <s v=""/>
    <x v="2"/>
    <x v="0"/>
  </r>
  <r>
    <n v="57443932108"/>
    <n v="101"/>
    <d v="2034-08-24T00:00:00"/>
    <m/>
    <x v="2"/>
    <x v="0"/>
  </r>
  <r>
    <n v="53643041351"/>
    <n v="121"/>
    <d v="2034-08-24T00:00:00"/>
    <d v="2034-10-17T00:00:00"/>
    <x v="2"/>
    <x v="5"/>
  </r>
  <r>
    <n v="14186843834"/>
    <n v="124"/>
    <d v="2034-08-24T00:00:00"/>
    <d v="2034-09-17T00:00:00"/>
    <x v="2"/>
    <x v="3"/>
  </r>
  <r>
    <n v="71129266281"/>
    <n v="126"/>
    <d v="2034-08-24T00:00:00"/>
    <s v=""/>
    <x v="2"/>
    <x v="0"/>
  </r>
  <r>
    <n v="65724146743"/>
    <n v="156"/>
    <d v="2034-08-24T00:00:00"/>
    <s v=""/>
    <x v="2"/>
    <x v="0"/>
  </r>
  <r>
    <n v="89536396863"/>
    <n v="194"/>
    <d v="2034-08-24T00:00:00"/>
    <s v=""/>
    <x v="2"/>
    <x v="0"/>
  </r>
  <r>
    <n v="79631748728"/>
    <n v="195"/>
    <d v="2034-08-24T00:00:00"/>
    <s v=""/>
    <x v="2"/>
    <x v="0"/>
  </r>
  <r>
    <n v="67907777309"/>
    <n v="202"/>
    <d v="2034-08-24T00:00:00"/>
    <s v=""/>
    <x v="2"/>
    <x v="0"/>
  </r>
  <r>
    <n v="98143411709"/>
    <n v="230"/>
    <d v="2034-08-24T00:00:00"/>
    <s v=""/>
    <x v="2"/>
    <x v="0"/>
  </r>
  <r>
    <n v="45328601215"/>
    <n v="235"/>
    <d v="2034-08-24T00:00:00"/>
    <s v=""/>
    <x v="2"/>
    <x v="0"/>
  </r>
  <r>
    <n v="61735381854"/>
    <n v="299"/>
    <d v="2034-08-24T00:00:00"/>
    <s v=""/>
    <x v="2"/>
    <x v="0"/>
  </r>
  <r>
    <n v="67474250340"/>
    <n v="311"/>
    <d v="2034-08-24T00:00:00"/>
    <s v=""/>
    <x v="2"/>
    <x v="0"/>
  </r>
  <r>
    <n v="63337970865"/>
    <n v="17"/>
    <d v="2034-08-25T00:00:00"/>
    <s v=""/>
    <x v="2"/>
    <x v="0"/>
  </r>
  <r>
    <n v="72317320702"/>
    <n v="25"/>
    <d v="2034-08-25T00:00:00"/>
    <s v=""/>
    <x v="2"/>
    <x v="0"/>
  </r>
  <r>
    <n v="27112294397"/>
    <n v="43"/>
    <d v="2034-08-25T00:00:00"/>
    <d v="2034-09-22T00:00:00"/>
    <x v="2"/>
    <x v="3"/>
  </r>
  <r>
    <n v="91018075816"/>
    <n v="55"/>
    <d v="2034-08-25T00:00:00"/>
    <d v="2034-10-12T00:00:00"/>
    <x v="2"/>
    <x v="5"/>
  </r>
  <r>
    <n v="22604586451"/>
    <n v="75"/>
    <d v="2034-08-25T00:00:00"/>
    <s v=""/>
    <x v="2"/>
    <x v="0"/>
  </r>
  <r>
    <n v="58500335201"/>
    <n v="77"/>
    <d v="2034-08-25T00:00:00"/>
    <d v="2034-09-20T00:00:00"/>
    <x v="2"/>
    <x v="3"/>
  </r>
  <r>
    <n v="81478912152"/>
    <n v="89"/>
    <d v="2034-08-25T00:00:00"/>
    <m/>
    <x v="2"/>
    <x v="0"/>
  </r>
  <r>
    <n v="79937334740"/>
    <n v="94"/>
    <d v="2034-08-25T00:00:00"/>
    <s v=""/>
    <x v="2"/>
    <x v="0"/>
  </r>
  <r>
    <n v="19120314528"/>
    <n v="118"/>
    <d v="2034-08-25T00:00:00"/>
    <s v=""/>
    <x v="2"/>
    <x v="0"/>
  </r>
  <r>
    <n v="95810519452"/>
    <n v="128"/>
    <d v="2034-08-25T00:00:00"/>
    <s v=""/>
    <x v="2"/>
    <x v="0"/>
  </r>
  <r>
    <n v="75886687471"/>
    <n v="140"/>
    <d v="2034-08-25T00:00:00"/>
    <s v=""/>
    <x v="2"/>
    <x v="0"/>
  </r>
  <r>
    <n v="25395981078"/>
    <n v="146"/>
    <d v="2034-08-25T00:00:00"/>
    <s v=""/>
    <x v="2"/>
    <x v="0"/>
  </r>
  <r>
    <n v="48575901190"/>
    <n v="154"/>
    <d v="2034-08-25T00:00:00"/>
    <s v=""/>
    <x v="2"/>
    <x v="0"/>
  </r>
  <r>
    <n v="60805239192"/>
    <n v="176"/>
    <d v="2034-08-25T00:00:00"/>
    <d v="2034-10-14T00:00:00"/>
    <x v="2"/>
    <x v="5"/>
  </r>
  <r>
    <n v="41810499860"/>
    <n v="179"/>
    <d v="2034-08-25T00:00:00"/>
    <s v=""/>
    <x v="2"/>
    <x v="0"/>
  </r>
  <r>
    <n v="47040885419"/>
    <n v="198"/>
    <d v="2034-08-25T00:00:00"/>
    <s v=""/>
    <x v="2"/>
    <x v="0"/>
  </r>
  <r>
    <n v="15802611698"/>
    <n v="207"/>
    <d v="2034-08-25T00:00:00"/>
    <d v="2034-11-25T00:00:00"/>
    <x v="2"/>
    <x v="6"/>
  </r>
  <r>
    <n v="88299237142"/>
    <n v="221"/>
    <d v="2034-08-25T00:00:00"/>
    <m/>
    <x v="2"/>
    <x v="0"/>
  </r>
  <r>
    <n v="76410873800"/>
    <n v="229"/>
    <d v="2034-08-25T00:00:00"/>
    <s v=""/>
    <x v="2"/>
    <x v="0"/>
  </r>
  <r>
    <n v="44058371467"/>
    <n v="255"/>
    <d v="2034-08-25T00:00:00"/>
    <s v=""/>
    <x v="2"/>
    <x v="0"/>
  </r>
  <r>
    <n v="74688087675"/>
    <n v="270"/>
    <d v="2034-08-25T00:00:00"/>
    <s v=""/>
    <x v="2"/>
    <x v="0"/>
  </r>
  <r>
    <n v="41748395533"/>
    <n v="285"/>
    <d v="2034-08-25T00:00:00"/>
    <s v=""/>
    <x v="2"/>
    <x v="0"/>
  </r>
  <r>
    <n v="20596247646"/>
    <n v="291"/>
    <d v="2034-08-25T00:00:00"/>
    <s v=""/>
    <x v="2"/>
    <x v="0"/>
  </r>
  <r>
    <n v="12436761371"/>
    <n v="291"/>
    <d v="2034-08-25T00:00:00"/>
    <s v=""/>
    <x v="2"/>
    <x v="0"/>
  </r>
  <r>
    <n v="95644530891"/>
    <n v="292"/>
    <d v="2034-08-25T00:00:00"/>
    <s v=""/>
    <x v="2"/>
    <x v="0"/>
  </r>
  <r>
    <n v="91250770751"/>
    <n v="303"/>
    <d v="2034-08-25T00:00:00"/>
    <s v=""/>
    <x v="2"/>
    <x v="0"/>
  </r>
  <r>
    <n v="93592790498"/>
    <n v="306"/>
    <d v="2034-08-25T00:00:00"/>
    <d v="2034-10-06T00:00:00"/>
    <x v="2"/>
    <x v="5"/>
  </r>
  <r>
    <n v="93315708484"/>
    <n v="7"/>
    <d v="2034-08-26T00:00:00"/>
    <m/>
    <x v="2"/>
    <x v="0"/>
  </r>
  <r>
    <n v="51094986170"/>
    <n v="39"/>
    <d v="2034-08-26T00:00:00"/>
    <d v="2034-11-21T00:00:00"/>
    <x v="2"/>
    <x v="6"/>
  </r>
  <r>
    <n v="39931689537"/>
    <n v="41"/>
    <d v="2034-08-26T00:00:00"/>
    <s v=""/>
    <x v="2"/>
    <x v="0"/>
  </r>
  <r>
    <n v="33263873833"/>
    <n v="50"/>
    <d v="2034-08-26T00:00:00"/>
    <s v=""/>
    <x v="2"/>
    <x v="0"/>
  </r>
  <r>
    <n v="59689353707"/>
    <n v="72"/>
    <d v="2034-08-26T00:00:00"/>
    <s v=""/>
    <x v="2"/>
    <x v="0"/>
  </r>
  <r>
    <n v="67529325895"/>
    <n v="75"/>
    <d v="2034-08-26T00:00:00"/>
    <d v="2034-09-13T00:00:00"/>
    <x v="2"/>
    <x v="3"/>
  </r>
  <r>
    <n v="24535307489"/>
    <n v="128"/>
    <d v="2034-08-26T00:00:00"/>
    <s v=""/>
    <x v="2"/>
    <x v="0"/>
  </r>
  <r>
    <n v="98860855548"/>
    <n v="134"/>
    <d v="2034-08-26T00:00:00"/>
    <s v=""/>
    <x v="2"/>
    <x v="0"/>
  </r>
  <r>
    <n v="49896240115"/>
    <n v="138"/>
    <d v="2034-08-26T00:00:00"/>
    <s v=""/>
    <x v="2"/>
    <x v="0"/>
  </r>
  <r>
    <n v="82513729358"/>
    <n v="142"/>
    <d v="2034-08-26T00:00:00"/>
    <s v=""/>
    <x v="2"/>
    <x v="0"/>
  </r>
  <r>
    <n v="88039992590"/>
    <n v="144"/>
    <d v="2034-08-26T00:00:00"/>
    <m/>
    <x v="2"/>
    <x v="0"/>
  </r>
  <r>
    <n v="20173197097"/>
    <n v="147"/>
    <d v="2034-08-26T00:00:00"/>
    <d v="2034-08-28T00:00:00"/>
    <x v="2"/>
    <x v="4"/>
  </r>
  <r>
    <n v="37329427289"/>
    <n v="158"/>
    <d v="2034-08-26T00:00:00"/>
    <s v=""/>
    <x v="2"/>
    <x v="0"/>
  </r>
  <r>
    <n v="74353646852"/>
    <n v="174"/>
    <d v="2034-08-26T00:00:00"/>
    <s v=""/>
    <x v="2"/>
    <x v="0"/>
  </r>
  <r>
    <n v="83047969475"/>
    <n v="191"/>
    <d v="2034-08-26T00:00:00"/>
    <s v=""/>
    <x v="2"/>
    <x v="0"/>
  </r>
  <r>
    <n v="80858079273"/>
    <n v="210"/>
    <d v="2034-08-26T00:00:00"/>
    <s v=""/>
    <x v="2"/>
    <x v="0"/>
  </r>
  <r>
    <n v="35225054772"/>
    <n v="221"/>
    <d v="2034-08-26T00:00:00"/>
    <d v="2034-12-21T00:00:00"/>
    <x v="2"/>
    <x v="7"/>
  </r>
  <r>
    <n v="15227636716"/>
    <n v="222"/>
    <d v="2034-08-26T00:00:00"/>
    <s v=""/>
    <x v="2"/>
    <x v="0"/>
  </r>
  <r>
    <n v="66623927747"/>
    <n v="234"/>
    <d v="2034-08-26T00:00:00"/>
    <s v=""/>
    <x v="2"/>
    <x v="0"/>
  </r>
  <r>
    <n v="85286548361"/>
    <n v="247"/>
    <d v="2034-08-26T00:00:00"/>
    <s v=""/>
    <x v="2"/>
    <x v="0"/>
  </r>
  <r>
    <n v="77926541238"/>
    <n v="250"/>
    <d v="2034-08-26T00:00:00"/>
    <d v="2034-10-24T00:00:00"/>
    <x v="2"/>
    <x v="5"/>
  </r>
  <r>
    <n v="36334303668"/>
    <n v="270"/>
    <d v="2034-08-26T00:00:00"/>
    <d v="2034-09-03T00:00:00"/>
    <x v="2"/>
    <x v="3"/>
  </r>
  <r>
    <n v="67411223449"/>
    <n v="274"/>
    <d v="2034-08-26T00:00:00"/>
    <s v=""/>
    <x v="2"/>
    <x v="0"/>
  </r>
  <r>
    <n v="66947619131"/>
    <n v="281"/>
    <d v="2034-08-26T00:00:00"/>
    <d v="2034-09-02T00:00:00"/>
    <x v="2"/>
    <x v="3"/>
  </r>
  <r>
    <n v="61843435077"/>
    <n v="291"/>
    <d v="2034-08-26T00:00:00"/>
    <d v="2034-11-24T00:00:00"/>
    <x v="2"/>
    <x v="6"/>
  </r>
  <r>
    <n v="91861851828"/>
    <n v="296"/>
    <d v="2034-08-26T00:00:00"/>
    <d v="2034-10-17T00:00:00"/>
    <x v="2"/>
    <x v="5"/>
  </r>
  <r>
    <n v="54073137368"/>
    <n v="319"/>
    <d v="2034-08-26T00:00:00"/>
    <m/>
    <x v="2"/>
    <x v="0"/>
  </r>
  <r>
    <n v="76668332915"/>
    <n v="25"/>
    <d v="2034-08-27T00:00:00"/>
    <s v=""/>
    <x v="2"/>
    <x v="0"/>
  </r>
  <r>
    <n v="41572629842"/>
    <n v="26"/>
    <d v="2034-08-27T00:00:00"/>
    <s v=""/>
    <x v="2"/>
    <x v="0"/>
  </r>
  <r>
    <n v="43491762440"/>
    <n v="38"/>
    <d v="2034-08-27T00:00:00"/>
    <s v=""/>
    <x v="2"/>
    <x v="0"/>
  </r>
  <r>
    <n v="62549084161"/>
    <n v="75"/>
    <d v="2034-08-27T00:00:00"/>
    <s v=""/>
    <x v="2"/>
    <x v="0"/>
  </r>
  <r>
    <n v="29080043429"/>
    <n v="86"/>
    <d v="2034-08-27T00:00:00"/>
    <d v="2034-11-15T00:00:00"/>
    <x v="2"/>
    <x v="6"/>
  </r>
  <r>
    <n v="24165422714"/>
    <n v="87"/>
    <d v="2034-08-27T00:00:00"/>
    <s v=""/>
    <x v="2"/>
    <x v="0"/>
  </r>
  <r>
    <n v="52545758847"/>
    <n v="115"/>
    <d v="2034-08-27T00:00:00"/>
    <d v="2034-12-13T00:00:00"/>
    <x v="2"/>
    <x v="7"/>
  </r>
  <r>
    <n v="16682506899"/>
    <n v="117"/>
    <d v="2034-08-27T00:00:00"/>
    <d v="2034-09-24T00:00:00"/>
    <x v="2"/>
    <x v="3"/>
  </r>
  <r>
    <n v="68792044007"/>
    <n v="148"/>
    <d v="2034-08-27T00:00:00"/>
    <s v=""/>
    <x v="2"/>
    <x v="0"/>
  </r>
  <r>
    <n v="58816137012"/>
    <n v="154"/>
    <d v="2034-08-27T00:00:00"/>
    <s v=""/>
    <x v="2"/>
    <x v="0"/>
  </r>
  <r>
    <n v="59644551292"/>
    <n v="191"/>
    <d v="2034-08-27T00:00:00"/>
    <s v=""/>
    <x v="2"/>
    <x v="0"/>
  </r>
  <r>
    <n v="57713594493"/>
    <n v="199"/>
    <d v="2034-08-27T00:00:00"/>
    <s v=""/>
    <x v="2"/>
    <x v="0"/>
  </r>
  <r>
    <n v="40001354737"/>
    <n v="206"/>
    <d v="2034-08-27T00:00:00"/>
    <m/>
    <x v="2"/>
    <x v="0"/>
  </r>
  <r>
    <n v="24526379564"/>
    <n v="218"/>
    <d v="2034-08-27T00:00:00"/>
    <s v=""/>
    <x v="2"/>
    <x v="0"/>
  </r>
  <r>
    <n v="62921655242"/>
    <n v="218"/>
    <d v="2034-08-27T00:00:00"/>
    <s v=""/>
    <x v="2"/>
    <x v="0"/>
  </r>
  <r>
    <n v="83801836531"/>
    <n v="234"/>
    <d v="2034-08-27T00:00:00"/>
    <s v=""/>
    <x v="2"/>
    <x v="0"/>
  </r>
  <r>
    <n v="49156014860"/>
    <n v="252"/>
    <d v="2034-08-27T00:00:00"/>
    <d v="2034-10-18T00:00:00"/>
    <x v="2"/>
    <x v="5"/>
  </r>
  <r>
    <n v="83053451765"/>
    <n v="269"/>
    <d v="2034-08-27T00:00:00"/>
    <m/>
    <x v="2"/>
    <x v="0"/>
  </r>
  <r>
    <n v="68550510184"/>
    <n v="275"/>
    <d v="2034-08-27T00:00:00"/>
    <s v=""/>
    <x v="2"/>
    <x v="0"/>
  </r>
  <r>
    <n v="63972819685"/>
    <n v="279"/>
    <d v="2034-08-27T00:00:00"/>
    <d v="2034-11-25T00:00:00"/>
    <x v="2"/>
    <x v="6"/>
  </r>
  <r>
    <n v="68107613343"/>
    <n v="297"/>
    <d v="2034-08-27T00:00:00"/>
    <d v="2034-09-11T00:00:00"/>
    <x v="2"/>
    <x v="3"/>
  </r>
  <r>
    <n v="23840250102"/>
    <n v="312"/>
    <d v="2034-08-27T00:00:00"/>
    <s v=""/>
    <x v="2"/>
    <x v="0"/>
  </r>
  <r>
    <n v="34348566933"/>
    <n v="333"/>
    <d v="2034-08-27T00:00:00"/>
    <s v=""/>
    <x v="2"/>
    <x v="0"/>
  </r>
  <r>
    <n v="11195642926"/>
    <n v="334"/>
    <d v="2034-08-27T00:00:00"/>
    <s v=""/>
    <x v="2"/>
    <x v="0"/>
  </r>
  <r>
    <n v="49821170226"/>
    <n v="24"/>
    <d v="2034-08-28T00:00:00"/>
    <s v=""/>
    <x v="2"/>
    <x v="0"/>
  </r>
  <r>
    <n v="28127647356"/>
    <n v="25"/>
    <d v="2034-08-28T00:00:00"/>
    <d v="2034-10-06T00:00:00"/>
    <x v="2"/>
    <x v="5"/>
  </r>
  <r>
    <n v="95771455980"/>
    <n v="27"/>
    <d v="2034-08-28T00:00:00"/>
    <s v=""/>
    <x v="2"/>
    <x v="0"/>
  </r>
  <r>
    <n v="89296641330"/>
    <n v="49"/>
    <d v="2034-08-28T00:00:00"/>
    <s v=""/>
    <x v="2"/>
    <x v="0"/>
  </r>
  <r>
    <n v="40650943058"/>
    <n v="90"/>
    <d v="2034-08-28T00:00:00"/>
    <s v=""/>
    <x v="2"/>
    <x v="0"/>
  </r>
  <r>
    <n v="70147363300"/>
    <n v="96"/>
    <d v="2034-08-28T00:00:00"/>
    <s v=""/>
    <x v="2"/>
    <x v="0"/>
  </r>
  <r>
    <n v="30578040722"/>
    <n v="111"/>
    <d v="2034-08-28T00:00:00"/>
    <s v=""/>
    <x v="2"/>
    <x v="0"/>
  </r>
  <r>
    <n v="46249366946"/>
    <n v="118"/>
    <d v="2034-08-28T00:00:00"/>
    <s v=""/>
    <x v="2"/>
    <x v="0"/>
  </r>
  <r>
    <n v="60673475794"/>
    <n v="138"/>
    <d v="2034-08-28T00:00:00"/>
    <s v=""/>
    <x v="2"/>
    <x v="0"/>
  </r>
  <r>
    <n v="87084605194"/>
    <n v="144"/>
    <d v="2034-08-28T00:00:00"/>
    <s v=""/>
    <x v="2"/>
    <x v="0"/>
  </r>
  <r>
    <n v="31685024414"/>
    <n v="183"/>
    <d v="2034-08-28T00:00:00"/>
    <s v=""/>
    <x v="2"/>
    <x v="0"/>
  </r>
  <r>
    <n v="93813827336"/>
    <n v="201"/>
    <d v="2034-08-28T00:00:00"/>
    <s v=""/>
    <x v="2"/>
    <x v="0"/>
  </r>
  <r>
    <n v="39749974842"/>
    <n v="229"/>
    <d v="2034-08-28T00:00:00"/>
    <s v=""/>
    <x v="2"/>
    <x v="0"/>
  </r>
  <r>
    <n v="50736822163"/>
    <n v="270"/>
    <d v="2034-08-28T00:00:00"/>
    <d v="2034-12-19T00:00:00"/>
    <x v="2"/>
    <x v="7"/>
  </r>
  <r>
    <n v="68899600388"/>
    <n v="274"/>
    <d v="2034-08-28T00:00:00"/>
    <s v=""/>
    <x v="2"/>
    <x v="0"/>
  </r>
  <r>
    <n v="21363203985"/>
    <n v="18"/>
    <d v="2034-08-29T00:00:00"/>
    <s v=""/>
    <x v="2"/>
    <x v="0"/>
  </r>
  <r>
    <n v="74846085916"/>
    <n v="54"/>
    <d v="2034-08-29T00:00:00"/>
    <s v=""/>
    <x v="2"/>
    <x v="0"/>
  </r>
  <r>
    <n v="92267970162"/>
    <n v="56"/>
    <d v="2034-08-29T00:00:00"/>
    <s v=""/>
    <x v="2"/>
    <x v="0"/>
  </r>
  <r>
    <n v="92024765612"/>
    <n v="74"/>
    <d v="2034-08-29T00:00:00"/>
    <s v=""/>
    <x v="2"/>
    <x v="0"/>
  </r>
  <r>
    <n v="78311191230"/>
    <n v="101"/>
    <d v="2034-08-29T00:00:00"/>
    <s v=""/>
    <x v="2"/>
    <x v="0"/>
  </r>
  <r>
    <n v="25583125468"/>
    <n v="116"/>
    <d v="2034-08-29T00:00:00"/>
    <s v=""/>
    <x v="2"/>
    <x v="0"/>
  </r>
  <r>
    <n v="21989145331"/>
    <n v="139"/>
    <d v="2034-08-29T00:00:00"/>
    <s v=""/>
    <x v="2"/>
    <x v="0"/>
  </r>
  <r>
    <n v="84301317267"/>
    <n v="163"/>
    <d v="2034-08-29T00:00:00"/>
    <s v=""/>
    <x v="2"/>
    <x v="0"/>
  </r>
  <r>
    <n v="69417242571"/>
    <n v="211"/>
    <d v="2034-08-29T00:00:00"/>
    <s v=""/>
    <x v="2"/>
    <x v="0"/>
  </r>
  <r>
    <n v="57617870518"/>
    <n v="239"/>
    <d v="2034-08-29T00:00:00"/>
    <s v=""/>
    <x v="2"/>
    <x v="0"/>
  </r>
  <r>
    <n v="94286394667"/>
    <n v="270"/>
    <d v="2034-08-29T00:00:00"/>
    <d v="2034-10-20T00:00:00"/>
    <x v="2"/>
    <x v="5"/>
  </r>
  <r>
    <n v="14900781619"/>
    <n v="288"/>
    <d v="2034-08-29T00:00:00"/>
    <d v="2034-09-28T00:00:00"/>
    <x v="2"/>
    <x v="3"/>
  </r>
  <r>
    <n v="19647874119"/>
    <n v="303"/>
    <d v="2034-08-29T00:00:00"/>
    <s v=""/>
    <x v="2"/>
    <x v="0"/>
  </r>
  <r>
    <n v="49533757680"/>
    <n v="336"/>
    <d v="2034-08-29T00:00:00"/>
    <m/>
    <x v="2"/>
    <x v="0"/>
  </r>
  <r>
    <n v="74095363544"/>
    <n v="19"/>
    <d v="2034-08-30T00:00:00"/>
    <d v="2034-10-11T00:00:00"/>
    <x v="2"/>
    <x v="5"/>
  </r>
  <r>
    <n v="51839495593"/>
    <n v="27"/>
    <d v="2034-08-30T00:00:00"/>
    <s v=""/>
    <x v="2"/>
    <x v="0"/>
  </r>
  <r>
    <n v="81443353648"/>
    <n v="27"/>
    <d v="2034-08-30T00:00:00"/>
    <d v="2034-11-30T00:00:00"/>
    <x v="2"/>
    <x v="6"/>
  </r>
  <r>
    <n v="49356243208"/>
    <n v="41"/>
    <d v="2034-08-30T00:00:00"/>
    <s v=""/>
    <x v="2"/>
    <x v="0"/>
  </r>
  <r>
    <n v="89391111594"/>
    <n v="52"/>
    <d v="2034-08-30T00:00:00"/>
    <d v="2034-12-06T00:00:00"/>
    <x v="2"/>
    <x v="7"/>
  </r>
  <r>
    <n v="47477470914"/>
    <n v="87"/>
    <d v="2034-08-30T00:00:00"/>
    <s v=""/>
    <x v="2"/>
    <x v="0"/>
  </r>
  <r>
    <n v="17225876220"/>
    <n v="103"/>
    <d v="2034-08-30T00:00:00"/>
    <s v=""/>
    <x v="2"/>
    <x v="0"/>
  </r>
  <r>
    <n v="20341485932"/>
    <n v="104"/>
    <d v="2034-08-30T00:00:00"/>
    <d v="2034-09-20T00:00:00"/>
    <x v="2"/>
    <x v="3"/>
  </r>
  <r>
    <n v="95549227467"/>
    <n v="117"/>
    <d v="2034-08-30T00:00:00"/>
    <s v=""/>
    <x v="2"/>
    <x v="0"/>
  </r>
  <r>
    <n v="80783014409"/>
    <n v="132"/>
    <d v="2034-08-30T00:00:00"/>
    <s v=""/>
    <x v="2"/>
    <x v="0"/>
  </r>
  <r>
    <n v="41329312694"/>
    <n v="198"/>
    <d v="2034-08-30T00:00:00"/>
    <d v="2034-11-09T00:00:00"/>
    <x v="2"/>
    <x v="6"/>
  </r>
  <r>
    <n v="59554655319"/>
    <n v="201"/>
    <d v="2034-08-30T00:00:00"/>
    <s v=""/>
    <x v="2"/>
    <x v="0"/>
  </r>
  <r>
    <n v="81224736578"/>
    <n v="205"/>
    <d v="2034-08-30T00:00:00"/>
    <s v=""/>
    <x v="2"/>
    <x v="0"/>
  </r>
  <r>
    <n v="70347517200"/>
    <n v="225"/>
    <d v="2034-08-30T00:00:00"/>
    <s v=""/>
    <x v="2"/>
    <x v="0"/>
  </r>
  <r>
    <n v="76921055932"/>
    <n v="227"/>
    <d v="2034-08-30T00:00:00"/>
    <s v=""/>
    <x v="2"/>
    <x v="0"/>
  </r>
  <r>
    <n v="65598488675"/>
    <n v="234"/>
    <d v="2034-08-30T00:00:00"/>
    <s v=""/>
    <x v="2"/>
    <x v="0"/>
  </r>
  <r>
    <n v="86388397710"/>
    <n v="243"/>
    <d v="2034-08-30T00:00:00"/>
    <s v=""/>
    <x v="2"/>
    <x v="0"/>
  </r>
  <r>
    <n v="57509074363"/>
    <n v="244"/>
    <d v="2034-08-30T00:00:00"/>
    <s v=""/>
    <x v="2"/>
    <x v="0"/>
  </r>
  <r>
    <n v="56735076961"/>
    <n v="250"/>
    <d v="2034-08-30T00:00:00"/>
    <s v=""/>
    <x v="2"/>
    <x v="0"/>
  </r>
  <r>
    <n v="35634648391"/>
    <n v="262"/>
    <d v="2034-08-30T00:00:00"/>
    <d v="2034-11-17T00:00:00"/>
    <x v="2"/>
    <x v="6"/>
  </r>
  <r>
    <n v="47382849610"/>
    <n v="273"/>
    <d v="2034-08-30T00:00:00"/>
    <s v=""/>
    <x v="2"/>
    <x v="0"/>
  </r>
  <r>
    <n v="85259797101"/>
    <n v="283"/>
    <d v="2034-08-30T00:00:00"/>
    <s v=""/>
    <x v="2"/>
    <x v="0"/>
  </r>
  <r>
    <n v="98085589300"/>
    <n v="327"/>
    <d v="2034-08-30T00:00:00"/>
    <d v="2034-11-18T00:00:00"/>
    <x v="2"/>
    <x v="6"/>
  </r>
  <r>
    <n v="16360224234"/>
    <n v="336"/>
    <d v="2034-08-30T00:00:00"/>
    <s v=""/>
    <x v="2"/>
    <x v="0"/>
  </r>
  <r>
    <n v="75966246711"/>
    <n v="338"/>
    <d v="2034-08-30T00:00:00"/>
    <s v=""/>
    <x v="2"/>
    <x v="0"/>
  </r>
  <r>
    <n v="72309972138"/>
    <n v="2"/>
    <d v="2034-08-31T00:00:00"/>
    <s v=""/>
    <x v="2"/>
    <x v="0"/>
  </r>
  <r>
    <n v="75583704460"/>
    <n v="39"/>
    <d v="2034-08-31T00:00:00"/>
    <m/>
    <x v="2"/>
    <x v="0"/>
  </r>
  <r>
    <n v="65714834862"/>
    <n v="54"/>
    <d v="2034-08-31T00:00:00"/>
    <s v=""/>
    <x v="2"/>
    <x v="0"/>
  </r>
  <r>
    <n v="81323235089"/>
    <n v="56"/>
    <d v="2034-08-31T00:00:00"/>
    <d v="2034-11-13T00:00:00"/>
    <x v="2"/>
    <x v="6"/>
  </r>
  <r>
    <n v="57578357628"/>
    <n v="63"/>
    <d v="2034-08-31T00:00:00"/>
    <s v=""/>
    <x v="2"/>
    <x v="0"/>
  </r>
  <r>
    <n v="68750617037"/>
    <n v="92"/>
    <d v="2034-08-31T00:00:00"/>
    <s v=""/>
    <x v="2"/>
    <x v="0"/>
  </r>
  <r>
    <n v="49305025974"/>
    <n v="94"/>
    <d v="2034-08-31T00:00:00"/>
    <s v=""/>
    <x v="2"/>
    <x v="0"/>
  </r>
  <r>
    <n v="19332995657"/>
    <n v="146"/>
    <d v="2034-08-31T00:00:00"/>
    <s v=""/>
    <x v="2"/>
    <x v="0"/>
  </r>
  <r>
    <n v="22665248363"/>
    <n v="156"/>
    <d v="2034-08-31T00:00:00"/>
    <s v=""/>
    <x v="2"/>
    <x v="0"/>
  </r>
  <r>
    <n v="58520310782"/>
    <n v="186"/>
    <d v="2034-08-31T00:00:00"/>
    <m/>
    <x v="2"/>
    <x v="0"/>
  </r>
  <r>
    <n v="89288626983"/>
    <n v="189"/>
    <d v="2034-08-31T00:00:00"/>
    <m/>
    <x v="2"/>
    <x v="0"/>
  </r>
  <r>
    <n v="40311559919"/>
    <n v="190"/>
    <d v="2034-08-31T00:00:00"/>
    <s v=""/>
    <x v="2"/>
    <x v="0"/>
  </r>
  <r>
    <n v="72626818882"/>
    <n v="209"/>
    <d v="2034-08-31T00:00:00"/>
    <d v="2034-12-24T00:00:00"/>
    <x v="2"/>
    <x v="7"/>
  </r>
  <r>
    <n v="32993133202"/>
    <n v="219"/>
    <d v="2034-08-31T00:00:00"/>
    <d v="2034-12-15T00:00:00"/>
    <x v="2"/>
    <x v="7"/>
  </r>
  <r>
    <n v="89802731260"/>
    <n v="250"/>
    <d v="2034-08-31T00:00:00"/>
    <s v=""/>
    <x v="2"/>
    <x v="0"/>
  </r>
  <r>
    <n v="92725213610"/>
    <n v="272"/>
    <d v="2034-08-31T00:00:00"/>
    <s v=""/>
    <x v="2"/>
    <x v="0"/>
  </r>
  <r>
    <n v="85588678383"/>
    <n v="279"/>
    <d v="2034-08-31T00:00:00"/>
    <s v=""/>
    <x v="2"/>
    <x v="0"/>
  </r>
  <r>
    <n v="18870438842"/>
    <n v="296"/>
    <d v="2034-08-31T00:00:00"/>
    <d v="2034-09-08T00:00:00"/>
    <x v="2"/>
    <x v="3"/>
  </r>
  <r>
    <n v="61174457580"/>
    <n v="303"/>
    <d v="2034-08-31T00:00:00"/>
    <m/>
    <x v="2"/>
    <x v="0"/>
  </r>
  <r>
    <n v="24799332906"/>
    <n v="312"/>
    <d v="2034-08-31T00:00:00"/>
    <s v=""/>
    <x v="2"/>
    <x v="0"/>
  </r>
  <r>
    <n v="58765541307"/>
    <n v="312"/>
    <d v="2034-08-31T00:00:00"/>
    <s v=""/>
    <x v="2"/>
    <x v="0"/>
  </r>
  <r>
    <n v="62416739127"/>
    <n v="330"/>
    <d v="2034-08-31T00:00:00"/>
    <s v=""/>
    <x v="2"/>
    <x v="0"/>
  </r>
  <r>
    <n v="25420254741"/>
    <n v="331"/>
    <d v="2034-08-31T00:00:00"/>
    <s v=""/>
    <x v="2"/>
    <x v="0"/>
  </r>
  <r>
    <n v="37108102546"/>
    <n v="27"/>
    <d v="2034-09-01T00:00:00"/>
    <s v=""/>
    <x v="3"/>
    <x v="0"/>
  </r>
  <r>
    <n v="50175033232"/>
    <n v="63"/>
    <d v="2034-09-01T00:00:00"/>
    <d v="2034-11-30T00:00:00"/>
    <x v="3"/>
    <x v="6"/>
  </r>
  <r>
    <n v="62545236108"/>
    <n v="76"/>
    <d v="2034-09-01T00:00:00"/>
    <s v=""/>
    <x v="3"/>
    <x v="0"/>
  </r>
  <r>
    <n v="84524457825"/>
    <n v="92"/>
    <d v="2034-09-01T00:00:00"/>
    <s v=""/>
    <x v="3"/>
    <x v="0"/>
  </r>
  <r>
    <n v="62914654800"/>
    <n v="119"/>
    <d v="2034-09-01T00:00:00"/>
    <s v=""/>
    <x v="3"/>
    <x v="0"/>
  </r>
  <r>
    <n v="92713290904"/>
    <n v="120"/>
    <d v="2034-09-01T00:00:00"/>
    <d v="2034-10-25T00:00:00"/>
    <x v="3"/>
    <x v="5"/>
  </r>
  <r>
    <n v="30240119398"/>
    <n v="136"/>
    <d v="2034-09-01T00:00:00"/>
    <s v=""/>
    <x v="3"/>
    <x v="0"/>
  </r>
  <r>
    <n v="65057776954"/>
    <n v="143"/>
    <d v="2034-09-01T00:00:00"/>
    <s v=""/>
    <x v="3"/>
    <x v="0"/>
  </r>
  <r>
    <n v="35859759052"/>
    <n v="150"/>
    <d v="2034-09-01T00:00:00"/>
    <m/>
    <x v="3"/>
    <x v="0"/>
  </r>
  <r>
    <n v="72010463329"/>
    <n v="161"/>
    <d v="2034-09-01T00:00:00"/>
    <s v=""/>
    <x v="3"/>
    <x v="0"/>
  </r>
  <r>
    <n v="99218148587"/>
    <n v="173"/>
    <d v="2034-09-01T00:00:00"/>
    <s v=""/>
    <x v="3"/>
    <x v="0"/>
  </r>
  <r>
    <n v="76259729755"/>
    <n v="202"/>
    <d v="2034-09-01T00:00:00"/>
    <s v=""/>
    <x v="3"/>
    <x v="0"/>
  </r>
  <r>
    <n v="35169231239"/>
    <n v="239"/>
    <d v="2034-09-01T00:00:00"/>
    <d v="2034-10-15T00:00:00"/>
    <x v="3"/>
    <x v="5"/>
  </r>
  <r>
    <n v="91937525470"/>
    <n v="240"/>
    <d v="2034-09-01T00:00:00"/>
    <s v=""/>
    <x v="3"/>
    <x v="0"/>
  </r>
  <r>
    <n v="12694011686"/>
    <n v="256"/>
    <d v="2034-09-01T00:00:00"/>
    <s v=""/>
    <x v="3"/>
    <x v="0"/>
  </r>
  <r>
    <n v="69872802386"/>
    <n v="259"/>
    <d v="2034-09-01T00:00:00"/>
    <s v=""/>
    <x v="3"/>
    <x v="0"/>
  </r>
  <r>
    <n v="25324967655"/>
    <n v="280"/>
    <d v="2034-09-01T00:00:00"/>
    <d v="2034-09-11T00:00:00"/>
    <x v="3"/>
    <x v="3"/>
  </r>
  <r>
    <n v="54211383660"/>
    <n v="298"/>
    <d v="2034-09-01T00:00:00"/>
    <d v="2034-12-17T00:00:00"/>
    <x v="3"/>
    <x v="7"/>
  </r>
  <r>
    <n v="44558050416"/>
    <n v="300"/>
    <d v="2034-09-01T00:00:00"/>
    <m/>
    <x v="3"/>
    <x v="0"/>
  </r>
  <r>
    <n v="35492642414"/>
    <n v="308"/>
    <d v="2034-09-01T00:00:00"/>
    <s v=""/>
    <x v="3"/>
    <x v="0"/>
  </r>
  <r>
    <n v="89141643045"/>
    <n v="313"/>
    <d v="2034-09-01T00:00:00"/>
    <s v=""/>
    <x v="3"/>
    <x v="0"/>
  </r>
  <r>
    <n v="86634802210"/>
    <n v="321"/>
    <d v="2034-09-01T00:00:00"/>
    <s v=""/>
    <x v="3"/>
    <x v="0"/>
  </r>
  <r>
    <n v="85604780138"/>
    <n v="326"/>
    <d v="2034-09-01T00:00:00"/>
    <s v=""/>
    <x v="3"/>
    <x v="0"/>
  </r>
  <r>
    <n v="72067930019"/>
    <n v="327"/>
    <d v="2034-09-01T00:00:00"/>
    <s v=""/>
    <x v="3"/>
    <x v="0"/>
  </r>
  <r>
    <n v="14170844626"/>
    <n v="329"/>
    <d v="2034-09-01T00:00:00"/>
    <s v=""/>
    <x v="3"/>
    <x v="0"/>
  </r>
  <r>
    <n v="77403064604"/>
    <n v="335"/>
    <d v="2034-09-01T00:00:00"/>
    <s v=""/>
    <x v="3"/>
    <x v="0"/>
  </r>
  <r>
    <n v="43143344315"/>
    <n v="339"/>
    <d v="2034-09-01T00:00:00"/>
    <s v=""/>
    <x v="3"/>
    <x v="0"/>
  </r>
  <r>
    <n v="93705214428"/>
    <n v="16"/>
    <d v="2034-09-02T00:00:00"/>
    <s v=""/>
    <x v="3"/>
    <x v="0"/>
  </r>
  <r>
    <n v="71666711269"/>
    <n v="26"/>
    <d v="2034-09-02T00:00:00"/>
    <s v=""/>
    <x v="3"/>
    <x v="0"/>
  </r>
  <r>
    <n v="64541211064"/>
    <n v="30"/>
    <d v="2034-09-02T00:00:00"/>
    <d v="2034-10-05T00:00:00"/>
    <x v="3"/>
    <x v="5"/>
  </r>
  <r>
    <n v="35619195951"/>
    <n v="32"/>
    <d v="2034-09-02T00:00:00"/>
    <d v="2034-12-10T00:00:00"/>
    <x v="3"/>
    <x v="7"/>
  </r>
  <r>
    <n v="56575215626"/>
    <n v="44"/>
    <d v="2034-09-02T00:00:00"/>
    <d v="2034-10-14T00:00:00"/>
    <x v="3"/>
    <x v="5"/>
  </r>
  <r>
    <n v="91432974533"/>
    <n v="47"/>
    <d v="2034-09-02T00:00:00"/>
    <d v="2034-10-19T00:00:00"/>
    <x v="3"/>
    <x v="5"/>
  </r>
  <r>
    <n v="66073737309"/>
    <n v="57"/>
    <d v="2034-09-02T00:00:00"/>
    <m/>
    <x v="3"/>
    <x v="0"/>
  </r>
  <r>
    <n v="62603332071"/>
    <n v="67"/>
    <d v="2034-09-02T00:00:00"/>
    <s v=""/>
    <x v="3"/>
    <x v="0"/>
  </r>
  <r>
    <n v="75915454882"/>
    <n v="107"/>
    <d v="2034-09-02T00:00:00"/>
    <s v=""/>
    <x v="3"/>
    <x v="0"/>
  </r>
  <r>
    <n v="58160144946"/>
    <n v="110"/>
    <d v="2034-09-02T00:00:00"/>
    <s v=""/>
    <x v="3"/>
    <x v="0"/>
  </r>
  <r>
    <n v="84653278931"/>
    <n v="121"/>
    <d v="2034-09-02T00:00:00"/>
    <s v=""/>
    <x v="3"/>
    <x v="0"/>
  </r>
  <r>
    <n v="84541655880"/>
    <n v="132"/>
    <d v="2034-09-02T00:00:00"/>
    <s v=""/>
    <x v="3"/>
    <x v="0"/>
  </r>
  <r>
    <n v="79236119445"/>
    <n v="134"/>
    <d v="2034-09-02T00:00:00"/>
    <s v=""/>
    <x v="3"/>
    <x v="0"/>
  </r>
  <r>
    <n v="99490306418"/>
    <n v="134"/>
    <d v="2034-09-02T00:00:00"/>
    <m/>
    <x v="3"/>
    <x v="0"/>
  </r>
  <r>
    <n v="73620905894"/>
    <n v="186"/>
    <d v="2034-09-02T00:00:00"/>
    <d v="2034-09-12T00:00:00"/>
    <x v="3"/>
    <x v="3"/>
  </r>
  <r>
    <n v="22753257786"/>
    <n v="207"/>
    <d v="2034-09-02T00:00:00"/>
    <d v="2034-10-15T00:00:00"/>
    <x v="3"/>
    <x v="5"/>
  </r>
  <r>
    <n v="64676582520"/>
    <n v="242"/>
    <d v="2034-09-02T00:00:00"/>
    <d v="2034-10-01T00:00:00"/>
    <x v="3"/>
    <x v="5"/>
  </r>
  <r>
    <n v="24445775338"/>
    <n v="248"/>
    <d v="2034-09-02T00:00:00"/>
    <d v="2034-10-31T00:00:00"/>
    <x v="3"/>
    <x v="5"/>
  </r>
  <r>
    <n v="85631969493"/>
    <n v="261"/>
    <d v="2034-09-02T00:00:00"/>
    <d v="2034-09-14T00:00:00"/>
    <x v="3"/>
    <x v="3"/>
  </r>
  <r>
    <n v="86103002305"/>
    <n v="268"/>
    <d v="2034-09-02T00:00:00"/>
    <s v=""/>
    <x v="3"/>
    <x v="0"/>
  </r>
  <r>
    <n v="52305182631"/>
    <n v="277"/>
    <d v="2034-09-02T00:00:00"/>
    <s v=""/>
    <x v="3"/>
    <x v="0"/>
  </r>
  <r>
    <n v="76478463422"/>
    <n v="289"/>
    <d v="2034-09-02T00:00:00"/>
    <s v=""/>
    <x v="3"/>
    <x v="0"/>
  </r>
  <r>
    <n v="61768718201"/>
    <n v="297"/>
    <d v="2034-09-02T00:00:00"/>
    <d v="2034-11-27T00:00:00"/>
    <x v="3"/>
    <x v="6"/>
  </r>
  <r>
    <n v="26861585576"/>
    <n v="307"/>
    <d v="2034-09-02T00:00:00"/>
    <s v=""/>
    <x v="3"/>
    <x v="0"/>
  </r>
  <r>
    <n v="77416740025"/>
    <n v="314"/>
    <d v="2034-09-02T00:00:00"/>
    <m/>
    <x v="3"/>
    <x v="0"/>
  </r>
  <r>
    <n v="69858479526"/>
    <n v="13"/>
    <d v="2034-09-03T00:00:00"/>
    <m/>
    <x v="3"/>
    <x v="0"/>
  </r>
  <r>
    <n v="39615774756"/>
    <n v="39"/>
    <d v="2034-09-03T00:00:00"/>
    <s v=""/>
    <x v="3"/>
    <x v="0"/>
  </r>
  <r>
    <n v="94319800050"/>
    <n v="53"/>
    <d v="2034-09-03T00:00:00"/>
    <d v="2034-12-14T00:00:00"/>
    <x v="3"/>
    <x v="7"/>
  </r>
  <r>
    <n v="22464349822"/>
    <n v="66"/>
    <d v="2034-09-03T00:00:00"/>
    <s v=""/>
    <x v="3"/>
    <x v="0"/>
  </r>
  <r>
    <n v="76698367328"/>
    <n v="73"/>
    <d v="2034-09-03T00:00:00"/>
    <s v=""/>
    <x v="3"/>
    <x v="0"/>
  </r>
  <r>
    <n v="95829519457"/>
    <n v="84"/>
    <d v="2034-09-03T00:00:00"/>
    <s v=""/>
    <x v="3"/>
    <x v="0"/>
  </r>
  <r>
    <n v="66168921291"/>
    <n v="105"/>
    <d v="2034-09-03T00:00:00"/>
    <s v=""/>
    <x v="3"/>
    <x v="0"/>
  </r>
  <r>
    <n v="49237462311"/>
    <n v="126"/>
    <d v="2034-09-03T00:00:00"/>
    <s v=""/>
    <x v="3"/>
    <x v="0"/>
  </r>
  <r>
    <n v="28025621762"/>
    <n v="156"/>
    <d v="2034-09-03T00:00:00"/>
    <s v=""/>
    <x v="3"/>
    <x v="0"/>
  </r>
  <r>
    <n v="28734138979"/>
    <n v="169"/>
    <d v="2034-09-03T00:00:00"/>
    <s v=""/>
    <x v="3"/>
    <x v="0"/>
  </r>
  <r>
    <n v="74055104077"/>
    <n v="169"/>
    <d v="2034-09-03T00:00:00"/>
    <s v=""/>
    <x v="3"/>
    <x v="0"/>
  </r>
  <r>
    <n v="46216887407"/>
    <n v="173"/>
    <d v="2034-09-03T00:00:00"/>
    <m/>
    <x v="3"/>
    <x v="0"/>
  </r>
  <r>
    <n v="22594183565"/>
    <n v="202"/>
    <d v="2034-09-03T00:00:00"/>
    <s v=""/>
    <x v="3"/>
    <x v="0"/>
  </r>
  <r>
    <n v="12635840047"/>
    <n v="204"/>
    <d v="2034-09-03T00:00:00"/>
    <s v=""/>
    <x v="3"/>
    <x v="0"/>
  </r>
  <r>
    <n v="66611057800"/>
    <n v="258"/>
    <d v="2034-09-03T00:00:00"/>
    <s v=""/>
    <x v="3"/>
    <x v="0"/>
  </r>
  <r>
    <n v="28787535214"/>
    <n v="295"/>
    <d v="2034-09-03T00:00:00"/>
    <s v=""/>
    <x v="3"/>
    <x v="0"/>
  </r>
  <r>
    <n v="34185149204"/>
    <n v="311"/>
    <d v="2034-09-03T00:00:00"/>
    <s v=""/>
    <x v="3"/>
    <x v="0"/>
  </r>
  <r>
    <n v="55997506418"/>
    <n v="317"/>
    <d v="2034-09-03T00:00:00"/>
    <s v=""/>
    <x v="3"/>
    <x v="0"/>
  </r>
  <r>
    <n v="29148003090"/>
    <n v="318"/>
    <d v="2034-09-03T00:00:00"/>
    <s v=""/>
    <x v="3"/>
    <x v="0"/>
  </r>
  <r>
    <n v="85528765176"/>
    <n v="320"/>
    <d v="2034-09-03T00:00:00"/>
    <s v=""/>
    <x v="3"/>
    <x v="0"/>
  </r>
  <r>
    <n v="58433727401"/>
    <n v="328"/>
    <d v="2034-09-03T00:00:00"/>
    <s v=""/>
    <x v="3"/>
    <x v="0"/>
  </r>
  <r>
    <n v="53426379075"/>
    <n v="0"/>
    <d v="2034-09-04T00:00:00"/>
    <s v=""/>
    <x v="3"/>
    <x v="0"/>
  </r>
  <r>
    <n v="72429457400"/>
    <n v="3"/>
    <d v="2034-09-04T00:00:00"/>
    <s v=""/>
    <x v="3"/>
    <x v="0"/>
  </r>
  <r>
    <n v="56290356203"/>
    <n v="39"/>
    <d v="2034-09-04T00:00:00"/>
    <s v=""/>
    <x v="3"/>
    <x v="0"/>
  </r>
  <r>
    <n v="79103230271"/>
    <n v="49"/>
    <d v="2034-09-04T00:00:00"/>
    <s v=""/>
    <x v="3"/>
    <x v="0"/>
  </r>
  <r>
    <n v="43911150885"/>
    <n v="50"/>
    <d v="2034-09-04T00:00:00"/>
    <s v=""/>
    <x v="3"/>
    <x v="0"/>
  </r>
  <r>
    <n v="94282040623"/>
    <n v="74"/>
    <d v="2034-09-04T00:00:00"/>
    <s v=""/>
    <x v="3"/>
    <x v="0"/>
  </r>
  <r>
    <n v="90331816445"/>
    <n v="80"/>
    <d v="2034-09-04T00:00:00"/>
    <s v=""/>
    <x v="3"/>
    <x v="0"/>
  </r>
  <r>
    <n v="27194033614"/>
    <n v="129"/>
    <d v="2034-09-04T00:00:00"/>
    <d v="2034-10-21T00:00:00"/>
    <x v="3"/>
    <x v="5"/>
  </r>
  <r>
    <n v="79823297869"/>
    <n v="134"/>
    <d v="2034-09-04T00:00:00"/>
    <m/>
    <x v="3"/>
    <x v="0"/>
  </r>
  <r>
    <n v="45922054573"/>
    <n v="150"/>
    <d v="2034-09-04T00:00:00"/>
    <d v="2034-12-31T00:00:00"/>
    <x v="3"/>
    <x v="7"/>
  </r>
  <r>
    <n v="13179125472"/>
    <n v="152"/>
    <d v="2034-09-04T00:00:00"/>
    <d v="2034-10-26T00:00:00"/>
    <x v="3"/>
    <x v="5"/>
  </r>
  <r>
    <n v="47118046888"/>
    <n v="158"/>
    <d v="2034-09-04T00:00:00"/>
    <d v="2034-10-20T00:00:00"/>
    <x v="3"/>
    <x v="5"/>
  </r>
  <r>
    <n v="33924910995"/>
    <n v="163"/>
    <d v="2034-09-04T00:00:00"/>
    <s v=""/>
    <x v="3"/>
    <x v="0"/>
  </r>
  <r>
    <n v="89847922257"/>
    <n v="216"/>
    <d v="2034-09-04T00:00:00"/>
    <s v=""/>
    <x v="3"/>
    <x v="0"/>
  </r>
  <r>
    <n v="97140208257"/>
    <n v="226"/>
    <d v="2034-09-04T00:00:00"/>
    <m/>
    <x v="3"/>
    <x v="0"/>
  </r>
  <r>
    <n v="97664956808"/>
    <n v="231"/>
    <d v="2034-09-04T00:00:00"/>
    <s v=""/>
    <x v="3"/>
    <x v="0"/>
  </r>
  <r>
    <n v="74348938518"/>
    <n v="239"/>
    <d v="2034-09-04T00:00:00"/>
    <s v=""/>
    <x v="3"/>
    <x v="0"/>
  </r>
  <r>
    <n v="36371586917"/>
    <n v="246"/>
    <d v="2034-09-04T00:00:00"/>
    <s v=""/>
    <x v="3"/>
    <x v="0"/>
  </r>
  <r>
    <n v="53254376853"/>
    <n v="254"/>
    <d v="2034-09-04T00:00:00"/>
    <s v=""/>
    <x v="3"/>
    <x v="0"/>
  </r>
  <r>
    <n v="33474643096"/>
    <n v="289"/>
    <d v="2034-09-04T00:00:00"/>
    <s v=""/>
    <x v="3"/>
    <x v="0"/>
  </r>
  <r>
    <n v="78272917019"/>
    <n v="324"/>
    <d v="2034-09-04T00:00:00"/>
    <d v="2034-09-12T00:00:00"/>
    <x v="3"/>
    <x v="3"/>
  </r>
  <r>
    <n v="15713070395"/>
    <n v="324"/>
    <d v="2034-09-04T00:00:00"/>
    <s v=""/>
    <x v="3"/>
    <x v="0"/>
  </r>
  <r>
    <n v="95456929574"/>
    <n v="325"/>
    <d v="2034-09-04T00:00:00"/>
    <m/>
    <x v="3"/>
    <x v="0"/>
  </r>
  <r>
    <n v="89019866654"/>
    <n v="326"/>
    <d v="2034-09-04T00:00:00"/>
    <m/>
    <x v="3"/>
    <x v="0"/>
  </r>
  <r>
    <n v="25897734937"/>
    <n v="9"/>
    <d v="2034-09-05T00:00:00"/>
    <d v="2034-11-20T00:00:00"/>
    <x v="3"/>
    <x v="6"/>
  </r>
  <r>
    <n v="16627539777"/>
    <n v="10"/>
    <d v="2034-09-05T00:00:00"/>
    <s v=""/>
    <x v="3"/>
    <x v="0"/>
  </r>
  <r>
    <n v="95645248614"/>
    <n v="20"/>
    <d v="2034-09-05T00:00:00"/>
    <s v=""/>
    <x v="3"/>
    <x v="0"/>
  </r>
  <r>
    <n v="89962965788"/>
    <n v="58"/>
    <d v="2034-09-05T00:00:00"/>
    <d v="2034-09-10T00:00:00"/>
    <x v="3"/>
    <x v="3"/>
  </r>
  <r>
    <n v="85209000246"/>
    <n v="73"/>
    <d v="2034-09-05T00:00:00"/>
    <s v=""/>
    <x v="3"/>
    <x v="0"/>
  </r>
  <r>
    <n v="99362707718"/>
    <n v="113"/>
    <d v="2034-09-05T00:00:00"/>
    <s v=""/>
    <x v="3"/>
    <x v="0"/>
  </r>
  <r>
    <n v="50298329403"/>
    <n v="122"/>
    <d v="2034-09-05T00:00:00"/>
    <s v=""/>
    <x v="3"/>
    <x v="0"/>
  </r>
  <r>
    <n v="38114042321"/>
    <n v="126"/>
    <d v="2034-09-05T00:00:00"/>
    <s v=""/>
    <x v="3"/>
    <x v="0"/>
  </r>
  <r>
    <n v="47091409761"/>
    <n v="143"/>
    <d v="2034-09-05T00:00:00"/>
    <s v=""/>
    <x v="3"/>
    <x v="0"/>
  </r>
  <r>
    <n v="74151298652"/>
    <n v="155"/>
    <d v="2034-09-05T00:00:00"/>
    <d v="2034-12-17T00:00:00"/>
    <x v="3"/>
    <x v="7"/>
  </r>
  <r>
    <n v="76380401508"/>
    <n v="179"/>
    <d v="2034-09-05T00:00:00"/>
    <d v="2034-10-20T00:00:00"/>
    <x v="3"/>
    <x v="5"/>
  </r>
  <r>
    <n v="86466397730"/>
    <n v="190"/>
    <d v="2034-09-05T00:00:00"/>
    <s v=""/>
    <x v="3"/>
    <x v="0"/>
  </r>
  <r>
    <n v="35907275328"/>
    <n v="199"/>
    <d v="2034-09-05T00:00:00"/>
    <s v=""/>
    <x v="3"/>
    <x v="0"/>
  </r>
  <r>
    <n v="60923357369"/>
    <n v="203"/>
    <d v="2034-09-05T00:00:00"/>
    <s v=""/>
    <x v="3"/>
    <x v="0"/>
  </r>
  <r>
    <n v="71861670296"/>
    <n v="212"/>
    <d v="2034-09-05T00:00:00"/>
    <d v="2034-10-18T00:00:00"/>
    <x v="3"/>
    <x v="5"/>
  </r>
  <r>
    <n v="73433625192"/>
    <n v="218"/>
    <d v="2034-09-05T00:00:00"/>
    <s v=""/>
    <x v="3"/>
    <x v="0"/>
  </r>
  <r>
    <n v="51009577834"/>
    <n v="255"/>
    <d v="2034-09-05T00:00:00"/>
    <s v=""/>
    <x v="3"/>
    <x v="0"/>
  </r>
  <r>
    <n v="97573488894"/>
    <n v="263"/>
    <d v="2034-09-05T00:00:00"/>
    <s v=""/>
    <x v="3"/>
    <x v="0"/>
  </r>
  <r>
    <n v="48238859594"/>
    <n v="278"/>
    <d v="2034-09-05T00:00:00"/>
    <d v="2034-09-20T00:00:00"/>
    <x v="3"/>
    <x v="3"/>
  </r>
  <r>
    <n v="25706574922"/>
    <n v="282"/>
    <d v="2034-09-05T00:00:00"/>
    <s v=""/>
    <x v="3"/>
    <x v="0"/>
  </r>
  <r>
    <n v="80583681369"/>
    <n v="284"/>
    <d v="2034-09-05T00:00:00"/>
    <d v="2034-12-08T00:00:00"/>
    <x v="3"/>
    <x v="7"/>
  </r>
  <r>
    <n v="55307292899"/>
    <n v="293"/>
    <d v="2034-09-05T00:00:00"/>
    <s v=""/>
    <x v="3"/>
    <x v="0"/>
  </r>
  <r>
    <n v="44259007388"/>
    <n v="293"/>
    <d v="2034-09-05T00:00:00"/>
    <s v=""/>
    <x v="3"/>
    <x v="0"/>
  </r>
  <r>
    <n v="90525911265"/>
    <n v="318"/>
    <d v="2034-09-05T00:00:00"/>
    <s v=""/>
    <x v="3"/>
    <x v="0"/>
  </r>
  <r>
    <n v="66268370054"/>
    <n v="335"/>
    <d v="2034-09-05T00:00:00"/>
    <d v="2034-10-11T00:00:00"/>
    <x v="3"/>
    <x v="5"/>
  </r>
  <r>
    <n v="90367301815"/>
    <n v="338"/>
    <d v="2034-09-05T00:00:00"/>
    <s v=""/>
    <x v="3"/>
    <x v="0"/>
  </r>
  <r>
    <n v="93782621436"/>
    <n v="338"/>
    <d v="2034-09-05T00:00:00"/>
    <d v="2034-11-29T00:00:00"/>
    <x v="3"/>
    <x v="6"/>
  </r>
  <r>
    <n v="69099357430"/>
    <n v="25"/>
    <d v="2034-09-06T00:00:00"/>
    <s v=""/>
    <x v="3"/>
    <x v="0"/>
  </r>
  <r>
    <n v="14110676582"/>
    <n v="29"/>
    <d v="2034-09-06T00:00:00"/>
    <s v=""/>
    <x v="3"/>
    <x v="0"/>
  </r>
  <r>
    <n v="41410798638"/>
    <n v="36"/>
    <d v="2034-09-06T00:00:00"/>
    <d v="2034-10-15T00:00:00"/>
    <x v="3"/>
    <x v="5"/>
  </r>
  <r>
    <n v="41004371039"/>
    <n v="40"/>
    <d v="2034-09-06T00:00:00"/>
    <s v=""/>
    <x v="3"/>
    <x v="0"/>
  </r>
  <r>
    <n v="34990454811"/>
    <n v="103"/>
    <d v="2034-09-06T00:00:00"/>
    <s v=""/>
    <x v="3"/>
    <x v="0"/>
  </r>
  <r>
    <n v="70963915030"/>
    <n v="134"/>
    <d v="2034-09-06T00:00:00"/>
    <d v="2035-01-01T00:00:00"/>
    <x v="3"/>
    <x v="8"/>
  </r>
  <r>
    <n v="69570463510"/>
    <n v="137"/>
    <d v="2034-09-06T00:00:00"/>
    <s v=""/>
    <x v="3"/>
    <x v="0"/>
  </r>
  <r>
    <n v="18252708952"/>
    <n v="154"/>
    <d v="2034-09-06T00:00:00"/>
    <d v="2034-11-09T00:00:00"/>
    <x v="3"/>
    <x v="6"/>
  </r>
  <r>
    <n v="22544023159"/>
    <n v="167"/>
    <d v="2034-09-06T00:00:00"/>
    <s v=""/>
    <x v="3"/>
    <x v="0"/>
  </r>
  <r>
    <n v="79882631286"/>
    <n v="169"/>
    <d v="2034-09-06T00:00:00"/>
    <s v=""/>
    <x v="3"/>
    <x v="0"/>
  </r>
  <r>
    <n v="96496491849"/>
    <n v="178"/>
    <d v="2034-09-06T00:00:00"/>
    <s v=""/>
    <x v="3"/>
    <x v="0"/>
  </r>
  <r>
    <n v="97670525121"/>
    <n v="179"/>
    <d v="2034-09-06T00:00:00"/>
    <d v="2034-10-02T00:00:00"/>
    <x v="3"/>
    <x v="5"/>
  </r>
  <r>
    <n v="39923750863"/>
    <n v="216"/>
    <d v="2034-09-06T00:00:00"/>
    <m/>
    <x v="3"/>
    <x v="0"/>
  </r>
  <r>
    <n v="15716717617"/>
    <n v="222"/>
    <d v="2034-09-06T00:00:00"/>
    <s v=""/>
    <x v="3"/>
    <x v="0"/>
  </r>
  <r>
    <n v="86605218079"/>
    <n v="241"/>
    <d v="2034-09-06T00:00:00"/>
    <s v=""/>
    <x v="3"/>
    <x v="0"/>
  </r>
  <r>
    <n v="81570517299"/>
    <n v="251"/>
    <d v="2034-09-06T00:00:00"/>
    <d v="2034-12-13T00:00:00"/>
    <x v="3"/>
    <x v="7"/>
  </r>
  <r>
    <n v="75882980860"/>
    <n v="264"/>
    <d v="2034-09-06T00:00:00"/>
    <s v=""/>
    <x v="3"/>
    <x v="0"/>
  </r>
  <r>
    <n v="14477977149"/>
    <n v="265"/>
    <d v="2034-09-06T00:00:00"/>
    <d v="2034-12-19T00:00:00"/>
    <x v="3"/>
    <x v="7"/>
  </r>
  <r>
    <n v="91160243630"/>
    <n v="275"/>
    <d v="2034-09-06T00:00:00"/>
    <s v=""/>
    <x v="3"/>
    <x v="0"/>
  </r>
  <r>
    <n v="88809893784"/>
    <n v="300"/>
    <d v="2034-09-06T00:00:00"/>
    <s v=""/>
    <x v="3"/>
    <x v="0"/>
  </r>
  <r>
    <n v="29041792961"/>
    <n v="318"/>
    <d v="2034-09-06T00:00:00"/>
    <s v=""/>
    <x v="3"/>
    <x v="0"/>
  </r>
  <r>
    <n v="48967532880"/>
    <n v="329"/>
    <d v="2034-09-06T00:00:00"/>
    <m/>
    <x v="3"/>
    <x v="0"/>
  </r>
  <r>
    <n v="23727283376"/>
    <n v="333"/>
    <d v="2034-09-06T00:00:00"/>
    <s v=""/>
    <x v="3"/>
    <x v="0"/>
  </r>
  <r>
    <n v="61364020934"/>
    <n v="0"/>
    <d v="2034-09-07T00:00:00"/>
    <s v=""/>
    <x v="3"/>
    <x v="0"/>
  </r>
  <r>
    <n v="48654585382"/>
    <n v="4"/>
    <d v="2034-09-07T00:00:00"/>
    <s v=""/>
    <x v="3"/>
    <x v="0"/>
  </r>
  <r>
    <n v="46362947101"/>
    <n v="9"/>
    <d v="2034-09-07T00:00:00"/>
    <s v=""/>
    <x v="3"/>
    <x v="0"/>
  </r>
  <r>
    <n v="59523870179"/>
    <n v="19"/>
    <d v="2034-09-07T00:00:00"/>
    <d v="2034-12-07T00:00:00"/>
    <x v="3"/>
    <x v="7"/>
  </r>
  <r>
    <n v="33488842875"/>
    <n v="21"/>
    <d v="2034-09-07T00:00:00"/>
    <s v=""/>
    <x v="3"/>
    <x v="0"/>
  </r>
  <r>
    <n v="40598789792"/>
    <n v="50"/>
    <d v="2034-09-07T00:00:00"/>
    <d v="2034-11-29T00:00:00"/>
    <x v="3"/>
    <x v="6"/>
  </r>
  <r>
    <n v="25370817215"/>
    <n v="61"/>
    <d v="2034-09-07T00:00:00"/>
    <s v=""/>
    <x v="3"/>
    <x v="0"/>
  </r>
  <r>
    <n v="76955808770"/>
    <n v="120"/>
    <d v="2034-09-07T00:00:00"/>
    <s v=""/>
    <x v="3"/>
    <x v="0"/>
  </r>
  <r>
    <n v="55133310726"/>
    <n v="128"/>
    <d v="2034-09-07T00:00:00"/>
    <s v=""/>
    <x v="3"/>
    <x v="0"/>
  </r>
  <r>
    <n v="28676086505"/>
    <n v="144"/>
    <d v="2034-09-07T00:00:00"/>
    <s v=""/>
    <x v="3"/>
    <x v="0"/>
  </r>
  <r>
    <n v="43657269701"/>
    <n v="145"/>
    <d v="2034-09-07T00:00:00"/>
    <s v=""/>
    <x v="3"/>
    <x v="0"/>
  </r>
  <r>
    <n v="48772566307"/>
    <n v="157"/>
    <d v="2034-09-07T00:00:00"/>
    <m/>
    <x v="3"/>
    <x v="0"/>
  </r>
  <r>
    <n v="39097040319"/>
    <n v="168"/>
    <d v="2034-09-07T00:00:00"/>
    <s v=""/>
    <x v="3"/>
    <x v="0"/>
  </r>
  <r>
    <n v="11639759261"/>
    <n v="173"/>
    <d v="2034-09-07T00:00:00"/>
    <s v=""/>
    <x v="3"/>
    <x v="0"/>
  </r>
  <r>
    <n v="33736916940"/>
    <n v="181"/>
    <d v="2034-09-07T00:00:00"/>
    <s v=""/>
    <x v="3"/>
    <x v="0"/>
  </r>
  <r>
    <n v="46451639042"/>
    <n v="218"/>
    <d v="2034-09-07T00:00:00"/>
    <d v="2034-12-27T00:00:00"/>
    <x v="3"/>
    <x v="7"/>
  </r>
  <r>
    <n v="94513939137"/>
    <n v="221"/>
    <d v="2034-09-07T00:00:00"/>
    <s v=""/>
    <x v="3"/>
    <x v="0"/>
  </r>
  <r>
    <n v="42451707747"/>
    <n v="230"/>
    <d v="2034-09-07T00:00:00"/>
    <d v="2034-10-15T00:00:00"/>
    <x v="3"/>
    <x v="5"/>
  </r>
  <r>
    <n v="66074847246"/>
    <n v="236"/>
    <d v="2034-09-07T00:00:00"/>
    <s v=""/>
    <x v="3"/>
    <x v="0"/>
  </r>
  <r>
    <n v="11896026111"/>
    <n v="244"/>
    <d v="2034-09-07T00:00:00"/>
    <d v="2034-11-20T00:00:00"/>
    <x v="3"/>
    <x v="6"/>
  </r>
  <r>
    <n v="76893196087"/>
    <n v="244"/>
    <d v="2034-09-07T00:00:00"/>
    <s v=""/>
    <x v="3"/>
    <x v="0"/>
  </r>
  <r>
    <n v="16501442430"/>
    <n v="256"/>
    <d v="2034-09-07T00:00:00"/>
    <s v=""/>
    <x v="3"/>
    <x v="0"/>
  </r>
  <r>
    <n v="60821544596"/>
    <n v="267"/>
    <d v="2034-09-07T00:00:00"/>
    <m/>
    <x v="3"/>
    <x v="0"/>
  </r>
  <r>
    <n v="31830620165"/>
    <n v="309"/>
    <d v="2034-09-07T00:00:00"/>
    <s v=""/>
    <x v="3"/>
    <x v="0"/>
  </r>
  <r>
    <n v="75036179722"/>
    <n v="310"/>
    <d v="2034-09-07T00:00:00"/>
    <d v="2034-12-19T00:00:00"/>
    <x v="3"/>
    <x v="7"/>
  </r>
  <r>
    <n v="37000778558"/>
    <n v="314"/>
    <d v="2034-09-07T00:00:00"/>
    <s v=""/>
    <x v="3"/>
    <x v="0"/>
  </r>
  <r>
    <n v="34427126008"/>
    <n v="318"/>
    <d v="2034-09-07T00:00:00"/>
    <s v=""/>
    <x v="3"/>
    <x v="0"/>
  </r>
  <r>
    <n v="70168349958"/>
    <n v="22"/>
    <d v="2034-09-08T00:00:00"/>
    <d v="2034-09-24T00:00:00"/>
    <x v="3"/>
    <x v="3"/>
  </r>
  <r>
    <n v="11151402084"/>
    <n v="28"/>
    <d v="2034-09-08T00:00:00"/>
    <d v="2034-12-29T00:00:00"/>
    <x v="3"/>
    <x v="7"/>
  </r>
  <r>
    <n v="33901752365"/>
    <n v="50"/>
    <d v="2034-09-08T00:00:00"/>
    <s v=""/>
    <x v="3"/>
    <x v="0"/>
  </r>
  <r>
    <n v="28778787332"/>
    <n v="78"/>
    <d v="2034-09-08T00:00:00"/>
    <m/>
    <x v="3"/>
    <x v="0"/>
  </r>
  <r>
    <n v="22725896300"/>
    <n v="93"/>
    <d v="2034-09-08T00:00:00"/>
    <d v="2034-09-16T00:00:00"/>
    <x v="3"/>
    <x v="3"/>
  </r>
  <r>
    <n v="94126125735"/>
    <n v="103"/>
    <d v="2034-09-08T00:00:00"/>
    <d v="2034-09-12T00:00:00"/>
    <x v="3"/>
    <x v="3"/>
  </r>
  <r>
    <n v="31468795206"/>
    <n v="103"/>
    <d v="2034-09-08T00:00:00"/>
    <d v="2034-10-15T00:00:00"/>
    <x v="3"/>
    <x v="5"/>
  </r>
  <r>
    <n v="63119109521"/>
    <n v="158"/>
    <d v="2034-09-08T00:00:00"/>
    <s v=""/>
    <x v="3"/>
    <x v="0"/>
  </r>
  <r>
    <n v="56346253366"/>
    <n v="160"/>
    <d v="2034-09-08T00:00:00"/>
    <s v=""/>
    <x v="3"/>
    <x v="0"/>
  </r>
  <r>
    <n v="91751877852"/>
    <n v="211"/>
    <d v="2034-09-08T00:00:00"/>
    <s v=""/>
    <x v="3"/>
    <x v="0"/>
  </r>
  <r>
    <n v="39308147749"/>
    <n v="221"/>
    <d v="2034-09-08T00:00:00"/>
    <s v=""/>
    <x v="3"/>
    <x v="0"/>
  </r>
  <r>
    <n v="12413591605"/>
    <n v="230"/>
    <d v="2034-09-08T00:00:00"/>
    <s v=""/>
    <x v="3"/>
    <x v="0"/>
  </r>
  <r>
    <n v="19191657724"/>
    <n v="288"/>
    <d v="2034-09-08T00:00:00"/>
    <s v=""/>
    <x v="3"/>
    <x v="0"/>
  </r>
  <r>
    <n v="25751507102"/>
    <n v="300"/>
    <d v="2034-09-08T00:00:00"/>
    <s v=""/>
    <x v="3"/>
    <x v="0"/>
  </r>
  <r>
    <n v="63880945468"/>
    <n v="329"/>
    <d v="2034-09-08T00:00:00"/>
    <s v=""/>
    <x v="3"/>
    <x v="0"/>
  </r>
  <r>
    <n v="30102121747"/>
    <n v="334"/>
    <d v="2034-09-08T00:00:00"/>
    <d v="2034-12-03T00:00:00"/>
    <x v="3"/>
    <x v="7"/>
  </r>
  <r>
    <n v="98913473325"/>
    <n v="12"/>
    <d v="2034-09-09T00:00:00"/>
    <s v=""/>
    <x v="3"/>
    <x v="0"/>
  </r>
  <r>
    <n v="80396303065"/>
    <n v="21"/>
    <d v="2034-09-09T00:00:00"/>
    <s v=""/>
    <x v="3"/>
    <x v="0"/>
  </r>
  <r>
    <n v="79628141460"/>
    <n v="28"/>
    <d v="2034-09-09T00:00:00"/>
    <s v=""/>
    <x v="3"/>
    <x v="0"/>
  </r>
  <r>
    <n v="79445337304"/>
    <n v="30"/>
    <d v="2034-09-09T00:00:00"/>
    <s v=""/>
    <x v="3"/>
    <x v="0"/>
  </r>
  <r>
    <n v="88062783061"/>
    <n v="34"/>
    <d v="2034-09-09T00:00:00"/>
    <s v=""/>
    <x v="3"/>
    <x v="0"/>
  </r>
  <r>
    <n v="47266367533"/>
    <n v="39"/>
    <d v="2034-09-09T00:00:00"/>
    <s v=""/>
    <x v="3"/>
    <x v="0"/>
  </r>
  <r>
    <n v="55176629159"/>
    <n v="45"/>
    <d v="2034-09-09T00:00:00"/>
    <s v=""/>
    <x v="3"/>
    <x v="0"/>
  </r>
  <r>
    <n v="75246527875"/>
    <n v="49"/>
    <d v="2034-09-09T00:00:00"/>
    <s v=""/>
    <x v="3"/>
    <x v="0"/>
  </r>
  <r>
    <n v="18639245341"/>
    <n v="64"/>
    <d v="2034-09-09T00:00:00"/>
    <s v=""/>
    <x v="3"/>
    <x v="0"/>
  </r>
  <r>
    <n v="37354000028"/>
    <n v="107"/>
    <d v="2034-09-09T00:00:00"/>
    <d v="2034-09-24T00:00:00"/>
    <x v="3"/>
    <x v="3"/>
  </r>
  <r>
    <n v="42158484982"/>
    <n v="110"/>
    <d v="2034-09-09T00:00:00"/>
    <s v=""/>
    <x v="3"/>
    <x v="0"/>
  </r>
  <r>
    <n v="98043735407"/>
    <n v="116"/>
    <d v="2034-09-09T00:00:00"/>
    <s v=""/>
    <x v="3"/>
    <x v="0"/>
  </r>
  <r>
    <n v="17807123472"/>
    <n v="138"/>
    <d v="2034-09-09T00:00:00"/>
    <s v=""/>
    <x v="3"/>
    <x v="0"/>
  </r>
  <r>
    <n v="46958969461"/>
    <n v="173"/>
    <d v="2034-09-09T00:00:00"/>
    <s v=""/>
    <x v="3"/>
    <x v="0"/>
  </r>
  <r>
    <n v="38037882582"/>
    <n v="184"/>
    <d v="2034-09-09T00:00:00"/>
    <s v=""/>
    <x v="3"/>
    <x v="0"/>
  </r>
  <r>
    <n v="50517753471"/>
    <n v="230"/>
    <d v="2034-09-09T00:00:00"/>
    <s v=""/>
    <x v="3"/>
    <x v="0"/>
  </r>
  <r>
    <n v="29368028242"/>
    <n v="242"/>
    <d v="2034-09-09T00:00:00"/>
    <s v=""/>
    <x v="3"/>
    <x v="0"/>
  </r>
  <r>
    <n v="52332944607"/>
    <n v="316"/>
    <d v="2034-09-09T00:00:00"/>
    <d v="2034-12-20T00:00:00"/>
    <x v="3"/>
    <x v="7"/>
  </r>
  <r>
    <n v="30220699855"/>
    <n v="36"/>
    <d v="2034-09-10T00:00:00"/>
    <s v=""/>
    <x v="3"/>
    <x v="0"/>
  </r>
  <r>
    <n v="32508306823"/>
    <n v="50"/>
    <d v="2034-09-10T00:00:00"/>
    <s v=""/>
    <x v="3"/>
    <x v="0"/>
  </r>
  <r>
    <n v="13938760632"/>
    <n v="55"/>
    <d v="2034-09-10T00:00:00"/>
    <s v=""/>
    <x v="3"/>
    <x v="0"/>
  </r>
  <r>
    <n v="30234542503"/>
    <n v="91"/>
    <d v="2034-09-10T00:00:00"/>
    <s v=""/>
    <x v="3"/>
    <x v="0"/>
  </r>
  <r>
    <n v="68341002595"/>
    <n v="152"/>
    <d v="2034-09-10T00:00:00"/>
    <s v=""/>
    <x v="3"/>
    <x v="0"/>
  </r>
  <r>
    <n v="24987770759"/>
    <n v="163"/>
    <d v="2034-09-10T00:00:00"/>
    <m/>
    <x v="3"/>
    <x v="0"/>
  </r>
  <r>
    <n v="70619537441"/>
    <n v="181"/>
    <d v="2034-09-10T00:00:00"/>
    <d v="2034-11-05T00:00:00"/>
    <x v="3"/>
    <x v="6"/>
  </r>
  <r>
    <n v="77539473477"/>
    <n v="208"/>
    <d v="2034-09-10T00:00:00"/>
    <s v=""/>
    <x v="3"/>
    <x v="0"/>
  </r>
  <r>
    <n v="33962410335"/>
    <n v="213"/>
    <d v="2034-09-10T00:00:00"/>
    <s v=""/>
    <x v="3"/>
    <x v="0"/>
  </r>
  <r>
    <n v="76743512461"/>
    <n v="222"/>
    <d v="2034-09-10T00:00:00"/>
    <m/>
    <x v="3"/>
    <x v="0"/>
  </r>
  <r>
    <n v="93629449695"/>
    <n v="232"/>
    <d v="2034-09-10T00:00:00"/>
    <s v=""/>
    <x v="3"/>
    <x v="0"/>
  </r>
  <r>
    <n v="48826922500"/>
    <n v="244"/>
    <d v="2034-09-10T00:00:00"/>
    <d v="2034-12-28T00:00:00"/>
    <x v="3"/>
    <x v="7"/>
  </r>
  <r>
    <n v="33526599362"/>
    <n v="255"/>
    <d v="2034-09-10T00:00:00"/>
    <s v=""/>
    <x v="3"/>
    <x v="0"/>
  </r>
  <r>
    <n v="21155095704"/>
    <n v="260"/>
    <d v="2034-09-10T00:00:00"/>
    <s v=""/>
    <x v="3"/>
    <x v="0"/>
  </r>
  <r>
    <n v="78903880762"/>
    <n v="278"/>
    <d v="2034-09-10T00:00:00"/>
    <s v=""/>
    <x v="3"/>
    <x v="0"/>
  </r>
  <r>
    <n v="81581797889"/>
    <n v="280"/>
    <d v="2034-09-10T00:00:00"/>
    <s v=""/>
    <x v="3"/>
    <x v="0"/>
  </r>
  <r>
    <n v="78164362293"/>
    <n v="282"/>
    <d v="2034-09-10T00:00:00"/>
    <s v=""/>
    <x v="3"/>
    <x v="0"/>
  </r>
  <r>
    <n v="68231355043"/>
    <n v="296"/>
    <d v="2034-09-10T00:00:00"/>
    <s v=""/>
    <x v="3"/>
    <x v="0"/>
  </r>
  <r>
    <n v="90426062739"/>
    <n v="303"/>
    <d v="2034-09-10T00:00:00"/>
    <m/>
    <x v="3"/>
    <x v="0"/>
  </r>
  <r>
    <n v="43669631007"/>
    <n v="307"/>
    <d v="2034-09-10T00:00:00"/>
    <d v="2034-12-07T00:00:00"/>
    <x v="3"/>
    <x v="7"/>
  </r>
  <r>
    <n v="13124971946"/>
    <n v="317"/>
    <d v="2034-09-10T00:00:00"/>
    <s v=""/>
    <x v="3"/>
    <x v="0"/>
  </r>
  <r>
    <n v="92036052340"/>
    <n v="318"/>
    <d v="2034-09-10T00:00:00"/>
    <d v="2034-10-26T00:00:00"/>
    <x v="3"/>
    <x v="5"/>
  </r>
  <r>
    <n v="85463563435"/>
    <n v="324"/>
    <d v="2034-09-10T00:00:00"/>
    <s v=""/>
    <x v="3"/>
    <x v="0"/>
  </r>
  <r>
    <n v="77221612317"/>
    <n v="330"/>
    <d v="2034-09-10T00:00:00"/>
    <s v=""/>
    <x v="3"/>
    <x v="0"/>
  </r>
  <r>
    <n v="97938807663"/>
    <n v="6"/>
    <d v="2034-09-11T00:00:00"/>
    <s v=""/>
    <x v="3"/>
    <x v="0"/>
  </r>
  <r>
    <n v="37988148801"/>
    <n v="8"/>
    <d v="2034-09-11T00:00:00"/>
    <m/>
    <x v="3"/>
    <x v="0"/>
  </r>
  <r>
    <n v="84412448491"/>
    <n v="22"/>
    <d v="2034-09-11T00:00:00"/>
    <s v=""/>
    <x v="3"/>
    <x v="0"/>
  </r>
  <r>
    <n v="60243325060"/>
    <n v="46"/>
    <d v="2034-09-11T00:00:00"/>
    <s v=""/>
    <x v="3"/>
    <x v="0"/>
  </r>
  <r>
    <n v="64934211257"/>
    <n v="98"/>
    <d v="2034-09-11T00:00:00"/>
    <s v=""/>
    <x v="3"/>
    <x v="0"/>
  </r>
  <r>
    <n v="34743930840"/>
    <n v="116"/>
    <d v="2034-09-11T00:00:00"/>
    <s v=""/>
    <x v="3"/>
    <x v="0"/>
  </r>
  <r>
    <n v="63544860714"/>
    <n v="125"/>
    <d v="2034-09-11T00:00:00"/>
    <d v="2034-12-16T00:00:00"/>
    <x v="3"/>
    <x v="7"/>
  </r>
  <r>
    <n v="75064562380"/>
    <n v="143"/>
    <d v="2034-09-11T00:00:00"/>
    <s v=""/>
    <x v="3"/>
    <x v="0"/>
  </r>
  <r>
    <n v="77343224888"/>
    <n v="148"/>
    <d v="2034-09-11T00:00:00"/>
    <s v=""/>
    <x v="3"/>
    <x v="0"/>
  </r>
  <r>
    <n v="29142500462"/>
    <n v="149"/>
    <d v="2034-09-11T00:00:00"/>
    <d v="2034-11-15T00:00:00"/>
    <x v="3"/>
    <x v="6"/>
  </r>
  <r>
    <n v="98965314431"/>
    <n v="157"/>
    <d v="2034-09-11T00:00:00"/>
    <s v=""/>
    <x v="3"/>
    <x v="0"/>
  </r>
  <r>
    <n v="28680314296"/>
    <n v="177"/>
    <d v="2034-09-11T00:00:00"/>
    <m/>
    <x v="3"/>
    <x v="0"/>
  </r>
  <r>
    <n v="91727551256"/>
    <n v="187"/>
    <d v="2034-09-11T00:00:00"/>
    <s v=""/>
    <x v="3"/>
    <x v="0"/>
  </r>
  <r>
    <n v="77484279838"/>
    <n v="197"/>
    <d v="2034-09-11T00:00:00"/>
    <s v=""/>
    <x v="3"/>
    <x v="0"/>
  </r>
  <r>
    <n v="45123692958"/>
    <n v="250"/>
    <d v="2034-09-11T00:00:00"/>
    <d v="2034-09-19T00:00:00"/>
    <x v="3"/>
    <x v="3"/>
  </r>
  <r>
    <n v="92379872076"/>
    <n v="274"/>
    <d v="2034-09-11T00:00:00"/>
    <s v=""/>
    <x v="3"/>
    <x v="0"/>
  </r>
  <r>
    <n v="73426277974"/>
    <n v="277"/>
    <d v="2034-09-11T00:00:00"/>
    <s v=""/>
    <x v="3"/>
    <x v="0"/>
  </r>
  <r>
    <n v="50093477578"/>
    <n v="305"/>
    <d v="2034-09-11T00:00:00"/>
    <m/>
    <x v="3"/>
    <x v="0"/>
  </r>
  <r>
    <n v="90662196366"/>
    <n v="311"/>
    <d v="2034-09-11T00:00:00"/>
    <s v=""/>
    <x v="3"/>
    <x v="0"/>
  </r>
  <r>
    <n v="36801513441"/>
    <n v="316"/>
    <d v="2034-09-11T00:00:00"/>
    <s v=""/>
    <x v="3"/>
    <x v="0"/>
  </r>
  <r>
    <n v="30530133987"/>
    <n v="13"/>
    <d v="2034-09-12T00:00:00"/>
    <s v=""/>
    <x v="3"/>
    <x v="0"/>
  </r>
  <r>
    <n v="20965242970"/>
    <n v="21"/>
    <d v="2034-09-12T00:00:00"/>
    <m/>
    <x v="3"/>
    <x v="0"/>
  </r>
  <r>
    <n v="80202560192"/>
    <n v="27"/>
    <d v="2034-09-12T00:00:00"/>
    <s v=""/>
    <x v="3"/>
    <x v="0"/>
  </r>
  <r>
    <n v="93977785868"/>
    <n v="30"/>
    <d v="2034-09-12T00:00:00"/>
    <s v=""/>
    <x v="3"/>
    <x v="0"/>
  </r>
  <r>
    <n v="50033748203"/>
    <n v="38"/>
    <d v="2034-09-12T00:00:00"/>
    <d v="2034-12-28T00:00:00"/>
    <x v="3"/>
    <x v="7"/>
  </r>
  <r>
    <n v="35616081116"/>
    <n v="63"/>
    <d v="2034-09-12T00:00:00"/>
    <d v="2034-09-18T00:00:00"/>
    <x v="3"/>
    <x v="3"/>
  </r>
  <r>
    <n v="85159855241"/>
    <n v="63"/>
    <d v="2034-09-12T00:00:00"/>
    <s v=""/>
    <x v="3"/>
    <x v="0"/>
  </r>
  <r>
    <n v="22424129348"/>
    <n v="65"/>
    <d v="2034-09-12T00:00:00"/>
    <s v=""/>
    <x v="3"/>
    <x v="0"/>
  </r>
  <r>
    <n v="32409691233"/>
    <n v="94"/>
    <d v="2034-09-12T00:00:00"/>
    <s v=""/>
    <x v="3"/>
    <x v="0"/>
  </r>
  <r>
    <n v="79763292733"/>
    <n v="136"/>
    <d v="2034-09-12T00:00:00"/>
    <s v=""/>
    <x v="3"/>
    <x v="0"/>
  </r>
  <r>
    <n v="99122585428"/>
    <n v="143"/>
    <d v="2034-09-12T00:00:00"/>
    <s v=""/>
    <x v="3"/>
    <x v="0"/>
  </r>
  <r>
    <n v="91014811643"/>
    <n v="155"/>
    <d v="2034-09-12T00:00:00"/>
    <s v=""/>
    <x v="3"/>
    <x v="0"/>
  </r>
  <r>
    <n v="34082592641"/>
    <n v="172"/>
    <d v="2034-09-12T00:00:00"/>
    <d v="2034-11-08T00:00:00"/>
    <x v="3"/>
    <x v="6"/>
  </r>
  <r>
    <n v="82721995333"/>
    <n v="181"/>
    <d v="2034-09-12T00:00:00"/>
    <s v=""/>
    <x v="3"/>
    <x v="0"/>
  </r>
  <r>
    <n v="21411358286"/>
    <n v="182"/>
    <d v="2034-09-12T00:00:00"/>
    <s v=""/>
    <x v="3"/>
    <x v="0"/>
  </r>
  <r>
    <n v="41789102856"/>
    <n v="190"/>
    <d v="2034-09-12T00:00:00"/>
    <s v=""/>
    <x v="3"/>
    <x v="0"/>
  </r>
  <r>
    <n v="62874457589"/>
    <n v="197"/>
    <d v="2034-09-12T00:00:00"/>
    <d v="2034-09-13T00:00:00"/>
    <x v="3"/>
    <x v="3"/>
  </r>
  <r>
    <n v="83307364661"/>
    <n v="199"/>
    <d v="2034-09-12T00:00:00"/>
    <s v=""/>
    <x v="3"/>
    <x v="0"/>
  </r>
  <r>
    <n v="30063549249"/>
    <n v="223"/>
    <d v="2034-09-12T00:00:00"/>
    <s v=""/>
    <x v="3"/>
    <x v="0"/>
  </r>
  <r>
    <n v="99209071936"/>
    <n v="235"/>
    <d v="2034-09-12T00:00:00"/>
    <s v=""/>
    <x v="3"/>
    <x v="0"/>
  </r>
  <r>
    <n v="57427827508"/>
    <n v="277"/>
    <d v="2034-09-12T00:00:00"/>
    <d v="2034-10-23T00:00:00"/>
    <x v="3"/>
    <x v="5"/>
  </r>
  <r>
    <n v="93580894599"/>
    <n v="303"/>
    <d v="2034-09-12T00:00:00"/>
    <s v=""/>
    <x v="3"/>
    <x v="0"/>
  </r>
  <r>
    <n v="28406355682"/>
    <n v="306"/>
    <d v="2034-09-12T00:00:00"/>
    <s v=""/>
    <x v="3"/>
    <x v="0"/>
  </r>
  <r>
    <n v="45314695347"/>
    <n v="331"/>
    <d v="2034-09-12T00:00:00"/>
    <s v=""/>
    <x v="3"/>
    <x v="0"/>
  </r>
  <r>
    <n v="12353144655"/>
    <n v="32"/>
    <d v="2034-09-13T00:00:00"/>
    <d v="2034-10-28T00:00:00"/>
    <x v="3"/>
    <x v="5"/>
  </r>
  <r>
    <n v="58125780905"/>
    <n v="74"/>
    <d v="2034-09-13T00:00:00"/>
    <s v=""/>
    <x v="3"/>
    <x v="0"/>
  </r>
  <r>
    <n v="99042247735"/>
    <n v="103"/>
    <d v="2034-09-13T00:00:00"/>
    <s v=""/>
    <x v="3"/>
    <x v="0"/>
  </r>
  <r>
    <n v="58815065905"/>
    <n v="111"/>
    <d v="2034-09-13T00:00:00"/>
    <s v=""/>
    <x v="3"/>
    <x v="0"/>
  </r>
  <r>
    <n v="29940760197"/>
    <n v="142"/>
    <d v="2034-09-13T00:00:00"/>
    <s v=""/>
    <x v="3"/>
    <x v="0"/>
  </r>
  <r>
    <n v="69205896458"/>
    <n v="159"/>
    <d v="2034-09-13T00:00:00"/>
    <s v=""/>
    <x v="3"/>
    <x v="0"/>
  </r>
  <r>
    <n v="67881001573"/>
    <n v="165"/>
    <d v="2034-09-13T00:00:00"/>
    <s v=""/>
    <x v="3"/>
    <x v="0"/>
  </r>
  <r>
    <n v="80528499000"/>
    <n v="184"/>
    <d v="2034-09-13T00:00:00"/>
    <s v=""/>
    <x v="3"/>
    <x v="0"/>
  </r>
  <r>
    <n v="23082992959"/>
    <n v="191"/>
    <d v="2034-09-13T00:00:00"/>
    <m/>
    <x v="3"/>
    <x v="0"/>
  </r>
  <r>
    <n v="66631134390"/>
    <n v="199"/>
    <d v="2034-09-13T00:00:00"/>
    <s v=""/>
    <x v="3"/>
    <x v="0"/>
  </r>
  <r>
    <n v="12991609695"/>
    <n v="201"/>
    <d v="2034-09-13T00:00:00"/>
    <s v=""/>
    <x v="3"/>
    <x v="0"/>
  </r>
  <r>
    <n v="88825339882"/>
    <n v="211"/>
    <d v="2034-09-13T00:00:00"/>
    <s v=""/>
    <x v="3"/>
    <x v="0"/>
  </r>
  <r>
    <n v="22602418957"/>
    <n v="240"/>
    <d v="2034-09-13T00:00:00"/>
    <s v=""/>
    <x v="3"/>
    <x v="0"/>
  </r>
  <r>
    <n v="59896675916"/>
    <n v="265"/>
    <d v="2034-09-13T00:00:00"/>
    <s v=""/>
    <x v="3"/>
    <x v="0"/>
  </r>
  <r>
    <n v="12463662703"/>
    <n v="274"/>
    <d v="2034-09-13T00:00:00"/>
    <s v=""/>
    <x v="3"/>
    <x v="0"/>
  </r>
  <r>
    <n v="18332216394"/>
    <n v="3"/>
    <d v="2034-09-14T00:00:00"/>
    <s v=""/>
    <x v="3"/>
    <x v="0"/>
  </r>
  <r>
    <n v="35842589470"/>
    <n v="8"/>
    <d v="2034-09-14T00:00:00"/>
    <s v=""/>
    <x v="3"/>
    <x v="0"/>
  </r>
  <r>
    <n v="75465984942"/>
    <n v="12"/>
    <d v="2034-09-14T00:00:00"/>
    <s v=""/>
    <x v="3"/>
    <x v="0"/>
  </r>
  <r>
    <n v="56601840378"/>
    <n v="24"/>
    <d v="2034-09-14T00:00:00"/>
    <d v="2034-11-22T00:00:00"/>
    <x v="3"/>
    <x v="6"/>
  </r>
  <r>
    <n v="48461349618"/>
    <n v="25"/>
    <d v="2034-09-14T00:00:00"/>
    <s v=""/>
    <x v="3"/>
    <x v="0"/>
  </r>
  <r>
    <n v="14735677781"/>
    <n v="25"/>
    <d v="2034-09-14T00:00:00"/>
    <s v=""/>
    <x v="3"/>
    <x v="0"/>
  </r>
  <r>
    <n v="70655332493"/>
    <n v="33"/>
    <d v="2034-09-14T00:00:00"/>
    <s v=""/>
    <x v="3"/>
    <x v="0"/>
  </r>
  <r>
    <n v="68483264813"/>
    <n v="37"/>
    <d v="2034-09-14T00:00:00"/>
    <s v=""/>
    <x v="3"/>
    <x v="0"/>
  </r>
  <r>
    <n v="15464509795"/>
    <n v="52"/>
    <d v="2034-09-14T00:00:00"/>
    <s v=""/>
    <x v="3"/>
    <x v="0"/>
  </r>
  <r>
    <n v="19134771900"/>
    <n v="53"/>
    <d v="2034-09-14T00:00:00"/>
    <d v="2034-12-17T00:00:00"/>
    <x v="3"/>
    <x v="7"/>
  </r>
  <r>
    <n v="93815564987"/>
    <n v="58"/>
    <d v="2034-09-14T00:00:00"/>
    <s v=""/>
    <x v="3"/>
    <x v="0"/>
  </r>
  <r>
    <n v="84281088288"/>
    <n v="73"/>
    <d v="2034-09-14T00:00:00"/>
    <s v=""/>
    <x v="3"/>
    <x v="0"/>
  </r>
  <r>
    <n v="71562071667"/>
    <n v="75"/>
    <d v="2034-09-14T00:00:00"/>
    <s v=""/>
    <x v="3"/>
    <x v="0"/>
  </r>
  <r>
    <n v="19353981345"/>
    <n v="80"/>
    <d v="2034-09-14T00:00:00"/>
    <d v="2034-09-15T00:00:00"/>
    <x v="3"/>
    <x v="3"/>
  </r>
  <r>
    <n v="87361112227"/>
    <n v="107"/>
    <d v="2034-09-14T00:00:00"/>
    <d v="2034-12-05T00:00:00"/>
    <x v="3"/>
    <x v="7"/>
  </r>
  <r>
    <n v="53326233567"/>
    <n v="114"/>
    <d v="2034-09-14T00:00:00"/>
    <m/>
    <x v="3"/>
    <x v="0"/>
  </r>
  <r>
    <n v="46302306991"/>
    <n v="125"/>
    <d v="2034-09-14T00:00:00"/>
    <s v=""/>
    <x v="3"/>
    <x v="0"/>
  </r>
  <r>
    <n v="58437585393"/>
    <n v="132"/>
    <d v="2034-09-14T00:00:00"/>
    <s v=""/>
    <x v="3"/>
    <x v="0"/>
  </r>
  <r>
    <n v="51654157620"/>
    <n v="138"/>
    <d v="2034-09-14T00:00:00"/>
    <s v=""/>
    <x v="3"/>
    <x v="0"/>
  </r>
  <r>
    <n v="90334329840"/>
    <n v="156"/>
    <d v="2034-09-14T00:00:00"/>
    <s v=""/>
    <x v="3"/>
    <x v="0"/>
  </r>
  <r>
    <n v="66667303726"/>
    <n v="168"/>
    <d v="2034-09-14T00:00:00"/>
    <s v=""/>
    <x v="3"/>
    <x v="0"/>
  </r>
  <r>
    <n v="93162029016"/>
    <n v="172"/>
    <d v="2034-09-14T00:00:00"/>
    <d v="2034-10-02T00:00:00"/>
    <x v="3"/>
    <x v="5"/>
  </r>
  <r>
    <n v="20392133249"/>
    <n v="178"/>
    <d v="2034-09-14T00:00:00"/>
    <s v=""/>
    <x v="3"/>
    <x v="0"/>
  </r>
  <r>
    <n v="31302796606"/>
    <n v="191"/>
    <d v="2034-09-14T00:00:00"/>
    <d v="2034-11-08T00:00:00"/>
    <x v="3"/>
    <x v="6"/>
  </r>
  <r>
    <n v="43790776024"/>
    <n v="195"/>
    <d v="2034-09-14T00:00:00"/>
    <m/>
    <x v="3"/>
    <x v="0"/>
  </r>
  <r>
    <n v="70173474694"/>
    <n v="207"/>
    <d v="2034-09-14T00:00:00"/>
    <s v=""/>
    <x v="3"/>
    <x v="0"/>
  </r>
  <r>
    <n v="50775468666"/>
    <n v="208"/>
    <d v="2034-09-14T00:00:00"/>
    <s v=""/>
    <x v="3"/>
    <x v="0"/>
  </r>
  <r>
    <n v="21823931269"/>
    <n v="209"/>
    <d v="2034-09-14T00:00:00"/>
    <s v=""/>
    <x v="3"/>
    <x v="0"/>
  </r>
  <r>
    <n v="25718770465"/>
    <n v="233"/>
    <d v="2034-09-14T00:00:00"/>
    <s v=""/>
    <x v="3"/>
    <x v="0"/>
  </r>
  <r>
    <n v="31707406734"/>
    <n v="247"/>
    <d v="2034-09-14T00:00:00"/>
    <d v="2035-01-04T00:00:00"/>
    <x v="3"/>
    <x v="8"/>
  </r>
  <r>
    <n v="18606959229"/>
    <n v="255"/>
    <d v="2034-09-14T00:00:00"/>
    <s v=""/>
    <x v="3"/>
    <x v="0"/>
  </r>
  <r>
    <n v="66251064569"/>
    <n v="269"/>
    <d v="2034-09-14T00:00:00"/>
    <s v=""/>
    <x v="3"/>
    <x v="0"/>
  </r>
  <r>
    <n v="24874146469"/>
    <n v="271"/>
    <d v="2034-09-14T00:00:00"/>
    <d v="2034-09-29T00:00:00"/>
    <x v="3"/>
    <x v="3"/>
  </r>
  <r>
    <n v="64276567179"/>
    <n v="278"/>
    <d v="2034-09-14T00:00:00"/>
    <s v=""/>
    <x v="3"/>
    <x v="0"/>
  </r>
  <r>
    <n v="66519346631"/>
    <n v="299"/>
    <d v="2034-09-14T00:00:00"/>
    <d v="2034-12-19T00:00:00"/>
    <x v="3"/>
    <x v="7"/>
  </r>
  <r>
    <n v="80555065189"/>
    <n v="13"/>
    <d v="2034-09-15T00:00:00"/>
    <s v=""/>
    <x v="3"/>
    <x v="0"/>
  </r>
  <r>
    <n v="51794645262"/>
    <n v="14"/>
    <d v="2034-09-15T00:00:00"/>
    <s v=""/>
    <x v="3"/>
    <x v="0"/>
  </r>
  <r>
    <n v="40073604841"/>
    <n v="17"/>
    <d v="2034-09-15T00:00:00"/>
    <s v=""/>
    <x v="3"/>
    <x v="0"/>
  </r>
  <r>
    <n v="80412428606"/>
    <n v="29"/>
    <d v="2034-09-15T00:00:00"/>
    <s v=""/>
    <x v="3"/>
    <x v="0"/>
  </r>
  <r>
    <n v="63190043232"/>
    <n v="43"/>
    <d v="2034-09-15T00:00:00"/>
    <d v="2034-12-27T00:00:00"/>
    <x v="3"/>
    <x v="7"/>
  </r>
  <r>
    <n v="34204745274"/>
    <n v="59"/>
    <d v="2034-09-15T00:00:00"/>
    <s v=""/>
    <x v="3"/>
    <x v="0"/>
  </r>
  <r>
    <n v="27686098159"/>
    <n v="83"/>
    <d v="2034-09-15T00:00:00"/>
    <s v=""/>
    <x v="3"/>
    <x v="0"/>
  </r>
  <r>
    <n v="19453356092"/>
    <n v="92"/>
    <d v="2034-09-15T00:00:00"/>
    <s v=""/>
    <x v="3"/>
    <x v="0"/>
  </r>
  <r>
    <n v="97407183199"/>
    <n v="106"/>
    <d v="2034-09-15T00:00:00"/>
    <s v=""/>
    <x v="3"/>
    <x v="0"/>
  </r>
  <r>
    <n v="12142425875"/>
    <n v="113"/>
    <d v="2034-09-15T00:00:00"/>
    <s v=""/>
    <x v="3"/>
    <x v="0"/>
  </r>
  <r>
    <n v="97034855014"/>
    <n v="118"/>
    <d v="2034-09-15T00:00:00"/>
    <s v=""/>
    <x v="3"/>
    <x v="0"/>
  </r>
  <r>
    <n v="19544625993"/>
    <n v="121"/>
    <d v="2034-09-15T00:00:00"/>
    <s v=""/>
    <x v="3"/>
    <x v="0"/>
  </r>
  <r>
    <n v="73220107813"/>
    <n v="138"/>
    <d v="2034-09-15T00:00:00"/>
    <d v="2034-10-23T00:00:00"/>
    <x v="3"/>
    <x v="5"/>
  </r>
  <r>
    <n v="33096264039"/>
    <n v="145"/>
    <d v="2034-09-15T00:00:00"/>
    <m/>
    <x v="3"/>
    <x v="0"/>
  </r>
  <r>
    <n v="46826298451"/>
    <n v="147"/>
    <d v="2034-09-15T00:00:00"/>
    <d v="2034-09-22T00:00:00"/>
    <x v="3"/>
    <x v="3"/>
  </r>
  <r>
    <n v="81456594097"/>
    <n v="148"/>
    <d v="2034-09-15T00:00:00"/>
    <d v="2034-10-26T00:00:00"/>
    <x v="3"/>
    <x v="5"/>
  </r>
  <r>
    <n v="80537910851"/>
    <n v="157"/>
    <d v="2034-09-15T00:00:00"/>
    <s v=""/>
    <x v="3"/>
    <x v="0"/>
  </r>
  <r>
    <n v="91325447101"/>
    <n v="157"/>
    <d v="2034-09-15T00:00:00"/>
    <s v=""/>
    <x v="3"/>
    <x v="0"/>
  </r>
  <r>
    <n v="69832092965"/>
    <n v="158"/>
    <d v="2034-09-15T00:00:00"/>
    <s v=""/>
    <x v="3"/>
    <x v="0"/>
  </r>
  <r>
    <n v="41311365154"/>
    <n v="187"/>
    <d v="2034-09-15T00:00:00"/>
    <s v=""/>
    <x v="3"/>
    <x v="0"/>
  </r>
  <r>
    <n v="53753188385"/>
    <n v="195"/>
    <d v="2034-09-15T00:00:00"/>
    <s v=""/>
    <x v="3"/>
    <x v="0"/>
  </r>
  <r>
    <n v="97582604359"/>
    <n v="203"/>
    <d v="2034-09-15T00:00:00"/>
    <d v="2034-10-02T00:00:00"/>
    <x v="3"/>
    <x v="5"/>
  </r>
  <r>
    <n v="86723079987"/>
    <n v="230"/>
    <d v="2034-09-15T00:00:00"/>
    <d v="2034-12-27T00:00:00"/>
    <x v="3"/>
    <x v="7"/>
  </r>
  <r>
    <n v="78488327742"/>
    <n v="269"/>
    <d v="2034-09-15T00:00:00"/>
    <s v=""/>
    <x v="3"/>
    <x v="0"/>
  </r>
  <r>
    <n v="65977202382"/>
    <n v="283"/>
    <d v="2034-09-15T00:00:00"/>
    <d v="2034-11-28T00:00:00"/>
    <x v="3"/>
    <x v="6"/>
  </r>
  <r>
    <n v="95691057239"/>
    <n v="285"/>
    <d v="2034-09-15T00:00:00"/>
    <d v="2034-11-02T00:00:00"/>
    <x v="3"/>
    <x v="6"/>
  </r>
  <r>
    <n v="57143888609"/>
    <n v="290"/>
    <d v="2034-09-15T00:00:00"/>
    <s v=""/>
    <x v="3"/>
    <x v="0"/>
  </r>
  <r>
    <n v="68332165705"/>
    <n v="300"/>
    <d v="2034-09-15T00:00:00"/>
    <d v="2034-11-21T00:00:00"/>
    <x v="3"/>
    <x v="6"/>
  </r>
  <r>
    <n v="76208358665"/>
    <n v="306"/>
    <d v="2034-09-15T00:00:00"/>
    <s v=""/>
    <x v="3"/>
    <x v="0"/>
  </r>
  <r>
    <n v="45522024070"/>
    <n v="325"/>
    <d v="2034-09-15T00:00:00"/>
    <d v="2034-10-27T00:00:00"/>
    <x v="3"/>
    <x v="5"/>
  </r>
  <r>
    <n v="60017541239"/>
    <n v="334"/>
    <d v="2034-09-15T00:00:00"/>
    <d v="2034-11-12T00:00:00"/>
    <x v="3"/>
    <x v="6"/>
  </r>
  <r>
    <n v="79550512885"/>
    <n v="335"/>
    <d v="2034-09-15T00:00:00"/>
    <d v="2034-12-02T00:00:00"/>
    <x v="3"/>
    <x v="7"/>
  </r>
  <r>
    <n v="91447340834"/>
    <n v="6"/>
    <d v="2034-09-16T00:00:00"/>
    <s v=""/>
    <x v="3"/>
    <x v="0"/>
  </r>
  <r>
    <n v="19084014471"/>
    <n v="37"/>
    <d v="2034-09-16T00:00:00"/>
    <s v=""/>
    <x v="3"/>
    <x v="0"/>
  </r>
  <r>
    <n v="32003589218"/>
    <n v="41"/>
    <d v="2034-09-16T00:00:00"/>
    <s v=""/>
    <x v="3"/>
    <x v="0"/>
  </r>
  <r>
    <n v="75769371124"/>
    <n v="66"/>
    <d v="2034-09-16T00:00:00"/>
    <s v=""/>
    <x v="3"/>
    <x v="0"/>
  </r>
  <r>
    <n v="59914240557"/>
    <n v="84"/>
    <d v="2034-09-16T00:00:00"/>
    <s v=""/>
    <x v="3"/>
    <x v="0"/>
  </r>
  <r>
    <n v="47958791139"/>
    <n v="152"/>
    <d v="2034-09-16T00:00:00"/>
    <s v=""/>
    <x v="3"/>
    <x v="0"/>
  </r>
  <r>
    <n v="38562267342"/>
    <n v="154"/>
    <d v="2034-09-16T00:00:00"/>
    <s v=""/>
    <x v="3"/>
    <x v="0"/>
  </r>
  <r>
    <n v="20588485193"/>
    <n v="169"/>
    <d v="2034-09-16T00:00:00"/>
    <s v=""/>
    <x v="3"/>
    <x v="0"/>
  </r>
  <r>
    <n v="28919544610"/>
    <n v="218"/>
    <d v="2034-09-16T00:00:00"/>
    <s v=""/>
    <x v="3"/>
    <x v="0"/>
  </r>
  <r>
    <n v="94742230913"/>
    <n v="224"/>
    <d v="2034-09-16T00:00:00"/>
    <s v=""/>
    <x v="3"/>
    <x v="0"/>
  </r>
  <r>
    <n v="86281493652"/>
    <n v="226"/>
    <d v="2034-09-16T00:00:00"/>
    <d v="2034-12-12T00:00:00"/>
    <x v="3"/>
    <x v="7"/>
  </r>
  <r>
    <n v="94394782228"/>
    <n v="230"/>
    <d v="2034-09-16T00:00:00"/>
    <s v=""/>
    <x v="3"/>
    <x v="0"/>
  </r>
  <r>
    <n v="33967945989"/>
    <n v="231"/>
    <d v="2034-09-16T00:00:00"/>
    <s v=""/>
    <x v="3"/>
    <x v="0"/>
  </r>
  <r>
    <n v="74309669950"/>
    <n v="245"/>
    <d v="2034-09-16T00:00:00"/>
    <d v="2034-12-12T00:00:00"/>
    <x v="3"/>
    <x v="7"/>
  </r>
  <r>
    <n v="35423505307"/>
    <n v="247"/>
    <d v="2034-09-16T00:00:00"/>
    <s v=""/>
    <x v="3"/>
    <x v="0"/>
  </r>
  <r>
    <n v="31316609570"/>
    <n v="251"/>
    <d v="2034-09-16T00:00:00"/>
    <d v="2034-10-08T00:00:00"/>
    <x v="3"/>
    <x v="5"/>
  </r>
  <r>
    <n v="55906670927"/>
    <n v="261"/>
    <d v="2034-09-16T00:00:00"/>
    <s v=""/>
    <x v="3"/>
    <x v="0"/>
  </r>
  <r>
    <n v="27622417063"/>
    <n v="282"/>
    <d v="2034-09-16T00:00:00"/>
    <s v=""/>
    <x v="3"/>
    <x v="0"/>
  </r>
  <r>
    <n v="40884554289"/>
    <n v="285"/>
    <d v="2034-09-16T00:00:00"/>
    <s v=""/>
    <x v="3"/>
    <x v="0"/>
  </r>
  <r>
    <n v="68061005432"/>
    <n v="6"/>
    <d v="2034-09-17T00:00:00"/>
    <s v=""/>
    <x v="3"/>
    <x v="0"/>
  </r>
  <r>
    <n v="91541544344"/>
    <n v="20"/>
    <d v="2034-09-17T00:00:00"/>
    <s v=""/>
    <x v="3"/>
    <x v="0"/>
  </r>
  <r>
    <n v="76259864966"/>
    <n v="21"/>
    <d v="2034-09-17T00:00:00"/>
    <s v=""/>
    <x v="3"/>
    <x v="0"/>
  </r>
  <r>
    <n v="15744634888"/>
    <n v="48"/>
    <d v="2034-09-17T00:00:00"/>
    <d v="2035-01-04T00:00:00"/>
    <x v="3"/>
    <x v="8"/>
  </r>
  <r>
    <n v="84497049637"/>
    <n v="61"/>
    <d v="2034-09-17T00:00:00"/>
    <d v="2034-11-10T00:00:00"/>
    <x v="3"/>
    <x v="6"/>
  </r>
  <r>
    <n v="81629317348"/>
    <n v="63"/>
    <d v="2034-09-17T00:00:00"/>
    <s v=""/>
    <x v="3"/>
    <x v="0"/>
  </r>
  <r>
    <n v="85746919179"/>
    <n v="64"/>
    <d v="2034-09-17T00:00:00"/>
    <s v=""/>
    <x v="3"/>
    <x v="0"/>
  </r>
  <r>
    <n v="13408241443"/>
    <n v="67"/>
    <d v="2034-09-17T00:00:00"/>
    <d v="2034-11-09T00:00:00"/>
    <x v="3"/>
    <x v="6"/>
  </r>
  <r>
    <n v="61664956750"/>
    <n v="69"/>
    <d v="2034-09-17T00:00:00"/>
    <s v=""/>
    <x v="3"/>
    <x v="0"/>
  </r>
  <r>
    <n v="42139133377"/>
    <n v="75"/>
    <d v="2034-09-17T00:00:00"/>
    <s v=""/>
    <x v="3"/>
    <x v="0"/>
  </r>
  <r>
    <n v="30941135445"/>
    <n v="77"/>
    <d v="2034-09-17T00:00:00"/>
    <s v=""/>
    <x v="3"/>
    <x v="0"/>
  </r>
  <r>
    <n v="39631171964"/>
    <n v="110"/>
    <d v="2034-09-17T00:00:00"/>
    <s v=""/>
    <x v="3"/>
    <x v="0"/>
  </r>
  <r>
    <n v="57633449586"/>
    <n v="121"/>
    <d v="2034-09-17T00:00:00"/>
    <s v=""/>
    <x v="3"/>
    <x v="0"/>
  </r>
  <r>
    <n v="95020519210"/>
    <n v="123"/>
    <d v="2034-09-17T00:00:00"/>
    <d v="2035-01-02T00:00:00"/>
    <x v="3"/>
    <x v="8"/>
  </r>
  <r>
    <n v="23910512364"/>
    <n v="125"/>
    <d v="2034-09-17T00:00:00"/>
    <d v="2034-09-25T00:00:00"/>
    <x v="3"/>
    <x v="3"/>
  </r>
  <r>
    <n v="65893452023"/>
    <n v="164"/>
    <d v="2034-09-17T00:00:00"/>
    <d v="2034-11-26T00:00:00"/>
    <x v="3"/>
    <x v="6"/>
  </r>
  <r>
    <n v="38037924195"/>
    <n v="182"/>
    <d v="2034-09-17T00:00:00"/>
    <s v=""/>
    <x v="3"/>
    <x v="0"/>
  </r>
  <r>
    <n v="82861813995"/>
    <n v="184"/>
    <d v="2034-09-17T00:00:00"/>
    <s v=""/>
    <x v="3"/>
    <x v="0"/>
  </r>
  <r>
    <n v="80851986196"/>
    <n v="249"/>
    <d v="2034-09-17T00:00:00"/>
    <s v=""/>
    <x v="3"/>
    <x v="0"/>
  </r>
  <r>
    <n v="93167150728"/>
    <n v="254"/>
    <d v="2034-09-17T00:00:00"/>
    <m/>
    <x v="3"/>
    <x v="0"/>
  </r>
  <r>
    <n v="77414885492"/>
    <n v="273"/>
    <d v="2034-09-17T00:00:00"/>
    <s v=""/>
    <x v="3"/>
    <x v="0"/>
  </r>
  <r>
    <n v="98756626566"/>
    <n v="273"/>
    <d v="2034-09-17T00:00:00"/>
    <d v="2034-10-22T00:00:00"/>
    <x v="3"/>
    <x v="5"/>
  </r>
  <r>
    <n v="49789321665"/>
    <n v="301"/>
    <d v="2034-09-17T00:00:00"/>
    <s v=""/>
    <x v="3"/>
    <x v="0"/>
  </r>
  <r>
    <n v="94545388150"/>
    <n v="303"/>
    <d v="2034-09-17T00:00:00"/>
    <s v=""/>
    <x v="3"/>
    <x v="0"/>
  </r>
  <r>
    <n v="93375620489"/>
    <n v="317"/>
    <d v="2034-09-17T00:00:00"/>
    <s v=""/>
    <x v="3"/>
    <x v="0"/>
  </r>
  <r>
    <n v="30404767377"/>
    <n v="326"/>
    <d v="2034-09-17T00:00:00"/>
    <s v=""/>
    <x v="3"/>
    <x v="0"/>
  </r>
  <r>
    <n v="23555163107"/>
    <n v="1"/>
    <d v="2034-09-18T00:00:00"/>
    <s v=""/>
    <x v="3"/>
    <x v="0"/>
  </r>
  <r>
    <n v="51723409984"/>
    <n v="3"/>
    <d v="2034-09-18T00:00:00"/>
    <s v=""/>
    <x v="3"/>
    <x v="0"/>
  </r>
  <r>
    <n v="97232164541"/>
    <n v="4"/>
    <d v="2034-09-18T00:00:00"/>
    <s v=""/>
    <x v="3"/>
    <x v="0"/>
  </r>
  <r>
    <n v="87980681657"/>
    <n v="14"/>
    <d v="2034-09-18T00:00:00"/>
    <s v=""/>
    <x v="3"/>
    <x v="0"/>
  </r>
  <r>
    <n v="43533911251"/>
    <n v="23"/>
    <d v="2034-09-18T00:00:00"/>
    <d v="2034-11-15T00:00:00"/>
    <x v="3"/>
    <x v="6"/>
  </r>
  <r>
    <n v="90841136863"/>
    <n v="43"/>
    <d v="2034-09-18T00:00:00"/>
    <d v="2034-10-16T00:00:00"/>
    <x v="3"/>
    <x v="5"/>
  </r>
  <r>
    <n v="74758082975"/>
    <n v="47"/>
    <d v="2034-09-18T00:00:00"/>
    <s v=""/>
    <x v="3"/>
    <x v="0"/>
  </r>
  <r>
    <n v="48147930181"/>
    <n v="70"/>
    <d v="2034-09-18T00:00:00"/>
    <s v=""/>
    <x v="3"/>
    <x v="0"/>
  </r>
  <r>
    <n v="65669883326"/>
    <n v="87"/>
    <d v="2034-09-18T00:00:00"/>
    <s v=""/>
    <x v="3"/>
    <x v="0"/>
  </r>
  <r>
    <n v="64461365664"/>
    <n v="92"/>
    <d v="2034-09-18T00:00:00"/>
    <s v=""/>
    <x v="3"/>
    <x v="0"/>
  </r>
  <r>
    <n v="86469054624"/>
    <n v="119"/>
    <d v="2034-09-18T00:00:00"/>
    <s v=""/>
    <x v="3"/>
    <x v="0"/>
  </r>
  <r>
    <n v="12426802632"/>
    <n v="121"/>
    <d v="2034-09-18T00:00:00"/>
    <m/>
    <x v="3"/>
    <x v="0"/>
  </r>
  <r>
    <n v="17292492463"/>
    <n v="135"/>
    <d v="2034-09-18T00:00:00"/>
    <s v=""/>
    <x v="3"/>
    <x v="0"/>
  </r>
  <r>
    <n v="16564623802"/>
    <n v="173"/>
    <d v="2034-09-18T00:00:00"/>
    <s v=""/>
    <x v="3"/>
    <x v="0"/>
  </r>
  <r>
    <n v="16250473013"/>
    <n v="185"/>
    <d v="2034-09-18T00:00:00"/>
    <s v=""/>
    <x v="3"/>
    <x v="0"/>
  </r>
  <r>
    <n v="39989299147"/>
    <n v="192"/>
    <d v="2034-09-18T00:00:00"/>
    <s v=""/>
    <x v="3"/>
    <x v="0"/>
  </r>
  <r>
    <n v="58413275788"/>
    <n v="195"/>
    <d v="2034-09-18T00:00:00"/>
    <s v=""/>
    <x v="3"/>
    <x v="0"/>
  </r>
  <r>
    <n v="25900644665"/>
    <n v="197"/>
    <d v="2034-09-18T00:00:00"/>
    <s v=""/>
    <x v="3"/>
    <x v="0"/>
  </r>
  <r>
    <n v="88220286665"/>
    <n v="203"/>
    <d v="2034-09-18T00:00:00"/>
    <d v="2034-09-20T00:00:00"/>
    <x v="3"/>
    <x v="3"/>
  </r>
  <r>
    <n v="96151605926"/>
    <n v="208"/>
    <d v="2034-09-18T00:00:00"/>
    <s v=""/>
    <x v="3"/>
    <x v="0"/>
  </r>
  <r>
    <n v="30201337372"/>
    <n v="241"/>
    <d v="2034-09-18T00:00:00"/>
    <s v=""/>
    <x v="3"/>
    <x v="0"/>
  </r>
  <r>
    <n v="25700099888"/>
    <n v="247"/>
    <d v="2034-09-18T00:00:00"/>
    <s v=""/>
    <x v="3"/>
    <x v="0"/>
  </r>
  <r>
    <n v="64182881281"/>
    <n v="248"/>
    <d v="2034-09-18T00:00:00"/>
    <s v=""/>
    <x v="3"/>
    <x v="0"/>
  </r>
  <r>
    <n v="60542397715"/>
    <n v="264"/>
    <d v="2034-09-18T00:00:00"/>
    <s v=""/>
    <x v="3"/>
    <x v="0"/>
  </r>
  <r>
    <n v="27715299470"/>
    <n v="280"/>
    <d v="2034-09-18T00:00:00"/>
    <s v=""/>
    <x v="3"/>
    <x v="0"/>
  </r>
  <r>
    <n v="70366085290"/>
    <n v="285"/>
    <d v="2034-09-18T00:00:00"/>
    <s v=""/>
    <x v="3"/>
    <x v="0"/>
  </r>
  <r>
    <n v="51029498243"/>
    <n v="286"/>
    <d v="2034-09-18T00:00:00"/>
    <d v="2034-12-14T00:00:00"/>
    <x v="3"/>
    <x v="7"/>
  </r>
  <r>
    <n v="84700722164"/>
    <n v="309"/>
    <d v="2034-09-18T00:00:00"/>
    <s v=""/>
    <x v="3"/>
    <x v="0"/>
  </r>
  <r>
    <n v="63251970956"/>
    <n v="313"/>
    <d v="2034-09-18T00:00:00"/>
    <s v=""/>
    <x v="3"/>
    <x v="0"/>
  </r>
  <r>
    <n v="15937751591"/>
    <n v="320"/>
    <d v="2034-09-18T00:00:00"/>
    <d v="2034-11-03T00:00:00"/>
    <x v="3"/>
    <x v="6"/>
  </r>
  <r>
    <n v="38852265577"/>
    <n v="335"/>
    <d v="2034-09-18T00:00:00"/>
    <s v=""/>
    <x v="3"/>
    <x v="0"/>
  </r>
  <r>
    <n v="44945552208"/>
    <n v="7"/>
    <d v="2034-09-19T00:00:00"/>
    <d v="2034-10-18T00:00:00"/>
    <x v="3"/>
    <x v="5"/>
  </r>
  <r>
    <n v="82530531357"/>
    <n v="21"/>
    <d v="2034-09-19T00:00:00"/>
    <s v=""/>
    <x v="3"/>
    <x v="0"/>
  </r>
  <r>
    <n v="14288429567"/>
    <n v="35"/>
    <d v="2034-09-19T00:00:00"/>
    <d v="2034-12-23T00:00:00"/>
    <x v="3"/>
    <x v="7"/>
  </r>
  <r>
    <n v="24210764116"/>
    <n v="54"/>
    <d v="2034-09-19T00:00:00"/>
    <s v=""/>
    <x v="3"/>
    <x v="0"/>
  </r>
  <r>
    <n v="24006418608"/>
    <n v="59"/>
    <d v="2034-09-19T00:00:00"/>
    <s v=""/>
    <x v="3"/>
    <x v="0"/>
  </r>
  <r>
    <n v="28817093909"/>
    <n v="67"/>
    <d v="2034-09-19T00:00:00"/>
    <s v=""/>
    <x v="3"/>
    <x v="0"/>
  </r>
  <r>
    <n v="97042837415"/>
    <n v="80"/>
    <d v="2034-09-19T00:00:00"/>
    <s v=""/>
    <x v="3"/>
    <x v="0"/>
  </r>
  <r>
    <n v="32437004077"/>
    <n v="81"/>
    <d v="2034-09-19T00:00:00"/>
    <s v=""/>
    <x v="3"/>
    <x v="0"/>
  </r>
  <r>
    <n v="58790932706"/>
    <n v="92"/>
    <d v="2034-09-19T00:00:00"/>
    <s v=""/>
    <x v="3"/>
    <x v="0"/>
  </r>
  <r>
    <n v="41211486546"/>
    <n v="98"/>
    <d v="2034-09-19T00:00:00"/>
    <s v=""/>
    <x v="3"/>
    <x v="0"/>
  </r>
  <r>
    <n v="12356928200"/>
    <n v="164"/>
    <d v="2034-09-19T00:00:00"/>
    <d v="2034-10-01T00:00:00"/>
    <x v="3"/>
    <x v="5"/>
  </r>
  <r>
    <n v="49171671939"/>
    <n v="172"/>
    <d v="2034-09-19T00:00:00"/>
    <s v=""/>
    <x v="3"/>
    <x v="0"/>
  </r>
  <r>
    <n v="28904937031"/>
    <n v="174"/>
    <d v="2034-09-19T00:00:00"/>
    <s v=""/>
    <x v="3"/>
    <x v="0"/>
  </r>
  <r>
    <n v="21532430886"/>
    <n v="185"/>
    <d v="2034-09-19T00:00:00"/>
    <s v=""/>
    <x v="3"/>
    <x v="0"/>
  </r>
  <r>
    <n v="47263788650"/>
    <n v="190"/>
    <d v="2034-09-19T00:00:00"/>
    <s v=""/>
    <x v="3"/>
    <x v="0"/>
  </r>
  <r>
    <n v="17245192108"/>
    <n v="229"/>
    <d v="2034-09-19T00:00:00"/>
    <d v="2034-12-29T00:00:00"/>
    <x v="3"/>
    <x v="7"/>
  </r>
  <r>
    <n v="68933489787"/>
    <n v="242"/>
    <d v="2034-09-19T00:00:00"/>
    <s v=""/>
    <x v="3"/>
    <x v="0"/>
  </r>
  <r>
    <n v="93257149993"/>
    <n v="243"/>
    <d v="2034-09-19T00:00:00"/>
    <s v=""/>
    <x v="3"/>
    <x v="0"/>
  </r>
  <r>
    <n v="99890275800"/>
    <n v="244"/>
    <d v="2034-09-19T00:00:00"/>
    <s v=""/>
    <x v="3"/>
    <x v="0"/>
  </r>
  <r>
    <n v="31755039776"/>
    <n v="244"/>
    <d v="2034-09-19T00:00:00"/>
    <m/>
    <x v="3"/>
    <x v="0"/>
  </r>
  <r>
    <n v="55115214579"/>
    <n v="255"/>
    <d v="2034-09-19T00:00:00"/>
    <s v=""/>
    <x v="3"/>
    <x v="0"/>
  </r>
  <r>
    <n v="40545326946"/>
    <n v="269"/>
    <d v="2034-09-19T00:00:00"/>
    <s v=""/>
    <x v="3"/>
    <x v="0"/>
  </r>
  <r>
    <n v="87121270860"/>
    <n v="271"/>
    <d v="2034-09-19T00:00:00"/>
    <s v=""/>
    <x v="3"/>
    <x v="0"/>
  </r>
  <r>
    <n v="59256887885"/>
    <n v="275"/>
    <d v="2034-09-19T00:00:00"/>
    <s v=""/>
    <x v="3"/>
    <x v="0"/>
  </r>
  <r>
    <n v="35163671113"/>
    <n v="307"/>
    <d v="2034-09-19T00:00:00"/>
    <s v=""/>
    <x v="3"/>
    <x v="0"/>
  </r>
  <r>
    <n v="76420962885"/>
    <n v="62"/>
    <d v="2034-09-20T00:00:00"/>
    <s v=""/>
    <x v="3"/>
    <x v="0"/>
  </r>
  <r>
    <n v="99979112639"/>
    <n v="78"/>
    <d v="2034-09-20T00:00:00"/>
    <s v=""/>
    <x v="3"/>
    <x v="0"/>
  </r>
  <r>
    <n v="54228949570"/>
    <n v="86"/>
    <d v="2034-09-20T00:00:00"/>
    <d v="2034-12-16T00:00:00"/>
    <x v="3"/>
    <x v="7"/>
  </r>
  <r>
    <n v="85160761535"/>
    <n v="109"/>
    <d v="2034-09-20T00:00:00"/>
    <d v="2034-09-27T00:00:00"/>
    <x v="3"/>
    <x v="3"/>
  </r>
  <r>
    <n v="56907084086"/>
    <n v="116"/>
    <d v="2034-09-20T00:00:00"/>
    <s v=""/>
    <x v="3"/>
    <x v="0"/>
  </r>
  <r>
    <n v="51167971393"/>
    <n v="148"/>
    <d v="2034-09-20T00:00:00"/>
    <s v=""/>
    <x v="3"/>
    <x v="0"/>
  </r>
  <r>
    <n v="54864938285"/>
    <n v="171"/>
    <d v="2034-09-20T00:00:00"/>
    <m/>
    <x v="3"/>
    <x v="0"/>
  </r>
  <r>
    <n v="60669708330"/>
    <n v="172"/>
    <d v="2034-09-20T00:00:00"/>
    <s v=""/>
    <x v="3"/>
    <x v="0"/>
  </r>
  <r>
    <n v="49282557595"/>
    <n v="191"/>
    <d v="2034-09-20T00:00:00"/>
    <s v=""/>
    <x v="3"/>
    <x v="0"/>
  </r>
  <r>
    <n v="29439849195"/>
    <n v="224"/>
    <d v="2034-09-20T00:00:00"/>
    <s v=""/>
    <x v="3"/>
    <x v="0"/>
  </r>
  <r>
    <n v="93061969585"/>
    <n v="225"/>
    <d v="2034-09-20T00:00:00"/>
    <d v="2034-10-31T00:00:00"/>
    <x v="3"/>
    <x v="5"/>
  </r>
  <r>
    <n v="20257499289"/>
    <n v="232"/>
    <d v="2034-09-20T00:00:00"/>
    <s v=""/>
    <x v="3"/>
    <x v="0"/>
  </r>
  <r>
    <n v="60612227419"/>
    <n v="243"/>
    <d v="2034-09-20T00:00:00"/>
    <s v=""/>
    <x v="3"/>
    <x v="0"/>
  </r>
  <r>
    <n v="72135182029"/>
    <n v="252"/>
    <d v="2034-09-20T00:00:00"/>
    <s v=""/>
    <x v="3"/>
    <x v="0"/>
  </r>
  <r>
    <n v="30430204993"/>
    <n v="254"/>
    <d v="2034-09-20T00:00:00"/>
    <s v=""/>
    <x v="3"/>
    <x v="0"/>
  </r>
  <r>
    <n v="54573362989"/>
    <n v="265"/>
    <d v="2034-09-20T00:00:00"/>
    <s v=""/>
    <x v="3"/>
    <x v="0"/>
  </r>
  <r>
    <n v="43919392530"/>
    <n v="268"/>
    <d v="2034-09-20T00:00:00"/>
    <s v=""/>
    <x v="3"/>
    <x v="0"/>
  </r>
  <r>
    <n v="29143798593"/>
    <n v="276"/>
    <d v="2034-09-20T00:00:00"/>
    <s v=""/>
    <x v="3"/>
    <x v="0"/>
  </r>
  <r>
    <n v="53121244224"/>
    <n v="278"/>
    <d v="2034-09-20T00:00:00"/>
    <d v="2034-09-23T00:00:00"/>
    <x v="3"/>
    <x v="3"/>
  </r>
  <r>
    <n v="76866960495"/>
    <n v="300"/>
    <d v="2034-09-20T00:00:00"/>
    <s v=""/>
    <x v="3"/>
    <x v="0"/>
  </r>
  <r>
    <n v="44511960295"/>
    <n v="326"/>
    <d v="2034-09-20T00:00:00"/>
    <s v=""/>
    <x v="3"/>
    <x v="0"/>
  </r>
  <r>
    <n v="17873959272"/>
    <n v="340"/>
    <d v="2034-09-20T00:00:00"/>
    <s v=""/>
    <x v="3"/>
    <x v="0"/>
  </r>
  <r>
    <n v="50569829277"/>
    <n v="23"/>
    <d v="2034-09-21T00:00:00"/>
    <d v="2034-09-25T00:00:00"/>
    <x v="3"/>
    <x v="3"/>
  </r>
  <r>
    <n v="78006314519"/>
    <n v="71"/>
    <d v="2034-09-21T00:00:00"/>
    <s v=""/>
    <x v="3"/>
    <x v="0"/>
  </r>
  <r>
    <n v="92592685669"/>
    <n v="82"/>
    <d v="2034-09-21T00:00:00"/>
    <s v=""/>
    <x v="3"/>
    <x v="0"/>
  </r>
  <r>
    <n v="50652919886"/>
    <n v="87"/>
    <d v="2034-09-21T00:00:00"/>
    <s v=""/>
    <x v="3"/>
    <x v="0"/>
  </r>
  <r>
    <n v="56507799231"/>
    <n v="117"/>
    <d v="2034-09-21T00:00:00"/>
    <d v="2034-10-19T00:00:00"/>
    <x v="3"/>
    <x v="5"/>
  </r>
  <r>
    <n v="29926898065"/>
    <n v="148"/>
    <d v="2034-09-21T00:00:00"/>
    <d v="2034-09-24T00:00:00"/>
    <x v="3"/>
    <x v="3"/>
  </r>
  <r>
    <n v="49413451509"/>
    <n v="178"/>
    <d v="2034-09-21T00:00:00"/>
    <d v="2034-10-22T00:00:00"/>
    <x v="3"/>
    <x v="5"/>
  </r>
  <r>
    <n v="77416880949"/>
    <n v="187"/>
    <d v="2034-09-21T00:00:00"/>
    <s v=""/>
    <x v="3"/>
    <x v="0"/>
  </r>
  <r>
    <n v="29146680339"/>
    <n v="208"/>
    <d v="2034-09-21T00:00:00"/>
    <s v=""/>
    <x v="3"/>
    <x v="0"/>
  </r>
  <r>
    <n v="87191988372"/>
    <n v="217"/>
    <d v="2034-09-21T00:00:00"/>
    <s v=""/>
    <x v="3"/>
    <x v="0"/>
  </r>
  <r>
    <n v="29565368139"/>
    <n v="227"/>
    <d v="2034-09-21T00:00:00"/>
    <s v=""/>
    <x v="3"/>
    <x v="0"/>
  </r>
  <r>
    <n v="89144613779"/>
    <n v="229"/>
    <d v="2034-09-21T00:00:00"/>
    <s v=""/>
    <x v="3"/>
    <x v="0"/>
  </r>
  <r>
    <n v="15410416717"/>
    <n v="269"/>
    <d v="2034-09-21T00:00:00"/>
    <d v="2035-01-15T00:00:00"/>
    <x v="3"/>
    <x v="8"/>
  </r>
  <r>
    <n v="36305011983"/>
    <n v="270"/>
    <d v="2034-09-21T00:00:00"/>
    <m/>
    <x v="3"/>
    <x v="0"/>
  </r>
  <r>
    <n v="75848679918"/>
    <n v="273"/>
    <d v="2034-09-21T00:00:00"/>
    <d v="2034-10-10T00:00:00"/>
    <x v="3"/>
    <x v="5"/>
  </r>
  <r>
    <n v="60712207566"/>
    <n v="287"/>
    <d v="2034-09-21T00:00:00"/>
    <s v=""/>
    <x v="3"/>
    <x v="0"/>
  </r>
  <r>
    <n v="72482503654"/>
    <n v="289"/>
    <d v="2034-09-21T00:00:00"/>
    <s v=""/>
    <x v="3"/>
    <x v="0"/>
  </r>
  <r>
    <n v="22809644187"/>
    <n v="303"/>
    <d v="2034-09-21T00:00:00"/>
    <s v=""/>
    <x v="3"/>
    <x v="0"/>
  </r>
  <r>
    <n v="24438633868"/>
    <n v="306"/>
    <d v="2034-09-21T00:00:00"/>
    <s v=""/>
    <x v="3"/>
    <x v="0"/>
  </r>
  <r>
    <n v="93682113711"/>
    <n v="306"/>
    <d v="2034-09-21T00:00:00"/>
    <d v="2034-12-14T00:00:00"/>
    <x v="3"/>
    <x v="7"/>
  </r>
  <r>
    <n v="78556570896"/>
    <n v="320"/>
    <d v="2034-09-21T00:00:00"/>
    <m/>
    <x v="3"/>
    <x v="0"/>
  </r>
  <r>
    <n v="75075792319"/>
    <n v="336"/>
    <d v="2034-09-21T00:00:00"/>
    <m/>
    <x v="3"/>
    <x v="0"/>
  </r>
  <r>
    <n v="95652020915"/>
    <n v="0"/>
    <d v="2034-09-22T00:00:00"/>
    <d v="2034-12-31T00:00:00"/>
    <x v="3"/>
    <x v="7"/>
  </r>
  <r>
    <n v="56001615502"/>
    <n v="18"/>
    <d v="2034-09-22T00:00:00"/>
    <d v="2035-01-01T00:00:00"/>
    <x v="3"/>
    <x v="8"/>
  </r>
  <r>
    <n v="40131634086"/>
    <n v="29"/>
    <d v="2034-09-22T00:00:00"/>
    <s v=""/>
    <x v="3"/>
    <x v="0"/>
  </r>
  <r>
    <n v="51718627818"/>
    <n v="31"/>
    <d v="2034-09-22T00:00:00"/>
    <s v=""/>
    <x v="3"/>
    <x v="0"/>
  </r>
  <r>
    <n v="49043840719"/>
    <n v="57"/>
    <d v="2034-09-22T00:00:00"/>
    <s v=""/>
    <x v="3"/>
    <x v="0"/>
  </r>
  <r>
    <n v="23028080944"/>
    <n v="71"/>
    <d v="2034-09-22T00:00:00"/>
    <s v=""/>
    <x v="3"/>
    <x v="0"/>
  </r>
  <r>
    <n v="35091198884"/>
    <n v="84"/>
    <d v="2034-09-22T00:00:00"/>
    <s v=""/>
    <x v="3"/>
    <x v="0"/>
  </r>
  <r>
    <n v="52651187834"/>
    <n v="85"/>
    <d v="2034-09-22T00:00:00"/>
    <s v=""/>
    <x v="3"/>
    <x v="0"/>
  </r>
  <r>
    <n v="13793121804"/>
    <n v="105"/>
    <d v="2034-09-22T00:00:00"/>
    <s v=""/>
    <x v="3"/>
    <x v="0"/>
  </r>
  <r>
    <n v="27800819303"/>
    <n v="132"/>
    <d v="2034-09-22T00:00:00"/>
    <s v=""/>
    <x v="3"/>
    <x v="0"/>
  </r>
  <r>
    <n v="81399241726"/>
    <n v="172"/>
    <d v="2034-09-22T00:00:00"/>
    <s v=""/>
    <x v="3"/>
    <x v="0"/>
  </r>
  <r>
    <n v="38250035509"/>
    <n v="174"/>
    <d v="2034-09-22T00:00:00"/>
    <s v=""/>
    <x v="3"/>
    <x v="0"/>
  </r>
  <r>
    <n v="25835472248"/>
    <n v="187"/>
    <d v="2034-09-22T00:00:00"/>
    <s v=""/>
    <x v="3"/>
    <x v="0"/>
  </r>
  <r>
    <n v="97164253437"/>
    <n v="188"/>
    <d v="2034-09-22T00:00:00"/>
    <s v=""/>
    <x v="3"/>
    <x v="0"/>
  </r>
  <r>
    <n v="88175439020"/>
    <n v="191"/>
    <d v="2034-09-22T00:00:00"/>
    <s v=""/>
    <x v="3"/>
    <x v="0"/>
  </r>
  <r>
    <n v="44988024764"/>
    <n v="197"/>
    <d v="2034-09-22T00:00:00"/>
    <m/>
    <x v="3"/>
    <x v="0"/>
  </r>
  <r>
    <n v="29271982382"/>
    <n v="216"/>
    <d v="2034-09-22T00:00:00"/>
    <d v="2034-12-01T00:00:00"/>
    <x v="3"/>
    <x v="7"/>
  </r>
  <r>
    <n v="72685225186"/>
    <n v="216"/>
    <d v="2034-09-22T00:00:00"/>
    <s v=""/>
    <x v="3"/>
    <x v="0"/>
  </r>
  <r>
    <n v="79844090248"/>
    <n v="217"/>
    <d v="2034-09-22T00:00:00"/>
    <s v=""/>
    <x v="3"/>
    <x v="0"/>
  </r>
  <r>
    <n v="17827544665"/>
    <n v="239"/>
    <d v="2034-09-22T00:00:00"/>
    <s v=""/>
    <x v="3"/>
    <x v="0"/>
  </r>
  <r>
    <n v="13435506342"/>
    <n v="250"/>
    <d v="2034-09-22T00:00:00"/>
    <s v=""/>
    <x v="3"/>
    <x v="0"/>
  </r>
  <r>
    <n v="82542844736"/>
    <n v="250"/>
    <d v="2034-09-22T00:00:00"/>
    <s v=""/>
    <x v="3"/>
    <x v="0"/>
  </r>
  <r>
    <n v="62119167337"/>
    <n v="276"/>
    <d v="2034-09-22T00:00:00"/>
    <s v=""/>
    <x v="3"/>
    <x v="0"/>
  </r>
  <r>
    <n v="56107798372"/>
    <n v="287"/>
    <d v="2034-09-22T00:00:00"/>
    <s v=""/>
    <x v="3"/>
    <x v="0"/>
  </r>
  <r>
    <n v="50900477821"/>
    <n v="292"/>
    <d v="2034-09-22T00:00:00"/>
    <s v=""/>
    <x v="3"/>
    <x v="0"/>
  </r>
  <r>
    <n v="31105896183"/>
    <n v="4"/>
    <d v="2034-09-23T00:00:00"/>
    <s v=""/>
    <x v="3"/>
    <x v="0"/>
  </r>
  <r>
    <n v="73488082934"/>
    <n v="29"/>
    <d v="2034-09-23T00:00:00"/>
    <s v=""/>
    <x v="3"/>
    <x v="0"/>
  </r>
  <r>
    <n v="30047285700"/>
    <n v="55"/>
    <d v="2034-09-23T00:00:00"/>
    <s v=""/>
    <x v="3"/>
    <x v="0"/>
  </r>
  <r>
    <n v="59709561393"/>
    <n v="59"/>
    <d v="2034-09-23T00:00:00"/>
    <s v=""/>
    <x v="3"/>
    <x v="0"/>
  </r>
  <r>
    <n v="71297580862"/>
    <n v="89"/>
    <d v="2034-09-23T00:00:00"/>
    <s v=""/>
    <x v="3"/>
    <x v="0"/>
  </r>
  <r>
    <n v="23678282244"/>
    <n v="101"/>
    <d v="2034-09-23T00:00:00"/>
    <s v=""/>
    <x v="3"/>
    <x v="0"/>
  </r>
  <r>
    <n v="53754036764"/>
    <n v="118"/>
    <d v="2034-09-23T00:00:00"/>
    <s v=""/>
    <x v="3"/>
    <x v="0"/>
  </r>
  <r>
    <n v="63088818351"/>
    <n v="142"/>
    <d v="2034-09-23T00:00:00"/>
    <s v=""/>
    <x v="3"/>
    <x v="0"/>
  </r>
  <r>
    <n v="23760224761"/>
    <n v="147"/>
    <d v="2034-09-23T00:00:00"/>
    <d v="2034-12-25T00:00:00"/>
    <x v="3"/>
    <x v="7"/>
  </r>
  <r>
    <n v="52663454196"/>
    <n v="175"/>
    <d v="2034-09-23T00:00:00"/>
    <s v=""/>
    <x v="3"/>
    <x v="0"/>
  </r>
  <r>
    <n v="58886844614"/>
    <n v="179"/>
    <d v="2034-09-23T00:00:00"/>
    <s v=""/>
    <x v="3"/>
    <x v="0"/>
  </r>
  <r>
    <n v="25219857825"/>
    <n v="216"/>
    <d v="2034-09-23T00:00:00"/>
    <s v=""/>
    <x v="3"/>
    <x v="0"/>
  </r>
  <r>
    <n v="44609694512"/>
    <n v="233"/>
    <d v="2034-09-23T00:00:00"/>
    <s v=""/>
    <x v="3"/>
    <x v="0"/>
  </r>
  <r>
    <n v="48877045471"/>
    <n v="256"/>
    <d v="2034-09-23T00:00:00"/>
    <d v="2034-10-04T00:00:00"/>
    <x v="3"/>
    <x v="5"/>
  </r>
  <r>
    <n v="95053738513"/>
    <n v="267"/>
    <d v="2034-09-23T00:00:00"/>
    <s v=""/>
    <x v="3"/>
    <x v="0"/>
  </r>
  <r>
    <n v="87982569543"/>
    <n v="273"/>
    <d v="2034-09-23T00:00:00"/>
    <s v=""/>
    <x v="3"/>
    <x v="0"/>
  </r>
  <r>
    <n v="99307843985"/>
    <n v="276"/>
    <d v="2034-09-23T00:00:00"/>
    <s v=""/>
    <x v="3"/>
    <x v="0"/>
  </r>
  <r>
    <n v="65465561707"/>
    <n v="276"/>
    <d v="2034-09-23T00:00:00"/>
    <s v=""/>
    <x v="3"/>
    <x v="0"/>
  </r>
  <r>
    <n v="84795330890"/>
    <n v="297"/>
    <d v="2034-09-23T00:00:00"/>
    <s v=""/>
    <x v="3"/>
    <x v="0"/>
  </r>
  <r>
    <n v="88107144600"/>
    <n v="328"/>
    <d v="2034-09-23T00:00:00"/>
    <s v=""/>
    <x v="3"/>
    <x v="0"/>
  </r>
  <r>
    <n v="55986579079"/>
    <n v="338"/>
    <d v="2034-09-23T00:00:00"/>
    <s v=""/>
    <x v="3"/>
    <x v="0"/>
  </r>
  <r>
    <n v="37029933294"/>
    <n v="16"/>
    <d v="2034-09-24T00:00:00"/>
    <s v=""/>
    <x v="3"/>
    <x v="0"/>
  </r>
  <r>
    <n v="31053307624"/>
    <n v="41"/>
    <d v="2034-09-24T00:00:00"/>
    <s v=""/>
    <x v="3"/>
    <x v="0"/>
  </r>
  <r>
    <n v="85303482423"/>
    <n v="50"/>
    <d v="2034-09-24T00:00:00"/>
    <s v=""/>
    <x v="3"/>
    <x v="0"/>
  </r>
  <r>
    <n v="21457725341"/>
    <n v="56"/>
    <d v="2034-09-24T00:00:00"/>
    <d v="2035-01-14T00:00:00"/>
    <x v="3"/>
    <x v="8"/>
  </r>
  <r>
    <n v="11634499493"/>
    <n v="62"/>
    <d v="2034-09-24T00:00:00"/>
    <d v="2034-12-28T00:00:00"/>
    <x v="3"/>
    <x v="7"/>
  </r>
  <r>
    <n v="29162271193"/>
    <n v="99"/>
    <d v="2034-09-24T00:00:00"/>
    <d v="2034-10-09T00:00:00"/>
    <x v="3"/>
    <x v="5"/>
  </r>
  <r>
    <n v="93573325451"/>
    <n v="101"/>
    <d v="2034-09-24T00:00:00"/>
    <s v=""/>
    <x v="3"/>
    <x v="0"/>
  </r>
  <r>
    <n v="47367884675"/>
    <n v="111"/>
    <d v="2034-09-24T00:00:00"/>
    <s v=""/>
    <x v="3"/>
    <x v="0"/>
  </r>
  <r>
    <n v="66842848392"/>
    <n v="113"/>
    <d v="2034-09-24T00:00:00"/>
    <s v=""/>
    <x v="3"/>
    <x v="0"/>
  </r>
  <r>
    <n v="62534012814"/>
    <n v="141"/>
    <d v="2034-09-24T00:00:00"/>
    <s v=""/>
    <x v="3"/>
    <x v="0"/>
  </r>
  <r>
    <n v="54569224466"/>
    <n v="149"/>
    <d v="2034-09-24T00:00:00"/>
    <s v=""/>
    <x v="3"/>
    <x v="0"/>
  </r>
  <r>
    <n v="77005107057"/>
    <n v="188"/>
    <d v="2034-09-24T00:00:00"/>
    <d v="2035-01-16T00:00:00"/>
    <x v="3"/>
    <x v="8"/>
  </r>
  <r>
    <n v="90842877904"/>
    <n v="197"/>
    <d v="2034-09-24T00:00:00"/>
    <s v=""/>
    <x v="3"/>
    <x v="0"/>
  </r>
  <r>
    <n v="97236554633"/>
    <n v="211"/>
    <d v="2034-09-24T00:00:00"/>
    <s v=""/>
    <x v="3"/>
    <x v="0"/>
  </r>
  <r>
    <n v="46982823333"/>
    <n v="241"/>
    <d v="2034-09-24T00:00:00"/>
    <s v=""/>
    <x v="3"/>
    <x v="0"/>
  </r>
  <r>
    <n v="91210845470"/>
    <n v="244"/>
    <d v="2034-09-24T00:00:00"/>
    <s v=""/>
    <x v="3"/>
    <x v="0"/>
  </r>
  <r>
    <n v="64854501971"/>
    <n v="253"/>
    <d v="2034-09-24T00:00:00"/>
    <s v=""/>
    <x v="3"/>
    <x v="0"/>
  </r>
  <r>
    <n v="74405248912"/>
    <n v="265"/>
    <d v="2034-09-24T00:00:00"/>
    <d v="2034-12-26T00:00:00"/>
    <x v="3"/>
    <x v="7"/>
  </r>
  <r>
    <n v="61863841453"/>
    <n v="301"/>
    <d v="2034-09-24T00:00:00"/>
    <d v="2034-11-16T00:00:00"/>
    <x v="3"/>
    <x v="6"/>
  </r>
  <r>
    <n v="81216444357"/>
    <n v="10"/>
    <d v="2034-09-25T00:00:00"/>
    <d v="2034-11-09T00:00:00"/>
    <x v="3"/>
    <x v="6"/>
  </r>
  <r>
    <n v="13190508045"/>
    <n v="20"/>
    <d v="2034-09-25T00:00:00"/>
    <s v=""/>
    <x v="3"/>
    <x v="0"/>
  </r>
  <r>
    <n v="82640386469"/>
    <n v="41"/>
    <d v="2034-09-25T00:00:00"/>
    <d v="2034-10-13T00:00:00"/>
    <x v="3"/>
    <x v="5"/>
  </r>
  <r>
    <n v="62194776823"/>
    <n v="42"/>
    <d v="2034-09-25T00:00:00"/>
    <s v=""/>
    <x v="3"/>
    <x v="0"/>
  </r>
  <r>
    <n v="89193063744"/>
    <n v="45"/>
    <d v="2034-09-25T00:00:00"/>
    <s v=""/>
    <x v="3"/>
    <x v="0"/>
  </r>
  <r>
    <n v="85543604011"/>
    <n v="55"/>
    <d v="2034-09-25T00:00:00"/>
    <d v="2034-11-03T00:00:00"/>
    <x v="3"/>
    <x v="6"/>
  </r>
  <r>
    <n v="14267580221"/>
    <n v="71"/>
    <d v="2034-09-25T00:00:00"/>
    <s v=""/>
    <x v="3"/>
    <x v="0"/>
  </r>
  <r>
    <n v="74266874624"/>
    <n v="99"/>
    <d v="2034-09-25T00:00:00"/>
    <s v=""/>
    <x v="3"/>
    <x v="0"/>
  </r>
  <r>
    <n v="96881557287"/>
    <n v="101"/>
    <d v="2034-09-25T00:00:00"/>
    <s v=""/>
    <x v="3"/>
    <x v="0"/>
  </r>
  <r>
    <n v="31319829828"/>
    <n v="135"/>
    <d v="2034-09-25T00:00:00"/>
    <s v=""/>
    <x v="3"/>
    <x v="0"/>
  </r>
  <r>
    <n v="70662412129"/>
    <n v="136"/>
    <d v="2034-09-25T00:00:00"/>
    <s v=""/>
    <x v="3"/>
    <x v="0"/>
  </r>
  <r>
    <n v="63783114170"/>
    <n v="156"/>
    <d v="2034-09-25T00:00:00"/>
    <s v=""/>
    <x v="3"/>
    <x v="0"/>
  </r>
  <r>
    <n v="37850379596"/>
    <n v="157"/>
    <d v="2034-09-25T00:00:00"/>
    <d v="2034-10-03T00:00:00"/>
    <x v="3"/>
    <x v="5"/>
  </r>
  <r>
    <n v="30732007976"/>
    <n v="201"/>
    <d v="2034-09-25T00:00:00"/>
    <d v="2034-09-28T00:00:00"/>
    <x v="3"/>
    <x v="3"/>
  </r>
  <r>
    <n v="26602482808"/>
    <n v="205"/>
    <d v="2034-09-25T00:00:00"/>
    <d v="2035-01-03T00:00:00"/>
    <x v="3"/>
    <x v="8"/>
  </r>
  <r>
    <n v="93927798029"/>
    <n v="218"/>
    <d v="2034-09-25T00:00:00"/>
    <d v="2034-11-12T00:00:00"/>
    <x v="3"/>
    <x v="6"/>
  </r>
  <r>
    <n v="92687983670"/>
    <n v="234"/>
    <d v="2034-09-25T00:00:00"/>
    <s v=""/>
    <x v="3"/>
    <x v="0"/>
  </r>
  <r>
    <n v="65488519823"/>
    <n v="257"/>
    <d v="2034-09-25T00:00:00"/>
    <d v="2034-11-23T00:00:00"/>
    <x v="3"/>
    <x v="6"/>
  </r>
  <r>
    <n v="54795531680"/>
    <n v="270"/>
    <d v="2034-09-25T00:00:00"/>
    <s v=""/>
    <x v="3"/>
    <x v="0"/>
  </r>
  <r>
    <n v="16698193936"/>
    <n v="303"/>
    <d v="2034-09-25T00:00:00"/>
    <s v=""/>
    <x v="3"/>
    <x v="0"/>
  </r>
  <r>
    <n v="52354738727"/>
    <n v="323"/>
    <d v="2034-09-25T00:00:00"/>
    <s v=""/>
    <x v="3"/>
    <x v="0"/>
  </r>
  <r>
    <n v="88574107202"/>
    <n v="337"/>
    <d v="2034-09-25T00:00:00"/>
    <d v="2034-11-17T00:00:00"/>
    <x v="3"/>
    <x v="6"/>
  </r>
  <r>
    <n v="59680626668"/>
    <n v="340"/>
    <d v="2034-09-25T00:00:00"/>
    <s v=""/>
    <x v="3"/>
    <x v="0"/>
  </r>
  <r>
    <n v="31037329170"/>
    <n v="15"/>
    <d v="2034-09-26T00:00:00"/>
    <s v=""/>
    <x v="3"/>
    <x v="0"/>
  </r>
  <r>
    <n v="16045407722"/>
    <n v="19"/>
    <d v="2034-09-26T00:00:00"/>
    <m/>
    <x v="3"/>
    <x v="0"/>
  </r>
  <r>
    <n v="37359281167"/>
    <n v="21"/>
    <d v="2034-09-26T00:00:00"/>
    <s v=""/>
    <x v="3"/>
    <x v="0"/>
  </r>
  <r>
    <n v="34989698378"/>
    <n v="23"/>
    <d v="2034-09-26T00:00:00"/>
    <s v=""/>
    <x v="3"/>
    <x v="0"/>
  </r>
  <r>
    <n v="91366966663"/>
    <n v="26"/>
    <d v="2034-09-26T00:00:00"/>
    <s v=""/>
    <x v="3"/>
    <x v="0"/>
  </r>
  <r>
    <n v="89594360363"/>
    <n v="26"/>
    <d v="2034-09-26T00:00:00"/>
    <s v=""/>
    <x v="3"/>
    <x v="0"/>
  </r>
  <r>
    <n v="36132448002"/>
    <n v="27"/>
    <d v="2034-09-26T00:00:00"/>
    <s v=""/>
    <x v="3"/>
    <x v="0"/>
  </r>
  <r>
    <n v="27552242265"/>
    <n v="79"/>
    <d v="2034-09-26T00:00:00"/>
    <s v=""/>
    <x v="3"/>
    <x v="0"/>
  </r>
  <r>
    <n v="75328114468"/>
    <n v="89"/>
    <d v="2034-09-26T00:00:00"/>
    <s v=""/>
    <x v="3"/>
    <x v="0"/>
  </r>
  <r>
    <n v="94163702049"/>
    <n v="98"/>
    <d v="2034-09-26T00:00:00"/>
    <s v=""/>
    <x v="3"/>
    <x v="0"/>
  </r>
  <r>
    <n v="42185994758"/>
    <n v="115"/>
    <d v="2034-09-26T00:00:00"/>
    <s v=""/>
    <x v="3"/>
    <x v="0"/>
  </r>
  <r>
    <n v="91427294128"/>
    <n v="121"/>
    <d v="2034-09-26T00:00:00"/>
    <s v=""/>
    <x v="3"/>
    <x v="0"/>
  </r>
  <r>
    <n v="37150890980"/>
    <n v="143"/>
    <d v="2034-09-26T00:00:00"/>
    <d v="2034-10-15T00:00:00"/>
    <x v="3"/>
    <x v="5"/>
  </r>
  <r>
    <n v="31939934139"/>
    <n v="155"/>
    <d v="2034-09-26T00:00:00"/>
    <s v=""/>
    <x v="3"/>
    <x v="0"/>
  </r>
  <r>
    <n v="66115728067"/>
    <n v="174"/>
    <d v="2034-09-26T00:00:00"/>
    <s v=""/>
    <x v="3"/>
    <x v="0"/>
  </r>
  <r>
    <n v="60351674853"/>
    <n v="177"/>
    <d v="2034-09-26T00:00:00"/>
    <s v=""/>
    <x v="3"/>
    <x v="0"/>
  </r>
  <r>
    <n v="65448514086"/>
    <n v="194"/>
    <d v="2034-09-26T00:00:00"/>
    <s v=""/>
    <x v="3"/>
    <x v="0"/>
  </r>
  <r>
    <n v="53877385465"/>
    <n v="195"/>
    <d v="2034-09-26T00:00:00"/>
    <s v=""/>
    <x v="3"/>
    <x v="0"/>
  </r>
  <r>
    <n v="75184308874"/>
    <n v="217"/>
    <d v="2034-09-26T00:00:00"/>
    <s v=""/>
    <x v="3"/>
    <x v="0"/>
  </r>
  <r>
    <n v="45654699695"/>
    <n v="220"/>
    <d v="2034-09-26T00:00:00"/>
    <s v=""/>
    <x v="3"/>
    <x v="0"/>
  </r>
  <r>
    <n v="45179862753"/>
    <n v="224"/>
    <d v="2034-09-26T00:00:00"/>
    <s v=""/>
    <x v="3"/>
    <x v="0"/>
  </r>
  <r>
    <n v="64741501300"/>
    <n v="225"/>
    <d v="2034-09-26T00:00:00"/>
    <s v=""/>
    <x v="3"/>
    <x v="0"/>
  </r>
  <r>
    <n v="66206688988"/>
    <n v="261"/>
    <d v="2034-09-26T00:00:00"/>
    <s v=""/>
    <x v="3"/>
    <x v="0"/>
  </r>
  <r>
    <n v="50580101785"/>
    <n v="326"/>
    <d v="2034-09-26T00:00:00"/>
    <s v=""/>
    <x v="3"/>
    <x v="0"/>
  </r>
  <r>
    <n v="51453379354"/>
    <n v="14"/>
    <d v="2034-09-27T00:00:00"/>
    <s v=""/>
    <x v="3"/>
    <x v="0"/>
  </r>
  <r>
    <n v="27961712542"/>
    <n v="44"/>
    <d v="2034-09-27T00:00:00"/>
    <s v=""/>
    <x v="3"/>
    <x v="0"/>
  </r>
  <r>
    <n v="91774978561"/>
    <n v="81"/>
    <d v="2034-09-27T00:00:00"/>
    <s v=""/>
    <x v="3"/>
    <x v="0"/>
  </r>
  <r>
    <n v="48670181442"/>
    <n v="144"/>
    <d v="2034-09-27T00:00:00"/>
    <s v=""/>
    <x v="3"/>
    <x v="0"/>
  </r>
  <r>
    <n v="84819988969"/>
    <n v="149"/>
    <d v="2034-09-27T00:00:00"/>
    <s v=""/>
    <x v="3"/>
    <x v="0"/>
  </r>
  <r>
    <n v="82126237810"/>
    <n v="150"/>
    <d v="2034-09-27T00:00:00"/>
    <s v=""/>
    <x v="3"/>
    <x v="0"/>
  </r>
  <r>
    <n v="33011702970"/>
    <n v="165"/>
    <d v="2034-09-27T00:00:00"/>
    <s v=""/>
    <x v="3"/>
    <x v="0"/>
  </r>
  <r>
    <n v="88575806029"/>
    <n v="177"/>
    <d v="2034-09-27T00:00:00"/>
    <d v="2034-10-25T00:00:00"/>
    <x v="3"/>
    <x v="5"/>
  </r>
  <r>
    <n v="42274927191"/>
    <n v="178"/>
    <d v="2034-09-27T00:00:00"/>
    <d v="2035-01-12T00:00:00"/>
    <x v="3"/>
    <x v="8"/>
  </r>
  <r>
    <n v="69843349057"/>
    <n v="188"/>
    <d v="2034-09-27T00:00:00"/>
    <s v=""/>
    <x v="3"/>
    <x v="0"/>
  </r>
  <r>
    <n v="44979726175"/>
    <n v="190"/>
    <d v="2034-09-27T00:00:00"/>
    <s v=""/>
    <x v="3"/>
    <x v="0"/>
  </r>
  <r>
    <n v="98799290180"/>
    <n v="250"/>
    <d v="2034-09-27T00:00:00"/>
    <d v="2035-01-20T00:00:00"/>
    <x v="3"/>
    <x v="8"/>
  </r>
  <r>
    <n v="66127955426"/>
    <n v="277"/>
    <d v="2034-09-27T00:00:00"/>
    <s v=""/>
    <x v="3"/>
    <x v="0"/>
  </r>
  <r>
    <n v="23371146990"/>
    <n v="279"/>
    <d v="2034-09-27T00:00:00"/>
    <d v="2034-10-23T00:00:00"/>
    <x v="3"/>
    <x v="5"/>
  </r>
  <r>
    <n v="55454832640"/>
    <n v="279"/>
    <d v="2034-09-27T00:00:00"/>
    <s v=""/>
    <x v="3"/>
    <x v="0"/>
  </r>
  <r>
    <n v="33373886699"/>
    <n v="296"/>
    <d v="2034-09-27T00:00:00"/>
    <s v=""/>
    <x v="3"/>
    <x v="0"/>
  </r>
  <r>
    <n v="82858595487"/>
    <n v="299"/>
    <d v="2034-09-27T00:00:00"/>
    <s v=""/>
    <x v="3"/>
    <x v="0"/>
  </r>
  <r>
    <n v="65489541317"/>
    <n v="333"/>
    <d v="2034-09-27T00:00:00"/>
    <s v=""/>
    <x v="3"/>
    <x v="0"/>
  </r>
  <r>
    <n v="84486350696"/>
    <n v="7"/>
    <d v="2034-09-28T00:00:00"/>
    <d v="2034-12-09T00:00:00"/>
    <x v="3"/>
    <x v="7"/>
  </r>
  <r>
    <n v="76082241743"/>
    <n v="9"/>
    <d v="2034-09-28T00:00:00"/>
    <s v=""/>
    <x v="3"/>
    <x v="0"/>
  </r>
  <r>
    <n v="68447334639"/>
    <n v="18"/>
    <d v="2034-09-28T00:00:00"/>
    <s v=""/>
    <x v="3"/>
    <x v="0"/>
  </r>
  <r>
    <n v="65716753048"/>
    <n v="21"/>
    <d v="2034-09-28T00:00:00"/>
    <s v=""/>
    <x v="3"/>
    <x v="0"/>
  </r>
  <r>
    <n v="20088441224"/>
    <n v="23"/>
    <d v="2034-09-28T00:00:00"/>
    <s v=""/>
    <x v="3"/>
    <x v="0"/>
  </r>
  <r>
    <n v="60351982988"/>
    <n v="29"/>
    <d v="2034-09-28T00:00:00"/>
    <d v="2034-10-15T00:00:00"/>
    <x v="3"/>
    <x v="5"/>
  </r>
  <r>
    <n v="24362204197"/>
    <n v="57"/>
    <d v="2034-09-28T00:00:00"/>
    <d v="2034-11-07T00:00:00"/>
    <x v="3"/>
    <x v="6"/>
  </r>
  <r>
    <n v="31874220377"/>
    <n v="81"/>
    <d v="2034-09-28T00:00:00"/>
    <s v=""/>
    <x v="3"/>
    <x v="0"/>
  </r>
  <r>
    <n v="45049285307"/>
    <n v="86"/>
    <d v="2034-09-28T00:00:00"/>
    <s v=""/>
    <x v="3"/>
    <x v="0"/>
  </r>
  <r>
    <n v="18327079432"/>
    <n v="88"/>
    <d v="2034-09-28T00:00:00"/>
    <s v=""/>
    <x v="3"/>
    <x v="0"/>
  </r>
  <r>
    <n v="32912210785"/>
    <n v="96"/>
    <d v="2034-09-28T00:00:00"/>
    <s v=""/>
    <x v="3"/>
    <x v="0"/>
  </r>
  <r>
    <n v="59995538251"/>
    <n v="97"/>
    <d v="2034-09-28T00:00:00"/>
    <d v="2034-12-01T00:00:00"/>
    <x v="3"/>
    <x v="7"/>
  </r>
  <r>
    <n v="58187668003"/>
    <n v="109"/>
    <d v="2034-09-28T00:00:00"/>
    <d v="2034-12-17T00:00:00"/>
    <x v="3"/>
    <x v="7"/>
  </r>
  <r>
    <n v="54153504772"/>
    <n v="112"/>
    <d v="2034-09-28T00:00:00"/>
    <s v=""/>
    <x v="3"/>
    <x v="0"/>
  </r>
  <r>
    <n v="92610926962"/>
    <n v="123"/>
    <d v="2034-09-28T00:00:00"/>
    <d v="2034-12-01T00:00:00"/>
    <x v="3"/>
    <x v="7"/>
  </r>
  <r>
    <n v="81091356532"/>
    <n v="142"/>
    <d v="2034-09-28T00:00:00"/>
    <d v="2034-12-18T00:00:00"/>
    <x v="3"/>
    <x v="7"/>
  </r>
  <r>
    <n v="84337409319"/>
    <n v="147"/>
    <d v="2034-09-28T00:00:00"/>
    <d v="2034-12-12T00:00:00"/>
    <x v="3"/>
    <x v="7"/>
  </r>
  <r>
    <n v="74216066700"/>
    <n v="168"/>
    <d v="2034-09-28T00:00:00"/>
    <d v="2034-12-01T00:00:00"/>
    <x v="3"/>
    <x v="7"/>
  </r>
  <r>
    <n v="43758527633"/>
    <n v="183"/>
    <d v="2034-09-28T00:00:00"/>
    <s v=""/>
    <x v="3"/>
    <x v="0"/>
  </r>
  <r>
    <n v="49451360558"/>
    <n v="252"/>
    <d v="2034-09-28T00:00:00"/>
    <s v=""/>
    <x v="3"/>
    <x v="0"/>
  </r>
  <r>
    <n v="90817937463"/>
    <n v="261"/>
    <d v="2034-09-28T00:00:00"/>
    <s v=""/>
    <x v="3"/>
    <x v="0"/>
  </r>
  <r>
    <n v="19622900639"/>
    <n v="299"/>
    <d v="2034-09-28T00:00:00"/>
    <s v=""/>
    <x v="3"/>
    <x v="0"/>
  </r>
  <r>
    <n v="54482356403"/>
    <n v="319"/>
    <d v="2034-09-28T00:00:00"/>
    <s v=""/>
    <x v="3"/>
    <x v="0"/>
  </r>
  <r>
    <n v="61640327601"/>
    <n v="323"/>
    <d v="2034-09-28T00:00:00"/>
    <s v=""/>
    <x v="3"/>
    <x v="0"/>
  </r>
  <r>
    <n v="69212806135"/>
    <n v="338"/>
    <d v="2034-09-28T00:00:00"/>
    <s v=""/>
    <x v="3"/>
    <x v="0"/>
  </r>
  <r>
    <n v="28067257069"/>
    <n v="60"/>
    <d v="2034-09-29T00:00:00"/>
    <s v=""/>
    <x v="3"/>
    <x v="0"/>
  </r>
  <r>
    <n v="34284658184"/>
    <n v="67"/>
    <d v="2034-09-29T00:00:00"/>
    <s v=""/>
    <x v="3"/>
    <x v="0"/>
  </r>
  <r>
    <n v="47565690542"/>
    <n v="77"/>
    <d v="2034-09-29T00:00:00"/>
    <d v="2034-12-07T00:00:00"/>
    <x v="3"/>
    <x v="7"/>
  </r>
  <r>
    <n v="75421384146"/>
    <n v="89"/>
    <d v="2034-09-29T00:00:00"/>
    <d v="2034-11-24T00:00:00"/>
    <x v="3"/>
    <x v="6"/>
  </r>
  <r>
    <n v="36346301253"/>
    <n v="137"/>
    <d v="2034-09-29T00:00:00"/>
    <m/>
    <x v="3"/>
    <x v="0"/>
  </r>
  <r>
    <n v="58577217764"/>
    <n v="168"/>
    <d v="2034-09-29T00:00:00"/>
    <s v=""/>
    <x v="3"/>
    <x v="0"/>
  </r>
  <r>
    <n v="65975997602"/>
    <n v="190"/>
    <d v="2034-09-29T00:00:00"/>
    <s v=""/>
    <x v="3"/>
    <x v="0"/>
  </r>
  <r>
    <n v="77711612648"/>
    <n v="192"/>
    <d v="2034-09-29T00:00:00"/>
    <s v=""/>
    <x v="3"/>
    <x v="0"/>
  </r>
  <r>
    <n v="45966911405"/>
    <n v="225"/>
    <d v="2034-09-29T00:00:00"/>
    <s v=""/>
    <x v="3"/>
    <x v="0"/>
  </r>
  <r>
    <n v="87785933971"/>
    <n v="231"/>
    <d v="2034-09-29T00:00:00"/>
    <s v=""/>
    <x v="3"/>
    <x v="0"/>
  </r>
  <r>
    <n v="57694420308"/>
    <n v="238"/>
    <d v="2034-09-29T00:00:00"/>
    <s v=""/>
    <x v="3"/>
    <x v="0"/>
  </r>
  <r>
    <n v="18285494853"/>
    <n v="247"/>
    <d v="2034-09-29T00:00:00"/>
    <s v=""/>
    <x v="3"/>
    <x v="0"/>
  </r>
  <r>
    <n v="22885403006"/>
    <n v="254"/>
    <d v="2034-09-29T00:00:00"/>
    <d v="2034-12-29T00:00:00"/>
    <x v="3"/>
    <x v="7"/>
  </r>
  <r>
    <n v="31136056849"/>
    <n v="295"/>
    <d v="2034-09-29T00:00:00"/>
    <s v=""/>
    <x v="3"/>
    <x v="0"/>
  </r>
  <r>
    <n v="28605600659"/>
    <n v="309"/>
    <d v="2034-09-29T00:00:00"/>
    <s v=""/>
    <x v="3"/>
    <x v="0"/>
  </r>
  <r>
    <n v="78067929214"/>
    <n v="318"/>
    <d v="2034-09-29T00:00:00"/>
    <s v=""/>
    <x v="3"/>
    <x v="0"/>
  </r>
  <r>
    <n v="52355039646"/>
    <n v="335"/>
    <d v="2034-09-29T00:00:00"/>
    <m/>
    <x v="3"/>
    <x v="0"/>
  </r>
  <r>
    <n v="33791606558"/>
    <n v="16"/>
    <d v="2034-09-30T00:00:00"/>
    <s v=""/>
    <x v="3"/>
    <x v="0"/>
  </r>
  <r>
    <n v="46973442612"/>
    <n v="23"/>
    <d v="2034-09-30T00:00:00"/>
    <s v=""/>
    <x v="3"/>
    <x v="0"/>
  </r>
  <r>
    <n v="18128439461"/>
    <n v="24"/>
    <d v="2034-09-30T00:00:00"/>
    <m/>
    <x v="3"/>
    <x v="0"/>
  </r>
  <r>
    <n v="59821786991"/>
    <n v="26"/>
    <d v="2034-09-30T00:00:00"/>
    <s v=""/>
    <x v="3"/>
    <x v="0"/>
  </r>
  <r>
    <n v="46448535308"/>
    <n v="26"/>
    <d v="2034-09-30T00:00:00"/>
    <s v=""/>
    <x v="3"/>
    <x v="0"/>
  </r>
  <r>
    <n v="56968658767"/>
    <n v="70"/>
    <d v="2034-09-30T00:00:00"/>
    <s v=""/>
    <x v="3"/>
    <x v="0"/>
  </r>
  <r>
    <n v="78664396183"/>
    <n v="85"/>
    <d v="2034-09-30T00:00:00"/>
    <d v="2035-01-17T00:00:00"/>
    <x v="3"/>
    <x v="8"/>
  </r>
  <r>
    <n v="95753349189"/>
    <n v="96"/>
    <d v="2034-09-30T00:00:00"/>
    <s v=""/>
    <x v="3"/>
    <x v="0"/>
  </r>
  <r>
    <n v="61422132390"/>
    <n v="121"/>
    <d v="2034-09-30T00:00:00"/>
    <s v=""/>
    <x v="3"/>
    <x v="0"/>
  </r>
  <r>
    <n v="65329630584"/>
    <n v="124"/>
    <d v="2034-09-30T00:00:00"/>
    <d v="2035-01-21T00:00:00"/>
    <x v="3"/>
    <x v="8"/>
  </r>
  <r>
    <n v="95360883733"/>
    <n v="148"/>
    <d v="2034-09-30T00:00:00"/>
    <s v=""/>
    <x v="3"/>
    <x v="0"/>
  </r>
  <r>
    <n v="17136211460"/>
    <n v="151"/>
    <d v="2034-09-30T00:00:00"/>
    <d v="2035-01-24T00:00:00"/>
    <x v="3"/>
    <x v="8"/>
  </r>
  <r>
    <n v="52759659306"/>
    <n v="183"/>
    <d v="2034-09-30T00:00:00"/>
    <s v=""/>
    <x v="3"/>
    <x v="0"/>
  </r>
  <r>
    <n v="59719210584"/>
    <n v="207"/>
    <d v="2034-09-30T00:00:00"/>
    <s v=""/>
    <x v="3"/>
    <x v="0"/>
  </r>
  <r>
    <n v="51081359511"/>
    <n v="238"/>
    <d v="2034-09-30T00:00:00"/>
    <s v=""/>
    <x v="3"/>
    <x v="0"/>
  </r>
  <r>
    <n v="40475278000"/>
    <n v="274"/>
    <d v="2034-09-30T00:00:00"/>
    <d v="2034-12-31T00:00:00"/>
    <x v="3"/>
    <x v="7"/>
  </r>
  <r>
    <n v="16611832456"/>
    <n v="290"/>
    <d v="2034-09-30T00:00:00"/>
    <s v=""/>
    <x v="3"/>
    <x v="0"/>
  </r>
  <r>
    <n v="57004518261"/>
    <n v="302"/>
    <d v="2034-09-30T00:00:00"/>
    <s v=""/>
    <x v="3"/>
    <x v="0"/>
  </r>
  <r>
    <n v="92857212951"/>
    <n v="312"/>
    <d v="2034-09-30T00:00:00"/>
    <d v="2034-10-22T00:00:00"/>
    <x v="3"/>
    <x v="5"/>
  </r>
  <r>
    <n v="85188640163"/>
    <n v="317"/>
    <d v="2034-09-30T00:00:00"/>
    <s v=""/>
    <x v="3"/>
    <x v="0"/>
  </r>
  <r>
    <n v="37913350962"/>
    <n v="320"/>
    <d v="2034-09-30T00:00:00"/>
    <s v=""/>
    <x v="3"/>
    <x v="0"/>
  </r>
  <r>
    <n v="74745671375"/>
    <n v="340"/>
    <d v="2034-09-30T00:00:00"/>
    <d v="2035-01-13T00:00:00"/>
    <x v="3"/>
    <x v="8"/>
  </r>
  <r>
    <n v="31685208410"/>
    <n v="41"/>
    <d v="2034-10-01T00:00:00"/>
    <d v="2034-10-20T00:00:00"/>
    <x v="4"/>
    <x v="5"/>
  </r>
  <r>
    <n v="62080586561"/>
    <n v="48"/>
    <d v="2034-10-01T00:00:00"/>
    <d v="2035-01-04T00:00:00"/>
    <x v="4"/>
    <x v="8"/>
  </r>
  <r>
    <n v="60333257748"/>
    <n v="65"/>
    <d v="2034-10-01T00:00:00"/>
    <s v=""/>
    <x v="4"/>
    <x v="0"/>
  </r>
  <r>
    <n v="34135677104"/>
    <n v="69"/>
    <d v="2034-10-01T00:00:00"/>
    <s v=""/>
    <x v="4"/>
    <x v="0"/>
  </r>
  <r>
    <n v="70266681790"/>
    <n v="81"/>
    <d v="2034-10-01T00:00:00"/>
    <d v="2034-11-11T00:00:00"/>
    <x v="4"/>
    <x v="6"/>
  </r>
  <r>
    <n v="73161937694"/>
    <n v="97"/>
    <d v="2034-10-01T00:00:00"/>
    <s v=""/>
    <x v="4"/>
    <x v="0"/>
  </r>
  <r>
    <n v="15049825238"/>
    <n v="111"/>
    <d v="2034-10-01T00:00:00"/>
    <s v=""/>
    <x v="4"/>
    <x v="0"/>
  </r>
  <r>
    <n v="65343017170"/>
    <n v="117"/>
    <d v="2034-10-01T00:00:00"/>
    <s v=""/>
    <x v="4"/>
    <x v="0"/>
  </r>
  <r>
    <n v="92222289798"/>
    <n v="120"/>
    <d v="2034-10-01T00:00:00"/>
    <s v=""/>
    <x v="4"/>
    <x v="0"/>
  </r>
  <r>
    <n v="36190466650"/>
    <n v="138"/>
    <d v="2034-10-01T00:00:00"/>
    <s v=""/>
    <x v="4"/>
    <x v="0"/>
  </r>
  <r>
    <n v="79984531554"/>
    <n v="149"/>
    <d v="2034-10-01T00:00:00"/>
    <s v=""/>
    <x v="4"/>
    <x v="0"/>
  </r>
  <r>
    <n v="79034727071"/>
    <n v="161"/>
    <d v="2034-10-01T00:00:00"/>
    <s v=""/>
    <x v="4"/>
    <x v="0"/>
  </r>
  <r>
    <n v="88904755265"/>
    <n v="164"/>
    <d v="2034-10-01T00:00:00"/>
    <s v=""/>
    <x v="4"/>
    <x v="0"/>
  </r>
  <r>
    <n v="68963250817"/>
    <n v="164"/>
    <d v="2034-10-01T00:00:00"/>
    <s v=""/>
    <x v="4"/>
    <x v="0"/>
  </r>
  <r>
    <n v="54620541972"/>
    <n v="180"/>
    <d v="2034-10-01T00:00:00"/>
    <s v=""/>
    <x v="4"/>
    <x v="0"/>
  </r>
  <r>
    <n v="34975527403"/>
    <n v="288"/>
    <d v="2034-10-01T00:00:00"/>
    <d v="2034-12-31T00:00:00"/>
    <x v="4"/>
    <x v="7"/>
  </r>
  <r>
    <n v="88985442349"/>
    <n v="297"/>
    <d v="2034-10-01T00:00:00"/>
    <s v=""/>
    <x v="4"/>
    <x v="0"/>
  </r>
  <r>
    <n v="70586292878"/>
    <n v="301"/>
    <d v="2034-10-01T00:00:00"/>
    <s v=""/>
    <x v="4"/>
    <x v="0"/>
  </r>
  <r>
    <n v="29607532301"/>
    <n v="303"/>
    <d v="2034-10-01T00:00:00"/>
    <s v=""/>
    <x v="4"/>
    <x v="0"/>
  </r>
  <r>
    <n v="81588566520"/>
    <n v="315"/>
    <d v="2034-10-01T00:00:00"/>
    <s v=""/>
    <x v="4"/>
    <x v="0"/>
  </r>
  <r>
    <n v="74745934023"/>
    <n v="317"/>
    <d v="2034-10-01T00:00:00"/>
    <s v=""/>
    <x v="4"/>
    <x v="0"/>
  </r>
  <r>
    <n v="78640464087"/>
    <n v="317"/>
    <d v="2034-10-01T00:00:00"/>
    <d v="2035-01-16T00:00:00"/>
    <x v="4"/>
    <x v="8"/>
  </r>
  <r>
    <n v="60650446474"/>
    <n v="320"/>
    <d v="2034-10-01T00:00:00"/>
    <d v="2034-12-11T00:00:00"/>
    <x v="4"/>
    <x v="7"/>
  </r>
  <r>
    <n v="36937495184"/>
    <n v="326"/>
    <d v="2034-10-01T00:00:00"/>
    <s v=""/>
    <x v="4"/>
    <x v="0"/>
  </r>
  <r>
    <n v="64613616072"/>
    <n v="0"/>
    <d v="2034-10-02T00:00:00"/>
    <d v="2034-11-20T00:00:00"/>
    <x v="4"/>
    <x v="6"/>
  </r>
  <r>
    <n v="34476946544"/>
    <n v="8"/>
    <d v="2034-10-02T00:00:00"/>
    <s v=""/>
    <x v="4"/>
    <x v="0"/>
  </r>
  <r>
    <n v="34357081515"/>
    <n v="18"/>
    <d v="2034-10-02T00:00:00"/>
    <d v="2035-01-17T00:00:00"/>
    <x v="4"/>
    <x v="8"/>
  </r>
  <r>
    <n v="59614889926"/>
    <n v="19"/>
    <d v="2034-10-02T00:00:00"/>
    <s v=""/>
    <x v="4"/>
    <x v="0"/>
  </r>
  <r>
    <n v="90556119079"/>
    <n v="33"/>
    <d v="2034-10-02T00:00:00"/>
    <d v="2034-11-23T00:00:00"/>
    <x v="4"/>
    <x v="6"/>
  </r>
  <r>
    <n v="87537082431"/>
    <n v="43"/>
    <d v="2034-10-02T00:00:00"/>
    <d v="2034-11-21T00:00:00"/>
    <x v="4"/>
    <x v="6"/>
  </r>
  <r>
    <n v="74787910243"/>
    <n v="49"/>
    <d v="2034-10-02T00:00:00"/>
    <s v=""/>
    <x v="4"/>
    <x v="0"/>
  </r>
  <r>
    <n v="64105522125"/>
    <n v="95"/>
    <d v="2034-10-02T00:00:00"/>
    <d v="2035-01-05T00:00:00"/>
    <x v="4"/>
    <x v="8"/>
  </r>
  <r>
    <n v="65087052025"/>
    <n v="118"/>
    <d v="2034-10-02T00:00:00"/>
    <s v=""/>
    <x v="4"/>
    <x v="0"/>
  </r>
  <r>
    <n v="57343594933"/>
    <n v="119"/>
    <d v="2034-10-02T00:00:00"/>
    <s v=""/>
    <x v="4"/>
    <x v="0"/>
  </r>
  <r>
    <n v="63035551017"/>
    <n v="149"/>
    <d v="2034-10-02T00:00:00"/>
    <d v="2034-12-06T00:00:00"/>
    <x v="4"/>
    <x v="7"/>
  </r>
  <r>
    <n v="81375624905"/>
    <n v="170"/>
    <d v="2034-10-02T00:00:00"/>
    <s v=""/>
    <x v="4"/>
    <x v="0"/>
  </r>
  <r>
    <n v="70002133541"/>
    <n v="170"/>
    <d v="2034-10-02T00:00:00"/>
    <d v="2034-12-22T00:00:00"/>
    <x v="4"/>
    <x v="7"/>
  </r>
  <r>
    <n v="15110517907"/>
    <n v="189"/>
    <d v="2034-10-02T00:00:00"/>
    <s v=""/>
    <x v="4"/>
    <x v="0"/>
  </r>
  <r>
    <n v="82614362556"/>
    <n v="192"/>
    <d v="2034-10-02T00:00:00"/>
    <s v=""/>
    <x v="4"/>
    <x v="0"/>
  </r>
  <r>
    <n v="90280762469"/>
    <n v="211"/>
    <d v="2034-10-02T00:00:00"/>
    <s v=""/>
    <x v="4"/>
    <x v="0"/>
  </r>
  <r>
    <n v="89931160570"/>
    <n v="230"/>
    <d v="2034-10-02T00:00:00"/>
    <s v=""/>
    <x v="4"/>
    <x v="0"/>
  </r>
  <r>
    <n v="82760802054"/>
    <n v="239"/>
    <d v="2034-10-02T00:00:00"/>
    <s v=""/>
    <x v="4"/>
    <x v="0"/>
  </r>
  <r>
    <n v="19065228033"/>
    <n v="267"/>
    <d v="2034-10-02T00:00:00"/>
    <s v=""/>
    <x v="4"/>
    <x v="0"/>
  </r>
  <r>
    <n v="56935189482"/>
    <n v="308"/>
    <d v="2034-10-02T00:00:00"/>
    <m/>
    <x v="4"/>
    <x v="0"/>
  </r>
  <r>
    <n v="58796466481"/>
    <n v="324"/>
    <d v="2034-10-02T00:00:00"/>
    <d v="2034-12-19T00:00:00"/>
    <x v="4"/>
    <x v="7"/>
  </r>
  <r>
    <n v="56352367597"/>
    <n v="325"/>
    <d v="2034-10-02T00:00:00"/>
    <s v=""/>
    <x v="4"/>
    <x v="0"/>
  </r>
  <r>
    <n v="96359961287"/>
    <n v="326"/>
    <d v="2034-10-02T00:00:00"/>
    <s v=""/>
    <x v="4"/>
    <x v="0"/>
  </r>
  <r>
    <n v="72828981104"/>
    <n v="334"/>
    <d v="2034-10-02T00:00:00"/>
    <s v=""/>
    <x v="4"/>
    <x v="0"/>
  </r>
  <r>
    <n v="80238258917"/>
    <n v="4"/>
    <d v="2034-10-03T00:00:00"/>
    <d v="2035-01-01T00:00:00"/>
    <x v="4"/>
    <x v="8"/>
  </r>
  <r>
    <n v="56662805953"/>
    <n v="28"/>
    <d v="2034-10-03T00:00:00"/>
    <s v=""/>
    <x v="4"/>
    <x v="0"/>
  </r>
  <r>
    <n v="67570902592"/>
    <n v="64"/>
    <d v="2034-10-03T00:00:00"/>
    <s v=""/>
    <x v="4"/>
    <x v="0"/>
  </r>
  <r>
    <n v="23680690339"/>
    <n v="98"/>
    <d v="2034-10-03T00:00:00"/>
    <s v=""/>
    <x v="4"/>
    <x v="0"/>
  </r>
  <r>
    <n v="89643518465"/>
    <n v="99"/>
    <d v="2034-10-03T00:00:00"/>
    <s v=""/>
    <x v="4"/>
    <x v="0"/>
  </r>
  <r>
    <n v="29482372589"/>
    <n v="122"/>
    <d v="2034-10-03T00:00:00"/>
    <s v=""/>
    <x v="4"/>
    <x v="0"/>
  </r>
  <r>
    <n v="54176670207"/>
    <n v="127"/>
    <d v="2034-10-03T00:00:00"/>
    <s v=""/>
    <x v="4"/>
    <x v="0"/>
  </r>
  <r>
    <n v="70209876982"/>
    <n v="129"/>
    <d v="2034-10-03T00:00:00"/>
    <d v="2034-12-01T00:00:00"/>
    <x v="4"/>
    <x v="7"/>
  </r>
  <r>
    <n v="56922942366"/>
    <n v="131"/>
    <d v="2034-10-03T00:00:00"/>
    <s v=""/>
    <x v="4"/>
    <x v="0"/>
  </r>
  <r>
    <n v="49090380769"/>
    <n v="162"/>
    <d v="2034-10-03T00:00:00"/>
    <s v=""/>
    <x v="4"/>
    <x v="0"/>
  </r>
  <r>
    <n v="65885575518"/>
    <n v="191"/>
    <d v="2034-10-03T00:00:00"/>
    <s v=""/>
    <x v="4"/>
    <x v="0"/>
  </r>
  <r>
    <n v="90864196169"/>
    <n v="193"/>
    <d v="2034-10-03T00:00:00"/>
    <d v="2034-11-29T00:00:00"/>
    <x v="4"/>
    <x v="6"/>
  </r>
  <r>
    <n v="74062163234"/>
    <n v="205"/>
    <d v="2034-10-03T00:00:00"/>
    <s v=""/>
    <x v="4"/>
    <x v="0"/>
  </r>
  <r>
    <n v="94201536105"/>
    <n v="228"/>
    <d v="2034-10-03T00:00:00"/>
    <s v=""/>
    <x v="4"/>
    <x v="0"/>
  </r>
  <r>
    <n v="41433086614"/>
    <n v="228"/>
    <d v="2034-10-03T00:00:00"/>
    <d v="2035-01-13T00:00:00"/>
    <x v="4"/>
    <x v="8"/>
  </r>
  <r>
    <n v="71194139658"/>
    <n v="235"/>
    <d v="2034-10-03T00:00:00"/>
    <s v=""/>
    <x v="4"/>
    <x v="0"/>
  </r>
  <r>
    <n v="99946012111"/>
    <n v="293"/>
    <d v="2034-10-03T00:00:00"/>
    <d v="2035-01-15T00:00:00"/>
    <x v="4"/>
    <x v="8"/>
  </r>
  <r>
    <n v="64497290028"/>
    <n v="325"/>
    <d v="2034-10-03T00:00:00"/>
    <s v=""/>
    <x v="4"/>
    <x v="0"/>
  </r>
  <r>
    <n v="45958977953"/>
    <n v="336"/>
    <d v="2034-10-03T00:00:00"/>
    <s v=""/>
    <x v="4"/>
    <x v="0"/>
  </r>
  <r>
    <n v="96602816744"/>
    <n v="340"/>
    <d v="2034-10-03T00:00:00"/>
    <s v=""/>
    <x v="4"/>
    <x v="0"/>
  </r>
  <r>
    <n v="96397077767"/>
    <n v="4"/>
    <d v="2034-10-04T00:00:00"/>
    <s v=""/>
    <x v="4"/>
    <x v="0"/>
  </r>
  <r>
    <n v="31904705093"/>
    <n v="6"/>
    <d v="2034-10-04T00:00:00"/>
    <s v=""/>
    <x v="4"/>
    <x v="0"/>
  </r>
  <r>
    <n v="62839303478"/>
    <n v="14"/>
    <d v="2034-10-04T00:00:00"/>
    <s v=""/>
    <x v="4"/>
    <x v="0"/>
  </r>
  <r>
    <n v="43644263831"/>
    <n v="20"/>
    <d v="2034-10-04T00:00:00"/>
    <s v=""/>
    <x v="4"/>
    <x v="0"/>
  </r>
  <r>
    <n v="34766189472"/>
    <n v="41"/>
    <d v="2034-10-04T00:00:00"/>
    <s v=""/>
    <x v="4"/>
    <x v="0"/>
  </r>
  <r>
    <n v="51972542139"/>
    <n v="92"/>
    <d v="2034-10-04T00:00:00"/>
    <s v=""/>
    <x v="4"/>
    <x v="0"/>
  </r>
  <r>
    <n v="59968263580"/>
    <n v="99"/>
    <d v="2034-10-04T00:00:00"/>
    <s v=""/>
    <x v="4"/>
    <x v="0"/>
  </r>
  <r>
    <n v="86960727353"/>
    <n v="115"/>
    <d v="2034-10-04T00:00:00"/>
    <d v="2035-01-26T00:00:00"/>
    <x v="4"/>
    <x v="8"/>
  </r>
  <r>
    <n v="87051335657"/>
    <n v="118"/>
    <d v="2034-10-04T00:00:00"/>
    <d v="2035-01-26T00:00:00"/>
    <x v="4"/>
    <x v="8"/>
  </r>
  <r>
    <n v="35797581735"/>
    <n v="145"/>
    <d v="2034-10-04T00:00:00"/>
    <s v=""/>
    <x v="4"/>
    <x v="0"/>
  </r>
  <r>
    <n v="78857189707"/>
    <n v="163"/>
    <d v="2034-10-04T00:00:00"/>
    <s v=""/>
    <x v="4"/>
    <x v="0"/>
  </r>
  <r>
    <n v="35244990534"/>
    <n v="167"/>
    <d v="2034-10-04T00:00:00"/>
    <s v=""/>
    <x v="4"/>
    <x v="0"/>
  </r>
  <r>
    <n v="25391374490"/>
    <n v="177"/>
    <d v="2034-10-04T00:00:00"/>
    <s v=""/>
    <x v="4"/>
    <x v="0"/>
  </r>
  <r>
    <n v="97872336105"/>
    <n v="195"/>
    <d v="2034-10-04T00:00:00"/>
    <s v=""/>
    <x v="4"/>
    <x v="0"/>
  </r>
  <r>
    <n v="58164605794"/>
    <n v="215"/>
    <d v="2034-10-04T00:00:00"/>
    <s v=""/>
    <x v="4"/>
    <x v="0"/>
  </r>
  <r>
    <n v="57862725009"/>
    <n v="222"/>
    <d v="2034-10-04T00:00:00"/>
    <s v=""/>
    <x v="4"/>
    <x v="0"/>
  </r>
  <r>
    <n v="22940870009"/>
    <n v="223"/>
    <d v="2034-10-04T00:00:00"/>
    <s v=""/>
    <x v="4"/>
    <x v="0"/>
  </r>
  <r>
    <n v="84746570079"/>
    <n v="233"/>
    <d v="2034-10-04T00:00:00"/>
    <d v="2034-11-28T00:00:00"/>
    <x v="4"/>
    <x v="6"/>
  </r>
  <r>
    <n v="33426858919"/>
    <n v="233"/>
    <d v="2034-10-04T00:00:00"/>
    <s v=""/>
    <x v="4"/>
    <x v="0"/>
  </r>
  <r>
    <n v="51109963282"/>
    <n v="267"/>
    <d v="2034-10-04T00:00:00"/>
    <s v=""/>
    <x v="4"/>
    <x v="0"/>
  </r>
  <r>
    <n v="58212405077"/>
    <n v="0"/>
    <d v="2034-10-05T00:00:00"/>
    <s v=""/>
    <x v="4"/>
    <x v="0"/>
  </r>
  <r>
    <n v="66448161871"/>
    <n v="2"/>
    <d v="2034-10-05T00:00:00"/>
    <s v=""/>
    <x v="4"/>
    <x v="0"/>
  </r>
  <r>
    <n v="19727163711"/>
    <n v="76"/>
    <d v="2034-10-05T00:00:00"/>
    <d v="2034-10-25T00:00:00"/>
    <x v="4"/>
    <x v="5"/>
  </r>
  <r>
    <n v="32417274520"/>
    <n v="116"/>
    <d v="2034-10-05T00:00:00"/>
    <d v="2035-01-12T00:00:00"/>
    <x v="4"/>
    <x v="8"/>
  </r>
  <r>
    <n v="75506101587"/>
    <n v="153"/>
    <d v="2034-10-05T00:00:00"/>
    <s v=""/>
    <x v="4"/>
    <x v="0"/>
  </r>
  <r>
    <n v="25371630028"/>
    <n v="164"/>
    <d v="2034-10-05T00:00:00"/>
    <s v=""/>
    <x v="4"/>
    <x v="0"/>
  </r>
  <r>
    <n v="28605671830"/>
    <n v="189"/>
    <d v="2034-10-05T00:00:00"/>
    <s v=""/>
    <x v="4"/>
    <x v="0"/>
  </r>
  <r>
    <n v="93564386691"/>
    <n v="193"/>
    <d v="2034-10-05T00:00:00"/>
    <s v=""/>
    <x v="4"/>
    <x v="0"/>
  </r>
  <r>
    <n v="25616960129"/>
    <n v="204"/>
    <d v="2034-10-05T00:00:00"/>
    <s v=""/>
    <x v="4"/>
    <x v="0"/>
  </r>
  <r>
    <n v="11144554065"/>
    <n v="204"/>
    <d v="2034-10-05T00:00:00"/>
    <d v="2034-12-19T00:00:00"/>
    <x v="4"/>
    <x v="7"/>
  </r>
  <r>
    <n v="43603144545"/>
    <n v="209"/>
    <d v="2034-10-05T00:00:00"/>
    <s v=""/>
    <x v="4"/>
    <x v="0"/>
  </r>
  <r>
    <n v="91193358546"/>
    <n v="212"/>
    <d v="2034-10-05T00:00:00"/>
    <d v="2034-12-04T00:00:00"/>
    <x v="4"/>
    <x v="7"/>
  </r>
  <r>
    <n v="36139501955"/>
    <n v="254"/>
    <d v="2034-10-05T00:00:00"/>
    <s v=""/>
    <x v="4"/>
    <x v="0"/>
  </r>
  <r>
    <n v="14555969825"/>
    <n v="277"/>
    <d v="2034-10-05T00:00:00"/>
    <d v="2034-12-10T00:00:00"/>
    <x v="4"/>
    <x v="7"/>
  </r>
  <r>
    <n v="59353316326"/>
    <n v="280"/>
    <d v="2034-10-05T00:00:00"/>
    <d v="2034-11-12T00:00:00"/>
    <x v="4"/>
    <x v="6"/>
  </r>
  <r>
    <n v="41971205795"/>
    <n v="319"/>
    <d v="2034-10-05T00:00:00"/>
    <d v="2034-11-02T00:00:00"/>
    <x v="4"/>
    <x v="6"/>
  </r>
  <r>
    <n v="46102833460"/>
    <n v="7"/>
    <d v="2034-10-06T00:00:00"/>
    <s v=""/>
    <x v="4"/>
    <x v="0"/>
  </r>
  <r>
    <n v="41586471581"/>
    <n v="22"/>
    <d v="2034-10-06T00:00:00"/>
    <d v="2035-01-27T00:00:00"/>
    <x v="4"/>
    <x v="8"/>
  </r>
  <r>
    <n v="74658431822"/>
    <n v="36"/>
    <d v="2034-10-06T00:00:00"/>
    <s v=""/>
    <x v="4"/>
    <x v="0"/>
  </r>
  <r>
    <n v="22966967367"/>
    <n v="37"/>
    <d v="2034-10-06T00:00:00"/>
    <d v="2034-10-10T00:00:00"/>
    <x v="4"/>
    <x v="5"/>
  </r>
  <r>
    <n v="20827397657"/>
    <n v="38"/>
    <d v="2034-10-06T00:00:00"/>
    <d v="2034-12-04T00:00:00"/>
    <x v="4"/>
    <x v="7"/>
  </r>
  <r>
    <n v="98516292889"/>
    <n v="55"/>
    <d v="2034-10-06T00:00:00"/>
    <s v=""/>
    <x v="4"/>
    <x v="0"/>
  </r>
  <r>
    <n v="79521546734"/>
    <n v="68"/>
    <d v="2034-10-06T00:00:00"/>
    <s v=""/>
    <x v="4"/>
    <x v="0"/>
  </r>
  <r>
    <n v="93078833188"/>
    <n v="80"/>
    <d v="2034-10-06T00:00:00"/>
    <s v=""/>
    <x v="4"/>
    <x v="0"/>
  </r>
  <r>
    <n v="49129927497"/>
    <n v="81"/>
    <d v="2034-10-06T00:00:00"/>
    <s v=""/>
    <x v="4"/>
    <x v="0"/>
  </r>
  <r>
    <n v="60800299232"/>
    <n v="93"/>
    <d v="2034-10-06T00:00:00"/>
    <s v=""/>
    <x v="4"/>
    <x v="0"/>
  </r>
  <r>
    <n v="74427240040"/>
    <n v="95"/>
    <d v="2034-10-06T00:00:00"/>
    <s v=""/>
    <x v="4"/>
    <x v="0"/>
  </r>
  <r>
    <n v="79786017157"/>
    <n v="117"/>
    <d v="2034-10-06T00:00:00"/>
    <m/>
    <x v="4"/>
    <x v="0"/>
  </r>
  <r>
    <n v="49832141580"/>
    <n v="117"/>
    <d v="2034-10-06T00:00:00"/>
    <s v=""/>
    <x v="4"/>
    <x v="0"/>
  </r>
  <r>
    <n v="28942893593"/>
    <n v="149"/>
    <d v="2034-10-06T00:00:00"/>
    <s v=""/>
    <x v="4"/>
    <x v="0"/>
  </r>
  <r>
    <n v="84679727108"/>
    <n v="154"/>
    <d v="2034-10-06T00:00:00"/>
    <s v=""/>
    <x v="4"/>
    <x v="0"/>
  </r>
  <r>
    <n v="33631181674"/>
    <n v="214"/>
    <d v="2034-10-06T00:00:00"/>
    <s v=""/>
    <x v="4"/>
    <x v="0"/>
  </r>
  <r>
    <n v="61661110358"/>
    <n v="217"/>
    <d v="2034-10-06T00:00:00"/>
    <s v=""/>
    <x v="4"/>
    <x v="0"/>
  </r>
  <r>
    <n v="59582244093"/>
    <n v="218"/>
    <d v="2034-10-06T00:00:00"/>
    <m/>
    <x v="4"/>
    <x v="0"/>
  </r>
  <r>
    <n v="58890378597"/>
    <n v="231"/>
    <d v="2034-10-06T00:00:00"/>
    <s v=""/>
    <x v="4"/>
    <x v="0"/>
  </r>
  <r>
    <n v="86451688347"/>
    <n v="269"/>
    <d v="2034-10-06T00:00:00"/>
    <s v=""/>
    <x v="4"/>
    <x v="0"/>
  </r>
  <r>
    <n v="29216232331"/>
    <n v="279"/>
    <d v="2034-10-06T00:00:00"/>
    <d v="2034-12-02T00:00:00"/>
    <x v="4"/>
    <x v="7"/>
  </r>
  <r>
    <n v="87343011752"/>
    <n v="299"/>
    <d v="2034-10-06T00:00:00"/>
    <s v=""/>
    <x v="4"/>
    <x v="0"/>
  </r>
  <r>
    <n v="25040747423"/>
    <n v="311"/>
    <d v="2034-10-06T00:00:00"/>
    <s v=""/>
    <x v="4"/>
    <x v="0"/>
  </r>
  <r>
    <n v="66637482579"/>
    <n v="312"/>
    <d v="2034-10-06T00:00:00"/>
    <d v="2034-10-26T00:00:00"/>
    <x v="4"/>
    <x v="5"/>
  </r>
  <r>
    <n v="94593918989"/>
    <n v="8"/>
    <d v="2034-10-07T00:00:00"/>
    <s v=""/>
    <x v="4"/>
    <x v="0"/>
  </r>
  <r>
    <n v="11897495697"/>
    <n v="33"/>
    <d v="2034-10-07T00:00:00"/>
    <s v=""/>
    <x v="4"/>
    <x v="0"/>
  </r>
  <r>
    <n v="80320348378"/>
    <n v="41"/>
    <d v="2034-10-07T00:00:00"/>
    <s v=""/>
    <x v="4"/>
    <x v="0"/>
  </r>
  <r>
    <n v="74831319817"/>
    <n v="52"/>
    <d v="2034-10-07T00:00:00"/>
    <s v=""/>
    <x v="4"/>
    <x v="0"/>
  </r>
  <r>
    <n v="31176471490"/>
    <n v="61"/>
    <d v="2034-10-07T00:00:00"/>
    <d v="2034-11-16T00:00:00"/>
    <x v="4"/>
    <x v="6"/>
  </r>
  <r>
    <n v="86447891542"/>
    <n v="72"/>
    <d v="2034-10-07T00:00:00"/>
    <d v="2034-10-11T00:00:00"/>
    <x v="4"/>
    <x v="5"/>
  </r>
  <r>
    <n v="51391777055"/>
    <n v="85"/>
    <d v="2034-10-07T00:00:00"/>
    <s v=""/>
    <x v="4"/>
    <x v="0"/>
  </r>
  <r>
    <n v="13223825461"/>
    <n v="88"/>
    <d v="2034-10-07T00:00:00"/>
    <s v=""/>
    <x v="4"/>
    <x v="0"/>
  </r>
  <r>
    <n v="40580513983"/>
    <n v="98"/>
    <d v="2034-10-07T00:00:00"/>
    <s v=""/>
    <x v="4"/>
    <x v="0"/>
  </r>
  <r>
    <n v="48810627404"/>
    <n v="138"/>
    <d v="2034-10-07T00:00:00"/>
    <s v=""/>
    <x v="4"/>
    <x v="0"/>
  </r>
  <r>
    <n v="90777250296"/>
    <n v="140"/>
    <d v="2034-10-07T00:00:00"/>
    <s v=""/>
    <x v="4"/>
    <x v="0"/>
  </r>
  <r>
    <n v="75056841591"/>
    <n v="147"/>
    <d v="2034-10-07T00:00:00"/>
    <s v=""/>
    <x v="4"/>
    <x v="0"/>
  </r>
  <r>
    <n v="21415062027"/>
    <n v="174"/>
    <d v="2034-10-07T00:00:00"/>
    <s v=""/>
    <x v="4"/>
    <x v="0"/>
  </r>
  <r>
    <n v="72672441699"/>
    <n v="203"/>
    <d v="2034-10-07T00:00:00"/>
    <s v=""/>
    <x v="4"/>
    <x v="0"/>
  </r>
  <r>
    <n v="90565800713"/>
    <n v="233"/>
    <d v="2034-10-07T00:00:00"/>
    <d v="2034-12-14T00:00:00"/>
    <x v="4"/>
    <x v="7"/>
  </r>
  <r>
    <n v="50749122838"/>
    <n v="248"/>
    <d v="2034-10-07T00:00:00"/>
    <s v=""/>
    <x v="4"/>
    <x v="0"/>
  </r>
  <r>
    <n v="31425042917"/>
    <n v="289"/>
    <d v="2034-10-07T00:00:00"/>
    <s v=""/>
    <x v="4"/>
    <x v="0"/>
  </r>
  <r>
    <n v="86136469918"/>
    <n v="7"/>
    <d v="2034-10-08T00:00:00"/>
    <s v=""/>
    <x v="4"/>
    <x v="0"/>
  </r>
  <r>
    <n v="58795463870"/>
    <n v="19"/>
    <d v="2034-10-08T00:00:00"/>
    <s v=""/>
    <x v="4"/>
    <x v="0"/>
  </r>
  <r>
    <n v="71595942425"/>
    <n v="30"/>
    <d v="2034-10-08T00:00:00"/>
    <s v=""/>
    <x v="4"/>
    <x v="0"/>
  </r>
  <r>
    <n v="47677680747"/>
    <n v="68"/>
    <d v="2034-10-08T00:00:00"/>
    <s v=""/>
    <x v="4"/>
    <x v="0"/>
  </r>
  <r>
    <n v="76458092751"/>
    <n v="105"/>
    <d v="2034-10-08T00:00:00"/>
    <s v=""/>
    <x v="4"/>
    <x v="0"/>
  </r>
  <r>
    <n v="87880617033"/>
    <n v="106"/>
    <d v="2034-10-08T00:00:00"/>
    <s v=""/>
    <x v="4"/>
    <x v="0"/>
  </r>
  <r>
    <n v="74049587347"/>
    <n v="115"/>
    <d v="2034-10-08T00:00:00"/>
    <s v=""/>
    <x v="4"/>
    <x v="0"/>
  </r>
  <r>
    <n v="14331031847"/>
    <n v="116"/>
    <d v="2034-10-08T00:00:00"/>
    <s v=""/>
    <x v="4"/>
    <x v="0"/>
  </r>
  <r>
    <n v="65106722886"/>
    <n v="160"/>
    <d v="2034-10-08T00:00:00"/>
    <s v=""/>
    <x v="4"/>
    <x v="0"/>
  </r>
  <r>
    <n v="79895244567"/>
    <n v="163"/>
    <d v="2034-10-08T00:00:00"/>
    <s v=""/>
    <x v="4"/>
    <x v="0"/>
  </r>
  <r>
    <n v="54198738770"/>
    <n v="181"/>
    <d v="2034-10-08T00:00:00"/>
    <s v=""/>
    <x v="4"/>
    <x v="0"/>
  </r>
  <r>
    <n v="23141217648"/>
    <n v="215"/>
    <d v="2034-10-08T00:00:00"/>
    <d v="2034-12-26T00:00:00"/>
    <x v="4"/>
    <x v="7"/>
  </r>
  <r>
    <n v="20144024440"/>
    <n v="217"/>
    <d v="2034-10-08T00:00:00"/>
    <s v=""/>
    <x v="4"/>
    <x v="0"/>
  </r>
  <r>
    <n v="36728286918"/>
    <n v="240"/>
    <d v="2034-10-08T00:00:00"/>
    <s v=""/>
    <x v="4"/>
    <x v="0"/>
  </r>
  <r>
    <n v="50007124650"/>
    <n v="303"/>
    <d v="2034-10-08T00:00:00"/>
    <d v="2034-11-07T00:00:00"/>
    <x v="4"/>
    <x v="6"/>
  </r>
  <r>
    <n v="16066737671"/>
    <n v="339"/>
    <d v="2034-10-08T00:00:00"/>
    <d v="2034-12-11T00:00:00"/>
    <x v="4"/>
    <x v="7"/>
  </r>
  <r>
    <n v="44106910953"/>
    <n v="12"/>
    <d v="2034-10-09T00:00:00"/>
    <s v=""/>
    <x v="4"/>
    <x v="0"/>
  </r>
  <r>
    <n v="25665894533"/>
    <n v="31"/>
    <d v="2034-10-09T00:00:00"/>
    <s v=""/>
    <x v="4"/>
    <x v="0"/>
  </r>
  <r>
    <n v="97108857956"/>
    <n v="39"/>
    <d v="2034-10-09T00:00:00"/>
    <s v=""/>
    <x v="4"/>
    <x v="0"/>
  </r>
  <r>
    <n v="24356434709"/>
    <n v="41"/>
    <d v="2034-10-09T00:00:00"/>
    <s v=""/>
    <x v="4"/>
    <x v="0"/>
  </r>
  <r>
    <n v="43254775717"/>
    <n v="48"/>
    <d v="2034-10-09T00:00:00"/>
    <d v="2034-11-17T00:00:00"/>
    <x v="4"/>
    <x v="6"/>
  </r>
  <r>
    <n v="47544028394"/>
    <n v="50"/>
    <d v="2034-10-09T00:00:00"/>
    <s v=""/>
    <x v="4"/>
    <x v="0"/>
  </r>
  <r>
    <n v="39864884085"/>
    <n v="51"/>
    <d v="2034-10-09T00:00:00"/>
    <s v=""/>
    <x v="4"/>
    <x v="0"/>
  </r>
  <r>
    <n v="83750227612"/>
    <n v="65"/>
    <d v="2034-10-09T00:00:00"/>
    <s v=""/>
    <x v="4"/>
    <x v="0"/>
  </r>
  <r>
    <n v="27036753322"/>
    <n v="67"/>
    <d v="2034-10-09T00:00:00"/>
    <s v=""/>
    <x v="4"/>
    <x v="0"/>
  </r>
  <r>
    <n v="40871778046"/>
    <n v="93"/>
    <d v="2034-10-09T00:00:00"/>
    <d v="2034-12-01T00:00:00"/>
    <x v="4"/>
    <x v="7"/>
  </r>
  <r>
    <n v="30745938497"/>
    <n v="112"/>
    <d v="2034-10-09T00:00:00"/>
    <s v=""/>
    <x v="4"/>
    <x v="0"/>
  </r>
  <r>
    <n v="27409862069"/>
    <n v="114"/>
    <d v="2034-10-09T00:00:00"/>
    <d v="2034-10-15T00:00:00"/>
    <x v="4"/>
    <x v="5"/>
  </r>
  <r>
    <n v="70308603299"/>
    <n v="122"/>
    <d v="2034-10-09T00:00:00"/>
    <s v=""/>
    <x v="4"/>
    <x v="0"/>
  </r>
  <r>
    <n v="44411226092"/>
    <n v="144"/>
    <d v="2034-10-09T00:00:00"/>
    <s v=""/>
    <x v="4"/>
    <x v="0"/>
  </r>
  <r>
    <n v="37386085875"/>
    <n v="145"/>
    <d v="2034-10-09T00:00:00"/>
    <s v=""/>
    <x v="4"/>
    <x v="0"/>
  </r>
  <r>
    <n v="55211319840"/>
    <n v="166"/>
    <d v="2034-10-09T00:00:00"/>
    <s v=""/>
    <x v="4"/>
    <x v="0"/>
  </r>
  <r>
    <n v="93563433498"/>
    <n v="176"/>
    <d v="2034-10-09T00:00:00"/>
    <s v=""/>
    <x v="4"/>
    <x v="0"/>
  </r>
  <r>
    <n v="21860552912"/>
    <n v="178"/>
    <d v="2034-10-09T00:00:00"/>
    <d v="2034-12-09T00:00:00"/>
    <x v="4"/>
    <x v="7"/>
  </r>
  <r>
    <n v="87391553579"/>
    <n v="180"/>
    <d v="2034-10-09T00:00:00"/>
    <d v="2034-11-15T00:00:00"/>
    <x v="4"/>
    <x v="6"/>
  </r>
  <r>
    <n v="69639747325"/>
    <n v="221"/>
    <d v="2034-10-09T00:00:00"/>
    <s v=""/>
    <x v="4"/>
    <x v="0"/>
  </r>
  <r>
    <n v="77189430694"/>
    <n v="228"/>
    <d v="2034-10-09T00:00:00"/>
    <s v=""/>
    <x v="4"/>
    <x v="0"/>
  </r>
  <r>
    <n v="20021576922"/>
    <n v="252"/>
    <d v="2034-10-09T00:00:00"/>
    <s v=""/>
    <x v="4"/>
    <x v="0"/>
  </r>
  <r>
    <n v="51512481662"/>
    <n v="255"/>
    <d v="2034-10-09T00:00:00"/>
    <d v="2034-12-05T00:00:00"/>
    <x v="4"/>
    <x v="7"/>
  </r>
  <r>
    <n v="71536634303"/>
    <n v="260"/>
    <d v="2034-10-09T00:00:00"/>
    <s v=""/>
    <x v="4"/>
    <x v="0"/>
  </r>
  <r>
    <n v="48078126332"/>
    <n v="262"/>
    <d v="2034-10-09T00:00:00"/>
    <d v="2034-10-18T00:00:00"/>
    <x v="4"/>
    <x v="5"/>
  </r>
  <r>
    <n v="26926238852"/>
    <n v="297"/>
    <d v="2034-10-09T00:00:00"/>
    <s v=""/>
    <x v="4"/>
    <x v="0"/>
  </r>
  <r>
    <n v="90446906440"/>
    <n v="302"/>
    <d v="2034-10-09T00:00:00"/>
    <s v=""/>
    <x v="4"/>
    <x v="0"/>
  </r>
  <r>
    <n v="21035935046"/>
    <n v="320"/>
    <d v="2034-10-09T00:00:00"/>
    <d v="2035-01-21T00:00:00"/>
    <x v="4"/>
    <x v="8"/>
  </r>
  <r>
    <n v="34615488171"/>
    <n v="320"/>
    <d v="2034-10-09T00:00:00"/>
    <s v=""/>
    <x v="4"/>
    <x v="0"/>
  </r>
  <r>
    <n v="23691049433"/>
    <n v="329"/>
    <d v="2034-10-09T00:00:00"/>
    <d v="2034-12-27T00:00:00"/>
    <x v="4"/>
    <x v="7"/>
  </r>
  <r>
    <n v="31410562647"/>
    <n v="18"/>
    <d v="2034-10-10T00:00:00"/>
    <s v=""/>
    <x v="4"/>
    <x v="0"/>
  </r>
  <r>
    <n v="28969603526"/>
    <n v="29"/>
    <d v="2034-10-10T00:00:00"/>
    <m/>
    <x v="4"/>
    <x v="0"/>
  </r>
  <r>
    <n v="14925807003"/>
    <n v="40"/>
    <d v="2034-10-10T00:00:00"/>
    <s v=""/>
    <x v="4"/>
    <x v="0"/>
  </r>
  <r>
    <n v="33605788037"/>
    <n v="46"/>
    <d v="2034-10-10T00:00:00"/>
    <d v="2034-10-10T00:00:00"/>
    <x v="4"/>
    <x v="5"/>
  </r>
  <r>
    <n v="71688057337"/>
    <n v="46"/>
    <d v="2034-10-10T00:00:00"/>
    <s v=""/>
    <x v="4"/>
    <x v="0"/>
  </r>
  <r>
    <n v="74632620118"/>
    <n v="89"/>
    <d v="2034-10-10T00:00:00"/>
    <s v=""/>
    <x v="4"/>
    <x v="0"/>
  </r>
  <r>
    <n v="51621813477"/>
    <n v="102"/>
    <d v="2034-10-10T00:00:00"/>
    <s v=""/>
    <x v="4"/>
    <x v="0"/>
  </r>
  <r>
    <n v="96634616676"/>
    <n v="117"/>
    <d v="2034-10-10T00:00:00"/>
    <s v=""/>
    <x v="4"/>
    <x v="0"/>
  </r>
  <r>
    <n v="68368542215"/>
    <n v="144"/>
    <d v="2034-10-10T00:00:00"/>
    <s v=""/>
    <x v="4"/>
    <x v="0"/>
  </r>
  <r>
    <n v="79055052921"/>
    <n v="154"/>
    <d v="2034-10-10T00:00:00"/>
    <s v=""/>
    <x v="4"/>
    <x v="0"/>
  </r>
  <r>
    <n v="36179524148"/>
    <n v="160"/>
    <d v="2034-10-10T00:00:00"/>
    <s v=""/>
    <x v="4"/>
    <x v="0"/>
  </r>
  <r>
    <n v="92526915938"/>
    <n v="164"/>
    <d v="2034-10-10T00:00:00"/>
    <s v=""/>
    <x v="4"/>
    <x v="0"/>
  </r>
  <r>
    <n v="16625538314"/>
    <n v="171"/>
    <d v="2034-10-10T00:00:00"/>
    <d v="2035-01-04T00:00:00"/>
    <x v="4"/>
    <x v="8"/>
  </r>
  <r>
    <n v="99359198495"/>
    <n v="185"/>
    <d v="2034-10-10T00:00:00"/>
    <s v=""/>
    <x v="4"/>
    <x v="0"/>
  </r>
  <r>
    <n v="93006068550"/>
    <n v="200"/>
    <d v="2034-10-10T00:00:00"/>
    <s v=""/>
    <x v="4"/>
    <x v="0"/>
  </r>
  <r>
    <n v="13445478334"/>
    <n v="205"/>
    <d v="2034-10-10T00:00:00"/>
    <s v=""/>
    <x v="4"/>
    <x v="0"/>
  </r>
  <r>
    <n v="70679123454"/>
    <n v="209"/>
    <d v="2034-10-10T00:00:00"/>
    <d v="2035-01-02T00:00:00"/>
    <x v="4"/>
    <x v="8"/>
  </r>
  <r>
    <n v="62583239561"/>
    <n v="265"/>
    <d v="2034-10-10T00:00:00"/>
    <s v=""/>
    <x v="4"/>
    <x v="0"/>
  </r>
  <r>
    <n v="41536302426"/>
    <n v="274"/>
    <d v="2034-10-10T00:00:00"/>
    <s v=""/>
    <x v="4"/>
    <x v="0"/>
  </r>
  <r>
    <n v="52635177378"/>
    <n v="282"/>
    <d v="2034-10-10T00:00:00"/>
    <s v=""/>
    <x v="4"/>
    <x v="0"/>
  </r>
  <r>
    <n v="86860482500"/>
    <n v="284"/>
    <d v="2034-10-10T00:00:00"/>
    <s v=""/>
    <x v="4"/>
    <x v="0"/>
  </r>
  <r>
    <n v="44352773184"/>
    <n v="311"/>
    <d v="2034-10-10T00:00:00"/>
    <s v=""/>
    <x v="4"/>
    <x v="0"/>
  </r>
  <r>
    <n v="43532879102"/>
    <n v="329"/>
    <d v="2034-10-10T00:00:00"/>
    <d v="2034-10-24T00:00:00"/>
    <x v="4"/>
    <x v="5"/>
  </r>
  <r>
    <n v="62779929114"/>
    <n v="21"/>
    <d v="2034-10-11T00:00:00"/>
    <s v=""/>
    <x v="4"/>
    <x v="0"/>
  </r>
  <r>
    <n v="37797323079"/>
    <n v="29"/>
    <d v="2034-10-11T00:00:00"/>
    <d v="2034-11-11T00:00:00"/>
    <x v="4"/>
    <x v="6"/>
  </r>
  <r>
    <n v="40099259381"/>
    <n v="31"/>
    <d v="2034-10-11T00:00:00"/>
    <s v=""/>
    <x v="4"/>
    <x v="0"/>
  </r>
  <r>
    <n v="15058577605"/>
    <n v="32"/>
    <d v="2034-10-11T00:00:00"/>
    <d v="2034-12-14T00:00:00"/>
    <x v="4"/>
    <x v="7"/>
  </r>
  <r>
    <n v="25119732224"/>
    <n v="43"/>
    <d v="2034-10-11T00:00:00"/>
    <s v=""/>
    <x v="4"/>
    <x v="0"/>
  </r>
  <r>
    <n v="75653297379"/>
    <n v="49"/>
    <d v="2034-10-11T00:00:00"/>
    <s v=""/>
    <x v="4"/>
    <x v="0"/>
  </r>
  <r>
    <n v="92566776811"/>
    <n v="81"/>
    <d v="2034-10-11T00:00:00"/>
    <s v=""/>
    <x v="4"/>
    <x v="0"/>
  </r>
  <r>
    <n v="16576654291"/>
    <n v="81"/>
    <d v="2034-10-11T00:00:00"/>
    <s v=""/>
    <x v="4"/>
    <x v="0"/>
  </r>
  <r>
    <n v="40688857320"/>
    <n v="90"/>
    <d v="2034-10-11T00:00:00"/>
    <s v=""/>
    <x v="4"/>
    <x v="0"/>
  </r>
  <r>
    <n v="24862214464"/>
    <n v="91"/>
    <d v="2034-10-11T00:00:00"/>
    <d v="2034-11-01T00:00:00"/>
    <x v="4"/>
    <x v="6"/>
  </r>
  <r>
    <n v="52538018985"/>
    <n v="106"/>
    <d v="2034-10-11T00:00:00"/>
    <d v="2034-12-27T00:00:00"/>
    <x v="4"/>
    <x v="7"/>
  </r>
  <r>
    <n v="94766264668"/>
    <n v="109"/>
    <d v="2034-10-11T00:00:00"/>
    <s v=""/>
    <x v="4"/>
    <x v="0"/>
  </r>
  <r>
    <n v="66833483124"/>
    <n v="124"/>
    <d v="2034-10-11T00:00:00"/>
    <s v=""/>
    <x v="4"/>
    <x v="0"/>
  </r>
  <r>
    <n v="41516605694"/>
    <n v="150"/>
    <d v="2034-10-11T00:00:00"/>
    <s v=""/>
    <x v="4"/>
    <x v="0"/>
  </r>
  <r>
    <n v="33520458604"/>
    <n v="156"/>
    <d v="2034-10-11T00:00:00"/>
    <s v=""/>
    <x v="4"/>
    <x v="0"/>
  </r>
  <r>
    <n v="65433031435"/>
    <n v="168"/>
    <d v="2034-10-11T00:00:00"/>
    <s v=""/>
    <x v="4"/>
    <x v="0"/>
  </r>
  <r>
    <n v="64058772297"/>
    <n v="199"/>
    <d v="2034-10-11T00:00:00"/>
    <s v=""/>
    <x v="4"/>
    <x v="0"/>
  </r>
  <r>
    <n v="40005211493"/>
    <n v="245"/>
    <d v="2034-10-11T00:00:00"/>
    <s v=""/>
    <x v="4"/>
    <x v="0"/>
  </r>
  <r>
    <n v="28046858563"/>
    <n v="248"/>
    <d v="2034-10-11T00:00:00"/>
    <s v=""/>
    <x v="4"/>
    <x v="0"/>
  </r>
  <r>
    <n v="48416069678"/>
    <n v="252"/>
    <d v="2034-10-11T00:00:00"/>
    <s v=""/>
    <x v="4"/>
    <x v="0"/>
  </r>
  <r>
    <n v="95101372104"/>
    <n v="279"/>
    <d v="2034-10-11T00:00:00"/>
    <s v=""/>
    <x v="4"/>
    <x v="0"/>
  </r>
  <r>
    <n v="27100417672"/>
    <n v="291"/>
    <d v="2034-10-11T00:00:00"/>
    <s v=""/>
    <x v="4"/>
    <x v="0"/>
  </r>
  <r>
    <n v="20466245223"/>
    <n v="313"/>
    <d v="2034-10-11T00:00:00"/>
    <s v=""/>
    <x v="4"/>
    <x v="0"/>
  </r>
  <r>
    <n v="15307008156"/>
    <n v="325"/>
    <d v="2034-10-11T00:00:00"/>
    <s v=""/>
    <x v="4"/>
    <x v="0"/>
  </r>
  <r>
    <n v="58405356246"/>
    <n v="332"/>
    <d v="2034-10-11T00:00:00"/>
    <s v=""/>
    <x v="4"/>
    <x v="0"/>
  </r>
  <r>
    <n v="88588566135"/>
    <n v="332"/>
    <d v="2034-10-11T00:00:00"/>
    <s v=""/>
    <x v="4"/>
    <x v="0"/>
  </r>
  <r>
    <n v="29411392579"/>
    <n v="25"/>
    <d v="2034-10-12T00:00:00"/>
    <d v="2035-01-02T00:00:00"/>
    <x v="4"/>
    <x v="8"/>
  </r>
  <r>
    <n v="42667366004"/>
    <n v="28"/>
    <d v="2034-10-12T00:00:00"/>
    <s v=""/>
    <x v="4"/>
    <x v="0"/>
  </r>
  <r>
    <n v="93204023853"/>
    <n v="44"/>
    <d v="2034-10-12T00:00:00"/>
    <s v=""/>
    <x v="4"/>
    <x v="0"/>
  </r>
  <r>
    <n v="86756498592"/>
    <n v="82"/>
    <d v="2034-10-12T00:00:00"/>
    <s v=""/>
    <x v="4"/>
    <x v="0"/>
  </r>
  <r>
    <n v="19856614618"/>
    <n v="131"/>
    <d v="2034-10-12T00:00:00"/>
    <s v=""/>
    <x v="4"/>
    <x v="0"/>
  </r>
  <r>
    <n v="36161112010"/>
    <n v="160"/>
    <d v="2034-10-12T00:00:00"/>
    <s v=""/>
    <x v="4"/>
    <x v="0"/>
  </r>
  <r>
    <n v="69495201538"/>
    <n v="167"/>
    <d v="2034-10-12T00:00:00"/>
    <d v="2034-12-24T00:00:00"/>
    <x v="4"/>
    <x v="7"/>
  </r>
  <r>
    <n v="50794265374"/>
    <n v="177"/>
    <d v="2034-10-12T00:00:00"/>
    <d v="2034-11-13T00:00:00"/>
    <x v="4"/>
    <x v="6"/>
  </r>
  <r>
    <n v="66098573839"/>
    <n v="231"/>
    <d v="2034-10-12T00:00:00"/>
    <s v=""/>
    <x v="4"/>
    <x v="0"/>
  </r>
  <r>
    <n v="96637054906"/>
    <n v="278"/>
    <d v="2034-10-12T00:00:00"/>
    <s v=""/>
    <x v="4"/>
    <x v="0"/>
  </r>
  <r>
    <n v="76840970907"/>
    <n v="290"/>
    <d v="2034-10-12T00:00:00"/>
    <s v=""/>
    <x v="4"/>
    <x v="0"/>
  </r>
  <r>
    <n v="85411068791"/>
    <n v="296"/>
    <d v="2034-10-12T00:00:00"/>
    <d v="2034-11-09T00:00:00"/>
    <x v="4"/>
    <x v="6"/>
  </r>
  <r>
    <n v="68806307965"/>
    <n v="334"/>
    <d v="2034-10-12T00:00:00"/>
    <s v=""/>
    <x v="4"/>
    <x v="0"/>
  </r>
  <r>
    <n v="60069029869"/>
    <n v="1"/>
    <d v="2034-10-13T00:00:00"/>
    <s v=""/>
    <x v="4"/>
    <x v="0"/>
  </r>
  <r>
    <n v="52232693743"/>
    <n v="31"/>
    <d v="2034-10-13T00:00:00"/>
    <s v=""/>
    <x v="4"/>
    <x v="0"/>
  </r>
  <r>
    <n v="63003601450"/>
    <n v="61"/>
    <d v="2034-10-13T00:00:00"/>
    <s v=""/>
    <x v="4"/>
    <x v="0"/>
  </r>
  <r>
    <n v="83382220861"/>
    <n v="82"/>
    <d v="2034-10-13T00:00:00"/>
    <s v=""/>
    <x v="4"/>
    <x v="0"/>
  </r>
  <r>
    <n v="61142601709"/>
    <n v="148"/>
    <d v="2034-10-13T00:00:00"/>
    <s v=""/>
    <x v="4"/>
    <x v="0"/>
  </r>
  <r>
    <n v="17664552451"/>
    <n v="149"/>
    <d v="2034-10-13T00:00:00"/>
    <d v="2034-12-08T00:00:00"/>
    <x v="4"/>
    <x v="7"/>
  </r>
  <r>
    <n v="16982415176"/>
    <n v="189"/>
    <d v="2034-10-13T00:00:00"/>
    <s v=""/>
    <x v="4"/>
    <x v="0"/>
  </r>
  <r>
    <n v="76312336091"/>
    <n v="204"/>
    <d v="2034-10-13T00:00:00"/>
    <s v=""/>
    <x v="4"/>
    <x v="0"/>
  </r>
  <r>
    <n v="98914448315"/>
    <n v="231"/>
    <d v="2034-10-13T00:00:00"/>
    <s v=""/>
    <x v="4"/>
    <x v="0"/>
  </r>
  <r>
    <n v="17121639406"/>
    <n v="238"/>
    <d v="2034-10-13T00:00:00"/>
    <s v=""/>
    <x v="4"/>
    <x v="0"/>
  </r>
  <r>
    <n v="63635585564"/>
    <n v="245"/>
    <d v="2034-10-13T00:00:00"/>
    <s v=""/>
    <x v="4"/>
    <x v="0"/>
  </r>
  <r>
    <n v="42340908132"/>
    <n v="262"/>
    <d v="2034-10-13T00:00:00"/>
    <d v="2035-01-21T00:00:00"/>
    <x v="4"/>
    <x v="8"/>
  </r>
  <r>
    <n v="42513896670"/>
    <n v="272"/>
    <d v="2034-10-13T00:00:00"/>
    <s v=""/>
    <x v="4"/>
    <x v="0"/>
  </r>
  <r>
    <n v="68567693018"/>
    <n v="288"/>
    <d v="2034-10-13T00:00:00"/>
    <d v="2034-10-23T00:00:00"/>
    <x v="4"/>
    <x v="5"/>
  </r>
  <r>
    <n v="62111650885"/>
    <n v="301"/>
    <d v="2034-10-13T00:00:00"/>
    <s v=""/>
    <x v="4"/>
    <x v="0"/>
  </r>
  <r>
    <n v="43115645788"/>
    <n v="313"/>
    <d v="2034-10-13T00:00:00"/>
    <s v=""/>
    <x v="4"/>
    <x v="0"/>
  </r>
  <r>
    <n v="96833230884"/>
    <n v="318"/>
    <d v="2034-10-13T00:00:00"/>
    <s v=""/>
    <x v="4"/>
    <x v="0"/>
  </r>
  <r>
    <n v="94591728946"/>
    <n v="335"/>
    <d v="2034-10-13T00:00:00"/>
    <s v=""/>
    <x v="4"/>
    <x v="0"/>
  </r>
  <r>
    <n v="11415186808"/>
    <n v="12"/>
    <d v="2034-10-14T00:00:00"/>
    <s v=""/>
    <x v="4"/>
    <x v="0"/>
  </r>
  <r>
    <n v="55474553061"/>
    <n v="22"/>
    <d v="2034-10-14T00:00:00"/>
    <s v=""/>
    <x v="4"/>
    <x v="0"/>
  </r>
  <r>
    <n v="19459187675"/>
    <n v="39"/>
    <d v="2034-10-14T00:00:00"/>
    <s v=""/>
    <x v="4"/>
    <x v="0"/>
  </r>
  <r>
    <n v="45498256651"/>
    <n v="62"/>
    <d v="2034-10-14T00:00:00"/>
    <s v=""/>
    <x v="4"/>
    <x v="0"/>
  </r>
  <r>
    <n v="36993499368"/>
    <n v="75"/>
    <d v="2034-10-14T00:00:00"/>
    <s v=""/>
    <x v="4"/>
    <x v="0"/>
  </r>
  <r>
    <n v="92968245126"/>
    <n v="108"/>
    <d v="2034-10-14T00:00:00"/>
    <s v=""/>
    <x v="4"/>
    <x v="0"/>
  </r>
  <r>
    <n v="29895280582"/>
    <n v="129"/>
    <d v="2034-10-14T00:00:00"/>
    <s v=""/>
    <x v="4"/>
    <x v="0"/>
  </r>
  <r>
    <n v="97946472607"/>
    <n v="142"/>
    <d v="2034-10-14T00:00:00"/>
    <s v=""/>
    <x v="4"/>
    <x v="0"/>
  </r>
  <r>
    <n v="75181799567"/>
    <n v="150"/>
    <d v="2034-10-14T00:00:00"/>
    <s v=""/>
    <x v="4"/>
    <x v="0"/>
  </r>
  <r>
    <n v="17123052084"/>
    <n v="194"/>
    <d v="2034-10-14T00:00:00"/>
    <s v=""/>
    <x v="4"/>
    <x v="0"/>
  </r>
  <r>
    <n v="86347489945"/>
    <n v="215"/>
    <d v="2034-10-14T00:00:00"/>
    <s v=""/>
    <x v="4"/>
    <x v="0"/>
  </r>
  <r>
    <n v="24186569609"/>
    <n v="258"/>
    <d v="2034-10-14T00:00:00"/>
    <s v=""/>
    <x v="4"/>
    <x v="0"/>
  </r>
  <r>
    <n v="13092584883"/>
    <n v="290"/>
    <d v="2034-10-14T00:00:00"/>
    <s v=""/>
    <x v="4"/>
    <x v="0"/>
  </r>
  <r>
    <n v="52788969933"/>
    <n v="294"/>
    <d v="2034-10-14T00:00:00"/>
    <s v=""/>
    <x v="4"/>
    <x v="0"/>
  </r>
  <r>
    <n v="61995961058"/>
    <n v="311"/>
    <d v="2034-10-14T00:00:00"/>
    <s v=""/>
    <x v="4"/>
    <x v="0"/>
  </r>
  <r>
    <n v="71768216741"/>
    <n v="327"/>
    <d v="2034-10-14T00:00:00"/>
    <d v="2034-10-27T00:00:00"/>
    <x v="4"/>
    <x v="5"/>
  </r>
  <r>
    <n v="91720121024"/>
    <n v="329"/>
    <d v="2034-10-14T00:00:00"/>
    <s v=""/>
    <x v="4"/>
    <x v="0"/>
  </r>
  <r>
    <n v="77566372468"/>
    <n v="329"/>
    <d v="2034-10-14T00:00:00"/>
    <d v="2034-11-06T00:00:00"/>
    <x v="4"/>
    <x v="6"/>
  </r>
  <r>
    <n v="13453079334"/>
    <n v="306"/>
    <d v="2034-10-15T00:00:00"/>
    <s v=""/>
    <x v="4"/>
    <x v="0"/>
  </r>
  <r>
    <n v="42855520870"/>
    <n v="27"/>
    <d v="2034-10-15T00:00:00"/>
    <s v=""/>
    <x v="4"/>
    <x v="0"/>
  </r>
  <r>
    <n v="55457283399"/>
    <n v="179"/>
    <d v="2034-10-15T00:00:00"/>
    <s v=""/>
    <x v="4"/>
    <x v="0"/>
  </r>
  <r>
    <n v="20536817726"/>
    <n v="159"/>
    <d v="2034-10-15T00:00:00"/>
    <s v=""/>
    <x v="4"/>
    <x v="0"/>
  </r>
  <r>
    <n v="37840313820"/>
    <n v="339"/>
    <d v="2034-10-15T00:00:00"/>
    <s v=""/>
    <x v="4"/>
    <x v="0"/>
  </r>
  <r>
    <n v="13628478945"/>
    <n v="157"/>
    <d v="2034-10-15T00:00:00"/>
    <d v="2034-11-27T00:00:00"/>
    <x v="4"/>
    <x v="6"/>
  </r>
  <r>
    <n v="74169981035"/>
    <n v="65"/>
    <d v="2034-10-15T00:00:00"/>
    <s v=""/>
    <x v="4"/>
    <x v="0"/>
  </r>
  <r>
    <n v="18052041752"/>
    <n v="265"/>
    <d v="2034-10-15T00:00:00"/>
    <s v=""/>
    <x v="4"/>
    <x v="0"/>
  </r>
  <r>
    <n v="65805999143"/>
    <n v="178"/>
    <d v="2034-10-15T00:00:00"/>
    <s v=""/>
    <x v="4"/>
    <x v="0"/>
  </r>
  <r>
    <n v="63241376235"/>
    <n v="209"/>
    <d v="2034-10-15T00:00:00"/>
    <s v=""/>
    <x v="4"/>
    <x v="0"/>
  </r>
  <r>
    <n v="50936995604"/>
    <n v="246"/>
    <d v="2034-10-15T00:00:00"/>
    <s v=""/>
    <x v="4"/>
    <x v="0"/>
  </r>
  <r>
    <n v="62036852165"/>
    <n v="89"/>
    <d v="2034-10-15T00:00:00"/>
    <s v=""/>
    <x v="4"/>
    <x v="0"/>
  </r>
  <r>
    <n v="72348957585"/>
    <n v="46"/>
    <d v="2034-10-15T00:00:00"/>
    <s v=""/>
    <x v="4"/>
    <x v="0"/>
  </r>
  <r>
    <n v="17837476240"/>
    <n v="310"/>
    <d v="2034-10-15T00:00:00"/>
    <s v=""/>
    <x v="4"/>
    <x v="0"/>
  </r>
  <r>
    <n v="46439770924"/>
    <n v="114"/>
    <d v="2034-10-15T00:00:00"/>
    <s v=""/>
    <x v="4"/>
    <x v="0"/>
  </r>
  <r>
    <n v="34610749149"/>
    <n v="76"/>
    <d v="2034-10-15T00:00:00"/>
    <s v=""/>
    <x v="4"/>
    <x v="0"/>
  </r>
  <r>
    <n v="99429620556"/>
    <n v="250"/>
    <d v="2034-10-15T00:00:00"/>
    <s v=""/>
    <x v="4"/>
    <x v="0"/>
  </r>
  <r>
    <n v="88538480487"/>
    <n v="183"/>
    <d v="2034-10-15T00:00:00"/>
    <s v=""/>
    <x v="4"/>
    <x v="0"/>
  </r>
  <r>
    <n v="87197257661"/>
    <n v="144"/>
    <d v="2034-10-15T00:00:00"/>
    <s v=""/>
    <x v="4"/>
    <x v="0"/>
  </r>
  <r>
    <n v="11160555213"/>
    <n v="117"/>
    <d v="2034-10-15T00:00:00"/>
    <s v=""/>
    <x v="4"/>
    <x v="0"/>
  </r>
  <r>
    <n v="33376946469"/>
    <n v="153"/>
    <d v="2034-10-15T00:00:00"/>
    <d v="2035-01-25T00:00:00"/>
    <x v="4"/>
    <x v="8"/>
  </r>
  <r>
    <n v="29179365554"/>
    <n v="128"/>
    <d v="2034-10-15T00:00:00"/>
    <s v=""/>
    <x v="4"/>
    <x v="0"/>
  </r>
  <r>
    <n v="22532950744"/>
    <n v="250"/>
    <d v="2034-10-15T00:00:00"/>
    <d v="2035-01-08T00:00:00"/>
    <x v="4"/>
    <x v="8"/>
  </r>
  <r>
    <n v="83304023388"/>
    <n v="121"/>
    <d v="2034-10-16T00:00:00"/>
    <d v="2034-12-07T00:00:00"/>
    <x v="4"/>
    <x v="7"/>
  </r>
  <r>
    <n v="28983658054"/>
    <n v="135"/>
    <d v="2034-10-16T00:00:00"/>
    <s v=""/>
    <x v="4"/>
    <x v="0"/>
  </r>
  <r>
    <n v="14819774718"/>
    <n v="94"/>
    <d v="2034-10-16T00:00:00"/>
    <s v=""/>
    <x v="4"/>
    <x v="0"/>
  </r>
  <r>
    <n v="32691793896"/>
    <n v="160"/>
    <d v="2034-10-16T00:00:00"/>
    <d v="2034-12-25T00:00:00"/>
    <x v="4"/>
    <x v="7"/>
  </r>
  <r>
    <n v="42938286718"/>
    <n v="292"/>
    <d v="2034-10-16T00:00:00"/>
    <s v=""/>
    <x v="4"/>
    <x v="0"/>
  </r>
  <r>
    <n v="94351823456"/>
    <n v="251"/>
    <d v="2034-10-16T00:00:00"/>
    <s v=""/>
    <x v="4"/>
    <x v="0"/>
  </r>
  <r>
    <n v="92164001879"/>
    <n v="190"/>
    <d v="2034-10-16T00:00:00"/>
    <s v=""/>
    <x v="4"/>
    <x v="0"/>
  </r>
  <r>
    <n v="74470028044"/>
    <n v="335"/>
    <d v="2034-10-16T00:00:00"/>
    <s v=""/>
    <x v="4"/>
    <x v="0"/>
  </r>
  <r>
    <n v="19477121714"/>
    <n v="199"/>
    <d v="2034-10-16T00:00:00"/>
    <d v="2035-01-28T00:00:00"/>
    <x v="4"/>
    <x v="8"/>
  </r>
  <r>
    <n v="19990498868"/>
    <n v="107"/>
    <d v="2034-10-16T00:00:00"/>
    <s v=""/>
    <x v="4"/>
    <x v="0"/>
  </r>
  <r>
    <n v="97173082361"/>
    <n v="136"/>
    <d v="2034-10-16T00:00:00"/>
    <s v=""/>
    <x v="4"/>
    <x v="0"/>
  </r>
  <r>
    <n v="57666317754"/>
    <n v="92"/>
    <d v="2034-10-16T00:00:00"/>
    <s v=""/>
    <x v="4"/>
    <x v="0"/>
  </r>
  <r>
    <n v="32691448426"/>
    <n v="242"/>
    <d v="2034-10-16T00:00:00"/>
    <s v=""/>
    <x v="4"/>
    <x v="0"/>
  </r>
  <r>
    <n v="47962389995"/>
    <n v="232"/>
    <d v="2034-10-16T00:00:00"/>
    <s v=""/>
    <x v="4"/>
    <x v="0"/>
  </r>
  <r>
    <n v="40105071944"/>
    <n v="260"/>
    <d v="2034-10-16T00:00:00"/>
    <d v="2034-12-05T00:00:00"/>
    <x v="4"/>
    <x v="7"/>
  </r>
  <r>
    <n v="11887613606"/>
    <n v="137"/>
    <d v="2034-10-16T00:00:00"/>
    <s v=""/>
    <x v="4"/>
    <x v="0"/>
  </r>
  <r>
    <n v="20244041829"/>
    <n v="104"/>
    <d v="2034-10-16T00:00:00"/>
    <s v=""/>
    <x v="4"/>
    <x v="0"/>
  </r>
  <r>
    <n v="24733287026"/>
    <n v="165"/>
    <d v="2034-10-16T00:00:00"/>
    <s v=""/>
    <x v="4"/>
    <x v="0"/>
  </r>
  <r>
    <n v="56914449332"/>
    <n v="147"/>
    <d v="2034-10-16T00:00:00"/>
    <s v=""/>
    <x v="4"/>
    <x v="0"/>
  </r>
  <r>
    <n v="68552710853"/>
    <n v="337"/>
    <d v="2034-10-16T00:00:00"/>
    <d v="2034-10-31T00:00:00"/>
    <x v="4"/>
    <x v="5"/>
  </r>
  <r>
    <n v="59483737879"/>
    <n v="278"/>
    <d v="2034-10-16T00:00:00"/>
    <s v=""/>
    <x v="4"/>
    <x v="0"/>
  </r>
  <r>
    <n v="73977769502"/>
    <n v="3"/>
    <d v="2034-10-16T00:00:00"/>
    <s v=""/>
    <x v="4"/>
    <x v="0"/>
  </r>
  <r>
    <n v="22012311760"/>
    <n v="19"/>
    <d v="2034-10-16T00:00:00"/>
    <s v=""/>
    <x v="4"/>
    <x v="0"/>
  </r>
  <r>
    <n v="96730647720"/>
    <n v="136"/>
    <d v="2034-10-16T00:00:00"/>
    <s v=""/>
    <x v="4"/>
    <x v="0"/>
  </r>
  <r>
    <n v="68994626326"/>
    <n v="239"/>
    <d v="2034-10-16T00:00:00"/>
    <d v="2034-11-13T00:00:00"/>
    <x v="4"/>
    <x v="6"/>
  </r>
  <r>
    <n v="11777449302"/>
    <n v="297"/>
    <d v="2034-10-16T00:00:00"/>
    <s v=""/>
    <x v="4"/>
    <x v="0"/>
  </r>
  <r>
    <n v="72774379337"/>
    <n v="134"/>
    <d v="2034-10-16T00:00:00"/>
    <s v=""/>
    <x v="4"/>
    <x v="0"/>
  </r>
  <r>
    <n v="51648883053"/>
    <n v="113"/>
    <d v="2034-10-17T00:00:00"/>
    <s v=""/>
    <x v="4"/>
    <x v="0"/>
  </r>
  <r>
    <n v="15156796452"/>
    <n v="224"/>
    <d v="2034-10-17T00:00:00"/>
    <s v=""/>
    <x v="4"/>
    <x v="0"/>
  </r>
  <r>
    <n v="64444237841"/>
    <n v="317"/>
    <d v="2034-10-17T00:00:00"/>
    <s v=""/>
    <x v="4"/>
    <x v="0"/>
  </r>
  <r>
    <n v="92756488592"/>
    <n v="77"/>
    <d v="2034-10-17T00:00:00"/>
    <d v="2035-01-12T00:00:00"/>
    <x v="4"/>
    <x v="8"/>
  </r>
  <r>
    <n v="69484135219"/>
    <n v="335"/>
    <d v="2034-10-17T00:00:00"/>
    <s v=""/>
    <x v="4"/>
    <x v="0"/>
  </r>
  <r>
    <n v="73058716315"/>
    <n v="13"/>
    <d v="2034-10-17T00:00:00"/>
    <s v=""/>
    <x v="4"/>
    <x v="0"/>
  </r>
  <r>
    <n v="24679266365"/>
    <n v="243"/>
    <d v="2034-10-17T00:00:00"/>
    <s v=""/>
    <x v="4"/>
    <x v="0"/>
  </r>
  <r>
    <n v="90194040157"/>
    <n v="30"/>
    <d v="2034-10-17T00:00:00"/>
    <s v=""/>
    <x v="4"/>
    <x v="0"/>
  </r>
  <r>
    <n v="11716189361"/>
    <n v="127"/>
    <d v="2034-10-17T00:00:00"/>
    <s v=""/>
    <x v="4"/>
    <x v="0"/>
  </r>
  <r>
    <n v="65165123604"/>
    <n v="192"/>
    <d v="2034-10-17T00:00:00"/>
    <s v=""/>
    <x v="4"/>
    <x v="0"/>
  </r>
  <r>
    <n v="70179608330"/>
    <n v="30"/>
    <d v="2034-10-17T00:00:00"/>
    <s v=""/>
    <x v="4"/>
    <x v="0"/>
  </r>
  <r>
    <n v="94251904334"/>
    <n v="225"/>
    <d v="2034-10-17T00:00:00"/>
    <s v=""/>
    <x v="4"/>
    <x v="0"/>
  </r>
  <r>
    <n v="57984517383"/>
    <n v="122"/>
    <d v="2034-10-17T00:00:00"/>
    <s v=""/>
    <x v="4"/>
    <x v="0"/>
  </r>
  <r>
    <n v="44779636300"/>
    <n v="14"/>
    <d v="2034-10-17T00:00:00"/>
    <s v=""/>
    <x v="4"/>
    <x v="0"/>
  </r>
  <r>
    <n v="48379034212"/>
    <n v="179"/>
    <d v="2034-10-17T00:00:00"/>
    <s v=""/>
    <x v="4"/>
    <x v="0"/>
  </r>
  <r>
    <n v="76869652577"/>
    <n v="176"/>
    <d v="2034-10-17T00:00:00"/>
    <s v=""/>
    <x v="4"/>
    <x v="0"/>
  </r>
  <r>
    <n v="17836437233"/>
    <n v="327"/>
    <d v="2034-10-17T00:00:00"/>
    <s v=""/>
    <x v="4"/>
    <x v="0"/>
  </r>
  <r>
    <n v="36703119378"/>
    <n v="54"/>
    <d v="2034-10-17T00:00:00"/>
    <s v=""/>
    <x v="4"/>
    <x v="0"/>
  </r>
  <r>
    <n v="78194932286"/>
    <n v="168"/>
    <d v="2034-10-17T00:00:00"/>
    <s v=""/>
    <x v="4"/>
    <x v="0"/>
  </r>
  <r>
    <n v="87598576787"/>
    <n v="313"/>
    <d v="2034-10-17T00:00:00"/>
    <s v=""/>
    <x v="4"/>
    <x v="0"/>
  </r>
  <r>
    <n v="36826122264"/>
    <n v="11"/>
    <d v="2034-10-18T00:00:00"/>
    <s v=""/>
    <x v="4"/>
    <x v="0"/>
  </r>
  <r>
    <n v="77405013471"/>
    <n v="35"/>
    <d v="2034-10-18T00:00:00"/>
    <s v=""/>
    <x v="4"/>
    <x v="0"/>
  </r>
  <r>
    <n v="17939984285"/>
    <n v="338"/>
    <d v="2034-10-18T00:00:00"/>
    <m/>
    <x v="4"/>
    <x v="0"/>
  </r>
  <r>
    <n v="15847964301"/>
    <n v="330"/>
    <d v="2034-10-18T00:00:00"/>
    <s v=""/>
    <x v="4"/>
    <x v="0"/>
  </r>
  <r>
    <n v="90076572057"/>
    <n v="49"/>
    <d v="2034-10-18T00:00:00"/>
    <s v=""/>
    <x v="4"/>
    <x v="0"/>
  </r>
  <r>
    <n v="70384672221"/>
    <n v="209"/>
    <d v="2034-10-18T00:00:00"/>
    <s v=""/>
    <x v="4"/>
    <x v="0"/>
  </r>
  <r>
    <n v="40836389211"/>
    <n v="131"/>
    <d v="2034-10-18T00:00:00"/>
    <s v=""/>
    <x v="4"/>
    <x v="0"/>
  </r>
  <r>
    <n v="34078062756"/>
    <n v="169"/>
    <d v="2034-10-18T00:00:00"/>
    <s v=""/>
    <x v="4"/>
    <x v="0"/>
  </r>
  <r>
    <n v="61158673636"/>
    <n v="290"/>
    <d v="2034-10-18T00:00:00"/>
    <d v="2035-01-28T00:00:00"/>
    <x v="4"/>
    <x v="8"/>
  </r>
  <r>
    <n v="66519834897"/>
    <n v="93"/>
    <d v="2034-10-18T00:00:00"/>
    <s v=""/>
    <x v="4"/>
    <x v="0"/>
  </r>
  <r>
    <n v="16515993058"/>
    <n v="95"/>
    <d v="2034-10-18T00:00:00"/>
    <s v=""/>
    <x v="4"/>
    <x v="0"/>
  </r>
  <r>
    <n v="70849896450"/>
    <n v="66"/>
    <d v="2034-10-18T00:00:00"/>
    <s v=""/>
    <x v="4"/>
    <x v="0"/>
  </r>
  <r>
    <n v="28353245517"/>
    <n v="24"/>
    <d v="2034-10-18T00:00:00"/>
    <s v=""/>
    <x v="4"/>
    <x v="0"/>
  </r>
  <r>
    <n v="24914127733"/>
    <n v="211"/>
    <d v="2034-10-18T00:00:00"/>
    <s v=""/>
    <x v="4"/>
    <x v="0"/>
  </r>
  <r>
    <n v="49944878084"/>
    <n v="169"/>
    <d v="2034-10-18T00:00:00"/>
    <s v=""/>
    <x v="4"/>
    <x v="0"/>
  </r>
  <r>
    <n v="84692341738"/>
    <n v="23"/>
    <d v="2034-10-18T00:00:00"/>
    <s v=""/>
    <x v="4"/>
    <x v="0"/>
  </r>
  <r>
    <n v="63903976497"/>
    <n v="41"/>
    <d v="2034-10-18T00:00:00"/>
    <d v="2034-12-24T00:00:00"/>
    <x v="4"/>
    <x v="7"/>
  </r>
  <r>
    <n v="76247641026"/>
    <n v="339"/>
    <d v="2034-10-18T00:00:00"/>
    <s v=""/>
    <x v="4"/>
    <x v="0"/>
  </r>
  <r>
    <n v="72178629286"/>
    <n v="197"/>
    <d v="2034-10-18T00:00:00"/>
    <m/>
    <x v="4"/>
    <x v="0"/>
  </r>
  <r>
    <n v="66571865527"/>
    <n v="16"/>
    <d v="2034-10-18T00:00:00"/>
    <m/>
    <x v="4"/>
    <x v="0"/>
  </r>
  <r>
    <n v="16625333769"/>
    <n v="210"/>
    <d v="2034-10-18T00:00:00"/>
    <s v=""/>
    <x v="4"/>
    <x v="0"/>
  </r>
  <r>
    <n v="77899695327"/>
    <n v="165"/>
    <d v="2034-10-18T00:00:00"/>
    <s v=""/>
    <x v="4"/>
    <x v="0"/>
  </r>
  <r>
    <n v="50055127713"/>
    <n v="41"/>
    <d v="2034-10-18T00:00:00"/>
    <s v=""/>
    <x v="4"/>
    <x v="0"/>
  </r>
  <r>
    <n v="75825064851"/>
    <n v="176"/>
    <d v="2034-10-18T00:00:00"/>
    <s v=""/>
    <x v="4"/>
    <x v="0"/>
  </r>
  <r>
    <n v="78302811598"/>
    <n v="260"/>
    <d v="2034-10-18T00:00:00"/>
    <s v=""/>
    <x v="4"/>
    <x v="0"/>
  </r>
  <r>
    <n v="23726386533"/>
    <n v="76"/>
    <d v="2034-10-18T00:00:00"/>
    <s v=""/>
    <x v="4"/>
    <x v="0"/>
  </r>
  <r>
    <n v="80847838999"/>
    <n v="177"/>
    <d v="2034-10-18T00:00:00"/>
    <d v="2034-12-07T00:00:00"/>
    <x v="4"/>
    <x v="7"/>
  </r>
  <r>
    <n v="69116417624"/>
    <n v="208"/>
    <d v="2034-10-18T00:00:00"/>
    <s v=""/>
    <x v="4"/>
    <x v="0"/>
  </r>
  <r>
    <n v="87981698370"/>
    <n v="235"/>
    <d v="2034-10-18T00:00:00"/>
    <m/>
    <x v="4"/>
    <x v="0"/>
  </r>
  <r>
    <n v="23310334203"/>
    <n v="259"/>
    <d v="2034-10-19T00:00:00"/>
    <d v="2034-11-25T00:00:00"/>
    <x v="4"/>
    <x v="6"/>
  </r>
  <r>
    <n v="98924585566"/>
    <n v="307"/>
    <d v="2034-10-19T00:00:00"/>
    <s v=""/>
    <x v="4"/>
    <x v="0"/>
  </r>
  <r>
    <n v="36229009685"/>
    <n v="271"/>
    <d v="2034-10-19T00:00:00"/>
    <s v=""/>
    <x v="4"/>
    <x v="0"/>
  </r>
  <r>
    <n v="49857751339"/>
    <n v="272"/>
    <d v="2034-10-19T00:00:00"/>
    <s v=""/>
    <x v="4"/>
    <x v="0"/>
  </r>
  <r>
    <n v="57320102001"/>
    <n v="188"/>
    <d v="2034-10-19T00:00:00"/>
    <s v=""/>
    <x v="4"/>
    <x v="0"/>
  </r>
  <r>
    <n v="11780658450"/>
    <n v="135"/>
    <d v="2034-10-19T00:00:00"/>
    <s v=""/>
    <x v="4"/>
    <x v="0"/>
  </r>
  <r>
    <n v="34438320199"/>
    <n v="102"/>
    <d v="2034-10-19T00:00:00"/>
    <s v=""/>
    <x v="4"/>
    <x v="0"/>
  </r>
  <r>
    <n v="18363524931"/>
    <n v="241"/>
    <d v="2034-10-19T00:00:00"/>
    <d v="2034-11-09T00:00:00"/>
    <x v="4"/>
    <x v="6"/>
  </r>
  <r>
    <n v="22247528206"/>
    <n v="328"/>
    <d v="2034-10-19T00:00:00"/>
    <s v=""/>
    <x v="4"/>
    <x v="0"/>
  </r>
  <r>
    <n v="20869198995"/>
    <n v="254"/>
    <d v="2034-10-19T00:00:00"/>
    <s v=""/>
    <x v="4"/>
    <x v="0"/>
  </r>
  <r>
    <n v="97365833050"/>
    <n v="214"/>
    <d v="2034-10-19T00:00:00"/>
    <d v="2035-01-27T00:00:00"/>
    <x v="4"/>
    <x v="8"/>
  </r>
  <r>
    <n v="14226003605"/>
    <n v="272"/>
    <d v="2034-10-19T00:00:00"/>
    <s v=""/>
    <x v="4"/>
    <x v="0"/>
  </r>
  <r>
    <n v="47300071034"/>
    <n v="210"/>
    <d v="2034-10-19T00:00:00"/>
    <s v=""/>
    <x v="4"/>
    <x v="0"/>
  </r>
  <r>
    <n v="30585836173"/>
    <n v="282"/>
    <d v="2034-10-19T00:00:00"/>
    <s v=""/>
    <x v="4"/>
    <x v="0"/>
  </r>
  <r>
    <n v="84967558961"/>
    <n v="296"/>
    <d v="2034-10-19T00:00:00"/>
    <s v=""/>
    <x v="4"/>
    <x v="0"/>
  </r>
  <r>
    <n v="24098796691"/>
    <n v="180"/>
    <d v="2034-10-19T00:00:00"/>
    <d v="2035-01-10T00:00:00"/>
    <x v="4"/>
    <x v="8"/>
  </r>
  <r>
    <n v="45417382922"/>
    <n v="299"/>
    <d v="2034-10-19T00:00:00"/>
    <d v="2034-12-16T00:00:00"/>
    <x v="4"/>
    <x v="7"/>
  </r>
  <r>
    <n v="74977464280"/>
    <n v="59"/>
    <d v="2034-10-19T00:00:00"/>
    <d v="2035-01-10T00:00:00"/>
    <x v="4"/>
    <x v="8"/>
  </r>
  <r>
    <n v="56725347771"/>
    <n v="140"/>
    <d v="2034-10-19T00:00:00"/>
    <s v=""/>
    <x v="4"/>
    <x v="0"/>
  </r>
  <r>
    <n v="56032621508"/>
    <n v="30"/>
    <d v="2034-10-19T00:00:00"/>
    <s v=""/>
    <x v="4"/>
    <x v="0"/>
  </r>
  <r>
    <n v="67787941226"/>
    <n v="300"/>
    <d v="2034-10-19T00:00:00"/>
    <s v=""/>
    <x v="4"/>
    <x v="0"/>
  </r>
  <r>
    <n v="52076224264"/>
    <n v="223"/>
    <d v="2034-10-19T00:00:00"/>
    <s v=""/>
    <x v="4"/>
    <x v="0"/>
  </r>
  <r>
    <n v="60078366144"/>
    <n v="110"/>
    <d v="2034-10-19T00:00:00"/>
    <s v=""/>
    <x v="4"/>
    <x v="0"/>
  </r>
  <r>
    <n v="42347493003"/>
    <n v="291"/>
    <d v="2034-10-19T00:00:00"/>
    <s v=""/>
    <x v="4"/>
    <x v="0"/>
  </r>
  <r>
    <n v="65216111818"/>
    <n v="212"/>
    <d v="2034-10-19T00:00:00"/>
    <s v=""/>
    <x v="4"/>
    <x v="0"/>
  </r>
  <r>
    <n v="23457970109"/>
    <n v="219"/>
    <d v="2034-10-19T00:00:00"/>
    <s v=""/>
    <x v="4"/>
    <x v="0"/>
  </r>
  <r>
    <n v="27103830594"/>
    <n v="245"/>
    <d v="2034-10-19T00:00:00"/>
    <s v=""/>
    <x v="4"/>
    <x v="0"/>
  </r>
  <r>
    <n v="12272348853"/>
    <n v="23"/>
    <d v="2034-10-19T00:00:00"/>
    <s v=""/>
    <x v="4"/>
    <x v="0"/>
  </r>
  <r>
    <n v="46138761903"/>
    <n v="118"/>
    <d v="2034-10-19T00:00:00"/>
    <s v=""/>
    <x v="4"/>
    <x v="0"/>
  </r>
  <r>
    <n v="68814660396"/>
    <n v="255"/>
    <d v="2034-10-19T00:00:00"/>
    <d v="2034-10-24T00:00:00"/>
    <x v="4"/>
    <x v="5"/>
  </r>
  <r>
    <n v="25185712977"/>
    <n v="156"/>
    <d v="2034-10-20T00:00:00"/>
    <s v=""/>
    <x v="4"/>
    <x v="0"/>
  </r>
  <r>
    <n v="58094687768"/>
    <n v="120"/>
    <d v="2034-10-20T00:00:00"/>
    <s v=""/>
    <x v="4"/>
    <x v="0"/>
  </r>
  <r>
    <n v="40126826506"/>
    <n v="155"/>
    <d v="2034-10-20T00:00:00"/>
    <s v=""/>
    <x v="4"/>
    <x v="0"/>
  </r>
  <r>
    <n v="84850594467"/>
    <n v="318"/>
    <d v="2034-10-20T00:00:00"/>
    <s v=""/>
    <x v="4"/>
    <x v="0"/>
  </r>
  <r>
    <n v="68663326069"/>
    <n v="274"/>
    <d v="2034-10-20T00:00:00"/>
    <s v=""/>
    <x v="4"/>
    <x v="0"/>
  </r>
  <r>
    <n v="89265681799"/>
    <n v="106"/>
    <d v="2034-10-20T00:00:00"/>
    <s v=""/>
    <x v="4"/>
    <x v="0"/>
  </r>
  <r>
    <n v="80855238439"/>
    <n v="67"/>
    <d v="2034-10-20T00:00:00"/>
    <d v="2034-12-09T00:00:00"/>
    <x v="4"/>
    <x v="7"/>
  </r>
  <r>
    <n v="85675848308"/>
    <n v="25"/>
    <d v="2034-10-20T00:00:00"/>
    <s v=""/>
    <x v="4"/>
    <x v="0"/>
  </r>
  <r>
    <n v="53765711488"/>
    <n v="198"/>
    <d v="2034-10-20T00:00:00"/>
    <s v=""/>
    <x v="4"/>
    <x v="0"/>
  </r>
  <r>
    <n v="69795134662"/>
    <n v="78"/>
    <d v="2034-10-20T00:00:00"/>
    <s v=""/>
    <x v="4"/>
    <x v="0"/>
  </r>
  <r>
    <n v="97808281082"/>
    <n v="311"/>
    <d v="2034-10-20T00:00:00"/>
    <s v=""/>
    <x v="4"/>
    <x v="0"/>
  </r>
  <r>
    <n v="41999184589"/>
    <n v="213"/>
    <d v="2034-10-20T00:00:00"/>
    <s v=""/>
    <x v="4"/>
    <x v="0"/>
  </r>
  <r>
    <n v="88141440790"/>
    <n v="189"/>
    <d v="2034-10-20T00:00:00"/>
    <s v=""/>
    <x v="4"/>
    <x v="0"/>
  </r>
  <r>
    <n v="27191150458"/>
    <n v="82"/>
    <d v="2034-10-20T00:00:00"/>
    <s v=""/>
    <x v="4"/>
    <x v="0"/>
  </r>
  <r>
    <n v="53349419533"/>
    <n v="244"/>
    <d v="2034-10-20T00:00:00"/>
    <s v=""/>
    <x v="4"/>
    <x v="0"/>
  </r>
  <r>
    <n v="76510367811"/>
    <n v="23"/>
    <d v="2034-10-20T00:00:00"/>
    <d v="2034-11-06T00:00:00"/>
    <x v="4"/>
    <x v="6"/>
  </r>
  <r>
    <n v="98348243186"/>
    <n v="30"/>
    <d v="2034-10-20T00:00:00"/>
    <s v=""/>
    <x v="4"/>
    <x v="0"/>
  </r>
  <r>
    <n v="96191931719"/>
    <n v="213"/>
    <d v="2034-10-20T00:00:00"/>
    <s v=""/>
    <x v="4"/>
    <x v="0"/>
  </r>
  <r>
    <n v="45839270522"/>
    <n v="272"/>
    <d v="2034-10-20T00:00:00"/>
    <s v=""/>
    <x v="4"/>
    <x v="0"/>
  </r>
  <r>
    <n v="44409031762"/>
    <n v="60"/>
    <d v="2034-10-20T00:00:00"/>
    <d v="2034-10-31T00:00:00"/>
    <x v="4"/>
    <x v="5"/>
  </r>
  <r>
    <n v="51797354039"/>
    <n v="97"/>
    <d v="2034-10-21T00:00:00"/>
    <s v=""/>
    <x v="4"/>
    <x v="0"/>
  </r>
  <r>
    <n v="77819990222"/>
    <n v="12"/>
    <d v="2034-10-21T00:00:00"/>
    <m/>
    <x v="4"/>
    <x v="0"/>
  </r>
  <r>
    <n v="51771504666"/>
    <n v="165"/>
    <d v="2034-10-21T00:00:00"/>
    <s v=""/>
    <x v="4"/>
    <x v="0"/>
  </r>
  <r>
    <n v="26210468256"/>
    <n v="35"/>
    <d v="2034-10-21T00:00:00"/>
    <s v=""/>
    <x v="4"/>
    <x v="0"/>
  </r>
  <r>
    <n v="49913752055"/>
    <n v="187"/>
    <d v="2034-10-21T00:00:00"/>
    <s v=""/>
    <x v="4"/>
    <x v="0"/>
  </r>
  <r>
    <n v="15449950610"/>
    <n v="261"/>
    <d v="2034-10-21T00:00:00"/>
    <s v=""/>
    <x v="4"/>
    <x v="0"/>
  </r>
  <r>
    <n v="66354838939"/>
    <n v="98"/>
    <d v="2034-10-21T00:00:00"/>
    <s v=""/>
    <x v="4"/>
    <x v="0"/>
  </r>
  <r>
    <n v="59236302034"/>
    <n v="104"/>
    <d v="2034-10-21T00:00:00"/>
    <s v=""/>
    <x v="4"/>
    <x v="0"/>
  </r>
  <r>
    <n v="28071017920"/>
    <n v="189"/>
    <d v="2034-10-21T00:00:00"/>
    <s v=""/>
    <x v="4"/>
    <x v="0"/>
  </r>
  <r>
    <n v="88780846765"/>
    <n v="240"/>
    <d v="2034-10-21T00:00:00"/>
    <s v=""/>
    <x v="4"/>
    <x v="0"/>
  </r>
  <r>
    <n v="45815168729"/>
    <n v="323"/>
    <d v="2034-10-21T00:00:00"/>
    <s v=""/>
    <x v="4"/>
    <x v="0"/>
  </r>
  <r>
    <n v="77405596672"/>
    <n v="123"/>
    <d v="2034-10-21T00:00:00"/>
    <s v=""/>
    <x v="4"/>
    <x v="0"/>
  </r>
  <r>
    <n v="95234774891"/>
    <n v="162"/>
    <d v="2034-10-21T00:00:00"/>
    <s v=""/>
    <x v="4"/>
    <x v="0"/>
  </r>
  <r>
    <n v="27335828967"/>
    <n v="164"/>
    <d v="2034-10-21T00:00:00"/>
    <s v=""/>
    <x v="4"/>
    <x v="0"/>
  </r>
  <r>
    <n v="54971435444"/>
    <n v="252"/>
    <d v="2034-10-21T00:00:00"/>
    <d v="2034-12-06T00:00:00"/>
    <x v="4"/>
    <x v="7"/>
  </r>
  <r>
    <n v="31792697704"/>
    <n v="2"/>
    <d v="2034-10-21T00:00:00"/>
    <d v="2034-10-29T00:00:00"/>
    <x v="4"/>
    <x v="5"/>
  </r>
  <r>
    <n v="44554122224"/>
    <n v="17"/>
    <d v="2034-10-21T00:00:00"/>
    <d v="2034-10-28T00:00:00"/>
    <x v="4"/>
    <x v="5"/>
  </r>
  <r>
    <n v="84934479903"/>
    <n v="174"/>
    <d v="2034-10-21T00:00:00"/>
    <s v=""/>
    <x v="4"/>
    <x v="0"/>
  </r>
  <r>
    <n v="40430264216"/>
    <n v="154"/>
    <d v="2034-10-21T00:00:00"/>
    <s v=""/>
    <x v="4"/>
    <x v="0"/>
  </r>
  <r>
    <n v="33042398992"/>
    <n v="195"/>
    <d v="2034-10-21T00:00:00"/>
    <s v=""/>
    <x v="4"/>
    <x v="0"/>
  </r>
  <r>
    <n v="49695080631"/>
    <n v="157"/>
    <d v="2034-10-21T00:00:00"/>
    <s v=""/>
    <x v="4"/>
    <x v="0"/>
  </r>
  <r>
    <n v="46415595836"/>
    <n v="144"/>
    <d v="2034-10-21T00:00:00"/>
    <s v=""/>
    <x v="4"/>
    <x v="0"/>
  </r>
  <r>
    <n v="38348697260"/>
    <n v="28"/>
    <d v="2034-10-22T00:00:00"/>
    <s v=""/>
    <x v="4"/>
    <x v="0"/>
  </r>
  <r>
    <n v="89752489766"/>
    <n v="317"/>
    <d v="2034-10-22T00:00:00"/>
    <s v=""/>
    <x v="4"/>
    <x v="0"/>
  </r>
  <r>
    <n v="70694938945"/>
    <n v="301"/>
    <d v="2034-10-22T00:00:00"/>
    <s v=""/>
    <x v="4"/>
    <x v="0"/>
  </r>
  <r>
    <n v="55019345429"/>
    <n v="267"/>
    <d v="2034-10-22T00:00:00"/>
    <s v=""/>
    <x v="4"/>
    <x v="0"/>
  </r>
  <r>
    <n v="78306231543"/>
    <n v="63"/>
    <d v="2034-10-22T00:00:00"/>
    <d v="2034-10-27T00:00:00"/>
    <x v="4"/>
    <x v="5"/>
  </r>
  <r>
    <n v="70203348508"/>
    <n v="297"/>
    <d v="2034-10-22T00:00:00"/>
    <s v=""/>
    <x v="4"/>
    <x v="0"/>
  </r>
  <r>
    <n v="40391533852"/>
    <n v="158"/>
    <d v="2034-10-22T00:00:00"/>
    <s v=""/>
    <x v="4"/>
    <x v="0"/>
  </r>
  <r>
    <n v="19752471990"/>
    <n v="4"/>
    <d v="2034-10-22T00:00:00"/>
    <s v=""/>
    <x v="4"/>
    <x v="0"/>
  </r>
  <r>
    <n v="14839303979"/>
    <n v="51"/>
    <d v="2034-10-22T00:00:00"/>
    <s v=""/>
    <x v="4"/>
    <x v="0"/>
  </r>
  <r>
    <n v="78434632190"/>
    <n v="78"/>
    <d v="2034-10-22T00:00:00"/>
    <d v="2035-01-31T00:00:00"/>
    <x v="4"/>
    <x v="8"/>
  </r>
  <r>
    <n v="95506309348"/>
    <n v="69"/>
    <d v="2034-10-22T00:00:00"/>
    <m/>
    <x v="4"/>
    <x v="0"/>
  </r>
  <r>
    <n v="87541011132"/>
    <n v="124"/>
    <d v="2034-10-22T00:00:00"/>
    <s v=""/>
    <x v="4"/>
    <x v="0"/>
  </r>
  <r>
    <n v="87916510512"/>
    <n v="1"/>
    <d v="2034-10-22T00:00:00"/>
    <s v=""/>
    <x v="4"/>
    <x v="0"/>
  </r>
  <r>
    <n v="19692110561"/>
    <n v="39"/>
    <d v="2034-10-22T00:00:00"/>
    <d v="2034-12-22T00:00:00"/>
    <x v="4"/>
    <x v="7"/>
  </r>
  <r>
    <n v="90506259723"/>
    <n v="167"/>
    <d v="2034-10-22T00:00:00"/>
    <s v=""/>
    <x v="4"/>
    <x v="0"/>
  </r>
  <r>
    <n v="52987320166"/>
    <n v="100"/>
    <d v="2034-10-22T00:00:00"/>
    <s v=""/>
    <x v="4"/>
    <x v="0"/>
  </r>
  <r>
    <n v="97082765101"/>
    <n v="88"/>
    <d v="2034-10-22T00:00:00"/>
    <s v=""/>
    <x v="4"/>
    <x v="0"/>
  </r>
  <r>
    <n v="59823246974"/>
    <n v="295"/>
    <d v="2034-10-22T00:00:00"/>
    <s v=""/>
    <x v="4"/>
    <x v="0"/>
  </r>
  <r>
    <n v="37469199940"/>
    <n v="308"/>
    <d v="2034-10-22T00:00:00"/>
    <d v="2034-11-26T00:00:00"/>
    <x v="4"/>
    <x v="6"/>
  </r>
  <r>
    <n v="60641712997"/>
    <n v="46"/>
    <d v="2034-10-22T00:00:00"/>
    <s v=""/>
    <x v="4"/>
    <x v="0"/>
  </r>
  <r>
    <n v="58368477458"/>
    <n v="183"/>
    <d v="2034-10-22T00:00:00"/>
    <d v="2035-01-06T00:00:00"/>
    <x v="4"/>
    <x v="8"/>
  </r>
  <r>
    <n v="11858027865"/>
    <n v="319"/>
    <d v="2034-10-22T00:00:00"/>
    <m/>
    <x v="4"/>
    <x v="0"/>
  </r>
  <r>
    <n v="24780479173"/>
    <n v="86"/>
    <d v="2034-10-22T00:00:00"/>
    <s v=""/>
    <x v="4"/>
    <x v="0"/>
  </r>
  <r>
    <n v="88004458501"/>
    <n v="44"/>
    <d v="2034-10-22T00:00:00"/>
    <s v=""/>
    <x v="4"/>
    <x v="0"/>
  </r>
  <r>
    <n v="46766046794"/>
    <n v="9"/>
    <d v="2034-10-22T00:00:00"/>
    <d v="2035-01-03T00:00:00"/>
    <x v="4"/>
    <x v="8"/>
  </r>
  <r>
    <n v="38815809949"/>
    <n v="48"/>
    <d v="2034-10-22T00:00:00"/>
    <s v=""/>
    <x v="4"/>
    <x v="0"/>
  </r>
  <r>
    <n v="26417008389"/>
    <n v="233"/>
    <d v="2034-10-22T00:00:00"/>
    <d v="2035-01-19T00:00:00"/>
    <x v="4"/>
    <x v="8"/>
  </r>
  <r>
    <n v="90695326162"/>
    <n v="224"/>
    <d v="2034-10-22T00:00:00"/>
    <s v=""/>
    <x v="4"/>
    <x v="0"/>
  </r>
  <r>
    <n v="54024569509"/>
    <n v="66"/>
    <d v="2034-10-22T00:00:00"/>
    <s v=""/>
    <x v="4"/>
    <x v="0"/>
  </r>
  <r>
    <n v="64304796705"/>
    <n v="52"/>
    <d v="2034-10-22T00:00:00"/>
    <s v=""/>
    <x v="4"/>
    <x v="0"/>
  </r>
  <r>
    <n v="97977243294"/>
    <n v="92"/>
    <d v="2034-10-23T00:00:00"/>
    <d v="2034-11-11T00:00:00"/>
    <x v="4"/>
    <x v="6"/>
  </r>
  <r>
    <n v="38935193323"/>
    <n v="121"/>
    <d v="2034-10-23T00:00:00"/>
    <s v=""/>
    <x v="4"/>
    <x v="0"/>
  </r>
  <r>
    <n v="93678403460"/>
    <n v="237"/>
    <d v="2034-10-23T00:00:00"/>
    <d v="2034-11-24T00:00:00"/>
    <x v="4"/>
    <x v="6"/>
  </r>
  <r>
    <n v="24988669257"/>
    <n v="109"/>
    <d v="2034-10-23T00:00:00"/>
    <s v=""/>
    <x v="4"/>
    <x v="0"/>
  </r>
  <r>
    <n v="48983974010"/>
    <n v="185"/>
    <d v="2034-10-23T00:00:00"/>
    <s v=""/>
    <x v="4"/>
    <x v="0"/>
  </r>
  <r>
    <n v="66977288628"/>
    <n v="72"/>
    <d v="2034-10-23T00:00:00"/>
    <s v=""/>
    <x v="4"/>
    <x v="0"/>
  </r>
  <r>
    <n v="27844916310"/>
    <n v="74"/>
    <d v="2034-10-23T00:00:00"/>
    <s v=""/>
    <x v="4"/>
    <x v="0"/>
  </r>
  <r>
    <n v="58692293984"/>
    <n v="36"/>
    <d v="2034-10-23T00:00:00"/>
    <s v=""/>
    <x v="4"/>
    <x v="0"/>
  </r>
  <r>
    <n v="19517647503"/>
    <n v="66"/>
    <d v="2034-10-23T00:00:00"/>
    <s v=""/>
    <x v="4"/>
    <x v="0"/>
  </r>
  <r>
    <n v="75312465683"/>
    <n v="63"/>
    <d v="2034-10-23T00:00:00"/>
    <s v=""/>
    <x v="4"/>
    <x v="0"/>
  </r>
  <r>
    <n v="59487012575"/>
    <n v="99"/>
    <d v="2034-10-23T00:00:00"/>
    <s v=""/>
    <x v="4"/>
    <x v="0"/>
  </r>
  <r>
    <n v="23177030587"/>
    <n v="73"/>
    <d v="2034-10-23T00:00:00"/>
    <s v=""/>
    <x v="4"/>
    <x v="0"/>
  </r>
  <r>
    <n v="55885154036"/>
    <n v="307"/>
    <d v="2034-10-23T00:00:00"/>
    <s v=""/>
    <x v="4"/>
    <x v="0"/>
  </r>
  <r>
    <n v="52051333223"/>
    <n v="216"/>
    <d v="2034-10-23T00:00:00"/>
    <m/>
    <x v="4"/>
    <x v="0"/>
  </r>
  <r>
    <n v="96370723616"/>
    <n v="174"/>
    <d v="2034-10-23T00:00:00"/>
    <s v=""/>
    <x v="4"/>
    <x v="0"/>
  </r>
  <r>
    <n v="24562882923"/>
    <n v="13"/>
    <d v="2034-10-23T00:00:00"/>
    <s v=""/>
    <x v="4"/>
    <x v="0"/>
  </r>
  <r>
    <n v="29339151119"/>
    <n v="330"/>
    <d v="2034-10-23T00:00:00"/>
    <s v=""/>
    <x v="4"/>
    <x v="0"/>
  </r>
  <r>
    <n v="83691607567"/>
    <n v="213"/>
    <d v="2034-10-23T00:00:00"/>
    <s v=""/>
    <x v="4"/>
    <x v="0"/>
  </r>
  <r>
    <n v="11817937029"/>
    <n v="156"/>
    <d v="2034-10-23T00:00:00"/>
    <s v=""/>
    <x v="4"/>
    <x v="0"/>
  </r>
  <r>
    <n v="36893459266"/>
    <n v="13"/>
    <d v="2034-10-23T00:00:00"/>
    <s v=""/>
    <x v="4"/>
    <x v="0"/>
  </r>
  <r>
    <n v="89946180014"/>
    <n v="108"/>
    <d v="2034-10-23T00:00:00"/>
    <s v=""/>
    <x v="4"/>
    <x v="0"/>
  </r>
  <r>
    <n v="94262642711"/>
    <n v="235"/>
    <d v="2034-10-23T00:00:00"/>
    <s v=""/>
    <x v="4"/>
    <x v="0"/>
  </r>
  <r>
    <n v="35497927859"/>
    <n v="73"/>
    <d v="2034-10-23T00:00:00"/>
    <s v=""/>
    <x v="4"/>
    <x v="0"/>
  </r>
  <r>
    <n v="47171530358"/>
    <n v="68"/>
    <d v="2034-10-23T00:00:00"/>
    <s v=""/>
    <x v="4"/>
    <x v="0"/>
  </r>
  <r>
    <n v="14694279552"/>
    <n v="316"/>
    <d v="2034-10-23T00:00:00"/>
    <s v=""/>
    <x v="4"/>
    <x v="0"/>
  </r>
  <r>
    <n v="94245440753"/>
    <n v="282"/>
    <d v="2034-10-23T00:00:00"/>
    <d v="2034-11-06T00:00:00"/>
    <x v="4"/>
    <x v="6"/>
  </r>
  <r>
    <n v="98186456086"/>
    <n v="71"/>
    <d v="2034-10-23T00:00:00"/>
    <d v="2034-11-09T00:00:00"/>
    <x v="4"/>
    <x v="6"/>
  </r>
  <r>
    <n v="15806419732"/>
    <n v="232"/>
    <d v="2034-10-23T00:00:00"/>
    <d v="2034-11-15T00:00:00"/>
    <x v="4"/>
    <x v="6"/>
  </r>
  <r>
    <n v="57182901878"/>
    <n v="20"/>
    <d v="2034-10-23T00:00:00"/>
    <d v="2034-12-17T00:00:00"/>
    <x v="4"/>
    <x v="7"/>
  </r>
  <r>
    <n v="52414775459"/>
    <n v="160"/>
    <d v="2034-10-23T00:00:00"/>
    <d v="2034-12-30T00:00:00"/>
    <x v="4"/>
    <x v="7"/>
  </r>
  <r>
    <n v="99200051523"/>
    <n v="45"/>
    <d v="2034-10-23T00:00:00"/>
    <s v=""/>
    <x v="4"/>
    <x v="0"/>
  </r>
  <r>
    <n v="93520293955"/>
    <n v="82"/>
    <d v="2034-10-23T00:00:00"/>
    <s v=""/>
    <x v="4"/>
    <x v="0"/>
  </r>
  <r>
    <n v="43520908139"/>
    <n v="297"/>
    <d v="2034-10-23T00:00:00"/>
    <s v=""/>
    <x v="4"/>
    <x v="0"/>
  </r>
  <r>
    <n v="47728834338"/>
    <n v="246"/>
    <d v="2034-10-24T00:00:00"/>
    <d v="2034-11-02T00:00:00"/>
    <x v="4"/>
    <x v="6"/>
  </r>
  <r>
    <n v="88214107974"/>
    <n v="331"/>
    <d v="2034-10-24T00:00:00"/>
    <s v=""/>
    <x v="4"/>
    <x v="0"/>
  </r>
  <r>
    <n v="32257679600"/>
    <n v="268"/>
    <d v="2034-10-24T00:00:00"/>
    <s v=""/>
    <x v="4"/>
    <x v="0"/>
  </r>
  <r>
    <n v="33247136100"/>
    <n v="158"/>
    <d v="2034-10-24T00:00:00"/>
    <s v=""/>
    <x v="4"/>
    <x v="0"/>
  </r>
  <r>
    <n v="25931228143"/>
    <n v="237"/>
    <d v="2034-10-24T00:00:00"/>
    <s v=""/>
    <x v="4"/>
    <x v="0"/>
  </r>
  <r>
    <n v="40846819640"/>
    <n v="239"/>
    <d v="2034-10-24T00:00:00"/>
    <s v=""/>
    <x v="4"/>
    <x v="0"/>
  </r>
  <r>
    <n v="16922815017"/>
    <n v="226"/>
    <d v="2034-10-24T00:00:00"/>
    <s v=""/>
    <x v="4"/>
    <x v="0"/>
  </r>
  <r>
    <n v="53410439863"/>
    <n v="208"/>
    <d v="2034-10-24T00:00:00"/>
    <s v=""/>
    <x v="4"/>
    <x v="0"/>
  </r>
  <r>
    <n v="31301649492"/>
    <n v="289"/>
    <d v="2034-10-24T00:00:00"/>
    <s v=""/>
    <x v="4"/>
    <x v="0"/>
  </r>
  <r>
    <n v="17449044774"/>
    <n v="221"/>
    <d v="2034-10-24T00:00:00"/>
    <s v=""/>
    <x v="4"/>
    <x v="0"/>
  </r>
  <r>
    <n v="32118602421"/>
    <n v="140"/>
    <d v="2034-10-24T00:00:00"/>
    <s v=""/>
    <x v="4"/>
    <x v="0"/>
  </r>
  <r>
    <n v="77080009936"/>
    <n v="320"/>
    <d v="2034-10-24T00:00:00"/>
    <s v=""/>
    <x v="4"/>
    <x v="0"/>
  </r>
  <r>
    <n v="29186141162"/>
    <n v="314"/>
    <d v="2034-10-24T00:00:00"/>
    <s v=""/>
    <x v="4"/>
    <x v="0"/>
  </r>
  <r>
    <n v="89966823235"/>
    <n v="46"/>
    <d v="2034-10-24T00:00:00"/>
    <s v=""/>
    <x v="4"/>
    <x v="0"/>
  </r>
  <r>
    <n v="16471334764"/>
    <n v="275"/>
    <d v="2034-10-24T00:00:00"/>
    <s v=""/>
    <x v="4"/>
    <x v="0"/>
  </r>
  <r>
    <n v="28272808241"/>
    <n v="158"/>
    <d v="2034-10-24T00:00:00"/>
    <s v=""/>
    <x v="4"/>
    <x v="0"/>
  </r>
  <r>
    <n v="39166046395"/>
    <n v="11"/>
    <d v="2034-10-24T00:00:00"/>
    <d v="2034-12-13T00:00:00"/>
    <x v="4"/>
    <x v="7"/>
  </r>
  <r>
    <n v="91578879582"/>
    <n v="215"/>
    <d v="2034-10-24T00:00:00"/>
    <s v=""/>
    <x v="4"/>
    <x v="0"/>
  </r>
  <r>
    <n v="48677805989"/>
    <n v="329"/>
    <d v="2034-10-24T00:00:00"/>
    <s v=""/>
    <x v="4"/>
    <x v="0"/>
  </r>
  <r>
    <n v="99891530274"/>
    <n v="279"/>
    <d v="2034-10-24T00:00:00"/>
    <s v=""/>
    <x v="4"/>
    <x v="0"/>
  </r>
  <r>
    <n v="28050756994"/>
    <n v="302"/>
    <d v="2034-10-24T00:00:00"/>
    <d v="2034-12-11T00:00:00"/>
    <x v="4"/>
    <x v="7"/>
  </r>
  <r>
    <n v="22198084992"/>
    <n v="101"/>
    <d v="2034-10-24T00:00:00"/>
    <d v="2034-12-23T00:00:00"/>
    <x v="4"/>
    <x v="7"/>
  </r>
  <r>
    <n v="87667370895"/>
    <n v="312"/>
    <d v="2034-10-24T00:00:00"/>
    <s v=""/>
    <x v="4"/>
    <x v="0"/>
  </r>
  <r>
    <n v="73311134834"/>
    <n v="63"/>
    <d v="2034-10-24T00:00:00"/>
    <d v="2034-11-25T00:00:00"/>
    <x v="4"/>
    <x v="6"/>
  </r>
  <r>
    <n v="21560745534"/>
    <n v="335"/>
    <d v="2034-10-24T00:00:00"/>
    <d v="2035-01-23T00:00:00"/>
    <x v="4"/>
    <x v="8"/>
  </r>
  <r>
    <n v="59375488001"/>
    <n v="327"/>
    <d v="2034-10-24T00:00:00"/>
    <s v=""/>
    <x v="4"/>
    <x v="0"/>
  </r>
  <r>
    <n v="72669892122"/>
    <n v="200"/>
    <d v="2034-10-24T00:00:00"/>
    <s v=""/>
    <x v="4"/>
    <x v="0"/>
  </r>
  <r>
    <n v="30779174937"/>
    <n v="95"/>
    <d v="2034-10-24T00:00:00"/>
    <s v=""/>
    <x v="4"/>
    <x v="0"/>
  </r>
  <r>
    <n v="53549935988"/>
    <n v="38"/>
    <d v="2034-10-24T00:00:00"/>
    <s v=""/>
    <x v="4"/>
    <x v="0"/>
  </r>
  <r>
    <n v="81218074257"/>
    <n v="235"/>
    <d v="2034-10-24T00:00:00"/>
    <s v=""/>
    <x v="4"/>
    <x v="0"/>
  </r>
  <r>
    <n v="12103724593"/>
    <n v="221"/>
    <d v="2034-10-24T00:00:00"/>
    <s v=""/>
    <x v="4"/>
    <x v="0"/>
  </r>
  <r>
    <n v="24974731415"/>
    <n v="55"/>
    <d v="2034-10-24T00:00:00"/>
    <s v=""/>
    <x v="4"/>
    <x v="0"/>
  </r>
  <r>
    <n v="43831928824"/>
    <n v="269"/>
    <d v="2034-10-24T00:00:00"/>
    <d v="2034-12-21T00:00:00"/>
    <x v="4"/>
    <x v="7"/>
  </r>
  <r>
    <n v="20574968257"/>
    <n v="15"/>
    <d v="2034-10-24T00:00:00"/>
    <m/>
    <x v="4"/>
    <x v="0"/>
  </r>
  <r>
    <n v="28584426837"/>
    <n v="267"/>
    <d v="2034-10-24T00:00:00"/>
    <s v=""/>
    <x v="4"/>
    <x v="0"/>
  </r>
  <r>
    <n v="47656069819"/>
    <n v="94"/>
    <d v="2034-10-24T00:00:00"/>
    <s v=""/>
    <x v="4"/>
    <x v="0"/>
  </r>
  <r>
    <n v="24441960711"/>
    <n v="186"/>
    <d v="2034-10-24T00:00:00"/>
    <s v=""/>
    <x v="4"/>
    <x v="0"/>
  </r>
  <r>
    <n v="84643492312"/>
    <n v="17"/>
    <d v="2034-10-24T00:00:00"/>
    <s v=""/>
    <x v="4"/>
    <x v="0"/>
  </r>
  <r>
    <n v="95539626156"/>
    <n v="94"/>
    <d v="2034-10-24T00:00:00"/>
    <s v=""/>
    <x v="4"/>
    <x v="0"/>
  </r>
  <r>
    <n v="13481126978"/>
    <n v="28"/>
    <d v="2034-10-25T00:00:00"/>
    <s v=""/>
    <x v="4"/>
    <x v="0"/>
  </r>
  <r>
    <n v="27575369113"/>
    <n v="244"/>
    <d v="2034-10-25T00:00:00"/>
    <s v=""/>
    <x v="4"/>
    <x v="0"/>
  </r>
  <r>
    <n v="61546737815"/>
    <n v="288"/>
    <d v="2034-10-25T00:00:00"/>
    <s v=""/>
    <x v="4"/>
    <x v="0"/>
  </r>
  <r>
    <n v="32622914833"/>
    <n v="268"/>
    <d v="2034-10-25T00:00:00"/>
    <s v=""/>
    <x v="4"/>
    <x v="0"/>
  </r>
  <r>
    <n v="95068962829"/>
    <n v="161"/>
    <d v="2034-10-25T00:00:00"/>
    <d v="2035-01-28T00:00:00"/>
    <x v="4"/>
    <x v="8"/>
  </r>
  <r>
    <n v="69110604543"/>
    <n v="8"/>
    <d v="2034-10-25T00:00:00"/>
    <s v=""/>
    <x v="4"/>
    <x v="0"/>
  </r>
  <r>
    <n v="64973492339"/>
    <n v="269"/>
    <d v="2034-10-25T00:00:00"/>
    <s v=""/>
    <x v="4"/>
    <x v="0"/>
  </r>
  <r>
    <n v="47795841471"/>
    <n v="74"/>
    <d v="2034-10-25T00:00:00"/>
    <s v=""/>
    <x v="4"/>
    <x v="0"/>
  </r>
  <r>
    <n v="82380197100"/>
    <n v="282"/>
    <d v="2034-10-25T00:00:00"/>
    <s v=""/>
    <x v="4"/>
    <x v="0"/>
  </r>
  <r>
    <n v="73920263084"/>
    <n v="111"/>
    <d v="2034-10-25T00:00:00"/>
    <s v=""/>
    <x v="4"/>
    <x v="0"/>
  </r>
  <r>
    <n v="81036311978"/>
    <n v="215"/>
    <d v="2034-10-25T00:00:00"/>
    <s v=""/>
    <x v="4"/>
    <x v="0"/>
  </r>
  <r>
    <n v="70144893168"/>
    <n v="177"/>
    <d v="2034-10-25T00:00:00"/>
    <s v=""/>
    <x v="4"/>
    <x v="0"/>
  </r>
  <r>
    <n v="28731741583"/>
    <n v="227"/>
    <d v="2034-10-25T00:00:00"/>
    <s v=""/>
    <x v="4"/>
    <x v="0"/>
  </r>
  <r>
    <n v="46520389556"/>
    <n v="45"/>
    <d v="2034-10-25T00:00:00"/>
    <s v=""/>
    <x v="4"/>
    <x v="0"/>
  </r>
  <r>
    <n v="94824642869"/>
    <n v="35"/>
    <d v="2034-10-25T00:00:00"/>
    <s v=""/>
    <x v="4"/>
    <x v="0"/>
  </r>
  <r>
    <n v="56983506407"/>
    <n v="294"/>
    <d v="2034-10-25T00:00:00"/>
    <s v=""/>
    <x v="4"/>
    <x v="0"/>
  </r>
  <r>
    <n v="39948016310"/>
    <n v="312"/>
    <d v="2034-10-25T00:00:00"/>
    <s v=""/>
    <x v="4"/>
    <x v="0"/>
  </r>
  <r>
    <n v="44091900331"/>
    <n v="265"/>
    <d v="2034-10-25T00:00:00"/>
    <s v=""/>
    <x v="4"/>
    <x v="0"/>
  </r>
  <r>
    <n v="17717176322"/>
    <n v="299"/>
    <d v="2034-10-25T00:00:00"/>
    <s v=""/>
    <x v="4"/>
    <x v="0"/>
  </r>
  <r>
    <n v="13504020977"/>
    <n v="120"/>
    <d v="2034-10-26T00:00:00"/>
    <s v=""/>
    <x v="4"/>
    <x v="0"/>
  </r>
  <r>
    <n v="21391257394"/>
    <n v="257"/>
    <d v="2034-10-26T00:00:00"/>
    <s v=""/>
    <x v="4"/>
    <x v="0"/>
  </r>
  <r>
    <n v="25615736415"/>
    <n v="82"/>
    <d v="2034-10-26T00:00:00"/>
    <s v=""/>
    <x v="4"/>
    <x v="0"/>
  </r>
  <r>
    <n v="16294063162"/>
    <n v="5"/>
    <d v="2034-10-26T00:00:00"/>
    <s v=""/>
    <x v="4"/>
    <x v="0"/>
  </r>
  <r>
    <n v="95352382708"/>
    <n v="197"/>
    <d v="2034-10-26T00:00:00"/>
    <s v=""/>
    <x v="4"/>
    <x v="0"/>
  </r>
  <r>
    <n v="72829489420"/>
    <n v="166"/>
    <d v="2034-10-26T00:00:00"/>
    <s v=""/>
    <x v="4"/>
    <x v="0"/>
  </r>
  <r>
    <n v="13659550717"/>
    <n v="28"/>
    <d v="2034-10-26T00:00:00"/>
    <d v="2034-12-23T00:00:00"/>
    <x v="4"/>
    <x v="7"/>
  </r>
  <r>
    <n v="38443759685"/>
    <n v="55"/>
    <d v="2034-10-26T00:00:00"/>
    <s v=""/>
    <x v="4"/>
    <x v="0"/>
  </r>
  <r>
    <n v="28195987692"/>
    <n v="272"/>
    <d v="2034-10-26T00:00:00"/>
    <s v=""/>
    <x v="4"/>
    <x v="0"/>
  </r>
  <r>
    <n v="63913003676"/>
    <n v="265"/>
    <d v="2034-10-26T00:00:00"/>
    <s v=""/>
    <x v="4"/>
    <x v="0"/>
  </r>
  <r>
    <n v="19262980266"/>
    <n v="5"/>
    <d v="2034-10-26T00:00:00"/>
    <s v=""/>
    <x v="4"/>
    <x v="0"/>
  </r>
  <r>
    <n v="61235108219"/>
    <n v="6"/>
    <d v="2034-10-26T00:00:00"/>
    <m/>
    <x v="4"/>
    <x v="0"/>
  </r>
  <r>
    <n v="96570958493"/>
    <n v="54"/>
    <d v="2034-10-26T00:00:00"/>
    <s v=""/>
    <x v="4"/>
    <x v="0"/>
  </r>
  <r>
    <n v="23413878354"/>
    <n v="10"/>
    <d v="2034-10-26T00:00:00"/>
    <s v=""/>
    <x v="4"/>
    <x v="0"/>
  </r>
  <r>
    <n v="34958685706"/>
    <n v="212"/>
    <d v="2034-10-26T00:00:00"/>
    <s v=""/>
    <x v="4"/>
    <x v="0"/>
  </r>
  <r>
    <n v="21568411826"/>
    <n v="304"/>
    <d v="2034-10-26T00:00:00"/>
    <s v=""/>
    <x v="4"/>
    <x v="0"/>
  </r>
  <r>
    <n v="41501890514"/>
    <n v="36"/>
    <d v="2034-10-26T00:00:00"/>
    <d v="2034-11-14T00:00:00"/>
    <x v="4"/>
    <x v="6"/>
  </r>
  <r>
    <n v="48722495676"/>
    <n v="253"/>
    <d v="2034-10-26T00:00:00"/>
    <d v="2034-12-12T00:00:00"/>
    <x v="4"/>
    <x v="7"/>
  </r>
  <r>
    <n v="44690277953"/>
    <n v="164"/>
    <d v="2034-10-27T00:00:00"/>
    <s v=""/>
    <x v="4"/>
    <x v="0"/>
  </r>
  <r>
    <n v="77994215754"/>
    <n v="201"/>
    <d v="2034-10-27T00:00:00"/>
    <s v=""/>
    <x v="4"/>
    <x v="0"/>
  </r>
  <r>
    <n v="77166948628"/>
    <n v="76"/>
    <d v="2034-10-27T00:00:00"/>
    <m/>
    <x v="4"/>
    <x v="0"/>
  </r>
  <r>
    <n v="85174338474"/>
    <n v="130"/>
    <d v="2034-10-27T00:00:00"/>
    <s v=""/>
    <x v="4"/>
    <x v="0"/>
  </r>
  <r>
    <n v="73132601997"/>
    <n v="93"/>
    <d v="2034-10-27T00:00:00"/>
    <s v=""/>
    <x v="4"/>
    <x v="0"/>
  </r>
  <r>
    <n v="79505838254"/>
    <n v="50"/>
    <d v="2034-10-27T00:00:00"/>
    <s v=""/>
    <x v="4"/>
    <x v="0"/>
  </r>
  <r>
    <n v="94933505872"/>
    <n v="3"/>
    <d v="2034-10-27T00:00:00"/>
    <s v=""/>
    <x v="4"/>
    <x v="0"/>
  </r>
  <r>
    <n v="82590897413"/>
    <n v="65"/>
    <d v="2034-10-27T00:00:00"/>
    <s v=""/>
    <x v="4"/>
    <x v="0"/>
  </r>
  <r>
    <n v="68965559779"/>
    <n v="136"/>
    <d v="2034-10-27T00:00:00"/>
    <s v=""/>
    <x v="4"/>
    <x v="0"/>
  </r>
  <r>
    <n v="42752120884"/>
    <n v="112"/>
    <d v="2034-10-27T00:00:00"/>
    <s v=""/>
    <x v="4"/>
    <x v="0"/>
  </r>
  <r>
    <n v="45510861541"/>
    <n v="205"/>
    <d v="2034-10-27T00:00:00"/>
    <m/>
    <x v="4"/>
    <x v="0"/>
  </r>
  <r>
    <n v="78973079936"/>
    <n v="309"/>
    <d v="2034-10-27T00:00:00"/>
    <s v=""/>
    <x v="4"/>
    <x v="0"/>
  </r>
  <r>
    <n v="82694766968"/>
    <n v="24"/>
    <d v="2034-10-27T00:00:00"/>
    <d v="2035-01-19T00:00:00"/>
    <x v="4"/>
    <x v="8"/>
  </r>
  <r>
    <n v="84687218331"/>
    <n v="74"/>
    <d v="2034-10-27T00:00:00"/>
    <s v=""/>
    <x v="4"/>
    <x v="0"/>
  </r>
  <r>
    <n v="96081244017"/>
    <n v="318"/>
    <d v="2034-10-27T00:00:00"/>
    <s v=""/>
    <x v="4"/>
    <x v="0"/>
  </r>
  <r>
    <n v="48075727179"/>
    <n v="234"/>
    <d v="2034-10-27T00:00:00"/>
    <s v=""/>
    <x v="4"/>
    <x v="0"/>
  </r>
  <r>
    <n v="96019505021"/>
    <n v="92"/>
    <d v="2034-10-27T00:00:00"/>
    <s v=""/>
    <x v="4"/>
    <x v="0"/>
  </r>
  <r>
    <n v="85835834735"/>
    <n v="12"/>
    <d v="2034-10-27T00:00:00"/>
    <s v=""/>
    <x v="4"/>
    <x v="0"/>
  </r>
  <r>
    <n v="70718340872"/>
    <n v="21"/>
    <d v="2034-10-27T00:00:00"/>
    <s v=""/>
    <x v="4"/>
    <x v="0"/>
  </r>
  <r>
    <n v="15797537214"/>
    <n v="121"/>
    <d v="2034-10-28T00:00:00"/>
    <s v=""/>
    <x v="4"/>
    <x v="0"/>
  </r>
  <r>
    <n v="98552113064"/>
    <n v="124"/>
    <d v="2034-10-28T00:00:00"/>
    <s v=""/>
    <x v="4"/>
    <x v="0"/>
  </r>
  <r>
    <n v="28567039775"/>
    <n v="317"/>
    <d v="2034-10-28T00:00:00"/>
    <s v=""/>
    <x v="4"/>
    <x v="0"/>
  </r>
  <r>
    <n v="52465151380"/>
    <n v="309"/>
    <d v="2034-10-28T00:00:00"/>
    <m/>
    <x v="4"/>
    <x v="0"/>
  </r>
  <r>
    <n v="24641187086"/>
    <n v="275"/>
    <d v="2034-10-28T00:00:00"/>
    <s v=""/>
    <x v="4"/>
    <x v="0"/>
  </r>
  <r>
    <n v="65080587458"/>
    <n v="223"/>
    <d v="2034-10-28T00:00:00"/>
    <s v=""/>
    <x v="4"/>
    <x v="0"/>
  </r>
  <r>
    <n v="92218300236"/>
    <n v="261"/>
    <d v="2034-10-28T00:00:00"/>
    <s v=""/>
    <x v="4"/>
    <x v="0"/>
  </r>
  <r>
    <n v="48760093715"/>
    <n v="138"/>
    <d v="2034-10-28T00:00:00"/>
    <s v=""/>
    <x v="4"/>
    <x v="0"/>
  </r>
  <r>
    <n v="17882358731"/>
    <n v="221"/>
    <d v="2034-10-28T00:00:00"/>
    <s v=""/>
    <x v="4"/>
    <x v="0"/>
  </r>
  <r>
    <n v="62458864371"/>
    <n v="119"/>
    <d v="2034-10-28T00:00:00"/>
    <s v=""/>
    <x v="4"/>
    <x v="0"/>
  </r>
  <r>
    <n v="56669844136"/>
    <n v="5"/>
    <d v="2034-10-28T00:00:00"/>
    <s v=""/>
    <x v="4"/>
    <x v="0"/>
  </r>
  <r>
    <n v="15409915967"/>
    <n v="337"/>
    <d v="2034-10-28T00:00:00"/>
    <s v=""/>
    <x v="4"/>
    <x v="0"/>
  </r>
  <r>
    <n v="84388423607"/>
    <n v="184"/>
    <d v="2034-10-28T00:00:00"/>
    <s v=""/>
    <x v="4"/>
    <x v="0"/>
  </r>
  <r>
    <n v="91278571702"/>
    <n v="193"/>
    <d v="2034-10-28T00:00:00"/>
    <s v=""/>
    <x v="4"/>
    <x v="0"/>
  </r>
  <r>
    <n v="39488533673"/>
    <n v="117"/>
    <d v="2034-10-28T00:00:00"/>
    <s v=""/>
    <x v="4"/>
    <x v="0"/>
  </r>
  <r>
    <n v="74811365115"/>
    <n v="263"/>
    <d v="2034-10-28T00:00:00"/>
    <s v=""/>
    <x v="4"/>
    <x v="0"/>
  </r>
  <r>
    <n v="65146946758"/>
    <n v="167"/>
    <d v="2034-10-28T00:00:00"/>
    <s v=""/>
    <x v="4"/>
    <x v="0"/>
  </r>
  <r>
    <n v="41250760274"/>
    <n v="282"/>
    <d v="2034-10-28T00:00:00"/>
    <s v=""/>
    <x v="4"/>
    <x v="0"/>
  </r>
  <r>
    <n v="92832750255"/>
    <n v="321"/>
    <d v="2034-10-28T00:00:00"/>
    <s v=""/>
    <x v="4"/>
    <x v="0"/>
  </r>
  <r>
    <n v="37326134401"/>
    <n v="327"/>
    <d v="2034-10-28T00:00:00"/>
    <s v=""/>
    <x v="4"/>
    <x v="0"/>
  </r>
  <r>
    <n v="63899943130"/>
    <n v="174"/>
    <d v="2034-10-29T00:00:00"/>
    <s v=""/>
    <x v="4"/>
    <x v="0"/>
  </r>
  <r>
    <n v="58761105641"/>
    <n v="70"/>
    <d v="2034-10-29T00:00:00"/>
    <s v=""/>
    <x v="4"/>
    <x v="0"/>
  </r>
  <r>
    <n v="31109435945"/>
    <n v="95"/>
    <d v="2034-10-29T00:00:00"/>
    <s v=""/>
    <x v="4"/>
    <x v="0"/>
  </r>
  <r>
    <n v="98767390554"/>
    <n v="285"/>
    <d v="2034-10-29T00:00:00"/>
    <d v="2035-01-19T00:00:00"/>
    <x v="4"/>
    <x v="8"/>
  </r>
  <r>
    <n v="53171435998"/>
    <n v="71"/>
    <d v="2034-10-29T00:00:00"/>
    <m/>
    <x v="4"/>
    <x v="0"/>
  </r>
  <r>
    <n v="99047161423"/>
    <n v="257"/>
    <d v="2034-10-29T00:00:00"/>
    <s v=""/>
    <x v="4"/>
    <x v="0"/>
  </r>
  <r>
    <n v="29233153637"/>
    <n v="93"/>
    <d v="2034-10-29T00:00:00"/>
    <s v=""/>
    <x v="4"/>
    <x v="0"/>
  </r>
  <r>
    <n v="57525972656"/>
    <n v="312"/>
    <d v="2034-10-29T00:00:00"/>
    <s v=""/>
    <x v="4"/>
    <x v="0"/>
  </r>
  <r>
    <n v="75416822041"/>
    <n v="209"/>
    <d v="2034-10-29T00:00:00"/>
    <s v=""/>
    <x v="4"/>
    <x v="0"/>
  </r>
  <r>
    <n v="48627774760"/>
    <n v="108"/>
    <d v="2034-10-29T00:00:00"/>
    <s v=""/>
    <x v="4"/>
    <x v="0"/>
  </r>
  <r>
    <n v="83888362732"/>
    <n v="214"/>
    <d v="2034-10-29T00:00:00"/>
    <s v=""/>
    <x v="4"/>
    <x v="0"/>
  </r>
  <r>
    <n v="47227306042"/>
    <n v="313"/>
    <d v="2034-10-29T00:00:00"/>
    <d v="2034-12-30T00:00:00"/>
    <x v="4"/>
    <x v="7"/>
  </r>
  <r>
    <n v="52883134074"/>
    <n v="76"/>
    <d v="2034-10-29T00:00:00"/>
    <m/>
    <x v="4"/>
    <x v="0"/>
  </r>
  <r>
    <n v="66024324290"/>
    <n v="208"/>
    <d v="2034-10-29T00:00:00"/>
    <s v=""/>
    <x v="4"/>
    <x v="0"/>
  </r>
  <r>
    <n v="48060890501"/>
    <n v="100"/>
    <d v="2034-10-29T00:00:00"/>
    <s v=""/>
    <x v="4"/>
    <x v="0"/>
  </r>
  <r>
    <n v="27381931247"/>
    <n v="64"/>
    <d v="2034-10-29T00:00:00"/>
    <s v=""/>
    <x v="4"/>
    <x v="0"/>
  </r>
  <r>
    <n v="47571382522"/>
    <n v="15"/>
    <d v="2034-10-29T00:00:00"/>
    <m/>
    <x v="4"/>
    <x v="0"/>
  </r>
  <r>
    <n v="62610006479"/>
    <n v="175"/>
    <d v="2034-10-29T00:00:00"/>
    <s v=""/>
    <x v="4"/>
    <x v="0"/>
  </r>
  <r>
    <n v="81113943301"/>
    <n v="80"/>
    <d v="2034-10-29T00:00:00"/>
    <d v="2034-11-10T00:00:00"/>
    <x v="4"/>
    <x v="6"/>
  </r>
  <r>
    <n v="90741746361"/>
    <n v="99"/>
    <d v="2034-10-29T00:00:00"/>
    <s v=""/>
    <x v="4"/>
    <x v="0"/>
  </r>
  <r>
    <n v="13163244011"/>
    <n v="80"/>
    <d v="2034-10-29T00:00:00"/>
    <s v=""/>
    <x v="4"/>
    <x v="0"/>
  </r>
  <r>
    <n v="53625114164"/>
    <n v="222"/>
    <d v="2034-10-29T00:00:00"/>
    <d v="2034-11-16T00:00:00"/>
    <x v="4"/>
    <x v="6"/>
  </r>
  <r>
    <n v="13582453044"/>
    <n v="140"/>
    <d v="2034-10-29T00:00:00"/>
    <s v=""/>
    <x v="4"/>
    <x v="0"/>
  </r>
  <r>
    <n v="49480076370"/>
    <n v="182"/>
    <d v="2034-10-29T00:00:00"/>
    <s v=""/>
    <x v="4"/>
    <x v="0"/>
  </r>
  <r>
    <n v="66123122948"/>
    <n v="115"/>
    <d v="2034-10-29T00:00:00"/>
    <s v=""/>
    <x v="4"/>
    <x v="0"/>
  </r>
  <r>
    <n v="37591464524"/>
    <n v="315"/>
    <d v="2034-10-29T00:00:00"/>
    <s v=""/>
    <x v="4"/>
    <x v="0"/>
  </r>
  <r>
    <n v="77983000733"/>
    <n v="218"/>
    <d v="2034-10-29T00:00:00"/>
    <s v=""/>
    <x v="4"/>
    <x v="0"/>
  </r>
  <r>
    <n v="49330074889"/>
    <n v="112"/>
    <d v="2034-10-30T00:00:00"/>
    <s v=""/>
    <x v="4"/>
    <x v="0"/>
  </r>
  <r>
    <n v="72474534270"/>
    <n v="131"/>
    <d v="2034-10-30T00:00:00"/>
    <s v=""/>
    <x v="4"/>
    <x v="0"/>
  </r>
  <r>
    <n v="56387017759"/>
    <n v="280"/>
    <d v="2034-10-30T00:00:00"/>
    <s v=""/>
    <x v="4"/>
    <x v="0"/>
  </r>
  <r>
    <n v="70063267795"/>
    <n v="317"/>
    <d v="2034-10-30T00:00:00"/>
    <s v=""/>
    <x v="4"/>
    <x v="0"/>
  </r>
  <r>
    <n v="63092013112"/>
    <n v="323"/>
    <d v="2034-10-30T00:00:00"/>
    <s v=""/>
    <x v="4"/>
    <x v="0"/>
  </r>
  <r>
    <n v="38250262834"/>
    <n v="156"/>
    <d v="2034-10-30T00:00:00"/>
    <s v=""/>
    <x v="4"/>
    <x v="0"/>
  </r>
  <r>
    <n v="27975221786"/>
    <n v="187"/>
    <d v="2034-10-30T00:00:00"/>
    <s v=""/>
    <x v="4"/>
    <x v="0"/>
  </r>
  <r>
    <n v="94329760107"/>
    <n v="144"/>
    <d v="2034-10-30T00:00:00"/>
    <d v="2035-01-06T00:00:00"/>
    <x v="4"/>
    <x v="8"/>
  </r>
  <r>
    <n v="25430398631"/>
    <n v="186"/>
    <d v="2034-10-30T00:00:00"/>
    <s v=""/>
    <x v="4"/>
    <x v="0"/>
  </r>
  <r>
    <n v="40534634164"/>
    <n v="328"/>
    <d v="2034-10-30T00:00:00"/>
    <s v=""/>
    <x v="4"/>
    <x v="0"/>
  </r>
  <r>
    <n v="89003655901"/>
    <n v="260"/>
    <d v="2034-10-30T00:00:00"/>
    <d v="2034-11-26T00:00:00"/>
    <x v="4"/>
    <x v="6"/>
  </r>
  <r>
    <n v="16213277847"/>
    <n v="296"/>
    <d v="2034-10-30T00:00:00"/>
    <s v=""/>
    <x v="4"/>
    <x v="0"/>
  </r>
  <r>
    <n v="28865531509"/>
    <n v="216"/>
    <d v="2034-10-30T00:00:00"/>
    <s v=""/>
    <x v="4"/>
    <x v="0"/>
  </r>
  <r>
    <n v="69875557058"/>
    <n v="47"/>
    <d v="2034-10-30T00:00:00"/>
    <m/>
    <x v="4"/>
    <x v="0"/>
  </r>
  <r>
    <n v="19981354699"/>
    <n v="295"/>
    <d v="2034-10-30T00:00:00"/>
    <d v="2034-12-11T00:00:00"/>
    <x v="4"/>
    <x v="7"/>
  </r>
  <r>
    <n v="17424109167"/>
    <n v="285"/>
    <d v="2034-10-30T00:00:00"/>
    <d v="2034-11-20T00:00:00"/>
    <x v="4"/>
    <x v="6"/>
  </r>
  <r>
    <n v="95647162845"/>
    <n v="321"/>
    <d v="2034-10-30T00:00:00"/>
    <d v="2035-01-01T00:00:00"/>
    <x v="4"/>
    <x v="8"/>
  </r>
  <r>
    <n v="86513220463"/>
    <n v="41"/>
    <d v="2034-10-30T00:00:00"/>
    <s v=""/>
    <x v="4"/>
    <x v="0"/>
  </r>
  <r>
    <n v="13081194961"/>
    <n v="36"/>
    <d v="2034-10-30T00:00:00"/>
    <s v=""/>
    <x v="4"/>
    <x v="0"/>
  </r>
  <r>
    <n v="30696853547"/>
    <n v="174"/>
    <d v="2034-10-30T00:00:00"/>
    <s v=""/>
    <x v="4"/>
    <x v="0"/>
  </r>
  <r>
    <n v="31422754187"/>
    <n v="303"/>
    <d v="2034-10-30T00:00:00"/>
    <d v="2035-01-31T00:00:00"/>
    <x v="4"/>
    <x v="8"/>
  </r>
  <r>
    <n v="43073101476"/>
    <n v="179"/>
    <d v="2034-10-30T00:00:00"/>
    <s v=""/>
    <x v="4"/>
    <x v="0"/>
  </r>
  <r>
    <n v="36189146643"/>
    <n v="46"/>
    <d v="2034-10-30T00:00:00"/>
    <s v=""/>
    <x v="4"/>
    <x v="0"/>
  </r>
  <r>
    <n v="21545893969"/>
    <n v="134"/>
    <d v="2034-10-30T00:00:00"/>
    <s v=""/>
    <x v="4"/>
    <x v="0"/>
  </r>
  <r>
    <n v="56064539760"/>
    <n v="282"/>
    <d v="2034-10-30T00:00:00"/>
    <m/>
    <x v="4"/>
    <x v="0"/>
  </r>
  <r>
    <n v="59019268563"/>
    <n v="21"/>
    <d v="2034-10-30T00:00:00"/>
    <s v=""/>
    <x v="4"/>
    <x v="0"/>
  </r>
  <r>
    <n v="49790592745"/>
    <n v="324"/>
    <d v="2034-10-30T00:00:00"/>
    <s v=""/>
    <x v="4"/>
    <x v="0"/>
  </r>
  <r>
    <n v="94482058249"/>
    <n v="208"/>
    <d v="2034-10-31T00:00:00"/>
    <s v=""/>
    <x v="4"/>
    <x v="0"/>
  </r>
  <r>
    <n v="95039064613"/>
    <n v="140"/>
    <d v="2034-10-31T00:00:00"/>
    <s v=""/>
    <x v="4"/>
    <x v="0"/>
  </r>
  <r>
    <n v="69950839372"/>
    <n v="107"/>
    <d v="2034-10-31T00:00:00"/>
    <s v=""/>
    <x v="4"/>
    <x v="0"/>
  </r>
  <r>
    <n v="13854028152"/>
    <n v="43"/>
    <d v="2034-10-31T00:00:00"/>
    <s v=""/>
    <x v="4"/>
    <x v="0"/>
  </r>
  <r>
    <n v="22252100527"/>
    <n v="209"/>
    <d v="2034-10-31T00:00:00"/>
    <d v="2034-11-13T00:00:00"/>
    <x v="4"/>
    <x v="6"/>
  </r>
  <r>
    <n v="32826524285"/>
    <n v="53"/>
    <d v="2034-10-31T00:00:00"/>
    <s v=""/>
    <x v="4"/>
    <x v="0"/>
  </r>
  <r>
    <n v="16678967018"/>
    <n v="178"/>
    <d v="2034-10-31T00:00:00"/>
    <s v=""/>
    <x v="4"/>
    <x v="0"/>
  </r>
  <r>
    <n v="66513461209"/>
    <n v="4"/>
    <d v="2034-10-31T00:00:00"/>
    <s v=""/>
    <x v="4"/>
    <x v="0"/>
  </r>
  <r>
    <n v="79940394520"/>
    <n v="128"/>
    <d v="2034-10-31T00:00:00"/>
    <s v=""/>
    <x v="4"/>
    <x v="0"/>
  </r>
  <r>
    <n v="62823160189"/>
    <n v="142"/>
    <d v="2034-10-31T00:00:00"/>
    <s v=""/>
    <x v="4"/>
    <x v="0"/>
  </r>
  <r>
    <n v="61626726302"/>
    <n v="221"/>
    <d v="2034-10-31T00:00:00"/>
    <s v=""/>
    <x v="4"/>
    <x v="0"/>
  </r>
  <r>
    <n v="20397501117"/>
    <n v="161"/>
    <d v="2034-10-31T00:00:00"/>
    <s v=""/>
    <x v="4"/>
    <x v="0"/>
  </r>
  <r>
    <n v="12853342076"/>
    <n v="310"/>
    <d v="2034-10-31T00:00:00"/>
    <d v="2034-11-27T00:00:00"/>
    <x v="4"/>
    <x v="6"/>
  </r>
  <r>
    <n v="91628101789"/>
    <n v="186"/>
    <d v="2034-10-31T00:00:00"/>
    <s v=""/>
    <x v="4"/>
    <x v="0"/>
  </r>
  <r>
    <n v="99358920285"/>
    <n v="241"/>
    <d v="2034-10-31T00:00:00"/>
    <s v=""/>
    <x v="4"/>
    <x v="0"/>
  </r>
  <r>
    <n v="73355453787"/>
    <n v="80"/>
    <d v="2034-10-31T00:00:00"/>
    <d v="2034-11-13T00:00:00"/>
    <x v="4"/>
    <x v="6"/>
  </r>
  <r>
    <n v="47874081684"/>
    <n v="87"/>
    <d v="2034-10-31T00:00:00"/>
    <s v=""/>
    <x v="4"/>
    <x v="0"/>
  </r>
  <r>
    <n v="93451251762"/>
    <n v="85"/>
    <d v="2034-10-31T00:00:00"/>
    <d v="2035-01-21T00:00:00"/>
    <x v="4"/>
    <x v="8"/>
  </r>
  <r>
    <n v="92824855029"/>
    <n v="289"/>
    <d v="2034-10-31T00:00:00"/>
    <s v=""/>
    <x v="4"/>
    <x v="0"/>
  </r>
  <r>
    <n v="89539417845"/>
    <n v="48"/>
    <d v="2034-10-31T00:00:00"/>
    <s v=""/>
    <x v="4"/>
    <x v="0"/>
  </r>
  <r>
    <n v="85487640216"/>
    <n v="130"/>
    <d v="2034-10-31T00:00:00"/>
    <s v=""/>
    <x v="4"/>
    <x v="0"/>
  </r>
  <r>
    <n v="69900805982"/>
    <n v="1"/>
    <d v="2034-10-31T00:00:00"/>
    <s v=""/>
    <x v="4"/>
    <x v="0"/>
  </r>
  <r>
    <n v="79712514708"/>
    <n v="172"/>
    <d v="2034-10-31T00:00:00"/>
    <s v=""/>
    <x v="4"/>
    <x v="0"/>
  </r>
  <r>
    <n v="88595544254"/>
    <n v="321"/>
    <d v="2034-10-31T00:00:00"/>
    <d v="2034-12-07T00:00:00"/>
    <x v="4"/>
    <x v="7"/>
  </r>
  <r>
    <n v="84841398495"/>
    <n v="282"/>
    <d v="2034-10-31T00:00:00"/>
    <s v=""/>
    <x v="4"/>
    <x v="0"/>
  </r>
  <r>
    <n v="86702901266"/>
    <n v="205"/>
    <d v="2034-10-31T00:00:00"/>
    <m/>
    <x v="4"/>
    <x v="0"/>
  </r>
  <r>
    <n v="73431008344"/>
    <n v="293"/>
    <d v="2034-11-01T00:00:00"/>
    <s v=""/>
    <x v="5"/>
    <x v="0"/>
  </r>
  <r>
    <n v="60414751167"/>
    <n v="224"/>
    <d v="2034-11-01T00:00:00"/>
    <s v=""/>
    <x v="5"/>
    <x v="0"/>
  </r>
  <r>
    <n v="14390864292"/>
    <n v="138"/>
    <d v="2034-11-01T00:00:00"/>
    <s v=""/>
    <x v="5"/>
    <x v="0"/>
  </r>
  <r>
    <n v="53343721370"/>
    <n v="215"/>
    <d v="2034-11-01T00:00:00"/>
    <s v=""/>
    <x v="5"/>
    <x v="0"/>
  </r>
  <r>
    <n v="15226306478"/>
    <n v="270"/>
    <d v="2034-11-01T00:00:00"/>
    <s v=""/>
    <x v="5"/>
    <x v="0"/>
  </r>
  <r>
    <n v="63464425582"/>
    <n v="321"/>
    <d v="2034-11-01T00:00:00"/>
    <d v="2034-11-29T00:00:00"/>
    <x v="5"/>
    <x v="6"/>
  </r>
  <r>
    <n v="83482213004"/>
    <n v="146"/>
    <d v="2034-11-01T00:00:00"/>
    <s v=""/>
    <x v="5"/>
    <x v="0"/>
  </r>
  <r>
    <n v="98284519106"/>
    <n v="312"/>
    <d v="2034-11-01T00:00:00"/>
    <s v=""/>
    <x v="5"/>
    <x v="0"/>
  </r>
  <r>
    <n v="11365796009"/>
    <n v="212"/>
    <d v="2034-11-01T00:00:00"/>
    <s v=""/>
    <x v="5"/>
    <x v="0"/>
  </r>
  <r>
    <n v="68317089597"/>
    <n v="161"/>
    <d v="2034-11-01T00:00:00"/>
    <s v=""/>
    <x v="5"/>
    <x v="0"/>
  </r>
  <r>
    <n v="44358071099"/>
    <n v="326"/>
    <d v="2034-11-01T00:00:00"/>
    <s v=""/>
    <x v="5"/>
    <x v="0"/>
  </r>
  <r>
    <n v="53092952981"/>
    <n v="187"/>
    <d v="2034-11-01T00:00:00"/>
    <s v=""/>
    <x v="5"/>
    <x v="0"/>
  </r>
  <r>
    <n v="69732942066"/>
    <n v="115"/>
    <d v="2034-11-01T00:00:00"/>
    <s v=""/>
    <x v="5"/>
    <x v="0"/>
  </r>
  <r>
    <n v="37964955590"/>
    <n v="73"/>
    <d v="2034-11-01T00:00:00"/>
    <d v="2034-12-02T00:00:00"/>
    <x v="5"/>
    <x v="7"/>
  </r>
  <r>
    <n v="11774765105"/>
    <n v="274"/>
    <d v="2034-11-01T00:00:00"/>
    <s v=""/>
    <x v="5"/>
    <x v="0"/>
  </r>
  <r>
    <n v="71301480012"/>
    <n v="100"/>
    <d v="2034-11-01T00:00:00"/>
    <s v=""/>
    <x v="5"/>
    <x v="0"/>
  </r>
  <r>
    <n v="87278934462"/>
    <n v="261"/>
    <d v="2034-11-01T00:00:00"/>
    <s v=""/>
    <x v="5"/>
    <x v="0"/>
  </r>
  <r>
    <n v="66057563059"/>
    <n v="254"/>
    <d v="2034-11-01T00:00:00"/>
    <s v=""/>
    <x v="5"/>
    <x v="0"/>
  </r>
  <r>
    <n v="49933838132"/>
    <n v="151"/>
    <d v="2034-11-01T00:00:00"/>
    <d v="2034-11-17T00:00:00"/>
    <x v="5"/>
    <x v="6"/>
  </r>
  <r>
    <n v="63226141491"/>
    <n v="106"/>
    <d v="2034-11-01T00:00:00"/>
    <d v="2034-12-04T00:00:00"/>
    <x v="5"/>
    <x v="7"/>
  </r>
  <r>
    <n v="49457120315"/>
    <n v="231"/>
    <d v="2034-11-01T00:00:00"/>
    <s v=""/>
    <x v="5"/>
    <x v="0"/>
  </r>
  <r>
    <n v="88328568340"/>
    <n v="18"/>
    <d v="2034-11-01T00:00:00"/>
    <s v=""/>
    <x v="5"/>
    <x v="0"/>
  </r>
  <r>
    <n v="45296921784"/>
    <n v="250"/>
    <d v="2034-11-02T00:00:00"/>
    <s v=""/>
    <x v="5"/>
    <x v="0"/>
  </r>
  <r>
    <n v="54238032131"/>
    <n v="336"/>
    <d v="2034-11-02T00:00:00"/>
    <s v=""/>
    <x v="5"/>
    <x v="0"/>
  </r>
  <r>
    <n v="29469630471"/>
    <n v="138"/>
    <d v="2034-11-02T00:00:00"/>
    <s v=""/>
    <x v="5"/>
    <x v="0"/>
  </r>
  <r>
    <n v="16618480282"/>
    <n v="256"/>
    <d v="2034-11-02T00:00:00"/>
    <s v=""/>
    <x v="5"/>
    <x v="0"/>
  </r>
  <r>
    <n v="89115580282"/>
    <n v="120"/>
    <d v="2034-11-02T00:00:00"/>
    <s v=""/>
    <x v="5"/>
    <x v="0"/>
  </r>
  <r>
    <n v="65587820291"/>
    <n v="327"/>
    <d v="2034-11-02T00:00:00"/>
    <s v=""/>
    <x v="5"/>
    <x v="0"/>
  </r>
  <r>
    <n v="41326493935"/>
    <n v="226"/>
    <d v="2034-11-02T00:00:00"/>
    <s v=""/>
    <x v="5"/>
    <x v="0"/>
  </r>
  <r>
    <n v="46850560780"/>
    <n v="3"/>
    <d v="2034-11-02T00:00:00"/>
    <s v=""/>
    <x v="5"/>
    <x v="0"/>
  </r>
  <r>
    <n v="55763920986"/>
    <n v="80"/>
    <d v="2034-11-02T00:00:00"/>
    <s v=""/>
    <x v="5"/>
    <x v="0"/>
  </r>
  <r>
    <n v="90906306561"/>
    <n v="75"/>
    <d v="2034-11-02T00:00:00"/>
    <s v=""/>
    <x v="5"/>
    <x v="0"/>
  </r>
  <r>
    <n v="56337324289"/>
    <n v="283"/>
    <d v="2034-11-02T00:00:00"/>
    <s v=""/>
    <x v="5"/>
    <x v="0"/>
  </r>
  <r>
    <n v="72652142897"/>
    <n v="323"/>
    <d v="2034-11-02T00:00:00"/>
    <s v=""/>
    <x v="5"/>
    <x v="0"/>
  </r>
  <r>
    <n v="59275795898"/>
    <n v="223"/>
    <d v="2034-11-02T00:00:00"/>
    <s v=""/>
    <x v="5"/>
    <x v="0"/>
  </r>
  <r>
    <n v="97823791708"/>
    <n v="139"/>
    <d v="2034-11-02T00:00:00"/>
    <s v=""/>
    <x v="5"/>
    <x v="0"/>
  </r>
  <r>
    <n v="58082885359"/>
    <n v="163"/>
    <d v="2034-11-02T00:00:00"/>
    <s v=""/>
    <x v="5"/>
    <x v="0"/>
  </r>
  <r>
    <n v="93793078923"/>
    <n v="241"/>
    <d v="2034-11-02T00:00:00"/>
    <s v=""/>
    <x v="5"/>
    <x v="0"/>
  </r>
  <r>
    <n v="27737157121"/>
    <n v="179"/>
    <d v="2034-11-02T00:00:00"/>
    <s v=""/>
    <x v="5"/>
    <x v="0"/>
  </r>
  <r>
    <n v="90836795715"/>
    <n v="206"/>
    <d v="2034-11-02T00:00:00"/>
    <s v=""/>
    <x v="5"/>
    <x v="0"/>
  </r>
  <r>
    <n v="57475872268"/>
    <n v="320"/>
    <d v="2034-11-02T00:00:00"/>
    <s v=""/>
    <x v="5"/>
    <x v="0"/>
  </r>
  <r>
    <n v="57888879434"/>
    <n v="317"/>
    <d v="2034-11-02T00:00:00"/>
    <d v="2034-12-27T00:00:00"/>
    <x v="5"/>
    <x v="7"/>
  </r>
  <r>
    <n v="23432824570"/>
    <n v="241"/>
    <d v="2034-11-02T00:00:00"/>
    <d v="2035-01-29T00:00:00"/>
    <x v="5"/>
    <x v="8"/>
  </r>
  <r>
    <n v="84854577029"/>
    <n v="97"/>
    <d v="2034-11-02T00:00:00"/>
    <d v="2034-12-07T00:00:00"/>
    <x v="5"/>
    <x v="7"/>
  </r>
  <r>
    <n v="64218864187"/>
    <n v="216"/>
    <d v="2034-11-02T00:00:00"/>
    <s v=""/>
    <x v="5"/>
    <x v="0"/>
  </r>
  <r>
    <n v="37699238475"/>
    <n v="339"/>
    <d v="2034-11-02T00:00:00"/>
    <s v=""/>
    <x v="5"/>
    <x v="0"/>
  </r>
  <r>
    <n v="58353041666"/>
    <n v="275"/>
    <d v="2034-11-02T00:00:00"/>
    <s v=""/>
    <x v="5"/>
    <x v="0"/>
  </r>
  <r>
    <n v="94989118185"/>
    <n v="261"/>
    <d v="2034-11-03T00:00:00"/>
    <s v=""/>
    <x v="5"/>
    <x v="0"/>
  </r>
  <r>
    <n v="40985433177"/>
    <n v="150"/>
    <d v="2034-11-03T00:00:00"/>
    <d v="2034-11-11T00:00:00"/>
    <x v="5"/>
    <x v="6"/>
  </r>
  <r>
    <n v="53273126518"/>
    <n v="55"/>
    <d v="2034-11-03T00:00:00"/>
    <s v=""/>
    <x v="5"/>
    <x v="0"/>
  </r>
  <r>
    <n v="67290850567"/>
    <n v="285"/>
    <d v="2034-11-03T00:00:00"/>
    <d v="2034-12-21T00:00:00"/>
    <x v="5"/>
    <x v="7"/>
  </r>
  <r>
    <n v="35326229539"/>
    <n v="338"/>
    <d v="2034-11-03T00:00:00"/>
    <d v="2034-12-31T00:00:00"/>
    <x v="5"/>
    <x v="7"/>
  </r>
  <r>
    <n v="17835923163"/>
    <n v="162"/>
    <d v="2034-11-03T00:00:00"/>
    <s v=""/>
    <x v="5"/>
    <x v="0"/>
  </r>
  <r>
    <n v="59523464757"/>
    <n v="38"/>
    <d v="2034-11-03T00:00:00"/>
    <s v=""/>
    <x v="5"/>
    <x v="0"/>
  </r>
  <r>
    <n v="87669310757"/>
    <n v="301"/>
    <d v="2034-11-03T00:00:00"/>
    <s v=""/>
    <x v="5"/>
    <x v="0"/>
  </r>
  <r>
    <n v="46452054964"/>
    <n v="202"/>
    <d v="2034-11-03T00:00:00"/>
    <s v=""/>
    <x v="5"/>
    <x v="0"/>
  </r>
  <r>
    <n v="91875768128"/>
    <n v="43"/>
    <d v="2034-11-03T00:00:00"/>
    <s v=""/>
    <x v="5"/>
    <x v="0"/>
  </r>
  <r>
    <n v="79743866174"/>
    <n v="103"/>
    <d v="2034-11-03T00:00:00"/>
    <m/>
    <x v="5"/>
    <x v="0"/>
  </r>
  <r>
    <n v="65326090765"/>
    <n v="112"/>
    <d v="2034-11-03T00:00:00"/>
    <s v=""/>
    <x v="5"/>
    <x v="0"/>
  </r>
  <r>
    <n v="66478173548"/>
    <n v="69"/>
    <d v="2034-11-03T00:00:00"/>
    <m/>
    <x v="5"/>
    <x v="0"/>
  </r>
  <r>
    <n v="84864648200"/>
    <n v="291"/>
    <d v="2034-11-03T00:00:00"/>
    <d v="2034-12-03T00:00:00"/>
    <x v="5"/>
    <x v="7"/>
  </r>
  <r>
    <n v="23473957090"/>
    <n v="247"/>
    <d v="2034-11-03T00:00:00"/>
    <m/>
    <x v="5"/>
    <x v="0"/>
  </r>
  <r>
    <n v="48735311039"/>
    <n v="334"/>
    <d v="2034-11-03T00:00:00"/>
    <d v="2034-11-13T00:00:00"/>
    <x v="5"/>
    <x v="6"/>
  </r>
  <r>
    <n v="16279871640"/>
    <n v="244"/>
    <d v="2034-11-03T00:00:00"/>
    <s v=""/>
    <x v="5"/>
    <x v="0"/>
  </r>
  <r>
    <n v="19337276947"/>
    <n v="185"/>
    <d v="2034-11-03T00:00:00"/>
    <s v=""/>
    <x v="5"/>
    <x v="0"/>
  </r>
  <r>
    <n v="15286857942"/>
    <n v="237"/>
    <d v="2034-11-03T00:00:00"/>
    <d v="2035-01-16T00:00:00"/>
    <x v="5"/>
    <x v="8"/>
  </r>
  <r>
    <n v="21948448915"/>
    <n v="155"/>
    <d v="2034-11-03T00:00:00"/>
    <s v=""/>
    <x v="5"/>
    <x v="0"/>
  </r>
  <r>
    <n v="99677506067"/>
    <n v="143"/>
    <d v="2034-11-03T00:00:00"/>
    <s v=""/>
    <x v="5"/>
    <x v="0"/>
  </r>
  <r>
    <n v="80198731336"/>
    <n v="317"/>
    <d v="2034-11-03T00:00:00"/>
    <s v=""/>
    <x v="5"/>
    <x v="0"/>
  </r>
  <r>
    <n v="67641971460"/>
    <n v="134"/>
    <d v="2034-11-03T00:00:00"/>
    <s v=""/>
    <x v="5"/>
    <x v="0"/>
  </r>
  <r>
    <n v="59303411550"/>
    <n v="85"/>
    <d v="2034-11-03T00:00:00"/>
    <s v=""/>
    <x v="5"/>
    <x v="0"/>
  </r>
  <r>
    <n v="94977661471"/>
    <n v="252"/>
    <d v="2034-11-03T00:00:00"/>
    <s v=""/>
    <x v="5"/>
    <x v="0"/>
  </r>
  <r>
    <n v="79686173933"/>
    <n v="192"/>
    <d v="2034-11-03T00:00:00"/>
    <s v=""/>
    <x v="5"/>
    <x v="0"/>
  </r>
  <r>
    <n v="21485551291"/>
    <n v="4"/>
    <d v="2034-11-03T00:00:00"/>
    <s v=""/>
    <x v="5"/>
    <x v="0"/>
  </r>
  <r>
    <n v="47241587450"/>
    <n v="97"/>
    <d v="2034-11-04T00:00:00"/>
    <s v=""/>
    <x v="5"/>
    <x v="0"/>
  </r>
  <r>
    <n v="97813823141"/>
    <n v="100"/>
    <d v="2034-11-04T00:00:00"/>
    <s v=""/>
    <x v="5"/>
    <x v="0"/>
  </r>
  <r>
    <n v="90925052820"/>
    <n v="281"/>
    <d v="2034-11-04T00:00:00"/>
    <s v=""/>
    <x v="5"/>
    <x v="0"/>
  </r>
  <r>
    <n v="34610529657"/>
    <n v="141"/>
    <d v="2034-11-04T00:00:00"/>
    <d v="2034-11-16T00:00:00"/>
    <x v="5"/>
    <x v="6"/>
  </r>
  <r>
    <n v="89473865213"/>
    <n v="179"/>
    <d v="2034-11-04T00:00:00"/>
    <s v=""/>
    <x v="5"/>
    <x v="0"/>
  </r>
  <r>
    <n v="93644223613"/>
    <n v="120"/>
    <d v="2034-11-04T00:00:00"/>
    <s v=""/>
    <x v="5"/>
    <x v="0"/>
  </r>
  <r>
    <n v="57133383762"/>
    <n v="245"/>
    <d v="2034-11-04T00:00:00"/>
    <d v="2034-12-09T00:00:00"/>
    <x v="5"/>
    <x v="7"/>
  </r>
  <r>
    <n v="34043559282"/>
    <n v="213"/>
    <d v="2034-11-04T00:00:00"/>
    <s v=""/>
    <x v="5"/>
    <x v="0"/>
  </r>
  <r>
    <n v="97055583042"/>
    <n v="182"/>
    <d v="2034-11-04T00:00:00"/>
    <s v=""/>
    <x v="5"/>
    <x v="0"/>
  </r>
  <r>
    <n v="91124283544"/>
    <n v="157"/>
    <d v="2034-11-04T00:00:00"/>
    <s v=""/>
    <x v="5"/>
    <x v="0"/>
  </r>
  <r>
    <n v="48931632276"/>
    <n v="277"/>
    <d v="2034-11-04T00:00:00"/>
    <s v=""/>
    <x v="5"/>
    <x v="0"/>
  </r>
  <r>
    <n v="17552952025"/>
    <n v="41"/>
    <d v="2034-11-04T00:00:00"/>
    <s v=""/>
    <x v="5"/>
    <x v="0"/>
  </r>
  <r>
    <n v="85570064252"/>
    <n v="177"/>
    <d v="2034-11-04T00:00:00"/>
    <d v="2034-12-20T00:00:00"/>
    <x v="5"/>
    <x v="7"/>
  </r>
  <r>
    <n v="43309274394"/>
    <n v="102"/>
    <d v="2034-11-04T00:00:00"/>
    <s v=""/>
    <x v="5"/>
    <x v="0"/>
  </r>
  <r>
    <n v="68708286498"/>
    <n v="82"/>
    <d v="2034-11-04T00:00:00"/>
    <s v=""/>
    <x v="5"/>
    <x v="0"/>
  </r>
  <r>
    <n v="74646317151"/>
    <n v="272"/>
    <d v="2034-11-04T00:00:00"/>
    <s v=""/>
    <x v="5"/>
    <x v="0"/>
  </r>
  <r>
    <n v="18454144281"/>
    <n v="338"/>
    <d v="2034-11-04T00:00:00"/>
    <s v=""/>
    <x v="5"/>
    <x v="0"/>
  </r>
  <r>
    <n v="79094715618"/>
    <n v="60"/>
    <d v="2034-11-04T00:00:00"/>
    <m/>
    <x v="5"/>
    <x v="0"/>
  </r>
  <r>
    <n v="76664386369"/>
    <n v="149"/>
    <d v="2034-11-04T00:00:00"/>
    <s v=""/>
    <x v="5"/>
    <x v="0"/>
  </r>
  <r>
    <n v="62886413295"/>
    <n v="32"/>
    <d v="2034-11-05T00:00:00"/>
    <d v="2035-01-21T00:00:00"/>
    <x v="5"/>
    <x v="8"/>
  </r>
  <r>
    <n v="42565731439"/>
    <n v="304"/>
    <d v="2034-11-05T00:00:00"/>
    <s v=""/>
    <x v="5"/>
    <x v="0"/>
  </r>
  <r>
    <n v="87129111962"/>
    <n v="10"/>
    <d v="2034-11-05T00:00:00"/>
    <d v="2035-01-26T00:00:00"/>
    <x v="5"/>
    <x v="8"/>
  </r>
  <r>
    <n v="95804269227"/>
    <n v="45"/>
    <d v="2034-11-05T00:00:00"/>
    <s v=""/>
    <x v="5"/>
    <x v="0"/>
  </r>
  <r>
    <n v="88996112362"/>
    <n v="298"/>
    <d v="2034-11-05T00:00:00"/>
    <s v=""/>
    <x v="5"/>
    <x v="0"/>
  </r>
  <r>
    <n v="44298744272"/>
    <n v="73"/>
    <d v="2034-11-05T00:00:00"/>
    <s v=""/>
    <x v="5"/>
    <x v="0"/>
  </r>
  <r>
    <n v="45536133650"/>
    <n v="122"/>
    <d v="2034-11-05T00:00:00"/>
    <s v=""/>
    <x v="5"/>
    <x v="0"/>
  </r>
  <r>
    <n v="24880520183"/>
    <n v="233"/>
    <d v="2034-11-05T00:00:00"/>
    <s v=""/>
    <x v="5"/>
    <x v="0"/>
  </r>
  <r>
    <n v="98471293418"/>
    <n v="153"/>
    <d v="2034-11-05T00:00:00"/>
    <m/>
    <x v="5"/>
    <x v="0"/>
  </r>
  <r>
    <n v="82242771380"/>
    <n v="135"/>
    <d v="2034-11-05T00:00:00"/>
    <s v=""/>
    <x v="5"/>
    <x v="0"/>
  </r>
  <r>
    <n v="71627802683"/>
    <n v="259"/>
    <d v="2034-11-05T00:00:00"/>
    <d v="2034-11-11T00:00:00"/>
    <x v="5"/>
    <x v="6"/>
  </r>
  <r>
    <n v="59491568994"/>
    <n v="36"/>
    <d v="2034-11-05T00:00:00"/>
    <d v="2034-11-08T00:00:00"/>
    <x v="5"/>
    <x v="6"/>
  </r>
  <r>
    <n v="19682791251"/>
    <n v="133"/>
    <d v="2034-11-05T00:00:00"/>
    <s v=""/>
    <x v="5"/>
    <x v="0"/>
  </r>
  <r>
    <n v="68121327394"/>
    <n v="42"/>
    <d v="2034-11-05T00:00:00"/>
    <s v=""/>
    <x v="5"/>
    <x v="0"/>
  </r>
  <r>
    <n v="51946366183"/>
    <n v="151"/>
    <d v="2034-11-05T00:00:00"/>
    <s v=""/>
    <x v="5"/>
    <x v="0"/>
  </r>
  <r>
    <n v="12715145371"/>
    <n v="43"/>
    <d v="2034-11-05T00:00:00"/>
    <s v=""/>
    <x v="5"/>
    <x v="0"/>
  </r>
  <r>
    <n v="69442374568"/>
    <n v="173"/>
    <d v="2034-11-05T00:00:00"/>
    <d v="2035-01-08T00:00:00"/>
    <x v="5"/>
    <x v="8"/>
  </r>
  <r>
    <n v="81307326156"/>
    <n v="58"/>
    <d v="2034-11-05T00:00:00"/>
    <s v=""/>
    <x v="5"/>
    <x v="0"/>
  </r>
  <r>
    <n v="86272797966"/>
    <n v="88"/>
    <d v="2034-11-05T00:00:00"/>
    <s v=""/>
    <x v="5"/>
    <x v="0"/>
  </r>
  <r>
    <n v="44386982453"/>
    <n v="337"/>
    <d v="2034-11-05T00:00:00"/>
    <s v=""/>
    <x v="5"/>
    <x v="0"/>
  </r>
  <r>
    <n v="28015252492"/>
    <n v="163"/>
    <d v="2034-11-05T00:00:00"/>
    <s v=""/>
    <x v="5"/>
    <x v="0"/>
  </r>
  <r>
    <n v="53019104778"/>
    <n v="213"/>
    <d v="2034-11-05T00:00:00"/>
    <s v=""/>
    <x v="5"/>
    <x v="0"/>
  </r>
  <r>
    <n v="20978596617"/>
    <n v="282"/>
    <d v="2034-11-05T00:00:00"/>
    <d v="2035-01-13T00:00:00"/>
    <x v="5"/>
    <x v="8"/>
  </r>
  <r>
    <n v="66047257288"/>
    <n v="286"/>
    <d v="2034-11-05T00:00:00"/>
    <s v=""/>
    <x v="5"/>
    <x v="0"/>
  </r>
  <r>
    <n v="34549940014"/>
    <n v="135"/>
    <d v="2034-11-06T00:00:00"/>
    <s v=""/>
    <x v="5"/>
    <x v="0"/>
  </r>
  <r>
    <n v="20763138714"/>
    <n v="60"/>
    <d v="2034-11-06T00:00:00"/>
    <s v=""/>
    <x v="5"/>
    <x v="0"/>
  </r>
  <r>
    <n v="73677344695"/>
    <n v="201"/>
    <d v="2034-11-06T00:00:00"/>
    <s v=""/>
    <x v="5"/>
    <x v="0"/>
  </r>
  <r>
    <n v="99378616762"/>
    <n v="216"/>
    <d v="2034-11-06T00:00:00"/>
    <s v=""/>
    <x v="5"/>
    <x v="0"/>
  </r>
  <r>
    <n v="90777050133"/>
    <n v="213"/>
    <d v="2034-11-06T00:00:00"/>
    <s v=""/>
    <x v="5"/>
    <x v="0"/>
  </r>
  <r>
    <n v="41325742931"/>
    <n v="89"/>
    <d v="2034-11-06T00:00:00"/>
    <s v=""/>
    <x v="5"/>
    <x v="0"/>
  </r>
  <r>
    <n v="21615659434"/>
    <n v="159"/>
    <d v="2034-11-06T00:00:00"/>
    <s v=""/>
    <x v="5"/>
    <x v="0"/>
  </r>
  <r>
    <n v="39918304005"/>
    <n v="173"/>
    <d v="2034-11-06T00:00:00"/>
    <d v="2035-01-17T00:00:00"/>
    <x v="5"/>
    <x v="8"/>
  </r>
  <r>
    <n v="77356193644"/>
    <n v="153"/>
    <d v="2034-11-06T00:00:00"/>
    <s v=""/>
    <x v="5"/>
    <x v="0"/>
  </r>
  <r>
    <n v="95876768548"/>
    <n v="22"/>
    <d v="2034-11-06T00:00:00"/>
    <s v=""/>
    <x v="5"/>
    <x v="0"/>
  </r>
  <r>
    <n v="62531427656"/>
    <n v="155"/>
    <d v="2034-11-06T00:00:00"/>
    <s v=""/>
    <x v="5"/>
    <x v="0"/>
  </r>
  <r>
    <n v="42957247148"/>
    <n v="180"/>
    <d v="2034-11-06T00:00:00"/>
    <s v=""/>
    <x v="5"/>
    <x v="0"/>
  </r>
  <r>
    <n v="53934629853"/>
    <n v="233"/>
    <d v="2034-11-06T00:00:00"/>
    <s v=""/>
    <x v="5"/>
    <x v="0"/>
  </r>
  <r>
    <n v="23769439023"/>
    <n v="91"/>
    <d v="2034-11-06T00:00:00"/>
    <s v=""/>
    <x v="5"/>
    <x v="0"/>
  </r>
  <r>
    <n v="29830549842"/>
    <n v="273"/>
    <d v="2034-11-06T00:00:00"/>
    <s v=""/>
    <x v="5"/>
    <x v="0"/>
  </r>
  <r>
    <n v="38848130458"/>
    <n v="296"/>
    <d v="2034-11-06T00:00:00"/>
    <d v="2034-11-16T00:00:00"/>
    <x v="5"/>
    <x v="6"/>
  </r>
  <r>
    <n v="91925941326"/>
    <n v="153"/>
    <d v="2034-11-06T00:00:00"/>
    <s v=""/>
    <x v="5"/>
    <x v="0"/>
  </r>
  <r>
    <n v="15997489135"/>
    <n v="220"/>
    <d v="2034-11-06T00:00:00"/>
    <s v=""/>
    <x v="5"/>
    <x v="0"/>
  </r>
  <r>
    <n v="66389979411"/>
    <n v="200"/>
    <d v="2034-11-06T00:00:00"/>
    <s v=""/>
    <x v="5"/>
    <x v="0"/>
  </r>
  <r>
    <n v="45345419789"/>
    <n v="58"/>
    <d v="2034-11-06T00:00:00"/>
    <s v=""/>
    <x v="5"/>
    <x v="0"/>
  </r>
  <r>
    <n v="54621370905"/>
    <n v="225"/>
    <d v="2034-11-06T00:00:00"/>
    <s v=""/>
    <x v="5"/>
    <x v="0"/>
  </r>
  <r>
    <n v="92711010190"/>
    <n v="224"/>
    <d v="2034-11-07T00:00:00"/>
    <s v=""/>
    <x v="5"/>
    <x v="0"/>
  </r>
  <r>
    <n v="35658223131"/>
    <n v="50"/>
    <d v="2034-11-07T00:00:00"/>
    <s v=""/>
    <x v="5"/>
    <x v="0"/>
  </r>
  <r>
    <n v="30994756535"/>
    <n v="59"/>
    <d v="2034-11-07T00:00:00"/>
    <s v=""/>
    <x v="5"/>
    <x v="0"/>
  </r>
  <r>
    <n v="98568779959"/>
    <n v="303"/>
    <d v="2034-11-07T00:00:00"/>
    <s v=""/>
    <x v="5"/>
    <x v="0"/>
  </r>
  <r>
    <n v="89399866761"/>
    <n v="220"/>
    <d v="2034-11-07T00:00:00"/>
    <s v=""/>
    <x v="5"/>
    <x v="0"/>
  </r>
  <r>
    <n v="83081215816"/>
    <n v="135"/>
    <d v="2034-11-07T00:00:00"/>
    <s v=""/>
    <x v="5"/>
    <x v="0"/>
  </r>
  <r>
    <n v="13784945725"/>
    <n v="168"/>
    <d v="2034-11-07T00:00:00"/>
    <s v=""/>
    <x v="5"/>
    <x v="0"/>
  </r>
  <r>
    <n v="99865330200"/>
    <n v="124"/>
    <d v="2034-11-07T00:00:00"/>
    <d v="2034-11-20T00:00:00"/>
    <x v="5"/>
    <x v="6"/>
  </r>
  <r>
    <n v="42021486300"/>
    <n v="320"/>
    <d v="2034-11-07T00:00:00"/>
    <d v="2034-12-01T00:00:00"/>
    <x v="5"/>
    <x v="7"/>
  </r>
  <r>
    <n v="96855774955"/>
    <n v="110"/>
    <d v="2034-11-07T00:00:00"/>
    <d v="2034-11-18T00:00:00"/>
    <x v="5"/>
    <x v="6"/>
  </r>
  <r>
    <n v="54457161116"/>
    <n v="299"/>
    <d v="2034-11-07T00:00:00"/>
    <m/>
    <x v="5"/>
    <x v="0"/>
  </r>
  <r>
    <n v="81948373860"/>
    <n v="141"/>
    <d v="2034-11-07T00:00:00"/>
    <s v=""/>
    <x v="5"/>
    <x v="0"/>
  </r>
  <r>
    <n v="85556855136"/>
    <n v="6"/>
    <d v="2034-11-07T00:00:00"/>
    <s v=""/>
    <x v="5"/>
    <x v="0"/>
  </r>
  <r>
    <n v="57071622182"/>
    <n v="97"/>
    <d v="2034-11-07T00:00:00"/>
    <s v=""/>
    <x v="5"/>
    <x v="0"/>
  </r>
  <r>
    <n v="58626026337"/>
    <n v="229"/>
    <d v="2034-11-07T00:00:00"/>
    <s v=""/>
    <x v="5"/>
    <x v="0"/>
  </r>
  <r>
    <n v="23895472816"/>
    <n v="29"/>
    <d v="2034-11-07T00:00:00"/>
    <s v=""/>
    <x v="5"/>
    <x v="0"/>
  </r>
  <r>
    <n v="88916340752"/>
    <n v="16"/>
    <d v="2034-11-07T00:00:00"/>
    <s v=""/>
    <x v="5"/>
    <x v="0"/>
  </r>
  <r>
    <n v="33962193213"/>
    <n v="163"/>
    <d v="2034-11-07T00:00:00"/>
    <s v=""/>
    <x v="5"/>
    <x v="0"/>
  </r>
  <r>
    <n v="51278801845"/>
    <n v="196"/>
    <d v="2034-11-07T00:00:00"/>
    <s v=""/>
    <x v="5"/>
    <x v="0"/>
  </r>
  <r>
    <n v="23963775829"/>
    <n v="307"/>
    <d v="2034-11-07T00:00:00"/>
    <m/>
    <x v="5"/>
    <x v="0"/>
  </r>
  <r>
    <n v="70529744093"/>
    <n v="257"/>
    <d v="2034-11-07T00:00:00"/>
    <m/>
    <x v="5"/>
    <x v="0"/>
  </r>
  <r>
    <n v="18986497979"/>
    <n v="202"/>
    <d v="2034-11-07T00:00:00"/>
    <s v=""/>
    <x v="5"/>
    <x v="0"/>
  </r>
  <r>
    <n v="83307987628"/>
    <n v="197"/>
    <d v="2034-11-08T00:00:00"/>
    <s v=""/>
    <x v="5"/>
    <x v="0"/>
  </r>
  <r>
    <n v="74955025223"/>
    <n v="132"/>
    <d v="2034-11-08T00:00:00"/>
    <d v="2034-12-24T00:00:00"/>
    <x v="5"/>
    <x v="7"/>
  </r>
  <r>
    <n v="57200473598"/>
    <n v="173"/>
    <d v="2034-11-08T00:00:00"/>
    <d v="2034-12-15T00:00:00"/>
    <x v="5"/>
    <x v="7"/>
  </r>
  <r>
    <n v="15069494571"/>
    <n v="136"/>
    <d v="2034-11-08T00:00:00"/>
    <d v="2035-01-30T00:00:00"/>
    <x v="5"/>
    <x v="8"/>
  </r>
  <r>
    <n v="57919193352"/>
    <n v="25"/>
    <d v="2034-11-08T00:00:00"/>
    <m/>
    <x v="5"/>
    <x v="0"/>
  </r>
  <r>
    <n v="21474586374"/>
    <n v="11"/>
    <d v="2034-11-08T00:00:00"/>
    <s v=""/>
    <x v="5"/>
    <x v="0"/>
  </r>
  <r>
    <n v="42142804779"/>
    <n v="87"/>
    <d v="2034-11-08T00:00:00"/>
    <d v="2034-11-20T00:00:00"/>
    <x v="5"/>
    <x v="6"/>
  </r>
  <r>
    <n v="31711479332"/>
    <n v="66"/>
    <d v="2034-11-08T00:00:00"/>
    <s v=""/>
    <x v="5"/>
    <x v="0"/>
  </r>
  <r>
    <n v="54987182870"/>
    <n v="129"/>
    <d v="2034-11-08T00:00:00"/>
    <s v=""/>
    <x v="5"/>
    <x v="0"/>
  </r>
  <r>
    <n v="45178526704"/>
    <n v="60"/>
    <d v="2034-11-08T00:00:00"/>
    <s v=""/>
    <x v="5"/>
    <x v="0"/>
  </r>
  <r>
    <n v="29980664418"/>
    <n v="201"/>
    <d v="2034-11-08T00:00:00"/>
    <s v=""/>
    <x v="5"/>
    <x v="0"/>
  </r>
  <r>
    <n v="80974750061"/>
    <n v="302"/>
    <d v="2034-11-08T00:00:00"/>
    <s v=""/>
    <x v="5"/>
    <x v="0"/>
  </r>
  <r>
    <n v="37802804867"/>
    <n v="305"/>
    <d v="2034-11-08T00:00:00"/>
    <s v=""/>
    <x v="5"/>
    <x v="0"/>
  </r>
  <r>
    <n v="82255561143"/>
    <n v="215"/>
    <d v="2034-11-08T00:00:00"/>
    <s v=""/>
    <x v="5"/>
    <x v="0"/>
  </r>
  <r>
    <n v="76122268021"/>
    <n v="229"/>
    <d v="2034-11-08T00:00:00"/>
    <s v=""/>
    <x v="5"/>
    <x v="0"/>
  </r>
  <r>
    <n v="81260954979"/>
    <n v="202"/>
    <d v="2034-11-08T00:00:00"/>
    <d v="2034-12-30T00:00:00"/>
    <x v="5"/>
    <x v="7"/>
  </r>
  <r>
    <n v="12148870867"/>
    <n v="33"/>
    <d v="2034-11-08T00:00:00"/>
    <s v=""/>
    <x v="5"/>
    <x v="0"/>
  </r>
  <r>
    <n v="26174536206"/>
    <n v="336"/>
    <d v="2034-11-08T00:00:00"/>
    <d v="2034-12-12T00:00:00"/>
    <x v="5"/>
    <x v="7"/>
  </r>
  <r>
    <n v="37182409851"/>
    <n v="232"/>
    <d v="2034-11-08T00:00:00"/>
    <d v="2034-12-27T00:00:00"/>
    <x v="5"/>
    <x v="7"/>
  </r>
  <r>
    <n v="15626844095"/>
    <n v="69"/>
    <d v="2034-11-08T00:00:00"/>
    <m/>
    <x v="5"/>
    <x v="0"/>
  </r>
  <r>
    <n v="89152148352"/>
    <n v="327"/>
    <d v="2034-11-08T00:00:00"/>
    <d v="2035-01-16T00:00:00"/>
    <x v="5"/>
    <x v="8"/>
  </r>
  <r>
    <n v="18147186615"/>
    <n v="124"/>
    <d v="2034-11-08T00:00:00"/>
    <s v=""/>
    <x v="5"/>
    <x v="0"/>
  </r>
  <r>
    <n v="11229144291"/>
    <n v="192"/>
    <d v="2034-11-08T00:00:00"/>
    <s v=""/>
    <x v="5"/>
    <x v="0"/>
  </r>
  <r>
    <n v="62390546236"/>
    <n v="170"/>
    <d v="2034-11-08T00:00:00"/>
    <s v=""/>
    <x v="5"/>
    <x v="0"/>
  </r>
  <r>
    <n v="76713057313"/>
    <n v="326"/>
    <d v="2034-11-08T00:00:00"/>
    <s v=""/>
    <x v="5"/>
    <x v="0"/>
  </r>
  <r>
    <n v="14573751143"/>
    <n v="153"/>
    <d v="2034-11-08T00:00:00"/>
    <d v="2035-01-05T00:00:00"/>
    <x v="5"/>
    <x v="8"/>
  </r>
  <r>
    <n v="63622225922"/>
    <n v="281"/>
    <d v="2034-11-08T00:00:00"/>
    <s v=""/>
    <x v="5"/>
    <x v="0"/>
  </r>
  <r>
    <n v="57221242212"/>
    <n v="61"/>
    <d v="2034-11-08T00:00:00"/>
    <s v=""/>
    <x v="5"/>
    <x v="0"/>
  </r>
  <r>
    <n v="88359318823"/>
    <n v="70"/>
    <d v="2034-11-08T00:00:00"/>
    <s v=""/>
    <x v="5"/>
    <x v="0"/>
  </r>
  <r>
    <n v="61779693557"/>
    <n v="227"/>
    <d v="2034-11-08T00:00:00"/>
    <s v=""/>
    <x v="5"/>
    <x v="0"/>
  </r>
  <r>
    <n v="92641164721"/>
    <n v="177"/>
    <d v="2034-11-08T00:00:00"/>
    <s v=""/>
    <x v="5"/>
    <x v="0"/>
  </r>
  <r>
    <n v="86870957496"/>
    <n v="287"/>
    <d v="2034-11-08T00:00:00"/>
    <m/>
    <x v="5"/>
    <x v="0"/>
  </r>
  <r>
    <n v="61101310262"/>
    <n v="130"/>
    <d v="2034-11-08T00:00:00"/>
    <s v=""/>
    <x v="5"/>
    <x v="0"/>
  </r>
  <r>
    <n v="39695531837"/>
    <n v="150"/>
    <d v="2034-11-08T00:00:00"/>
    <s v=""/>
    <x v="5"/>
    <x v="0"/>
  </r>
  <r>
    <n v="61010450180"/>
    <n v="292"/>
    <d v="2034-11-09T00:00:00"/>
    <s v=""/>
    <x v="5"/>
    <x v="0"/>
  </r>
  <r>
    <n v="61905971105"/>
    <n v="278"/>
    <d v="2034-11-09T00:00:00"/>
    <m/>
    <x v="5"/>
    <x v="0"/>
  </r>
  <r>
    <n v="75898149397"/>
    <n v="193"/>
    <d v="2034-11-09T00:00:00"/>
    <s v=""/>
    <x v="5"/>
    <x v="0"/>
  </r>
  <r>
    <n v="42190018356"/>
    <n v="168"/>
    <d v="2034-11-09T00:00:00"/>
    <s v=""/>
    <x v="5"/>
    <x v="0"/>
  </r>
  <r>
    <n v="94225887736"/>
    <n v="337"/>
    <d v="2034-11-09T00:00:00"/>
    <d v="2035-01-06T00:00:00"/>
    <x v="5"/>
    <x v="8"/>
  </r>
  <r>
    <n v="31677466991"/>
    <n v="132"/>
    <d v="2034-11-09T00:00:00"/>
    <s v=""/>
    <x v="5"/>
    <x v="0"/>
  </r>
  <r>
    <n v="39308488120"/>
    <n v="239"/>
    <d v="2034-11-09T00:00:00"/>
    <s v=""/>
    <x v="5"/>
    <x v="0"/>
  </r>
  <r>
    <n v="96372203090"/>
    <n v="23"/>
    <d v="2034-11-09T00:00:00"/>
    <s v=""/>
    <x v="5"/>
    <x v="0"/>
  </r>
  <r>
    <n v="71478085824"/>
    <n v="251"/>
    <d v="2034-11-09T00:00:00"/>
    <s v=""/>
    <x v="5"/>
    <x v="0"/>
  </r>
  <r>
    <n v="93711123446"/>
    <n v="63"/>
    <d v="2034-11-09T00:00:00"/>
    <s v=""/>
    <x v="5"/>
    <x v="0"/>
  </r>
  <r>
    <n v="62924783085"/>
    <n v="293"/>
    <d v="2034-11-09T00:00:00"/>
    <s v=""/>
    <x v="5"/>
    <x v="0"/>
  </r>
  <r>
    <n v="40799041043"/>
    <n v="165"/>
    <d v="2034-11-09T00:00:00"/>
    <s v=""/>
    <x v="5"/>
    <x v="0"/>
  </r>
  <r>
    <n v="70445595826"/>
    <n v="143"/>
    <d v="2034-11-09T00:00:00"/>
    <s v=""/>
    <x v="5"/>
    <x v="0"/>
  </r>
  <r>
    <n v="56938162943"/>
    <n v="200"/>
    <d v="2034-11-09T00:00:00"/>
    <s v=""/>
    <x v="5"/>
    <x v="0"/>
  </r>
  <r>
    <n v="25188148464"/>
    <n v="167"/>
    <d v="2034-11-09T00:00:00"/>
    <s v=""/>
    <x v="5"/>
    <x v="0"/>
  </r>
  <r>
    <n v="48834921734"/>
    <n v="129"/>
    <d v="2034-11-09T00:00:00"/>
    <d v="2035-01-05T00:00:00"/>
    <x v="5"/>
    <x v="8"/>
  </r>
  <r>
    <n v="81805794905"/>
    <n v="7"/>
    <d v="2034-11-09T00:00:00"/>
    <m/>
    <x v="5"/>
    <x v="0"/>
  </r>
  <r>
    <n v="84702259066"/>
    <n v="78"/>
    <d v="2034-11-09T00:00:00"/>
    <s v=""/>
    <x v="5"/>
    <x v="0"/>
  </r>
  <r>
    <n v="68088856820"/>
    <n v="195"/>
    <d v="2034-11-09T00:00:00"/>
    <s v=""/>
    <x v="5"/>
    <x v="0"/>
  </r>
  <r>
    <n v="61354385873"/>
    <n v="119"/>
    <d v="2034-11-10T00:00:00"/>
    <d v="2034-12-18T00:00:00"/>
    <x v="5"/>
    <x v="7"/>
  </r>
  <r>
    <n v="85355237694"/>
    <n v="168"/>
    <d v="2034-11-10T00:00:00"/>
    <s v=""/>
    <x v="5"/>
    <x v="0"/>
  </r>
  <r>
    <n v="59458673745"/>
    <n v="69"/>
    <d v="2034-11-10T00:00:00"/>
    <m/>
    <x v="5"/>
    <x v="0"/>
  </r>
  <r>
    <n v="33129629453"/>
    <n v="262"/>
    <d v="2034-11-10T00:00:00"/>
    <s v=""/>
    <x v="5"/>
    <x v="0"/>
  </r>
  <r>
    <n v="77112101683"/>
    <n v="64"/>
    <d v="2034-11-10T00:00:00"/>
    <s v=""/>
    <x v="5"/>
    <x v="0"/>
  </r>
  <r>
    <n v="64640752944"/>
    <n v="234"/>
    <d v="2034-11-10T00:00:00"/>
    <s v=""/>
    <x v="5"/>
    <x v="0"/>
  </r>
  <r>
    <n v="65628961403"/>
    <n v="31"/>
    <d v="2034-11-10T00:00:00"/>
    <s v=""/>
    <x v="5"/>
    <x v="0"/>
  </r>
  <r>
    <n v="86556968227"/>
    <n v="248"/>
    <d v="2034-11-10T00:00:00"/>
    <s v=""/>
    <x v="5"/>
    <x v="0"/>
  </r>
  <r>
    <n v="72389496501"/>
    <n v="22"/>
    <d v="2034-11-10T00:00:00"/>
    <s v=""/>
    <x v="5"/>
    <x v="0"/>
  </r>
  <r>
    <n v="40531265159"/>
    <n v="4"/>
    <d v="2034-11-10T00:00:00"/>
    <s v=""/>
    <x v="5"/>
    <x v="0"/>
  </r>
  <r>
    <n v="93183639826"/>
    <n v="177"/>
    <d v="2034-11-10T00:00:00"/>
    <s v=""/>
    <x v="5"/>
    <x v="0"/>
  </r>
  <r>
    <n v="11955524165"/>
    <n v="243"/>
    <d v="2034-11-10T00:00:00"/>
    <d v="2035-01-21T00:00:00"/>
    <x v="5"/>
    <x v="8"/>
  </r>
  <r>
    <n v="29036022811"/>
    <n v="248"/>
    <d v="2034-11-10T00:00:00"/>
    <m/>
    <x v="5"/>
    <x v="0"/>
  </r>
  <r>
    <n v="51993170769"/>
    <n v="154"/>
    <d v="2034-11-10T00:00:00"/>
    <m/>
    <x v="5"/>
    <x v="0"/>
  </r>
  <r>
    <n v="80983762116"/>
    <n v="92"/>
    <d v="2034-11-10T00:00:00"/>
    <s v=""/>
    <x v="5"/>
    <x v="0"/>
  </r>
  <r>
    <n v="34898943953"/>
    <n v="204"/>
    <d v="2034-11-10T00:00:00"/>
    <s v=""/>
    <x v="5"/>
    <x v="0"/>
  </r>
  <r>
    <n v="60516447993"/>
    <n v="250"/>
    <d v="2034-11-10T00:00:00"/>
    <s v=""/>
    <x v="5"/>
    <x v="0"/>
  </r>
  <r>
    <n v="65644830028"/>
    <n v="139"/>
    <d v="2034-11-10T00:00:00"/>
    <s v=""/>
    <x v="5"/>
    <x v="0"/>
  </r>
  <r>
    <n v="40729688048"/>
    <n v="238"/>
    <d v="2034-11-10T00:00:00"/>
    <s v=""/>
    <x v="5"/>
    <x v="0"/>
  </r>
  <r>
    <n v="72591538768"/>
    <n v="28"/>
    <d v="2034-11-10T00:00:00"/>
    <m/>
    <x v="5"/>
    <x v="0"/>
  </r>
  <r>
    <n v="60430817681"/>
    <n v="81"/>
    <d v="2034-11-10T00:00:00"/>
    <s v=""/>
    <x v="5"/>
    <x v="0"/>
  </r>
  <r>
    <n v="65172109327"/>
    <n v="167"/>
    <d v="2034-11-10T00:00:00"/>
    <s v=""/>
    <x v="5"/>
    <x v="0"/>
  </r>
  <r>
    <n v="91612516747"/>
    <n v="267"/>
    <d v="2034-11-11T00:00:00"/>
    <s v=""/>
    <x v="5"/>
    <x v="0"/>
  </r>
  <r>
    <n v="42819570826"/>
    <n v="290"/>
    <d v="2034-11-11T00:00:00"/>
    <s v=""/>
    <x v="5"/>
    <x v="0"/>
  </r>
  <r>
    <n v="75330527528"/>
    <n v="206"/>
    <d v="2034-11-11T00:00:00"/>
    <s v=""/>
    <x v="5"/>
    <x v="0"/>
  </r>
  <r>
    <n v="69128786409"/>
    <n v="98"/>
    <d v="2034-11-11T00:00:00"/>
    <s v=""/>
    <x v="5"/>
    <x v="0"/>
  </r>
  <r>
    <n v="70846766702"/>
    <n v="19"/>
    <d v="2034-11-11T00:00:00"/>
    <d v="2034-12-22T00:00:00"/>
    <x v="5"/>
    <x v="7"/>
  </r>
  <r>
    <n v="63920668560"/>
    <n v="168"/>
    <d v="2034-11-11T00:00:00"/>
    <s v=""/>
    <x v="5"/>
    <x v="0"/>
  </r>
  <r>
    <n v="74961473460"/>
    <n v="255"/>
    <d v="2034-11-11T00:00:00"/>
    <s v=""/>
    <x v="5"/>
    <x v="0"/>
  </r>
  <r>
    <n v="46926771084"/>
    <n v="155"/>
    <d v="2034-11-11T00:00:00"/>
    <m/>
    <x v="5"/>
    <x v="0"/>
  </r>
  <r>
    <n v="56199565681"/>
    <n v="96"/>
    <d v="2034-11-11T00:00:00"/>
    <s v=""/>
    <x v="5"/>
    <x v="0"/>
  </r>
  <r>
    <n v="12848592963"/>
    <n v="340"/>
    <d v="2034-11-11T00:00:00"/>
    <d v="2034-12-15T00:00:00"/>
    <x v="5"/>
    <x v="7"/>
  </r>
  <r>
    <n v="44706402754"/>
    <n v="15"/>
    <d v="2034-11-11T00:00:00"/>
    <d v="2034-11-26T00:00:00"/>
    <x v="5"/>
    <x v="6"/>
  </r>
  <r>
    <n v="90190384459"/>
    <n v="336"/>
    <d v="2034-11-11T00:00:00"/>
    <s v=""/>
    <x v="5"/>
    <x v="0"/>
  </r>
  <r>
    <n v="94799333602"/>
    <n v="291"/>
    <d v="2034-11-11T00:00:00"/>
    <s v=""/>
    <x v="5"/>
    <x v="0"/>
  </r>
  <r>
    <n v="58065742182"/>
    <n v="55"/>
    <d v="2034-11-11T00:00:00"/>
    <s v=""/>
    <x v="5"/>
    <x v="0"/>
  </r>
  <r>
    <n v="78536763792"/>
    <n v="188"/>
    <d v="2034-11-11T00:00:00"/>
    <s v=""/>
    <x v="5"/>
    <x v="0"/>
  </r>
  <r>
    <n v="96733658890"/>
    <n v="233"/>
    <d v="2034-11-11T00:00:00"/>
    <s v=""/>
    <x v="5"/>
    <x v="0"/>
  </r>
  <r>
    <n v="75502072394"/>
    <n v="310"/>
    <d v="2034-11-11T00:00:00"/>
    <s v=""/>
    <x v="5"/>
    <x v="0"/>
  </r>
  <r>
    <n v="39404893230"/>
    <n v="36"/>
    <d v="2034-11-11T00:00:00"/>
    <s v=""/>
    <x v="5"/>
    <x v="0"/>
  </r>
  <r>
    <n v="84638184762"/>
    <n v="80"/>
    <d v="2034-11-11T00:00:00"/>
    <s v=""/>
    <x v="5"/>
    <x v="0"/>
  </r>
  <r>
    <n v="41436311721"/>
    <n v="115"/>
    <d v="2034-11-11T00:00:00"/>
    <d v="2035-01-04T00:00:00"/>
    <x v="5"/>
    <x v="8"/>
  </r>
  <r>
    <n v="65645562296"/>
    <n v="55"/>
    <d v="2034-11-11T00:00:00"/>
    <s v=""/>
    <x v="5"/>
    <x v="0"/>
  </r>
  <r>
    <n v="35033453653"/>
    <n v="275"/>
    <d v="2034-11-11T00:00:00"/>
    <s v=""/>
    <x v="5"/>
    <x v="0"/>
  </r>
  <r>
    <n v="41417133988"/>
    <n v="187"/>
    <d v="2034-11-11T00:00:00"/>
    <m/>
    <x v="5"/>
    <x v="0"/>
  </r>
  <r>
    <n v="76096733258"/>
    <n v="185"/>
    <d v="2034-11-11T00:00:00"/>
    <d v="2035-01-10T00:00:00"/>
    <x v="5"/>
    <x v="8"/>
  </r>
  <r>
    <n v="97825270334"/>
    <n v="47"/>
    <d v="2034-11-11T00:00:00"/>
    <s v=""/>
    <x v="5"/>
    <x v="0"/>
  </r>
  <r>
    <n v="65810738510"/>
    <n v="295"/>
    <d v="2034-11-11T00:00:00"/>
    <d v="2034-11-11T00:00:00"/>
    <x v="5"/>
    <x v="6"/>
  </r>
  <r>
    <n v="52661356069"/>
    <n v="45"/>
    <d v="2034-11-11T00:00:00"/>
    <m/>
    <x v="5"/>
    <x v="0"/>
  </r>
  <r>
    <n v="66681802966"/>
    <n v="173"/>
    <d v="2034-11-11T00:00:00"/>
    <s v=""/>
    <x v="5"/>
    <x v="0"/>
  </r>
  <r>
    <n v="95022698798"/>
    <n v="174"/>
    <d v="2034-11-11T00:00:00"/>
    <s v=""/>
    <x v="5"/>
    <x v="0"/>
  </r>
  <r>
    <n v="66564405396"/>
    <n v="87"/>
    <d v="2034-11-11T00:00:00"/>
    <s v=""/>
    <x v="5"/>
    <x v="0"/>
  </r>
  <r>
    <n v="88746101606"/>
    <n v="166"/>
    <d v="2034-11-12T00:00:00"/>
    <d v="2035-01-17T00:00:00"/>
    <x v="5"/>
    <x v="8"/>
  </r>
  <r>
    <n v="40959634387"/>
    <n v="163"/>
    <d v="2034-11-12T00:00:00"/>
    <s v=""/>
    <x v="5"/>
    <x v="0"/>
  </r>
  <r>
    <n v="98075238859"/>
    <n v="256"/>
    <d v="2034-11-12T00:00:00"/>
    <s v=""/>
    <x v="5"/>
    <x v="0"/>
  </r>
  <r>
    <n v="68878855614"/>
    <n v="331"/>
    <d v="2034-11-12T00:00:00"/>
    <d v="2034-11-14T00:00:00"/>
    <x v="5"/>
    <x v="6"/>
  </r>
  <r>
    <n v="44772920324"/>
    <n v="48"/>
    <d v="2034-11-12T00:00:00"/>
    <s v=""/>
    <x v="5"/>
    <x v="0"/>
  </r>
  <r>
    <n v="58545598079"/>
    <n v="326"/>
    <d v="2034-11-12T00:00:00"/>
    <s v=""/>
    <x v="5"/>
    <x v="0"/>
  </r>
  <r>
    <n v="47975120868"/>
    <n v="237"/>
    <d v="2034-11-12T00:00:00"/>
    <s v=""/>
    <x v="5"/>
    <x v="0"/>
  </r>
  <r>
    <n v="73570767619"/>
    <n v="24"/>
    <d v="2034-11-12T00:00:00"/>
    <s v=""/>
    <x v="5"/>
    <x v="0"/>
  </r>
  <r>
    <n v="78700098641"/>
    <n v="137"/>
    <d v="2034-11-12T00:00:00"/>
    <s v=""/>
    <x v="5"/>
    <x v="0"/>
  </r>
  <r>
    <n v="65889550514"/>
    <n v="311"/>
    <d v="2034-11-12T00:00:00"/>
    <d v="2034-12-05T00:00:00"/>
    <x v="5"/>
    <x v="7"/>
  </r>
  <r>
    <n v="82350793950"/>
    <n v="86"/>
    <d v="2034-11-12T00:00:00"/>
    <s v=""/>
    <x v="5"/>
    <x v="0"/>
  </r>
  <r>
    <n v="59590460267"/>
    <n v="57"/>
    <d v="2034-11-12T00:00:00"/>
    <s v=""/>
    <x v="5"/>
    <x v="0"/>
  </r>
  <r>
    <n v="28297310528"/>
    <n v="311"/>
    <d v="2034-11-12T00:00:00"/>
    <s v=""/>
    <x v="5"/>
    <x v="0"/>
  </r>
  <r>
    <n v="28769576993"/>
    <n v="290"/>
    <d v="2034-11-12T00:00:00"/>
    <s v=""/>
    <x v="5"/>
    <x v="0"/>
  </r>
  <r>
    <n v="42546232682"/>
    <n v="74"/>
    <d v="2034-11-12T00:00:00"/>
    <s v=""/>
    <x v="5"/>
    <x v="0"/>
  </r>
  <r>
    <n v="31485202652"/>
    <n v="22"/>
    <d v="2034-11-12T00:00:00"/>
    <d v="2035-01-31T00:00:00"/>
    <x v="5"/>
    <x v="8"/>
  </r>
  <r>
    <n v="18408025866"/>
    <n v="210"/>
    <d v="2034-11-12T00:00:00"/>
    <s v=""/>
    <x v="5"/>
    <x v="0"/>
  </r>
  <r>
    <n v="68377674220"/>
    <n v="17"/>
    <d v="2034-11-12T00:00:00"/>
    <s v=""/>
    <x v="5"/>
    <x v="0"/>
  </r>
  <r>
    <n v="55829663153"/>
    <n v="249"/>
    <d v="2034-11-12T00:00:00"/>
    <s v=""/>
    <x v="5"/>
    <x v="0"/>
  </r>
  <r>
    <n v="26907230947"/>
    <n v="128"/>
    <d v="2034-11-12T00:00:00"/>
    <s v=""/>
    <x v="5"/>
    <x v="0"/>
  </r>
  <r>
    <n v="62064798614"/>
    <n v="93"/>
    <d v="2034-11-12T00:00:00"/>
    <s v=""/>
    <x v="5"/>
    <x v="0"/>
  </r>
  <r>
    <n v="27907004314"/>
    <n v="194"/>
    <d v="2034-11-12T00:00:00"/>
    <s v=""/>
    <x v="5"/>
    <x v="0"/>
  </r>
  <r>
    <n v="66896617864"/>
    <n v="51"/>
    <d v="2034-11-12T00:00:00"/>
    <d v="2035-01-24T00:00:00"/>
    <x v="5"/>
    <x v="8"/>
  </r>
  <r>
    <n v="54538900078"/>
    <n v="237"/>
    <d v="2034-11-12T00:00:00"/>
    <d v="2035-01-02T00:00:00"/>
    <x v="5"/>
    <x v="8"/>
  </r>
  <r>
    <n v="63923339188"/>
    <n v="130"/>
    <d v="2034-11-13T00:00:00"/>
    <s v=""/>
    <x v="5"/>
    <x v="0"/>
  </r>
  <r>
    <n v="43438911018"/>
    <n v="249"/>
    <d v="2034-11-13T00:00:00"/>
    <s v=""/>
    <x v="5"/>
    <x v="0"/>
  </r>
  <r>
    <n v="34220821004"/>
    <n v="143"/>
    <d v="2034-11-13T00:00:00"/>
    <m/>
    <x v="5"/>
    <x v="0"/>
  </r>
  <r>
    <n v="80205912136"/>
    <n v="222"/>
    <d v="2034-11-13T00:00:00"/>
    <d v="2034-12-29T00:00:00"/>
    <x v="5"/>
    <x v="7"/>
  </r>
  <r>
    <n v="37135556228"/>
    <n v="132"/>
    <d v="2034-11-13T00:00:00"/>
    <s v=""/>
    <x v="5"/>
    <x v="0"/>
  </r>
  <r>
    <n v="37263612740"/>
    <n v="290"/>
    <d v="2034-11-13T00:00:00"/>
    <s v=""/>
    <x v="5"/>
    <x v="0"/>
  </r>
  <r>
    <n v="45139609039"/>
    <n v="154"/>
    <d v="2034-11-13T00:00:00"/>
    <s v=""/>
    <x v="5"/>
    <x v="0"/>
  </r>
  <r>
    <n v="95061625362"/>
    <n v="189"/>
    <d v="2034-11-13T00:00:00"/>
    <d v="2034-12-24T00:00:00"/>
    <x v="5"/>
    <x v="7"/>
  </r>
  <r>
    <n v="51738367624"/>
    <n v="260"/>
    <d v="2034-11-13T00:00:00"/>
    <s v=""/>
    <x v="5"/>
    <x v="0"/>
  </r>
  <r>
    <n v="41811177750"/>
    <n v="306"/>
    <d v="2034-11-13T00:00:00"/>
    <s v=""/>
    <x v="5"/>
    <x v="0"/>
  </r>
  <r>
    <n v="65974539007"/>
    <n v="45"/>
    <d v="2034-11-13T00:00:00"/>
    <s v=""/>
    <x v="5"/>
    <x v="0"/>
  </r>
  <r>
    <n v="43179394098"/>
    <n v="201"/>
    <d v="2034-11-13T00:00:00"/>
    <s v=""/>
    <x v="5"/>
    <x v="0"/>
  </r>
  <r>
    <n v="86380520041"/>
    <n v="80"/>
    <d v="2034-11-13T00:00:00"/>
    <m/>
    <x v="5"/>
    <x v="0"/>
  </r>
  <r>
    <n v="30048480385"/>
    <n v="126"/>
    <d v="2034-11-13T00:00:00"/>
    <s v=""/>
    <x v="5"/>
    <x v="0"/>
  </r>
  <r>
    <n v="61015052989"/>
    <n v="307"/>
    <d v="2034-11-13T00:00:00"/>
    <s v=""/>
    <x v="5"/>
    <x v="0"/>
  </r>
  <r>
    <n v="64964763330"/>
    <n v="297"/>
    <d v="2034-11-13T00:00:00"/>
    <s v=""/>
    <x v="5"/>
    <x v="0"/>
  </r>
  <r>
    <n v="64299417822"/>
    <n v="290"/>
    <d v="2034-11-13T00:00:00"/>
    <d v="2034-12-17T00:00:00"/>
    <x v="5"/>
    <x v="7"/>
  </r>
  <r>
    <n v="29239325230"/>
    <n v="261"/>
    <d v="2034-11-13T00:00:00"/>
    <d v="2034-11-17T00:00:00"/>
    <x v="5"/>
    <x v="6"/>
  </r>
  <r>
    <n v="59178087812"/>
    <n v="54"/>
    <d v="2034-11-13T00:00:00"/>
    <s v=""/>
    <x v="5"/>
    <x v="0"/>
  </r>
  <r>
    <n v="93462696199"/>
    <n v="115"/>
    <d v="2034-11-13T00:00:00"/>
    <s v=""/>
    <x v="5"/>
    <x v="0"/>
  </r>
  <r>
    <n v="18029848811"/>
    <n v="224"/>
    <d v="2034-11-13T00:00:00"/>
    <d v="2034-12-24T00:00:00"/>
    <x v="5"/>
    <x v="7"/>
  </r>
  <r>
    <n v="37013043210"/>
    <n v="95"/>
    <d v="2034-11-13T00:00:00"/>
    <s v=""/>
    <x v="5"/>
    <x v="0"/>
  </r>
  <r>
    <n v="50118258820"/>
    <n v="197"/>
    <d v="2034-11-13T00:00:00"/>
    <s v=""/>
    <x v="5"/>
    <x v="0"/>
  </r>
  <r>
    <n v="99879200776"/>
    <n v="252"/>
    <d v="2034-11-14T00:00:00"/>
    <s v=""/>
    <x v="5"/>
    <x v="0"/>
  </r>
  <r>
    <n v="45438153073"/>
    <n v="217"/>
    <d v="2034-11-14T00:00:00"/>
    <s v=""/>
    <x v="5"/>
    <x v="0"/>
  </r>
  <r>
    <n v="66145487012"/>
    <n v="88"/>
    <d v="2034-11-14T00:00:00"/>
    <s v=""/>
    <x v="5"/>
    <x v="0"/>
  </r>
  <r>
    <n v="52580072648"/>
    <n v="185"/>
    <d v="2034-11-14T00:00:00"/>
    <s v=""/>
    <x v="5"/>
    <x v="0"/>
  </r>
  <r>
    <n v="48692156505"/>
    <n v="117"/>
    <d v="2034-11-14T00:00:00"/>
    <s v=""/>
    <x v="5"/>
    <x v="0"/>
  </r>
  <r>
    <n v="16285261538"/>
    <n v="106"/>
    <d v="2034-11-14T00:00:00"/>
    <s v=""/>
    <x v="5"/>
    <x v="0"/>
  </r>
  <r>
    <n v="59359274500"/>
    <n v="62"/>
    <d v="2034-11-14T00:00:00"/>
    <d v="2035-01-02T00:00:00"/>
    <x v="5"/>
    <x v="8"/>
  </r>
  <r>
    <n v="96949291058"/>
    <n v="251"/>
    <d v="2034-11-14T00:00:00"/>
    <s v=""/>
    <x v="5"/>
    <x v="0"/>
  </r>
  <r>
    <n v="49969025844"/>
    <n v="221"/>
    <d v="2034-11-14T00:00:00"/>
    <s v=""/>
    <x v="5"/>
    <x v="0"/>
  </r>
  <r>
    <n v="55367962937"/>
    <n v="207"/>
    <d v="2034-11-14T00:00:00"/>
    <s v=""/>
    <x v="5"/>
    <x v="0"/>
  </r>
  <r>
    <n v="76325506123"/>
    <n v="75"/>
    <d v="2034-11-14T00:00:00"/>
    <s v=""/>
    <x v="5"/>
    <x v="0"/>
  </r>
  <r>
    <n v="56394009935"/>
    <n v="92"/>
    <d v="2034-11-14T00:00:00"/>
    <s v=""/>
    <x v="5"/>
    <x v="0"/>
  </r>
  <r>
    <n v="66229257537"/>
    <n v="38"/>
    <d v="2034-11-14T00:00:00"/>
    <s v=""/>
    <x v="5"/>
    <x v="0"/>
  </r>
  <r>
    <n v="51816084744"/>
    <n v="91"/>
    <d v="2034-11-14T00:00:00"/>
    <s v=""/>
    <x v="5"/>
    <x v="0"/>
  </r>
  <r>
    <n v="21231716443"/>
    <n v="282"/>
    <d v="2034-11-14T00:00:00"/>
    <s v=""/>
    <x v="5"/>
    <x v="0"/>
  </r>
  <r>
    <n v="89640904142"/>
    <n v="164"/>
    <d v="2034-11-14T00:00:00"/>
    <s v=""/>
    <x v="5"/>
    <x v="0"/>
  </r>
  <r>
    <n v="19590564724"/>
    <n v="272"/>
    <d v="2034-11-14T00:00:00"/>
    <s v=""/>
    <x v="5"/>
    <x v="0"/>
  </r>
  <r>
    <n v="47087225535"/>
    <n v="229"/>
    <d v="2034-11-14T00:00:00"/>
    <m/>
    <x v="5"/>
    <x v="0"/>
  </r>
  <r>
    <n v="53854245199"/>
    <n v="332"/>
    <d v="2034-11-14T00:00:00"/>
    <s v=""/>
    <x v="5"/>
    <x v="0"/>
  </r>
  <r>
    <n v="85735180399"/>
    <n v="53"/>
    <d v="2034-11-14T00:00:00"/>
    <d v="2034-11-25T00:00:00"/>
    <x v="5"/>
    <x v="6"/>
  </r>
  <r>
    <n v="33516514091"/>
    <n v="121"/>
    <d v="2034-11-14T00:00:00"/>
    <s v=""/>
    <x v="5"/>
    <x v="0"/>
  </r>
  <r>
    <n v="60907336772"/>
    <n v="60"/>
    <d v="2034-11-14T00:00:00"/>
    <s v=""/>
    <x v="5"/>
    <x v="0"/>
  </r>
  <r>
    <n v="59484211826"/>
    <n v="40"/>
    <d v="2034-11-14T00:00:00"/>
    <d v="2034-11-21T00:00:00"/>
    <x v="5"/>
    <x v="6"/>
  </r>
  <r>
    <n v="85542465946"/>
    <n v="36"/>
    <d v="2034-11-15T00:00:00"/>
    <s v=""/>
    <x v="5"/>
    <x v="0"/>
  </r>
  <r>
    <n v="53521990842"/>
    <n v="249"/>
    <d v="2034-11-15T00:00:00"/>
    <s v=""/>
    <x v="5"/>
    <x v="0"/>
  </r>
  <r>
    <n v="50085622124"/>
    <n v="69"/>
    <d v="2034-11-15T00:00:00"/>
    <s v=""/>
    <x v="5"/>
    <x v="0"/>
  </r>
  <r>
    <n v="25086505319"/>
    <n v="98"/>
    <d v="2034-11-15T00:00:00"/>
    <d v="2035-01-29T00:00:00"/>
    <x v="5"/>
    <x v="8"/>
  </r>
  <r>
    <n v="76051629252"/>
    <n v="272"/>
    <d v="2034-11-15T00:00:00"/>
    <s v=""/>
    <x v="5"/>
    <x v="0"/>
  </r>
  <r>
    <n v="30157400978"/>
    <n v="11"/>
    <d v="2034-11-15T00:00:00"/>
    <s v=""/>
    <x v="5"/>
    <x v="0"/>
  </r>
  <r>
    <n v="66444188266"/>
    <n v="271"/>
    <d v="2034-11-15T00:00:00"/>
    <s v=""/>
    <x v="5"/>
    <x v="0"/>
  </r>
  <r>
    <n v="83844870799"/>
    <n v="326"/>
    <d v="2034-11-15T00:00:00"/>
    <s v=""/>
    <x v="5"/>
    <x v="0"/>
  </r>
  <r>
    <n v="15529469480"/>
    <n v="178"/>
    <d v="2034-11-15T00:00:00"/>
    <s v=""/>
    <x v="5"/>
    <x v="0"/>
  </r>
  <r>
    <n v="79211981670"/>
    <n v="133"/>
    <d v="2034-11-15T00:00:00"/>
    <s v=""/>
    <x v="5"/>
    <x v="0"/>
  </r>
  <r>
    <n v="44576376878"/>
    <n v="339"/>
    <d v="2034-11-15T00:00:00"/>
    <s v=""/>
    <x v="5"/>
    <x v="0"/>
  </r>
  <r>
    <n v="81903451059"/>
    <n v="65"/>
    <d v="2034-11-15T00:00:00"/>
    <s v=""/>
    <x v="5"/>
    <x v="0"/>
  </r>
  <r>
    <n v="81958649612"/>
    <n v="264"/>
    <d v="2034-11-15T00:00:00"/>
    <s v=""/>
    <x v="5"/>
    <x v="0"/>
  </r>
  <r>
    <n v="16629543796"/>
    <n v="20"/>
    <d v="2034-11-15T00:00:00"/>
    <s v=""/>
    <x v="5"/>
    <x v="0"/>
  </r>
  <r>
    <n v="16556028455"/>
    <n v="317"/>
    <d v="2034-11-15T00:00:00"/>
    <s v=""/>
    <x v="5"/>
    <x v="0"/>
  </r>
  <r>
    <n v="50323423037"/>
    <n v="316"/>
    <d v="2034-11-15T00:00:00"/>
    <s v=""/>
    <x v="5"/>
    <x v="0"/>
  </r>
  <r>
    <n v="66500974410"/>
    <n v="302"/>
    <d v="2034-11-15T00:00:00"/>
    <s v=""/>
    <x v="5"/>
    <x v="0"/>
  </r>
  <r>
    <n v="79521465072"/>
    <n v="172"/>
    <d v="2034-11-15T00:00:00"/>
    <s v=""/>
    <x v="5"/>
    <x v="0"/>
  </r>
  <r>
    <n v="30119214757"/>
    <n v="64"/>
    <d v="2034-11-15T00:00:00"/>
    <s v=""/>
    <x v="5"/>
    <x v="0"/>
  </r>
  <r>
    <n v="72506483622"/>
    <n v="132"/>
    <d v="2034-11-15T00:00:00"/>
    <s v=""/>
    <x v="5"/>
    <x v="0"/>
  </r>
  <r>
    <n v="59711767200"/>
    <n v="22"/>
    <d v="2034-11-15T00:00:00"/>
    <d v="2034-11-23T00:00:00"/>
    <x v="5"/>
    <x v="6"/>
  </r>
  <r>
    <n v="35483995531"/>
    <n v="34"/>
    <d v="2034-11-15T00:00:00"/>
    <s v=""/>
    <x v="5"/>
    <x v="0"/>
  </r>
  <r>
    <n v="48146518026"/>
    <n v="274"/>
    <d v="2034-11-15T00:00:00"/>
    <s v=""/>
    <x v="5"/>
    <x v="0"/>
  </r>
  <r>
    <n v="26451113607"/>
    <n v="119"/>
    <d v="2034-11-15T00:00:00"/>
    <s v=""/>
    <x v="5"/>
    <x v="0"/>
  </r>
  <r>
    <n v="87432238297"/>
    <n v="179"/>
    <d v="2034-11-15T00:00:00"/>
    <d v="2034-12-21T00:00:00"/>
    <x v="5"/>
    <x v="7"/>
  </r>
  <r>
    <n v="79899361397"/>
    <n v="129"/>
    <d v="2034-11-15T00:00:00"/>
    <s v=""/>
    <x v="5"/>
    <x v="0"/>
  </r>
  <r>
    <n v="23215096548"/>
    <n v="217"/>
    <d v="2034-11-15T00:00:00"/>
    <d v="2034-12-01T00:00:00"/>
    <x v="5"/>
    <x v="7"/>
  </r>
  <r>
    <n v="83449347768"/>
    <n v="237"/>
    <d v="2034-11-15T00:00:00"/>
    <s v=""/>
    <x v="5"/>
    <x v="0"/>
  </r>
  <r>
    <n v="18631278225"/>
    <n v="243"/>
    <d v="2034-11-16T00:00:00"/>
    <s v=""/>
    <x v="5"/>
    <x v="0"/>
  </r>
  <r>
    <n v="55969670289"/>
    <n v="246"/>
    <d v="2034-11-16T00:00:00"/>
    <s v=""/>
    <x v="5"/>
    <x v="0"/>
  </r>
  <r>
    <n v="50561805823"/>
    <n v="235"/>
    <d v="2034-11-16T00:00:00"/>
    <s v=""/>
    <x v="5"/>
    <x v="0"/>
  </r>
  <r>
    <n v="18973409461"/>
    <n v="123"/>
    <d v="2034-11-16T00:00:00"/>
    <s v=""/>
    <x v="5"/>
    <x v="0"/>
  </r>
  <r>
    <n v="66349866510"/>
    <n v="43"/>
    <d v="2034-11-16T00:00:00"/>
    <s v=""/>
    <x v="5"/>
    <x v="0"/>
  </r>
  <r>
    <n v="35439626627"/>
    <n v="185"/>
    <d v="2034-11-16T00:00:00"/>
    <s v=""/>
    <x v="5"/>
    <x v="0"/>
  </r>
  <r>
    <n v="70894253933"/>
    <n v="53"/>
    <d v="2034-11-16T00:00:00"/>
    <d v="2035-01-07T00:00:00"/>
    <x v="5"/>
    <x v="8"/>
  </r>
  <r>
    <n v="95545527842"/>
    <n v="302"/>
    <d v="2034-11-16T00:00:00"/>
    <s v=""/>
    <x v="5"/>
    <x v="0"/>
  </r>
  <r>
    <n v="12993758673"/>
    <n v="309"/>
    <d v="2034-11-16T00:00:00"/>
    <d v="2035-01-31T00:00:00"/>
    <x v="5"/>
    <x v="8"/>
  </r>
  <r>
    <n v="44498281006"/>
    <n v="331"/>
    <d v="2034-11-16T00:00:00"/>
    <m/>
    <x v="5"/>
    <x v="0"/>
  </r>
  <r>
    <n v="81560955101"/>
    <n v="79"/>
    <d v="2034-11-16T00:00:00"/>
    <d v="2035-01-03T00:00:00"/>
    <x v="5"/>
    <x v="8"/>
  </r>
  <r>
    <n v="59039656043"/>
    <n v="224"/>
    <d v="2034-11-16T00:00:00"/>
    <s v=""/>
    <x v="5"/>
    <x v="0"/>
  </r>
  <r>
    <n v="67754122326"/>
    <n v="286"/>
    <d v="2034-11-16T00:00:00"/>
    <s v=""/>
    <x v="5"/>
    <x v="0"/>
  </r>
  <r>
    <n v="59984470570"/>
    <n v="61"/>
    <d v="2034-11-16T00:00:00"/>
    <s v=""/>
    <x v="5"/>
    <x v="0"/>
  </r>
  <r>
    <n v="22904292323"/>
    <n v="268"/>
    <d v="2034-11-16T00:00:00"/>
    <d v="2034-12-21T00:00:00"/>
    <x v="5"/>
    <x v="7"/>
  </r>
  <r>
    <n v="31426692294"/>
    <n v="188"/>
    <d v="2034-11-16T00:00:00"/>
    <d v="2034-12-14T00:00:00"/>
    <x v="5"/>
    <x v="7"/>
  </r>
  <r>
    <n v="90024020822"/>
    <n v="209"/>
    <d v="2034-11-16T00:00:00"/>
    <s v=""/>
    <x v="5"/>
    <x v="0"/>
  </r>
  <r>
    <n v="42168464685"/>
    <n v="127"/>
    <d v="2034-11-16T00:00:00"/>
    <d v="2034-12-26T00:00:00"/>
    <x v="5"/>
    <x v="7"/>
  </r>
  <r>
    <n v="29498818887"/>
    <n v="248"/>
    <d v="2034-11-16T00:00:00"/>
    <s v=""/>
    <x v="5"/>
    <x v="0"/>
  </r>
  <r>
    <n v="94803224344"/>
    <n v="183"/>
    <d v="2034-11-16T00:00:00"/>
    <d v="2034-12-09T00:00:00"/>
    <x v="5"/>
    <x v="7"/>
  </r>
  <r>
    <n v="64134527904"/>
    <n v="325"/>
    <d v="2034-11-16T00:00:00"/>
    <s v=""/>
    <x v="5"/>
    <x v="0"/>
  </r>
  <r>
    <n v="20137768203"/>
    <n v="194"/>
    <d v="2034-11-16T00:00:00"/>
    <s v=""/>
    <x v="5"/>
    <x v="0"/>
  </r>
  <r>
    <n v="12300872134"/>
    <n v="312"/>
    <d v="2034-11-16T00:00:00"/>
    <d v="2034-11-24T00:00:00"/>
    <x v="5"/>
    <x v="6"/>
  </r>
  <r>
    <n v="42563412383"/>
    <n v="16"/>
    <d v="2034-11-16T00:00:00"/>
    <s v=""/>
    <x v="5"/>
    <x v="0"/>
  </r>
  <r>
    <n v="63411221171"/>
    <n v="248"/>
    <d v="2034-11-16T00:00:00"/>
    <s v=""/>
    <x v="5"/>
    <x v="0"/>
  </r>
  <r>
    <n v="81949384213"/>
    <n v="4"/>
    <d v="2034-11-16T00:00:00"/>
    <s v=""/>
    <x v="5"/>
    <x v="0"/>
  </r>
  <r>
    <n v="33873509357"/>
    <n v="181"/>
    <d v="2034-11-16T00:00:00"/>
    <s v=""/>
    <x v="5"/>
    <x v="0"/>
  </r>
  <r>
    <n v="18084650631"/>
    <n v="189"/>
    <d v="2034-11-16T00:00:00"/>
    <s v=""/>
    <x v="5"/>
    <x v="0"/>
  </r>
  <r>
    <n v="36134028023"/>
    <n v="167"/>
    <d v="2034-11-16T00:00:00"/>
    <s v=""/>
    <x v="5"/>
    <x v="0"/>
  </r>
  <r>
    <n v="65320466044"/>
    <n v="126"/>
    <d v="2034-11-16T00:00:00"/>
    <s v=""/>
    <x v="5"/>
    <x v="0"/>
  </r>
  <r>
    <n v="12698637272"/>
    <n v="263"/>
    <d v="2034-11-17T00:00:00"/>
    <s v=""/>
    <x v="5"/>
    <x v="0"/>
  </r>
  <r>
    <n v="86486644846"/>
    <n v="234"/>
    <d v="2034-11-17T00:00:00"/>
    <d v="2034-12-15T00:00:00"/>
    <x v="5"/>
    <x v="7"/>
  </r>
  <r>
    <n v="89857433923"/>
    <n v="295"/>
    <d v="2034-11-17T00:00:00"/>
    <d v="2035-01-08T00:00:00"/>
    <x v="5"/>
    <x v="8"/>
  </r>
  <r>
    <n v="65620783084"/>
    <n v="260"/>
    <d v="2034-11-17T00:00:00"/>
    <s v=""/>
    <x v="5"/>
    <x v="0"/>
  </r>
  <r>
    <n v="18467655177"/>
    <n v="333"/>
    <d v="2034-11-17T00:00:00"/>
    <s v=""/>
    <x v="5"/>
    <x v="0"/>
  </r>
  <r>
    <n v="70832689601"/>
    <n v="245"/>
    <d v="2034-11-17T00:00:00"/>
    <m/>
    <x v="5"/>
    <x v="0"/>
  </r>
  <r>
    <n v="82799935343"/>
    <n v="113"/>
    <d v="2034-11-17T00:00:00"/>
    <s v=""/>
    <x v="5"/>
    <x v="0"/>
  </r>
  <r>
    <n v="17232627930"/>
    <n v="73"/>
    <d v="2034-11-17T00:00:00"/>
    <s v=""/>
    <x v="5"/>
    <x v="0"/>
  </r>
  <r>
    <n v="72944097748"/>
    <n v="85"/>
    <d v="2034-11-17T00:00:00"/>
    <s v=""/>
    <x v="5"/>
    <x v="0"/>
  </r>
  <r>
    <n v="26074682008"/>
    <n v="47"/>
    <d v="2034-11-17T00:00:00"/>
    <d v="2035-01-19T00:00:00"/>
    <x v="5"/>
    <x v="8"/>
  </r>
  <r>
    <n v="95318950053"/>
    <n v="123"/>
    <d v="2034-11-17T00:00:00"/>
    <m/>
    <x v="5"/>
    <x v="0"/>
  </r>
  <r>
    <n v="83481885936"/>
    <n v="151"/>
    <d v="2034-11-17T00:00:00"/>
    <s v=""/>
    <x v="5"/>
    <x v="0"/>
  </r>
  <r>
    <n v="27654721895"/>
    <n v="185"/>
    <d v="2034-11-17T00:00:00"/>
    <s v=""/>
    <x v="5"/>
    <x v="0"/>
  </r>
  <r>
    <n v="88770137465"/>
    <n v="24"/>
    <d v="2034-11-17T00:00:00"/>
    <s v=""/>
    <x v="5"/>
    <x v="0"/>
  </r>
  <r>
    <n v="31096658165"/>
    <n v="4"/>
    <d v="2034-11-17T00:00:00"/>
    <s v=""/>
    <x v="5"/>
    <x v="0"/>
  </r>
  <r>
    <n v="18085620121"/>
    <n v="284"/>
    <d v="2034-11-17T00:00:00"/>
    <s v=""/>
    <x v="5"/>
    <x v="0"/>
  </r>
  <r>
    <n v="45342932450"/>
    <n v="122"/>
    <d v="2034-11-17T00:00:00"/>
    <m/>
    <x v="5"/>
    <x v="0"/>
  </r>
  <r>
    <n v="89398323256"/>
    <n v="307"/>
    <d v="2034-11-17T00:00:00"/>
    <s v=""/>
    <x v="5"/>
    <x v="0"/>
  </r>
  <r>
    <n v="82690247477"/>
    <n v="94"/>
    <d v="2034-11-17T00:00:00"/>
    <s v=""/>
    <x v="5"/>
    <x v="0"/>
  </r>
  <r>
    <n v="41481840506"/>
    <n v="5"/>
    <d v="2034-11-17T00:00:00"/>
    <m/>
    <x v="5"/>
    <x v="0"/>
  </r>
  <r>
    <n v="90343432275"/>
    <n v="248"/>
    <d v="2034-11-17T00:00:00"/>
    <m/>
    <x v="5"/>
    <x v="0"/>
  </r>
  <r>
    <n v="46808828159"/>
    <n v="88"/>
    <d v="2034-11-17T00:00:00"/>
    <d v="2034-12-13T00:00:00"/>
    <x v="5"/>
    <x v="7"/>
  </r>
  <r>
    <n v="76898559704"/>
    <n v="67"/>
    <d v="2034-11-17T00:00:00"/>
    <s v=""/>
    <x v="5"/>
    <x v="0"/>
  </r>
  <r>
    <n v="52054633037"/>
    <n v="199"/>
    <d v="2034-11-17T00:00:00"/>
    <s v=""/>
    <x v="5"/>
    <x v="0"/>
  </r>
  <r>
    <n v="52098768824"/>
    <n v="283"/>
    <d v="2034-11-17T00:00:00"/>
    <m/>
    <x v="5"/>
    <x v="0"/>
  </r>
  <r>
    <n v="44599506307"/>
    <n v="291"/>
    <d v="2034-11-17T00:00:00"/>
    <s v=""/>
    <x v="5"/>
    <x v="0"/>
  </r>
  <r>
    <n v="83037212775"/>
    <n v="135"/>
    <d v="2034-11-17T00:00:00"/>
    <d v="2034-12-18T00:00:00"/>
    <x v="5"/>
    <x v="7"/>
  </r>
  <r>
    <n v="72583810257"/>
    <n v="293"/>
    <d v="2034-11-17T00:00:00"/>
    <s v=""/>
    <x v="5"/>
    <x v="0"/>
  </r>
  <r>
    <n v="72695558763"/>
    <n v="206"/>
    <d v="2034-11-17T00:00:00"/>
    <m/>
    <x v="5"/>
    <x v="0"/>
  </r>
  <r>
    <n v="46981527014"/>
    <n v="132"/>
    <d v="2034-11-17T00:00:00"/>
    <s v=""/>
    <x v="5"/>
    <x v="0"/>
  </r>
  <r>
    <n v="87953159256"/>
    <n v="251"/>
    <d v="2034-11-17T00:00:00"/>
    <s v=""/>
    <x v="5"/>
    <x v="0"/>
  </r>
  <r>
    <n v="37631946141"/>
    <n v="79"/>
    <d v="2034-11-18T00:00:00"/>
    <s v=""/>
    <x v="5"/>
    <x v="0"/>
  </r>
  <r>
    <n v="87072811160"/>
    <n v="106"/>
    <d v="2034-11-18T00:00:00"/>
    <s v=""/>
    <x v="5"/>
    <x v="0"/>
  </r>
  <r>
    <n v="34035517710"/>
    <n v="260"/>
    <d v="2034-11-18T00:00:00"/>
    <d v="2035-01-03T00:00:00"/>
    <x v="5"/>
    <x v="8"/>
  </r>
  <r>
    <n v="24102427880"/>
    <n v="71"/>
    <d v="2034-11-18T00:00:00"/>
    <s v=""/>
    <x v="5"/>
    <x v="0"/>
  </r>
  <r>
    <n v="56822634299"/>
    <n v="213"/>
    <d v="2034-11-18T00:00:00"/>
    <m/>
    <x v="5"/>
    <x v="0"/>
  </r>
  <r>
    <n v="50312105178"/>
    <n v="260"/>
    <d v="2034-11-18T00:00:00"/>
    <s v=""/>
    <x v="5"/>
    <x v="0"/>
  </r>
  <r>
    <n v="78087745788"/>
    <n v="207"/>
    <d v="2034-11-18T00:00:00"/>
    <s v=""/>
    <x v="5"/>
    <x v="0"/>
  </r>
  <r>
    <n v="92409235715"/>
    <n v="243"/>
    <d v="2034-11-18T00:00:00"/>
    <s v=""/>
    <x v="5"/>
    <x v="0"/>
  </r>
  <r>
    <n v="50991613736"/>
    <n v="256"/>
    <d v="2034-11-18T00:00:00"/>
    <s v=""/>
    <x v="5"/>
    <x v="0"/>
  </r>
  <r>
    <n v="35929964437"/>
    <n v="102"/>
    <d v="2034-11-18T00:00:00"/>
    <s v=""/>
    <x v="5"/>
    <x v="0"/>
  </r>
  <r>
    <n v="63029781584"/>
    <n v="99"/>
    <d v="2034-11-18T00:00:00"/>
    <d v="2035-01-18T00:00:00"/>
    <x v="5"/>
    <x v="8"/>
  </r>
  <r>
    <n v="31750261502"/>
    <n v="39"/>
    <d v="2034-11-18T00:00:00"/>
    <s v=""/>
    <x v="5"/>
    <x v="0"/>
  </r>
  <r>
    <n v="31079500242"/>
    <n v="202"/>
    <d v="2034-11-18T00:00:00"/>
    <s v=""/>
    <x v="5"/>
    <x v="0"/>
  </r>
  <r>
    <n v="78001038729"/>
    <n v="146"/>
    <d v="2034-11-18T00:00:00"/>
    <s v=""/>
    <x v="5"/>
    <x v="0"/>
  </r>
  <r>
    <n v="73952029089"/>
    <n v="273"/>
    <d v="2034-11-18T00:00:00"/>
    <d v="2034-12-04T00:00:00"/>
    <x v="5"/>
    <x v="7"/>
  </r>
  <r>
    <n v="54014086838"/>
    <n v="80"/>
    <d v="2034-11-18T00:00:00"/>
    <s v=""/>
    <x v="5"/>
    <x v="0"/>
  </r>
  <r>
    <n v="88191603744"/>
    <n v="145"/>
    <d v="2034-11-18T00:00:00"/>
    <d v="2035-01-11T00:00:00"/>
    <x v="5"/>
    <x v="8"/>
  </r>
  <r>
    <n v="18701327395"/>
    <n v="225"/>
    <d v="2034-11-18T00:00:00"/>
    <s v=""/>
    <x v="5"/>
    <x v="0"/>
  </r>
  <r>
    <n v="71715021243"/>
    <n v="182"/>
    <d v="2034-11-18T00:00:00"/>
    <d v="2035-01-17T00:00:00"/>
    <x v="5"/>
    <x v="8"/>
  </r>
  <r>
    <n v="39871956989"/>
    <n v="111"/>
    <d v="2034-11-18T00:00:00"/>
    <s v=""/>
    <x v="5"/>
    <x v="0"/>
  </r>
  <r>
    <n v="17598896285"/>
    <n v="243"/>
    <d v="2034-11-18T00:00:00"/>
    <s v=""/>
    <x v="5"/>
    <x v="0"/>
  </r>
  <r>
    <n v="98543713499"/>
    <n v="275"/>
    <d v="2034-11-18T00:00:00"/>
    <s v=""/>
    <x v="5"/>
    <x v="0"/>
  </r>
  <r>
    <n v="53030689131"/>
    <n v="24"/>
    <d v="2034-11-18T00:00:00"/>
    <s v=""/>
    <x v="5"/>
    <x v="0"/>
  </r>
  <r>
    <n v="12846016709"/>
    <n v="86"/>
    <d v="2034-11-18T00:00:00"/>
    <d v="2034-12-22T00:00:00"/>
    <x v="5"/>
    <x v="7"/>
  </r>
  <r>
    <n v="66610021519"/>
    <n v="314"/>
    <d v="2034-11-18T00:00:00"/>
    <s v=""/>
    <x v="5"/>
    <x v="0"/>
  </r>
  <r>
    <n v="59376825520"/>
    <n v="189"/>
    <d v="2034-11-18T00:00:00"/>
    <d v="2034-12-12T00:00:00"/>
    <x v="5"/>
    <x v="7"/>
  </r>
  <r>
    <n v="50370570397"/>
    <n v="55"/>
    <d v="2034-11-19T00:00:00"/>
    <s v=""/>
    <x v="5"/>
    <x v="0"/>
  </r>
  <r>
    <n v="13162645740"/>
    <n v="109"/>
    <d v="2034-11-19T00:00:00"/>
    <s v=""/>
    <x v="5"/>
    <x v="0"/>
  </r>
  <r>
    <n v="87234895046"/>
    <n v="116"/>
    <d v="2034-11-19T00:00:00"/>
    <d v="2035-01-18T00:00:00"/>
    <x v="5"/>
    <x v="8"/>
  </r>
  <r>
    <n v="51230811262"/>
    <n v="118"/>
    <d v="2034-11-19T00:00:00"/>
    <s v=""/>
    <x v="5"/>
    <x v="0"/>
  </r>
  <r>
    <n v="93672024747"/>
    <n v="59"/>
    <d v="2034-11-19T00:00:00"/>
    <s v=""/>
    <x v="5"/>
    <x v="0"/>
  </r>
  <r>
    <n v="54884695408"/>
    <n v="283"/>
    <d v="2034-11-19T00:00:00"/>
    <s v=""/>
    <x v="5"/>
    <x v="0"/>
  </r>
  <r>
    <n v="68882859954"/>
    <n v="178"/>
    <d v="2034-11-19T00:00:00"/>
    <s v=""/>
    <x v="5"/>
    <x v="0"/>
  </r>
  <r>
    <n v="98590581377"/>
    <n v="134"/>
    <d v="2034-11-19T00:00:00"/>
    <s v=""/>
    <x v="5"/>
    <x v="0"/>
  </r>
  <r>
    <n v="65685006361"/>
    <n v="173"/>
    <d v="2034-11-19T00:00:00"/>
    <d v="2035-01-29T00:00:00"/>
    <x v="5"/>
    <x v="8"/>
  </r>
  <r>
    <n v="46164670856"/>
    <n v="229"/>
    <d v="2034-11-19T00:00:00"/>
    <s v=""/>
    <x v="5"/>
    <x v="0"/>
  </r>
  <r>
    <n v="37296429563"/>
    <n v="301"/>
    <d v="2034-11-19T00:00:00"/>
    <s v=""/>
    <x v="5"/>
    <x v="0"/>
  </r>
  <r>
    <n v="65507788999"/>
    <n v="255"/>
    <d v="2034-11-19T00:00:00"/>
    <s v=""/>
    <x v="5"/>
    <x v="0"/>
  </r>
  <r>
    <n v="59444632427"/>
    <n v="116"/>
    <d v="2034-11-19T00:00:00"/>
    <s v=""/>
    <x v="5"/>
    <x v="0"/>
  </r>
  <r>
    <n v="75678925969"/>
    <n v="73"/>
    <d v="2034-11-19T00:00:00"/>
    <s v=""/>
    <x v="5"/>
    <x v="0"/>
  </r>
  <r>
    <n v="61694291162"/>
    <n v="123"/>
    <d v="2034-11-19T00:00:00"/>
    <s v=""/>
    <x v="5"/>
    <x v="0"/>
  </r>
  <r>
    <n v="14107583990"/>
    <n v="269"/>
    <d v="2034-11-19T00:00:00"/>
    <s v=""/>
    <x v="5"/>
    <x v="0"/>
  </r>
  <r>
    <n v="31798423441"/>
    <n v="10"/>
    <d v="2034-11-19T00:00:00"/>
    <s v=""/>
    <x v="5"/>
    <x v="0"/>
  </r>
  <r>
    <n v="79884490354"/>
    <n v="256"/>
    <d v="2034-11-19T00:00:00"/>
    <s v=""/>
    <x v="5"/>
    <x v="0"/>
  </r>
  <r>
    <n v="69167776583"/>
    <n v="31"/>
    <d v="2034-11-19T00:00:00"/>
    <s v=""/>
    <x v="5"/>
    <x v="0"/>
  </r>
  <r>
    <n v="88523840001"/>
    <n v="155"/>
    <d v="2034-11-19T00:00:00"/>
    <d v="2035-01-14T00:00:00"/>
    <x v="5"/>
    <x v="8"/>
  </r>
  <r>
    <n v="18070486229"/>
    <n v="20"/>
    <d v="2034-11-19T00:00:00"/>
    <s v=""/>
    <x v="5"/>
    <x v="0"/>
  </r>
  <r>
    <n v="65068219089"/>
    <n v="321"/>
    <d v="2034-11-20T00:00:00"/>
    <s v=""/>
    <x v="5"/>
    <x v="0"/>
  </r>
  <r>
    <n v="47814090063"/>
    <n v="212"/>
    <d v="2034-11-20T00:00:00"/>
    <s v=""/>
    <x v="5"/>
    <x v="0"/>
  </r>
  <r>
    <n v="33217839078"/>
    <n v="334"/>
    <d v="2034-11-20T00:00:00"/>
    <s v=""/>
    <x v="5"/>
    <x v="0"/>
  </r>
  <r>
    <n v="66001243659"/>
    <n v="45"/>
    <d v="2034-11-20T00:00:00"/>
    <s v=""/>
    <x v="5"/>
    <x v="0"/>
  </r>
  <r>
    <n v="25073046978"/>
    <n v="83"/>
    <d v="2034-11-20T00:00:00"/>
    <d v="2035-01-24T00:00:00"/>
    <x v="5"/>
    <x v="8"/>
  </r>
  <r>
    <n v="62279007363"/>
    <n v="120"/>
    <d v="2034-11-20T00:00:00"/>
    <s v=""/>
    <x v="5"/>
    <x v="0"/>
  </r>
  <r>
    <n v="98922471036"/>
    <n v="183"/>
    <d v="2034-11-20T00:00:00"/>
    <s v=""/>
    <x v="5"/>
    <x v="0"/>
  </r>
  <r>
    <n v="36319986074"/>
    <n v="251"/>
    <d v="2034-11-20T00:00:00"/>
    <s v=""/>
    <x v="5"/>
    <x v="0"/>
  </r>
  <r>
    <n v="76373319974"/>
    <n v="133"/>
    <d v="2034-11-20T00:00:00"/>
    <s v=""/>
    <x v="5"/>
    <x v="0"/>
  </r>
  <r>
    <n v="62773294003"/>
    <n v="151"/>
    <d v="2034-11-20T00:00:00"/>
    <s v=""/>
    <x v="5"/>
    <x v="0"/>
  </r>
  <r>
    <n v="64555196268"/>
    <n v="315"/>
    <d v="2034-11-20T00:00:00"/>
    <s v=""/>
    <x v="5"/>
    <x v="0"/>
  </r>
  <r>
    <n v="98668457720"/>
    <n v="4"/>
    <d v="2034-11-20T00:00:00"/>
    <d v="2034-11-21T00:00:00"/>
    <x v="5"/>
    <x v="6"/>
  </r>
  <r>
    <n v="16760651855"/>
    <n v="265"/>
    <d v="2034-11-20T00:00:00"/>
    <d v="2035-01-16T00:00:00"/>
    <x v="5"/>
    <x v="8"/>
  </r>
  <r>
    <n v="84035655464"/>
    <n v="271"/>
    <d v="2034-11-20T00:00:00"/>
    <d v="2034-11-22T00:00:00"/>
    <x v="5"/>
    <x v="6"/>
  </r>
  <r>
    <n v="75280412242"/>
    <n v="30"/>
    <d v="2034-11-20T00:00:00"/>
    <s v=""/>
    <x v="5"/>
    <x v="0"/>
  </r>
  <r>
    <n v="58284880441"/>
    <n v="251"/>
    <d v="2034-11-20T00:00:00"/>
    <s v=""/>
    <x v="5"/>
    <x v="0"/>
  </r>
  <r>
    <n v="39412044330"/>
    <n v="291"/>
    <d v="2034-11-20T00:00:00"/>
    <m/>
    <x v="5"/>
    <x v="0"/>
  </r>
  <r>
    <n v="98178258801"/>
    <n v="107"/>
    <d v="2034-11-20T00:00:00"/>
    <s v=""/>
    <x v="5"/>
    <x v="0"/>
  </r>
  <r>
    <n v="80429463334"/>
    <n v="324"/>
    <d v="2034-11-20T00:00:00"/>
    <s v=""/>
    <x v="5"/>
    <x v="0"/>
  </r>
  <r>
    <n v="11736826939"/>
    <n v="240"/>
    <d v="2034-11-20T00:00:00"/>
    <s v=""/>
    <x v="5"/>
    <x v="0"/>
  </r>
  <r>
    <n v="27836161973"/>
    <n v="315"/>
    <d v="2034-11-20T00:00:00"/>
    <s v=""/>
    <x v="5"/>
    <x v="0"/>
  </r>
  <r>
    <n v="87149222963"/>
    <n v="261"/>
    <d v="2034-11-20T00:00:00"/>
    <s v=""/>
    <x v="5"/>
    <x v="0"/>
  </r>
  <r>
    <n v="39866030338"/>
    <n v="19"/>
    <d v="2034-11-20T00:00:00"/>
    <s v=""/>
    <x v="5"/>
    <x v="0"/>
  </r>
  <r>
    <n v="26000952558"/>
    <n v="328"/>
    <d v="2034-11-20T00:00:00"/>
    <m/>
    <x v="5"/>
    <x v="0"/>
  </r>
  <r>
    <n v="20905770356"/>
    <n v="144"/>
    <d v="2034-11-20T00:00:00"/>
    <s v=""/>
    <x v="5"/>
    <x v="0"/>
  </r>
  <r>
    <n v="35735244083"/>
    <n v="225"/>
    <d v="2034-11-21T00:00:00"/>
    <s v=""/>
    <x v="5"/>
    <x v="0"/>
  </r>
  <r>
    <n v="51226393828"/>
    <n v="207"/>
    <d v="2034-11-21T00:00:00"/>
    <m/>
    <x v="5"/>
    <x v="0"/>
  </r>
  <r>
    <n v="55800241500"/>
    <n v="139"/>
    <d v="2034-11-21T00:00:00"/>
    <s v=""/>
    <x v="5"/>
    <x v="0"/>
  </r>
  <r>
    <n v="35104413736"/>
    <n v="265"/>
    <d v="2034-11-21T00:00:00"/>
    <s v=""/>
    <x v="5"/>
    <x v="0"/>
  </r>
  <r>
    <n v="31021273415"/>
    <n v="199"/>
    <d v="2034-11-21T00:00:00"/>
    <s v=""/>
    <x v="5"/>
    <x v="0"/>
  </r>
  <r>
    <n v="36561991052"/>
    <n v="162"/>
    <d v="2034-11-21T00:00:00"/>
    <s v=""/>
    <x v="5"/>
    <x v="0"/>
  </r>
  <r>
    <n v="89359331926"/>
    <n v="92"/>
    <d v="2034-11-21T00:00:00"/>
    <d v="2035-01-03T00:00:00"/>
    <x v="5"/>
    <x v="8"/>
  </r>
  <r>
    <n v="18676119644"/>
    <n v="292"/>
    <d v="2034-11-21T00:00:00"/>
    <s v=""/>
    <x v="5"/>
    <x v="0"/>
  </r>
  <r>
    <n v="54019228798"/>
    <n v="3"/>
    <d v="2034-11-21T00:00:00"/>
    <s v=""/>
    <x v="5"/>
    <x v="0"/>
  </r>
  <r>
    <n v="94813422740"/>
    <n v="241"/>
    <d v="2034-11-21T00:00:00"/>
    <s v=""/>
    <x v="5"/>
    <x v="0"/>
  </r>
  <r>
    <n v="90765409843"/>
    <n v="252"/>
    <d v="2034-11-21T00:00:00"/>
    <s v=""/>
    <x v="5"/>
    <x v="0"/>
  </r>
  <r>
    <n v="36178042663"/>
    <n v="46"/>
    <d v="2034-11-21T00:00:00"/>
    <d v="2035-01-03T00:00:00"/>
    <x v="5"/>
    <x v="8"/>
  </r>
  <r>
    <n v="55868206515"/>
    <n v="243"/>
    <d v="2034-11-21T00:00:00"/>
    <s v=""/>
    <x v="5"/>
    <x v="0"/>
  </r>
  <r>
    <n v="99419415781"/>
    <n v="8"/>
    <d v="2034-11-21T00:00:00"/>
    <s v=""/>
    <x v="5"/>
    <x v="0"/>
  </r>
  <r>
    <n v="66919867849"/>
    <n v="161"/>
    <d v="2034-11-21T00:00:00"/>
    <d v="2035-01-26T00:00:00"/>
    <x v="5"/>
    <x v="8"/>
  </r>
  <r>
    <n v="71995384413"/>
    <n v="54"/>
    <d v="2034-11-21T00:00:00"/>
    <s v=""/>
    <x v="5"/>
    <x v="0"/>
  </r>
  <r>
    <n v="95580584902"/>
    <n v="68"/>
    <d v="2034-11-21T00:00:00"/>
    <s v=""/>
    <x v="5"/>
    <x v="0"/>
  </r>
  <r>
    <n v="34782204276"/>
    <n v="305"/>
    <d v="2034-11-21T00:00:00"/>
    <s v=""/>
    <x v="5"/>
    <x v="0"/>
  </r>
  <r>
    <n v="22996131808"/>
    <n v="197"/>
    <d v="2034-11-21T00:00:00"/>
    <s v=""/>
    <x v="5"/>
    <x v="0"/>
  </r>
  <r>
    <n v="83572492495"/>
    <n v="172"/>
    <d v="2034-11-21T00:00:00"/>
    <s v=""/>
    <x v="5"/>
    <x v="0"/>
  </r>
  <r>
    <n v="92129524955"/>
    <n v="5"/>
    <d v="2034-11-21T00:00:00"/>
    <s v=""/>
    <x v="5"/>
    <x v="0"/>
  </r>
  <r>
    <n v="78185404509"/>
    <n v="82"/>
    <d v="2034-11-21T00:00:00"/>
    <s v=""/>
    <x v="5"/>
    <x v="0"/>
  </r>
  <r>
    <n v="49177858995"/>
    <n v="155"/>
    <d v="2034-11-21T00:00:00"/>
    <s v=""/>
    <x v="5"/>
    <x v="0"/>
  </r>
  <r>
    <n v="52023818447"/>
    <n v="145"/>
    <d v="2034-11-22T00:00:00"/>
    <s v=""/>
    <x v="5"/>
    <x v="0"/>
  </r>
  <r>
    <n v="22926441682"/>
    <n v="248"/>
    <d v="2034-11-22T00:00:00"/>
    <s v=""/>
    <x v="5"/>
    <x v="0"/>
  </r>
  <r>
    <n v="45492457300"/>
    <n v="123"/>
    <d v="2034-11-22T00:00:00"/>
    <s v=""/>
    <x v="5"/>
    <x v="0"/>
  </r>
  <r>
    <n v="39808172054"/>
    <n v="159"/>
    <d v="2034-11-22T00:00:00"/>
    <s v=""/>
    <x v="5"/>
    <x v="0"/>
  </r>
  <r>
    <n v="33368631202"/>
    <n v="197"/>
    <d v="2034-11-22T00:00:00"/>
    <s v=""/>
    <x v="5"/>
    <x v="0"/>
  </r>
  <r>
    <n v="59254907711"/>
    <n v="18"/>
    <d v="2034-11-22T00:00:00"/>
    <s v=""/>
    <x v="5"/>
    <x v="0"/>
  </r>
  <r>
    <n v="68140774138"/>
    <n v="301"/>
    <d v="2034-11-22T00:00:00"/>
    <s v=""/>
    <x v="5"/>
    <x v="0"/>
  </r>
  <r>
    <n v="75258985616"/>
    <n v="139"/>
    <d v="2034-11-22T00:00:00"/>
    <s v=""/>
    <x v="5"/>
    <x v="0"/>
  </r>
  <r>
    <n v="53134780086"/>
    <n v="95"/>
    <d v="2034-11-22T00:00:00"/>
    <s v=""/>
    <x v="5"/>
    <x v="0"/>
  </r>
  <r>
    <n v="59604264455"/>
    <n v="233"/>
    <d v="2034-11-22T00:00:00"/>
    <s v=""/>
    <x v="5"/>
    <x v="0"/>
  </r>
  <r>
    <n v="76944312784"/>
    <n v="191"/>
    <d v="2034-11-22T00:00:00"/>
    <s v=""/>
    <x v="5"/>
    <x v="0"/>
  </r>
  <r>
    <n v="95985917820"/>
    <n v="12"/>
    <d v="2034-11-22T00:00:00"/>
    <s v=""/>
    <x v="5"/>
    <x v="0"/>
  </r>
  <r>
    <n v="47242552789"/>
    <n v="300"/>
    <d v="2034-11-22T00:00:00"/>
    <d v="2035-01-04T00:00:00"/>
    <x v="5"/>
    <x v="8"/>
  </r>
  <r>
    <n v="79801640063"/>
    <n v="39"/>
    <d v="2034-11-22T00:00:00"/>
    <m/>
    <x v="5"/>
    <x v="0"/>
  </r>
  <r>
    <n v="36703837356"/>
    <n v="244"/>
    <d v="2034-11-22T00:00:00"/>
    <s v=""/>
    <x v="5"/>
    <x v="0"/>
  </r>
  <r>
    <n v="59330805550"/>
    <n v="214"/>
    <d v="2034-11-22T00:00:00"/>
    <s v=""/>
    <x v="5"/>
    <x v="0"/>
  </r>
  <r>
    <n v="16383095766"/>
    <n v="109"/>
    <d v="2034-11-22T00:00:00"/>
    <s v=""/>
    <x v="5"/>
    <x v="0"/>
  </r>
  <r>
    <n v="54060714489"/>
    <n v="160"/>
    <d v="2034-11-22T00:00:00"/>
    <s v=""/>
    <x v="5"/>
    <x v="0"/>
  </r>
  <r>
    <n v="87910798088"/>
    <n v="319"/>
    <d v="2034-11-22T00:00:00"/>
    <s v=""/>
    <x v="5"/>
    <x v="0"/>
  </r>
  <r>
    <n v="81551614370"/>
    <n v="111"/>
    <d v="2034-11-22T00:00:00"/>
    <d v="2034-12-13T00:00:00"/>
    <x v="5"/>
    <x v="7"/>
  </r>
  <r>
    <n v="40997574398"/>
    <n v="282"/>
    <d v="2034-11-23T00:00:00"/>
    <s v=""/>
    <x v="5"/>
    <x v="0"/>
  </r>
  <r>
    <n v="84662883166"/>
    <n v="202"/>
    <d v="2034-11-23T00:00:00"/>
    <s v=""/>
    <x v="5"/>
    <x v="0"/>
  </r>
  <r>
    <n v="87261394857"/>
    <n v="217"/>
    <d v="2034-11-23T00:00:00"/>
    <s v=""/>
    <x v="5"/>
    <x v="0"/>
  </r>
  <r>
    <n v="97263954840"/>
    <n v="6"/>
    <d v="2034-11-23T00:00:00"/>
    <s v=""/>
    <x v="5"/>
    <x v="0"/>
  </r>
  <r>
    <n v="28041546507"/>
    <n v="234"/>
    <d v="2034-11-23T00:00:00"/>
    <s v=""/>
    <x v="5"/>
    <x v="0"/>
  </r>
  <r>
    <n v="73944566144"/>
    <n v="271"/>
    <d v="2034-11-23T00:00:00"/>
    <s v=""/>
    <x v="5"/>
    <x v="0"/>
  </r>
  <r>
    <n v="30600492397"/>
    <n v="128"/>
    <d v="2034-11-23T00:00:00"/>
    <s v=""/>
    <x v="5"/>
    <x v="0"/>
  </r>
  <r>
    <n v="22959667528"/>
    <n v="62"/>
    <d v="2034-11-23T00:00:00"/>
    <s v=""/>
    <x v="5"/>
    <x v="0"/>
  </r>
  <r>
    <n v="90356718998"/>
    <n v="191"/>
    <d v="2034-11-23T00:00:00"/>
    <s v=""/>
    <x v="5"/>
    <x v="0"/>
  </r>
  <r>
    <n v="40820609792"/>
    <n v="332"/>
    <d v="2034-11-23T00:00:00"/>
    <d v="2034-12-10T00:00:00"/>
    <x v="5"/>
    <x v="7"/>
  </r>
  <r>
    <n v="33467572989"/>
    <n v="39"/>
    <d v="2034-11-23T00:00:00"/>
    <m/>
    <x v="5"/>
    <x v="0"/>
  </r>
  <r>
    <n v="27725222625"/>
    <n v="253"/>
    <d v="2034-11-24T00:00:00"/>
    <s v=""/>
    <x v="5"/>
    <x v="0"/>
  </r>
  <r>
    <n v="47732649103"/>
    <n v="228"/>
    <d v="2034-11-24T00:00:00"/>
    <s v=""/>
    <x v="5"/>
    <x v="0"/>
  </r>
  <r>
    <n v="20949122028"/>
    <n v="27"/>
    <d v="2034-11-24T00:00:00"/>
    <s v=""/>
    <x v="5"/>
    <x v="0"/>
  </r>
  <r>
    <n v="14153045437"/>
    <n v="173"/>
    <d v="2034-11-24T00:00:00"/>
    <s v=""/>
    <x v="5"/>
    <x v="0"/>
  </r>
  <r>
    <n v="80450980221"/>
    <n v="137"/>
    <d v="2034-11-24T00:00:00"/>
    <m/>
    <x v="5"/>
    <x v="0"/>
  </r>
  <r>
    <n v="66882742440"/>
    <n v="314"/>
    <d v="2034-11-24T00:00:00"/>
    <s v=""/>
    <x v="5"/>
    <x v="0"/>
  </r>
  <r>
    <n v="99006599416"/>
    <n v="156"/>
    <d v="2034-11-24T00:00:00"/>
    <s v=""/>
    <x v="5"/>
    <x v="0"/>
  </r>
  <r>
    <n v="52877378946"/>
    <n v="220"/>
    <d v="2034-11-24T00:00:00"/>
    <s v=""/>
    <x v="5"/>
    <x v="0"/>
  </r>
  <r>
    <n v="57356544606"/>
    <n v="257"/>
    <d v="2034-11-24T00:00:00"/>
    <s v=""/>
    <x v="5"/>
    <x v="0"/>
  </r>
  <r>
    <n v="29394518871"/>
    <n v="38"/>
    <d v="2034-11-24T00:00:00"/>
    <s v=""/>
    <x v="5"/>
    <x v="0"/>
  </r>
  <r>
    <n v="49154737793"/>
    <n v="283"/>
    <d v="2034-11-24T00:00:00"/>
    <s v=""/>
    <x v="5"/>
    <x v="0"/>
  </r>
  <r>
    <n v="61728585537"/>
    <n v="16"/>
    <d v="2034-11-24T00:00:00"/>
    <s v=""/>
    <x v="5"/>
    <x v="0"/>
  </r>
  <r>
    <n v="83410709879"/>
    <n v="323"/>
    <d v="2034-11-24T00:00:00"/>
    <s v=""/>
    <x v="5"/>
    <x v="0"/>
  </r>
  <r>
    <n v="61302373410"/>
    <n v="221"/>
    <d v="2034-11-24T00:00:00"/>
    <s v=""/>
    <x v="5"/>
    <x v="0"/>
  </r>
  <r>
    <n v="79568296075"/>
    <n v="292"/>
    <d v="2034-11-24T00:00:00"/>
    <s v=""/>
    <x v="5"/>
    <x v="0"/>
  </r>
  <r>
    <n v="88335015980"/>
    <n v="292"/>
    <d v="2034-11-24T00:00:00"/>
    <s v=""/>
    <x v="5"/>
    <x v="0"/>
  </r>
  <r>
    <n v="96581137274"/>
    <n v="186"/>
    <d v="2034-11-24T00:00:00"/>
    <s v=""/>
    <x v="5"/>
    <x v="0"/>
  </r>
  <r>
    <n v="94390228783"/>
    <n v="206"/>
    <d v="2034-11-24T00:00:00"/>
    <s v=""/>
    <x v="5"/>
    <x v="0"/>
  </r>
  <r>
    <n v="36385144350"/>
    <n v="178"/>
    <d v="2034-11-24T00:00:00"/>
    <d v="2035-01-31T00:00:00"/>
    <x v="5"/>
    <x v="8"/>
  </r>
  <r>
    <n v="55359697053"/>
    <n v="162"/>
    <d v="2034-11-24T00:00:00"/>
    <s v=""/>
    <x v="5"/>
    <x v="0"/>
  </r>
  <r>
    <n v="31426312232"/>
    <n v="232"/>
    <d v="2034-11-24T00:00:00"/>
    <s v=""/>
    <x v="5"/>
    <x v="0"/>
  </r>
  <r>
    <n v="15119088396"/>
    <n v="174"/>
    <d v="2034-11-24T00:00:00"/>
    <s v=""/>
    <x v="5"/>
    <x v="0"/>
  </r>
  <r>
    <n v="80636571424"/>
    <n v="144"/>
    <d v="2034-11-24T00:00:00"/>
    <s v=""/>
    <x v="5"/>
    <x v="0"/>
  </r>
  <r>
    <n v="77604470688"/>
    <n v="333"/>
    <d v="2034-11-24T00:00:00"/>
    <s v=""/>
    <x v="5"/>
    <x v="0"/>
  </r>
  <r>
    <n v="87307626046"/>
    <n v="154"/>
    <d v="2034-11-24T00:00:00"/>
    <s v=""/>
    <x v="5"/>
    <x v="0"/>
  </r>
  <r>
    <n v="64865149525"/>
    <n v="157"/>
    <d v="2034-11-24T00:00:00"/>
    <s v=""/>
    <x v="5"/>
    <x v="0"/>
  </r>
  <r>
    <n v="73004274959"/>
    <n v="28"/>
    <d v="2034-11-24T00:00:00"/>
    <s v=""/>
    <x v="5"/>
    <x v="0"/>
  </r>
  <r>
    <n v="94209959148"/>
    <n v="92"/>
    <d v="2034-11-24T00:00:00"/>
    <m/>
    <x v="5"/>
    <x v="0"/>
  </r>
  <r>
    <n v="36847018833"/>
    <n v="263"/>
    <d v="2034-11-25T00:00:00"/>
    <s v=""/>
    <x v="5"/>
    <x v="0"/>
  </r>
  <r>
    <n v="45914517841"/>
    <n v="173"/>
    <d v="2034-11-25T00:00:00"/>
    <s v=""/>
    <x v="5"/>
    <x v="0"/>
  </r>
  <r>
    <n v="61494206695"/>
    <n v="32"/>
    <d v="2034-11-25T00:00:00"/>
    <s v=""/>
    <x v="5"/>
    <x v="0"/>
  </r>
  <r>
    <n v="96531761969"/>
    <n v="304"/>
    <d v="2034-11-25T00:00:00"/>
    <s v=""/>
    <x v="5"/>
    <x v="0"/>
  </r>
  <r>
    <n v="12736986281"/>
    <n v="268"/>
    <d v="2034-11-25T00:00:00"/>
    <s v=""/>
    <x v="5"/>
    <x v="0"/>
  </r>
  <r>
    <n v="70238556159"/>
    <n v="113"/>
    <d v="2034-11-25T00:00:00"/>
    <s v=""/>
    <x v="5"/>
    <x v="0"/>
  </r>
  <r>
    <n v="59998652723"/>
    <n v="192"/>
    <d v="2034-11-25T00:00:00"/>
    <s v=""/>
    <x v="5"/>
    <x v="0"/>
  </r>
  <r>
    <n v="82196778735"/>
    <n v="332"/>
    <d v="2034-11-25T00:00:00"/>
    <s v=""/>
    <x v="5"/>
    <x v="0"/>
  </r>
  <r>
    <n v="81030984928"/>
    <n v="42"/>
    <d v="2034-11-25T00:00:00"/>
    <s v=""/>
    <x v="5"/>
    <x v="0"/>
  </r>
  <r>
    <n v="87176127120"/>
    <n v="182"/>
    <d v="2034-11-25T00:00:00"/>
    <s v=""/>
    <x v="5"/>
    <x v="0"/>
  </r>
  <r>
    <n v="75932022880"/>
    <n v="87"/>
    <d v="2034-11-25T00:00:00"/>
    <d v="2034-11-25T00:00:00"/>
    <x v="5"/>
    <x v="6"/>
  </r>
  <r>
    <n v="64352160360"/>
    <n v="337"/>
    <d v="2034-11-25T00:00:00"/>
    <s v=""/>
    <x v="5"/>
    <x v="0"/>
  </r>
  <r>
    <n v="47058615002"/>
    <n v="211"/>
    <d v="2034-11-25T00:00:00"/>
    <d v="2034-12-26T00:00:00"/>
    <x v="5"/>
    <x v="7"/>
  </r>
  <r>
    <n v="13601186592"/>
    <n v="294"/>
    <d v="2034-11-25T00:00:00"/>
    <s v=""/>
    <x v="5"/>
    <x v="0"/>
  </r>
  <r>
    <n v="56439109113"/>
    <n v="66"/>
    <d v="2034-11-25T00:00:00"/>
    <s v=""/>
    <x v="5"/>
    <x v="0"/>
  </r>
  <r>
    <n v="79548225375"/>
    <n v="192"/>
    <d v="2034-11-25T00:00:00"/>
    <s v=""/>
    <x v="5"/>
    <x v="0"/>
  </r>
  <r>
    <n v="97053427106"/>
    <n v="321"/>
    <d v="2034-11-25T00:00:00"/>
    <d v="2035-01-01T00:00:00"/>
    <x v="5"/>
    <x v="8"/>
  </r>
  <r>
    <n v="84185483929"/>
    <n v="203"/>
    <d v="2034-11-25T00:00:00"/>
    <d v="2034-12-12T00:00:00"/>
    <x v="5"/>
    <x v="7"/>
  </r>
  <r>
    <n v="45736612866"/>
    <n v="9"/>
    <d v="2034-11-25T00:00:00"/>
    <s v=""/>
    <x v="5"/>
    <x v="0"/>
  </r>
  <r>
    <n v="87595519398"/>
    <n v="175"/>
    <d v="2034-11-25T00:00:00"/>
    <m/>
    <x v="5"/>
    <x v="0"/>
  </r>
  <r>
    <n v="37669411114"/>
    <n v="7"/>
    <d v="2034-11-25T00:00:00"/>
    <s v=""/>
    <x v="5"/>
    <x v="0"/>
  </r>
  <r>
    <n v="12301713788"/>
    <n v="117"/>
    <d v="2034-11-25T00:00:00"/>
    <m/>
    <x v="5"/>
    <x v="0"/>
  </r>
  <r>
    <n v="56601096689"/>
    <n v="314"/>
    <d v="2034-11-25T00:00:00"/>
    <s v=""/>
    <x v="5"/>
    <x v="0"/>
  </r>
  <r>
    <n v="75336218247"/>
    <n v="16"/>
    <d v="2034-11-25T00:00:00"/>
    <s v=""/>
    <x v="5"/>
    <x v="0"/>
  </r>
  <r>
    <n v="66818726574"/>
    <n v="63"/>
    <d v="2034-11-26T00:00:00"/>
    <s v=""/>
    <x v="5"/>
    <x v="0"/>
  </r>
  <r>
    <n v="53374776573"/>
    <n v="84"/>
    <d v="2034-11-26T00:00:00"/>
    <s v=""/>
    <x v="5"/>
    <x v="0"/>
  </r>
  <r>
    <n v="15199407618"/>
    <n v="185"/>
    <d v="2034-11-26T00:00:00"/>
    <s v=""/>
    <x v="5"/>
    <x v="0"/>
  </r>
  <r>
    <n v="45921928864"/>
    <n v="9"/>
    <d v="2034-11-26T00:00:00"/>
    <s v=""/>
    <x v="5"/>
    <x v="0"/>
  </r>
  <r>
    <n v="30101894519"/>
    <n v="301"/>
    <d v="2034-11-26T00:00:00"/>
    <s v=""/>
    <x v="5"/>
    <x v="0"/>
  </r>
  <r>
    <n v="37470931549"/>
    <n v="175"/>
    <d v="2034-11-26T00:00:00"/>
    <s v=""/>
    <x v="5"/>
    <x v="0"/>
  </r>
  <r>
    <n v="56386361476"/>
    <n v="275"/>
    <d v="2034-11-26T00:00:00"/>
    <s v=""/>
    <x v="5"/>
    <x v="0"/>
  </r>
  <r>
    <n v="21291446773"/>
    <n v="54"/>
    <d v="2034-11-26T00:00:00"/>
    <s v=""/>
    <x v="5"/>
    <x v="0"/>
  </r>
  <r>
    <n v="48129028288"/>
    <n v="171"/>
    <d v="2034-11-26T00:00:00"/>
    <s v=""/>
    <x v="5"/>
    <x v="0"/>
  </r>
  <r>
    <n v="99326429568"/>
    <n v="312"/>
    <d v="2034-11-26T00:00:00"/>
    <s v=""/>
    <x v="5"/>
    <x v="0"/>
  </r>
  <r>
    <n v="76236844312"/>
    <n v="208"/>
    <d v="2034-11-26T00:00:00"/>
    <s v=""/>
    <x v="5"/>
    <x v="0"/>
  </r>
  <r>
    <n v="80899852413"/>
    <n v="40"/>
    <d v="2034-11-26T00:00:00"/>
    <s v=""/>
    <x v="5"/>
    <x v="0"/>
  </r>
  <r>
    <n v="71665296166"/>
    <n v="315"/>
    <d v="2034-11-26T00:00:00"/>
    <s v=""/>
    <x v="5"/>
    <x v="0"/>
  </r>
  <r>
    <n v="30347081447"/>
    <n v="156"/>
    <d v="2034-11-26T00:00:00"/>
    <m/>
    <x v="5"/>
    <x v="0"/>
  </r>
  <r>
    <n v="22984085120"/>
    <n v="228"/>
    <d v="2034-11-26T00:00:00"/>
    <s v=""/>
    <x v="5"/>
    <x v="0"/>
  </r>
  <r>
    <n v="55709499360"/>
    <n v="135"/>
    <d v="2034-11-26T00:00:00"/>
    <s v=""/>
    <x v="5"/>
    <x v="0"/>
  </r>
  <r>
    <n v="45422941331"/>
    <n v="215"/>
    <d v="2034-11-26T00:00:00"/>
    <s v=""/>
    <x v="5"/>
    <x v="0"/>
  </r>
  <r>
    <n v="38557881418"/>
    <n v="310"/>
    <d v="2034-11-26T00:00:00"/>
    <s v=""/>
    <x v="5"/>
    <x v="0"/>
  </r>
  <r>
    <n v="25227939198"/>
    <n v="315"/>
    <d v="2034-11-26T00:00:00"/>
    <s v=""/>
    <x v="5"/>
    <x v="0"/>
  </r>
  <r>
    <n v="29396600050"/>
    <n v="13"/>
    <d v="2034-11-26T00:00:00"/>
    <s v=""/>
    <x v="5"/>
    <x v="0"/>
  </r>
  <r>
    <n v="17580087925"/>
    <n v="245"/>
    <d v="2034-11-26T00:00:00"/>
    <s v=""/>
    <x v="5"/>
    <x v="0"/>
  </r>
  <r>
    <n v="96307925569"/>
    <n v="14"/>
    <d v="2034-11-26T00:00:00"/>
    <s v=""/>
    <x v="5"/>
    <x v="0"/>
  </r>
  <r>
    <n v="39918711944"/>
    <n v="118"/>
    <d v="2034-11-26T00:00:00"/>
    <s v=""/>
    <x v="5"/>
    <x v="0"/>
  </r>
  <r>
    <n v="56868904870"/>
    <n v="210"/>
    <d v="2034-11-26T00:00:00"/>
    <s v=""/>
    <x v="5"/>
    <x v="0"/>
  </r>
  <r>
    <n v="12402051735"/>
    <n v="254"/>
    <d v="2034-11-26T00:00:00"/>
    <d v="2034-12-17T00:00:00"/>
    <x v="5"/>
    <x v="7"/>
  </r>
  <r>
    <n v="76356943713"/>
    <n v="268"/>
    <d v="2034-11-26T00:00:00"/>
    <s v=""/>
    <x v="5"/>
    <x v="0"/>
  </r>
  <r>
    <n v="29444368039"/>
    <n v="226"/>
    <d v="2034-11-26T00:00:00"/>
    <s v=""/>
    <x v="5"/>
    <x v="0"/>
  </r>
  <r>
    <n v="62857026470"/>
    <n v="275"/>
    <d v="2034-11-26T00:00:00"/>
    <s v=""/>
    <x v="5"/>
    <x v="0"/>
  </r>
  <r>
    <n v="71179547966"/>
    <n v="125"/>
    <d v="2034-11-26T00:00:00"/>
    <d v="2035-01-12T00:00:00"/>
    <x v="5"/>
    <x v="8"/>
  </r>
  <r>
    <n v="29740865910"/>
    <n v="277"/>
    <d v="2034-11-27T00:00:00"/>
    <s v=""/>
    <x v="5"/>
    <x v="0"/>
  </r>
  <r>
    <n v="43604527256"/>
    <n v="274"/>
    <d v="2034-11-27T00:00:00"/>
    <s v=""/>
    <x v="5"/>
    <x v="0"/>
  </r>
  <r>
    <n v="30873619833"/>
    <n v="286"/>
    <d v="2034-11-27T00:00:00"/>
    <s v=""/>
    <x v="5"/>
    <x v="0"/>
  </r>
  <r>
    <n v="71987675368"/>
    <n v="28"/>
    <d v="2034-11-27T00:00:00"/>
    <s v=""/>
    <x v="5"/>
    <x v="0"/>
  </r>
  <r>
    <n v="79662914943"/>
    <n v="69"/>
    <d v="2034-11-27T00:00:00"/>
    <s v=""/>
    <x v="5"/>
    <x v="0"/>
  </r>
  <r>
    <n v="30697506390"/>
    <n v="188"/>
    <d v="2034-11-27T00:00:00"/>
    <d v="2034-12-23T00:00:00"/>
    <x v="5"/>
    <x v="7"/>
  </r>
  <r>
    <n v="83192032056"/>
    <n v="298"/>
    <d v="2034-11-27T00:00:00"/>
    <s v=""/>
    <x v="5"/>
    <x v="0"/>
  </r>
  <r>
    <n v="41456465546"/>
    <n v="6"/>
    <d v="2034-11-27T00:00:00"/>
    <s v=""/>
    <x v="5"/>
    <x v="0"/>
  </r>
  <r>
    <n v="17414838629"/>
    <n v="92"/>
    <d v="2034-11-27T00:00:00"/>
    <s v=""/>
    <x v="5"/>
    <x v="0"/>
  </r>
  <r>
    <n v="39532468489"/>
    <n v="53"/>
    <d v="2034-11-27T00:00:00"/>
    <s v=""/>
    <x v="5"/>
    <x v="0"/>
  </r>
  <r>
    <n v="59053992093"/>
    <n v="68"/>
    <d v="2034-11-27T00:00:00"/>
    <m/>
    <x v="5"/>
    <x v="0"/>
  </r>
  <r>
    <n v="90707605293"/>
    <n v="206"/>
    <d v="2034-11-27T00:00:00"/>
    <s v=""/>
    <x v="5"/>
    <x v="0"/>
  </r>
  <r>
    <n v="11951834709"/>
    <n v="136"/>
    <d v="2034-11-27T00:00:00"/>
    <s v=""/>
    <x v="5"/>
    <x v="0"/>
  </r>
  <r>
    <n v="46235679482"/>
    <n v="70"/>
    <d v="2034-11-27T00:00:00"/>
    <s v=""/>
    <x v="5"/>
    <x v="0"/>
  </r>
  <r>
    <n v="20036531474"/>
    <n v="23"/>
    <d v="2034-11-27T00:00:00"/>
    <s v=""/>
    <x v="5"/>
    <x v="0"/>
  </r>
  <r>
    <n v="29009401907"/>
    <n v="60"/>
    <d v="2034-11-27T00:00:00"/>
    <s v=""/>
    <x v="5"/>
    <x v="0"/>
  </r>
  <r>
    <n v="42029583541"/>
    <n v="334"/>
    <d v="2034-11-27T00:00:00"/>
    <m/>
    <x v="5"/>
    <x v="0"/>
  </r>
  <r>
    <n v="53502039245"/>
    <n v="324"/>
    <d v="2034-11-27T00:00:00"/>
    <s v=""/>
    <x v="5"/>
    <x v="0"/>
  </r>
  <r>
    <n v="54035600658"/>
    <n v="161"/>
    <d v="2034-11-27T00:00:00"/>
    <s v=""/>
    <x v="5"/>
    <x v="0"/>
  </r>
  <r>
    <n v="79575584873"/>
    <n v="227"/>
    <d v="2034-11-27T00:00:00"/>
    <s v=""/>
    <x v="5"/>
    <x v="0"/>
  </r>
  <r>
    <n v="71740054545"/>
    <n v="53"/>
    <d v="2034-11-27T00:00:00"/>
    <s v=""/>
    <x v="5"/>
    <x v="0"/>
  </r>
  <r>
    <n v="58332506698"/>
    <n v="261"/>
    <d v="2034-11-27T00:00:00"/>
    <s v=""/>
    <x v="5"/>
    <x v="0"/>
  </r>
  <r>
    <n v="36790532307"/>
    <n v="45"/>
    <d v="2034-11-27T00:00:00"/>
    <d v="2034-12-08T00:00:00"/>
    <x v="5"/>
    <x v="7"/>
  </r>
  <r>
    <n v="92583264164"/>
    <n v="7"/>
    <d v="2034-11-27T00:00:00"/>
    <d v="2035-01-09T00:00:00"/>
    <x v="5"/>
    <x v="8"/>
  </r>
  <r>
    <n v="57575185657"/>
    <n v="38"/>
    <d v="2034-11-27T00:00:00"/>
    <s v=""/>
    <x v="5"/>
    <x v="0"/>
  </r>
  <r>
    <n v="95265282228"/>
    <n v="3"/>
    <d v="2034-11-27T00:00:00"/>
    <s v=""/>
    <x v="5"/>
    <x v="0"/>
  </r>
  <r>
    <n v="16403229179"/>
    <n v="62"/>
    <d v="2034-11-27T00:00:00"/>
    <s v=""/>
    <x v="5"/>
    <x v="0"/>
  </r>
  <r>
    <n v="76360850010"/>
    <n v="293"/>
    <d v="2034-11-27T00:00:00"/>
    <s v=""/>
    <x v="5"/>
    <x v="0"/>
  </r>
  <r>
    <n v="57906132903"/>
    <n v="177"/>
    <d v="2034-11-27T00:00:00"/>
    <s v=""/>
    <x v="5"/>
    <x v="0"/>
  </r>
  <r>
    <n v="28400068157"/>
    <n v="43"/>
    <d v="2034-11-27T00:00:00"/>
    <s v=""/>
    <x v="5"/>
    <x v="0"/>
  </r>
  <r>
    <n v="71454487360"/>
    <n v="293"/>
    <d v="2034-11-27T00:00:00"/>
    <s v=""/>
    <x v="5"/>
    <x v="0"/>
  </r>
  <r>
    <n v="51423827776"/>
    <n v="261"/>
    <d v="2034-11-27T00:00:00"/>
    <d v="2035-01-04T00:00:00"/>
    <x v="5"/>
    <x v="8"/>
  </r>
  <r>
    <n v="77512600877"/>
    <n v="232"/>
    <d v="2034-11-27T00:00:00"/>
    <s v=""/>
    <x v="5"/>
    <x v="0"/>
  </r>
  <r>
    <n v="78443249141"/>
    <n v="199"/>
    <d v="2034-11-27T00:00:00"/>
    <m/>
    <x v="5"/>
    <x v="0"/>
  </r>
  <r>
    <n v="93167486665"/>
    <n v="266"/>
    <d v="2034-11-27T00:00:00"/>
    <s v=""/>
    <x v="5"/>
    <x v="0"/>
  </r>
  <r>
    <n v="31513104162"/>
    <n v="262"/>
    <d v="2034-11-27T00:00:00"/>
    <s v=""/>
    <x v="5"/>
    <x v="0"/>
  </r>
  <r>
    <n v="65955868166"/>
    <n v="192"/>
    <d v="2034-11-27T00:00:00"/>
    <s v=""/>
    <x v="5"/>
    <x v="0"/>
  </r>
  <r>
    <n v="73922567551"/>
    <n v="197"/>
    <d v="2034-11-27T00:00:00"/>
    <s v=""/>
    <x v="5"/>
    <x v="0"/>
  </r>
  <r>
    <n v="92983205052"/>
    <n v="137"/>
    <d v="2034-11-27T00:00:00"/>
    <d v="2035-01-14T00:00:00"/>
    <x v="5"/>
    <x v="8"/>
  </r>
  <r>
    <n v="79454448649"/>
    <n v="170"/>
    <d v="2034-11-27T00:00:00"/>
    <s v=""/>
    <x v="5"/>
    <x v="0"/>
  </r>
  <r>
    <n v="26385694909"/>
    <n v="172"/>
    <d v="2034-11-28T00:00:00"/>
    <m/>
    <x v="5"/>
    <x v="0"/>
  </r>
  <r>
    <n v="72467247730"/>
    <n v="121"/>
    <d v="2034-11-28T00:00:00"/>
    <m/>
    <x v="5"/>
    <x v="0"/>
  </r>
  <r>
    <n v="33931665612"/>
    <n v="206"/>
    <d v="2034-11-28T00:00:00"/>
    <s v=""/>
    <x v="5"/>
    <x v="0"/>
  </r>
  <r>
    <n v="78711392660"/>
    <n v="41"/>
    <d v="2034-11-28T00:00:00"/>
    <s v=""/>
    <x v="5"/>
    <x v="0"/>
  </r>
  <r>
    <n v="63324725853"/>
    <n v="307"/>
    <d v="2034-11-28T00:00:00"/>
    <s v=""/>
    <x v="5"/>
    <x v="0"/>
  </r>
  <r>
    <n v="18984027606"/>
    <n v="233"/>
    <d v="2034-11-28T00:00:00"/>
    <m/>
    <x v="5"/>
    <x v="0"/>
  </r>
  <r>
    <n v="37749355353"/>
    <n v="320"/>
    <d v="2034-11-28T00:00:00"/>
    <s v=""/>
    <x v="5"/>
    <x v="0"/>
  </r>
  <r>
    <n v="75134143839"/>
    <n v="16"/>
    <d v="2034-11-28T00:00:00"/>
    <s v=""/>
    <x v="5"/>
    <x v="0"/>
  </r>
  <r>
    <n v="94079045689"/>
    <n v="74"/>
    <d v="2034-11-28T00:00:00"/>
    <s v=""/>
    <x v="5"/>
    <x v="0"/>
  </r>
  <r>
    <n v="63767459617"/>
    <n v="42"/>
    <d v="2034-11-28T00:00:00"/>
    <s v=""/>
    <x v="5"/>
    <x v="0"/>
  </r>
  <r>
    <n v="21450752315"/>
    <n v="312"/>
    <d v="2034-11-28T00:00:00"/>
    <d v="2034-12-28T00:00:00"/>
    <x v="5"/>
    <x v="7"/>
  </r>
  <r>
    <n v="26688152468"/>
    <n v="55"/>
    <d v="2034-11-28T00:00:00"/>
    <s v=""/>
    <x v="5"/>
    <x v="0"/>
  </r>
  <r>
    <n v="28469636744"/>
    <n v="278"/>
    <d v="2034-11-28T00:00:00"/>
    <s v=""/>
    <x v="5"/>
    <x v="0"/>
  </r>
  <r>
    <n v="42469427601"/>
    <n v="44"/>
    <d v="2034-11-28T00:00:00"/>
    <s v=""/>
    <x v="5"/>
    <x v="0"/>
  </r>
  <r>
    <n v="27911215463"/>
    <n v="175"/>
    <d v="2034-11-28T00:00:00"/>
    <s v=""/>
    <x v="5"/>
    <x v="0"/>
  </r>
  <r>
    <n v="23624147919"/>
    <n v="118"/>
    <d v="2034-11-28T00:00:00"/>
    <m/>
    <x v="5"/>
    <x v="0"/>
  </r>
  <r>
    <n v="42566272988"/>
    <n v="83"/>
    <d v="2034-11-28T00:00:00"/>
    <s v=""/>
    <x v="5"/>
    <x v="0"/>
  </r>
  <r>
    <n v="86530940303"/>
    <n v="61"/>
    <d v="2034-11-28T00:00:00"/>
    <m/>
    <x v="5"/>
    <x v="0"/>
  </r>
  <r>
    <n v="72313790066"/>
    <n v="228"/>
    <d v="2034-11-28T00:00:00"/>
    <s v=""/>
    <x v="5"/>
    <x v="0"/>
  </r>
  <r>
    <n v="62981553389"/>
    <n v="55"/>
    <d v="2034-11-28T00:00:00"/>
    <s v=""/>
    <x v="5"/>
    <x v="0"/>
  </r>
  <r>
    <n v="89908291189"/>
    <n v="288"/>
    <d v="2034-11-28T00:00:00"/>
    <s v=""/>
    <x v="5"/>
    <x v="0"/>
  </r>
  <r>
    <n v="54517369121"/>
    <n v="340"/>
    <d v="2034-11-28T00:00:00"/>
    <s v=""/>
    <x v="5"/>
    <x v="0"/>
  </r>
  <r>
    <n v="71585684200"/>
    <n v="261"/>
    <d v="2034-11-28T00:00:00"/>
    <m/>
    <x v="5"/>
    <x v="0"/>
  </r>
  <r>
    <n v="86953553873"/>
    <n v="138"/>
    <d v="2034-11-28T00:00:00"/>
    <s v=""/>
    <x v="5"/>
    <x v="0"/>
  </r>
  <r>
    <n v="73833881908"/>
    <n v="46"/>
    <d v="2034-11-29T00:00:00"/>
    <d v="2034-12-29T00:00:00"/>
    <x v="5"/>
    <x v="7"/>
  </r>
  <r>
    <n v="76241247557"/>
    <n v="81"/>
    <d v="2034-11-29T00:00:00"/>
    <m/>
    <x v="5"/>
    <x v="0"/>
  </r>
  <r>
    <n v="87716314936"/>
    <n v="3"/>
    <d v="2034-11-29T00:00:00"/>
    <s v=""/>
    <x v="5"/>
    <x v="0"/>
  </r>
  <r>
    <n v="11908150166"/>
    <n v="68"/>
    <d v="2034-11-29T00:00:00"/>
    <d v="2034-12-25T00:00:00"/>
    <x v="5"/>
    <x v="7"/>
  </r>
  <r>
    <n v="40121472962"/>
    <n v="22"/>
    <d v="2034-11-29T00:00:00"/>
    <m/>
    <x v="5"/>
    <x v="0"/>
  </r>
  <r>
    <n v="93441312295"/>
    <n v="31"/>
    <d v="2034-11-29T00:00:00"/>
    <s v=""/>
    <x v="5"/>
    <x v="0"/>
  </r>
  <r>
    <n v="92916111189"/>
    <n v="258"/>
    <d v="2034-11-29T00:00:00"/>
    <s v=""/>
    <x v="5"/>
    <x v="0"/>
  </r>
  <r>
    <n v="82016804968"/>
    <n v="197"/>
    <d v="2034-11-29T00:00:00"/>
    <s v=""/>
    <x v="5"/>
    <x v="0"/>
  </r>
  <r>
    <n v="35468842800"/>
    <n v="13"/>
    <d v="2034-11-29T00:00:00"/>
    <s v=""/>
    <x v="5"/>
    <x v="0"/>
  </r>
  <r>
    <n v="80120727617"/>
    <n v="141"/>
    <d v="2034-11-29T00:00:00"/>
    <s v=""/>
    <x v="5"/>
    <x v="0"/>
  </r>
  <r>
    <n v="12745549400"/>
    <n v="143"/>
    <d v="2034-11-29T00:00:00"/>
    <s v=""/>
    <x v="5"/>
    <x v="0"/>
  </r>
  <r>
    <n v="51108246119"/>
    <n v="273"/>
    <d v="2034-11-29T00:00:00"/>
    <s v=""/>
    <x v="5"/>
    <x v="0"/>
  </r>
  <r>
    <n v="73910691197"/>
    <n v="268"/>
    <d v="2034-11-29T00:00:00"/>
    <s v=""/>
    <x v="5"/>
    <x v="0"/>
  </r>
  <r>
    <n v="18270055991"/>
    <n v="241"/>
    <d v="2034-11-29T00:00:00"/>
    <s v=""/>
    <x v="5"/>
    <x v="0"/>
  </r>
  <r>
    <n v="91534604976"/>
    <n v="157"/>
    <d v="2034-11-29T00:00:00"/>
    <s v=""/>
    <x v="5"/>
    <x v="0"/>
  </r>
  <r>
    <n v="15026796053"/>
    <n v="313"/>
    <d v="2034-11-29T00:00:00"/>
    <s v=""/>
    <x v="5"/>
    <x v="0"/>
  </r>
  <r>
    <n v="27246005832"/>
    <n v="221"/>
    <d v="2034-11-29T00:00:00"/>
    <s v=""/>
    <x v="5"/>
    <x v="0"/>
  </r>
  <r>
    <n v="66226512227"/>
    <n v="149"/>
    <d v="2034-11-29T00:00:00"/>
    <s v=""/>
    <x v="5"/>
    <x v="0"/>
  </r>
  <r>
    <n v="68335981526"/>
    <n v="1"/>
    <d v="2034-11-29T00:00:00"/>
    <s v=""/>
    <x v="5"/>
    <x v="0"/>
  </r>
  <r>
    <n v="68579997407"/>
    <n v="128"/>
    <d v="2034-11-29T00:00:00"/>
    <m/>
    <x v="5"/>
    <x v="0"/>
  </r>
  <r>
    <n v="60754596586"/>
    <n v="166"/>
    <d v="2034-11-29T00:00:00"/>
    <s v=""/>
    <x v="5"/>
    <x v="0"/>
  </r>
  <r>
    <n v="84453342707"/>
    <n v="206"/>
    <d v="2034-11-29T00:00:00"/>
    <s v=""/>
    <x v="5"/>
    <x v="0"/>
  </r>
  <r>
    <n v="63350288247"/>
    <n v="14"/>
    <d v="2034-11-29T00:00:00"/>
    <s v=""/>
    <x v="5"/>
    <x v="0"/>
  </r>
  <r>
    <n v="43235971774"/>
    <n v="160"/>
    <d v="2034-11-29T00:00:00"/>
    <m/>
    <x v="5"/>
    <x v="0"/>
  </r>
  <r>
    <n v="35809616344"/>
    <n v="100"/>
    <d v="2034-11-29T00:00:00"/>
    <s v=""/>
    <x v="5"/>
    <x v="0"/>
  </r>
  <r>
    <n v="66094413508"/>
    <n v="281"/>
    <d v="2034-11-29T00:00:00"/>
    <s v=""/>
    <x v="5"/>
    <x v="0"/>
  </r>
  <r>
    <n v="39807373068"/>
    <n v="55"/>
    <d v="2034-11-29T00:00:00"/>
    <s v=""/>
    <x v="5"/>
    <x v="0"/>
  </r>
  <r>
    <n v="51824716599"/>
    <n v="174"/>
    <d v="2034-11-29T00:00:00"/>
    <s v=""/>
    <x v="5"/>
    <x v="0"/>
  </r>
  <r>
    <n v="72535105738"/>
    <n v="146"/>
    <d v="2034-11-29T00:00:00"/>
    <s v=""/>
    <x v="5"/>
    <x v="0"/>
  </r>
  <r>
    <n v="30298780517"/>
    <n v="55"/>
    <d v="2034-11-30T00:00:00"/>
    <s v=""/>
    <x v="5"/>
    <x v="0"/>
  </r>
  <r>
    <n v="99832378917"/>
    <n v="159"/>
    <d v="2034-11-30T00:00:00"/>
    <s v=""/>
    <x v="5"/>
    <x v="0"/>
  </r>
  <r>
    <n v="39628150589"/>
    <n v="248"/>
    <d v="2034-11-30T00:00:00"/>
    <m/>
    <x v="5"/>
    <x v="0"/>
  </r>
  <r>
    <n v="26463626700"/>
    <n v="54"/>
    <d v="2034-11-30T00:00:00"/>
    <d v="2035-01-28T00:00:00"/>
    <x v="5"/>
    <x v="8"/>
  </r>
  <r>
    <n v="58585862218"/>
    <n v="239"/>
    <d v="2034-11-30T00:00:00"/>
    <m/>
    <x v="5"/>
    <x v="0"/>
  </r>
  <r>
    <n v="45530773879"/>
    <n v="330"/>
    <d v="2034-11-30T00:00:00"/>
    <d v="2034-12-13T00:00:00"/>
    <x v="5"/>
    <x v="7"/>
  </r>
  <r>
    <n v="94026047188"/>
    <n v="136"/>
    <d v="2034-11-30T00:00:00"/>
    <s v=""/>
    <x v="5"/>
    <x v="0"/>
  </r>
  <r>
    <n v="12478520818"/>
    <n v="331"/>
    <d v="2034-11-30T00:00:00"/>
    <s v=""/>
    <x v="5"/>
    <x v="0"/>
  </r>
  <r>
    <n v="86596874174"/>
    <n v="203"/>
    <d v="2034-11-30T00:00:00"/>
    <s v=""/>
    <x v="5"/>
    <x v="0"/>
  </r>
  <r>
    <n v="59464176959"/>
    <n v="287"/>
    <d v="2034-11-30T00:00:00"/>
    <s v=""/>
    <x v="5"/>
    <x v="0"/>
  </r>
  <r>
    <n v="73239809276"/>
    <n v="97"/>
    <d v="2034-11-30T00:00:00"/>
    <m/>
    <x v="5"/>
    <x v="0"/>
  </r>
  <r>
    <n v="22322404423"/>
    <n v="28"/>
    <d v="2034-11-30T00:00:00"/>
    <s v=""/>
    <x v="5"/>
    <x v="0"/>
  </r>
  <r>
    <n v="25675323012"/>
    <n v="68"/>
    <d v="2034-11-30T00:00:00"/>
    <s v=""/>
    <x v="5"/>
    <x v="0"/>
  </r>
  <r>
    <n v="75201105312"/>
    <n v="151"/>
    <d v="2034-11-30T00:00:00"/>
    <s v=""/>
    <x v="5"/>
    <x v="0"/>
  </r>
  <r>
    <n v="65137707376"/>
    <n v="52"/>
    <d v="2034-11-30T00:00:00"/>
    <s v=""/>
    <x v="5"/>
    <x v="0"/>
  </r>
  <r>
    <n v="97061489162"/>
    <n v="248"/>
    <d v="2034-11-30T00:00:00"/>
    <s v=""/>
    <x v="5"/>
    <x v="0"/>
  </r>
  <r>
    <n v="24107246619"/>
    <n v="317"/>
    <d v="2034-11-30T00:00:00"/>
    <s v=""/>
    <x v="5"/>
    <x v="0"/>
  </r>
  <r>
    <n v="52410449943"/>
    <n v="219"/>
    <d v="2034-11-30T00:00:00"/>
    <s v=""/>
    <x v="5"/>
    <x v="0"/>
  </r>
  <r>
    <n v="88023220123"/>
    <n v="160"/>
    <d v="2034-11-30T00:00:00"/>
    <s v=""/>
    <x v="5"/>
    <x v="0"/>
  </r>
  <r>
    <n v="25640387696"/>
    <n v="127"/>
    <d v="2034-11-30T00:00:00"/>
    <s v=""/>
    <x v="5"/>
    <x v="0"/>
  </r>
  <r>
    <n v="80223310833"/>
    <n v="22"/>
    <d v="2034-11-30T00:00:00"/>
    <s v=""/>
    <x v="5"/>
    <x v="0"/>
  </r>
  <r>
    <n v="77740638063"/>
    <n v="156"/>
    <d v="2034-11-30T00:00:00"/>
    <s v=""/>
    <x v="5"/>
    <x v="0"/>
  </r>
  <r>
    <n v="86302029654"/>
    <n v="118"/>
    <d v="2034-11-30T00:00:00"/>
    <m/>
    <x v="5"/>
    <x v="0"/>
  </r>
  <r>
    <n v="74528186135"/>
    <n v="99"/>
    <d v="2034-11-30T00:00:00"/>
    <s v=""/>
    <x v="5"/>
    <x v="0"/>
  </r>
  <r>
    <n v="74660382069"/>
    <n v="307"/>
    <d v="2034-11-30T00:00:00"/>
    <s v=""/>
    <x v="5"/>
    <x v="0"/>
  </r>
  <r>
    <n v="79458961779"/>
    <n v="221"/>
    <d v="2034-11-30T00:00:00"/>
    <s v=""/>
    <x v="5"/>
    <x v="0"/>
  </r>
  <r>
    <n v="13553831448"/>
    <n v="201"/>
    <d v="2034-11-30T00:00:00"/>
    <s v=""/>
    <x v="5"/>
    <x v="0"/>
  </r>
  <r>
    <n v="52278759973"/>
    <n v="319"/>
    <d v="2034-12-01T00:00:00"/>
    <s v=""/>
    <x v="6"/>
    <x v="0"/>
  </r>
  <r>
    <n v="55469429964"/>
    <n v="306"/>
    <d v="2034-12-01T00:00:00"/>
    <s v=""/>
    <x v="6"/>
    <x v="0"/>
  </r>
  <r>
    <n v="38448606690"/>
    <n v="3"/>
    <d v="2034-12-01T00:00:00"/>
    <s v=""/>
    <x v="6"/>
    <x v="0"/>
  </r>
  <r>
    <n v="26695796415"/>
    <n v="220"/>
    <d v="2034-12-01T00:00:00"/>
    <d v="2035-01-16T00:00:00"/>
    <x v="6"/>
    <x v="8"/>
  </r>
  <r>
    <n v="87356834413"/>
    <n v="93"/>
    <d v="2034-12-01T00:00:00"/>
    <s v=""/>
    <x v="6"/>
    <x v="0"/>
  </r>
  <r>
    <n v="81301608866"/>
    <n v="161"/>
    <d v="2034-12-01T00:00:00"/>
    <s v=""/>
    <x v="6"/>
    <x v="0"/>
  </r>
  <r>
    <n v="26028923526"/>
    <n v="242"/>
    <d v="2034-12-01T00:00:00"/>
    <s v=""/>
    <x v="6"/>
    <x v="0"/>
  </r>
  <r>
    <n v="50060319161"/>
    <n v="134"/>
    <d v="2034-12-01T00:00:00"/>
    <s v=""/>
    <x v="6"/>
    <x v="0"/>
  </r>
  <r>
    <n v="83250314291"/>
    <n v="64"/>
    <d v="2034-12-01T00:00:00"/>
    <s v=""/>
    <x v="6"/>
    <x v="0"/>
  </r>
  <r>
    <n v="24575683658"/>
    <n v="39"/>
    <d v="2034-12-01T00:00:00"/>
    <s v=""/>
    <x v="6"/>
    <x v="0"/>
  </r>
  <r>
    <n v="35553069934"/>
    <n v="168"/>
    <d v="2034-12-01T00:00:00"/>
    <s v=""/>
    <x v="6"/>
    <x v="0"/>
  </r>
  <r>
    <n v="74718503193"/>
    <n v="99"/>
    <d v="2034-12-01T00:00:00"/>
    <m/>
    <x v="6"/>
    <x v="0"/>
  </r>
  <r>
    <n v="59653783896"/>
    <n v="268"/>
    <d v="2034-12-01T00:00:00"/>
    <d v="2035-01-16T00:00:00"/>
    <x v="6"/>
    <x v="8"/>
  </r>
  <r>
    <n v="76123718430"/>
    <n v="188"/>
    <d v="2034-12-01T00:00:00"/>
    <s v=""/>
    <x v="6"/>
    <x v="0"/>
  </r>
  <r>
    <n v="29772526684"/>
    <n v="277"/>
    <d v="2034-12-01T00:00:00"/>
    <s v=""/>
    <x v="6"/>
    <x v="0"/>
  </r>
  <r>
    <n v="69644132535"/>
    <n v="218"/>
    <d v="2034-12-01T00:00:00"/>
    <s v=""/>
    <x v="6"/>
    <x v="0"/>
  </r>
  <r>
    <n v="60834163315"/>
    <n v="311"/>
    <d v="2034-12-01T00:00:00"/>
    <s v=""/>
    <x v="6"/>
    <x v="0"/>
  </r>
  <r>
    <n v="44132650737"/>
    <n v="196"/>
    <d v="2034-12-01T00:00:00"/>
    <s v=""/>
    <x v="6"/>
    <x v="0"/>
  </r>
  <r>
    <n v="87816598737"/>
    <n v="183"/>
    <d v="2034-12-01T00:00:00"/>
    <s v=""/>
    <x v="6"/>
    <x v="0"/>
  </r>
  <r>
    <n v="39271291411"/>
    <n v="45"/>
    <d v="2034-12-01T00:00:00"/>
    <s v=""/>
    <x v="6"/>
    <x v="0"/>
  </r>
  <r>
    <n v="23751894876"/>
    <n v="37"/>
    <d v="2034-12-01T00:00:00"/>
    <s v=""/>
    <x v="6"/>
    <x v="0"/>
  </r>
  <r>
    <n v="75263845886"/>
    <n v="276"/>
    <d v="2034-12-01T00:00:00"/>
    <s v=""/>
    <x v="6"/>
    <x v="0"/>
  </r>
  <r>
    <n v="67226038622"/>
    <n v="315"/>
    <d v="2034-12-01T00:00:00"/>
    <d v="2035-01-09T00:00:00"/>
    <x v="6"/>
    <x v="8"/>
  </r>
  <r>
    <n v="12050530714"/>
    <n v="138"/>
    <d v="2034-12-01T00:00:00"/>
    <d v="2035-01-08T00:00:00"/>
    <x v="6"/>
    <x v="8"/>
  </r>
  <r>
    <n v="61708012047"/>
    <n v="248"/>
    <d v="2034-12-01T00:00:00"/>
    <s v=""/>
    <x v="6"/>
    <x v="0"/>
  </r>
  <r>
    <n v="15891551916"/>
    <n v="186"/>
    <d v="2034-12-01T00:00:00"/>
    <s v=""/>
    <x v="6"/>
    <x v="0"/>
  </r>
  <r>
    <n v="54119291806"/>
    <n v="243"/>
    <d v="2034-12-01T00:00:00"/>
    <d v="2035-01-20T00:00:00"/>
    <x v="6"/>
    <x v="8"/>
  </r>
  <r>
    <n v="14800275067"/>
    <n v="105"/>
    <d v="2034-12-01T00:00:00"/>
    <m/>
    <x v="6"/>
    <x v="0"/>
  </r>
  <r>
    <n v="74327399892"/>
    <n v="281"/>
    <d v="2034-12-01T00:00:00"/>
    <s v=""/>
    <x v="6"/>
    <x v="0"/>
  </r>
  <r>
    <n v="94005808425"/>
    <n v="134"/>
    <d v="2034-12-01T00:00:00"/>
    <s v=""/>
    <x v="6"/>
    <x v="0"/>
  </r>
  <r>
    <n v="64053883802"/>
    <n v="120"/>
    <d v="2034-12-01T00:00:00"/>
    <s v=""/>
    <x v="6"/>
    <x v="0"/>
  </r>
  <r>
    <n v="19836706123"/>
    <n v="126"/>
    <d v="2034-12-01T00:00:00"/>
    <s v=""/>
    <x v="6"/>
    <x v="0"/>
  </r>
  <r>
    <n v="28007327581"/>
    <n v="177"/>
    <d v="2034-12-01T00:00:00"/>
    <s v=""/>
    <x v="6"/>
    <x v="0"/>
  </r>
  <r>
    <n v="33711814071"/>
    <n v="264"/>
    <d v="2034-12-01T00:00:00"/>
    <s v=""/>
    <x v="6"/>
    <x v="0"/>
  </r>
  <r>
    <n v="44326553015"/>
    <n v="233"/>
    <d v="2034-12-01T00:00:00"/>
    <s v=""/>
    <x v="6"/>
    <x v="0"/>
  </r>
  <r>
    <n v="99315671624"/>
    <n v="38"/>
    <d v="2034-12-01T00:00:00"/>
    <s v=""/>
    <x v="6"/>
    <x v="0"/>
  </r>
  <r>
    <n v="60350358444"/>
    <n v="304"/>
    <d v="2034-12-01T00:00:00"/>
    <s v=""/>
    <x v="6"/>
    <x v="0"/>
  </r>
  <r>
    <n v="73814646216"/>
    <n v="211"/>
    <d v="2034-12-01T00:00:00"/>
    <m/>
    <x v="6"/>
    <x v="0"/>
  </r>
  <r>
    <n v="95604385641"/>
    <n v="259"/>
    <d v="2034-12-01T00:00:00"/>
    <s v=""/>
    <x v="6"/>
    <x v="0"/>
  </r>
  <r>
    <n v="44604305895"/>
    <n v="306"/>
    <d v="2034-12-01T00:00:00"/>
    <s v=""/>
    <x v="6"/>
    <x v="0"/>
  </r>
  <r>
    <n v="93423966867"/>
    <n v="299"/>
    <d v="2034-12-02T00:00:00"/>
    <s v=""/>
    <x v="6"/>
    <x v="0"/>
  </r>
  <r>
    <n v="20129286870"/>
    <n v="338"/>
    <d v="2034-12-02T00:00:00"/>
    <s v=""/>
    <x v="6"/>
    <x v="0"/>
  </r>
  <r>
    <n v="24761644889"/>
    <n v="95"/>
    <d v="2034-12-02T00:00:00"/>
    <s v=""/>
    <x v="6"/>
    <x v="0"/>
  </r>
  <r>
    <n v="13916680524"/>
    <n v="301"/>
    <d v="2034-12-02T00:00:00"/>
    <s v=""/>
    <x v="6"/>
    <x v="0"/>
  </r>
  <r>
    <n v="39684355525"/>
    <n v="266"/>
    <d v="2034-12-02T00:00:00"/>
    <s v=""/>
    <x v="6"/>
    <x v="0"/>
  </r>
  <r>
    <n v="92117456499"/>
    <n v="71"/>
    <d v="2034-12-02T00:00:00"/>
    <s v=""/>
    <x v="6"/>
    <x v="0"/>
  </r>
  <r>
    <n v="25822802819"/>
    <n v="331"/>
    <d v="2034-12-02T00:00:00"/>
    <s v=""/>
    <x v="6"/>
    <x v="0"/>
  </r>
  <r>
    <n v="99349814697"/>
    <n v="163"/>
    <d v="2034-12-02T00:00:00"/>
    <m/>
    <x v="6"/>
    <x v="0"/>
  </r>
  <r>
    <n v="75361123200"/>
    <n v="88"/>
    <d v="2034-12-02T00:00:00"/>
    <s v=""/>
    <x v="6"/>
    <x v="0"/>
  </r>
  <r>
    <n v="57841689142"/>
    <n v="312"/>
    <d v="2034-12-02T00:00:00"/>
    <s v=""/>
    <x v="6"/>
    <x v="0"/>
  </r>
  <r>
    <n v="35215623585"/>
    <n v="173"/>
    <d v="2034-12-02T00:00:00"/>
    <s v=""/>
    <x v="6"/>
    <x v="0"/>
  </r>
  <r>
    <n v="35624790703"/>
    <n v="254"/>
    <d v="2034-12-02T00:00:00"/>
    <s v=""/>
    <x v="6"/>
    <x v="0"/>
  </r>
  <r>
    <n v="60356405373"/>
    <n v="96"/>
    <d v="2034-12-02T00:00:00"/>
    <s v=""/>
    <x v="6"/>
    <x v="0"/>
  </r>
  <r>
    <n v="90181252948"/>
    <n v="25"/>
    <d v="2034-12-02T00:00:00"/>
    <s v=""/>
    <x v="6"/>
    <x v="0"/>
  </r>
  <r>
    <n v="54689411378"/>
    <n v="155"/>
    <d v="2034-12-02T00:00:00"/>
    <s v=""/>
    <x v="6"/>
    <x v="0"/>
  </r>
  <r>
    <n v="44697663754"/>
    <n v="238"/>
    <d v="2034-12-02T00:00:00"/>
    <d v="2034-12-18T00:00:00"/>
    <x v="6"/>
    <x v="7"/>
  </r>
  <r>
    <n v="13047255464"/>
    <n v="166"/>
    <d v="2034-12-02T00:00:00"/>
    <s v=""/>
    <x v="6"/>
    <x v="0"/>
  </r>
  <r>
    <n v="36187286368"/>
    <n v="313"/>
    <d v="2034-12-02T00:00:00"/>
    <s v=""/>
    <x v="6"/>
    <x v="0"/>
  </r>
  <r>
    <n v="62408775135"/>
    <n v="165"/>
    <d v="2034-12-02T00:00:00"/>
    <s v=""/>
    <x v="6"/>
    <x v="0"/>
  </r>
  <r>
    <n v="67494894647"/>
    <n v="42"/>
    <d v="2034-12-02T00:00:00"/>
    <s v=""/>
    <x v="6"/>
    <x v="0"/>
  </r>
  <r>
    <n v="75442699001"/>
    <n v="163"/>
    <d v="2034-12-02T00:00:00"/>
    <m/>
    <x v="6"/>
    <x v="0"/>
  </r>
  <r>
    <n v="37430919504"/>
    <n v="112"/>
    <d v="2034-12-02T00:00:00"/>
    <s v=""/>
    <x v="6"/>
    <x v="0"/>
  </r>
  <r>
    <n v="44577667090"/>
    <n v="275"/>
    <d v="2034-12-02T00:00:00"/>
    <s v=""/>
    <x v="6"/>
    <x v="0"/>
  </r>
  <r>
    <n v="95437212906"/>
    <n v="255"/>
    <d v="2034-12-02T00:00:00"/>
    <m/>
    <x v="6"/>
    <x v="0"/>
  </r>
  <r>
    <n v="43464031695"/>
    <n v="325"/>
    <d v="2034-12-02T00:00:00"/>
    <s v=""/>
    <x v="6"/>
    <x v="0"/>
  </r>
  <r>
    <n v="92598053378"/>
    <n v="337"/>
    <d v="2034-12-02T00:00:00"/>
    <d v="2034-12-18T00:00:00"/>
    <x v="6"/>
    <x v="7"/>
  </r>
  <r>
    <n v="23172940088"/>
    <n v="320"/>
    <d v="2034-12-02T00:00:00"/>
    <m/>
    <x v="6"/>
    <x v="0"/>
  </r>
  <r>
    <n v="49728235791"/>
    <n v="25"/>
    <d v="2034-12-02T00:00:00"/>
    <d v="2034-12-08T00:00:00"/>
    <x v="6"/>
    <x v="7"/>
  </r>
  <r>
    <n v="38462468995"/>
    <n v="5"/>
    <d v="2034-12-02T00:00:00"/>
    <m/>
    <x v="6"/>
    <x v="0"/>
  </r>
  <r>
    <n v="47368000064"/>
    <n v="30"/>
    <d v="2034-12-02T00:00:00"/>
    <s v=""/>
    <x v="6"/>
    <x v="0"/>
  </r>
  <r>
    <n v="26783946747"/>
    <n v="39"/>
    <d v="2034-12-03T00:00:00"/>
    <s v=""/>
    <x v="6"/>
    <x v="0"/>
  </r>
  <r>
    <n v="28829051288"/>
    <n v="115"/>
    <d v="2034-12-03T00:00:00"/>
    <s v=""/>
    <x v="6"/>
    <x v="0"/>
  </r>
  <r>
    <n v="65115086271"/>
    <n v="333"/>
    <d v="2034-12-03T00:00:00"/>
    <s v=""/>
    <x v="6"/>
    <x v="0"/>
  </r>
  <r>
    <n v="47719372159"/>
    <n v="167"/>
    <d v="2034-12-03T00:00:00"/>
    <s v=""/>
    <x v="6"/>
    <x v="0"/>
  </r>
  <r>
    <n v="69772482052"/>
    <n v="66"/>
    <d v="2034-12-03T00:00:00"/>
    <s v=""/>
    <x v="6"/>
    <x v="0"/>
  </r>
  <r>
    <n v="69790248699"/>
    <n v="208"/>
    <d v="2034-12-03T00:00:00"/>
    <d v="2035-01-28T00:00:00"/>
    <x v="6"/>
    <x v="8"/>
  </r>
  <r>
    <n v="50557904702"/>
    <n v="52"/>
    <d v="2034-12-03T00:00:00"/>
    <d v="2035-01-01T00:00:00"/>
    <x v="6"/>
    <x v="8"/>
  </r>
  <r>
    <n v="30982175482"/>
    <n v="261"/>
    <d v="2034-12-03T00:00:00"/>
    <s v=""/>
    <x v="6"/>
    <x v="0"/>
  </r>
  <r>
    <n v="47916345167"/>
    <n v="216"/>
    <d v="2034-12-03T00:00:00"/>
    <s v=""/>
    <x v="6"/>
    <x v="0"/>
  </r>
  <r>
    <n v="44093333356"/>
    <n v="8"/>
    <d v="2034-12-03T00:00:00"/>
    <m/>
    <x v="6"/>
    <x v="0"/>
  </r>
  <r>
    <n v="99810217192"/>
    <n v="172"/>
    <d v="2034-12-03T00:00:00"/>
    <m/>
    <x v="6"/>
    <x v="0"/>
  </r>
  <r>
    <n v="21196901080"/>
    <n v="29"/>
    <d v="2034-12-03T00:00:00"/>
    <s v=""/>
    <x v="6"/>
    <x v="0"/>
  </r>
  <r>
    <n v="19715444446"/>
    <n v="94"/>
    <d v="2034-12-03T00:00:00"/>
    <m/>
    <x v="6"/>
    <x v="0"/>
  </r>
  <r>
    <n v="51010413013"/>
    <n v="234"/>
    <d v="2034-12-03T00:00:00"/>
    <s v=""/>
    <x v="6"/>
    <x v="0"/>
  </r>
  <r>
    <n v="30713039733"/>
    <n v="295"/>
    <d v="2034-12-03T00:00:00"/>
    <s v=""/>
    <x v="6"/>
    <x v="0"/>
  </r>
  <r>
    <n v="47908321955"/>
    <n v="189"/>
    <d v="2034-12-03T00:00:00"/>
    <s v=""/>
    <x v="6"/>
    <x v="0"/>
  </r>
  <r>
    <n v="81328580975"/>
    <n v="241"/>
    <d v="2034-12-03T00:00:00"/>
    <s v=""/>
    <x v="6"/>
    <x v="0"/>
  </r>
  <r>
    <n v="46178526888"/>
    <n v="77"/>
    <d v="2034-12-03T00:00:00"/>
    <m/>
    <x v="6"/>
    <x v="0"/>
  </r>
  <r>
    <n v="83085858597"/>
    <n v="71"/>
    <d v="2034-12-03T00:00:00"/>
    <m/>
    <x v="6"/>
    <x v="0"/>
  </r>
  <r>
    <n v="21877787232"/>
    <n v="197"/>
    <d v="2034-12-03T00:00:00"/>
    <s v=""/>
    <x v="6"/>
    <x v="0"/>
  </r>
  <r>
    <n v="26730572680"/>
    <n v="32"/>
    <d v="2034-12-03T00:00:00"/>
    <s v=""/>
    <x v="6"/>
    <x v="0"/>
  </r>
  <r>
    <n v="24736113130"/>
    <n v="242"/>
    <d v="2034-12-03T00:00:00"/>
    <d v="2034-12-26T00:00:00"/>
    <x v="6"/>
    <x v="7"/>
  </r>
  <r>
    <n v="61685763169"/>
    <n v="327"/>
    <d v="2034-12-03T00:00:00"/>
    <s v=""/>
    <x v="6"/>
    <x v="0"/>
  </r>
  <r>
    <n v="40056578903"/>
    <n v="75"/>
    <d v="2034-12-03T00:00:00"/>
    <s v=""/>
    <x v="6"/>
    <x v="0"/>
  </r>
  <r>
    <n v="87278545080"/>
    <n v="270"/>
    <d v="2034-12-03T00:00:00"/>
    <d v="2035-01-15T00:00:00"/>
    <x v="6"/>
    <x v="8"/>
  </r>
  <r>
    <n v="62246973978"/>
    <n v="207"/>
    <d v="2034-12-03T00:00:00"/>
    <s v=""/>
    <x v="6"/>
    <x v="0"/>
  </r>
  <r>
    <n v="80008538931"/>
    <n v="314"/>
    <d v="2034-12-04T00:00:00"/>
    <d v="2034-12-15T00:00:00"/>
    <x v="6"/>
    <x v="7"/>
  </r>
  <r>
    <n v="93437078149"/>
    <n v="310"/>
    <d v="2034-12-04T00:00:00"/>
    <s v=""/>
    <x v="6"/>
    <x v="0"/>
  </r>
  <r>
    <n v="19359646942"/>
    <n v="211"/>
    <d v="2034-12-04T00:00:00"/>
    <s v=""/>
    <x v="6"/>
    <x v="0"/>
  </r>
  <r>
    <n v="35060987340"/>
    <n v="296"/>
    <d v="2034-12-04T00:00:00"/>
    <s v=""/>
    <x v="6"/>
    <x v="0"/>
  </r>
  <r>
    <n v="16013999474"/>
    <n v="100"/>
    <d v="2034-12-04T00:00:00"/>
    <s v=""/>
    <x v="6"/>
    <x v="0"/>
  </r>
  <r>
    <n v="34845568032"/>
    <n v="4"/>
    <d v="2034-12-04T00:00:00"/>
    <s v=""/>
    <x v="6"/>
    <x v="0"/>
  </r>
  <r>
    <n v="13312541428"/>
    <n v="49"/>
    <d v="2034-12-04T00:00:00"/>
    <s v=""/>
    <x v="6"/>
    <x v="0"/>
  </r>
  <r>
    <n v="43662709869"/>
    <n v="152"/>
    <d v="2034-12-04T00:00:00"/>
    <s v=""/>
    <x v="6"/>
    <x v="0"/>
  </r>
  <r>
    <n v="22385593720"/>
    <n v="216"/>
    <d v="2034-12-04T00:00:00"/>
    <m/>
    <x v="6"/>
    <x v="0"/>
  </r>
  <r>
    <n v="37177865030"/>
    <n v="191"/>
    <d v="2034-12-04T00:00:00"/>
    <d v="2035-01-04T00:00:00"/>
    <x v="6"/>
    <x v="8"/>
  </r>
  <r>
    <n v="80539587574"/>
    <n v="154"/>
    <d v="2034-12-04T00:00:00"/>
    <s v=""/>
    <x v="6"/>
    <x v="0"/>
  </r>
  <r>
    <n v="92311743364"/>
    <n v="128"/>
    <d v="2034-12-04T00:00:00"/>
    <s v=""/>
    <x v="6"/>
    <x v="0"/>
  </r>
  <r>
    <n v="43718267452"/>
    <n v="116"/>
    <d v="2034-12-04T00:00:00"/>
    <s v=""/>
    <x v="6"/>
    <x v="0"/>
  </r>
  <r>
    <n v="97663049825"/>
    <n v="80"/>
    <d v="2034-12-04T00:00:00"/>
    <d v="2035-01-07T00:00:00"/>
    <x v="6"/>
    <x v="8"/>
  </r>
  <r>
    <n v="16555458958"/>
    <n v="17"/>
    <d v="2034-12-04T00:00:00"/>
    <s v=""/>
    <x v="6"/>
    <x v="0"/>
  </r>
  <r>
    <n v="29844360445"/>
    <n v="185"/>
    <d v="2034-12-04T00:00:00"/>
    <s v=""/>
    <x v="6"/>
    <x v="0"/>
  </r>
  <r>
    <n v="59764569829"/>
    <n v="327"/>
    <d v="2034-12-04T00:00:00"/>
    <s v=""/>
    <x v="6"/>
    <x v="0"/>
  </r>
  <r>
    <n v="69719156486"/>
    <n v="251"/>
    <d v="2034-12-04T00:00:00"/>
    <d v="2034-12-04T00:00:00"/>
    <x v="6"/>
    <x v="7"/>
  </r>
  <r>
    <n v="50335997038"/>
    <n v="212"/>
    <d v="2034-12-04T00:00:00"/>
    <s v=""/>
    <x v="6"/>
    <x v="0"/>
  </r>
  <r>
    <n v="98208038134"/>
    <n v="242"/>
    <d v="2034-12-04T00:00:00"/>
    <s v=""/>
    <x v="6"/>
    <x v="0"/>
  </r>
  <r>
    <n v="33787338028"/>
    <n v="135"/>
    <d v="2034-12-04T00:00:00"/>
    <s v=""/>
    <x v="6"/>
    <x v="0"/>
  </r>
  <r>
    <n v="29233550885"/>
    <n v="203"/>
    <d v="2034-12-04T00:00:00"/>
    <s v=""/>
    <x v="6"/>
    <x v="0"/>
  </r>
  <r>
    <n v="56194791349"/>
    <n v="213"/>
    <d v="2034-12-04T00:00:00"/>
    <s v=""/>
    <x v="6"/>
    <x v="0"/>
  </r>
  <r>
    <n v="64938124421"/>
    <n v="260"/>
    <d v="2034-12-04T00:00:00"/>
    <s v=""/>
    <x v="6"/>
    <x v="0"/>
  </r>
  <r>
    <n v="81665294664"/>
    <n v="249"/>
    <d v="2034-12-04T00:00:00"/>
    <s v=""/>
    <x v="6"/>
    <x v="0"/>
  </r>
  <r>
    <n v="78206200835"/>
    <n v="86"/>
    <d v="2034-12-04T00:00:00"/>
    <s v=""/>
    <x v="6"/>
    <x v="0"/>
  </r>
  <r>
    <n v="41047371650"/>
    <n v="281"/>
    <d v="2034-12-04T00:00:00"/>
    <m/>
    <x v="6"/>
    <x v="0"/>
  </r>
  <r>
    <n v="94600782988"/>
    <n v="118"/>
    <d v="2034-12-04T00:00:00"/>
    <s v=""/>
    <x v="6"/>
    <x v="0"/>
  </r>
  <r>
    <n v="24333375599"/>
    <n v="174"/>
    <d v="2034-12-04T00:00:00"/>
    <s v=""/>
    <x v="6"/>
    <x v="0"/>
  </r>
  <r>
    <n v="74891276017"/>
    <n v="200"/>
    <d v="2034-12-04T00:00:00"/>
    <s v=""/>
    <x v="6"/>
    <x v="0"/>
  </r>
  <r>
    <n v="34584915308"/>
    <n v="152"/>
    <d v="2034-12-04T00:00:00"/>
    <s v=""/>
    <x v="6"/>
    <x v="0"/>
  </r>
  <r>
    <n v="58115768817"/>
    <n v="120"/>
    <d v="2034-12-04T00:00:00"/>
    <m/>
    <x v="6"/>
    <x v="0"/>
  </r>
  <r>
    <n v="83828114694"/>
    <n v="251"/>
    <d v="2034-12-05T00:00:00"/>
    <s v=""/>
    <x v="6"/>
    <x v="0"/>
  </r>
  <r>
    <n v="82881456442"/>
    <n v="6"/>
    <d v="2034-12-05T00:00:00"/>
    <s v=""/>
    <x v="6"/>
    <x v="0"/>
  </r>
  <r>
    <n v="78070198109"/>
    <n v="17"/>
    <d v="2034-12-05T00:00:00"/>
    <s v=""/>
    <x v="6"/>
    <x v="0"/>
  </r>
  <r>
    <n v="45072955166"/>
    <n v="124"/>
    <d v="2034-12-05T00:00:00"/>
    <s v=""/>
    <x v="6"/>
    <x v="0"/>
  </r>
  <r>
    <n v="72245347031"/>
    <n v="276"/>
    <d v="2034-12-05T00:00:00"/>
    <s v=""/>
    <x v="6"/>
    <x v="0"/>
  </r>
  <r>
    <n v="78349687144"/>
    <n v="229"/>
    <d v="2034-12-05T00:00:00"/>
    <s v=""/>
    <x v="6"/>
    <x v="0"/>
  </r>
  <r>
    <n v="87764060734"/>
    <n v="72"/>
    <d v="2034-12-05T00:00:00"/>
    <s v=""/>
    <x v="6"/>
    <x v="0"/>
  </r>
  <r>
    <n v="19446491050"/>
    <n v="154"/>
    <d v="2034-12-05T00:00:00"/>
    <s v=""/>
    <x v="6"/>
    <x v="0"/>
  </r>
  <r>
    <n v="16848570469"/>
    <n v="253"/>
    <d v="2034-12-05T00:00:00"/>
    <d v="2034-12-27T00:00:00"/>
    <x v="6"/>
    <x v="7"/>
  </r>
  <r>
    <n v="95597763594"/>
    <n v="116"/>
    <d v="2034-12-05T00:00:00"/>
    <s v=""/>
    <x v="6"/>
    <x v="0"/>
  </r>
  <r>
    <n v="43243538624"/>
    <n v="12"/>
    <d v="2034-12-05T00:00:00"/>
    <s v=""/>
    <x v="6"/>
    <x v="0"/>
  </r>
  <r>
    <n v="47396140050"/>
    <n v="319"/>
    <d v="2034-12-05T00:00:00"/>
    <s v=""/>
    <x v="6"/>
    <x v="0"/>
  </r>
  <r>
    <n v="19017185413"/>
    <n v="19"/>
    <d v="2034-12-05T00:00:00"/>
    <s v=""/>
    <x v="6"/>
    <x v="0"/>
  </r>
  <r>
    <n v="15252187586"/>
    <n v="145"/>
    <d v="2034-12-05T00:00:00"/>
    <s v=""/>
    <x v="6"/>
    <x v="0"/>
  </r>
  <r>
    <n v="88897790621"/>
    <n v="140"/>
    <d v="2034-12-05T00:00:00"/>
    <s v=""/>
    <x v="6"/>
    <x v="0"/>
  </r>
  <r>
    <n v="70355840443"/>
    <n v="178"/>
    <d v="2034-12-05T00:00:00"/>
    <m/>
    <x v="6"/>
    <x v="0"/>
  </r>
  <r>
    <n v="88931436161"/>
    <n v="17"/>
    <d v="2034-12-05T00:00:00"/>
    <s v=""/>
    <x v="6"/>
    <x v="0"/>
  </r>
  <r>
    <n v="56221570243"/>
    <n v="179"/>
    <d v="2034-12-05T00:00:00"/>
    <s v=""/>
    <x v="6"/>
    <x v="0"/>
  </r>
  <r>
    <n v="75889004867"/>
    <n v="83"/>
    <d v="2034-12-05T00:00:00"/>
    <m/>
    <x v="6"/>
    <x v="0"/>
  </r>
  <r>
    <n v="81913000025"/>
    <n v="226"/>
    <d v="2034-12-05T00:00:00"/>
    <s v=""/>
    <x v="6"/>
    <x v="0"/>
  </r>
  <r>
    <n v="37453149062"/>
    <n v="11"/>
    <d v="2034-12-05T00:00:00"/>
    <s v=""/>
    <x v="6"/>
    <x v="0"/>
  </r>
  <r>
    <n v="61287020020"/>
    <n v="42"/>
    <d v="2034-12-05T00:00:00"/>
    <s v=""/>
    <x v="6"/>
    <x v="0"/>
  </r>
  <r>
    <n v="24742845982"/>
    <n v="150"/>
    <d v="2034-12-05T00:00:00"/>
    <d v="2035-01-03T00:00:00"/>
    <x v="6"/>
    <x v="8"/>
  </r>
  <r>
    <n v="24587663244"/>
    <n v="205"/>
    <d v="2034-12-05T00:00:00"/>
    <s v=""/>
    <x v="6"/>
    <x v="0"/>
  </r>
  <r>
    <n v="95658724314"/>
    <n v="259"/>
    <d v="2034-12-05T00:00:00"/>
    <s v=""/>
    <x v="6"/>
    <x v="0"/>
  </r>
  <r>
    <n v="70731970990"/>
    <n v="46"/>
    <d v="2034-12-05T00:00:00"/>
    <s v=""/>
    <x v="6"/>
    <x v="0"/>
  </r>
  <r>
    <n v="31473436141"/>
    <n v="246"/>
    <d v="2034-12-05T00:00:00"/>
    <s v=""/>
    <x v="6"/>
    <x v="0"/>
  </r>
  <r>
    <n v="98742132009"/>
    <n v="222"/>
    <d v="2034-12-05T00:00:00"/>
    <s v=""/>
    <x v="6"/>
    <x v="0"/>
  </r>
  <r>
    <n v="46107458837"/>
    <n v="209"/>
    <d v="2034-12-05T00:00:00"/>
    <s v=""/>
    <x v="6"/>
    <x v="0"/>
  </r>
  <r>
    <n v="13079628719"/>
    <n v="237"/>
    <d v="2034-12-06T00:00:00"/>
    <m/>
    <x v="6"/>
    <x v="0"/>
  </r>
  <r>
    <n v="91913274554"/>
    <n v="196"/>
    <d v="2034-12-06T00:00:00"/>
    <d v="2035-01-23T00:00:00"/>
    <x v="6"/>
    <x v="8"/>
  </r>
  <r>
    <n v="46388220767"/>
    <n v="319"/>
    <d v="2034-12-06T00:00:00"/>
    <s v=""/>
    <x v="6"/>
    <x v="0"/>
  </r>
  <r>
    <n v="32764864465"/>
    <n v="276"/>
    <d v="2034-12-06T00:00:00"/>
    <d v="2034-12-24T00:00:00"/>
    <x v="6"/>
    <x v="7"/>
  </r>
  <r>
    <n v="76036161820"/>
    <n v="149"/>
    <d v="2034-12-06T00:00:00"/>
    <s v=""/>
    <x v="6"/>
    <x v="0"/>
  </r>
  <r>
    <n v="35630644221"/>
    <n v="229"/>
    <d v="2034-12-06T00:00:00"/>
    <s v=""/>
    <x v="6"/>
    <x v="0"/>
  </r>
  <r>
    <n v="69989307251"/>
    <n v="147"/>
    <d v="2034-12-06T00:00:00"/>
    <s v=""/>
    <x v="6"/>
    <x v="0"/>
  </r>
  <r>
    <n v="24197122814"/>
    <n v="176"/>
    <d v="2034-12-06T00:00:00"/>
    <s v=""/>
    <x v="6"/>
    <x v="0"/>
  </r>
  <r>
    <n v="87919562517"/>
    <n v="215"/>
    <d v="2034-12-06T00:00:00"/>
    <s v=""/>
    <x v="6"/>
    <x v="0"/>
  </r>
  <r>
    <n v="97326824188"/>
    <n v="35"/>
    <d v="2034-12-06T00:00:00"/>
    <m/>
    <x v="6"/>
    <x v="0"/>
  </r>
  <r>
    <n v="73290395622"/>
    <n v="251"/>
    <d v="2034-12-06T00:00:00"/>
    <d v="2034-12-07T00:00:00"/>
    <x v="6"/>
    <x v="7"/>
  </r>
  <r>
    <n v="61326388063"/>
    <n v="182"/>
    <d v="2034-12-06T00:00:00"/>
    <m/>
    <x v="6"/>
    <x v="0"/>
  </r>
  <r>
    <n v="47075762787"/>
    <n v="285"/>
    <d v="2034-12-06T00:00:00"/>
    <s v=""/>
    <x v="6"/>
    <x v="0"/>
  </r>
  <r>
    <n v="21082185746"/>
    <n v="292"/>
    <d v="2034-12-06T00:00:00"/>
    <s v=""/>
    <x v="6"/>
    <x v="0"/>
  </r>
  <r>
    <n v="14767611198"/>
    <n v="218"/>
    <d v="2034-12-06T00:00:00"/>
    <s v=""/>
    <x v="6"/>
    <x v="0"/>
  </r>
  <r>
    <n v="72371257236"/>
    <n v="175"/>
    <d v="2034-12-06T00:00:00"/>
    <s v=""/>
    <x v="6"/>
    <x v="0"/>
  </r>
  <r>
    <n v="64714494256"/>
    <n v="186"/>
    <d v="2034-12-06T00:00:00"/>
    <d v="2035-01-09T00:00:00"/>
    <x v="6"/>
    <x v="8"/>
  </r>
  <r>
    <n v="18436143166"/>
    <n v="228"/>
    <d v="2034-12-06T00:00:00"/>
    <s v=""/>
    <x v="6"/>
    <x v="0"/>
  </r>
  <r>
    <n v="51910485339"/>
    <n v="80"/>
    <d v="2034-12-06T00:00:00"/>
    <d v="2035-01-28T00:00:00"/>
    <x v="6"/>
    <x v="8"/>
  </r>
  <r>
    <n v="39312095260"/>
    <n v="285"/>
    <d v="2034-12-06T00:00:00"/>
    <s v=""/>
    <x v="6"/>
    <x v="0"/>
  </r>
  <r>
    <n v="15645755628"/>
    <n v="279"/>
    <d v="2034-12-06T00:00:00"/>
    <s v=""/>
    <x v="6"/>
    <x v="0"/>
  </r>
  <r>
    <n v="50972883425"/>
    <n v="177"/>
    <d v="2034-12-06T00:00:00"/>
    <s v=""/>
    <x v="6"/>
    <x v="0"/>
  </r>
  <r>
    <n v="11245077816"/>
    <n v="217"/>
    <d v="2034-12-06T00:00:00"/>
    <s v=""/>
    <x v="6"/>
    <x v="0"/>
  </r>
  <r>
    <n v="17191037345"/>
    <n v="1"/>
    <d v="2034-12-06T00:00:00"/>
    <d v="2035-01-02T00:00:00"/>
    <x v="6"/>
    <x v="8"/>
  </r>
  <r>
    <n v="18387440458"/>
    <n v="242"/>
    <d v="2034-12-06T00:00:00"/>
    <d v="2035-01-13T00:00:00"/>
    <x v="6"/>
    <x v="8"/>
  </r>
  <r>
    <n v="42171090419"/>
    <n v="3"/>
    <d v="2034-12-06T00:00:00"/>
    <s v=""/>
    <x v="6"/>
    <x v="0"/>
  </r>
  <r>
    <n v="34470599245"/>
    <n v="203"/>
    <d v="2034-12-06T00:00:00"/>
    <s v=""/>
    <x v="6"/>
    <x v="0"/>
  </r>
  <r>
    <n v="85505062998"/>
    <n v="75"/>
    <d v="2034-12-06T00:00:00"/>
    <s v=""/>
    <x v="6"/>
    <x v="0"/>
  </r>
  <r>
    <n v="65900372316"/>
    <n v="261"/>
    <d v="2034-12-06T00:00:00"/>
    <s v=""/>
    <x v="6"/>
    <x v="0"/>
  </r>
  <r>
    <n v="33525286939"/>
    <n v="73"/>
    <d v="2034-12-06T00:00:00"/>
    <d v="2034-12-28T00:00:00"/>
    <x v="6"/>
    <x v="7"/>
  </r>
  <r>
    <n v="29330830594"/>
    <n v="268"/>
    <d v="2034-12-07T00:00:00"/>
    <s v=""/>
    <x v="6"/>
    <x v="0"/>
  </r>
  <r>
    <n v="96901564726"/>
    <n v="197"/>
    <d v="2034-12-07T00:00:00"/>
    <s v=""/>
    <x v="6"/>
    <x v="0"/>
  </r>
  <r>
    <n v="71428653580"/>
    <n v="283"/>
    <d v="2034-12-07T00:00:00"/>
    <s v=""/>
    <x v="6"/>
    <x v="0"/>
  </r>
  <r>
    <n v="30622416736"/>
    <n v="302"/>
    <d v="2034-12-07T00:00:00"/>
    <s v=""/>
    <x v="6"/>
    <x v="0"/>
  </r>
  <r>
    <n v="78067164255"/>
    <n v="105"/>
    <d v="2034-12-07T00:00:00"/>
    <s v=""/>
    <x v="6"/>
    <x v="0"/>
  </r>
  <r>
    <n v="57102004723"/>
    <n v="172"/>
    <d v="2034-12-07T00:00:00"/>
    <s v=""/>
    <x v="6"/>
    <x v="0"/>
  </r>
  <r>
    <n v="36811365721"/>
    <n v="332"/>
    <d v="2034-12-07T00:00:00"/>
    <s v=""/>
    <x v="6"/>
    <x v="0"/>
  </r>
  <r>
    <n v="17895468653"/>
    <n v="27"/>
    <d v="2034-12-07T00:00:00"/>
    <s v=""/>
    <x v="6"/>
    <x v="0"/>
  </r>
  <r>
    <n v="82244726835"/>
    <n v="248"/>
    <d v="2034-12-07T00:00:00"/>
    <s v=""/>
    <x v="6"/>
    <x v="0"/>
  </r>
  <r>
    <n v="40251618569"/>
    <n v="35"/>
    <d v="2034-12-07T00:00:00"/>
    <m/>
    <x v="6"/>
    <x v="0"/>
  </r>
  <r>
    <n v="42216104439"/>
    <n v="93"/>
    <d v="2034-12-07T00:00:00"/>
    <m/>
    <x v="6"/>
    <x v="0"/>
  </r>
  <r>
    <n v="98525707549"/>
    <n v="284"/>
    <d v="2034-12-07T00:00:00"/>
    <s v=""/>
    <x v="6"/>
    <x v="0"/>
  </r>
  <r>
    <n v="41826366887"/>
    <n v="87"/>
    <d v="2034-12-07T00:00:00"/>
    <m/>
    <x v="6"/>
    <x v="0"/>
  </r>
  <r>
    <n v="37450762682"/>
    <n v="55"/>
    <d v="2034-12-07T00:00:00"/>
    <s v=""/>
    <x v="6"/>
    <x v="0"/>
  </r>
  <r>
    <n v="88320206880"/>
    <n v="203"/>
    <d v="2034-12-07T00:00:00"/>
    <s v=""/>
    <x v="6"/>
    <x v="0"/>
  </r>
  <r>
    <n v="51409558665"/>
    <n v="48"/>
    <d v="2034-12-07T00:00:00"/>
    <s v=""/>
    <x v="6"/>
    <x v="0"/>
  </r>
  <r>
    <n v="37027537468"/>
    <n v="63"/>
    <d v="2034-12-07T00:00:00"/>
    <d v="2034-12-11T00:00:00"/>
    <x v="6"/>
    <x v="7"/>
  </r>
  <r>
    <n v="32047713083"/>
    <n v="99"/>
    <d v="2034-12-07T00:00:00"/>
    <s v=""/>
    <x v="6"/>
    <x v="0"/>
  </r>
  <r>
    <n v="50879217717"/>
    <n v="268"/>
    <d v="2034-12-07T00:00:00"/>
    <s v=""/>
    <x v="6"/>
    <x v="0"/>
  </r>
  <r>
    <n v="90886483010"/>
    <n v="269"/>
    <d v="2034-12-07T00:00:00"/>
    <s v=""/>
    <x v="6"/>
    <x v="0"/>
  </r>
  <r>
    <n v="44540100227"/>
    <n v="9"/>
    <d v="2034-12-07T00:00:00"/>
    <s v=""/>
    <x v="6"/>
    <x v="0"/>
  </r>
  <r>
    <n v="36483672449"/>
    <n v="81"/>
    <d v="2034-12-07T00:00:00"/>
    <s v=""/>
    <x v="6"/>
    <x v="0"/>
  </r>
  <r>
    <n v="51702064328"/>
    <n v="152"/>
    <d v="2034-12-07T00:00:00"/>
    <s v=""/>
    <x v="6"/>
    <x v="0"/>
  </r>
  <r>
    <n v="28168269783"/>
    <n v="143"/>
    <d v="2034-12-08T00:00:00"/>
    <s v=""/>
    <x v="6"/>
    <x v="0"/>
  </r>
  <r>
    <n v="74829827884"/>
    <n v="328"/>
    <d v="2034-12-08T00:00:00"/>
    <s v=""/>
    <x v="6"/>
    <x v="0"/>
  </r>
  <r>
    <n v="94123211927"/>
    <n v="189"/>
    <d v="2034-12-08T00:00:00"/>
    <s v=""/>
    <x v="6"/>
    <x v="0"/>
  </r>
  <r>
    <n v="12027511720"/>
    <n v="7"/>
    <d v="2034-12-08T00:00:00"/>
    <m/>
    <x v="6"/>
    <x v="0"/>
  </r>
  <r>
    <n v="84579237062"/>
    <n v="302"/>
    <d v="2034-12-08T00:00:00"/>
    <m/>
    <x v="6"/>
    <x v="0"/>
  </r>
  <r>
    <n v="56463516016"/>
    <n v="189"/>
    <d v="2034-12-08T00:00:00"/>
    <d v="2034-12-14T00:00:00"/>
    <x v="6"/>
    <x v="7"/>
  </r>
  <r>
    <n v="53527664364"/>
    <n v="267"/>
    <d v="2034-12-08T00:00:00"/>
    <s v=""/>
    <x v="6"/>
    <x v="0"/>
  </r>
  <r>
    <n v="67868860296"/>
    <n v="200"/>
    <d v="2034-12-08T00:00:00"/>
    <s v=""/>
    <x v="6"/>
    <x v="0"/>
  </r>
  <r>
    <n v="63473733712"/>
    <n v="323"/>
    <d v="2034-12-08T00:00:00"/>
    <s v=""/>
    <x v="6"/>
    <x v="0"/>
  </r>
  <r>
    <n v="24714530169"/>
    <n v="337"/>
    <d v="2034-12-08T00:00:00"/>
    <m/>
    <x v="6"/>
    <x v="0"/>
  </r>
  <r>
    <n v="38464914070"/>
    <n v="119"/>
    <d v="2034-12-08T00:00:00"/>
    <s v=""/>
    <x v="6"/>
    <x v="0"/>
  </r>
  <r>
    <n v="59405265226"/>
    <n v="96"/>
    <d v="2034-12-08T00:00:00"/>
    <s v=""/>
    <x v="6"/>
    <x v="0"/>
  </r>
  <r>
    <n v="36502540429"/>
    <n v="82"/>
    <d v="2034-12-08T00:00:00"/>
    <s v=""/>
    <x v="6"/>
    <x v="0"/>
  </r>
  <r>
    <n v="74800549448"/>
    <n v="139"/>
    <d v="2034-12-08T00:00:00"/>
    <s v=""/>
    <x v="6"/>
    <x v="0"/>
  </r>
  <r>
    <n v="43330776594"/>
    <n v="124"/>
    <d v="2034-12-08T00:00:00"/>
    <d v="2035-01-04T00:00:00"/>
    <x v="6"/>
    <x v="8"/>
  </r>
  <r>
    <n v="34105317369"/>
    <n v="212"/>
    <d v="2034-12-08T00:00:00"/>
    <s v=""/>
    <x v="6"/>
    <x v="0"/>
  </r>
  <r>
    <n v="32388187315"/>
    <n v="43"/>
    <d v="2034-12-08T00:00:00"/>
    <s v=""/>
    <x v="6"/>
    <x v="0"/>
  </r>
  <r>
    <n v="79652832778"/>
    <n v="50"/>
    <d v="2034-12-08T00:00:00"/>
    <s v=""/>
    <x v="6"/>
    <x v="0"/>
  </r>
  <r>
    <n v="70636360833"/>
    <n v="148"/>
    <d v="2034-12-08T00:00:00"/>
    <s v=""/>
    <x v="6"/>
    <x v="0"/>
  </r>
  <r>
    <n v="72272390428"/>
    <n v="201"/>
    <d v="2034-12-08T00:00:00"/>
    <s v=""/>
    <x v="6"/>
    <x v="0"/>
  </r>
  <r>
    <n v="60199373454"/>
    <n v="265"/>
    <d v="2034-12-08T00:00:00"/>
    <d v="2034-12-27T00:00:00"/>
    <x v="6"/>
    <x v="7"/>
  </r>
  <r>
    <n v="74957604989"/>
    <n v="210"/>
    <d v="2034-12-08T00:00:00"/>
    <s v=""/>
    <x v="6"/>
    <x v="0"/>
  </r>
  <r>
    <n v="20534219618"/>
    <n v="273"/>
    <d v="2034-12-08T00:00:00"/>
    <s v=""/>
    <x v="6"/>
    <x v="0"/>
  </r>
  <r>
    <n v="60343113151"/>
    <n v="155"/>
    <d v="2034-12-08T00:00:00"/>
    <m/>
    <x v="6"/>
    <x v="0"/>
  </r>
  <r>
    <n v="93045201807"/>
    <n v="30"/>
    <d v="2034-12-08T00:00:00"/>
    <s v=""/>
    <x v="6"/>
    <x v="0"/>
  </r>
  <r>
    <n v="23707594507"/>
    <n v="174"/>
    <d v="2034-12-08T00:00:00"/>
    <d v="2034-12-29T00:00:00"/>
    <x v="6"/>
    <x v="7"/>
  </r>
  <r>
    <n v="48702489679"/>
    <n v="81"/>
    <d v="2034-12-08T00:00:00"/>
    <s v=""/>
    <x v="6"/>
    <x v="0"/>
  </r>
  <r>
    <n v="53107894726"/>
    <n v="190"/>
    <d v="2034-12-09T00:00:00"/>
    <s v=""/>
    <x v="6"/>
    <x v="0"/>
  </r>
  <r>
    <n v="86441232073"/>
    <n v="339"/>
    <d v="2034-12-09T00:00:00"/>
    <s v=""/>
    <x v="6"/>
    <x v="0"/>
  </r>
  <r>
    <n v="71737862719"/>
    <n v="30"/>
    <d v="2034-12-09T00:00:00"/>
    <d v="2035-01-11T00:00:00"/>
    <x v="6"/>
    <x v="8"/>
  </r>
  <r>
    <n v="20014837958"/>
    <n v="281"/>
    <d v="2034-12-09T00:00:00"/>
    <s v=""/>
    <x v="6"/>
    <x v="0"/>
  </r>
  <r>
    <n v="12798124569"/>
    <n v="143"/>
    <d v="2034-12-09T00:00:00"/>
    <m/>
    <x v="6"/>
    <x v="0"/>
  </r>
  <r>
    <n v="80338506594"/>
    <n v="96"/>
    <d v="2034-12-09T00:00:00"/>
    <s v=""/>
    <x v="6"/>
    <x v="0"/>
  </r>
  <r>
    <n v="11596527058"/>
    <n v="116"/>
    <d v="2034-12-09T00:00:00"/>
    <s v=""/>
    <x v="6"/>
    <x v="0"/>
  </r>
  <r>
    <n v="84305946395"/>
    <n v="309"/>
    <d v="2034-12-09T00:00:00"/>
    <m/>
    <x v="6"/>
    <x v="0"/>
  </r>
  <r>
    <n v="64463755224"/>
    <n v="218"/>
    <d v="2034-12-09T00:00:00"/>
    <s v=""/>
    <x v="6"/>
    <x v="0"/>
  </r>
  <r>
    <n v="82952635170"/>
    <n v="169"/>
    <d v="2034-12-09T00:00:00"/>
    <d v="2034-12-21T00:00:00"/>
    <x v="6"/>
    <x v="7"/>
  </r>
  <r>
    <n v="44824851874"/>
    <n v="128"/>
    <d v="2034-12-09T00:00:00"/>
    <s v=""/>
    <x v="6"/>
    <x v="0"/>
  </r>
  <r>
    <n v="20119203844"/>
    <n v="188"/>
    <d v="2034-12-09T00:00:00"/>
    <s v=""/>
    <x v="6"/>
    <x v="0"/>
  </r>
  <r>
    <n v="77782029730"/>
    <n v="154"/>
    <d v="2034-12-09T00:00:00"/>
    <s v=""/>
    <x v="6"/>
    <x v="0"/>
  </r>
  <r>
    <n v="30185463573"/>
    <n v="158"/>
    <d v="2034-12-09T00:00:00"/>
    <s v=""/>
    <x v="6"/>
    <x v="0"/>
  </r>
  <r>
    <n v="95408574348"/>
    <n v="183"/>
    <d v="2034-12-09T00:00:00"/>
    <s v=""/>
    <x v="6"/>
    <x v="0"/>
  </r>
  <r>
    <n v="79771056562"/>
    <n v="334"/>
    <d v="2034-12-09T00:00:00"/>
    <m/>
    <x v="6"/>
    <x v="0"/>
  </r>
  <r>
    <n v="18094547203"/>
    <n v="105"/>
    <d v="2034-12-09T00:00:00"/>
    <s v=""/>
    <x v="6"/>
    <x v="0"/>
  </r>
  <r>
    <n v="22950621172"/>
    <n v="218"/>
    <d v="2034-12-09T00:00:00"/>
    <s v=""/>
    <x v="6"/>
    <x v="0"/>
  </r>
  <r>
    <n v="73610361635"/>
    <n v="211"/>
    <d v="2034-12-09T00:00:00"/>
    <s v=""/>
    <x v="6"/>
    <x v="0"/>
  </r>
  <r>
    <n v="67761452600"/>
    <n v="247"/>
    <d v="2034-12-09T00:00:00"/>
    <s v=""/>
    <x v="6"/>
    <x v="0"/>
  </r>
  <r>
    <n v="78370546695"/>
    <n v="52"/>
    <d v="2034-12-09T00:00:00"/>
    <d v="2034-12-25T00:00:00"/>
    <x v="6"/>
    <x v="7"/>
  </r>
  <r>
    <n v="93336531464"/>
    <n v="175"/>
    <d v="2034-12-09T00:00:00"/>
    <d v="2034-12-11T00:00:00"/>
    <x v="6"/>
    <x v="7"/>
  </r>
  <r>
    <n v="75610000918"/>
    <n v="131"/>
    <d v="2034-12-09T00:00:00"/>
    <s v=""/>
    <x v="6"/>
    <x v="0"/>
  </r>
  <r>
    <n v="18956029687"/>
    <n v="137"/>
    <d v="2034-12-09T00:00:00"/>
    <s v=""/>
    <x v="6"/>
    <x v="0"/>
  </r>
  <r>
    <n v="78909646018"/>
    <n v="114"/>
    <d v="2034-12-10T00:00:00"/>
    <s v=""/>
    <x v="6"/>
    <x v="0"/>
  </r>
  <r>
    <n v="77731723155"/>
    <n v="37"/>
    <d v="2034-12-10T00:00:00"/>
    <s v=""/>
    <x v="6"/>
    <x v="0"/>
  </r>
  <r>
    <n v="56132977027"/>
    <n v="328"/>
    <d v="2034-12-10T00:00:00"/>
    <s v=""/>
    <x v="6"/>
    <x v="0"/>
  </r>
  <r>
    <n v="81422459269"/>
    <n v="289"/>
    <d v="2034-12-10T00:00:00"/>
    <s v=""/>
    <x v="6"/>
    <x v="0"/>
  </r>
  <r>
    <n v="34883835068"/>
    <n v="308"/>
    <d v="2034-12-10T00:00:00"/>
    <s v=""/>
    <x v="6"/>
    <x v="0"/>
  </r>
  <r>
    <n v="13182891272"/>
    <n v="331"/>
    <d v="2034-12-10T00:00:00"/>
    <s v=""/>
    <x v="6"/>
    <x v="0"/>
  </r>
  <r>
    <n v="12834121799"/>
    <n v="235"/>
    <d v="2034-12-10T00:00:00"/>
    <s v=""/>
    <x v="6"/>
    <x v="0"/>
  </r>
  <r>
    <n v="39860443866"/>
    <n v="36"/>
    <d v="2034-12-10T00:00:00"/>
    <m/>
    <x v="6"/>
    <x v="0"/>
  </r>
  <r>
    <n v="72804890597"/>
    <n v="263"/>
    <d v="2034-12-10T00:00:00"/>
    <s v=""/>
    <x v="6"/>
    <x v="0"/>
  </r>
  <r>
    <n v="67879409937"/>
    <n v="223"/>
    <d v="2034-12-10T00:00:00"/>
    <s v=""/>
    <x v="6"/>
    <x v="0"/>
  </r>
  <r>
    <n v="64252879772"/>
    <n v="118"/>
    <d v="2034-12-10T00:00:00"/>
    <s v=""/>
    <x v="6"/>
    <x v="0"/>
  </r>
  <r>
    <n v="63768395136"/>
    <n v="41"/>
    <d v="2034-12-10T00:00:00"/>
    <d v="2035-01-15T00:00:00"/>
    <x v="6"/>
    <x v="8"/>
  </r>
  <r>
    <n v="38412466860"/>
    <n v="57"/>
    <d v="2034-12-10T00:00:00"/>
    <s v=""/>
    <x v="6"/>
    <x v="0"/>
  </r>
  <r>
    <n v="99578154746"/>
    <n v="201"/>
    <d v="2034-12-10T00:00:00"/>
    <d v="2035-01-18T00:00:00"/>
    <x v="6"/>
    <x v="8"/>
  </r>
  <r>
    <n v="31459358439"/>
    <n v="240"/>
    <d v="2034-12-10T00:00:00"/>
    <s v=""/>
    <x v="6"/>
    <x v="0"/>
  </r>
  <r>
    <n v="77237268729"/>
    <n v="209"/>
    <d v="2034-12-10T00:00:00"/>
    <s v=""/>
    <x v="6"/>
    <x v="0"/>
  </r>
  <r>
    <n v="69763408954"/>
    <n v="186"/>
    <d v="2034-12-10T00:00:00"/>
    <m/>
    <x v="6"/>
    <x v="0"/>
  </r>
  <r>
    <n v="84658836221"/>
    <n v="333"/>
    <d v="2034-12-10T00:00:00"/>
    <s v=""/>
    <x v="6"/>
    <x v="0"/>
  </r>
  <r>
    <n v="94512958895"/>
    <n v="163"/>
    <d v="2034-12-10T00:00:00"/>
    <s v=""/>
    <x v="6"/>
    <x v="0"/>
  </r>
  <r>
    <n v="73473222872"/>
    <n v="102"/>
    <d v="2034-12-11T00:00:00"/>
    <s v=""/>
    <x v="6"/>
    <x v="0"/>
  </r>
  <r>
    <n v="91269555345"/>
    <n v="94"/>
    <d v="2034-12-11T00:00:00"/>
    <s v=""/>
    <x v="6"/>
    <x v="0"/>
  </r>
  <r>
    <n v="97974477780"/>
    <n v="209"/>
    <d v="2034-12-11T00:00:00"/>
    <s v=""/>
    <x v="6"/>
    <x v="0"/>
  </r>
  <r>
    <n v="51273908941"/>
    <n v="165"/>
    <d v="2034-12-11T00:00:00"/>
    <d v="2034-12-26T00:00:00"/>
    <x v="6"/>
    <x v="7"/>
  </r>
  <r>
    <n v="15676270117"/>
    <n v="197"/>
    <d v="2034-12-11T00:00:00"/>
    <s v=""/>
    <x v="6"/>
    <x v="0"/>
  </r>
  <r>
    <n v="62258984065"/>
    <n v="150"/>
    <d v="2034-12-11T00:00:00"/>
    <m/>
    <x v="6"/>
    <x v="0"/>
  </r>
  <r>
    <n v="19718489784"/>
    <n v="315"/>
    <d v="2034-12-11T00:00:00"/>
    <s v=""/>
    <x v="6"/>
    <x v="0"/>
  </r>
  <r>
    <n v="53337374474"/>
    <n v="2"/>
    <d v="2034-12-11T00:00:00"/>
    <s v=""/>
    <x v="6"/>
    <x v="0"/>
  </r>
  <r>
    <n v="82355298411"/>
    <n v="43"/>
    <d v="2034-12-11T00:00:00"/>
    <m/>
    <x v="6"/>
    <x v="0"/>
  </r>
  <r>
    <n v="67218090009"/>
    <n v="244"/>
    <d v="2034-12-11T00:00:00"/>
    <s v=""/>
    <x v="6"/>
    <x v="0"/>
  </r>
  <r>
    <n v="18084815528"/>
    <n v="299"/>
    <d v="2034-12-11T00:00:00"/>
    <s v=""/>
    <x v="6"/>
    <x v="0"/>
  </r>
  <r>
    <n v="69289260156"/>
    <n v="88"/>
    <d v="2034-12-11T00:00:00"/>
    <s v=""/>
    <x v="6"/>
    <x v="0"/>
  </r>
  <r>
    <n v="81478573686"/>
    <n v="194"/>
    <d v="2034-12-11T00:00:00"/>
    <d v="2035-01-05T00:00:00"/>
    <x v="6"/>
    <x v="8"/>
  </r>
  <r>
    <n v="48403205482"/>
    <n v="181"/>
    <d v="2034-12-11T00:00:00"/>
    <s v=""/>
    <x v="6"/>
    <x v="0"/>
  </r>
  <r>
    <n v="89457011735"/>
    <n v="111"/>
    <d v="2034-12-11T00:00:00"/>
    <s v=""/>
    <x v="6"/>
    <x v="0"/>
  </r>
  <r>
    <n v="93655386284"/>
    <n v="200"/>
    <d v="2034-12-11T00:00:00"/>
    <s v=""/>
    <x v="6"/>
    <x v="0"/>
  </r>
  <r>
    <n v="93666109530"/>
    <n v="47"/>
    <d v="2034-12-11T00:00:00"/>
    <s v=""/>
    <x v="6"/>
    <x v="0"/>
  </r>
  <r>
    <n v="94597161683"/>
    <n v="191"/>
    <d v="2034-12-11T00:00:00"/>
    <s v=""/>
    <x v="6"/>
    <x v="0"/>
  </r>
  <r>
    <n v="29072726826"/>
    <n v="11"/>
    <d v="2034-12-11T00:00:00"/>
    <s v=""/>
    <x v="6"/>
    <x v="0"/>
  </r>
  <r>
    <n v="79264027970"/>
    <n v="313"/>
    <d v="2034-12-11T00:00:00"/>
    <s v=""/>
    <x v="6"/>
    <x v="0"/>
  </r>
  <r>
    <n v="53888539800"/>
    <n v="132"/>
    <d v="2034-12-11T00:00:00"/>
    <s v=""/>
    <x v="6"/>
    <x v="0"/>
  </r>
  <r>
    <n v="66448519322"/>
    <n v="89"/>
    <d v="2034-12-11T00:00:00"/>
    <s v=""/>
    <x v="6"/>
    <x v="0"/>
  </r>
  <r>
    <n v="62242452883"/>
    <n v="305"/>
    <d v="2034-12-11T00:00:00"/>
    <s v=""/>
    <x v="6"/>
    <x v="0"/>
  </r>
  <r>
    <n v="68511039532"/>
    <n v="245"/>
    <d v="2034-12-11T00:00:00"/>
    <s v=""/>
    <x v="6"/>
    <x v="0"/>
  </r>
  <r>
    <n v="70474663296"/>
    <n v="181"/>
    <d v="2034-12-11T00:00:00"/>
    <s v=""/>
    <x v="6"/>
    <x v="0"/>
  </r>
  <r>
    <n v="98978675041"/>
    <n v="151"/>
    <d v="2034-12-11T00:00:00"/>
    <s v=""/>
    <x v="6"/>
    <x v="0"/>
  </r>
  <r>
    <n v="19896940018"/>
    <n v="268"/>
    <d v="2034-12-11T00:00:00"/>
    <m/>
    <x v="6"/>
    <x v="0"/>
  </r>
  <r>
    <n v="46907775770"/>
    <n v="331"/>
    <d v="2034-12-11T00:00:00"/>
    <s v=""/>
    <x v="6"/>
    <x v="0"/>
  </r>
  <r>
    <n v="31691124756"/>
    <n v="33"/>
    <d v="2034-12-11T00:00:00"/>
    <d v="2035-02-01T00:00:00"/>
    <x v="6"/>
    <x v="9"/>
  </r>
  <r>
    <n v="82729495442"/>
    <n v="207"/>
    <d v="2034-12-11T00:00:00"/>
    <m/>
    <x v="6"/>
    <x v="0"/>
  </r>
  <r>
    <n v="92224292269"/>
    <n v="265"/>
    <d v="2034-12-11T00:00:00"/>
    <s v=""/>
    <x v="6"/>
    <x v="0"/>
  </r>
  <r>
    <n v="76876157807"/>
    <n v="0"/>
    <d v="2034-12-11T00:00:00"/>
    <s v=""/>
    <x v="6"/>
    <x v="0"/>
  </r>
  <r>
    <n v="90996591988"/>
    <n v="106"/>
    <d v="2034-12-11T00:00:00"/>
    <s v=""/>
    <x v="6"/>
    <x v="0"/>
  </r>
  <r>
    <n v="85898961873"/>
    <n v="251"/>
    <d v="2034-12-11T00:00:00"/>
    <s v=""/>
    <x v="6"/>
    <x v="0"/>
  </r>
  <r>
    <n v="64188906048"/>
    <n v="317"/>
    <d v="2034-12-12T00:00:00"/>
    <s v=""/>
    <x v="6"/>
    <x v="0"/>
  </r>
  <r>
    <n v="40370269414"/>
    <n v="229"/>
    <d v="2034-12-12T00:00:00"/>
    <s v=""/>
    <x v="6"/>
    <x v="0"/>
  </r>
  <r>
    <n v="57207028697"/>
    <n v="187"/>
    <d v="2034-12-12T00:00:00"/>
    <s v=""/>
    <x v="6"/>
    <x v="0"/>
  </r>
  <r>
    <n v="22188566181"/>
    <n v="319"/>
    <d v="2034-12-12T00:00:00"/>
    <s v=""/>
    <x v="6"/>
    <x v="0"/>
  </r>
  <r>
    <n v="45844576408"/>
    <n v="45"/>
    <d v="2034-12-12T00:00:00"/>
    <d v="2034-12-28T00:00:00"/>
    <x v="6"/>
    <x v="7"/>
  </r>
  <r>
    <n v="82770694494"/>
    <n v="208"/>
    <d v="2034-12-12T00:00:00"/>
    <s v=""/>
    <x v="6"/>
    <x v="0"/>
  </r>
  <r>
    <n v="43693426198"/>
    <n v="152"/>
    <d v="2034-12-12T00:00:00"/>
    <s v=""/>
    <x v="6"/>
    <x v="0"/>
  </r>
  <r>
    <n v="31519380359"/>
    <n v="109"/>
    <d v="2034-12-12T00:00:00"/>
    <s v=""/>
    <x v="6"/>
    <x v="0"/>
  </r>
  <r>
    <n v="67095919328"/>
    <n v="30"/>
    <d v="2034-12-12T00:00:00"/>
    <s v=""/>
    <x v="6"/>
    <x v="0"/>
  </r>
  <r>
    <n v="56224881839"/>
    <n v="76"/>
    <d v="2034-12-12T00:00:00"/>
    <s v=""/>
    <x v="6"/>
    <x v="0"/>
  </r>
  <r>
    <n v="24881288795"/>
    <n v="210"/>
    <d v="2034-12-12T00:00:00"/>
    <s v=""/>
    <x v="6"/>
    <x v="0"/>
  </r>
  <r>
    <n v="91790158998"/>
    <n v="259"/>
    <d v="2034-12-12T00:00:00"/>
    <s v=""/>
    <x v="6"/>
    <x v="0"/>
  </r>
  <r>
    <n v="93545976013"/>
    <n v="66"/>
    <d v="2034-12-12T00:00:00"/>
    <s v=""/>
    <x v="6"/>
    <x v="0"/>
  </r>
  <r>
    <n v="19498868047"/>
    <n v="290"/>
    <d v="2034-12-12T00:00:00"/>
    <s v=""/>
    <x v="6"/>
    <x v="0"/>
  </r>
  <r>
    <n v="51158109537"/>
    <n v="270"/>
    <d v="2034-12-12T00:00:00"/>
    <s v=""/>
    <x v="6"/>
    <x v="0"/>
  </r>
  <r>
    <n v="81087578333"/>
    <n v="97"/>
    <d v="2034-12-12T00:00:00"/>
    <d v="2035-01-11T00:00:00"/>
    <x v="6"/>
    <x v="8"/>
  </r>
  <r>
    <n v="36069797324"/>
    <n v="239"/>
    <d v="2034-12-12T00:00:00"/>
    <d v="2035-01-16T00:00:00"/>
    <x v="6"/>
    <x v="8"/>
  </r>
  <r>
    <n v="93511905006"/>
    <n v="66"/>
    <d v="2034-12-12T00:00:00"/>
    <s v=""/>
    <x v="6"/>
    <x v="0"/>
  </r>
  <r>
    <n v="50201695511"/>
    <n v="226"/>
    <d v="2034-12-12T00:00:00"/>
    <s v=""/>
    <x v="6"/>
    <x v="0"/>
  </r>
  <r>
    <n v="69942340913"/>
    <n v="228"/>
    <d v="2034-12-12T00:00:00"/>
    <s v=""/>
    <x v="6"/>
    <x v="0"/>
  </r>
  <r>
    <n v="49760735004"/>
    <n v="280"/>
    <d v="2034-12-12T00:00:00"/>
    <s v=""/>
    <x v="6"/>
    <x v="0"/>
  </r>
  <r>
    <n v="50956431491"/>
    <n v="337"/>
    <d v="2034-12-12T00:00:00"/>
    <s v=""/>
    <x v="6"/>
    <x v="0"/>
  </r>
  <r>
    <n v="81242527944"/>
    <n v="128"/>
    <d v="2034-12-12T00:00:00"/>
    <s v=""/>
    <x v="6"/>
    <x v="0"/>
  </r>
  <r>
    <n v="38416894292"/>
    <n v="232"/>
    <d v="2034-12-12T00:00:00"/>
    <s v=""/>
    <x v="6"/>
    <x v="0"/>
  </r>
  <r>
    <n v="28754448701"/>
    <n v="107"/>
    <d v="2034-12-12T00:00:00"/>
    <s v=""/>
    <x v="6"/>
    <x v="0"/>
  </r>
  <r>
    <n v="66071623790"/>
    <n v="197"/>
    <d v="2034-12-12T00:00:00"/>
    <s v=""/>
    <x v="6"/>
    <x v="0"/>
  </r>
  <r>
    <n v="24741280635"/>
    <n v="77"/>
    <d v="2034-12-12T00:00:00"/>
    <s v=""/>
    <x v="6"/>
    <x v="0"/>
  </r>
  <r>
    <n v="69175897612"/>
    <n v="169"/>
    <d v="2034-12-12T00:00:00"/>
    <s v=""/>
    <x v="6"/>
    <x v="0"/>
  </r>
  <r>
    <n v="13266344549"/>
    <n v="251"/>
    <d v="2034-12-12T00:00:00"/>
    <s v=""/>
    <x v="6"/>
    <x v="0"/>
  </r>
  <r>
    <n v="11479613922"/>
    <n v="130"/>
    <d v="2034-12-12T00:00:00"/>
    <s v=""/>
    <x v="6"/>
    <x v="0"/>
  </r>
  <r>
    <n v="37427260033"/>
    <n v="333"/>
    <d v="2034-12-12T00:00:00"/>
    <s v=""/>
    <x v="6"/>
    <x v="0"/>
  </r>
  <r>
    <n v="31516059321"/>
    <n v="23"/>
    <d v="2034-12-12T00:00:00"/>
    <s v=""/>
    <x v="6"/>
    <x v="0"/>
  </r>
  <r>
    <n v="82613193378"/>
    <n v="298"/>
    <d v="2034-12-12T00:00:00"/>
    <s v=""/>
    <x v="6"/>
    <x v="0"/>
  </r>
  <r>
    <n v="45324662009"/>
    <n v="117"/>
    <d v="2034-12-12T00:00:00"/>
    <s v=""/>
    <x v="6"/>
    <x v="0"/>
  </r>
  <r>
    <n v="39349081060"/>
    <n v="103"/>
    <d v="2034-12-13T00:00:00"/>
    <m/>
    <x v="6"/>
    <x v="0"/>
  </r>
  <r>
    <n v="12331855704"/>
    <n v="205"/>
    <d v="2034-12-13T00:00:00"/>
    <s v=""/>
    <x v="6"/>
    <x v="0"/>
  </r>
  <r>
    <n v="84791305666"/>
    <n v="221"/>
    <d v="2034-12-13T00:00:00"/>
    <s v=""/>
    <x v="6"/>
    <x v="0"/>
  </r>
  <r>
    <n v="22766035622"/>
    <n v="314"/>
    <d v="2034-12-13T00:00:00"/>
    <m/>
    <x v="6"/>
    <x v="0"/>
  </r>
  <r>
    <n v="94133533028"/>
    <n v="147"/>
    <d v="2034-12-13T00:00:00"/>
    <s v=""/>
    <x v="6"/>
    <x v="0"/>
  </r>
  <r>
    <n v="45355634303"/>
    <n v="44"/>
    <d v="2034-12-13T00:00:00"/>
    <m/>
    <x v="6"/>
    <x v="0"/>
  </r>
  <r>
    <n v="94226838621"/>
    <n v="134"/>
    <d v="2034-12-13T00:00:00"/>
    <s v=""/>
    <x v="6"/>
    <x v="0"/>
  </r>
  <r>
    <n v="99483922545"/>
    <n v="63"/>
    <d v="2034-12-13T00:00:00"/>
    <s v=""/>
    <x v="6"/>
    <x v="0"/>
  </r>
  <r>
    <n v="82750417023"/>
    <n v="86"/>
    <d v="2034-12-13T00:00:00"/>
    <s v=""/>
    <x v="6"/>
    <x v="0"/>
  </r>
  <r>
    <n v="16404743736"/>
    <n v="69"/>
    <d v="2034-12-13T00:00:00"/>
    <s v=""/>
    <x v="6"/>
    <x v="0"/>
  </r>
  <r>
    <n v="91520417010"/>
    <n v="157"/>
    <d v="2034-12-13T00:00:00"/>
    <s v=""/>
    <x v="6"/>
    <x v="0"/>
  </r>
  <r>
    <n v="78513597040"/>
    <n v="167"/>
    <d v="2034-12-13T00:00:00"/>
    <s v=""/>
    <x v="6"/>
    <x v="0"/>
  </r>
  <r>
    <n v="23213399782"/>
    <n v="138"/>
    <d v="2034-12-13T00:00:00"/>
    <s v=""/>
    <x v="6"/>
    <x v="0"/>
  </r>
  <r>
    <n v="68197353888"/>
    <n v="26"/>
    <d v="2034-12-13T00:00:00"/>
    <s v=""/>
    <x v="6"/>
    <x v="0"/>
  </r>
  <r>
    <n v="16015018581"/>
    <n v="310"/>
    <d v="2034-12-13T00:00:00"/>
    <s v=""/>
    <x v="6"/>
    <x v="0"/>
  </r>
  <r>
    <n v="40328880497"/>
    <n v="263"/>
    <d v="2034-12-13T00:00:00"/>
    <s v=""/>
    <x v="6"/>
    <x v="0"/>
  </r>
  <r>
    <n v="23470141503"/>
    <n v="52"/>
    <d v="2034-12-13T00:00:00"/>
    <d v="2035-01-11T00:00:00"/>
    <x v="6"/>
    <x v="8"/>
  </r>
  <r>
    <n v="16700633181"/>
    <n v="163"/>
    <d v="2034-12-13T00:00:00"/>
    <m/>
    <x v="6"/>
    <x v="0"/>
  </r>
  <r>
    <n v="47360610316"/>
    <n v="104"/>
    <d v="2034-12-13T00:00:00"/>
    <s v=""/>
    <x v="6"/>
    <x v="0"/>
  </r>
  <r>
    <n v="37407010596"/>
    <n v="45"/>
    <d v="2034-12-13T00:00:00"/>
    <s v=""/>
    <x v="6"/>
    <x v="0"/>
  </r>
  <r>
    <n v="31278872160"/>
    <n v="249"/>
    <d v="2034-12-13T00:00:00"/>
    <s v=""/>
    <x v="6"/>
    <x v="0"/>
  </r>
  <r>
    <n v="11921203685"/>
    <n v="159"/>
    <d v="2034-12-13T00:00:00"/>
    <s v=""/>
    <x v="6"/>
    <x v="0"/>
  </r>
  <r>
    <n v="12994658170"/>
    <n v="252"/>
    <d v="2034-12-13T00:00:00"/>
    <s v=""/>
    <x v="6"/>
    <x v="0"/>
  </r>
  <r>
    <n v="54851675737"/>
    <n v="177"/>
    <d v="2034-12-13T00:00:00"/>
    <s v=""/>
    <x v="6"/>
    <x v="0"/>
  </r>
  <r>
    <n v="60089707743"/>
    <n v="213"/>
    <d v="2034-12-14T00:00:00"/>
    <s v=""/>
    <x v="6"/>
    <x v="0"/>
  </r>
  <r>
    <n v="57858732645"/>
    <n v="74"/>
    <d v="2034-12-14T00:00:00"/>
    <s v=""/>
    <x v="6"/>
    <x v="0"/>
  </r>
  <r>
    <n v="34466583005"/>
    <n v="35"/>
    <d v="2034-12-14T00:00:00"/>
    <s v=""/>
    <x v="6"/>
    <x v="0"/>
  </r>
  <r>
    <n v="62242795105"/>
    <n v="190"/>
    <d v="2034-12-14T00:00:00"/>
    <s v=""/>
    <x v="6"/>
    <x v="0"/>
  </r>
  <r>
    <n v="90279275238"/>
    <n v="167"/>
    <d v="2034-12-14T00:00:00"/>
    <d v="2035-01-03T00:00:00"/>
    <x v="6"/>
    <x v="8"/>
  </r>
  <r>
    <n v="35332700767"/>
    <n v="106"/>
    <d v="2034-12-14T00:00:00"/>
    <s v=""/>
    <x v="6"/>
    <x v="0"/>
  </r>
  <r>
    <n v="18656715016"/>
    <n v="279"/>
    <d v="2034-12-14T00:00:00"/>
    <s v=""/>
    <x v="6"/>
    <x v="0"/>
  </r>
  <r>
    <n v="32143328342"/>
    <n v="260"/>
    <d v="2034-12-14T00:00:00"/>
    <s v=""/>
    <x v="6"/>
    <x v="0"/>
  </r>
  <r>
    <n v="81980117413"/>
    <n v="290"/>
    <d v="2034-12-14T00:00:00"/>
    <s v=""/>
    <x v="6"/>
    <x v="0"/>
  </r>
  <r>
    <n v="90978013432"/>
    <n v="196"/>
    <d v="2034-12-14T00:00:00"/>
    <s v=""/>
    <x v="6"/>
    <x v="0"/>
  </r>
  <r>
    <n v="93383770751"/>
    <n v="48"/>
    <d v="2034-12-14T00:00:00"/>
    <s v=""/>
    <x v="6"/>
    <x v="0"/>
  </r>
  <r>
    <n v="53714767843"/>
    <n v="320"/>
    <d v="2034-12-14T00:00:00"/>
    <s v=""/>
    <x v="6"/>
    <x v="0"/>
  </r>
  <r>
    <n v="76030363599"/>
    <n v="156"/>
    <d v="2034-12-14T00:00:00"/>
    <s v=""/>
    <x v="6"/>
    <x v="0"/>
  </r>
  <r>
    <n v="59412640239"/>
    <n v="268"/>
    <d v="2034-12-14T00:00:00"/>
    <d v="2035-01-20T00:00:00"/>
    <x v="6"/>
    <x v="8"/>
  </r>
  <r>
    <n v="34655659862"/>
    <n v="112"/>
    <d v="2034-12-14T00:00:00"/>
    <s v=""/>
    <x v="6"/>
    <x v="0"/>
  </r>
  <r>
    <n v="51371238767"/>
    <n v="39"/>
    <d v="2034-12-14T00:00:00"/>
    <m/>
    <x v="6"/>
    <x v="0"/>
  </r>
  <r>
    <n v="17618714794"/>
    <n v="104"/>
    <d v="2034-12-14T00:00:00"/>
    <s v=""/>
    <x v="6"/>
    <x v="0"/>
  </r>
  <r>
    <n v="69681313863"/>
    <n v="175"/>
    <d v="2034-12-14T00:00:00"/>
    <s v=""/>
    <x v="6"/>
    <x v="0"/>
  </r>
  <r>
    <n v="31188933687"/>
    <n v="161"/>
    <d v="2034-12-14T00:00:00"/>
    <s v=""/>
    <x v="6"/>
    <x v="0"/>
  </r>
  <r>
    <n v="76413684942"/>
    <n v="24"/>
    <d v="2034-12-14T00:00:00"/>
    <s v=""/>
    <x v="6"/>
    <x v="0"/>
  </r>
  <r>
    <n v="83360234057"/>
    <n v="262"/>
    <d v="2034-12-15T00:00:00"/>
    <m/>
    <x v="6"/>
    <x v="0"/>
  </r>
  <r>
    <n v="26272800348"/>
    <n v="281"/>
    <d v="2034-12-15T00:00:00"/>
    <s v=""/>
    <x v="6"/>
    <x v="0"/>
  </r>
  <r>
    <n v="98255614921"/>
    <n v="132"/>
    <d v="2034-12-15T00:00:00"/>
    <m/>
    <x v="6"/>
    <x v="0"/>
  </r>
  <r>
    <n v="12201631892"/>
    <n v="104"/>
    <d v="2034-12-15T00:00:00"/>
    <s v=""/>
    <x v="6"/>
    <x v="0"/>
  </r>
  <r>
    <n v="97740523555"/>
    <n v="142"/>
    <d v="2034-12-15T00:00:00"/>
    <s v=""/>
    <x v="6"/>
    <x v="0"/>
  </r>
  <r>
    <n v="36989729625"/>
    <n v="207"/>
    <d v="2034-12-15T00:00:00"/>
    <s v=""/>
    <x v="6"/>
    <x v="0"/>
  </r>
  <r>
    <n v="22130255998"/>
    <n v="187"/>
    <d v="2034-12-15T00:00:00"/>
    <s v=""/>
    <x v="6"/>
    <x v="0"/>
  </r>
  <r>
    <n v="45016170733"/>
    <n v="308"/>
    <d v="2034-12-15T00:00:00"/>
    <s v=""/>
    <x v="6"/>
    <x v="0"/>
  </r>
  <r>
    <n v="53463248774"/>
    <n v="302"/>
    <d v="2034-12-15T00:00:00"/>
    <s v=""/>
    <x v="6"/>
    <x v="0"/>
  </r>
  <r>
    <n v="48182709087"/>
    <n v="168"/>
    <d v="2034-12-15T00:00:00"/>
    <m/>
    <x v="6"/>
    <x v="0"/>
  </r>
  <r>
    <n v="58347553774"/>
    <n v="263"/>
    <d v="2034-12-15T00:00:00"/>
    <s v=""/>
    <x v="6"/>
    <x v="0"/>
  </r>
  <r>
    <n v="87079392351"/>
    <n v="79"/>
    <d v="2034-12-15T00:00:00"/>
    <s v=""/>
    <x v="6"/>
    <x v="0"/>
  </r>
  <r>
    <n v="29828259522"/>
    <n v="17"/>
    <d v="2034-12-15T00:00:00"/>
    <m/>
    <x v="6"/>
    <x v="0"/>
  </r>
  <r>
    <n v="43393920153"/>
    <n v="99"/>
    <d v="2034-12-15T00:00:00"/>
    <s v=""/>
    <x v="6"/>
    <x v="0"/>
  </r>
  <r>
    <n v="46273990244"/>
    <n v="228"/>
    <d v="2034-12-15T00:00:00"/>
    <s v=""/>
    <x v="6"/>
    <x v="0"/>
  </r>
  <r>
    <n v="29333741588"/>
    <n v="179"/>
    <d v="2034-12-15T00:00:00"/>
    <s v=""/>
    <x v="6"/>
    <x v="0"/>
  </r>
  <r>
    <n v="70694221882"/>
    <n v="109"/>
    <d v="2034-12-15T00:00:00"/>
    <s v=""/>
    <x v="6"/>
    <x v="0"/>
  </r>
  <r>
    <n v="96444405960"/>
    <n v="91"/>
    <d v="2034-12-15T00:00:00"/>
    <m/>
    <x v="6"/>
    <x v="0"/>
  </r>
  <r>
    <n v="44198016995"/>
    <n v="34"/>
    <d v="2034-12-15T00:00:00"/>
    <s v=""/>
    <x v="6"/>
    <x v="0"/>
  </r>
  <r>
    <n v="98096953563"/>
    <n v="266"/>
    <d v="2034-12-15T00:00:00"/>
    <d v="2035-01-25T00:00:00"/>
    <x v="6"/>
    <x v="8"/>
  </r>
  <r>
    <n v="96426013970"/>
    <n v="291"/>
    <d v="2034-12-15T00:00:00"/>
    <s v=""/>
    <x v="6"/>
    <x v="0"/>
  </r>
  <r>
    <n v="43856845784"/>
    <n v="148"/>
    <d v="2034-12-15T00:00:00"/>
    <d v="2035-01-20T00:00:00"/>
    <x v="6"/>
    <x v="8"/>
  </r>
  <r>
    <n v="85947900096"/>
    <n v="177"/>
    <d v="2034-12-15T00:00:00"/>
    <s v=""/>
    <x v="6"/>
    <x v="0"/>
  </r>
  <r>
    <n v="12668027650"/>
    <n v="152"/>
    <d v="2034-12-15T00:00:00"/>
    <s v=""/>
    <x v="6"/>
    <x v="0"/>
  </r>
  <r>
    <n v="44228541499"/>
    <n v="61"/>
    <d v="2034-12-15T00:00:00"/>
    <s v=""/>
    <x v="6"/>
    <x v="0"/>
  </r>
  <r>
    <n v="87181083407"/>
    <n v="16"/>
    <d v="2034-12-15T00:00:00"/>
    <d v="2034-12-28T00:00:00"/>
    <x v="6"/>
    <x v="7"/>
  </r>
  <r>
    <n v="35467148616"/>
    <n v="327"/>
    <d v="2034-12-16T00:00:00"/>
    <s v=""/>
    <x v="6"/>
    <x v="0"/>
  </r>
  <r>
    <n v="31661913093"/>
    <n v="30"/>
    <d v="2034-12-16T00:00:00"/>
    <s v=""/>
    <x v="6"/>
    <x v="0"/>
  </r>
  <r>
    <n v="81729646800"/>
    <n v="265"/>
    <d v="2034-12-16T00:00:00"/>
    <s v=""/>
    <x v="6"/>
    <x v="0"/>
  </r>
  <r>
    <n v="50499062878"/>
    <n v="38"/>
    <d v="2034-12-16T00:00:00"/>
    <s v=""/>
    <x v="6"/>
    <x v="0"/>
  </r>
  <r>
    <n v="61468501953"/>
    <n v="237"/>
    <d v="2034-12-16T00:00:00"/>
    <s v=""/>
    <x v="6"/>
    <x v="0"/>
  </r>
  <r>
    <n v="34770330665"/>
    <n v="45"/>
    <d v="2034-12-16T00:00:00"/>
    <m/>
    <x v="6"/>
    <x v="0"/>
  </r>
  <r>
    <n v="80550775021"/>
    <n v="184"/>
    <d v="2034-12-16T00:00:00"/>
    <d v="2035-01-15T00:00:00"/>
    <x v="6"/>
    <x v="8"/>
  </r>
  <r>
    <n v="44254419400"/>
    <n v="110"/>
    <d v="2034-12-16T00:00:00"/>
    <s v=""/>
    <x v="6"/>
    <x v="0"/>
  </r>
  <r>
    <n v="82915247188"/>
    <n v="142"/>
    <d v="2034-12-16T00:00:00"/>
    <s v=""/>
    <x v="6"/>
    <x v="0"/>
  </r>
  <r>
    <n v="72237222043"/>
    <n v="206"/>
    <d v="2034-12-16T00:00:00"/>
    <m/>
    <x v="6"/>
    <x v="0"/>
  </r>
  <r>
    <n v="92287150872"/>
    <n v="212"/>
    <d v="2034-12-16T00:00:00"/>
    <s v=""/>
    <x v="6"/>
    <x v="0"/>
  </r>
  <r>
    <n v="14308005447"/>
    <n v="236"/>
    <d v="2034-12-16T00:00:00"/>
    <d v="2035-01-06T00:00:00"/>
    <x v="6"/>
    <x v="8"/>
  </r>
  <r>
    <n v="24887059278"/>
    <n v="95"/>
    <d v="2034-12-16T00:00:00"/>
    <s v=""/>
    <x v="6"/>
    <x v="0"/>
  </r>
  <r>
    <n v="74422918492"/>
    <n v="272"/>
    <d v="2034-12-16T00:00:00"/>
    <s v=""/>
    <x v="6"/>
    <x v="0"/>
  </r>
  <r>
    <n v="92817984198"/>
    <n v="320"/>
    <d v="2034-12-16T00:00:00"/>
    <d v="2034-12-16T00:00:00"/>
    <x v="6"/>
    <x v="7"/>
  </r>
  <r>
    <n v="46502529389"/>
    <n v="14"/>
    <d v="2034-12-16T00:00:00"/>
    <m/>
    <x v="6"/>
    <x v="0"/>
  </r>
  <r>
    <n v="19695615817"/>
    <n v="10"/>
    <d v="2034-12-16T00:00:00"/>
    <s v=""/>
    <x v="6"/>
    <x v="0"/>
  </r>
  <r>
    <n v="80773005293"/>
    <n v="259"/>
    <d v="2034-12-16T00:00:00"/>
    <m/>
    <x v="6"/>
    <x v="0"/>
  </r>
  <r>
    <n v="92809110855"/>
    <n v="70"/>
    <d v="2034-12-16T00:00:00"/>
    <s v=""/>
    <x v="6"/>
    <x v="0"/>
  </r>
  <r>
    <n v="34664273933"/>
    <n v="158"/>
    <d v="2034-12-16T00:00:00"/>
    <s v=""/>
    <x v="6"/>
    <x v="0"/>
  </r>
  <r>
    <n v="91968820139"/>
    <n v="63"/>
    <d v="2034-12-16T00:00:00"/>
    <s v=""/>
    <x v="6"/>
    <x v="0"/>
  </r>
  <r>
    <n v="74793563772"/>
    <n v="140"/>
    <d v="2034-12-16T00:00:00"/>
    <s v=""/>
    <x v="6"/>
    <x v="0"/>
  </r>
  <r>
    <n v="72551653138"/>
    <n v="258"/>
    <d v="2034-12-16T00:00:00"/>
    <s v=""/>
    <x v="6"/>
    <x v="0"/>
  </r>
  <r>
    <n v="15269737072"/>
    <n v="215"/>
    <d v="2034-12-16T00:00:00"/>
    <s v=""/>
    <x v="6"/>
    <x v="0"/>
  </r>
  <r>
    <n v="21558573565"/>
    <n v="322"/>
    <d v="2034-12-16T00:00:00"/>
    <d v="2034-12-30T00:00:00"/>
    <x v="6"/>
    <x v="7"/>
  </r>
  <r>
    <n v="63712664362"/>
    <n v="203"/>
    <d v="2034-12-17T00:00:00"/>
    <s v=""/>
    <x v="6"/>
    <x v="0"/>
  </r>
  <r>
    <n v="47481046150"/>
    <n v="54"/>
    <d v="2034-12-17T00:00:00"/>
    <s v=""/>
    <x v="6"/>
    <x v="0"/>
  </r>
  <r>
    <n v="57863474255"/>
    <n v="266"/>
    <d v="2034-12-17T00:00:00"/>
    <s v=""/>
    <x v="6"/>
    <x v="0"/>
  </r>
  <r>
    <n v="97082843548"/>
    <n v="127"/>
    <d v="2034-12-17T00:00:00"/>
    <s v=""/>
    <x v="6"/>
    <x v="0"/>
  </r>
  <r>
    <n v="21136629306"/>
    <n v="273"/>
    <d v="2034-12-17T00:00:00"/>
    <s v=""/>
    <x v="6"/>
    <x v="0"/>
  </r>
  <r>
    <n v="21251171514"/>
    <n v="111"/>
    <d v="2034-12-17T00:00:00"/>
    <s v=""/>
    <x v="6"/>
    <x v="0"/>
  </r>
  <r>
    <n v="60990348312"/>
    <n v="197"/>
    <d v="2034-12-17T00:00:00"/>
    <s v=""/>
    <x v="6"/>
    <x v="0"/>
  </r>
  <r>
    <n v="60057604038"/>
    <n v="244"/>
    <d v="2034-12-17T00:00:00"/>
    <s v=""/>
    <x v="6"/>
    <x v="0"/>
  </r>
  <r>
    <n v="65705829872"/>
    <n v="140"/>
    <d v="2034-12-17T00:00:00"/>
    <s v=""/>
    <x v="6"/>
    <x v="0"/>
  </r>
  <r>
    <n v="85808290242"/>
    <n v="305"/>
    <d v="2034-12-17T00:00:00"/>
    <s v=""/>
    <x v="6"/>
    <x v="0"/>
  </r>
  <r>
    <n v="20114400999"/>
    <n v="135"/>
    <d v="2034-12-17T00:00:00"/>
    <m/>
    <x v="6"/>
    <x v="0"/>
  </r>
  <r>
    <n v="25114820382"/>
    <n v="90"/>
    <d v="2034-12-17T00:00:00"/>
    <s v=""/>
    <x v="6"/>
    <x v="0"/>
  </r>
  <r>
    <n v="79389308717"/>
    <n v="227"/>
    <d v="2034-12-17T00:00:00"/>
    <s v=""/>
    <x v="6"/>
    <x v="0"/>
  </r>
  <r>
    <n v="33455382879"/>
    <n v="35"/>
    <d v="2034-12-17T00:00:00"/>
    <s v=""/>
    <x v="6"/>
    <x v="0"/>
  </r>
  <r>
    <n v="19692779270"/>
    <n v="131"/>
    <d v="2034-12-17T00:00:00"/>
    <s v=""/>
    <x v="6"/>
    <x v="0"/>
  </r>
  <r>
    <n v="15045663259"/>
    <n v="162"/>
    <d v="2034-12-17T00:00:00"/>
    <m/>
    <x v="6"/>
    <x v="0"/>
  </r>
  <r>
    <n v="52026424707"/>
    <n v="218"/>
    <d v="2034-12-17T00:00:00"/>
    <s v=""/>
    <x v="6"/>
    <x v="0"/>
  </r>
  <r>
    <n v="62672793566"/>
    <n v="318"/>
    <d v="2034-12-17T00:00:00"/>
    <s v=""/>
    <x v="6"/>
    <x v="0"/>
  </r>
  <r>
    <n v="52854392008"/>
    <n v="279"/>
    <d v="2034-12-17T00:00:00"/>
    <s v=""/>
    <x v="6"/>
    <x v="0"/>
  </r>
  <r>
    <n v="65409367864"/>
    <n v="301"/>
    <d v="2034-12-17T00:00:00"/>
    <s v=""/>
    <x v="6"/>
    <x v="0"/>
  </r>
  <r>
    <n v="45198007238"/>
    <n v="5"/>
    <d v="2034-12-17T00:00:00"/>
    <s v=""/>
    <x v="6"/>
    <x v="0"/>
  </r>
  <r>
    <n v="32257288756"/>
    <n v="107"/>
    <d v="2034-12-17T00:00:00"/>
    <s v=""/>
    <x v="6"/>
    <x v="0"/>
  </r>
  <r>
    <n v="63565147819"/>
    <n v="311"/>
    <d v="2034-12-17T00:00:00"/>
    <s v=""/>
    <x v="6"/>
    <x v="0"/>
  </r>
  <r>
    <n v="31816167185"/>
    <n v="141"/>
    <d v="2034-12-17T00:00:00"/>
    <s v=""/>
    <x v="6"/>
    <x v="0"/>
  </r>
  <r>
    <n v="12376981226"/>
    <n v="137"/>
    <d v="2034-12-17T00:00:00"/>
    <d v="2035-02-01T00:00:00"/>
    <x v="6"/>
    <x v="9"/>
  </r>
  <r>
    <n v="35372060228"/>
    <n v="234"/>
    <d v="2034-12-18T00:00:00"/>
    <s v=""/>
    <x v="6"/>
    <x v="0"/>
  </r>
  <r>
    <n v="78072569395"/>
    <n v="302"/>
    <d v="2034-12-18T00:00:00"/>
    <s v=""/>
    <x v="6"/>
    <x v="0"/>
  </r>
  <r>
    <n v="62695945151"/>
    <n v="325"/>
    <d v="2034-12-18T00:00:00"/>
    <s v=""/>
    <x v="6"/>
    <x v="0"/>
  </r>
  <r>
    <n v="50760513908"/>
    <n v="23"/>
    <d v="2034-12-18T00:00:00"/>
    <s v=""/>
    <x v="6"/>
    <x v="0"/>
  </r>
  <r>
    <n v="87717578324"/>
    <n v="164"/>
    <d v="2034-12-18T00:00:00"/>
    <s v=""/>
    <x v="6"/>
    <x v="0"/>
  </r>
  <r>
    <n v="59876876188"/>
    <n v="237"/>
    <d v="2034-12-18T00:00:00"/>
    <s v=""/>
    <x v="6"/>
    <x v="0"/>
  </r>
  <r>
    <n v="72963500256"/>
    <n v="228"/>
    <d v="2034-12-18T00:00:00"/>
    <s v=""/>
    <x v="6"/>
    <x v="0"/>
  </r>
  <r>
    <n v="75388181916"/>
    <n v="221"/>
    <d v="2034-12-18T00:00:00"/>
    <s v=""/>
    <x v="6"/>
    <x v="0"/>
  </r>
  <r>
    <n v="99922621520"/>
    <n v="43"/>
    <d v="2034-12-18T00:00:00"/>
    <s v=""/>
    <x v="6"/>
    <x v="0"/>
  </r>
  <r>
    <n v="45798224168"/>
    <n v="98"/>
    <d v="2034-12-18T00:00:00"/>
    <m/>
    <x v="6"/>
    <x v="0"/>
  </r>
  <r>
    <n v="36937251729"/>
    <n v="133"/>
    <d v="2034-12-18T00:00:00"/>
    <s v=""/>
    <x v="6"/>
    <x v="0"/>
  </r>
  <r>
    <n v="85350454358"/>
    <n v="94"/>
    <d v="2034-12-18T00:00:00"/>
    <s v=""/>
    <x v="6"/>
    <x v="0"/>
  </r>
  <r>
    <n v="29731466045"/>
    <n v="79"/>
    <d v="2034-12-18T00:00:00"/>
    <s v=""/>
    <x v="6"/>
    <x v="0"/>
  </r>
  <r>
    <n v="83011385319"/>
    <n v="226"/>
    <d v="2034-12-18T00:00:00"/>
    <m/>
    <x v="6"/>
    <x v="0"/>
  </r>
  <r>
    <n v="67365317448"/>
    <n v="264"/>
    <d v="2034-12-18T00:00:00"/>
    <s v=""/>
    <x v="6"/>
    <x v="0"/>
  </r>
  <r>
    <n v="60427199547"/>
    <n v="264"/>
    <d v="2034-12-18T00:00:00"/>
    <s v=""/>
    <x v="6"/>
    <x v="0"/>
  </r>
  <r>
    <n v="87864565104"/>
    <n v="90"/>
    <d v="2034-12-18T00:00:00"/>
    <s v=""/>
    <x v="6"/>
    <x v="0"/>
  </r>
  <r>
    <n v="28833851992"/>
    <n v="96"/>
    <d v="2034-12-18T00:00:00"/>
    <s v=""/>
    <x v="6"/>
    <x v="0"/>
  </r>
  <r>
    <n v="76709536329"/>
    <n v="193"/>
    <d v="2034-12-18T00:00:00"/>
    <m/>
    <x v="6"/>
    <x v="0"/>
  </r>
  <r>
    <n v="65496907791"/>
    <n v="239"/>
    <d v="2034-12-18T00:00:00"/>
    <s v=""/>
    <x v="6"/>
    <x v="0"/>
  </r>
  <r>
    <n v="63686198094"/>
    <n v="66"/>
    <d v="2034-12-18T00:00:00"/>
    <s v=""/>
    <x v="6"/>
    <x v="0"/>
  </r>
  <r>
    <n v="30646489605"/>
    <n v="155"/>
    <d v="2034-12-18T00:00:00"/>
    <s v=""/>
    <x v="6"/>
    <x v="0"/>
  </r>
  <r>
    <n v="97648732199"/>
    <n v="106"/>
    <d v="2034-12-18T00:00:00"/>
    <s v=""/>
    <x v="6"/>
    <x v="0"/>
  </r>
  <r>
    <n v="19654334077"/>
    <n v="181"/>
    <d v="2034-12-18T00:00:00"/>
    <s v=""/>
    <x v="6"/>
    <x v="0"/>
  </r>
  <r>
    <n v="80369617662"/>
    <n v="91"/>
    <d v="2034-12-18T00:00:00"/>
    <s v=""/>
    <x v="6"/>
    <x v="0"/>
  </r>
  <r>
    <n v="50907655882"/>
    <n v="308"/>
    <d v="2034-12-18T00:00:00"/>
    <s v=""/>
    <x v="6"/>
    <x v="0"/>
  </r>
  <r>
    <n v="28995310036"/>
    <n v="226"/>
    <d v="2034-12-18T00:00:00"/>
    <s v=""/>
    <x v="6"/>
    <x v="0"/>
  </r>
  <r>
    <n v="72743820486"/>
    <n v="163"/>
    <d v="2034-12-18T00:00:00"/>
    <d v="2035-01-16T00:00:00"/>
    <x v="6"/>
    <x v="8"/>
  </r>
  <r>
    <n v="51012659251"/>
    <n v="211"/>
    <d v="2034-12-19T00:00:00"/>
    <s v=""/>
    <x v="6"/>
    <x v="0"/>
  </r>
  <r>
    <n v="13667314580"/>
    <n v="80"/>
    <d v="2034-12-19T00:00:00"/>
    <d v="2035-01-27T00:00:00"/>
    <x v="6"/>
    <x v="8"/>
  </r>
  <r>
    <n v="75272361038"/>
    <n v="12"/>
    <d v="2034-12-19T00:00:00"/>
    <s v=""/>
    <x v="6"/>
    <x v="0"/>
  </r>
  <r>
    <n v="56730146425"/>
    <n v="108"/>
    <d v="2034-12-19T00:00:00"/>
    <s v=""/>
    <x v="6"/>
    <x v="0"/>
  </r>
  <r>
    <n v="69301978290"/>
    <n v="171"/>
    <d v="2034-12-19T00:00:00"/>
    <s v=""/>
    <x v="6"/>
    <x v="0"/>
  </r>
  <r>
    <n v="57151064885"/>
    <n v="293"/>
    <d v="2034-12-19T00:00:00"/>
    <m/>
    <x v="6"/>
    <x v="0"/>
  </r>
  <r>
    <n v="51417767166"/>
    <n v="39"/>
    <d v="2034-12-19T00:00:00"/>
    <d v="2035-01-27T00:00:00"/>
    <x v="6"/>
    <x v="8"/>
  </r>
  <r>
    <n v="12738778871"/>
    <n v="77"/>
    <d v="2034-12-19T00:00:00"/>
    <m/>
    <x v="6"/>
    <x v="0"/>
  </r>
  <r>
    <n v="54574593884"/>
    <n v="164"/>
    <d v="2034-12-19T00:00:00"/>
    <m/>
    <x v="6"/>
    <x v="0"/>
  </r>
  <r>
    <n v="77955396090"/>
    <n v="106"/>
    <d v="2034-12-19T00:00:00"/>
    <s v=""/>
    <x v="6"/>
    <x v="0"/>
  </r>
  <r>
    <n v="38580820947"/>
    <n v="210"/>
    <d v="2034-12-19T00:00:00"/>
    <s v=""/>
    <x v="6"/>
    <x v="0"/>
  </r>
  <r>
    <n v="68797989741"/>
    <n v="227"/>
    <d v="2034-12-19T00:00:00"/>
    <s v=""/>
    <x v="6"/>
    <x v="0"/>
  </r>
  <r>
    <n v="34011933789"/>
    <n v="78"/>
    <d v="2034-12-19T00:00:00"/>
    <s v=""/>
    <x v="6"/>
    <x v="0"/>
  </r>
  <r>
    <n v="70455759333"/>
    <n v="51"/>
    <d v="2034-12-19T00:00:00"/>
    <s v=""/>
    <x v="6"/>
    <x v="0"/>
  </r>
  <r>
    <n v="12209041713"/>
    <n v="43"/>
    <d v="2034-12-19T00:00:00"/>
    <s v=""/>
    <x v="6"/>
    <x v="0"/>
  </r>
  <r>
    <n v="83341092378"/>
    <n v="139"/>
    <d v="2034-12-19T00:00:00"/>
    <s v=""/>
    <x v="6"/>
    <x v="0"/>
  </r>
  <r>
    <n v="61390959932"/>
    <n v="334"/>
    <d v="2034-12-19T00:00:00"/>
    <s v=""/>
    <x v="6"/>
    <x v="0"/>
  </r>
  <r>
    <n v="56001341670"/>
    <n v="241"/>
    <d v="2034-12-19T00:00:00"/>
    <s v=""/>
    <x v="6"/>
    <x v="0"/>
  </r>
  <r>
    <n v="35099789633"/>
    <n v="328"/>
    <d v="2034-12-19T00:00:00"/>
    <s v=""/>
    <x v="6"/>
    <x v="0"/>
  </r>
  <r>
    <n v="55254937314"/>
    <n v="220"/>
    <d v="2034-12-19T00:00:00"/>
    <s v=""/>
    <x v="6"/>
    <x v="0"/>
  </r>
  <r>
    <n v="71821189545"/>
    <n v="33"/>
    <d v="2034-12-19T00:00:00"/>
    <s v=""/>
    <x v="6"/>
    <x v="0"/>
  </r>
  <r>
    <n v="50836092723"/>
    <n v="173"/>
    <d v="2034-12-19T00:00:00"/>
    <s v=""/>
    <x v="6"/>
    <x v="0"/>
  </r>
  <r>
    <n v="45251315129"/>
    <n v="275"/>
    <d v="2034-12-19T00:00:00"/>
    <s v=""/>
    <x v="6"/>
    <x v="0"/>
  </r>
  <r>
    <n v="50936496743"/>
    <n v="292"/>
    <d v="2034-12-19T00:00:00"/>
    <s v=""/>
    <x v="6"/>
    <x v="0"/>
  </r>
  <r>
    <n v="77287644320"/>
    <n v="51"/>
    <d v="2034-12-19T00:00:00"/>
    <m/>
    <x v="6"/>
    <x v="0"/>
  </r>
  <r>
    <n v="21905207602"/>
    <n v="232"/>
    <d v="2034-12-19T00:00:00"/>
    <m/>
    <x v="6"/>
    <x v="0"/>
  </r>
  <r>
    <n v="66590523021"/>
    <n v="42"/>
    <d v="2034-12-19T00:00:00"/>
    <s v=""/>
    <x v="6"/>
    <x v="0"/>
  </r>
  <r>
    <n v="62322220406"/>
    <n v="42"/>
    <d v="2034-12-19T00:00:00"/>
    <s v=""/>
    <x v="6"/>
    <x v="0"/>
  </r>
  <r>
    <n v="86210082508"/>
    <n v="308"/>
    <d v="2034-12-19T00:00:00"/>
    <d v="2035-01-18T00:00:00"/>
    <x v="6"/>
    <x v="8"/>
  </r>
  <r>
    <n v="27725317829"/>
    <n v="210"/>
    <d v="2034-12-20T00:00:00"/>
    <s v=""/>
    <x v="6"/>
    <x v="0"/>
  </r>
  <r>
    <n v="17206907128"/>
    <n v="62"/>
    <d v="2034-12-20T00:00:00"/>
    <s v=""/>
    <x v="6"/>
    <x v="0"/>
  </r>
  <r>
    <n v="86239209738"/>
    <n v="193"/>
    <d v="2034-12-20T00:00:00"/>
    <s v=""/>
    <x v="6"/>
    <x v="0"/>
  </r>
  <r>
    <n v="69805466633"/>
    <n v="253"/>
    <d v="2034-12-20T00:00:00"/>
    <s v=""/>
    <x v="6"/>
    <x v="0"/>
  </r>
  <r>
    <n v="85341428284"/>
    <n v="283"/>
    <d v="2034-12-20T00:00:00"/>
    <s v=""/>
    <x v="6"/>
    <x v="0"/>
  </r>
  <r>
    <n v="48766368705"/>
    <n v="194"/>
    <d v="2034-12-20T00:00:00"/>
    <d v="2034-12-26T00:00:00"/>
    <x v="6"/>
    <x v="7"/>
  </r>
  <r>
    <n v="41033517020"/>
    <n v="59"/>
    <d v="2034-12-20T00:00:00"/>
    <s v=""/>
    <x v="6"/>
    <x v="0"/>
  </r>
  <r>
    <n v="29346404627"/>
    <n v="0"/>
    <d v="2034-12-20T00:00:00"/>
    <s v=""/>
    <x v="6"/>
    <x v="0"/>
  </r>
  <r>
    <n v="44484207369"/>
    <n v="225"/>
    <d v="2034-12-20T00:00:00"/>
    <s v=""/>
    <x v="6"/>
    <x v="0"/>
  </r>
  <r>
    <n v="58769933760"/>
    <n v="24"/>
    <d v="2034-12-20T00:00:00"/>
    <s v=""/>
    <x v="6"/>
    <x v="0"/>
  </r>
  <r>
    <n v="41723446242"/>
    <n v="5"/>
    <d v="2034-12-20T00:00:00"/>
    <s v=""/>
    <x v="6"/>
    <x v="0"/>
  </r>
  <r>
    <n v="82300735361"/>
    <n v="285"/>
    <d v="2034-12-20T00:00:00"/>
    <m/>
    <x v="6"/>
    <x v="0"/>
  </r>
  <r>
    <n v="23594291217"/>
    <n v="244"/>
    <d v="2034-12-20T00:00:00"/>
    <m/>
    <x v="6"/>
    <x v="0"/>
  </r>
  <r>
    <n v="40301350862"/>
    <n v="162"/>
    <d v="2034-12-20T00:00:00"/>
    <m/>
    <x v="6"/>
    <x v="0"/>
  </r>
  <r>
    <n v="59569061396"/>
    <n v="206"/>
    <d v="2034-12-20T00:00:00"/>
    <s v=""/>
    <x v="6"/>
    <x v="0"/>
  </r>
  <r>
    <n v="45025831496"/>
    <n v="5"/>
    <d v="2034-12-20T00:00:00"/>
    <s v=""/>
    <x v="6"/>
    <x v="0"/>
  </r>
  <r>
    <n v="23355096159"/>
    <n v="69"/>
    <d v="2034-12-20T00:00:00"/>
    <d v="2035-01-13T00:00:00"/>
    <x v="6"/>
    <x v="8"/>
  </r>
  <r>
    <n v="77897136977"/>
    <n v="216"/>
    <d v="2034-12-20T00:00:00"/>
    <s v=""/>
    <x v="6"/>
    <x v="0"/>
  </r>
  <r>
    <n v="87687144750"/>
    <n v="268"/>
    <d v="2034-12-20T00:00:00"/>
    <s v=""/>
    <x v="6"/>
    <x v="0"/>
  </r>
  <r>
    <n v="75894274058"/>
    <n v="12"/>
    <d v="2034-12-20T00:00:00"/>
    <s v=""/>
    <x v="6"/>
    <x v="0"/>
  </r>
  <r>
    <n v="48739321158"/>
    <n v="254"/>
    <d v="2034-12-20T00:00:00"/>
    <s v=""/>
    <x v="6"/>
    <x v="0"/>
  </r>
  <r>
    <n v="80382725593"/>
    <n v="109"/>
    <d v="2034-12-20T00:00:00"/>
    <d v="2034-12-27T00:00:00"/>
    <x v="6"/>
    <x v="7"/>
  </r>
  <r>
    <n v="30224615522"/>
    <n v="250"/>
    <d v="2034-12-20T00:00:00"/>
    <s v=""/>
    <x v="6"/>
    <x v="0"/>
  </r>
  <r>
    <n v="30692559222"/>
    <n v="237"/>
    <d v="2034-12-20T00:00:00"/>
    <s v=""/>
    <x v="6"/>
    <x v="0"/>
  </r>
  <r>
    <n v="22488346953"/>
    <n v="326"/>
    <d v="2034-12-20T00:00:00"/>
    <s v=""/>
    <x v="6"/>
    <x v="0"/>
  </r>
  <r>
    <n v="60241456803"/>
    <n v="112"/>
    <d v="2034-12-20T00:00:00"/>
    <s v=""/>
    <x v="6"/>
    <x v="0"/>
  </r>
  <r>
    <n v="78159882775"/>
    <n v="319"/>
    <d v="2034-12-20T00:00:00"/>
    <m/>
    <x v="6"/>
    <x v="0"/>
  </r>
  <r>
    <n v="12352494217"/>
    <n v="183"/>
    <d v="2034-12-20T00:00:00"/>
    <s v=""/>
    <x v="6"/>
    <x v="0"/>
  </r>
  <r>
    <n v="20770495709"/>
    <n v="227"/>
    <d v="2034-12-21T00:00:00"/>
    <s v=""/>
    <x v="6"/>
    <x v="0"/>
  </r>
  <r>
    <n v="78938249106"/>
    <n v="122"/>
    <d v="2034-12-21T00:00:00"/>
    <s v=""/>
    <x v="6"/>
    <x v="0"/>
  </r>
  <r>
    <n v="99168803075"/>
    <n v="261"/>
    <d v="2034-12-21T00:00:00"/>
    <s v=""/>
    <x v="6"/>
    <x v="0"/>
  </r>
  <r>
    <n v="42208072235"/>
    <n v="332"/>
    <d v="2034-12-21T00:00:00"/>
    <s v=""/>
    <x v="6"/>
    <x v="0"/>
  </r>
  <r>
    <n v="94467171709"/>
    <n v="83"/>
    <d v="2034-12-21T00:00:00"/>
    <m/>
    <x v="6"/>
    <x v="0"/>
  </r>
  <r>
    <n v="20762297407"/>
    <n v="27"/>
    <d v="2034-12-21T00:00:00"/>
    <s v=""/>
    <x v="6"/>
    <x v="0"/>
  </r>
  <r>
    <n v="45260880510"/>
    <n v="123"/>
    <d v="2034-12-21T00:00:00"/>
    <s v=""/>
    <x v="6"/>
    <x v="0"/>
  </r>
  <r>
    <n v="12380800726"/>
    <n v="323"/>
    <d v="2034-12-21T00:00:00"/>
    <s v=""/>
    <x v="6"/>
    <x v="0"/>
  </r>
  <r>
    <n v="30657489616"/>
    <n v="58"/>
    <d v="2034-12-21T00:00:00"/>
    <s v=""/>
    <x v="6"/>
    <x v="0"/>
  </r>
  <r>
    <n v="74978472658"/>
    <n v="175"/>
    <d v="2034-12-21T00:00:00"/>
    <s v=""/>
    <x v="6"/>
    <x v="0"/>
  </r>
  <r>
    <n v="80958908095"/>
    <n v="29"/>
    <d v="2034-12-21T00:00:00"/>
    <s v=""/>
    <x v="6"/>
    <x v="0"/>
  </r>
  <r>
    <n v="17800440729"/>
    <n v="259"/>
    <d v="2034-12-21T00:00:00"/>
    <m/>
    <x v="6"/>
    <x v="0"/>
  </r>
  <r>
    <n v="21747112461"/>
    <n v="233"/>
    <d v="2034-12-21T00:00:00"/>
    <s v=""/>
    <x v="6"/>
    <x v="0"/>
  </r>
  <r>
    <n v="52681334752"/>
    <n v="173"/>
    <d v="2034-12-21T00:00:00"/>
    <s v=""/>
    <x v="6"/>
    <x v="0"/>
  </r>
  <r>
    <n v="34399251153"/>
    <n v="61"/>
    <d v="2034-12-21T00:00:00"/>
    <m/>
    <x v="6"/>
    <x v="0"/>
  </r>
  <r>
    <n v="52228946526"/>
    <n v="292"/>
    <d v="2034-12-21T00:00:00"/>
    <s v=""/>
    <x v="6"/>
    <x v="0"/>
  </r>
  <r>
    <n v="37337263088"/>
    <n v="74"/>
    <d v="2034-12-22T00:00:00"/>
    <s v=""/>
    <x v="6"/>
    <x v="0"/>
  </r>
  <r>
    <n v="69843263707"/>
    <n v="53"/>
    <d v="2034-12-22T00:00:00"/>
    <s v=""/>
    <x v="6"/>
    <x v="0"/>
  </r>
  <r>
    <n v="99881292073"/>
    <n v="300"/>
    <d v="2034-12-22T00:00:00"/>
    <s v=""/>
    <x v="6"/>
    <x v="0"/>
  </r>
  <r>
    <n v="69419568107"/>
    <n v="57"/>
    <d v="2034-12-22T00:00:00"/>
    <d v="2035-01-28T00:00:00"/>
    <x v="6"/>
    <x v="8"/>
  </r>
  <r>
    <n v="18174821086"/>
    <n v="314"/>
    <d v="2034-12-22T00:00:00"/>
    <s v=""/>
    <x v="6"/>
    <x v="0"/>
  </r>
  <r>
    <n v="17031606503"/>
    <n v="38"/>
    <d v="2034-12-22T00:00:00"/>
    <m/>
    <x v="6"/>
    <x v="0"/>
  </r>
  <r>
    <n v="99021774450"/>
    <n v="58"/>
    <d v="2034-12-22T00:00:00"/>
    <m/>
    <x v="6"/>
    <x v="0"/>
  </r>
  <r>
    <n v="77645252410"/>
    <n v="8"/>
    <d v="2034-12-22T00:00:00"/>
    <d v="2035-02-01T00:00:00"/>
    <x v="6"/>
    <x v="9"/>
  </r>
  <r>
    <n v="98455725514"/>
    <n v="174"/>
    <d v="2034-12-22T00:00:00"/>
    <s v=""/>
    <x v="6"/>
    <x v="0"/>
  </r>
  <r>
    <n v="96073073933"/>
    <n v="131"/>
    <d v="2034-12-22T00:00:00"/>
    <s v=""/>
    <x v="6"/>
    <x v="0"/>
  </r>
  <r>
    <n v="93588149535"/>
    <n v="221"/>
    <d v="2034-12-22T00:00:00"/>
    <s v=""/>
    <x v="6"/>
    <x v="0"/>
  </r>
  <r>
    <n v="52823385876"/>
    <n v="169"/>
    <d v="2034-12-22T00:00:00"/>
    <s v=""/>
    <x v="6"/>
    <x v="0"/>
  </r>
  <r>
    <n v="96406204455"/>
    <n v="206"/>
    <d v="2034-12-22T00:00:00"/>
    <m/>
    <x v="6"/>
    <x v="0"/>
  </r>
  <r>
    <n v="79555861804"/>
    <n v="20"/>
    <d v="2034-12-22T00:00:00"/>
    <s v=""/>
    <x v="6"/>
    <x v="0"/>
  </r>
  <r>
    <n v="39936323255"/>
    <n v="204"/>
    <d v="2034-12-22T00:00:00"/>
    <s v=""/>
    <x v="6"/>
    <x v="0"/>
  </r>
  <r>
    <n v="72757610566"/>
    <n v="4"/>
    <d v="2034-12-22T00:00:00"/>
    <s v=""/>
    <x v="6"/>
    <x v="0"/>
  </r>
  <r>
    <n v="95926624201"/>
    <n v="196"/>
    <d v="2034-12-22T00:00:00"/>
    <s v=""/>
    <x v="6"/>
    <x v="0"/>
  </r>
  <r>
    <n v="69998495905"/>
    <n v="119"/>
    <d v="2034-12-22T00:00:00"/>
    <s v=""/>
    <x v="6"/>
    <x v="0"/>
  </r>
  <r>
    <n v="71513555131"/>
    <n v="129"/>
    <d v="2034-12-22T00:00:00"/>
    <s v=""/>
    <x v="6"/>
    <x v="0"/>
  </r>
  <r>
    <n v="58622053383"/>
    <n v="80"/>
    <d v="2034-12-22T00:00:00"/>
    <s v=""/>
    <x v="6"/>
    <x v="0"/>
  </r>
  <r>
    <n v="85044647536"/>
    <n v="320"/>
    <d v="2034-12-22T00:00:00"/>
    <s v=""/>
    <x v="6"/>
    <x v="0"/>
  </r>
  <r>
    <n v="13024795103"/>
    <n v="110"/>
    <d v="2034-12-22T00:00:00"/>
    <s v=""/>
    <x v="6"/>
    <x v="0"/>
  </r>
  <r>
    <n v="64302980735"/>
    <n v="223"/>
    <d v="2034-12-22T00:00:00"/>
    <s v=""/>
    <x v="6"/>
    <x v="0"/>
  </r>
  <r>
    <n v="74019722881"/>
    <n v="281"/>
    <d v="2034-12-22T00:00:00"/>
    <s v=""/>
    <x v="6"/>
    <x v="0"/>
  </r>
  <r>
    <n v="19091084795"/>
    <n v="50"/>
    <d v="2034-12-22T00:00:00"/>
    <s v=""/>
    <x v="6"/>
    <x v="0"/>
  </r>
  <r>
    <n v="17050301928"/>
    <n v="206"/>
    <d v="2034-12-23T00:00:00"/>
    <s v=""/>
    <x v="6"/>
    <x v="0"/>
  </r>
  <r>
    <n v="41664598332"/>
    <n v="321"/>
    <d v="2034-12-23T00:00:00"/>
    <s v=""/>
    <x v="6"/>
    <x v="0"/>
  </r>
  <r>
    <n v="37077022405"/>
    <n v="187"/>
    <d v="2034-12-23T00:00:00"/>
    <s v=""/>
    <x v="6"/>
    <x v="0"/>
  </r>
  <r>
    <n v="49476406224"/>
    <n v="122"/>
    <d v="2034-12-23T00:00:00"/>
    <s v=""/>
    <x v="6"/>
    <x v="0"/>
  </r>
  <r>
    <n v="53167277790"/>
    <n v="227"/>
    <d v="2034-12-23T00:00:00"/>
    <s v=""/>
    <x v="6"/>
    <x v="0"/>
  </r>
  <r>
    <n v="84068503891"/>
    <n v="230"/>
    <d v="2034-12-23T00:00:00"/>
    <s v=""/>
    <x v="6"/>
    <x v="0"/>
  </r>
  <r>
    <n v="61846586896"/>
    <n v="176"/>
    <d v="2034-12-23T00:00:00"/>
    <m/>
    <x v="6"/>
    <x v="0"/>
  </r>
  <r>
    <n v="42625750783"/>
    <n v="270"/>
    <d v="2034-12-23T00:00:00"/>
    <m/>
    <x v="6"/>
    <x v="0"/>
  </r>
  <r>
    <n v="55158656640"/>
    <n v="309"/>
    <d v="2034-12-23T00:00:00"/>
    <s v=""/>
    <x v="6"/>
    <x v="0"/>
  </r>
  <r>
    <n v="63920158498"/>
    <n v="332"/>
    <d v="2034-12-23T00:00:00"/>
    <d v="2035-01-06T00:00:00"/>
    <x v="6"/>
    <x v="8"/>
  </r>
  <r>
    <n v="98316566389"/>
    <n v="76"/>
    <d v="2034-12-23T00:00:00"/>
    <s v=""/>
    <x v="6"/>
    <x v="0"/>
  </r>
  <r>
    <n v="40663361798"/>
    <n v="172"/>
    <d v="2034-12-23T00:00:00"/>
    <s v=""/>
    <x v="6"/>
    <x v="0"/>
  </r>
  <r>
    <n v="85759992341"/>
    <n v="92"/>
    <d v="2034-12-23T00:00:00"/>
    <s v=""/>
    <x v="6"/>
    <x v="0"/>
  </r>
  <r>
    <n v="54854676020"/>
    <n v="49"/>
    <d v="2034-12-23T00:00:00"/>
    <m/>
    <x v="6"/>
    <x v="0"/>
  </r>
  <r>
    <n v="82176720217"/>
    <n v="340"/>
    <d v="2034-12-23T00:00:00"/>
    <d v="2035-01-02T00:00:00"/>
    <x v="6"/>
    <x v="8"/>
  </r>
  <r>
    <n v="49718769879"/>
    <n v="200"/>
    <d v="2034-12-23T00:00:00"/>
    <s v=""/>
    <x v="6"/>
    <x v="0"/>
  </r>
  <r>
    <n v="77864343873"/>
    <n v="192"/>
    <d v="2034-12-23T00:00:00"/>
    <s v=""/>
    <x v="6"/>
    <x v="0"/>
  </r>
  <r>
    <n v="60935697020"/>
    <n v="234"/>
    <d v="2034-12-23T00:00:00"/>
    <s v=""/>
    <x v="6"/>
    <x v="0"/>
  </r>
  <r>
    <n v="73672352434"/>
    <n v="246"/>
    <d v="2034-12-23T00:00:00"/>
    <d v="2035-01-31T00:00:00"/>
    <x v="6"/>
    <x v="8"/>
  </r>
  <r>
    <n v="85248329840"/>
    <n v="201"/>
    <d v="2034-12-23T00:00:00"/>
    <s v=""/>
    <x v="6"/>
    <x v="0"/>
  </r>
  <r>
    <n v="98423003462"/>
    <n v="327"/>
    <d v="2034-12-23T00:00:00"/>
    <s v=""/>
    <x v="6"/>
    <x v="0"/>
  </r>
  <r>
    <n v="83053253940"/>
    <n v="76"/>
    <d v="2034-12-24T00:00:00"/>
    <s v=""/>
    <x v="6"/>
    <x v="0"/>
  </r>
  <r>
    <n v="60236226804"/>
    <n v="41"/>
    <d v="2034-12-24T00:00:00"/>
    <d v="2034-12-26T00:00:00"/>
    <x v="6"/>
    <x v="7"/>
  </r>
  <r>
    <n v="65084796193"/>
    <n v="127"/>
    <d v="2034-12-24T00:00:00"/>
    <s v=""/>
    <x v="6"/>
    <x v="0"/>
  </r>
  <r>
    <n v="98087884419"/>
    <n v="152"/>
    <d v="2034-12-24T00:00:00"/>
    <m/>
    <x v="6"/>
    <x v="0"/>
  </r>
  <r>
    <n v="37673168739"/>
    <n v="126"/>
    <d v="2034-12-24T00:00:00"/>
    <s v=""/>
    <x v="6"/>
    <x v="0"/>
  </r>
  <r>
    <n v="31168533817"/>
    <n v="230"/>
    <d v="2034-12-24T00:00:00"/>
    <s v=""/>
    <x v="6"/>
    <x v="0"/>
  </r>
  <r>
    <n v="47920174875"/>
    <n v="290"/>
    <d v="2034-12-24T00:00:00"/>
    <m/>
    <x v="6"/>
    <x v="0"/>
  </r>
  <r>
    <n v="25373337030"/>
    <n v="158"/>
    <d v="2034-12-24T00:00:00"/>
    <s v=""/>
    <x v="6"/>
    <x v="0"/>
  </r>
  <r>
    <n v="85536917444"/>
    <n v="52"/>
    <d v="2034-12-24T00:00:00"/>
    <m/>
    <x v="6"/>
    <x v="0"/>
  </r>
  <r>
    <n v="54197701148"/>
    <n v="259"/>
    <d v="2034-12-24T00:00:00"/>
    <d v="2034-12-31T00:00:00"/>
    <x v="6"/>
    <x v="7"/>
  </r>
  <r>
    <n v="79363536692"/>
    <n v="45"/>
    <d v="2034-12-24T00:00:00"/>
    <s v=""/>
    <x v="6"/>
    <x v="0"/>
  </r>
  <r>
    <n v="72679162495"/>
    <n v="138"/>
    <d v="2034-12-24T00:00:00"/>
    <s v=""/>
    <x v="6"/>
    <x v="0"/>
  </r>
  <r>
    <n v="28644377972"/>
    <n v="149"/>
    <d v="2034-12-24T00:00:00"/>
    <s v=""/>
    <x v="6"/>
    <x v="0"/>
  </r>
  <r>
    <n v="76552561369"/>
    <n v="228"/>
    <d v="2034-12-24T00:00:00"/>
    <m/>
    <x v="6"/>
    <x v="0"/>
  </r>
  <r>
    <n v="42977992066"/>
    <n v="67"/>
    <d v="2034-12-24T00:00:00"/>
    <m/>
    <x v="6"/>
    <x v="0"/>
  </r>
  <r>
    <n v="44720686082"/>
    <n v="330"/>
    <d v="2034-12-24T00:00:00"/>
    <m/>
    <x v="6"/>
    <x v="0"/>
  </r>
  <r>
    <n v="61680260172"/>
    <n v="273"/>
    <d v="2034-12-24T00:00:00"/>
    <s v=""/>
    <x v="6"/>
    <x v="0"/>
  </r>
  <r>
    <n v="41759245487"/>
    <n v="0"/>
    <d v="2034-12-24T00:00:00"/>
    <s v=""/>
    <x v="6"/>
    <x v="0"/>
  </r>
  <r>
    <n v="12156536147"/>
    <n v="26"/>
    <d v="2034-12-24T00:00:00"/>
    <s v=""/>
    <x v="6"/>
    <x v="0"/>
  </r>
  <r>
    <n v="96075573612"/>
    <n v="192"/>
    <d v="2034-12-24T00:00:00"/>
    <s v=""/>
    <x v="6"/>
    <x v="0"/>
  </r>
  <r>
    <n v="51369741156"/>
    <n v="274"/>
    <d v="2034-12-24T00:00:00"/>
    <s v=""/>
    <x v="6"/>
    <x v="0"/>
  </r>
  <r>
    <n v="78762366693"/>
    <n v="2"/>
    <d v="2034-12-24T00:00:00"/>
    <d v="2035-01-26T00:00:00"/>
    <x v="6"/>
    <x v="8"/>
  </r>
  <r>
    <n v="49788980714"/>
    <n v="309"/>
    <d v="2034-12-24T00:00:00"/>
    <m/>
    <x v="6"/>
    <x v="0"/>
  </r>
  <r>
    <n v="14179992202"/>
    <n v="130"/>
    <d v="2034-12-24T00:00:00"/>
    <s v=""/>
    <x v="6"/>
    <x v="0"/>
  </r>
  <r>
    <n v="55911326683"/>
    <n v="253"/>
    <d v="2034-12-24T00:00:00"/>
    <m/>
    <x v="6"/>
    <x v="0"/>
  </r>
  <r>
    <n v="20538250111"/>
    <n v="157"/>
    <d v="2034-12-24T00:00:00"/>
    <d v="2035-01-09T00:00:00"/>
    <x v="6"/>
    <x v="8"/>
  </r>
  <r>
    <n v="87821113027"/>
    <n v="164"/>
    <d v="2034-12-24T00:00:00"/>
    <s v=""/>
    <x v="6"/>
    <x v="0"/>
  </r>
  <r>
    <n v="43738729305"/>
    <n v="140"/>
    <d v="2034-12-24T00:00:00"/>
    <s v=""/>
    <x v="6"/>
    <x v="0"/>
  </r>
  <r>
    <n v="65779423762"/>
    <n v="295"/>
    <d v="2034-12-25T00:00:00"/>
    <d v="2035-02-01T00:00:00"/>
    <x v="6"/>
    <x v="9"/>
  </r>
  <r>
    <n v="14665596204"/>
    <n v="329"/>
    <d v="2034-12-25T00:00:00"/>
    <m/>
    <x v="6"/>
    <x v="0"/>
  </r>
  <r>
    <n v="82275797964"/>
    <n v="155"/>
    <d v="2034-12-25T00:00:00"/>
    <s v=""/>
    <x v="6"/>
    <x v="0"/>
  </r>
  <r>
    <n v="85616472608"/>
    <n v="193"/>
    <d v="2034-12-25T00:00:00"/>
    <s v=""/>
    <x v="6"/>
    <x v="0"/>
  </r>
  <r>
    <n v="35212387306"/>
    <n v="312"/>
    <d v="2034-12-25T00:00:00"/>
    <s v=""/>
    <x v="6"/>
    <x v="0"/>
  </r>
  <r>
    <n v="34725844026"/>
    <n v="81"/>
    <d v="2034-12-25T00:00:00"/>
    <s v=""/>
    <x v="6"/>
    <x v="0"/>
  </r>
  <r>
    <n v="77313234900"/>
    <n v="129"/>
    <d v="2034-12-25T00:00:00"/>
    <m/>
    <x v="6"/>
    <x v="0"/>
  </r>
  <r>
    <n v="82557092333"/>
    <n v="170"/>
    <d v="2034-12-25T00:00:00"/>
    <s v=""/>
    <x v="6"/>
    <x v="0"/>
  </r>
  <r>
    <n v="76336855301"/>
    <n v="202"/>
    <d v="2034-12-25T00:00:00"/>
    <s v=""/>
    <x v="6"/>
    <x v="0"/>
  </r>
  <r>
    <n v="97631003005"/>
    <n v="229"/>
    <d v="2034-12-25T00:00:00"/>
    <s v=""/>
    <x v="6"/>
    <x v="0"/>
  </r>
  <r>
    <n v="11364461428"/>
    <n v="224"/>
    <d v="2034-12-25T00:00:00"/>
    <s v=""/>
    <x v="6"/>
    <x v="0"/>
  </r>
  <r>
    <n v="90298713558"/>
    <n v="339"/>
    <d v="2034-12-25T00:00:00"/>
    <s v=""/>
    <x v="6"/>
    <x v="0"/>
  </r>
  <r>
    <n v="61862795311"/>
    <n v="216"/>
    <d v="2034-12-25T00:00:00"/>
    <m/>
    <x v="6"/>
    <x v="0"/>
  </r>
  <r>
    <n v="92892054047"/>
    <n v="43"/>
    <d v="2034-12-25T00:00:00"/>
    <s v=""/>
    <x v="6"/>
    <x v="0"/>
  </r>
  <r>
    <n v="60254847051"/>
    <n v="242"/>
    <d v="2034-12-25T00:00:00"/>
    <s v=""/>
    <x v="6"/>
    <x v="0"/>
  </r>
  <r>
    <n v="67821266849"/>
    <n v="270"/>
    <d v="2034-12-25T00:00:00"/>
    <s v=""/>
    <x v="6"/>
    <x v="0"/>
  </r>
  <r>
    <n v="89706208060"/>
    <n v="97"/>
    <d v="2034-12-25T00:00:00"/>
    <s v=""/>
    <x v="6"/>
    <x v="0"/>
  </r>
  <r>
    <n v="81312184649"/>
    <n v="258"/>
    <d v="2034-12-25T00:00:00"/>
    <s v=""/>
    <x v="6"/>
    <x v="0"/>
  </r>
  <r>
    <n v="82737055901"/>
    <n v="171"/>
    <d v="2034-12-25T00:00:00"/>
    <d v="2035-01-19T00:00:00"/>
    <x v="6"/>
    <x v="8"/>
  </r>
  <r>
    <n v="79667771630"/>
    <n v="189"/>
    <d v="2034-12-25T00:00:00"/>
    <s v=""/>
    <x v="6"/>
    <x v="0"/>
  </r>
  <r>
    <n v="80462125848"/>
    <n v="210"/>
    <d v="2034-12-25T00:00:00"/>
    <m/>
    <x v="6"/>
    <x v="0"/>
  </r>
  <r>
    <n v="77014543954"/>
    <n v="70"/>
    <d v="2034-12-25T00:00:00"/>
    <m/>
    <x v="6"/>
    <x v="0"/>
  </r>
  <r>
    <n v="57478889023"/>
    <n v="27"/>
    <d v="2034-12-25T00:00:00"/>
    <s v=""/>
    <x v="6"/>
    <x v="0"/>
  </r>
  <r>
    <n v="31769625931"/>
    <n v="162"/>
    <d v="2034-12-25T00:00:00"/>
    <s v=""/>
    <x v="6"/>
    <x v="0"/>
  </r>
  <r>
    <n v="73989872093"/>
    <n v="267"/>
    <d v="2034-12-25T00:00:00"/>
    <d v="2035-01-15T00:00:00"/>
    <x v="6"/>
    <x v="8"/>
  </r>
  <r>
    <n v="15983451570"/>
    <n v="17"/>
    <d v="2034-12-25T00:00:00"/>
    <d v="2035-01-16T00:00:00"/>
    <x v="6"/>
    <x v="8"/>
  </r>
  <r>
    <n v="54608634000"/>
    <n v="11"/>
    <d v="2034-12-25T00:00:00"/>
    <s v=""/>
    <x v="6"/>
    <x v="0"/>
  </r>
  <r>
    <n v="86134241891"/>
    <n v="308"/>
    <d v="2034-12-25T00:00:00"/>
    <d v="2035-01-09T00:00:00"/>
    <x v="6"/>
    <x v="8"/>
  </r>
  <r>
    <n v="31413605097"/>
    <n v="59"/>
    <d v="2034-12-25T00:00:00"/>
    <s v=""/>
    <x v="6"/>
    <x v="0"/>
  </r>
  <r>
    <n v="56330054903"/>
    <n v="93"/>
    <d v="2034-12-26T00:00:00"/>
    <m/>
    <x v="6"/>
    <x v="0"/>
  </r>
  <r>
    <n v="68029407313"/>
    <n v="295"/>
    <d v="2034-12-26T00:00:00"/>
    <s v=""/>
    <x v="6"/>
    <x v="0"/>
  </r>
  <r>
    <n v="88431379349"/>
    <n v="69"/>
    <d v="2034-12-26T00:00:00"/>
    <s v=""/>
    <x v="6"/>
    <x v="0"/>
  </r>
  <r>
    <n v="38660805352"/>
    <n v="72"/>
    <d v="2034-12-26T00:00:00"/>
    <d v="2035-01-06T00:00:00"/>
    <x v="6"/>
    <x v="8"/>
  </r>
  <r>
    <n v="88192418195"/>
    <n v="225"/>
    <d v="2034-12-26T00:00:00"/>
    <s v=""/>
    <x v="6"/>
    <x v="0"/>
  </r>
  <r>
    <n v="75256707875"/>
    <n v="104"/>
    <d v="2034-12-26T00:00:00"/>
    <s v=""/>
    <x v="6"/>
    <x v="0"/>
  </r>
  <r>
    <n v="16582190176"/>
    <n v="120"/>
    <d v="2034-12-26T00:00:00"/>
    <s v=""/>
    <x v="6"/>
    <x v="0"/>
  </r>
  <r>
    <n v="81521458532"/>
    <n v="67"/>
    <d v="2034-12-26T00:00:00"/>
    <s v=""/>
    <x v="6"/>
    <x v="0"/>
  </r>
  <r>
    <n v="39556130617"/>
    <n v="45"/>
    <d v="2034-12-26T00:00:00"/>
    <s v=""/>
    <x v="6"/>
    <x v="0"/>
  </r>
  <r>
    <n v="78355546812"/>
    <n v="61"/>
    <d v="2034-12-26T00:00:00"/>
    <m/>
    <x v="6"/>
    <x v="0"/>
  </r>
  <r>
    <n v="28547380248"/>
    <n v="257"/>
    <d v="2034-12-26T00:00:00"/>
    <d v="2035-01-12T00:00:00"/>
    <x v="6"/>
    <x v="8"/>
  </r>
  <r>
    <n v="32700707165"/>
    <n v="35"/>
    <d v="2034-12-26T00:00:00"/>
    <s v=""/>
    <x v="6"/>
    <x v="0"/>
  </r>
  <r>
    <n v="26881306508"/>
    <n v="17"/>
    <d v="2034-12-26T00:00:00"/>
    <s v=""/>
    <x v="6"/>
    <x v="0"/>
  </r>
  <r>
    <n v="41874854472"/>
    <n v="78"/>
    <d v="2034-12-26T00:00:00"/>
    <s v=""/>
    <x v="6"/>
    <x v="0"/>
  </r>
  <r>
    <n v="48363947069"/>
    <n v="66"/>
    <d v="2034-12-26T00:00:00"/>
    <s v=""/>
    <x v="6"/>
    <x v="0"/>
  </r>
  <r>
    <n v="29231711986"/>
    <n v="235"/>
    <d v="2034-12-26T00:00:00"/>
    <m/>
    <x v="6"/>
    <x v="0"/>
  </r>
  <r>
    <n v="18816217669"/>
    <n v="333"/>
    <d v="2034-12-26T00:00:00"/>
    <s v=""/>
    <x v="6"/>
    <x v="0"/>
  </r>
  <r>
    <n v="17074645514"/>
    <n v="41"/>
    <d v="2034-12-26T00:00:00"/>
    <s v=""/>
    <x v="6"/>
    <x v="0"/>
  </r>
  <r>
    <n v="65359903933"/>
    <n v="95"/>
    <d v="2034-12-26T00:00:00"/>
    <m/>
    <x v="6"/>
    <x v="0"/>
  </r>
  <r>
    <n v="12712046433"/>
    <n v="135"/>
    <d v="2034-12-26T00:00:00"/>
    <s v=""/>
    <x v="6"/>
    <x v="0"/>
  </r>
  <r>
    <n v="74761648583"/>
    <n v="122"/>
    <d v="2034-12-26T00:00:00"/>
    <s v=""/>
    <x v="6"/>
    <x v="0"/>
  </r>
  <r>
    <n v="21677850109"/>
    <n v="118"/>
    <d v="2034-12-26T00:00:00"/>
    <s v=""/>
    <x v="6"/>
    <x v="0"/>
  </r>
  <r>
    <n v="87910793775"/>
    <n v="212"/>
    <d v="2034-12-26T00:00:00"/>
    <s v=""/>
    <x v="6"/>
    <x v="0"/>
  </r>
  <r>
    <n v="74352924924"/>
    <n v="29"/>
    <d v="2034-12-26T00:00:00"/>
    <s v=""/>
    <x v="6"/>
    <x v="0"/>
  </r>
  <r>
    <n v="52456987421"/>
    <n v="41"/>
    <d v="2034-12-26T00:00:00"/>
    <d v="2035-01-30T00:00:00"/>
    <x v="6"/>
    <x v="8"/>
  </r>
  <r>
    <n v="74584124877"/>
    <n v="17"/>
    <d v="2034-12-26T00:00:00"/>
    <s v=""/>
    <x v="6"/>
    <x v="0"/>
  </r>
  <r>
    <n v="48191970612"/>
    <n v="148"/>
    <d v="2034-12-26T00:00:00"/>
    <m/>
    <x v="6"/>
    <x v="0"/>
  </r>
  <r>
    <n v="38884278985"/>
    <n v="191"/>
    <d v="2034-12-26T00:00:00"/>
    <d v="2035-01-17T00:00:00"/>
    <x v="6"/>
    <x v="8"/>
  </r>
  <r>
    <n v="81040825329"/>
    <n v="250"/>
    <d v="2034-12-26T00:00:00"/>
    <s v=""/>
    <x v="6"/>
    <x v="0"/>
  </r>
  <r>
    <n v="55389276774"/>
    <n v="119"/>
    <d v="2034-12-26T00:00:00"/>
    <s v=""/>
    <x v="6"/>
    <x v="0"/>
  </r>
  <r>
    <n v="30053422823"/>
    <n v="25"/>
    <d v="2034-12-26T00:00:00"/>
    <s v=""/>
    <x v="6"/>
    <x v="0"/>
  </r>
  <r>
    <n v="57520953636"/>
    <n v="327"/>
    <d v="2034-12-27T00:00:00"/>
    <d v="2035-01-29T00:00:00"/>
    <x v="6"/>
    <x v="8"/>
  </r>
  <r>
    <n v="94131833209"/>
    <n v="153"/>
    <d v="2034-12-27T00:00:00"/>
    <s v=""/>
    <x v="6"/>
    <x v="0"/>
  </r>
  <r>
    <n v="45020000514"/>
    <n v="24"/>
    <d v="2034-12-27T00:00:00"/>
    <m/>
    <x v="6"/>
    <x v="0"/>
  </r>
  <r>
    <n v="34584596303"/>
    <n v="339"/>
    <d v="2034-12-27T00:00:00"/>
    <s v=""/>
    <x v="6"/>
    <x v="0"/>
  </r>
  <r>
    <n v="63899907711"/>
    <n v="70"/>
    <d v="2034-12-27T00:00:00"/>
    <s v=""/>
    <x v="6"/>
    <x v="0"/>
  </r>
  <r>
    <n v="41643802120"/>
    <n v="110"/>
    <d v="2034-12-27T00:00:00"/>
    <m/>
    <x v="6"/>
    <x v="0"/>
  </r>
  <r>
    <n v="95205002946"/>
    <n v="222"/>
    <d v="2034-12-27T00:00:00"/>
    <s v=""/>
    <x v="6"/>
    <x v="0"/>
  </r>
  <r>
    <n v="65244060965"/>
    <n v="171"/>
    <d v="2034-12-27T00:00:00"/>
    <s v=""/>
    <x v="6"/>
    <x v="0"/>
  </r>
  <r>
    <n v="25922347457"/>
    <n v="47"/>
    <d v="2034-12-27T00:00:00"/>
    <s v=""/>
    <x v="6"/>
    <x v="0"/>
  </r>
  <r>
    <n v="87469437960"/>
    <n v="250"/>
    <d v="2034-12-27T00:00:00"/>
    <s v=""/>
    <x v="6"/>
    <x v="0"/>
  </r>
  <r>
    <n v="42168593894"/>
    <n v="120"/>
    <d v="2034-12-27T00:00:00"/>
    <s v=""/>
    <x v="6"/>
    <x v="0"/>
  </r>
  <r>
    <n v="41902730385"/>
    <n v="11"/>
    <d v="2034-12-27T00:00:00"/>
    <s v=""/>
    <x v="6"/>
    <x v="0"/>
  </r>
  <r>
    <n v="81452714488"/>
    <n v="247"/>
    <d v="2034-12-27T00:00:00"/>
    <s v=""/>
    <x v="6"/>
    <x v="0"/>
  </r>
  <r>
    <n v="69914794522"/>
    <n v="8"/>
    <d v="2034-12-27T00:00:00"/>
    <s v=""/>
    <x v="6"/>
    <x v="0"/>
  </r>
  <r>
    <n v="58450424981"/>
    <n v="273"/>
    <d v="2034-12-27T00:00:00"/>
    <s v=""/>
    <x v="6"/>
    <x v="0"/>
  </r>
  <r>
    <n v="50737135317"/>
    <n v="128"/>
    <d v="2034-12-27T00:00:00"/>
    <s v=""/>
    <x v="6"/>
    <x v="0"/>
  </r>
  <r>
    <n v="29257125431"/>
    <n v="68"/>
    <d v="2034-12-27T00:00:00"/>
    <s v=""/>
    <x v="6"/>
    <x v="0"/>
  </r>
  <r>
    <n v="91196276597"/>
    <n v="247"/>
    <d v="2034-12-28T00:00:00"/>
    <s v=""/>
    <x v="6"/>
    <x v="0"/>
  </r>
  <r>
    <n v="82112206633"/>
    <n v="210"/>
    <d v="2034-12-28T00:00:00"/>
    <s v=""/>
    <x v="6"/>
    <x v="0"/>
  </r>
  <r>
    <n v="81244488119"/>
    <n v="213"/>
    <d v="2034-12-28T00:00:00"/>
    <m/>
    <x v="6"/>
    <x v="0"/>
  </r>
  <r>
    <n v="65628851954"/>
    <n v="221"/>
    <d v="2034-12-28T00:00:00"/>
    <m/>
    <x v="6"/>
    <x v="0"/>
  </r>
  <r>
    <n v="30418681640"/>
    <n v="293"/>
    <d v="2034-12-28T00:00:00"/>
    <s v=""/>
    <x v="6"/>
    <x v="0"/>
  </r>
  <r>
    <n v="65132581623"/>
    <n v="217"/>
    <d v="2034-12-28T00:00:00"/>
    <d v="2035-01-21T00:00:00"/>
    <x v="6"/>
    <x v="8"/>
  </r>
  <r>
    <n v="85858159258"/>
    <n v="295"/>
    <d v="2034-12-28T00:00:00"/>
    <s v=""/>
    <x v="6"/>
    <x v="0"/>
  </r>
  <r>
    <n v="97813000293"/>
    <n v="260"/>
    <d v="2034-12-28T00:00:00"/>
    <m/>
    <x v="6"/>
    <x v="0"/>
  </r>
  <r>
    <n v="54376289208"/>
    <n v="40"/>
    <d v="2034-12-28T00:00:00"/>
    <s v=""/>
    <x v="6"/>
    <x v="0"/>
  </r>
  <r>
    <n v="74741652677"/>
    <n v="290"/>
    <d v="2034-12-28T00:00:00"/>
    <s v=""/>
    <x v="6"/>
    <x v="0"/>
  </r>
  <r>
    <n v="31883715867"/>
    <n v="315"/>
    <d v="2034-12-28T00:00:00"/>
    <s v=""/>
    <x v="6"/>
    <x v="0"/>
  </r>
  <r>
    <n v="29242960253"/>
    <n v="25"/>
    <d v="2034-12-28T00:00:00"/>
    <d v="2035-01-21T00:00:00"/>
    <x v="6"/>
    <x v="8"/>
  </r>
  <r>
    <n v="85040595644"/>
    <n v="245"/>
    <d v="2034-12-28T00:00:00"/>
    <d v="2035-01-24T00:00:00"/>
    <x v="6"/>
    <x v="8"/>
  </r>
  <r>
    <n v="49604456322"/>
    <n v="217"/>
    <d v="2034-12-28T00:00:00"/>
    <d v="2035-01-30T00:00:00"/>
    <x v="6"/>
    <x v="8"/>
  </r>
  <r>
    <n v="96285913278"/>
    <n v="290"/>
    <d v="2034-12-28T00:00:00"/>
    <s v=""/>
    <x v="6"/>
    <x v="0"/>
  </r>
  <r>
    <n v="17246432333"/>
    <n v="263"/>
    <d v="2034-12-28T00:00:00"/>
    <s v=""/>
    <x v="6"/>
    <x v="0"/>
  </r>
  <r>
    <n v="21072963024"/>
    <n v="319"/>
    <d v="2034-12-28T00:00:00"/>
    <s v=""/>
    <x v="6"/>
    <x v="0"/>
  </r>
  <r>
    <n v="23238064782"/>
    <n v="141"/>
    <d v="2034-12-28T00:00:00"/>
    <s v=""/>
    <x v="6"/>
    <x v="0"/>
  </r>
  <r>
    <n v="50188452386"/>
    <n v="142"/>
    <d v="2034-12-28T00:00:00"/>
    <m/>
    <x v="6"/>
    <x v="0"/>
  </r>
  <r>
    <n v="62977211362"/>
    <n v="7"/>
    <d v="2034-12-28T00:00:00"/>
    <s v=""/>
    <x v="6"/>
    <x v="0"/>
  </r>
  <r>
    <n v="48088930235"/>
    <n v="21"/>
    <d v="2034-12-28T00:00:00"/>
    <s v=""/>
    <x v="6"/>
    <x v="0"/>
  </r>
  <r>
    <n v="47630689458"/>
    <n v="60"/>
    <d v="2034-12-28T00:00:00"/>
    <d v="2035-01-04T00:00:00"/>
    <x v="6"/>
    <x v="8"/>
  </r>
  <r>
    <n v="91812691201"/>
    <n v="146"/>
    <d v="2034-12-28T00:00:00"/>
    <s v=""/>
    <x v="6"/>
    <x v="0"/>
  </r>
  <r>
    <n v="47989648809"/>
    <n v="5"/>
    <d v="2034-12-28T00:00:00"/>
    <s v=""/>
    <x v="6"/>
    <x v="0"/>
  </r>
  <r>
    <n v="28203898576"/>
    <n v="276"/>
    <d v="2034-12-28T00:00:00"/>
    <s v=""/>
    <x v="6"/>
    <x v="0"/>
  </r>
  <r>
    <n v="94980296245"/>
    <n v="104"/>
    <d v="2034-12-28T00:00:00"/>
    <s v=""/>
    <x v="6"/>
    <x v="0"/>
  </r>
  <r>
    <n v="77045446879"/>
    <n v="319"/>
    <d v="2034-12-28T00:00:00"/>
    <s v=""/>
    <x v="6"/>
    <x v="0"/>
  </r>
  <r>
    <n v="24081426990"/>
    <n v="168"/>
    <d v="2034-12-29T00:00:00"/>
    <s v=""/>
    <x v="6"/>
    <x v="0"/>
  </r>
  <r>
    <n v="62611159495"/>
    <n v="57"/>
    <d v="2034-12-29T00:00:00"/>
    <m/>
    <x v="6"/>
    <x v="0"/>
  </r>
  <r>
    <n v="49690849038"/>
    <n v="144"/>
    <d v="2034-12-29T00:00:00"/>
    <s v=""/>
    <x v="6"/>
    <x v="0"/>
  </r>
  <r>
    <n v="46814937459"/>
    <n v="85"/>
    <d v="2034-12-29T00:00:00"/>
    <s v=""/>
    <x v="6"/>
    <x v="0"/>
  </r>
  <r>
    <n v="87199059184"/>
    <n v="32"/>
    <d v="2034-12-29T00:00:00"/>
    <m/>
    <x v="6"/>
    <x v="0"/>
  </r>
  <r>
    <n v="92409934938"/>
    <n v="56"/>
    <d v="2034-12-29T00:00:00"/>
    <s v=""/>
    <x v="6"/>
    <x v="0"/>
  </r>
  <r>
    <n v="95089931346"/>
    <n v="189"/>
    <d v="2034-12-29T00:00:00"/>
    <m/>
    <x v="6"/>
    <x v="0"/>
  </r>
  <r>
    <n v="41905243730"/>
    <n v="120"/>
    <d v="2034-12-29T00:00:00"/>
    <m/>
    <x v="6"/>
    <x v="0"/>
  </r>
  <r>
    <n v="39950225810"/>
    <n v="219"/>
    <d v="2034-12-29T00:00:00"/>
    <s v=""/>
    <x v="6"/>
    <x v="0"/>
  </r>
  <r>
    <n v="60387164509"/>
    <n v="45"/>
    <d v="2034-12-29T00:00:00"/>
    <s v=""/>
    <x v="6"/>
    <x v="0"/>
  </r>
  <r>
    <n v="94329154576"/>
    <n v="231"/>
    <d v="2034-12-29T00:00:00"/>
    <m/>
    <x v="6"/>
    <x v="0"/>
  </r>
  <r>
    <n v="92233291829"/>
    <n v="276"/>
    <d v="2034-12-29T00:00:00"/>
    <s v=""/>
    <x v="6"/>
    <x v="0"/>
  </r>
  <r>
    <n v="84227591476"/>
    <n v="60"/>
    <d v="2034-12-29T00:00:00"/>
    <s v=""/>
    <x v="6"/>
    <x v="0"/>
  </r>
  <r>
    <n v="16018497532"/>
    <n v="93"/>
    <d v="2034-12-29T00:00:00"/>
    <m/>
    <x v="6"/>
    <x v="0"/>
  </r>
  <r>
    <n v="92171007558"/>
    <n v="214"/>
    <d v="2034-12-29T00:00:00"/>
    <s v=""/>
    <x v="6"/>
    <x v="0"/>
  </r>
  <r>
    <n v="84102292745"/>
    <n v="228"/>
    <d v="2034-12-29T00:00:00"/>
    <s v=""/>
    <x v="6"/>
    <x v="0"/>
  </r>
  <r>
    <n v="72441567277"/>
    <n v="320"/>
    <d v="2034-12-29T00:00:00"/>
    <s v=""/>
    <x v="6"/>
    <x v="0"/>
  </r>
  <r>
    <n v="42338283769"/>
    <n v="147"/>
    <d v="2034-12-29T00:00:00"/>
    <m/>
    <x v="6"/>
    <x v="0"/>
  </r>
  <r>
    <n v="40042700960"/>
    <n v="126"/>
    <d v="2034-12-29T00:00:00"/>
    <s v=""/>
    <x v="6"/>
    <x v="0"/>
  </r>
  <r>
    <n v="71384224482"/>
    <n v="266"/>
    <d v="2034-12-29T00:00:00"/>
    <m/>
    <x v="6"/>
    <x v="0"/>
  </r>
  <r>
    <n v="50087326569"/>
    <n v="22"/>
    <d v="2034-12-29T00:00:00"/>
    <s v=""/>
    <x v="6"/>
    <x v="0"/>
  </r>
  <r>
    <n v="61019132866"/>
    <n v="63"/>
    <d v="2034-12-29T00:00:00"/>
    <s v=""/>
    <x v="6"/>
    <x v="0"/>
  </r>
  <r>
    <n v="75362514235"/>
    <n v="304"/>
    <d v="2034-12-29T00:00:00"/>
    <s v=""/>
    <x v="6"/>
    <x v="0"/>
  </r>
  <r>
    <n v="48902094898"/>
    <n v="55"/>
    <d v="2034-12-29T00:00:00"/>
    <s v=""/>
    <x v="6"/>
    <x v="0"/>
  </r>
  <r>
    <n v="81520110621"/>
    <n v="176"/>
    <d v="2034-12-29T00:00:00"/>
    <d v="2035-01-08T00:00:00"/>
    <x v="6"/>
    <x v="8"/>
  </r>
  <r>
    <n v="49088907448"/>
    <n v="113"/>
    <d v="2034-12-29T00:00:00"/>
    <s v=""/>
    <x v="6"/>
    <x v="0"/>
  </r>
  <r>
    <n v="98626527052"/>
    <n v="264"/>
    <d v="2034-12-30T00:00:00"/>
    <s v=""/>
    <x v="6"/>
    <x v="0"/>
  </r>
  <r>
    <n v="65602798748"/>
    <n v="25"/>
    <d v="2034-12-30T00:00:00"/>
    <s v=""/>
    <x v="6"/>
    <x v="0"/>
  </r>
  <r>
    <n v="94863983791"/>
    <n v="142"/>
    <d v="2034-12-30T00:00:00"/>
    <s v=""/>
    <x v="6"/>
    <x v="0"/>
  </r>
  <r>
    <n v="62343154660"/>
    <n v="61"/>
    <d v="2034-12-30T00:00:00"/>
    <s v=""/>
    <x v="6"/>
    <x v="0"/>
  </r>
  <r>
    <n v="86362868039"/>
    <n v="204"/>
    <d v="2034-12-30T00:00:00"/>
    <s v=""/>
    <x v="6"/>
    <x v="0"/>
  </r>
  <r>
    <n v="36602870753"/>
    <n v="118"/>
    <d v="2034-12-30T00:00:00"/>
    <d v="2035-01-06T00:00:00"/>
    <x v="6"/>
    <x v="8"/>
  </r>
  <r>
    <n v="47021300592"/>
    <n v="15"/>
    <d v="2034-12-30T00:00:00"/>
    <s v=""/>
    <x v="6"/>
    <x v="0"/>
  </r>
  <r>
    <n v="29046382189"/>
    <n v="154"/>
    <d v="2034-12-30T00:00:00"/>
    <s v=""/>
    <x v="6"/>
    <x v="0"/>
  </r>
  <r>
    <n v="55160120115"/>
    <n v="205"/>
    <d v="2034-12-30T00:00:00"/>
    <s v=""/>
    <x v="6"/>
    <x v="0"/>
  </r>
  <r>
    <n v="71618594395"/>
    <n v="223"/>
    <d v="2034-12-30T00:00:00"/>
    <s v=""/>
    <x v="6"/>
    <x v="0"/>
  </r>
  <r>
    <n v="13116208817"/>
    <n v="247"/>
    <d v="2034-12-30T00:00:00"/>
    <d v="2035-01-06T00:00:00"/>
    <x v="6"/>
    <x v="8"/>
  </r>
  <r>
    <n v="44358437355"/>
    <n v="162"/>
    <d v="2034-12-30T00:00:00"/>
    <s v=""/>
    <x v="6"/>
    <x v="0"/>
  </r>
  <r>
    <n v="14595821409"/>
    <n v="236"/>
    <d v="2034-12-30T00:00:00"/>
    <s v=""/>
    <x v="6"/>
    <x v="0"/>
  </r>
  <r>
    <n v="96642308242"/>
    <n v="276"/>
    <d v="2034-12-30T00:00:00"/>
    <s v=""/>
    <x v="6"/>
    <x v="0"/>
  </r>
  <r>
    <n v="51535786717"/>
    <n v="95"/>
    <d v="2034-12-30T00:00:00"/>
    <s v=""/>
    <x v="6"/>
    <x v="0"/>
  </r>
  <r>
    <n v="14084278544"/>
    <n v="259"/>
    <d v="2034-12-30T00:00:00"/>
    <s v=""/>
    <x v="6"/>
    <x v="0"/>
  </r>
  <r>
    <n v="55969449130"/>
    <n v="231"/>
    <d v="2034-12-30T00:00:00"/>
    <s v=""/>
    <x v="6"/>
    <x v="0"/>
  </r>
  <r>
    <n v="96109464167"/>
    <n v="95"/>
    <d v="2034-12-30T00:00:00"/>
    <s v=""/>
    <x v="6"/>
    <x v="0"/>
  </r>
  <r>
    <n v="62277358072"/>
    <n v="6"/>
    <d v="2034-12-30T00:00:00"/>
    <s v=""/>
    <x v="6"/>
    <x v="0"/>
  </r>
  <r>
    <n v="23834098693"/>
    <n v="143"/>
    <d v="2034-12-30T00:00:00"/>
    <m/>
    <x v="6"/>
    <x v="0"/>
  </r>
  <r>
    <n v="81018746250"/>
    <n v="318"/>
    <d v="2034-12-30T00:00:00"/>
    <s v=""/>
    <x v="6"/>
    <x v="0"/>
  </r>
  <r>
    <n v="63780995588"/>
    <n v="263"/>
    <d v="2034-12-30T00:00:00"/>
    <s v=""/>
    <x v="6"/>
    <x v="0"/>
  </r>
  <r>
    <n v="26637319457"/>
    <n v="179"/>
    <d v="2034-12-30T00:00:00"/>
    <s v=""/>
    <x v="6"/>
    <x v="0"/>
  </r>
  <r>
    <n v="99066350204"/>
    <n v="9"/>
    <d v="2034-12-31T00:00:00"/>
    <s v=""/>
    <x v="6"/>
    <x v="0"/>
  </r>
  <r>
    <n v="63000008080"/>
    <n v="64"/>
    <d v="2034-12-31T00:00:00"/>
    <m/>
    <x v="6"/>
    <x v="0"/>
  </r>
  <r>
    <n v="75178545978"/>
    <n v="306"/>
    <d v="2034-12-31T00:00:00"/>
    <d v="2035-01-08T00:00:00"/>
    <x v="6"/>
    <x v="8"/>
  </r>
  <r>
    <n v="48548277101"/>
    <n v="13"/>
    <d v="2034-12-31T00:00:00"/>
    <m/>
    <x v="6"/>
    <x v="0"/>
  </r>
  <r>
    <n v="78766924561"/>
    <n v="149"/>
    <d v="2034-12-31T00:00:00"/>
    <m/>
    <x v="6"/>
    <x v="0"/>
  </r>
  <r>
    <n v="28732811825"/>
    <n v="107"/>
    <d v="2034-12-31T00:00:00"/>
    <m/>
    <x v="6"/>
    <x v="0"/>
  </r>
  <r>
    <n v="38309389384"/>
    <n v="110"/>
    <d v="2034-12-31T00:00:00"/>
    <s v=""/>
    <x v="6"/>
    <x v="0"/>
  </r>
  <r>
    <n v="58854119123"/>
    <n v="288"/>
    <d v="2034-12-31T00:00:00"/>
    <s v=""/>
    <x v="6"/>
    <x v="0"/>
  </r>
  <r>
    <n v="11577844194"/>
    <n v="326"/>
    <d v="2034-12-31T00:00:00"/>
    <m/>
    <x v="6"/>
    <x v="0"/>
  </r>
  <r>
    <n v="12359969317"/>
    <n v="228"/>
    <d v="2034-12-31T00:00:00"/>
    <s v=""/>
    <x v="6"/>
    <x v="0"/>
  </r>
  <r>
    <n v="90928034919"/>
    <n v="22"/>
    <d v="2034-12-31T00:00:00"/>
    <s v=""/>
    <x v="6"/>
    <x v="0"/>
  </r>
  <r>
    <n v="19915832397"/>
    <n v="133"/>
    <d v="2034-12-31T00:00:00"/>
    <s v=""/>
    <x v="6"/>
    <x v="0"/>
  </r>
  <r>
    <n v="53532225658"/>
    <n v="200"/>
    <d v="2034-12-31T00:00:00"/>
    <m/>
    <x v="6"/>
    <x v="0"/>
  </r>
  <r>
    <n v="47695737386"/>
    <n v="81"/>
    <d v="2034-12-31T00:00:00"/>
    <s v=""/>
    <x v="6"/>
    <x v="0"/>
  </r>
  <r>
    <n v="56021076631"/>
    <n v="239"/>
    <d v="2034-12-31T00:00:00"/>
    <s v=""/>
    <x v="6"/>
    <x v="0"/>
  </r>
  <r>
    <n v="21202205551"/>
    <n v="267"/>
    <d v="2034-12-31T00:00:00"/>
    <s v=""/>
    <x v="6"/>
    <x v="0"/>
  </r>
  <r>
    <n v="32813291288"/>
    <n v="264"/>
    <d v="2034-12-31T00:00:00"/>
    <s v=""/>
    <x v="6"/>
    <x v="0"/>
  </r>
  <r>
    <n v="45572022636"/>
    <n v="22"/>
    <d v="2034-12-31T00:00:00"/>
    <d v="2035-01-29T00:00:00"/>
    <x v="6"/>
    <x v="8"/>
  </r>
  <r>
    <n v="55179430940"/>
    <n v="157"/>
    <d v="2034-12-31T00:00:00"/>
    <s v=""/>
    <x v="6"/>
    <x v="0"/>
  </r>
  <r>
    <n v="92016852575"/>
    <n v="184"/>
    <d v="2034-12-31T00:00:00"/>
    <s v=""/>
    <x v="6"/>
    <x v="0"/>
  </r>
  <r>
    <n v="15032203584"/>
    <n v="19"/>
    <d v="2034-12-31T00:00:00"/>
    <s v=""/>
    <x v="6"/>
    <x v="0"/>
  </r>
  <r>
    <n v="93990018834"/>
    <n v="42"/>
    <d v="2034-12-31T00:00:00"/>
    <s v=""/>
    <x v="6"/>
    <x v="0"/>
  </r>
  <r>
    <n v="80667468318"/>
    <n v="253"/>
    <d v="2034-12-31T00:00:00"/>
    <m/>
    <x v="6"/>
    <x v="0"/>
  </r>
  <r>
    <n v="76936879122"/>
    <n v="325"/>
    <d v="2034-12-31T00:00:00"/>
    <s v=""/>
    <x v="6"/>
    <x v="0"/>
  </r>
  <r>
    <n v="55389039174"/>
    <n v="231"/>
    <d v="2034-12-31T00:00:00"/>
    <s v=""/>
    <x v="6"/>
    <x v="0"/>
  </r>
  <r>
    <n v="45222195678"/>
    <n v="48"/>
    <d v="2034-12-31T00:00:00"/>
    <s v=""/>
    <x v="6"/>
    <x v="0"/>
  </r>
  <r>
    <n v="95497574674"/>
    <n v="331"/>
    <d v="2034-12-31T00:00:00"/>
    <s v=""/>
    <x v="6"/>
    <x v="0"/>
  </r>
  <r>
    <n v="81965039930"/>
    <n v="156"/>
    <d v="2035-01-01T00:00:00"/>
    <s v=""/>
    <x v="7"/>
    <x v="0"/>
  </r>
  <r>
    <n v="62954525738"/>
    <n v="292"/>
    <d v="2035-01-01T00:00:00"/>
    <s v=""/>
    <x v="7"/>
    <x v="0"/>
  </r>
  <r>
    <n v="80144036637"/>
    <n v="338"/>
    <d v="2035-01-01T00:00:00"/>
    <s v=""/>
    <x v="7"/>
    <x v="0"/>
  </r>
  <r>
    <n v="15562152949"/>
    <n v="29"/>
    <d v="2035-01-01T00:00:00"/>
    <s v=""/>
    <x v="7"/>
    <x v="0"/>
  </r>
  <r>
    <n v="43939603585"/>
    <n v="242"/>
    <d v="2035-01-01T00:00:00"/>
    <s v=""/>
    <x v="7"/>
    <x v="0"/>
  </r>
  <r>
    <n v="12131724111"/>
    <n v="27"/>
    <d v="2035-01-01T00:00:00"/>
    <s v=""/>
    <x v="7"/>
    <x v="0"/>
  </r>
  <r>
    <n v="96358796672"/>
    <n v="311"/>
    <d v="2035-01-01T00:00:00"/>
    <d v="2035-01-31T00:00:00"/>
    <x v="7"/>
    <x v="8"/>
  </r>
  <r>
    <n v="28511638210"/>
    <n v="105"/>
    <d v="2035-01-01T00:00:00"/>
    <m/>
    <x v="7"/>
    <x v="0"/>
  </r>
  <r>
    <n v="23953325743"/>
    <n v="79"/>
    <d v="2035-01-01T00:00:00"/>
    <s v=""/>
    <x v="7"/>
    <x v="0"/>
  </r>
  <r>
    <n v="74502827622"/>
    <n v="334"/>
    <d v="2035-01-01T00:00:00"/>
    <m/>
    <x v="7"/>
    <x v="0"/>
  </r>
  <r>
    <n v="99206072996"/>
    <n v="154"/>
    <d v="2035-01-01T00:00:00"/>
    <m/>
    <x v="7"/>
    <x v="0"/>
  </r>
  <r>
    <n v="66934320425"/>
    <n v="217"/>
    <d v="2035-01-01T00:00:00"/>
    <s v=""/>
    <x v="7"/>
    <x v="0"/>
  </r>
  <r>
    <n v="11537167361"/>
    <n v="180"/>
    <d v="2035-01-01T00:00:00"/>
    <s v=""/>
    <x v="7"/>
    <x v="0"/>
  </r>
  <r>
    <n v="98944207737"/>
    <n v="224"/>
    <d v="2035-01-01T00:00:00"/>
    <s v=""/>
    <x v="7"/>
    <x v="0"/>
  </r>
  <r>
    <n v="71733818813"/>
    <n v="2"/>
    <d v="2035-01-01T00:00:00"/>
    <s v=""/>
    <x v="7"/>
    <x v="0"/>
  </r>
  <r>
    <n v="61786540499"/>
    <n v="141"/>
    <d v="2035-01-01T00:00:00"/>
    <s v=""/>
    <x v="7"/>
    <x v="0"/>
  </r>
  <r>
    <n v="26495649262"/>
    <n v="34"/>
    <d v="2035-01-01T00:00:00"/>
    <s v=""/>
    <x v="7"/>
    <x v="0"/>
  </r>
  <r>
    <n v="97825599767"/>
    <n v="29"/>
    <d v="2035-01-01T00:00:00"/>
    <s v=""/>
    <x v="7"/>
    <x v="0"/>
  </r>
  <r>
    <n v="36565381918"/>
    <n v="143"/>
    <d v="2035-01-01T00:00:00"/>
    <s v=""/>
    <x v="7"/>
    <x v="0"/>
  </r>
  <r>
    <n v="61436966901"/>
    <n v="150"/>
    <d v="2035-01-01T00:00:00"/>
    <s v=""/>
    <x v="7"/>
    <x v="0"/>
  </r>
  <r>
    <n v="74341893827"/>
    <n v="288"/>
    <d v="2035-01-01T00:00:00"/>
    <s v=""/>
    <x v="7"/>
    <x v="0"/>
  </r>
  <r>
    <n v="20858432674"/>
    <n v="67"/>
    <d v="2035-01-01T00:00:00"/>
    <m/>
    <x v="7"/>
    <x v="0"/>
  </r>
  <r>
    <n v="99106450867"/>
    <n v="53"/>
    <d v="2035-01-01T00:00:00"/>
    <s v=""/>
    <x v="7"/>
    <x v="0"/>
  </r>
  <r>
    <n v="60604926661"/>
    <n v="272"/>
    <d v="2035-01-01T00:00:00"/>
    <s v=""/>
    <x v="7"/>
    <x v="0"/>
  </r>
  <r>
    <n v="14050111046"/>
    <n v="37"/>
    <d v="2035-01-01T00:00:00"/>
    <m/>
    <x v="7"/>
    <x v="0"/>
  </r>
  <r>
    <n v="65712909977"/>
    <n v="30"/>
    <d v="2035-01-01T00:00:00"/>
    <s v=""/>
    <x v="7"/>
    <x v="0"/>
  </r>
  <r>
    <n v="24323940145"/>
    <n v="151"/>
    <d v="2035-01-01T00:00:00"/>
    <s v=""/>
    <x v="7"/>
    <x v="0"/>
  </r>
  <r>
    <n v="18577042093"/>
    <n v="255"/>
    <d v="2035-01-01T00:00:00"/>
    <s v=""/>
    <x v="7"/>
    <x v="0"/>
  </r>
  <r>
    <n v="55747396659"/>
    <n v="34"/>
    <d v="2035-01-02T00:00:00"/>
    <s v=""/>
    <x v="7"/>
    <x v="0"/>
  </r>
  <r>
    <n v="27555999077"/>
    <n v="278"/>
    <d v="2035-01-02T00:00:00"/>
    <s v=""/>
    <x v="7"/>
    <x v="0"/>
  </r>
  <r>
    <n v="60467791901"/>
    <n v="153"/>
    <d v="2035-01-02T00:00:00"/>
    <m/>
    <x v="7"/>
    <x v="0"/>
  </r>
  <r>
    <n v="85500046173"/>
    <n v="279"/>
    <d v="2035-01-02T00:00:00"/>
    <s v=""/>
    <x v="7"/>
    <x v="0"/>
  </r>
  <r>
    <n v="64491512183"/>
    <n v="166"/>
    <d v="2035-01-02T00:00:00"/>
    <s v=""/>
    <x v="7"/>
    <x v="0"/>
  </r>
  <r>
    <n v="63106682545"/>
    <n v="10"/>
    <d v="2035-01-02T00:00:00"/>
    <m/>
    <x v="7"/>
    <x v="0"/>
  </r>
  <r>
    <n v="71584702847"/>
    <n v="272"/>
    <d v="2035-01-02T00:00:00"/>
    <s v=""/>
    <x v="7"/>
    <x v="0"/>
  </r>
  <r>
    <n v="66095526882"/>
    <n v="27"/>
    <d v="2035-01-02T00:00:00"/>
    <s v=""/>
    <x v="7"/>
    <x v="0"/>
  </r>
  <r>
    <n v="43981943209"/>
    <n v="327"/>
    <d v="2035-01-02T00:00:00"/>
    <s v=""/>
    <x v="7"/>
    <x v="0"/>
  </r>
  <r>
    <n v="64307745248"/>
    <n v="126"/>
    <d v="2035-01-02T00:00:00"/>
    <s v=""/>
    <x v="7"/>
    <x v="0"/>
  </r>
  <r>
    <n v="67848850957"/>
    <n v="315"/>
    <d v="2035-01-02T00:00:00"/>
    <s v=""/>
    <x v="7"/>
    <x v="0"/>
  </r>
  <r>
    <n v="18963917017"/>
    <n v="296"/>
    <d v="2035-01-02T00:00:00"/>
    <m/>
    <x v="7"/>
    <x v="0"/>
  </r>
  <r>
    <n v="42116038903"/>
    <n v="114"/>
    <d v="2035-01-02T00:00:00"/>
    <d v="2035-02-01T00:00:00"/>
    <x v="7"/>
    <x v="9"/>
  </r>
  <r>
    <n v="58447868518"/>
    <n v="268"/>
    <d v="2035-01-02T00:00:00"/>
    <s v=""/>
    <x v="7"/>
    <x v="0"/>
  </r>
  <r>
    <n v="12027806844"/>
    <n v="17"/>
    <d v="2035-01-02T00:00:00"/>
    <s v=""/>
    <x v="7"/>
    <x v="0"/>
  </r>
  <r>
    <n v="91592998172"/>
    <n v="38"/>
    <d v="2035-01-02T00:00:00"/>
    <s v=""/>
    <x v="7"/>
    <x v="0"/>
  </r>
  <r>
    <n v="85840454165"/>
    <n v="167"/>
    <d v="2035-01-02T00:00:00"/>
    <s v=""/>
    <x v="7"/>
    <x v="0"/>
  </r>
  <r>
    <n v="37113690395"/>
    <n v="316"/>
    <d v="2035-01-02T00:00:00"/>
    <s v=""/>
    <x v="7"/>
    <x v="0"/>
  </r>
  <r>
    <n v="73774671839"/>
    <n v="194"/>
    <d v="2035-01-02T00:00:00"/>
    <s v=""/>
    <x v="7"/>
    <x v="0"/>
  </r>
  <r>
    <n v="66051610320"/>
    <n v="121"/>
    <d v="2035-01-02T00:00:00"/>
    <s v=""/>
    <x v="7"/>
    <x v="0"/>
  </r>
  <r>
    <n v="50794555588"/>
    <n v="154"/>
    <d v="2035-01-02T00:00:00"/>
    <s v=""/>
    <x v="7"/>
    <x v="0"/>
  </r>
  <r>
    <n v="20495140546"/>
    <n v="41"/>
    <d v="2035-01-02T00:00:00"/>
    <d v="2035-01-17T00:00:00"/>
    <x v="7"/>
    <x v="8"/>
  </r>
  <r>
    <n v="60096973932"/>
    <n v="11"/>
    <d v="2035-01-02T00:00:00"/>
    <s v=""/>
    <x v="7"/>
    <x v="0"/>
  </r>
  <r>
    <n v="11775025360"/>
    <n v="312"/>
    <d v="2035-01-02T00:00:00"/>
    <s v=""/>
    <x v="7"/>
    <x v="0"/>
  </r>
  <r>
    <n v="96011546611"/>
    <n v="16"/>
    <d v="2035-01-02T00:00:00"/>
    <m/>
    <x v="7"/>
    <x v="0"/>
  </r>
  <r>
    <n v="54408602840"/>
    <n v="148"/>
    <d v="2035-01-02T00:00:00"/>
    <m/>
    <x v="7"/>
    <x v="0"/>
  </r>
  <r>
    <n v="71600502836"/>
    <n v="220"/>
    <d v="2035-01-02T00:00:00"/>
    <s v=""/>
    <x v="7"/>
    <x v="0"/>
  </r>
  <r>
    <n v="86782400072"/>
    <n v="132"/>
    <d v="2035-01-02T00:00:00"/>
    <s v=""/>
    <x v="7"/>
    <x v="0"/>
  </r>
  <r>
    <n v="94547017166"/>
    <n v="165"/>
    <d v="2035-01-02T00:00:00"/>
    <m/>
    <x v="7"/>
    <x v="0"/>
  </r>
  <r>
    <n v="16408939922"/>
    <n v="111"/>
    <d v="2035-01-03T00:00:00"/>
    <s v=""/>
    <x v="7"/>
    <x v="0"/>
  </r>
  <r>
    <n v="35305837800"/>
    <n v="339"/>
    <d v="2035-01-03T00:00:00"/>
    <s v=""/>
    <x v="7"/>
    <x v="0"/>
  </r>
  <r>
    <n v="28813231581"/>
    <n v="303"/>
    <d v="2035-01-03T00:00:00"/>
    <s v=""/>
    <x v="7"/>
    <x v="0"/>
  </r>
  <r>
    <n v="66159398371"/>
    <n v="267"/>
    <d v="2035-01-03T00:00:00"/>
    <s v=""/>
    <x v="7"/>
    <x v="0"/>
  </r>
  <r>
    <n v="41930757696"/>
    <n v="291"/>
    <d v="2035-01-03T00:00:00"/>
    <s v=""/>
    <x v="7"/>
    <x v="0"/>
  </r>
  <r>
    <n v="38529760589"/>
    <n v="13"/>
    <d v="2035-01-03T00:00:00"/>
    <s v=""/>
    <x v="7"/>
    <x v="0"/>
  </r>
  <r>
    <n v="72362982416"/>
    <n v="148"/>
    <d v="2035-01-03T00:00:00"/>
    <s v=""/>
    <x v="7"/>
    <x v="0"/>
  </r>
  <r>
    <n v="28980139575"/>
    <n v="64"/>
    <d v="2035-01-03T00:00:00"/>
    <s v=""/>
    <x v="7"/>
    <x v="0"/>
  </r>
  <r>
    <n v="14319611336"/>
    <n v="145"/>
    <d v="2035-01-03T00:00:00"/>
    <m/>
    <x v="7"/>
    <x v="0"/>
  </r>
  <r>
    <n v="86444946760"/>
    <n v="133"/>
    <d v="2035-01-03T00:00:00"/>
    <s v=""/>
    <x v="7"/>
    <x v="0"/>
  </r>
  <r>
    <n v="89887071017"/>
    <n v="252"/>
    <d v="2035-01-03T00:00:00"/>
    <s v=""/>
    <x v="7"/>
    <x v="0"/>
  </r>
  <r>
    <n v="28174881693"/>
    <n v="240"/>
    <d v="2035-01-03T00:00:00"/>
    <s v=""/>
    <x v="7"/>
    <x v="0"/>
  </r>
  <r>
    <n v="69314634908"/>
    <n v="2"/>
    <d v="2035-01-03T00:00:00"/>
    <m/>
    <x v="7"/>
    <x v="0"/>
  </r>
  <r>
    <n v="97220397461"/>
    <n v="74"/>
    <d v="2035-01-03T00:00:00"/>
    <m/>
    <x v="7"/>
    <x v="0"/>
  </r>
  <r>
    <n v="67014828845"/>
    <n v="97"/>
    <d v="2035-01-03T00:00:00"/>
    <s v=""/>
    <x v="7"/>
    <x v="0"/>
  </r>
  <r>
    <n v="21274915402"/>
    <n v="80"/>
    <d v="2035-01-03T00:00:00"/>
    <s v=""/>
    <x v="7"/>
    <x v="0"/>
  </r>
  <r>
    <n v="74909237454"/>
    <n v="284"/>
    <d v="2035-01-03T00:00:00"/>
    <s v=""/>
    <x v="7"/>
    <x v="0"/>
  </r>
  <r>
    <n v="46086904443"/>
    <n v="12"/>
    <d v="2035-01-03T00:00:00"/>
    <m/>
    <x v="7"/>
    <x v="0"/>
  </r>
  <r>
    <n v="54094288898"/>
    <n v="72"/>
    <d v="2035-01-03T00:00:00"/>
    <s v=""/>
    <x v="7"/>
    <x v="0"/>
  </r>
  <r>
    <n v="46792857653"/>
    <n v="235"/>
    <d v="2035-01-03T00:00:00"/>
    <s v=""/>
    <x v="7"/>
    <x v="0"/>
  </r>
  <r>
    <n v="34331861193"/>
    <n v="48"/>
    <d v="2035-01-03T00:00:00"/>
    <s v=""/>
    <x v="7"/>
    <x v="0"/>
  </r>
  <r>
    <n v="78579388683"/>
    <n v="184"/>
    <d v="2035-01-03T00:00:00"/>
    <s v=""/>
    <x v="7"/>
    <x v="0"/>
  </r>
  <r>
    <n v="65175869352"/>
    <n v="45"/>
    <d v="2035-01-03T00:00:00"/>
    <s v=""/>
    <x v="7"/>
    <x v="0"/>
  </r>
  <r>
    <n v="68705906302"/>
    <n v="62"/>
    <d v="2035-01-03T00:00:00"/>
    <d v="2035-01-13T00:00:00"/>
    <x v="7"/>
    <x v="8"/>
  </r>
  <r>
    <n v="37603748188"/>
    <n v="147"/>
    <d v="2035-01-03T00:00:00"/>
    <s v=""/>
    <x v="7"/>
    <x v="0"/>
  </r>
  <r>
    <n v="76773562839"/>
    <n v="118"/>
    <d v="2035-01-03T00:00:00"/>
    <s v=""/>
    <x v="7"/>
    <x v="0"/>
  </r>
  <r>
    <n v="71404210832"/>
    <n v="268"/>
    <d v="2035-01-03T00:00:00"/>
    <s v=""/>
    <x v="7"/>
    <x v="0"/>
  </r>
  <r>
    <n v="81879453500"/>
    <n v="137"/>
    <d v="2035-01-03T00:00:00"/>
    <s v=""/>
    <x v="7"/>
    <x v="0"/>
  </r>
  <r>
    <n v="39028733541"/>
    <n v="208"/>
    <d v="2035-01-03T00:00:00"/>
    <s v=""/>
    <x v="7"/>
    <x v="0"/>
  </r>
  <r>
    <n v="37364383160"/>
    <n v="321"/>
    <d v="2035-01-03T00:00:00"/>
    <s v=""/>
    <x v="7"/>
    <x v="0"/>
  </r>
  <r>
    <n v="43839384356"/>
    <n v="48"/>
    <d v="2035-01-03T00:00:00"/>
    <s v=""/>
    <x v="7"/>
    <x v="0"/>
  </r>
  <r>
    <n v="81556721068"/>
    <n v="180"/>
    <d v="2035-01-04T00:00:00"/>
    <s v=""/>
    <x v="7"/>
    <x v="0"/>
  </r>
  <r>
    <n v="63173335126"/>
    <n v="153"/>
    <d v="2035-01-04T00:00:00"/>
    <s v=""/>
    <x v="7"/>
    <x v="0"/>
  </r>
  <r>
    <n v="33525030246"/>
    <n v="190"/>
    <d v="2035-01-04T00:00:00"/>
    <s v=""/>
    <x v="7"/>
    <x v="0"/>
  </r>
  <r>
    <n v="34513098056"/>
    <n v="46"/>
    <d v="2035-01-04T00:00:00"/>
    <s v=""/>
    <x v="7"/>
    <x v="0"/>
  </r>
  <r>
    <n v="22669389683"/>
    <n v="167"/>
    <d v="2035-01-04T00:00:00"/>
    <s v=""/>
    <x v="7"/>
    <x v="0"/>
  </r>
  <r>
    <n v="35876409693"/>
    <n v="147"/>
    <d v="2035-01-04T00:00:00"/>
    <s v=""/>
    <x v="7"/>
    <x v="0"/>
  </r>
  <r>
    <n v="98523793875"/>
    <n v="134"/>
    <d v="2035-01-04T00:00:00"/>
    <s v=""/>
    <x v="7"/>
    <x v="0"/>
  </r>
  <r>
    <n v="65293397395"/>
    <n v="51"/>
    <d v="2035-01-04T00:00:00"/>
    <s v=""/>
    <x v="7"/>
    <x v="0"/>
  </r>
  <r>
    <n v="86927372217"/>
    <n v="133"/>
    <d v="2035-01-04T00:00:00"/>
    <s v=""/>
    <x v="7"/>
    <x v="0"/>
  </r>
  <r>
    <n v="36542313515"/>
    <n v="141"/>
    <d v="2035-01-04T00:00:00"/>
    <s v=""/>
    <x v="7"/>
    <x v="0"/>
  </r>
  <r>
    <n v="76040197037"/>
    <n v="157"/>
    <d v="2035-01-04T00:00:00"/>
    <s v=""/>
    <x v="7"/>
    <x v="0"/>
  </r>
  <r>
    <n v="20982439199"/>
    <n v="209"/>
    <d v="2035-01-04T00:00:00"/>
    <s v=""/>
    <x v="7"/>
    <x v="0"/>
  </r>
  <r>
    <n v="27563058431"/>
    <n v="248"/>
    <d v="2035-01-04T00:00:00"/>
    <s v=""/>
    <x v="7"/>
    <x v="0"/>
  </r>
  <r>
    <n v="64541738112"/>
    <n v="119"/>
    <d v="2035-01-04T00:00:00"/>
    <s v=""/>
    <x v="7"/>
    <x v="0"/>
  </r>
  <r>
    <n v="72367490325"/>
    <n v="144"/>
    <d v="2035-01-04T00:00:00"/>
    <m/>
    <x v="7"/>
    <x v="0"/>
  </r>
  <r>
    <n v="36209237436"/>
    <n v="233"/>
    <d v="2035-01-04T00:00:00"/>
    <s v=""/>
    <x v="7"/>
    <x v="0"/>
  </r>
  <r>
    <n v="30774790814"/>
    <n v="50"/>
    <d v="2035-01-04T00:00:00"/>
    <s v=""/>
    <x v="7"/>
    <x v="0"/>
  </r>
  <r>
    <n v="97917827984"/>
    <n v="277"/>
    <d v="2035-01-04T00:00:00"/>
    <s v=""/>
    <x v="7"/>
    <x v="0"/>
  </r>
  <r>
    <n v="86800105215"/>
    <n v="99"/>
    <d v="2035-01-04T00:00:00"/>
    <m/>
    <x v="7"/>
    <x v="0"/>
  </r>
  <r>
    <n v="76475959525"/>
    <n v="274"/>
    <d v="2035-01-04T00:00:00"/>
    <s v=""/>
    <x v="7"/>
    <x v="0"/>
  </r>
  <r>
    <n v="68098618716"/>
    <n v="166"/>
    <d v="2035-01-04T00:00:00"/>
    <d v="2035-01-29T00:00:00"/>
    <x v="7"/>
    <x v="8"/>
  </r>
  <r>
    <n v="16345452009"/>
    <n v="313"/>
    <d v="2035-01-04T00:00:00"/>
    <s v=""/>
    <x v="7"/>
    <x v="0"/>
  </r>
  <r>
    <n v="48086361134"/>
    <n v="7"/>
    <d v="2035-01-05T00:00:00"/>
    <s v=""/>
    <x v="7"/>
    <x v="0"/>
  </r>
  <r>
    <n v="44568676866"/>
    <n v="187"/>
    <d v="2035-01-05T00:00:00"/>
    <s v=""/>
    <x v="7"/>
    <x v="0"/>
  </r>
  <r>
    <n v="69426639812"/>
    <n v="175"/>
    <d v="2035-01-05T00:00:00"/>
    <s v=""/>
    <x v="7"/>
    <x v="0"/>
  </r>
  <r>
    <n v="60716303999"/>
    <n v="34"/>
    <d v="2035-01-05T00:00:00"/>
    <m/>
    <x v="7"/>
    <x v="0"/>
  </r>
  <r>
    <n v="72820289491"/>
    <n v="249"/>
    <d v="2035-01-05T00:00:00"/>
    <s v=""/>
    <x v="7"/>
    <x v="0"/>
  </r>
  <r>
    <n v="83846178149"/>
    <n v="78"/>
    <d v="2035-01-05T00:00:00"/>
    <m/>
    <x v="7"/>
    <x v="0"/>
  </r>
  <r>
    <n v="40020497728"/>
    <n v="283"/>
    <d v="2035-01-05T00:00:00"/>
    <s v=""/>
    <x v="7"/>
    <x v="0"/>
  </r>
  <r>
    <n v="60060047208"/>
    <n v="287"/>
    <d v="2035-01-05T00:00:00"/>
    <s v=""/>
    <x v="7"/>
    <x v="0"/>
  </r>
  <r>
    <n v="37572728151"/>
    <n v="188"/>
    <d v="2035-01-05T00:00:00"/>
    <s v=""/>
    <x v="7"/>
    <x v="0"/>
  </r>
  <r>
    <n v="39353809341"/>
    <n v="179"/>
    <d v="2035-01-05T00:00:00"/>
    <s v=""/>
    <x v="7"/>
    <x v="0"/>
  </r>
  <r>
    <n v="66149467084"/>
    <n v="337"/>
    <d v="2035-01-05T00:00:00"/>
    <s v=""/>
    <x v="7"/>
    <x v="0"/>
  </r>
  <r>
    <n v="93937624265"/>
    <n v="118"/>
    <d v="2035-01-05T00:00:00"/>
    <s v=""/>
    <x v="7"/>
    <x v="0"/>
  </r>
  <r>
    <n v="63678070865"/>
    <n v="162"/>
    <d v="2035-01-05T00:00:00"/>
    <s v=""/>
    <x v="7"/>
    <x v="0"/>
  </r>
  <r>
    <n v="43703855327"/>
    <n v="283"/>
    <d v="2035-01-05T00:00:00"/>
    <s v=""/>
    <x v="7"/>
    <x v="0"/>
  </r>
  <r>
    <n v="59342795074"/>
    <n v="98"/>
    <d v="2035-01-05T00:00:00"/>
    <m/>
    <x v="7"/>
    <x v="0"/>
  </r>
  <r>
    <n v="53895008558"/>
    <n v="182"/>
    <d v="2035-01-05T00:00:00"/>
    <s v=""/>
    <x v="7"/>
    <x v="0"/>
  </r>
  <r>
    <n v="91902601914"/>
    <n v="140"/>
    <d v="2035-01-05T00:00:00"/>
    <s v=""/>
    <x v="7"/>
    <x v="0"/>
  </r>
  <r>
    <n v="90177434119"/>
    <n v="112"/>
    <d v="2035-01-05T00:00:00"/>
    <m/>
    <x v="7"/>
    <x v="0"/>
  </r>
  <r>
    <n v="73555960539"/>
    <n v="113"/>
    <d v="2035-01-05T00:00:00"/>
    <s v=""/>
    <x v="7"/>
    <x v="0"/>
  </r>
  <r>
    <n v="82310227144"/>
    <n v="144"/>
    <d v="2035-01-05T00:00:00"/>
    <s v=""/>
    <x v="7"/>
    <x v="0"/>
  </r>
  <r>
    <n v="32560459921"/>
    <n v="94"/>
    <d v="2035-01-05T00:00:00"/>
    <m/>
    <x v="7"/>
    <x v="0"/>
  </r>
  <r>
    <n v="83267934967"/>
    <n v="219"/>
    <d v="2035-01-05T00:00:00"/>
    <s v=""/>
    <x v="7"/>
    <x v="0"/>
  </r>
  <r>
    <n v="21343007672"/>
    <n v="337"/>
    <d v="2035-01-06T00:00:00"/>
    <s v=""/>
    <x v="7"/>
    <x v="0"/>
  </r>
  <r>
    <n v="40531144025"/>
    <n v="126"/>
    <d v="2035-01-06T00:00:00"/>
    <s v=""/>
    <x v="7"/>
    <x v="0"/>
  </r>
  <r>
    <n v="11509231660"/>
    <n v="39"/>
    <d v="2035-01-06T00:00:00"/>
    <m/>
    <x v="7"/>
    <x v="0"/>
  </r>
  <r>
    <n v="48852056193"/>
    <n v="316"/>
    <d v="2035-01-06T00:00:00"/>
    <m/>
    <x v="7"/>
    <x v="0"/>
  </r>
  <r>
    <n v="92453554483"/>
    <n v="154"/>
    <d v="2035-01-06T00:00:00"/>
    <d v="2035-01-31T00:00:00"/>
    <x v="7"/>
    <x v="8"/>
  </r>
  <r>
    <n v="65170484640"/>
    <n v="225"/>
    <d v="2035-01-06T00:00:00"/>
    <m/>
    <x v="7"/>
    <x v="0"/>
  </r>
  <r>
    <n v="65829274195"/>
    <n v="293"/>
    <d v="2035-01-06T00:00:00"/>
    <d v="2035-01-06T00:00:00"/>
    <x v="7"/>
    <x v="8"/>
  </r>
  <r>
    <n v="31836771406"/>
    <n v="301"/>
    <d v="2035-01-06T00:00:00"/>
    <s v=""/>
    <x v="7"/>
    <x v="0"/>
  </r>
  <r>
    <n v="57422452049"/>
    <n v="38"/>
    <d v="2035-01-06T00:00:00"/>
    <s v=""/>
    <x v="7"/>
    <x v="0"/>
  </r>
  <r>
    <n v="16758598759"/>
    <n v="72"/>
    <d v="2035-01-06T00:00:00"/>
    <s v=""/>
    <x v="7"/>
    <x v="0"/>
  </r>
  <r>
    <n v="28635333337"/>
    <n v="220"/>
    <d v="2035-01-06T00:00:00"/>
    <s v=""/>
    <x v="7"/>
    <x v="0"/>
  </r>
  <r>
    <n v="76847182079"/>
    <n v="133"/>
    <d v="2035-01-06T00:00:00"/>
    <s v=""/>
    <x v="7"/>
    <x v="0"/>
  </r>
  <r>
    <n v="89383996721"/>
    <n v="296"/>
    <d v="2035-01-06T00:00:00"/>
    <s v=""/>
    <x v="7"/>
    <x v="0"/>
  </r>
  <r>
    <n v="48873304284"/>
    <n v="25"/>
    <d v="2035-01-06T00:00:00"/>
    <s v=""/>
    <x v="7"/>
    <x v="0"/>
  </r>
  <r>
    <n v="59205666608"/>
    <n v="253"/>
    <d v="2035-01-06T00:00:00"/>
    <s v=""/>
    <x v="7"/>
    <x v="0"/>
  </r>
  <r>
    <n v="79781178072"/>
    <n v="314"/>
    <d v="2035-01-06T00:00:00"/>
    <s v=""/>
    <x v="7"/>
    <x v="0"/>
  </r>
  <r>
    <n v="97571876790"/>
    <n v="242"/>
    <d v="2035-01-06T00:00:00"/>
    <s v=""/>
    <x v="7"/>
    <x v="0"/>
  </r>
  <r>
    <n v="55803102324"/>
    <n v="217"/>
    <d v="2035-01-06T00:00:00"/>
    <m/>
    <x v="7"/>
    <x v="0"/>
  </r>
  <r>
    <n v="59650193894"/>
    <n v="270"/>
    <d v="2035-01-06T00:00:00"/>
    <s v=""/>
    <x v="7"/>
    <x v="0"/>
  </r>
  <r>
    <n v="17222152937"/>
    <n v="28"/>
    <d v="2035-01-06T00:00:00"/>
    <m/>
    <x v="7"/>
    <x v="0"/>
  </r>
  <r>
    <n v="92635290095"/>
    <n v="140"/>
    <d v="2035-01-06T00:00:00"/>
    <s v=""/>
    <x v="7"/>
    <x v="0"/>
  </r>
  <r>
    <n v="43121907307"/>
    <n v="26"/>
    <d v="2035-01-06T00:00:00"/>
    <s v=""/>
    <x v="7"/>
    <x v="0"/>
  </r>
  <r>
    <n v="57837184281"/>
    <n v="66"/>
    <d v="2035-01-06T00:00:00"/>
    <s v=""/>
    <x v="7"/>
    <x v="0"/>
  </r>
  <r>
    <n v="14165440474"/>
    <n v="244"/>
    <d v="2035-01-06T00:00:00"/>
    <s v=""/>
    <x v="7"/>
    <x v="0"/>
  </r>
  <r>
    <n v="38727041316"/>
    <n v="297"/>
    <d v="2035-01-06T00:00:00"/>
    <s v=""/>
    <x v="7"/>
    <x v="0"/>
  </r>
  <r>
    <n v="47530798031"/>
    <n v="15"/>
    <d v="2035-01-06T00:00:00"/>
    <s v=""/>
    <x v="7"/>
    <x v="0"/>
  </r>
  <r>
    <n v="40552314401"/>
    <n v="215"/>
    <d v="2035-01-06T00:00:00"/>
    <s v=""/>
    <x v="7"/>
    <x v="0"/>
  </r>
  <r>
    <n v="79994196901"/>
    <n v="77"/>
    <d v="2035-01-06T00:00:00"/>
    <s v=""/>
    <x v="7"/>
    <x v="0"/>
  </r>
  <r>
    <n v="70715201953"/>
    <n v="198"/>
    <d v="2035-01-06T00:00:00"/>
    <s v=""/>
    <x v="7"/>
    <x v="0"/>
  </r>
  <r>
    <n v="87592356922"/>
    <n v="73"/>
    <d v="2035-01-06T00:00:00"/>
    <s v=""/>
    <x v="7"/>
    <x v="0"/>
  </r>
  <r>
    <n v="12550046734"/>
    <n v="332"/>
    <d v="2035-01-06T00:00:00"/>
    <s v=""/>
    <x v="7"/>
    <x v="0"/>
  </r>
  <r>
    <n v="49834496996"/>
    <n v="64"/>
    <d v="2035-01-07T00:00:00"/>
    <s v=""/>
    <x v="7"/>
    <x v="0"/>
  </r>
  <r>
    <n v="59005489210"/>
    <n v="340"/>
    <d v="2035-01-07T00:00:00"/>
    <s v=""/>
    <x v="7"/>
    <x v="0"/>
  </r>
  <r>
    <n v="32020388358"/>
    <n v="208"/>
    <d v="2035-01-07T00:00:00"/>
    <s v=""/>
    <x v="7"/>
    <x v="0"/>
  </r>
  <r>
    <n v="85483636586"/>
    <n v="291"/>
    <d v="2035-01-07T00:00:00"/>
    <s v=""/>
    <x v="7"/>
    <x v="0"/>
  </r>
  <r>
    <n v="91847472613"/>
    <n v="49"/>
    <d v="2035-01-07T00:00:00"/>
    <s v=""/>
    <x v="7"/>
    <x v="0"/>
  </r>
  <r>
    <n v="88439533414"/>
    <n v="301"/>
    <d v="2035-01-07T00:00:00"/>
    <m/>
    <x v="7"/>
    <x v="0"/>
  </r>
  <r>
    <n v="69629973692"/>
    <n v="177"/>
    <d v="2035-01-07T00:00:00"/>
    <m/>
    <x v="7"/>
    <x v="0"/>
  </r>
  <r>
    <n v="76179297898"/>
    <n v="1"/>
    <d v="2035-01-07T00:00:00"/>
    <s v=""/>
    <x v="7"/>
    <x v="0"/>
  </r>
  <r>
    <n v="12941920610"/>
    <n v="249"/>
    <d v="2035-01-07T00:00:00"/>
    <s v=""/>
    <x v="7"/>
    <x v="0"/>
  </r>
  <r>
    <n v="20023789651"/>
    <n v="81"/>
    <d v="2035-01-07T00:00:00"/>
    <s v=""/>
    <x v="7"/>
    <x v="0"/>
  </r>
  <r>
    <n v="71983607605"/>
    <n v="297"/>
    <d v="2035-01-07T00:00:00"/>
    <s v=""/>
    <x v="7"/>
    <x v="0"/>
  </r>
  <r>
    <n v="70688320237"/>
    <n v="156"/>
    <d v="2035-01-07T00:00:00"/>
    <s v=""/>
    <x v="7"/>
    <x v="0"/>
  </r>
  <r>
    <n v="25507767374"/>
    <n v="32"/>
    <d v="2035-01-07T00:00:00"/>
    <s v=""/>
    <x v="7"/>
    <x v="0"/>
  </r>
  <r>
    <n v="70680953441"/>
    <n v="220"/>
    <d v="2035-01-07T00:00:00"/>
    <s v=""/>
    <x v="7"/>
    <x v="0"/>
  </r>
  <r>
    <n v="74733825443"/>
    <n v="109"/>
    <d v="2035-01-07T00:00:00"/>
    <s v=""/>
    <x v="7"/>
    <x v="0"/>
  </r>
  <r>
    <n v="99248799342"/>
    <n v="78"/>
    <d v="2035-01-07T00:00:00"/>
    <m/>
    <x v="7"/>
    <x v="0"/>
  </r>
  <r>
    <n v="15375577350"/>
    <n v="290"/>
    <d v="2035-01-07T00:00:00"/>
    <m/>
    <x v="7"/>
    <x v="0"/>
  </r>
  <r>
    <n v="86993990945"/>
    <n v="317"/>
    <d v="2035-01-07T00:00:00"/>
    <s v=""/>
    <x v="7"/>
    <x v="0"/>
  </r>
  <r>
    <n v="29412971523"/>
    <n v="289"/>
    <d v="2035-01-07T00:00:00"/>
    <m/>
    <x v="7"/>
    <x v="0"/>
  </r>
  <r>
    <n v="97159758023"/>
    <n v="335"/>
    <d v="2035-01-07T00:00:00"/>
    <s v=""/>
    <x v="7"/>
    <x v="0"/>
  </r>
  <r>
    <n v="18816593136"/>
    <n v="27"/>
    <d v="2035-01-07T00:00:00"/>
    <s v=""/>
    <x v="7"/>
    <x v="0"/>
  </r>
  <r>
    <n v="32236089814"/>
    <n v="313"/>
    <d v="2035-01-07T00:00:00"/>
    <d v="2035-01-30T00:00:00"/>
    <x v="7"/>
    <x v="8"/>
  </r>
  <r>
    <n v="65204622327"/>
    <n v="240"/>
    <d v="2035-01-07T00:00:00"/>
    <s v=""/>
    <x v="7"/>
    <x v="0"/>
  </r>
  <r>
    <n v="57177610823"/>
    <n v="167"/>
    <d v="2035-01-07T00:00:00"/>
    <d v="2035-01-19T00:00:00"/>
    <x v="7"/>
    <x v="8"/>
  </r>
  <r>
    <n v="91346219915"/>
    <n v="95"/>
    <d v="2035-01-07T00:00:00"/>
    <m/>
    <x v="7"/>
    <x v="0"/>
  </r>
  <r>
    <n v="12845558069"/>
    <n v="170"/>
    <d v="2035-01-07T00:00:00"/>
    <s v=""/>
    <x v="7"/>
    <x v="0"/>
  </r>
  <r>
    <n v="77502599929"/>
    <n v="14"/>
    <d v="2035-01-07T00:00:00"/>
    <s v=""/>
    <x v="7"/>
    <x v="0"/>
  </r>
  <r>
    <n v="93235271535"/>
    <n v="67"/>
    <d v="2035-01-07T00:00:00"/>
    <s v=""/>
    <x v="7"/>
    <x v="0"/>
  </r>
  <r>
    <n v="26083716947"/>
    <n v="246"/>
    <d v="2035-01-08T00:00:00"/>
    <s v=""/>
    <x v="7"/>
    <x v="0"/>
  </r>
  <r>
    <n v="22365596545"/>
    <n v="12"/>
    <d v="2035-01-08T00:00:00"/>
    <s v=""/>
    <x v="7"/>
    <x v="0"/>
  </r>
  <r>
    <n v="26008465478"/>
    <n v="58"/>
    <d v="2035-01-08T00:00:00"/>
    <s v=""/>
    <x v="7"/>
    <x v="0"/>
  </r>
  <r>
    <n v="29293638122"/>
    <n v="299"/>
    <d v="2035-01-08T00:00:00"/>
    <s v=""/>
    <x v="7"/>
    <x v="0"/>
  </r>
  <r>
    <n v="96416317941"/>
    <n v="332"/>
    <d v="2035-01-08T00:00:00"/>
    <s v=""/>
    <x v="7"/>
    <x v="0"/>
  </r>
  <r>
    <n v="73655025878"/>
    <n v="51"/>
    <d v="2035-01-08T00:00:00"/>
    <s v=""/>
    <x v="7"/>
    <x v="0"/>
  </r>
  <r>
    <n v="91207513987"/>
    <n v="60"/>
    <d v="2035-01-08T00:00:00"/>
    <s v=""/>
    <x v="7"/>
    <x v="0"/>
  </r>
  <r>
    <n v="23567226307"/>
    <n v="23"/>
    <d v="2035-01-08T00:00:00"/>
    <s v=""/>
    <x v="7"/>
    <x v="0"/>
  </r>
  <r>
    <n v="66955016169"/>
    <n v="48"/>
    <d v="2035-01-08T00:00:00"/>
    <s v=""/>
    <x v="7"/>
    <x v="0"/>
  </r>
  <r>
    <n v="40757904750"/>
    <n v="130"/>
    <d v="2035-01-08T00:00:00"/>
    <s v=""/>
    <x v="7"/>
    <x v="0"/>
  </r>
  <r>
    <n v="86568923768"/>
    <n v="73"/>
    <d v="2035-01-08T00:00:00"/>
    <m/>
    <x v="7"/>
    <x v="0"/>
  </r>
  <r>
    <n v="37072636669"/>
    <n v="16"/>
    <d v="2035-01-08T00:00:00"/>
    <s v=""/>
    <x v="7"/>
    <x v="0"/>
  </r>
  <r>
    <n v="23960221403"/>
    <n v="270"/>
    <d v="2035-01-08T00:00:00"/>
    <s v=""/>
    <x v="7"/>
    <x v="0"/>
  </r>
  <r>
    <n v="77248533495"/>
    <n v="69"/>
    <d v="2035-01-08T00:00:00"/>
    <s v=""/>
    <x v="7"/>
    <x v="0"/>
  </r>
  <r>
    <n v="36780039477"/>
    <n v="198"/>
    <d v="2035-01-08T00:00:00"/>
    <s v=""/>
    <x v="7"/>
    <x v="0"/>
  </r>
  <r>
    <n v="29041722789"/>
    <n v="319"/>
    <d v="2035-01-08T00:00:00"/>
    <s v=""/>
    <x v="7"/>
    <x v="0"/>
  </r>
  <r>
    <n v="15909144874"/>
    <n v="338"/>
    <d v="2035-01-08T00:00:00"/>
    <s v=""/>
    <x v="7"/>
    <x v="0"/>
  </r>
  <r>
    <n v="94731833101"/>
    <n v="86"/>
    <d v="2035-01-08T00:00:00"/>
    <s v=""/>
    <x v="7"/>
    <x v="0"/>
  </r>
  <r>
    <n v="45731132589"/>
    <n v="265"/>
    <d v="2035-01-08T00:00:00"/>
    <m/>
    <x v="7"/>
    <x v="0"/>
  </r>
  <r>
    <n v="65841967620"/>
    <n v="120"/>
    <d v="2035-01-08T00:00:00"/>
    <s v=""/>
    <x v="7"/>
    <x v="0"/>
  </r>
  <r>
    <n v="58894320037"/>
    <n v="49"/>
    <d v="2035-01-08T00:00:00"/>
    <s v=""/>
    <x v="7"/>
    <x v="0"/>
  </r>
  <r>
    <n v="22446226310"/>
    <n v="322"/>
    <d v="2035-01-08T00:00:00"/>
    <s v=""/>
    <x v="7"/>
    <x v="0"/>
  </r>
  <r>
    <n v="37354372171"/>
    <n v="237"/>
    <d v="2035-01-08T00:00:00"/>
    <m/>
    <x v="7"/>
    <x v="0"/>
  </r>
  <r>
    <n v="67825248327"/>
    <n v="296"/>
    <d v="2035-01-08T00:00:00"/>
    <s v=""/>
    <x v="7"/>
    <x v="0"/>
  </r>
  <r>
    <n v="23082310871"/>
    <n v="67"/>
    <d v="2035-01-08T00:00:00"/>
    <s v=""/>
    <x v="7"/>
    <x v="0"/>
  </r>
  <r>
    <n v="98961414827"/>
    <n v="144"/>
    <d v="2035-01-08T00:00:00"/>
    <d v="2035-01-08T00:00:00"/>
    <x v="7"/>
    <x v="8"/>
  </r>
  <r>
    <n v="85838033234"/>
    <n v="259"/>
    <d v="2035-01-08T00:00:00"/>
    <m/>
    <x v="7"/>
    <x v="0"/>
  </r>
  <r>
    <n v="24964614976"/>
    <n v="125"/>
    <d v="2035-01-09T00:00:00"/>
    <s v=""/>
    <x v="7"/>
    <x v="0"/>
  </r>
  <r>
    <n v="35897779909"/>
    <n v="211"/>
    <d v="2035-01-09T00:00:00"/>
    <s v=""/>
    <x v="7"/>
    <x v="0"/>
  </r>
  <r>
    <n v="22113431680"/>
    <n v="136"/>
    <d v="2035-01-09T00:00:00"/>
    <s v=""/>
    <x v="7"/>
    <x v="0"/>
  </r>
  <r>
    <n v="24360741217"/>
    <n v="64"/>
    <d v="2035-01-09T00:00:00"/>
    <s v=""/>
    <x v="7"/>
    <x v="0"/>
  </r>
  <r>
    <n v="98163548338"/>
    <n v="24"/>
    <d v="2035-01-09T00:00:00"/>
    <s v=""/>
    <x v="7"/>
    <x v="0"/>
  </r>
  <r>
    <n v="78020569308"/>
    <n v="123"/>
    <d v="2035-01-09T00:00:00"/>
    <s v=""/>
    <x v="7"/>
    <x v="0"/>
  </r>
  <r>
    <n v="24502460327"/>
    <n v="105"/>
    <d v="2035-01-09T00:00:00"/>
    <s v=""/>
    <x v="7"/>
    <x v="0"/>
  </r>
  <r>
    <n v="93395862545"/>
    <n v="305"/>
    <d v="2035-01-09T00:00:00"/>
    <s v=""/>
    <x v="7"/>
    <x v="0"/>
  </r>
  <r>
    <n v="22796643217"/>
    <n v="335"/>
    <d v="2035-01-09T00:00:00"/>
    <m/>
    <x v="7"/>
    <x v="0"/>
  </r>
  <r>
    <n v="82529258795"/>
    <n v="39"/>
    <d v="2035-01-09T00:00:00"/>
    <m/>
    <x v="7"/>
    <x v="0"/>
  </r>
  <r>
    <n v="85830252879"/>
    <n v="28"/>
    <d v="2035-01-09T00:00:00"/>
    <s v=""/>
    <x v="7"/>
    <x v="0"/>
  </r>
  <r>
    <n v="35426330054"/>
    <n v="64"/>
    <d v="2035-01-09T00:00:00"/>
    <s v=""/>
    <x v="7"/>
    <x v="0"/>
  </r>
  <r>
    <n v="57147537965"/>
    <n v="277"/>
    <d v="2035-01-09T00:00:00"/>
    <s v=""/>
    <x v="7"/>
    <x v="0"/>
  </r>
  <r>
    <n v="39060591043"/>
    <n v="124"/>
    <d v="2035-01-09T00:00:00"/>
    <s v=""/>
    <x v="7"/>
    <x v="0"/>
  </r>
  <r>
    <n v="61655784939"/>
    <n v="338"/>
    <d v="2035-01-09T00:00:00"/>
    <s v=""/>
    <x v="7"/>
    <x v="0"/>
  </r>
  <r>
    <n v="39444118567"/>
    <n v="216"/>
    <d v="2035-01-09T00:00:00"/>
    <s v=""/>
    <x v="7"/>
    <x v="0"/>
  </r>
  <r>
    <n v="86495227277"/>
    <n v="138"/>
    <d v="2035-01-09T00:00:00"/>
    <s v=""/>
    <x v="7"/>
    <x v="0"/>
  </r>
  <r>
    <n v="67369537853"/>
    <n v="189"/>
    <d v="2035-01-09T00:00:00"/>
    <s v=""/>
    <x v="7"/>
    <x v="0"/>
  </r>
  <r>
    <n v="93240252132"/>
    <n v="67"/>
    <d v="2035-01-09T00:00:00"/>
    <s v=""/>
    <x v="7"/>
    <x v="0"/>
  </r>
  <r>
    <n v="78740244033"/>
    <n v="257"/>
    <d v="2035-01-09T00:00:00"/>
    <s v=""/>
    <x v="7"/>
    <x v="0"/>
  </r>
  <r>
    <n v="62597280062"/>
    <n v="193"/>
    <d v="2035-01-09T00:00:00"/>
    <s v=""/>
    <x v="7"/>
    <x v="0"/>
  </r>
  <r>
    <n v="53998430257"/>
    <n v="277"/>
    <d v="2035-01-09T00:00:00"/>
    <s v=""/>
    <x v="7"/>
    <x v="0"/>
  </r>
  <r>
    <n v="26939723943"/>
    <n v="240"/>
    <d v="2035-01-09T00:00:00"/>
    <s v=""/>
    <x v="7"/>
    <x v="0"/>
  </r>
  <r>
    <n v="68973045617"/>
    <n v="89"/>
    <d v="2035-01-09T00:00:00"/>
    <d v="2035-01-23T00:00:00"/>
    <x v="7"/>
    <x v="8"/>
  </r>
  <r>
    <n v="47777891373"/>
    <n v="6"/>
    <d v="2035-01-09T00:00:00"/>
    <s v=""/>
    <x v="7"/>
    <x v="0"/>
  </r>
  <r>
    <n v="80851378754"/>
    <n v="158"/>
    <d v="2035-01-10T00:00:00"/>
    <s v=""/>
    <x v="7"/>
    <x v="0"/>
  </r>
  <r>
    <n v="72957558664"/>
    <n v="331"/>
    <d v="2035-01-10T00:00:00"/>
    <s v=""/>
    <x v="7"/>
    <x v="0"/>
  </r>
  <r>
    <n v="29535229926"/>
    <n v="43"/>
    <d v="2035-01-10T00:00:00"/>
    <s v=""/>
    <x v="7"/>
    <x v="0"/>
  </r>
  <r>
    <n v="19406389445"/>
    <n v="154"/>
    <d v="2035-01-10T00:00:00"/>
    <s v=""/>
    <x v="7"/>
    <x v="0"/>
  </r>
  <r>
    <n v="99617409345"/>
    <n v="49"/>
    <d v="2035-01-10T00:00:00"/>
    <s v=""/>
    <x v="7"/>
    <x v="0"/>
  </r>
  <r>
    <n v="15302136338"/>
    <n v="14"/>
    <d v="2035-01-10T00:00:00"/>
    <s v=""/>
    <x v="7"/>
    <x v="0"/>
  </r>
  <r>
    <n v="44261688035"/>
    <n v="305"/>
    <d v="2035-01-10T00:00:00"/>
    <s v=""/>
    <x v="7"/>
    <x v="0"/>
  </r>
  <r>
    <n v="86545572257"/>
    <n v="30"/>
    <d v="2035-01-10T00:00:00"/>
    <s v=""/>
    <x v="7"/>
    <x v="0"/>
  </r>
  <r>
    <n v="43261602152"/>
    <n v="210"/>
    <d v="2035-01-10T00:00:00"/>
    <s v=""/>
    <x v="7"/>
    <x v="0"/>
  </r>
  <r>
    <n v="96583195680"/>
    <n v="334"/>
    <d v="2035-01-10T00:00:00"/>
    <s v=""/>
    <x v="7"/>
    <x v="0"/>
  </r>
  <r>
    <n v="63986935786"/>
    <n v="340"/>
    <d v="2035-01-10T00:00:00"/>
    <s v=""/>
    <x v="7"/>
    <x v="0"/>
  </r>
  <r>
    <n v="76396310893"/>
    <n v="261"/>
    <d v="2035-01-10T00:00:00"/>
    <s v=""/>
    <x v="7"/>
    <x v="0"/>
  </r>
  <r>
    <n v="29158359632"/>
    <n v="213"/>
    <d v="2035-01-10T00:00:00"/>
    <s v=""/>
    <x v="7"/>
    <x v="0"/>
  </r>
  <r>
    <n v="44870403866"/>
    <n v="316"/>
    <d v="2035-01-10T00:00:00"/>
    <d v="2035-01-27T00:00:00"/>
    <x v="7"/>
    <x v="8"/>
  </r>
  <r>
    <n v="57154721272"/>
    <n v="263"/>
    <d v="2035-01-10T00:00:00"/>
    <m/>
    <x v="7"/>
    <x v="0"/>
  </r>
  <r>
    <n v="56902793367"/>
    <n v="14"/>
    <d v="2035-01-10T00:00:00"/>
    <s v=""/>
    <x v="7"/>
    <x v="0"/>
  </r>
  <r>
    <n v="47684069538"/>
    <n v="284"/>
    <d v="2035-01-10T00:00:00"/>
    <s v=""/>
    <x v="7"/>
    <x v="0"/>
  </r>
  <r>
    <n v="49043916516"/>
    <n v="231"/>
    <d v="2035-01-10T00:00:00"/>
    <s v=""/>
    <x v="7"/>
    <x v="0"/>
  </r>
  <r>
    <n v="50427154368"/>
    <n v="314"/>
    <d v="2035-01-10T00:00:00"/>
    <s v=""/>
    <x v="7"/>
    <x v="0"/>
  </r>
  <r>
    <n v="83111020845"/>
    <n v="177"/>
    <d v="2035-01-10T00:00:00"/>
    <s v=""/>
    <x v="7"/>
    <x v="0"/>
  </r>
  <r>
    <n v="70370605154"/>
    <n v="328"/>
    <d v="2035-01-10T00:00:00"/>
    <m/>
    <x v="7"/>
    <x v="0"/>
  </r>
  <r>
    <n v="59984431018"/>
    <n v="196"/>
    <d v="2035-01-11T00:00:00"/>
    <m/>
    <x v="7"/>
    <x v="0"/>
  </r>
  <r>
    <n v="89340887170"/>
    <n v="312"/>
    <d v="2035-01-11T00:00:00"/>
    <s v=""/>
    <x v="7"/>
    <x v="0"/>
  </r>
  <r>
    <n v="73393616632"/>
    <n v="171"/>
    <d v="2035-01-11T00:00:00"/>
    <s v=""/>
    <x v="7"/>
    <x v="0"/>
  </r>
  <r>
    <n v="97295131696"/>
    <n v="41"/>
    <d v="2035-01-11T00:00:00"/>
    <s v=""/>
    <x v="7"/>
    <x v="0"/>
  </r>
  <r>
    <n v="22606095129"/>
    <n v="32"/>
    <d v="2035-01-11T00:00:00"/>
    <s v=""/>
    <x v="7"/>
    <x v="0"/>
  </r>
  <r>
    <n v="69176227960"/>
    <n v="314"/>
    <d v="2035-01-11T00:00:00"/>
    <d v="2035-01-30T00:00:00"/>
    <x v="7"/>
    <x v="8"/>
  </r>
  <r>
    <n v="58206209369"/>
    <n v="337"/>
    <d v="2035-01-11T00:00:00"/>
    <s v=""/>
    <x v="7"/>
    <x v="0"/>
  </r>
  <r>
    <n v="70953792189"/>
    <n v="212"/>
    <d v="2035-01-11T00:00:00"/>
    <m/>
    <x v="7"/>
    <x v="0"/>
  </r>
  <r>
    <n v="24714586798"/>
    <n v="295"/>
    <d v="2035-01-11T00:00:00"/>
    <s v=""/>
    <x v="7"/>
    <x v="0"/>
  </r>
  <r>
    <n v="44438288956"/>
    <n v="157"/>
    <d v="2035-01-11T00:00:00"/>
    <d v="2035-01-26T00:00:00"/>
    <x v="7"/>
    <x v="8"/>
  </r>
  <r>
    <n v="40167412481"/>
    <n v="257"/>
    <d v="2035-01-11T00:00:00"/>
    <m/>
    <x v="7"/>
    <x v="0"/>
  </r>
  <r>
    <n v="50614784568"/>
    <n v="338"/>
    <d v="2035-01-11T00:00:00"/>
    <s v=""/>
    <x v="7"/>
    <x v="0"/>
  </r>
  <r>
    <n v="13597471081"/>
    <n v="203"/>
    <d v="2035-01-11T00:00:00"/>
    <s v=""/>
    <x v="7"/>
    <x v="0"/>
  </r>
  <r>
    <n v="38681594116"/>
    <n v="127"/>
    <d v="2035-01-11T00:00:00"/>
    <d v="2035-01-22T00:00:00"/>
    <x v="7"/>
    <x v="8"/>
  </r>
  <r>
    <n v="19987346660"/>
    <n v="167"/>
    <d v="2035-01-11T00:00:00"/>
    <s v=""/>
    <x v="7"/>
    <x v="0"/>
  </r>
  <r>
    <n v="86401255194"/>
    <n v="152"/>
    <d v="2035-01-11T00:00:00"/>
    <s v=""/>
    <x v="7"/>
    <x v="0"/>
  </r>
  <r>
    <n v="33241276178"/>
    <n v="219"/>
    <d v="2035-01-11T00:00:00"/>
    <s v=""/>
    <x v="7"/>
    <x v="0"/>
  </r>
  <r>
    <n v="19323252063"/>
    <n v="257"/>
    <d v="2035-01-11T00:00:00"/>
    <s v=""/>
    <x v="7"/>
    <x v="0"/>
  </r>
  <r>
    <n v="86515200659"/>
    <n v="92"/>
    <d v="2035-01-11T00:00:00"/>
    <m/>
    <x v="7"/>
    <x v="0"/>
  </r>
  <r>
    <n v="64404234918"/>
    <n v="38"/>
    <d v="2035-01-12T00:00:00"/>
    <m/>
    <x v="7"/>
    <x v="0"/>
  </r>
  <r>
    <n v="95066568890"/>
    <n v="187"/>
    <d v="2035-01-12T00:00:00"/>
    <s v=""/>
    <x v="7"/>
    <x v="0"/>
  </r>
  <r>
    <n v="86106463597"/>
    <n v="145"/>
    <d v="2035-01-12T00:00:00"/>
    <s v=""/>
    <x v="7"/>
    <x v="0"/>
  </r>
  <r>
    <n v="53641013533"/>
    <n v="198"/>
    <d v="2035-01-12T00:00:00"/>
    <m/>
    <x v="7"/>
    <x v="0"/>
  </r>
  <r>
    <n v="55028770059"/>
    <n v="331"/>
    <d v="2035-01-12T00:00:00"/>
    <s v=""/>
    <x v="7"/>
    <x v="0"/>
  </r>
  <r>
    <n v="98589974640"/>
    <n v="327"/>
    <d v="2035-01-12T00:00:00"/>
    <s v=""/>
    <x v="7"/>
    <x v="0"/>
  </r>
  <r>
    <n v="12698044310"/>
    <n v="238"/>
    <d v="2035-01-12T00:00:00"/>
    <s v=""/>
    <x v="7"/>
    <x v="0"/>
  </r>
  <r>
    <n v="18334001662"/>
    <n v="17"/>
    <d v="2035-01-12T00:00:00"/>
    <s v=""/>
    <x v="7"/>
    <x v="0"/>
  </r>
  <r>
    <n v="75388219707"/>
    <n v="145"/>
    <d v="2035-01-12T00:00:00"/>
    <m/>
    <x v="7"/>
    <x v="0"/>
  </r>
  <r>
    <n v="36491850606"/>
    <n v="244"/>
    <d v="2035-01-12T00:00:00"/>
    <m/>
    <x v="7"/>
    <x v="0"/>
  </r>
  <r>
    <n v="94081571973"/>
    <n v="107"/>
    <d v="2035-01-12T00:00:00"/>
    <s v=""/>
    <x v="7"/>
    <x v="0"/>
  </r>
  <r>
    <n v="44122108562"/>
    <n v="303"/>
    <d v="2035-01-12T00:00:00"/>
    <m/>
    <x v="7"/>
    <x v="0"/>
  </r>
  <r>
    <n v="78899709521"/>
    <n v="275"/>
    <d v="2035-01-12T00:00:00"/>
    <s v=""/>
    <x v="7"/>
    <x v="0"/>
  </r>
  <r>
    <n v="92967442807"/>
    <n v="198"/>
    <d v="2035-01-12T00:00:00"/>
    <s v=""/>
    <x v="7"/>
    <x v="0"/>
  </r>
  <r>
    <n v="96674318189"/>
    <n v="293"/>
    <d v="2035-01-12T00:00:00"/>
    <s v=""/>
    <x v="7"/>
    <x v="0"/>
  </r>
  <r>
    <n v="37718569765"/>
    <n v="111"/>
    <d v="2035-01-12T00:00:00"/>
    <s v=""/>
    <x v="7"/>
    <x v="0"/>
  </r>
  <r>
    <n v="31449175874"/>
    <n v="339"/>
    <d v="2035-01-12T00:00:00"/>
    <d v="2035-01-28T00:00:00"/>
    <x v="7"/>
    <x v="8"/>
  </r>
  <r>
    <n v="45174436039"/>
    <n v="79"/>
    <d v="2035-01-12T00:00:00"/>
    <s v=""/>
    <x v="7"/>
    <x v="0"/>
  </r>
  <r>
    <n v="32789811584"/>
    <n v="233"/>
    <d v="2035-01-12T00:00:00"/>
    <m/>
    <x v="7"/>
    <x v="0"/>
  </r>
  <r>
    <n v="94045411878"/>
    <n v="336"/>
    <d v="2035-01-12T00:00:00"/>
    <s v=""/>
    <x v="7"/>
    <x v="0"/>
  </r>
  <r>
    <n v="76969902542"/>
    <n v="238"/>
    <d v="2035-01-12T00:00:00"/>
    <m/>
    <x v="7"/>
    <x v="0"/>
  </r>
  <r>
    <n v="92640428871"/>
    <n v="230"/>
    <d v="2035-01-12T00:00:00"/>
    <d v="2035-01-14T00:00:00"/>
    <x v="7"/>
    <x v="8"/>
  </r>
  <r>
    <n v="75676911446"/>
    <n v="127"/>
    <d v="2035-01-12T00:00:00"/>
    <m/>
    <x v="7"/>
    <x v="0"/>
  </r>
  <r>
    <n v="98416497228"/>
    <n v="304"/>
    <d v="2035-01-12T00:00:00"/>
    <s v=""/>
    <x v="7"/>
    <x v="0"/>
  </r>
  <r>
    <n v="62420483058"/>
    <n v="16"/>
    <d v="2035-01-12T00:00:00"/>
    <s v=""/>
    <x v="7"/>
    <x v="0"/>
  </r>
  <r>
    <n v="58194270783"/>
    <n v="145"/>
    <d v="2035-01-12T00:00:00"/>
    <m/>
    <x v="7"/>
    <x v="0"/>
  </r>
  <r>
    <n v="41934001702"/>
    <n v="146"/>
    <d v="2035-01-13T00:00:00"/>
    <s v=""/>
    <x v="7"/>
    <x v="0"/>
  </r>
  <r>
    <n v="59537963565"/>
    <n v="170"/>
    <d v="2035-01-13T00:00:00"/>
    <s v=""/>
    <x v="7"/>
    <x v="0"/>
  </r>
  <r>
    <n v="45180077457"/>
    <n v="322"/>
    <d v="2035-01-13T00:00:00"/>
    <m/>
    <x v="7"/>
    <x v="0"/>
  </r>
  <r>
    <n v="49431797102"/>
    <n v="11"/>
    <d v="2035-01-13T00:00:00"/>
    <d v="2035-01-22T00:00:00"/>
    <x v="7"/>
    <x v="8"/>
  </r>
  <r>
    <n v="64709040475"/>
    <n v="53"/>
    <d v="2035-01-13T00:00:00"/>
    <s v=""/>
    <x v="7"/>
    <x v="0"/>
  </r>
  <r>
    <n v="95043563988"/>
    <n v="23"/>
    <d v="2035-01-13T00:00:00"/>
    <m/>
    <x v="7"/>
    <x v="0"/>
  </r>
  <r>
    <n v="23625511191"/>
    <n v="148"/>
    <d v="2035-01-13T00:00:00"/>
    <s v=""/>
    <x v="7"/>
    <x v="0"/>
  </r>
  <r>
    <n v="21001233183"/>
    <n v="260"/>
    <d v="2035-01-13T00:00:00"/>
    <s v=""/>
    <x v="7"/>
    <x v="0"/>
  </r>
  <r>
    <n v="43453903691"/>
    <n v="214"/>
    <d v="2035-01-13T00:00:00"/>
    <s v=""/>
    <x v="7"/>
    <x v="0"/>
  </r>
  <r>
    <n v="25503006208"/>
    <n v="243"/>
    <d v="2035-01-13T00:00:00"/>
    <m/>
    <x v="7"/>
    <x v="0"/>
  </r>
  <r>
    <n v="56325300366"/>
    <n v="230"/>
    <d v="2035-01-13T00:00:00"/>
    <s v=""/>
    <x v="7"/>
    <x v="0"/>
  </r>
  <r>
    <n v="58378699915"/>
    <n v="220"/>
    <d v="2035-01-13T00:00:00"/>
    <s v=""/>
    <x v="7"/>
    <x v="0"/>
  </r>
  <r>
    <n v="83395101033"/>
    <n v="3"/>
    <d v="2035-01-13T00:00:00"/>
    <s v=""/>
    <x v="7"/>
    <x v="0"/>
  </r>
  <r>
    <n v="28866774913"/>
    <n v="281"/>
    <d v="2035-01-13T00:00:00"/>
    <s v=""/>
    <x v="7"/>
    <x v="0"/>
  </r>
  <r>
    <n v="78235145045"/>
    <n v="239"/>
    <d v="2035-01-13T00:00:00"/>
    <s v=""/>
    <x v="7"/>
    <x v="0"/>
  </r>
  <r>
    <n v="35843832460"/>
    <n v="312"/>
    <d v="2035-01-13T00:00:00"/>
    <s v=""/>
    <x v="7"/>
    <x v="0"/>
  </r>
  <r>
    <n v="44662359635"/>
    <n v="110"/>
    <d v="2035-01-13T00:00:00"/>
    <s v=""/>
    <x v="7"/>
    <x v="0"/>
  </r>
  <r>
    <n v="22469748467"/>
    <n v="340"/>
    <d v="2035-01-13T00:00:00"/>
    <s v=""/>
    <x v="7"/>
    <x v="0"/>
  </r>
  <r>
    <n v="66446956809"/>
    <n v="318"/>
    <d v="2035-01-13T00:00:00"/>
    <m/>
    <x v="7"/>
    <x v="0"/>
  </r>
  <r>
    <n v="89301805986"/>
    <n v="23"/>
    <d v="2035-01-13T00:00:00"/>
    <s v=""/>
    <x v="7"/>
    <x v="0"/>
  </r>
  <r>
    <n v="45302700531"/>
    <n v="71"/>
    <d v="2035-01-13T00:00:00"/>
    <s v=""/>
    <x v="7"/>
    <x v="0"/>
  </r>
  <r>
    <n v="68717609469"/>
    <n v="128"/>
    <d v="2035-01-13T00:00:00"/>
    <m/>
    <x v="7"/>
    <x v="0"/>
  </r>
  <r>
    <n v="20771839329"/>
    <n v="193"/>
    <d v="2035-01-13T00:00:00"/>
    <s v=""/>
    <x v="7"/>
    <x v="0"/>
  </r>
  <r>
    <n v="54817849209"/>
    <n v="132"/>
    <d v="2035-01-13T00:00:00"/>
    <s v=""/>
    <x v="7"/>
    <x v="0"/>
  </r>
  <r>
    <n v="20682435776"/>
    <n v="234"/>
    <d v="2035-01-13T00:00:00"/>
    <s v=""/>
    <x v="7"/>
    <x v="0"/>
  </r>
  <r>
    <n v="66697260861"/>
    <n v="137"/>
    <d v="2035-01-13T00:00:00"/>
    <s v=""/>
    <x v="7"/>
    <x v="0"/>
  </r>
  <r>
    <n v="85903560712"/>
    <n v="303"/>
    <d v="2035-01-13T00:00:00"/>
    <s v=""/>
    <x v="7"/>
    <x v="0"/>
  </r>
  <r>
    <n v="39752572492"/>
    <n v="327"/>
    <d v="2035-01-13T00:00:00"/>
    <s v=""/>
    <x v="7"/>
    <x v="0"/>
  </r>
  <r>
    <n v="14145036187"/>
    <n v="50"/>
    <d v="2035-01-13T00:00:00"/>
    <s v=""/>
    <x v="7"/>
    <x v="0"/>
  </r>
  <r>
    <n v="33236654140"/>
    <n v="10"/>
    <d v="2035-01-13T00:00:00"/>
    <s v=""/>
    <x v="7"/>
    <x v="0"/>
  </r>
  <r>
    <n v="34943301697"/>
    <n v="7"/>
    <d v="2035-01-14T00:00:00"/>
    <s v=""/>
    <x v="7"/>
    <x v="0"/>
  </r>
  <r>
    <n v="68208507985"/>
    <n v="22"/>
    <d v="2035-01-14T00:00:00"/>
    <s v=""/>
    <x v="7"/>
    <x v="0"/>
  </r>
  <r>
    <n v="40830036420"/>
    <n v="76"/>
    <d v="2035-01-14T00:00:00"/>
    <s v=""/>
    <x v="7"/>
    <x v="0"/>
  </r>
  <r>
    <n v="19521445941"/>
    <n v="131"/>
    <d v="2035-01-14T00:00:00"/>
    <s v=""/>
    <x v="7"/>
    <x v="0"/>
  </r>
  <r>
    <n v="89596794201"/>
    <n v="127"/>
    <d v="2035-01-14T00:00:00"/>
    <s v=""/>
    <x v="7"/>
    <x v="0"/>
  </r>
  <r>
    <n v="97804466623"/>
    <n v="50"/>
    <d v="2035-01-14T00:00:00"/>
    <s v=""/>
    <x v="7"/>
    <x v="0"/>
  </r>
  <r>
    <n v="50238403010"/>
    <n v="58"/>
    <d v="2035-01-14T00:00:00"/>
    <s v=""/>
    <x v="7"/>
    <x v="0"/>
  </r>
  <r>
    <n v="23332268975"/>
    <n v="11"/>
    <d v="2035-01-14T00:00:00"/>
    <m/>
    <x v="7"/>
    <x v="0"/>
  </r>
  <r>
    <n v="63450115197"/>
    <n v="30"/>
    <d v="2035-01-14T00:00:00"/>
    <s v=""/>
    <x v="7"/>
    <x v="0"/>
  </r>
  <r>
    <n v="46360949369"/>
    <n v="41"/>
    <d v="2035-01-14T00:00:00"/>
    <s v=""/>
    <x v="7"/>
    <x v="0"/>
  </r>
  <r>
    <n v="83164148927"/>
    <n v="41"/>
    <d v="2035-01-14T00:00:00"/>
    <s v=""/>
    <x v="7"/>
    <x v="0"/>
  </r>
  <r>
    <n v="57652341175"/>
    <n v="163"/>
    <d v="2035-01-14T00:00:00"/>
    <s v=""/>
    <x v="7"/>
    <x v="0"/>
  </r>
  <r>
    <n v="78404943719"/>
    <n v="332"/>
    <d v="2035-01-14T00:00:00"/>
    <s v=""/>
    <x v="7"/>
    <x v="0"/>
  </r>
  <r>
    <n v="83731768970"/>
    <n v="230"/>
    <d v="2035-01-14T00:00:00"/>
    <s v=""/>
    <x v="7"/>
    <x v="0"/>
  </r>
  <r>
    <n v="37651146954"/>
    <n v="316"/>
    <d v="2035-01-14T00:00:00"/>
    <s v=""/>
    <x v="7"/>
    <x v="0"/>
  </r>
  <r>
    <n v="76850543794"/>
    <n v="272"/>
    <d v="2035-01-14T00:00:00"/>
    <s v=""/>
    <x v="7"/>
    <x v="0"/>
  </r>
  <r>
    <n v="87434160502"/>
    <n v="6"/>
    <d v="2035-01-14T00:00:00"/>
    <s v=""/>
    <x v="7"/>
    <x v="0"/>
  </r>
  <r>
    <n v="56988358719"/>
    <n v="90"/>
    <d v="2035-01-14T00:00:00"/>
    <s v=""/>
    <x v="7"/>
    <x v="0"/>
  </r>
  <r>
    <n v="46597726118"/>
    <n v="291"/>
    <d v="2035-01-14T00:00:00"/>
    <m/>
    <x v="7"/>
    <x v="0"/>
  </r>
  <r>
    <n v="63141666552"/>
    <n v="272"/>
    <d v="2035-01-14T00:00:00"/>
    <s v=""/>
    <x v="7"/>
    <x v="0"/>
  </r>
  <r>
    <n v="92506895567"/>
    <n v="288"/>
    <d v="2035-01-14T00:00:00"/>
    <m/>
    <x v="7"/>
    <x v="0"/>
  </r>
  <r>
    <n v="54108657633"/>
    <n v="156"/>
    <d v="2035-01-14T00:00:00"/>
    <s v=""/>
    <x v="7"/>
    <x v="0"/>
  </r>
  <r>
    <n v="47643809143"/>
    <n v="200"/>
    <d v="2035-01-14T00:00:00"/>
    <s v=""/>
    <x v="7"/>
    <x v="0"/>
  </r>
  <r>
    <n v="94338469244"/>
    <n v="58"/>
    <d v="2035-01-15T00:00:00"/>
    <s v=""/>
    <x v="7"/>
    <x v="0"/>
  </r>
  <r>
    <n v="88701272799"/>
    <n v="108"/>
    <d v="2035-01-15T00:00:00"/>
    <s v=""/>
    <x v="7"/>
    <x v="0"/>
  </r>
  <r>
    <n v="71559890779"/>
    <n v="188"/>
    <d v="2035-01-15T00:00:00"/>
    <s v=""/>
    <x v="7"/>
    <x v="0"/>
  </r>
  <r>
    <n v="49015829668"/>
    <n v="211"/>
    <d v="2035-01-15T00:00:00"/>
    <s v=""/>
    <x v="7"/>
    <x v="0"/>
  </r>
  <r>
    <n v="65460352286"/>
    <n v="231"/>
    <d v="2035-01-15T00:00:00"/>
    <s v=""/>
    <x v="7"/>
    <x v="0"/>
  </r>
  <r>
    <n v="97524585337"/>
    <n v="336"/>
    <d v="2035-01-15T00:00:00"/>
    <s v=""/>
    <x v="7"/>
    <x v="0"/>
  </r>
  <r>
    <n v="78569561600"/>
    <n v="1"/>
    <d v="2035-01-15T00:00:00"/>
    <s v=""/>
    <x v="7"/>
    <x v="0"/>
  </r>
  <r>
    <n v="78876325784"/>
    <n v="82"/>
    <d v="2035-01-15T00:00:00"/>
    <s v=""/>
    <x v="7"/>
    <x v="0"/>
  </r>
  <r>
    <n v="88034157502"/>
    <n v="31"/>
    <d v="2035-01-15T00:00:00"/>
    <s v=""/>
    <x v="7"/>
    <x v="0"/>
  </r>
  <r>
    <n v="24049143876"/>
    <n v="65"/>
    <d v="2035-01-15T00:00:00"/>
    <s v=""/>
    <x v="7"/>
    <x v="0"/>
  </r>
  <r>
    <n v="78827326838"/>
    <n v="257"/>
    <d v="2035-01-15T00:00:00"/>
    <s v=""/>
    <x v="7"/>
    <x v="0"/>
  </r>
  <r>
    <n v="36994155650"/>
    <n v="268"/>
    <d v="2035-01-15T00:00:00"/>
    <s v=""/>
    <x v="7"/>
    <x v="0"/>
  </r>
  <r>
    <n v="87088367298"/>
    <n v="108"/>
    <d v="2035-01-15T00:00:00"/>
    <s v=""/>
    <x v="7"/>
    <x v="0"/>
  </r>
  <r>
    <n v="82896280181"/>
    <n v="308"/>
    <d v="2035-01-15T00:00:00"/>
    <s v=""/>
    <x v="7"/>
    <x v="0"/>
  </r>
  <r>
    <n v="68758227288"/>
    <n v="183"/>
    <d v="2035-01-15T00:00:00"/>
    <s v=""/>
    <x v="7"/>
    <x v="0"/>
  </r>
  <r>
    <n v="45943068349"/>
    <n v="164"/>
    <d v="2035-01-15T00:00:00"/>
    <s v=""/>
    <x v="7"/>
    <x v="0"/>
  </r>
  <r>
    <n v="75905797565"/>
    <n v="18"/>
    <d v="2035-01-15T00:00:00"/>
    <s v=""/>
    <x v="7"/>
    <x v="0"/>
  </r>
  <r>
    <n v="97935798316"/>
    <n v="42"/>
    <d v="2035-01-15T00:00:00"/>
    <s v=""/>
    <x v="7"/>
    <x v="0"/>
  </r>
  <r>
    <n v="89624365610"/>
    <n v="308"/>
    <d v="2035-01-15T00:00:00"/>
    <m/>
    <x v="7"/>
    <x v="0"/>
  </r>
  <r>
    <n v="29557882029"/>
    <n v="79"/>
    <d v="2035-01-15T00:00:00"/>
    <s v=""/>
    <x v="7"/>
    <x v="0"/>
  </r>
  <r>
    <n v="85267166034"/>
    <n v="223"/>
    <d v="2035-01-15T00:00:00"/>
    <s v=""/>
    <x v="7"/>
    <x v="0"/>
  </r>
  <r>
    <n v="15301365750"/>
    <n v="228"/>
    <d v="2035-01-15T00:00:00"/>
    <s v=""/>
    <x v="7"/>
    <x v="0"/>
  </r>
  <r>
    <n v="32342249891"/>
    <n v="102"/>
    <d v="2035-01-15T00:00:00"/>
    <m/>
    <x v="7"/>
    <x v="0"/>
  </r>
  <r>
    <n v="88975536510"/>
    <n v="276"/>
    <d v="2035-01-15T00:00:00"/>
    <m/>
    <x v="7"/>
    <x v="0"/>
  </r>
  <r>
    <n v="23987759739"/>
    <n v="120"/>
    <d v="2035-01-15T00:00:00"/>
    <m/>
    <x v="7"/>
    <x v="0"/>
  </r>
  <r>
    <n v="34826249894"/>
    <n v="157"/>
    <d v="2035-01-15T00:00:00"/>
    <s v=""/>
    <x v="7"/>
    <x v="0"/>
  </r>
  <r>
    <n v="39418387636"/>
    <n v="133"/>
    <d v="2035-01-15T00:00:00"/>
    <s v=""/>
    <x v="7"/>
    <x v="0"/>
  </r>
  <r>
    <n v="58487850122"/>
    <n v="173"/>
    <d v="2035-01-15T00:00:00"/>
    <s v=""/>
    <x v="7"/>
    <x v="0"/>
  </r>
  <r>
    <n v="77136661099"/>
    <n v="269"/>
    <d v="2035-01-15T00:00:00"/>
    <m/>
    <x v="7"/>
    <x v="0"/>
  </r>
  <r>
    <n v="81941986496"/>
    <n v="204"/>
    <d v="2035-01-15T00:00:00"/>
    <s v=""/>
    <x v="7"/>
    <x v="0"/>
  </r>
  <r>
    <n v="14496943949"/>
    <n v="34"/>
    <d v="2035-01-15T00:00:00"/>
    <s v=""/>
    <x v="7"/>
    <x v="0"/>
  </r>
  <r>
    <n v="65896417746"/>
    <n v="237"/>
    <d v="2035-01-16T00:00:00"/>
    <m/>
    <x v="7"/>
    <x v="0"/>
  </r>
  <r>
    <n v="17678325091"/>
    <n v="220"/>
    <d v="2035-01-16T00:00:00"/>
    <s v=""/>
    <x v="7"/>
    <x v="0"/>
  </r>
  <r>
    <n v="29816670240"/>
    <n v="298"/>
    <d v="2035-01-16T00:00:00"/>
    <s v=""/>
    <x v="7"/>
    <x v="0"/>
  </r>
  <r>
    <n v="56676954020"/>
    <n v="217"/>
    <d v="2035-01-16T00:00:00"/>
    <m/>
    <x v="7"/>
    <x v="0"/>
  </r>
  <r>
    <n v="78575532331"/>
    <n v="203"/>
    <d v="2035-01-16T00:00:00"/>
    <s v=""/>
    <x v="7"/>
    <x v="0"/>
  </r>
  <r>
    <n v="47005958770"/>
    <n v="303"/>
    <d v="2035-01-16T00:00:00"/>
    <m/>
    <x v="7"/>
    <x v="0"/>
  </r>
  <r>
    <n v="21865815641"/>
    <n v="147"/>
    <d v="2035-01-16T00:00:00"/>
    <m/>
    <x v="7"/>
    <x v="0"/>
  </r>
  <r>
    <n v="96468165635"/>
    <n v="63"/>
    <d v="2035-01-16T00:00:00"/>
    <s v=""/>
    <x v="7"/>
    <x v="0"/>
  </r>
  <r>
    <n v="92436719580"/>
    <n v="2"/>
    <d v="2035-01-16T00:00:00"/>
    <s v=""/>
    <x v="7"/>
    <x v="0"/>
  </r>
  <r>
    <n v="89493150612"/>
    <n v="117"/>
    <d v="2035-01-16T00:00:00"/>
    <m/>
    <x v="7"/>
    <x v="0"/>
  </r>
  <r>
    <n v="76588905220"/>
    <n v="18"/>
    <d v="2035-01-16T00:00:00"/>
    <s v=""/>
    <x v="7"/>
    <x v="0"/>
  </r>
  <r>
    <n v="17141339993"/>
    <n v="162"/>
    <d v="2035-01-16T00:00:00"/>
    <m/>
    <x v="7"/>
    <x v="0"/>
  </r>
  <r>
    <n v="75736876299"/>
    <n v="219"/>
    <d v="2035-01-16T00:00:00"/>
    <s v=""/>
    <x v="7"/>
    <x v="0"/>
  </r>
  <r>
    <n v="26958470292"/>
    <n v="107"/>
    <d v="2035-01-16T00:00:00"/>
    <s v=""/>
    <x v="7"/>
    <x v="0"/>
  </r>
  <r>
    <n v="42736240456"/>
    <n v="22"/>
    <d v="2035-01-16T00:00:00"/>
    <s v=""/>
    <x v="7"/>
    <x v="0"/>
  </r>
  <r>
    <n v="18145993967"/>
    <n v="234"/>
    <d v="2035-01-16T00:00:00"/>
    <s v=""/>
    <x v="7"/>
    <x v="0"/>
  </r>
  <r>
    <n v="49515984777"/>
    <n v="246"/>
    <d v="2035-01-16T00:00:00"/>
    <m/>
    <x v="7"/>
    <x v="0"/>
  </r>
  <r>
    <n v="65211514650"/>
    <n v="246"/>
    <d v="2035-01-16T00:00:00"/>
    <s v=""/>
    <x v="7"/>
    <x v="0"/>
  </r>
  <r>
    <n v="66568684536"/>
    <n v="338"/>
    <d v="2035-01-16T00:00:00"/>
    <m/>
    <x v="7"/>
    <x v="0"/>
  </r>
  <r>
    <n v="95970389724"/>
    <n v="183"/>
    <d v="2035-01-16T00:00:00"/>
    <s v=""/>
    <x v="7"/>
    <x v="0"/>
  </r>
  <r>
    <n v="30753981201"/>
    <n v="86"/>
    <d v="2035-01-16T00:00:00"/>
    <s v=""/>
    <x v="7"/>
    <x v="0"/>
  </r>
  <r>
    <n v="57595692390"/>
    <n v="14"/>
    <d v="2035-01-16T00:00:00"/>
    <m/>
    <x v="7"/>
    <x v="0"/>
  </r>
  <r>
    <n v="69743382516"/>
    <n v="135"/>
    <d v="2035-01-16T00:00:00"/>
    <s v=""/>
    <x v="7"/>
    <x v="0"/>
  </r>
  <r>
    <n v="83509530061"/>
    <n v="166"/>
    <d v="2035-01-16T00:00:00"/>
    <m/>
    <x v="7"/>
    <x v="0"/>
  </r>
  <r>
    <n v="86083150295"/>
    <n v="134"/>
    <d v="2035-01-16T00:00:00"/>
    <s v=""/>
    <x v="7"/>
    <x v="0"/>
  </r>
  <r>
    <n v="21358094870"/>
    <n v="52"/>
    <d v="2035-01-16T00:00:00"/>
    <s v=""/>
    <x v="7"/>
    <x v="0"/>
  </r>
  <r>
    <n v="50334711560"/>
    <n v="13"/>
    <d v="2035-01-16T00:00:00"/>
    <s v=""/>
    <x v="7"/>
    <x v="0"/>
  </r>
  <r>
    <n v="24575321781"/>
    <n v="112"/>
    <d v="2035-01-17T00:00:00"/>
    <s v=""/>
    <x v="7"/>
    <x v="0"/>
  </r>
  <r>
    <n v="86298620493"/>
    <n v="152"/>
    <d v="2035-01-17T00:00:00"/>
    <s v=""/>
    <x v="7"/>
    <x v="0"/>
  </r>
  <r>
    <n v="36137206443"/>
    <n v="131"/>
    <d v="2035-01-17T00:00:00"/>
    <s v=""/>
    <x v="7"/>
    <x v="0"/>
  </r>
  <r>
    <n v="45282056172"/>
    <n v="104"/>
    <d v="2035-01-17T00:00:00"/>
    <s v=""/>
    <x v="7"/>
    <x v="0"/>
  </r>
  <r>
    <n v="41077303517"/>
    <n v="151"/>
    <d v="2035-01-17T00:00:00"/>
    <s v=""/>
    <x v="7"/>
    <x v="0"/>
  </r>
  <r>
    <n v="65686104130"/>
    <n v="166"/>
    <d v="2035-01-17T00:00:00"/>
    <s v=""/>
    <x v="7"/>
    <x v="0"/>
  </r>
  <r>
    <n v="66186040995"/>
    <n v="143"/>
    <d v="2035-01-17T00:00:00"/>
    <m/>
    <x v="7"/>
    <x v="0"/>
  </r>
  <r>
    <n v="98232404143"/>
    <n v="273"/>
    <d v="2035-01-17T00:00:00"/>
    <s v=""/>
    <x v="7"/>
    <x v="0"/>
  </r>
  <r>
    <n v="19200770096"/>
    <n v="248"/>
    <d v="2035-01-17T00:00:00"/>
    <s v=""/>
    <x v="7"/>
    <x v="0"/>
  </r>
  <r>
    <n v="20308267948"/>
    <n v="274"/>
    <d v="2035-01-17T00:00:00"/>
    <s v=""/>
    <x v="7"/>
    <x v="0"/>
  </r>
  <r>
    <n v="53190040918"/>
    <n v="340"/>
    <d v="2035-01-17T00:00:00"/>
    <s v=""/>
    <x v="7"/>
    <x v="0"/>
  </r>
  <r>
    <n v="20825917535"/>
    <n v="4"/>
    <d v="2035-01-17T00:00:00"/>
    <s v=""/>
    <x v="7"/>
    <x v="0"/>
  </r>
  <r>
    <n v="64518176370"/>
    <n v="148"/>
    <d v="2035-01-17T00:00:00"/>
    <s v=""/>
    <x v="7"/>
    <x v="0"/>
  </r>
  <r>
    <n v="47996959689"/>
    <n v="324"/>
    <d v="2035-01-17T00:00:00"/>
    <s v=""/>
    <x v="7"/>
    <x v="0"/>
  </r>
  <r>
    <n v="96979749738"/>
    <n v="13"/>
    <d v="2035-01-17T00:00:00"/>
    <s v=""/>
    <x v="7"/>
    <x v="0"/>
  </r>
  <r>
    <n v="33459426555"/>
    <n v="142"/>
    <d v="2035-01-17T00:00:00"/>
    <s v=""/>
    <x v="7"/>
    <x v="0"/>
  </r>
  <r>
    <n v="20575546781"/>
    <n v="161"/>
    <d v="2035-01-17T00:00:00"/>
    <s v=""/>
    <x v="7"/>
    <x v="0"/>
  </r>
  <r>
    <n v="57568684273"/>
    <n v="116"/>
    <d v="2035-01-18T00:00:00"/>
    <s v=""/>
    <x v="7"/>
    <x v="0"/>
  </r>
  <r>
    <n v="41258857622"/>
    <n v="224"/>
    <d v="2035-01-18T00:00:00"/>
    <s v=""/>
    <x v="7"/>
    <x v="0"/>
  </r>
  <r>
    <n v="53551901177"/>
    <n v="198"/>
    <d v="2035-01-18T00:00:00"/>
    <s v=""/>
    <x v="7"/>
    <x v="0"/>
  </r>
  <r>
    <n v="27892593023"/>
    <n v="327"/>
    <d v="2035-01-18T00:00:00"/>
    <d v="2035-01-18T00:00:00"/>
    <x v="7"/>
    <x v="8"/>
  </r>
  <r>
    <n v="19233565404"/>
    <n v="98"/>
    <d v="2035-01-18T00:00:00"/>
    <s v=""/>
    <x v="7"/>
    <x v="0"/>
  </r>
  <r>
    <n v="18458126787"/>
    <n v="225"/>
    <d v="2035-01-18T00:00:00"/>
    <m/>
    <x v="7"/>
    <x v="0"/>
  </r>
  <r>
    <n v="33926434855"/>
    <n v="20"/>
    <d v="2035-01-18T00:00:00"/>
    <s v=""/>
    <x v="7"/>
    <x v="0"/>
  </r>
  <r>
    <n v="83717001264"/>
    <n v="38"/>
    <d v="2035-01-18T00:00:00"/>
    <s v=""/>
    <x v="7"/>
    <x v="0"/>
  </r>
  <r>
    <n v="60778885005"/>
    <n v="240"/>
    <d v="2035-01-18T00:00:00"/>
    <s v=""/>
    <x v="7"/>
    <x v="0"/>
  </r>
  <r>
    <n v="53021673965"/>
    <n v="265"/>
    <d v="2035-01-18T00:00:00"/>
    <s v=""/>
    <x v="7"/>
    <x v="0"/>
  </r>
  <r>
    <n v="63013665118"/>
    <n v="107"/>
    <d v="2035-01-18T00:00:00"/>
    <s v=""/>
    <x v="7"/>
    <x v="0"/>
  </r>
  <r>
    <n v="38607269281"/>
    <n v="108"/>
    <d v="2035-01-18T00:00:00"/>
    <s v=""/>
    <x v="7"/>
    <x v="0"/>
  </r>
  <r>
    <n v="72465111181"/>
    <n v="155"/>
    <d v="2035-01-18T00:00:00"/>
    <s v=""/>
    <x v="7"/>
    <x v="0"/>
  </r>
  <r>
    <n v="88798084134"/>
    <n v="323"/>
    <d v="2035-01-18T00:00:00"/>
    <m/>
    <x v="7"/>
    <x v="0"/>
  </r>
  <r>
    <n v="80977903532"/>
    <n v="111"/>
    <d v="2035-01-18T00:00:00"/>
    <s v=""/>
    <x v="7"/>
    <x v="0"/>
  </r>
  <r>
    <n v="24045694542"/>
    <n v="199"/>
    <d v="2035-01-18T00:00:00"/>
    <m/>
    <x v="7"/>
    <x v="0"/>
  </r>
  <r>
    <n v="88290289808"/>
    <n v="88"/>
    <d v="2035-01-18T00:00:00"/>
    <m/>
    <x v="7"/>
    <x v="0"/>
  </r>
  <r>
    <n v="33548299312"/>
    <n v="48"/>
    <d v="2035-01-18T00:00:00"/>
    <s v=""/>
    <x v="7"/>
    <x v="0"/>
  </r>
  <r>
    <n v="45003585087"/>
    <n v="156"/>
    <d v="2035-01-18T00:00:00"/>
    <m/>
    <x v="7"/>
    <x v="0"/>
  </r>
  <r>
    <n v="38514191549"/>
    <n v="65"/>
    <d v="2035-01-18T00:00:00"/>
    <s v=""/>
    <x v="7"/>
    <x v="0"/>
  </r>
  <r>
    <n v="60805846742"/>
    <n v="315"/>
    <d v="2035-01-18T00:00:00"/>
    <s v=""/>
    <x v="7"/>
    <x v="0"/>
  </r>
  <r>
    <n v="39520462666"/>
    <n v="58"/>
    <d v="2035-01-18T00:00:00"/>
    <s v=""/>
    <x v="7"/>
    <x v="0"/>
  </r>
  <r>
    <n v="69681385243"/>
    <n v="22"/>
    <d v="2035-01-19T00:00:00"/>
    <s v=""/>
    <x v="7"/>
    <x v="0"/>
  </r>
  <r>
    <n v="67097613398"/>
    <n v="162"/>
    <d v="2035-01-19T00:00:00"/>
    <m/>
    <x v="7"/>
    <x v="0"/>
  </r>
  <r>
    <n v="57164840845"/>
    <n v="81"/>
    <d v="2035-01-19T00:00:00"/>
    <s v=""/>
    <x v="7"/>
    <x v="0"/>
  </r>
  <r>
    <n v="81885268721"/>
    <n v="188"/>
    <d v="2035-01-19T00:00:00"/>
    <s v=""/>
    <x v="7"/>
    <x v="0"/>
  </r>
  <r>
    <n v="69791536379"/>
    <n v="223"/>
    <d v="2035-01-19T00:00:00"/>
    <s v=""/>
    <x v="7"/>
    <x v="0"/>
  </r>
  <r>
    <n v="24660021769"/>
    <n v="69"/>
    <d v="2035-01-19T00:00:00"/>
    <s v=""/>
    <x v="7"/>
    <x v="0"/>
  </r>
  <r>
    <n v="16471783368"/>
    <n v="305"/>
    <d v="2035-01-19T00:00:00"/>
    <s v=""/>
    <x v="7"/>
    <x v="0"/>
  </r>
  <r>
    <n v="43573431429"/>
    <n v="217"/>
    <d v="2035-01-19T00:00:00"/>
    <d v="2035-01-28T00:00:00"/>
    <x v="7"/>
    <x v="8"/>
  </r>
  <r>
    <n v="87034751643"/>
    <n v="206"/>
    <d v="2035-01-19T00:00:00"/>
    <m/>
    <x v="7"/>
    <x v="0"/>
  </r>
  <r>
    <n v="96278006678"/>
    <n v="32"/>
    <d v="2035-01-19T00:00:00"/>
    <s v=""/>
    <x v="7"/>
    <x v="0"/>
  </r>
  <r>
    <n v="73095882950"/>
    <n v="167"/>
    <d v="2035-01-19T00:00:00"/>
    <s v=""/>
    <x v="7"/>
    <x v="0"/>
  </r>
  <r>
    <n v="65309187506"/>
    <n v="7"/>
    <d v="2035-01-19T00:00:00"/>
    <s v=""/>
    <x v="7"/>
    <x v="0"/>
  </r>
  <r>
    <n v="26035340529"/>
    <n v="338"/>
    <d v="2035-01-19T00:00:00"/>
    <s v=""/>
    <x v="7"/>
    <x v="0"/>
  </r>
  <r>
    <n v="80255239991"/>
    <n v="317"/>
    <d v="2035-01-19T00:00:00"/>
    <s v=""/>
    <x v="7"/>
    <x v="0"/>
  </r>
  <r>
    <n v="87652556529"/>
    <n v="53"/>
    <d v="2035-01-19T00:00:00"/>
    <m/>
    <x v="7"/>
    <x v="0"/>
  </r>
  <r>
    <n v="47332803418"/>
    <n v="20"/>
    <d v="2035-01-19T00:00:00"/>
    <s v=""/>
    <x v="7"/>
    <x v="0"/>
  </r>
  <r>
    <n v="72271266323"/>
    <n v="103"/>
    <d v="2035-01-19T00:00:00"/>
    <s v=""/>
    <x v="7"/>
    <x v="0"/>
  </r>
  <r>
    <n v="77087712961"/>
    <n v="161"/>
    <d v="2035-01-19T00:00:00"/>
    <s v=""/>
    <x v="7"/>
    <x v="0"/>
  </r>
  <r>
    <n v="95963858996"/>
    <n v="7"/>
    <d v="2035-01-19T00:00:00"/>
    <m/>
    <x v="7"/>
    <x v="0"/>
  </r>
  <r>
    <n v="97798058466"/>
    <n v="176"/>
    <d v="2035-01-19T00:00:00"/>
    <s v=""/>
    <x v="7"/>
    <x v="0"/>
  </r>
  <r>
    <n v="80159597897"/>
    <n v="43"/>
    <d v="2035-01-19T00:00:00"/>
    <s v=""/>
    <x v="7"/>
    <x v="0"/>
  </r>
  <r>
    <n v="92384501581"/>
    <n v="17"/>
    <d v="2035-01-19T00:00:00"/>
    <s v=""/>
    <x v="7"/>
    <x v="0"/>
  </r>
  <r>
    <n v="20470390431"/>
    <n v="309"/>
    <d v="2035-01-19T00:00:00"/>
    <s v=""/>
    <x v="7"/>
    <x v="0"/>
  </r>
  <r>
    <n v="16564505921"/>
    <n v="146"/>
    <d v="2035-01-19T00:00:00"/>
    <m/>
    <x v="7"/>
    <x v="0"/>
  </r>
  <r>
    <n v="67619937013"/>
    <n v="227"/>
    <d v="2035-01-19T00:00:00"/>
    <s v=""/>
    <x v="7"/>
    <x v="0"/>
  </r>
  <r>
    <n v="64594679464"/>
    <n v="27"/>
    <d v="2035-01-19T00:00:00"/>
    <m/>
    <x v="7"/>
    <x v="0"/>
  </r>
  <r>
    <n v="76227204072"/>
    <n v="293"/>
    <d v="2035-01-19T00:00:00"/>
    <s v=""/>
    <x v="7"/>
    <x v="0"/>
  </r>
  <r>
    <n v="11517276339"/>
    <n v="40"/>
    <d v="2035-01-19T00:00:00"/>
    <s v=""/>
    <x v="7"/>
    <x v="0"/>
  </r>
  <r>
    <n v="21221187067"/>
    <n v="317"/>
    <d v="2035-01-19T00:00:00"/>
    <s v=""/>
    <x v="7"/>
    <x v="0"/>
  </r>
  <r>
    <n v="32130580896"/>
    <n v="335"/>
    <d v="2035-01-19T00:00:00"/>
    <s v=""/>
    <x v="7"/>
    <x v="0"/>
  </r>
  <r>
    <n v="13276210131"/>
    <n v="304"/>
    <d v="2035-01-19T00:00:00"/>
    <s v=""/>
    <x v="7"/>
    <x v="0"/>
  </r>
  <r>
    <n v="34940296731"/>
    <n v="174"/>
    <d v="2035-01-19T00:00:00"/>
    <s v=""/>
    <x v="7"/>
    <x v="0"/>
  </r>
  <r>
    <n v="96291869454"/>
    <n v="182"/>
    <d v="2035-01-20T00:00:00"/>
    <s v=""/>
    <x v="7"/>
    <x v="0"/>
  </r>
  <r>
    <n v="66389171378"/>
    <n v="334"/>
    <d v="2035-01-20T00:00:00"/>
    <s v=""/>
    <x v="7"/>
    <x v="0"/>
  </r>
  <r>
    <n v="15168293655"/>
    <n v="203"/>
    <d v="2035-01-20T00:00:00"/>
    <s v=""/>
    <x v="7"/>
    <x v="0"/>
  </r>
  <r>
    <n v="46733715299"/>
    <n v="286"/>
    <d v="2035-01-20T00:00:00"/>
    <s v=""/>
    <x v="7"/>
    <x v="0"/>
  </r>
  <r>
    <n v="47690640150"/>
    <n v="274"/>
    <d v="2035-01-20T00:00:00"/>
    <s v=""/>
    <x v="7"/>
    <x v="0"/>
  </r>
  <r>
    <n v="27226074509"/>
    <n v="61"/>
    <d v="2035-01-20T00:00:00"/>
    <s v=""/>
    <x v="7"/>
    <x v="0"/>
  </r>
  <r>
    <n v="22046403090"/>
    <n v="81"/>
    <d v="2035-01-20T00:00:00"/>
    <s v=""/>
    <x v="7"/>
    <x v="0"/>
  </r>
  <r>
    <n v="73539990975"/>
    <n v="229"/>
    <d v="2035-01-20T00:00:00"/>
    <s v=""/>
    <x v="7"/>
    <x v="0"/>
  </r>
  <r>
    <n v="52835118023"/>
    <n v="258"/>
    <d v="2035-01-20T00:00:00"/>
    <s v=""/>
    <x v="7"/>
    <x v="0"/>
  </r>
  <r>
    <n v="83063630707"/>
    <n v="125"/>
    <d v="2035-01-20T00:00:00"/>
    <m/>
    <x v="7"/>
    <x v="0"/>
  </r>
  <r>
    <n v="14409815540"/>
    <n v="113"/>
    <d v="2035-01-20T00:00:00"/>
    <m/>
    <x v="7"/>
    <x v="0"/>
  </r>
  <r>
    <n v="47735040225"/>
    <n v="64"/>
    <d v="2035-01-20T00:00:00"/>
    <s v=""/>
    <x v="7"/>
    <x v="0"/>
  </r>
  <r>
    <n v="13407366453"/>
    <n v="112"/>
    <d v="2035-01-20T00:00:00"/>
    <s v=""/>
    <x v="7"/>
    <x v="0"/>
  </r>
  <r>
    <n v="80381621626"/>
    <n v="150"/>
    <d v="2035-01-20T00:00:00"/>
    <m/>
    <x v="7"/>
    <x v="0"/>
  </r>
  <r>
    <n v="44116998666"/>
    <n v="3"/>
    <d v="2035-01-20T00:00:00"/>
    <s v=""/>
    <x v="7"/>
    <x v="0"/>
  </r>
  <r>
    <n v="66222351413"/>
    <n v="277"/>
    <d v="2035-01-20T00:00:00"/>
    <s v=""/>
    <x v="7"/>
    <x v="0"/>
  </r>
  <r>
    <n v="73946836326"/>
    <n v="249"/>
    <d v="2035-01-20T00:00:00"/>
    <s v=""/>
    <x v="7"/>
    <x v="0"/>
  </r>
  <r>
    <n v="92061057282"/>
    <n v="264"/>
    <d v="2035-01-20T00:00:00"/>
    <s v=""/>
    <x v="7"/>
    <x v="0"/>
  </r>
  <r>
    <n v="88723569782"/>
    <n v="225"/>
    <d v="2035-01-20T00:00:00"/>
    <m/>
    <x v="7"/>
    <x v="0"/>
  </r>
  <r>
    <n v="54393185698"/>
    <n v="314"/>
    <d v="2035-01-20T00:00:00"/>
    <s v=""/>
    <x v="7"/>
    <x v="0"/>
  </r>
  <r>
    <n v="33832195033"/>
    <n v="134"/>
    <d v="2035-01-20T00:00:00"/>
    <m/>
    <x v="7"/>
    <x v="0"/>
  </r>
  <r>
    <n v="49712430084"/>
    <n v="340"/>
    <d v="2035-01-20T00:00:00"/>
    <m/>
    <x v="7"/>
    <x v="0"/>
  </r>
  <r>
    <n v="44998369576"/>
    <n v="219"/>
    <d v="2035-01-20T00:00:00"/>
    <s v=""/>
    <x v="7"/>
    <x v="0"/>
  </r>
  <r>
    <n v="28786149113"/>
    <n v="238"/>
    <d v="2035-01-20T00:00:00"/>
    <d v="2035-02-01T00:00:00"/>
    <x v="7"/>
    <x v="9"/>
  </r>
  <r>
    <n v="75924929569"/>
    <n v="235"/>
    <d v="2035-01-20T00:00:00"/>
    <s v=""/>
    <x v="7"/>
    <x v="0"/>
  </r>
  <r>
    <n v="90684709647"/>
    <n v="251"/>
    <d v="2035-01-20T00:00:00"/>
    <s v=""/>
    <x v="7"/>
    <x v="0"/>
  </r>
  <r>
    <n v="24109331552"/>
    <n v="298"/>
    <d v="2035-01-20T00:00:00"/>
    <m/>
    <x v="7"/>
    <x v="0"/>
  </r>
  <r>
    <n v="58468898014"/>
    <n v="98"/>
    <d v="2035-01-21T00:00:00"/>
    <s v=""/>
    <x v="7"/>
    <x v="0"/>
  </r>
  <r>
    <n v="61250163481"/>
    <n v="217"/>
    <d v="2035-01-21T00:00:00"/>
    <s v=""/>
    <x v="7"/>
    <x v="0"/>
  </r>
  <r>
    <n v="17497122522"/>
    <n v="89"/>
    <d v="2035-01-21T00:00:00"/>
    <s v=""/>
    <x v="7"/>
    <x v="0"/>
  </r>
  <r>
    <n v="38994158799"/>
    <n v="101"/>
    <d v="2035-01-21T00:00:00"/>
    <s v=""/>
    <x v="7"/>
    <x v="0"/>
  </r>
  <r>
    <n v="49742584050"/>
    <n v="129"/>
    <d v="2035-01-21T00:00:00"/>
    <s v=""/>
    <x v="7"/>
    <x v="0"/>
  </r>
  <r>
    <n v="25825272222"/>
    <n v="181"/>
    <d v="2035-01-21T00:00:00"/>
    <m/>
    <x v="7"/>
    <x v="0"/>
  </r>
  <r>
    <n v="19206452531"/>
    <n v="46"/>
    <d v="2035-01-21T00:00:00"/>
    <s v=""/>
    <x v="7"/>
    <x v="0"/>
  </r>
  <r>
    <n v="66484706965"/>
    <n v="117"/>
    <d v="2035-01-21T00:00:00"/>
    <s v=""/>
    <x v="7"/>
    <x v="0"/>
  </r>
  <r>
    <n v="72364237674"/>
    <n v="171"/>
    <d v="2035-01-21T00:00:00"/>
    <s v=""/>
    <x v="7"/>
    <x v="0"/>
  </r>
  <r>
    <n v="25065020338"/>
    <n v="130"/>
    <d v="2035-01-21T00:00:00"/>
    <s v=""/>
    <x v="7"/>
    <x v="0"/>
  </r>
  <r>
    <n v="24713250657"/>
    <n v="97"/>
    <d v="2035-01-21T00:00:00"/>
    <s v=""/>
    <x v="7"/>
    <x v="0"/>
  </r>
  <r>
    <n v="37478085192"/>
    <n v="144"/>
    <d v="2035-01-21T00:00:00"/>
    <s v=""/>
    <x v="7"/>
    <x v="0"/>
  </r>
  <r>
    <n v="13408412679"/>
    <n v="301"/>
    <d v="2035-01-21T00:00:00"/>
    <s v=""/>
    <x v="7"/>
    <x v="0"/>
  </r>
  <r>
    <n v="38322240486"/>
    <n v="38"/>
    <d v="2035-01-21T00:00:00"/>
    <s v=""/>
    <x v="7"/>
    <x v="0"/>
  </r>
  <r>
    <n v="13701533418"/>
    <n v="191"/>
    <d v="2035-01-21T00:00:00"/>
    <s v=""/>
    <x v="7"/>
    <x v="0"/>
  </r>
  <r>
    <n v="18315255931"/>
    <n v="64"/>
    <d v="2035-01-21T00:00:00"/>
    <m/>
    <x v="7"/>
    <x v="0"/>
  </r>
  <r>
    <n v="86368842256"/>
    <n v="291"/>
    <d v="2035-01-21T00:00:00"/>
    <s v=""/>
    <x v="7"/>
    <x v="0"/>
  </r>
  <r>
    <n v="86594195503"/>
    <n v="138"/>
    <d v="2035-01-21T00:00:00"/>
    <d v="2035-01-23T00:00:00"/>
    <x v="7"/>
    <x v="8"/>
  </r>
  <r>
    <n v="85927736864"/>
    <n v="157"/>
    <d v="2035-01-21T00:00:00"/>
    <s v=""/>
    <x v="7"/>
    <x v="0"/>
  </r>
  <r>
    <n v="81349305965"/>
    <n v="51"/>
    <d v="2035-01-21T00:00:00"/>
    <m/>
    <x v="7"/>
    <x v="0"/>
  </r>
  <r>
    <n v="54182574923"/>
    <n v="107"/>
    <d v="2035-01-21T00:00:00"/>
    <s v=""/>
    <x v="7"/>
    <x v="0"/>
  </r>
  <r>
    <n v="48210718213"/>
    <n v="175"/>
    <d v="2035-01-21T00:00:00"/>
    <s v=""/>
    <x v="7"/>
    <x v="0"/>
  </r>
  <r>
    <n v="56887269020"/>
    <n v="26"/>
    <d v="2035-01-21T00:00:00"/>
    <s v=""/>
    <x v="7"/>
    <x v="0"/>
  </r>
  <r>
    <n v="99430689014"/>
    <n v="9"/>
    <d v="2035-01-21T00:00:00"/>
    <s v=""/>
    <x v="7"/>
    <x v="0"/>
  </r>
  <r>
    <n v="56615227919"/>
    <n v="267"/>
    <d v="2035-01-21T00:00:00"/>
    <m/>
    <x v="7"/>
    <x v="0"/>
  </r>
  <r>
    <n v="46633302913"/>
    <n v="314"/>
    <d v="2035-01-21T00:00:00"/>
    <s v=""/>
    <x v="7"/>
    <x v="0"/>
  </r>
  <r>
    <n v="71228361117"/>
    <n v="278"/>
    <d v="2035-01-21T00:00:00"/>
    <s v=""/>
    <x v="7"/>
    <x v="0"/>
  </r>
  <r>
    <n v="78751815781"/>
    <n v="157"/>
    <d v="2035-01-22T00:00:00"/>
    <s v=""/>
    <x v="7"/>
    <x v="0"/>
  </r>
  <r>
    <n v="77517652937"/>
    <n v="246"/>
    <d v="2035-01-22T00:00:00"/>
    <s v=""/>
    <x v="7"/>
    <x v="0"/>
  </r>
  <r>
    <n v="76905248824"/>
    <n v="176"/>
    <d v="2035-01-22T00:00:00"/>
    <s v=""/>
    <x v="7"/>
    <x v="0"/>
  </r>
  <r>
    <n v="95422484658"/>
    <n v="127"/>
    <d v="2035-01-22T00:00:00"/>
    <m/>
    <x v="7"/>
    <x v="0"/>
  </r>
  <r>
    <n v="82844295835"/>
    <n v="132"/>
    <d v="2035-01-22T00:00:00"/>
    <s v=""/>
    <x v="7"/>
    <x v="0"/>
  </r>
  <r>
    <n v="23069937676"/>
    <n v="257"/>
    <d v="2035-01-22T00:00:00"/>
    <s v=""/>
    <x v="7"/>
    <x v="0"/>
  </r>
  <r>
    <n v="87932576043"/>
    <n v="133"/>
    <d v="2035-01-22T00:00:00"/>
    <s v=""/>
    <x v="7"/>
    <x v="0"/>
  </r>
  <r>
    <n v="31167953463"/>
    <n v="336"/>
    <d v="2035-01-22T00:00:00"/>
    <s v=""/>
    <x v="7"/>
    <x v="0"/>
  </r>
  <r>
    <n v="77936283147"/>
    <n v="330"/>
    <d v="2035-01-22T00:00:00"/>
    <m/>
    <x v="7"/>
    <x v="0"/>
  </r>
  <r>
    <n v="88395830324"/>
    <n v="82"/>
    <d v="2035-01-22T00:00:00"/>
    <s v=""/>
    <x v="7"/>
    <x v="0"/>
  </r>
  <r>
    <n v="29815378984"/>
    <n v="42"/>
    <d v="2035-01-22T00:00:00"/>
    <m/>
    <x v="7"/>
    <x v="0"/>
  </r>
  <r>
    <n v="18304388389"/>
    <n v="208"/>
    <d v="2035-01-22T00:00:00"/>
    <s v=""/>
    <x v="7"/>
    <x v="0"/>
  </r>
  <r>
    <n v="30947560525"/>
    <n v="290"/>
    <d v="2035-01-22T00:00:00"/>
    <s v=""/>
    <x v="7"/>
    <x v="0"/>
  </r>
  <r>
    <n v="31172169840"/>
    <n v="188"/>
    <d v="2035-01-22T00:00:00"/>
    <s v=""/>
    <x v="7"/>
    <x v="0"/>
  </r>
  <r>
    <n v="14487527377"/>
    <n v="14"/>
    <d v="2035-01-22T00:00:00"/>
    <s v=""/>
    <x v="7"/>
    <x v="0"/>
  </r>
  <r>
    <n v="16471762368"/>
    <n v="298"/>
    <d v="2035-01-22T00:00:00"/>
    <s v=""/>
    <x v="7"/>
    <x v="0"/>
  </r>
  <r>
    <n v="70201773234"/>
    <n v="68"/>
    <d v="2035-01-22T00:00:00"/>
    <s v=""/>
    <x v="7"/>
    <x v="0"/>
  </r>
  <r>
    <n v="23868170373"/>
    <n v="7"/>
    <d v="2035-01-22T00:00:00"/>
    <s v=""/>
    <x v="7"/>
    <x v="0"/>
  </r>
  <r>
    <n v="89875573969"/>
    <n v="225"/>
    <d v="2035-01-22T00:00:00"/>
    <m/>
    <x v="7"/>
    <x v="0"/>
  </r>
  <r>
    <n v="72312250883"/>
    <n v="105"/>
    <d v="2035-01-22T00:00:00"/>
    <m/>
    <x v="7"/>
    <x v="0"/>
  </r>
  <r>
    <n v="43744305219"/>
    <n v="206"/>
    <d v="2035-01-22T00:00:00"/>
    <s v=""/>
    <x v="7"/>
    <x v="0"/>
  </r>
  <r>
    <n v="56385687133"/>
    <n v="107"/>
    <d v="2035-01-22T00:00:00"/>
    <s v=""/>
    <x v="7"/>
    <x v="0"/>
  </r>
  <r>
    <n v="87368147155"/>
    <n v="334"/>
    <d v="2035-01-22T00:00:00"/>
    <s v=""/>
    <x v="7"/>
    <x v="0"/>
  </r>
  <r>
    <n v="13271937750"/>
    <n v="4"/>
    <d v="2035-01-22T00:00:00"/>
    <s v=""/>
    <x v="7"/>
    <x v="0"/>
  </r>
  <r>
    <n v="48521764937"/>
    <n v="331"/>
    <d v="2035-01-22T00:00:00"/>
    <s v=""/>
    <x v="7"/>
    <x v="0"/>
  </r>
  <r>
    <n v="49936522136"/>
    <n v="95"/>
    <d v="2035-01-22T00:00:00"/>
    <s v=""/>
    <x v="7"/>
    <x v="0"/>
  </r>
  <r>
    <n v="88071610990"/>
    <n v="84"/>
    <d v="2035-01-23T00:00:00"/>
    <s v=""/>
    <x v="7"/>
    <x v="0"/>
  </r>
  <r>
    <n v="35636609257"/>
    <n v="223"/>
    <d v="2035-01-23T00:00:00"/>
    <s v=""/>
    <x v="7"/>
    <x v="0"/>
  </r>
  <r>
    <n v="37665573312"/>
    <n v="65"/>
    <d v="2035-01-23T00:00:00"/>
    <s v=""/>
    <x v="7"/>
    <x v="0"/>
  </r>
  <r>
    <n v="39927253405"/>
    <n v="67"/>
    <d v="2035-01-23T00:00:00"/>
    <m/>
    <x v="7"/>
    <x v="0"/>
  </r>
  <r>
    <n v="12185545149"/>
    <n v="332"/>
    <d v="2035-01-23T00:00:00"/>
    <s v=""/>
    <x v="7"/>
    <x v="0"/>
  </r>
  <r>
    <n v="38744713646"/>
    <n v="115"/>
    <d v="2035-01-23T00:00:00"/>
    <s v=""/>
    <x v="7"/>
    <x v="0"/>
  </r>
  <r>
    <n v="70587639627"/>
    <n v="93"/>
    <d v="2035-01-23T00:00:00"/>
    <s v=""/>
    <x v="7"/>
    <x v="0"/>
  </r>
  <r>
    <n v="81085098492"/>
    <n v="315"/>
    <d v="2035-01-23T00:00:00"/>
    <s v=""/>
    <x v="7"/>
    <x v="0"/>
  </r>
  <r>
    <n v="55000359054"/>
    <n v="186"/>
    <d v="2035-01-23T00:00:00"/>
    <s v=""/>
    <x v="7"/>
    <x v="0"/>
  </r>
  <r>
    <n v="82366303691"/>
    <n v="106"/>
    <d v="2035-01-23T00:00:00"/>
    <m/>
    <x v="7"/>
    <x v="0"/>
  </r>
  <r>
    <n v="46512234080"/>
    <n v="221"/>
    <d v="2035-01-23T00:00:00"/>
    <s v=""/>
    <x v="7"/>
    <x v="0"/>
  </r>
  <r>
    <n v="65545355786"/>
    <n v="254"/>
    <d v="2035-01-23T00:00:00"/>
    <s v=""/>
    <x v="7"/>
    <x v="0"/>
  </r>
  <r>
    <n v="47771862596"/>
    <n v="128"/>
    <d v="2035-01-23T00:00:00"/>
    <s v=""/>
    <x v="7"/>
    <x v="0"/>
  </r>
  <r>
    <n v="78836409509"/>
    <n v="158"/>
    <d v="2035-01-23T00:00:00"/>
    <s v=""/>
    <x v="7"/>
    <x v="0"/>
  </r>
  <r>
    <n v="65251527231"/>
    <n v="186"/>
    <d v="2035-01-23T00:00:00"/>
    <s v=""/>
    <x v="7"/>
    <x v="0"/>
  </r>
  <r>
    <n v="42484244376"/>
    <n v="324"/>
    <d v="2035-01-23T00:00:00"/>
    <s v=""/>
    <x v="7"/>
    <x v="0"/>
  </r>
  <r>
    <n v="79252919590"/>
    <n v="179"/>
    <d v="2035-01-23T00:00:00"/>
    <m/>
    <x v="7"/>
    <x v="0"/>
  </r>
  <r>
    <n v="67691820499"/>
    <n v="166"/>
    <d v="2035-01-23T00:00:00"/>
    <s v=""/>
    <x v="7"/>
    <x v="0"/>
  </r>
  <r>
    <n v="24606487747"/>
    <n v="241"/>
    <d v="2035-01-23T00:00:00"/>
    <s v=""/>
    <x v="7"/>
    <x v="0"/>
  </r>
  <r>
    <n v="57973698134"/>
    <n v="326"/>
    <d v="2035-01-24T00:00:00"/>
    <s v=""/>
    <x v="7"/>
    <x v="0"/>
  </r>
  <r>
    <n v="38985516325"/>
    <n v="245"/>
    <d v="2035-01-24T00:00:00"/>
    <s v=""/>
    <x v="7"/>
    <x v="0"/>
  </r>
  <r>
    <n v="80404542023"/>
    <n v="135"/>
    <d v="2035-01-24T00:00:00"/>
    <s v=""/>
    <x v="7"/>
    <x v="0"/>
  </r>
  <r>
    <n v="77495490734"/>
    <n v="221"/>
    <d v="2035-01-24T00:00:00"/>
    <s v=""/>
    <x v="7"/>
    <x v="0"/>
  </r>
  <r>
    <n v="94521486117"/>
    <n v="194"/>
    <d v="2035-01-24T00:00:00"/>
    <s v=""/>
    <x v="7"/>
    <x v="0"/>
  </r>
  <r>
    <n v="67971786453"/>
    <n v="63"/>
    <d v="2035-01-24T00:00:00"/>
    <s v=""/>
    <x v="7"/>
    <x v="0"/>
  </r>
  <r>
    <n v="76883888154"/>
    <n v="333"/>
    <d v="2035-01-24T00:00:00"/>
    <s v=""/>
    <x v="7"/>
    <x v="0"/>
  </r>
  <r>
    <n v="12839079263"/>
    <n v="48"/>
    <d v="2035-01-24T00:00:00"/>
    <s v=""/>
    <x v="7"/>
    <x v="0"/>
  </r>
  <r>
    <n v="67755389538"/>
    <n v="214"/>
    <d v="2035-01-24T00:00:00"/>
    <m/>
    <x v="7"/>
    <x v="0"/>
  </r>
  <r>
    <n v="69335924676"/>
    <n v="39"/>
    <d v="2035-01-24T00:00:00"/>
    <s v=""/>
    <x v="7"/>
    <x v="0"/>
  </r>
  <r>
    <n v="92718120824"/>
    <n v="173"/>
    <d v="2035-01-24T00:00:00"/>
    <s v=""/>
    <x v="7"/>
    <x v="0"/>
  </r>
  <r>
    <n v="77857380535"/>
    <n v="225"/>
    <d v="2035-01-24T00:00:00"/>
    <s v=""/>
    <x v="7"/>
    <x v="0"/>
  </r>
  <r>
    <n v="87058364618"/>
    <n v="68"/>
    <d v="2035-01-24T00:00:00"/>
    <s v=""/>
    <x v="7"/>
    <x v="0"/>
  </r>
  <r>
    <n v="78479431415"/>
    <n v="183"/>
    <d v="2035-01-24T00:00:00"/>
    <s v=""/>
    <x v="7"/>
    <x v="0"/>
  </r>
  <r>
    <n v="74796657167"/>
    <n v="198"/>
    <d v="2035-01-24T00:00:00"/>
    <s v=""/>
    <x v="7"/>
    <x v="0"/>
  </r>
  <r>
    <n v="55220427205"/>
    <n v="200"/>
    <d v="2035-01-24T00:00:00"/>
    <s v=""/>
    <x v="7"/>
    <x v="0"/>
  </r>
  <r>
    <n v="76023901791"/>
    <n v="107"/>
    <d v="2035-01-24T00:00:00"/>
    <s v=""/>
    <x v="7"/>
    <x v="0"/>
  </r>
  <r>
    <n v="65992186436"/>
    <n v="319"/>
    <d v="2035-01-24T00:00:00"/>
    <s v=""/>
    <x v="7"/>
    <x v="0"/>
  </r>
  <r>
    <n v="77957160771"/>
    <n v="179"/>
    <d v="2035-01-24T00:00:00"/>
    <s v=""/>
    <x v="7"/>
    <x v="0"/>
  </r>
  <r>
    <n v="36218248809"/>
    <n v="105"/>
    <d v="2035-01-24T00:00:00"/>
    <m/>
    <x v="7"/>
    <x v="0"/>
  </r>
  <r>
    <n v="21203661739"/>
    <n v="226"/>
    <d v="2035-01-24T00:00:00"/>
    <s v=""/>
    <x v="7"/>
    <x v="0"/>
  </r>
  <r>
    <n v="53917164202"/>
    <n v="72"/>
    <d v="2035-01-24T00:00:00"/>
    <s v=""/>
    <x v="7"/>
    <x v="0"/>
  </r>
  <r>
    <n v="62476235224"/>
    <n v="72"/>
    <d v="2035-01-24T00:00:00"/>
    <s v=""/>
    <x v="7"/>
    <x v="0"/>
  </r>
  <r>
    <n v="61380541824"/>
    <n v="258"/>
    <d v="2035-01-24T00:00:00"/>
    <m/>
    <x v="7"/>
    <x v="0"/>
  </r>
  <r>
    <n v="54889318301"/>
    <n v="152"/>
    <d v="2035-01-24T00:00:00"/>
    <s v=""/>
    <x v="7"/>
    <x v="0"/>
  </r>
  <r>
    <n v="16759434809"/>
    <n v="292"/>
    <d v="2035-01-24T00:00:00"/>
    <s v=""/>
    <x v="7"/>
    <x v="0"/>
  </r>
  <r>
    <n v="92102907722"/>
    <n v="270"/>
    <d v="2035-01-24T00:00:00"/>
    <s v=""/>
    <x v="7"/>
    <x v="0"/>
  </r>
  <r>
    <n v="51809906087"/>
    <n v="197"/>
    <d v="2035-01-24T00:00:00"/>
    <d v="2035-01-30T00:00:00"/>
    <x v="7"/>
    <x v="8"/>
  </r>
  <r>
    <n v="28521681782"/>
    <n v="65"/>
    <d v="2035-01-25T00:00:00"/>
    <s v=""/>
    <x v="7"/>
    <x v="0"/>
  </r>
  <r>
    <n v="13134676717"/>
    <n v="30"/>
    <d v="2035-01-25T00:00:00"/>
    <s v=""/>
    <x v="7"/>
    <x v="0"/>
  </r>
  <r>
    <n v="33712816063"/>
    <n v="310"/>
    <d v="2035-01-25T00:00:00"/>
    <s v=""/>
    <x v="7"/>
    <x v="0"/>
  </r>
  <r>
    <n v="99263861732"/>
    <n v="75"/>
    <d v="2035-01-25T00:00:00"/>
    <s v=""/>
    <x v="7"/>
    <x v="0"/>
  </r>
  <r>
    <n v="18947255372"/>
    <n v="319"/>
    <d v="2035-01-25T00:00:00"/>
    <s v=""/>
    <x v="7"/>
    <x v="0"/>
  </r>
  <r>
    <n v="22232756641"/>
    <n v="308"/>
    <d v="2035-01-25T00:00:00"/>
    <s v=""/>
    <x v="7"/>
    <x v="0"/>
  </r>
  <r>
    <n v="49352603484"/>
    <n v="127"/>
    <d v="2035-01-25T00:00:00"/>
    <s v=""/>
    <x v="7"/>
    <x v="0"/>
  </r>
  <r>
    <n v="38234757674"/>
    <n v="226"/>
    <d v="2035-01-25T00:00:00"/>
    <s v=""/>
    <x v="7"/>
    <x v="0"/>
  </r>
  <r>
    <n v="46603527046"/>
    <n v="210"/>
    <d v="2035-01-25T00:00:00"/>
    <s v=""/>
    <x v="7"/>
    <x v="0"/>
  </r>
  <r>
    <n v="62619949337"/>
    <n v="157"/>
    <d v="2035-01-25T00:00:00"/>
    <s v=""/>
    <x v="7"/>
    <x v="0"/>
  </r>
  <r>
    <n v="51310642433"/>
    <n v="67"/>
    <d v="2035-01-25T00:00:00"/>
    <m/>
    <x v="7"/>
    <x v="0"/>
  </r>
  <r>
    <n v="80156800410"/>
    <n v="130"/>
    <d v="2035-01-25T00:00:00"/>
    <s v=""/>
    <x v="7"/>
    <x v="0"/>
  </r>
  <r>
    <n v="11339200243"/>
    <n v="84"/>
    <d v="2035-01-25T00:00:00"/>
    <s v=""/>
    <x v="7"/>
    <x v="0"/>
  </r>
  <r>
    <n v="92943063953"/>
    <n v="14"/>
    <d v="2035-01-25T00:00:00"/>
    <m/>
    <x v="7"/>
    <x v="0"/>
  </r>
  <r>
    <n v="17704135294"/>
    <n v="91"/>
    <d v="2035-01-25T00:00:00"/>
    <s v=""/>
    <x v="7"/>
    <x v="0"/>
  </r>
  <r>
    <n v="80600932962"/>
    <n v="114"/>
    <d v="2035-01-25T00:00:00"/>
    <s v=""/>
    <x v="7"/>
    <x v="0"/>
  </r>
  <r>
    <n v="86392533966"/>
    <n v="127"/>
    <d v="2035-01-25T00:00:00"/>
    <s v=""/>
    <x v="7"/>
    <x v="0"/>
  </r>
  <r>
    <n v="76124438212"/>
    <n v="177"/>
    <d v="2035-01-25T00:00:00"/>
    <s v=""/>
    <x v="7"/>
    <x v="0"/>
  </r>
  <r>
    <n v="36603031463"/>
    <n v="16"/>
    <d v="2035-01-25T00:00:00"/>
    <m/>
    <x v="7"/>
    <x v="0"/>
  </r>
  <r>
    <n v="69457448149"/>
    <n v="245"/>
    <d v="2035-01-25T00:00:00"/>
    <s v=""/>
    <x v="7"/>
    <x v="0"/>
  </r>
  <r>
    <n v="31117028599"/>
    <n v="48"/>
    <d v="2035-01-25T00:00:00"/>
    <s v=""/>
    <x v="7"/>
    <x v="0"/>
  </r>
  <r>
    <n v="26531992797"/>
    <n v="47"/>
    <d v="2035-01-25T00:00:00"/>
    <m/>
    <x v="7"/>
    <x v="0"/>
  </r>
  <r>
    <n v="16146120154"/>
    <n v="249"/>
    <d v="2035-01-25T00:00:00"/>
    <s v=""/>
    <x v="7"/>
    <x v="0"/>
  </r>
  <r>
    <n v="84862334118"/>
    <n v="243"/>
    <d v="2035-01-25T00:00:00"/>
    <s v=""/>
    <x v="7"/>
    <x v="0"/>
  </r>
  <r>
    <n v="95481038690"/>
    <n v="224"/>
    <d v="2035-01-25T00:00:00"/>
    <s v=""/>
    <x v="7"/>
    <x v="0"/>
  </r>
  <r>
    <n v="94535830584"/>
    <n v="286"/>
    <d v="2035-01-25T00:00:00"/>
    <s v=""/>
    <x v="7"/>
    <x v="0"/>
  </r>
  <r>
    <n v="95340134885"/>
    <n v="104"/>
    <d v="2035-01-25T00:00:00"/>
    <s v=""/>
    <x v="7"/>
    <x v="0"/>
  </r>
  <r>
    <n v="66527594253"/>
    <n v="12"/>
    <d v="2035-01-25T00:00:00"/>
    <m/>
    <x v="7"/>
    <x v="0"/>
  </r>
  <r>
    <n v="85033413798"/>
    <n v="199"/>
    <d v="2035-01-25T00:00:00"/>
    <s v=""/>
    <x v="7"/>
    <x v="0"/>
  </r>
  <r>
    <n v="26998353648"/>
    <n v="327"/>
    <d v="2035-01-25T00:00:00"/>
    <s v=""/>
    <x v="7"/>
    <x v="0"/>
  </r>
  <r>
    <n v="63315293745"/>
    <n v="121"/>
    <d v="2035-01-25T00:00:00"/>
    <s v=""/>
    <x v="7"/>
    <x v="0"/>
  </r>
  <r>
    <n v="98593474774"/>
    <n v="236"/>
    <d v="2035-01-25T00:00:00"/>
    <s v=""/>
    <x v="7"/>
    <x v="0"/>
  </r>
  <r>
    <n v="27872565755"/>
    <n v="165"/>
    <d v="2035-01-25T00:00:00"/>
    <s v=""/>
    <x v="7"/>
    <x v="0"/>
  </r>
  <r>
    <n v="14536029993"/>
    <n v="237"/>
    <d v="2035-01-26T00:00:00"/>
    <s v=""/>
    <x v="7"/>
    <x v="0"/>
  </r>
  <r>
    <n v="68553708859"/>
    <n v="201"/>
    <d v="2035-01-26T00:00:00"/>
    <s v=""/>
    <x v="7"/>
    <x v="0"/>
  </r>
  <r>
    <n v="87366970987"/>
    <n v="17"/>
    <d v="2035-01-26T00:00:00"/>
    <m/>
    <x v="7"/>
    <x v="0"/>
  </r>
  <r>
    <n v="92962625111"/>
    <n v="226"/>
    <d v="2035-01-26T00:00:00"/>
    <s v=""/>
    <x v="7"/>
    <x v="0"/>
  </r>
  <r>
    <n v="97989126023"/>
    <n v="297"/>
    <d v="2035-01-26T00:00:00"/>
    <s v=""/>
    <x v="7"/>
    <x v="0"/>
  </r>
  <r>
    <n v="31913265866"/>
    <n v="33"/>
    <d v="2035-01-26T00:00:00"/>
    <m/>
    <x v="7"/>
    <x v="0"/>
  </r>
  <r>
    <n v="54912296755"/>
    <n v="29"/>
    <d v="2035-01-26T00:00:00"/>
    <m/>
    <x v="7"/>
    <x v="0"/>
  </r>
  <r>
    <n v="81827490309"/>
    <n v="298"/>
    <d v="2035-01-26T00:00:00"/>
    <s v=""/>
    <x v="7"/>
    <x v="0"/>
  </r>
  <r>
    <n v="76912419755"/>
    <n v="240"/>
    <d v="2035-01-26T00:00:00"/>
    <s v=""/>
    <x v="7"/>
    <x v="0"/>
  </r>
  <r>
    <n v="66092650003"/>
    <n v="180"/>
    <d v="2035-01-26T00:00:00"/>
    <m/>
    <x v="7"/>
    <x v="0"/>
  </r>
  <r>
    <n v="37018776758"/>
    <n v="75"/>
    <d v="2035-01-26T00:00:00"/>
    <s v=""/>
    <x v="7"/>
    <x v="0"/>
  </r>
  <r>
    <n v="24578304910"/>
    <n v="106"/>
    <d v="2035-01-26T00:00:00"/>
    <s v=""/>
    <x v="7"/>
    <x v="0"/>
  </r>
  <r>
    <n v="76819387984"/>
    <n v="44"/>
    <d v="2035-01-26T00:00:00"/>
    <s v=""/>
    <x v="7"/>
    <x v="0"/>
  </r>
  <r>
    <n v="58073174289"/>
    <n v="311"/>
    <d v="2035-01-26T00:00:00"/>
    <s v=""/>
    <x v="7"/>
    <x v="0"/>
  </r>
  <r>
    <n v="32491024423"/>
    <n v="330"/>
    <d v="2035-01-26T00:00:00"/>
    <s v=""/>
    <x v="7"/>
    <x v="0"/>
  </r>
  <r>
    <n v="77639821576"/>
    <n v="239"/>
    <d v="2035-01-26T00:00:00"/>
    <s v=""/>
    <x v="7"/>
    <x v="0"/>
  </r>
  <r>
    <n v="57437445399"/>
    <n v="309"/>
    <d v="2035-01-26T00:00:00"/>
    <s v=""/>
    <x v="7"/>
    <x v="0"/>
  </r>
  <r>
    <n v="19760820790"/>
    <n v="207"/>
    <d v="2035-01-26T00:00:00"/>
    <s v=""/>
    <x v="7"/>
    <x v="0"/>
  </r>
  <r>
    <n v="23155564906"/>
    <n v="284"/>
    <d v="2035-01-26T00:00:00"/>
    <s v=""/>
    <x v="7"/>
    <x v="0"/>
  </r>
  <r>
    <n v="48470928039"/>
    <n v="286"/>
    <d v="2035-01-26T00:00:00"/>
    <s v=""/>
    <x v="7"/>
    <x v="0"/>
  </r>
  <r>
    <n v="62951378064"/>
    <n v="317"/>
    <d v="2035-01-26T00:00:00"/>
    <m/>
    <x v="7"/>
    <x v="0"/>
  </r>
  <r>
    <n v="93433682050"/>
    <n v="316"/>
    <d v="2035-01-26T00:00:00"/>
    <s v=""/>
    <x v="7"/>
    <x v="0"/>
  </r>
  <r>
    <n v="33332601805"/>
    <n v="95"/>
    <d v="2035-01-26T00:00:00"/>
    <s v=""/>
    <x v="7"/>
    <x v="0"/>
  </r>
  <r>
    <n v="30490358224"/>
    <n v="257"/>
    <d v="2035-01-26T00:00:00"/>
    <s v=""/>
    <x v="7"/>
    <x v="0"/>
  </r>
  <r>
    <n v="16396456278"/>
    <n v="205"/>
    <d v="2035-01-26T00:00:00"/>
    <m/>
    <x v="7"/>
    <x v="0"/>
  </r>
  <r>
    <n v="70620430036"/>
    <n v="166"/>
    <d v="2035-01-26T00:00:00"/>
    <s v=""/>
    <x v="7"/>
    <x v="0"/>
  </r>
  <r>
    <n v="64840117812"/>
    <n v="106"/>
    <d v="2035-01-26T00:00:00"/>
    <s v=""/>
    <x v="7"/>
    <x v="0"/>
  </r>
  <r>
    <n v="60615165152"/>
    <n v="109"/>
    <d v="2035-01-27T00:00:00"/>
    <s v=""/>
    <x v="7"/>
    <x v="0"/>
  </r>
  <r>
    <n v="16416794119"/>
    <n v="78"/>
    <d v="2035-01-27T00:00:00"/>
    <s v=""/>
    <x v="7"/>
    <x v="0"/>
  </r>
  <r>
    <n v="16630440440"/>
    <n v="146"/>
    <d v="2035-01-27T00:00:00"/>
    <s v=""/>
    <x v="7"/>
    <x v="0"/>
  </r>
  <r>
    <n v="39754421918"/>
    <n v="129"/>
    <d v="2035-01-27T00:00:00"/>
    <m/>
    <x v="7"/>
    <x v="0"/>
  </r>
  <r>
    <n v="13482538505"/>
    <n v="186"/>
    <d v="2035-01-27T00:00:00"/>
    <s v=""/>
    <x v="7"/>
    <x v="0"/>
  </r>
  <r>
    <n v="42106654415"/>
    <n v="59"/>
    <d v="2035-01-27T00:00:00"/>
    <s v=""/>
    <x v="7"/>
    <x v="0"/>
  </r>
  <r>
    <n v="51174909054"/>
    <n v="178"/>
    <d v="2035-01-27T00:00:00"/>
    <s v=""/>
    <x v="7"/>
    <x v="0"/>
  </r>
  <r>
    <n v="42292023160"/>
    <n v="227"/>
    <d v="2035-01-27T00:00:00"/>
    <s v=""/>
    <x v="7"/>
    <x v="0"/>
  </r>
  <r>
    <n v="55212567625"/>
    <n v="84"/>
    <d v="2035-01-27T00:00:00"/>
    <s v=""/>
    <x v="7"/>
    <x v="0"/>
  </r>
  <r>
    <n v="45524223131"/>
    <n v="21"/>
    <d v="2035-01-27T00:00:00"/>
    <m/>
    <x v="7"/>
    <x v="0"/>
  </r>
  <r>
    <n v="66626160718"/>
    <n v="110"/>
    <d v="2035-01-27T00:00:00"/>
    <m/>
    <x v="7"/>
    <x v="0"/>
  </r>
  <r>
    <n v="93659116707"/>
    <n v="176"/>
    <d v="2035-01-27T00:00:00"/>
    <s v=""/>
    <x v="7"/>
    <x v="0"/>
  </r>
  <r>
    <n v="19373005745"/>
    <n v="139"/>
    <d v="2035-01-27T00:00:00"/>
    <s v=""/>
    <x v="7"/>
    <x v="0"/>
  </r>
  <r>
    <n v="58807641560"/>
    <n v="266"/>
    <d v="2035-01-27T00:00:00"/>
    <m/>
    <x v="7"/>
    <x v="0"/>
  </r>
  <r>
    <n v="66173795901"/>
    <n v="316"/>
    <d v="2035-01-27T00:00:00"/>
    <m/>
    <x v="7"/>
    <x v="0"/>
  </r>
  <r>
    <n v="51953866215"/>
    <n v="254"/>
    <d v="2035-01-27T00:00:00"/>
    <s v=""/>
    <x v="7"/>
    <x v="0"/>
  </r>
  <r>
    <n v="89397654946"/>
    <n v="213"/>
    <d v="2035-01-27T00:00:00"/>
    <s v=""/>
    <x v="7"/>
    <x v="0"/>
  </r>
  <r>
    <n v="49392645289"/>
    <n v="109"/>
    <d v="2035-01-27T00:00:00"/>
    <s v=""/>
    <x v="7"/>
    <x v="0"/>
  </r>
  <r>
    <n v="11258157034"/>
    <n v="104"/>
    <d v="2035-01-27T00:00:00"/>
    <m/>
    <x v="7"/>
    <x v="0"/>
  </r>
  <r>
    <n v="54713060273"/>
    <n v="115"/>
    <d v="2035-01-27T00:00:00"/>
    <s v=""/>
    <x v="7"/>
    <x v="0"/>
  </r>
  <r>
    <n v="59725234342"/>
    <n v="111"/>
    <d v="2035-01-27T00:00:00"/>
    <m/>
    <x v="7"/>
    <x v="0"/>
  </r>
  <r>
    <n v="65070133117"/>
    <n v="191"/>
    <d v="2035-01-27T00:00:00"/>
    <s v=""/>
    <x v="7"/>
    <x v="0"/>
  </r>
  <r>
    <n v="60552724442"/>
    <n v="156"/>
    <d v="2035-01-27T00:00:00"/>
    <s v=""/>
    <x v="7"/>
    <x v="0"/>
  </r>
  <r>
    <n v="93255182507"/>
    <n v="202"/>
    <d v="2035-01-27T00:00:00"/>
    <s v=""/>
    <x v="7"/>
    <x v="0"/>
  </r>
  <r>
    <n v="45385912612"/>
    <n v="283"/>
    <d v="2035-01-27T00:00:00"/>
    <s v=""/>
    <x v="7"/>
    <x v="0"/>
  </r>
  <r>
    <n v="84387188899"/>
    <n v="232"/>
    <d v="2035-01-27T00:00:00"/>
    <m/>
    <x v="7"/>
    <x v="0"/>
  </r>
  <r>
    <n v="12637189303"/>
    <n v="76"/>
    <d v="2035-01-28T00:00:00"/>
    <s v=""/>
    <x v="7"/>
    <x v="0"/>
  </r>
  <r>
    <n v="30346016756"/>
    <n v="218"/>
    <d v="2035-01-28T00:00:00"/>
    <s v=""/>
    <x v="7"/>
    <x v="0"/>
  </r>
  <r>
    <n v="91118387343"/>
    <n v="215"/>
    <d v="2035-01-28T00:00:00"/>
    <m/>
    <x v="7"/>
    <x v="0"/>
  </r>
  <r>
    <n v="50740227179"/>
    <n v="143"/>
    <d v="2035-01-28T00:00:00"/>
    <s v=""/>
    <x v="7"/>
    <x v="0"/>
  </r>
  <r>
    <n v="26133362490"/>
    <n v="277"/>
    <d v="2035-01-28T00:00:00"/>
    <s v=""/>
    <x v="7"/>
    <x v="0"/>
  </r>
  <r>
    <n v="80324130495"/>
    <n v="156"/>
    <d v="2035-01-28T00:00:00"/>
    <s v=""/>
    <x v="7"/>
    <x v="0"/>
  </r>
  <r>
    <n v="61413574579"/>
    <n v="290"/>
    <d v="2035-01-28T00:00:00"/>
    <m/>
    <x v="7"/>
    <x v="0"/>
  </r>
  <r>
    <n v="66176048461"/>
    <n v="340"/>
    <d v="2035-01-28T00:00:00"/>
    <m/>
    <x v="7"/>
    <x v="0"/>
  </r>
  <r>
    <n v="82749830229"/>
    <n v="231"/>
    <d v="2035-01-28T00:00:00"/>
    <s v=""/>
    <x v="7"/>
    <x v="0"/>
  </r>
  <r>
    <n v="79958740626"/>
    <n v="51"/>
    <d v="2035-01-28T00:00:00"/>
    <s v=""/>
    <x v="7"/>
    <x v="0"/>
  </r>
  <r>
    <n v="95494162547"/>
    <n v="47"/>
    <d v="2035-01-28T00:00:00"/>
    <s v=""/>
    <x v="7"/>
    <x v="0"/>
  </r>
  <r>
    <n v="82047827139"/>
    <n v="147"/>
    <d v="2035-01-28T00:00:00"/>
    <s v=""/>
    <x v="7"/>
    <x v="0"/>
  </r>
  <r>
    <n v="69850091569"/>
    <n v="339"/>
    <d v="2035-01-28T00:00:00"/>
    <m/>
    <x v="7"/>
    <x v="0"/>
  </r>
  <r>
    <n v="31418345881"/>
    <n v="3"/>
    <d v="2035-01-28T00:00:00"/>
    <m/>
    <x v="7"/>
    <x v="0"/>
  </r>
  <r>
    <n v="51650490221"/>
    <n v="57"/>
    <d v="2035-01-28T00:00:00"/>
    <s v=""/>
    <x v="7"/>
    <x v="0"/>
  </r>
  <r>
    <n v="52524089490"/>
    <n v="59"/>
    <d v="2035-01-28T00:00:00"/>
    <m/>
    <x v="7"/>
    <x v="0"/>
  </r>
  <r>
    <n v="54236705843"/>
    <n v="90"/>
    <d v="2035-01-28T00:00:00"/>
    <s v=""/>
    <x v="7"/>
    <x v="0"/>
  </r>
  <r>
    <n v="56119254692"/>
    <n v="46"/>
    <d v="2035-01-28T00:00:00"/>
    <m/>
    <x v="7"/>
    <x v="0"/>
  </r>
  <r>
    <n v="51532988936"/>
    <n v="74"/>
    <d v="2035-01-28T00:00:00"/>
    <s v=""/>
    <x v="7"/>
    <x v="0"/>
  </r>
  <r>
    <n v="19898135107"/>
    <n v="235"/>
    <d v="2035-01-28T00:00:00"/>
    <s v=""/>
    <x v="7"/>
    <x v="0"/>
  </r>
  <r>
    <n v="87276780804"/>
    <n v="226"/>
    <d v="2035-01-28T00:00:00"/>
    <s v=""/>
    <x v="7"/>
    <x v="0"/>
  </r>
  <r>
    <n v="69193174152"/>
    <n v="182"/>
    <d v="2035-01-28T00:00:00"/>
    <m/>
    <x v="7"/>
    <x v="0"/>
  </r>
  <r>
    <n v="76176931351"/>
    <n v="120"/>
    <d v="2035-01-29T00:00:00"/>
    <s v=""/>
    <x v="7"/>
    <x v="0"/>
  </r>
  <r>
    <n v="18891839484"/>
    <n v="25"/>
    <d v="2035-01-29T00:00:00"/>
    <s v=""/>
    <x v="7"/>
    <x v="0"/>
  </r>
  <r>
    <n v="47724528943"/>
    <n v="199"/>
    <d v="2035-01-29T00:00:00"/>
    <s v=""/>
    <x v="7"/>
    <x v="0"/>
  </r>
  <r>
    <n v="97737041557"/>
    <n v="214"/>
    <d v="2035-01-29T00:00:00"/>
    <s v=""/>
    <x v="7"/>
    <x v="0"/>
  </r>
  <r>
    <n v="45512372244"/>
    <n v="322"/>
    <d v="2035-01-29T00:00:00"/>
    <s v=""/>
    <x v="7"/>
    <x v="0"/>
  </r>
  <r>
    <n v="87477854423"/>
    <n v="134"/>
    <d v="2035-01-29T00:00:00"/>
    <s v=""/>
    <x v="7"/>
    <x v="0"/>
  </r>
  <r>
    <n v="83765531837"/>
    <n v="278"/>
    <d v="2035-01-29T00:00:00"/>
    <s v=""/>
    <x v="7"/>
    <x v="0"/>
  </r>
  <r>
    <n v="66850018462"/>
    <n v="185"/>
    <d v="2035-01-29T00:00:00"/>
    <m/>
    <x v="7"/>
    <x v="0"/>
  </r>
  <r>
    <n v="17465421659"/>
    <n v="217"/>
    <d v="2035-01-29T00:00:00"/>
    <s v=""/>
    <x v="7"/>
    <x v="0"/>
  </r>
  <r>
    <n v="34006972816"/>
    <n v="91"/>
    <d v="2035-01-29T00:00:00"/>
    <m/>
    <x v="7"/>
    <x v="0"/>
  </r>
  <r>
    <n v="25203848674"/>
    <n v="67"/>
    <d v="2035-01-29T00:00:00"/>
    <s v=""/>
    <x v="7"/>
    <x v="0"/>
  </r>
  <r>
    <n v="22474371823"/>
    <n v="48"/>
    <d v="2035-01-29T00:00:00"/>
    <s v=""/>
    <x v="7"/>
    <x v="0"/>
  </r>
  <r>
    <n v="80277139381"/>
    <n v="147"/>
    <d v="2035-01-29T00:00:00"/>
    <s v=""/>
    <x v="7"/>
    <x v="0"/>
  </r>
  <r>
    <n v="58330949185"/>
    <n v="192"/>
    <d v="2035-01-29T00:00:00"/>
    <s v=""/>
    <x v="7"/>
    <x v="0"/>
  </r>
  <r>
    <n v="93956297896"/>
    <n v="207"/>
    <d v="2035-01-29T00:00:00"/>
    <s v=""/>
    <x v="7"/>
    <x v="0"/>
  </r>
  <r>
    <n v="46813714338"/>
    <n v="60"/>
    <d v="2035-01-29T00:00:00"/>
    <m/>
    <x v="7"/>
    <x v="0"/>
  </r>
  <r>
    <n v="40451579588"/>
    <n v="310"/>
    <d v="2035-01-29T00:00:00"/>
    <s v=""/>
    <x v="7"/>
    <x v="0"/>
  </r>
  <r>
    <n v="50729944925"/>
    <n v="57"/>
    <d v="2035-01-29T00:00:00"/>
    <m/>
    <x v="7"/>
    <x v="0"/>
  </r>
  <r>
    <n v="32014405973"/>
    <n v="106"/>
    <d v="2035-01-29T00:00:00"/>
    <m/>
    <x v="7"/>
    <x v="0"/>
  </r>
  <r>
    <n v="69255992754"/>
    <n v="8"/>
    <d v="2035-01-29T00:00:00"/>
    <s v=""/>
    <x v="7"/>
    <x v="0"/>
  </r>
  <r>
    <n v="36514347083"/>
    <n v="272"/>
    <d v="2035-01-29T00:00:00"/>
    <m/>
    <x v="7"/>
    <x v="0"/>
  </r>
  <r>
    <n v="60143043996"/>
    <n v="124"/>
    <d v="2035-01-29T00:00:00"/>
    <m/>
    <x v="7"/>
    <x v="0"/>
  </r>
  <r>
    <n v="57051659467"/>
    <n v="334"/>
    <d v="2035-01-29T00:00:00"/>
    <s v=""/>
    <x v="7"/>
    <x v="0"/>
  </r>
  <r>
    <n v="95454829176"/>
    <n v="215"/>
    <d v="2035-01-29T00:00:00"/>
    <m/>
    <x v="7"/>
    <x v="0"/>
  </r>
  <r>
    <n v="53240309565"/>
    <n v="1"/>
    <d v="2035-01-29T00:00:00"/>
    <m/>
    <x v="7"/>
    <x v="0"/>
  </r>
  <r>
    <n v="40386055528"/>
    <n v="248"/>
    <d v="2035-01-29T00:00:00"/>
    <s v=""/>
    <x v="7"/>
    <x v="0"/>
  </r>
  <r>
    <n v="27088222050"/>
    <n v="316"/>
    <d v="2035-01-29T00:00:00"/>
    <s v=""/>
    <x v="7"/>
    <x v="0"/>
  </r>
  <r>
    <n v="30229834226"/>
    <n v="90"/>
    <d v="2035-01-30T00:00:00"/>
    <m/>
    <x v="7"/>
    <x v="0"/>
  </r>
  <r>
    <n v="68398605170"/>
    <n v="9"/>
    <d v="2035-01-30T00:00:00"/>
    <s v=""/>
    <x v="7"/>
    <x v="0"/>
  </r>
  <r>
    <n v="51845754022"/>
    <n v="201"/>
    <d v="2035-01-30T00:00:00"/>
    <s v=""/>
    <x v="7"/>
    <x v="0"/>
  </r>
  <r>
    <n v="90587615735"/>
    <n v="148"/>
    <d v="2035-01-30T00:00:00"/>
    <s v=""/>
    <x v="7"/>
    <x v="0"/>
  </r>
  <r>
    <n v="22548081097"/>
    <n v="307"/>
    <d v="2035-01-30T00:00:00"/>
    <m/>
    <x v="7"/>
    <x v="0"/>
  </r>
  <r>
    <n v="38936120982"/>
    <n v="121"/>
    <d v="2035-01-30T00:00:00"/>
    <s v=""/>
    <x v="7"/>
    <x v="0"/>
  </r>
  <r>
    <n v="32096508707"/>
    <n v="289"/>
    <d v="2035-01-30T00:00:00"/>
    <s v=""/>
    <x v="7"/>
    <x v="0"/>
  </r>
  <r>
    <n v="75003954674"/>
    <n v="111"/>
    <d v="2035-01-30T00:00:00"/>
    <s v=""/>
    <x v="7"/>
    <x v="0"/>
  </r>
  <r>
    <n v="66938030220"/>
    <n v="238"/>
    <d v="2035-01-30T00:00:00"/>
    <m/>
    <x v="7"/>
    <x v="0"/>
  </r>
  <r>
    <n v="32375721132"/>
    <n v="250"/>
    <d v="2035-01-30T00:00:00"/>
    <s v=""/>
    <x v="7"/>
    <x v="0"/>
  </r>
  <r>
    <n v="35391061307"/>
    <n v="232"/>
    <d v="2035-01-30T00:00:00"/>
    <s v=""/>
    <x v="7"/>
    <x v="0"/>
  </r>
  <r>
    <n v="27815647582"/>
    <n v="101"/>
    <d v="2035-01-30T00:00:00"/>
    <s v=""/>
    <x v="7"/>
    <x v="0"/>
  </r>
  <r>
    <n v="40322729885"/>
    <n v="132"/>
    <d v="2035-01-30T00:00:00"/>
    <s v=""/>
    <x v="7"/>
    <x v="0"/>
  </r>
  <r>
    <n v="64594879599"/>
    <n v="48"/>
    <d v="2035-01-30T00:00:00"/>
    <s v=""/>
    <x v="7"/>
    <x v="0"/>
  </r>
  <r>
    <n v="98833522360"/>
    <n v="132"/>
    <d v="2035-01-30T00:00:00"/>
    <s v=""/>
    <x v="7"/>
    <x v="0"/>
  </r>
  <r>
    <n v="89168296853"/>
    <n v="292"/>
    <d v="2035-01-30T00:00:00"/>
    <s v=""/>
    <x v="7"/>
    <x v="0"/>
  </r>
  <r>
    <n v="52183974020"/>
    <n v="200"/>
    <d v="2035-01-30T00:00:00"/>
    <s v=""/>
    <x v="7"/>
    <x v="0"/>
  </r>
  <r>
    <n v="16073943944"/>
    <n v="37"/>
    <d v="2035-01-30T00:00:00"/>
    <s v=""/>
    <x v="7"/>
    <x v="0"/>
  </r>
  <r>
    <n v="34085258293"/>
    <n v="31"/>
    <d v="2035-01-30T00:00:00"/>
    <s v=""/>
    <x v="7"/>
    <x v="0"/>
  </r>
  <r>
    <n v="45709320556"/>
    <n v="155"/>
    <d v="2035-01-30T00:00:00"/>
    <s v=""/>
    <x v="7"/>
    <x v="0"/>
  </r>
  <r>
    <n v="50350186880"/>
    <n v="286"/>
    <d v="2035-01-30T00:00:00"/>
    <s v=""/>
    <x v="7"/>
    <x v="0"/>
  </r>
  <r>
    <n v="78407697041"/>
    <n v="167"/>
    <d v="2035-01-30T00:00:00"/>
    <s v=""/>
    <x v="7"/>
    <x v="0"/>
  </r>
  <r>
    <n v="21312861808"/>
    <n v="98"/>
    <d v="2035-01-30T00:00:00"/>
    <s v=""/>
    <x v="7"/>
    <x v="0"/>
  </r>
  <r>
    <n v="50319538088"/>
    <n v="151"/>
    <d v="2035-01-30T00:00:00"/>
    <s v=""/>
    <x v="7"/>
    <x v="0"/>
  </r>
  <r>
    <n v="83690615399"/>
    <n v="74"/>
    <d v="2035-01-30T00:00:00"/>
    <m/>
    <x v="7"/>
    <x v="0"/>
  </r>
  <r>
    <n v="88494368240"/>
    <n v="319"/>
    <d v="2035-01-30T00:00:00"/>
    <s v=""/>
    <x v="7"/>
    <x v="0"/>
  </r>
  <r>
    <n v="62003613315"/>
    <n v="266"/>
    <d v="2035-01-31T00:00:00"/>
    <s v=""/>
    <x v="7"/>
    <x v="0"/>
  </r>
  <r>
    <n v="24972913061"/>
    <n v="231"/>
    <d v="2035-01-31T00:00:00"/>
    <s v=""/>
    <x v="7"/>
    <x v="0"/>
  </r>
  <r>
    <n v="16498747593"/>
    <n v="24"/>
    <d v="2035-01-31T00:00:00"/>
    <m/>
    <x v="7"/>
    <x v="0"/>
  </r>
  <r>
    <n v="14386625958"/>
    <n v="15"/>
    <d v="2035-01-31T00:00:00"/>
    <m/>
    <x v="7"/>
    <x v="0"/>
  </r>
  <r>
    <n v="99433789617"/>
    <n v="126"/>
    <d v="2035-01-31T00:00:00"/>
    <s v=""/>
    <x v="7"/>
    <x v="0"/>
  </r>
  <r>
    <n v="72621862023"/>
    <n v="231"/>
    <d v="2035-01-31T00:00:00"/>
    <s v=""/>
    <x v="7"/>
    <x v="0"/>
  </r>
  <r>
    <n v="17788850756"/>
    <n v="154"/>
    <d v="2035-01-31T00:00:00"/>
    <s v=""/>
    <x v="7"/>
    <x v="0"/>
  </r>
  <r>
    <n v="92283404171"/>
    <n v="96"/>
    <d v="2035-01-31T00:00:00"/>
    <m/>
    <x v="7"/>
    <x v="0"/>
  </r>
  <r>
    <n v="93074953957"/>
    <n v="138"/>
    <d v="2035-01-31T00:00:00"/>
    <s v=""/>
    <x v="7"/>
    <x v="0"/>
  </r>
  <r>
    <n v="44674602764"/>
    <n v="63"/>
    <d v="2035-01-31T00:00:00"/>
    <m/>
    <x v="7"/>
    <x v="0"/>
  </r>
  <r>
    <n v="97953543559"/>
    <n v="128"/>
    <d v="2035-01-31T00:00:00"/>
    <s v=""/>
    <x v="7"/>
    <x v="0"/>
  </r>
  <r>
    <n v="61190594110"/>
    <n v="228"/>
    <d v="2035-01-31T00:00:00"/>
    <m/>
    <x v="7"/>
    <x v="0"/>
  </r>
  <r>
    <n v="12876986724"/>
    <n v="268"/>
    <d v="2035-01-31T00:00:00"/>
    <s v=""/>
    <x v="7"/>
    <x v="0"/>
  </r>
  <r>
    <n v="60773629463"/>
    <n v="184"/>
    <d v="2035-01-31T00:00:00"/>
    <s v=""/>
    <x v="7"/>
    <x v="0"/>
  </r>
  <r>
    <n v="87335387339"/>
    <n v="174"/>
    <d v="2035-01-31T00:00:00"/>
    <s v=""/>
    <x v="7"/>
    <x v="0"/>
  </r>
  <r>
    <n v="13206708906"/>
    <n v="252"/>
    <d v="2035-01-31T00:00:00"/>
    <m/>
    <x v="7"/>
    <x v="0"/>
  </r>
  <r>
    <n v="17684932280"/>
    <n v="68"/>
    <d v="2035-01-31T00:00:00"/>
    <s v=""/>
    <x v="7"/>
    <x v="0"/>
  </r>
  <r>
    <n v="63971971685"/>
    <n v="312"/>
    <d v="2035-01-31T00:00:00"/>
    <s v=""/>
    <x v="7"/>
    <x v="0"/>
  </r>
  <r>
    <n v="61693197066"/>
    <n v="211"/>
    <d v="2035-01-31T00:00:00"/>
    <s v=""/>
    <x v="7"/>
    <x v="0"/>
  </r>
  <r>
    <n v="92428257047"/>
    <n v="78"/>
    <d v="2035-01-31T00:00:00"/>
    <m/>
    <x v="7"/>
    <x v="0"/>
  </r>
  <r>
    <n v="20811056972"/>
    <n v="173"/>
    <d v="2035-01-31T00:00:00"/>
    <s v=""/>
    <x v="7"/>
    <x v="0"/>
  </r>
  <r>
    <n v="26020298425"/>
    <n v="300"/>
    <d v="2035-01-31T00:00:00"/>
    <s v=""/>
    <x v="7"/>
    <x v="0"/>
  </r>
  <r>
    <n v="46826559783"/>
    <n v="222"/>
    <d v="2035-02-01T00:00:00"/>
    <s v=""/>
    <x v="8"/>
    <x v="0"/>
  </r>
  <r>
    <n v="67027268047"/>
    <n v="120"/>
    <d v="2035-02-01T00:00:00"/>
    <s v=""/>
    <x v="8"/>
    <x v="0"/>
  </r>
  <r>
    <n v="91531837122"/>
    <n v="196"/>
    <d v="2035-02-01T00:00:00"/>
    <s v=""/>
    <x v="8"/>
    <x v="0"/>
  </r>
  <r>
    <n v="58220797895"/>
    <n v="307"/>
    <d v="2035-02-01T00:00:00"/>
    <s v=""/>
    <x v="8"/>
    <x v="0"/>
  </r>
  <r>
    <n v="81288150258"/>
    <n v="21"/>
    <d v="2035-02-01T00:00:00"/>
    <s v=""/>
    <x v="8"/>
    <x v="0"/>
  </r>
  <r>
    <n v="35477567984"/>
    <n v="166"/>
    <d v="2035-02-01T00:00:00"/>
    <s v=""/>
    <x v="8"/>
    <x v="0"/>
  </r>
  <r>
    <n v="53704124999"/>
    <n v="287"/>
    <d v="2035-02-01T00:00:00"/>
    <s v=""/>
    <x v="8"/>
    <x v="0"/>
  </r>
  <r>
    <n v="37151411428"/>
    <n v="30"/>
    <d v="2035-02-01T00:00:00"/>
    <s v=""/>
    <x v="8"/>
    <x v="0"/>
  </r>
  <r>
    <n v="45831267915"/>
    <n v="171"/>
    <d v="2035-02-01T00:00:00"/>
    <m/>
    <x v="8"/>
    <x v="0"/>
  </r>
  <r>
    <n v="67348652085"/>
    <n v="140"/>
    <d v="2035-02-01T00:00:00"/>
    <s v=""/>
    <x v="8"/>
    <x v="0"/>
  </r>
  <r>
    <n v="65887254150"/>
    <n v="144"/>
    <d v="2035-02-01T00:00:00"/>
    <m/>
    <x v="8"/>
    <x v="0"/>
  </r>
  <r>
    <n v="37530687254"/>
    <n v="246"/>
    <d v="2035-02-01T00:00:00"/>
    <s v=""/>
    <x v="8"/>
    <x v="0"/>
  </r>
  <r>
    <n v="79391054292"/>
    <n v="155"/>
    <d v="2035-02-01T00:00:00"/>
    <m/>
    <x v="8"/>
    <x v="0"/>
  </r>
  <r>
    <n v="64185844294"/>
    <n v="231"/>
    <d v="2035-02-01T00:00:00"/>
    <s v=""/>
    <x v="8"/>
    <x v="0"/>
  </r>
  <r>
    <n v="82318449911"/>
    <n v="286"/>
    <d v="2035-02-01T00:00:00"/>
    <s v=""/>
    <x v="8"/>
    <x v="0"/>
  </r>
  <r>
    <n v="86545411132"/>
    <n v="275"/>
    <d v="2035-02-01T00:00:00"/>
    <s v=""/>
    <x v="8"/>
    <x v="0"/>
  </r>
  <r>
    <n v="67380321749"/>
    <n v="141"/>
    <d v="2035-02-01T00:00:00"/>
    <s v=""/>
    <x v="8"/>
    <x v="0"/>
  </r>
  <r>
    <n v="23450439927"/>
    <n v="205"/>
    <d v="2035-02-01T00:00:00"/>
    <s v=""/>
    <x v="8"/>
    <x v="0"/>
  </r>
  <r>
    <n v="97983610866"/>
    <n v="155"/>
    <d v="2035-02-01T00:00:00"/>
    <s v=""/>
    <x v="8"/>
    <x v="0"/>
  </r>
  <r>
    <n v="75498811916"/>
    <n v="199"/>
    <d v="2035-02-01T00:00:00"/>
    <s v=""/>
    <x v="8"/>
    <x v="0"/>
  </r>
  <r>
    <n v="22103457500"/>
    <n v="89"/>
    <d v="2035-02-01T00:00:00"/>
    <s v=""/>
    <x v="8"/>
    <x v="0"/>
  </r>
  <r>
    <n v="61355664622"/>
    <n v="165"/>
    <d v="2035-02-01T00:00:00"/>
    <s v=""/>
    <x v="8"/>
    <x v="0"/>
  </r>
  <r>
    <n v="11509691958"/>
    <n v="7"/>
    <d v="2035-02-01T00:00:00"/>
    <s v=""/>
    <x v="8"/>
    <x v="0"/>
  </r>
  <r>
    <n v="41613137500"/>
    <n v="111"/>
    <d v="2035-02-01T00:00:00"/>
    <s v=""/>
    <x v="8"/>
    <x v="0"/>
  </r>
  <r>
    <n v="84025499550"/>
    <n v="250"/>
    <d v="2035-02-01T00:00:00"/>
    <s v=""/>
    <x v="8"/>
    <x v="0"/>
  </r>
  <r>
    <n v="27419898799"/>
    <n v="239"/>
    <d v="2035-02-01T00:00:00"/>
    <s v=""/>
    <x v="8"/>
    <x v="0"/>
  </r>
  <r>
    <n v="76243576063"/>
    <n v="294"/>
    <d v="2035-02-01T00:00:00"/>
    <s v=""/>
    <x v="8"/>
    <x v="0"/>
  </r>
  <r>
    <n v="57754509206"/>
    <n v="63"/>
    <d v="2035-02-01T00:00:00"/>
    <m/>
    <x v="8"/>
    <x v="0"/>
  </r>
  <r>
    <n v="28014932384"/>
    <n v="139"/>
    <d v="2035-02-01T00:00:00"/>
    <m/>
    <x v="8"/>
    <x v="0"/>
  </r>
  <r>
    <n v="42931957786"/>
    <n v="79"/>
    <d v="2035-02-01T00:00:00"/>
    <s v=""/>
    <x v="8"/>
    <x v="0"/>
  </r>
  <r>
    <n v="85855446991"/>
    <n v="236"/>
    <d v="2035-02-01T00:00:00"/>
    <s v="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9F11E-DF66-4FB5-B9E9-93E34F9B948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6">
    <pivotField showAll="0"/>
    <pivotField showAll="0"/>
    <pivotField numFmtId="15" showAll="0"/>
    <pivotField showAll="0"/>
    <pivotField multipleItemSelectionAllowed="1"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</pivotFields>
  <rowItems count="1">
    <i/>
  </rowItems>
  <colItems count="1">
    <i/>
  </colItems>
  <pageFields count="1">
    <pageField fld="5" item="8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3BB48-2B99-4C69-9DA3-31D2966FA4C4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6">
    <pivotField showAll="0"/>
    <pivotField showAll="0"/>
    <pivotField dataField="1" numFmtId="15" showAll="0"/>
    <pivotField showAll="0"/>
    <pivotField axis="axisPage" multipleItemSelectionAllowed="1" showAll="0">
      <items count="10">
        <item h="1" x="0"/>
        <item h="1" x="1"/>
        <item h="1" x="2"/>
        <item h="1" x="3"/>
        <item h="1" x="4"/>
        <item h="1" x="5"/>
        <item h="1" x="6"/>
        <item x="7"/>
        <item h="1" x="8"/>
        <item t="default"/>
      </items>
    </pivotField>
    <pivotField showAll="0"/>
  </pivotFields>
  <rowItems count="1">
    <i/>
  </rowItems>
  <colItems count="1">
    <i/>
  </colItems>
  <pageFields count="1">
    <pageField fld="4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0743DC-2B97-4E5C-9434-26EB8CBC98BA}" name="Tabela1" displayName="Tabela1" ref="A1:F6198" totalsRowShown="0" headerRowDxfId="9" headerRowBorderDxfId="8" tableBorderDxfId="7" totalsRowBorderDxfId="6">
  <tableColumns count="6">
    <tableColumn id="1" xr3:uid="{0BBAA46E-DEA4-436B-8E22-09EC50684B1F}" name="PIS/PASEP" dataDxfId="5"/>
    <tableColumn id="2" xr3:uid="{EC662CD8-2AAD-4701-BFAD-EEC51A73222B}" name="Filial ID" dataDxfId="4"/>
    <tableColumn id="3" xr3:uid="{E05F54C9-B400-4495-BB47-F1FB4F101A29}" name="Data Desligamento" dataDxfId="3"/>
    <tableColumn id="4" xr3:uid="{85198AFB-636A-41BE-BCC0-A78EFC93A08D}" name="Data Petição" dataDxfId="2"/>
    <tableColumn id="5" xr3:uid="{0C003DEB-AA1F-40DE-B4FC-3140959F2286}" name="Ano-Mês Desligamento" dataDxfId="1">
      <calculatedColumnFormula>IF(MONTH(Tabela1[[#This Row],[Data Desligamento]])&lt;10,YEAR(Tabela1[[#This Row],[Data Desligamento]])&amp;"-0"&amp;MONTH(Tabela1[[#This Row],[Data Desligamento]]),YEAR(Tabela1[[#This Row],[Data Desligamento]])&amp;"-"&amp;MONTH(Tabela1[[#This Row],[Data Desligamento]]))</calculatedColumnFormula>
    </tableColumn>
    <tableColumn id="6" xr3:uid="{4DBD2121-D025-43BC-918A-86F3BE801C61}" name="Ano-Mês Petição" dataDxfId="0">
      <calculatedColumnFormula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O1" zoomScaleNormal="100" workbookViewId="0">
      <selection activeCell="U6" sqref="S6:U20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39" t="s">
        <v>0</v>
      </c>
      <c r="C2" s="40"/>
      <c r="F2" s="42" t="s">
        <v>16</v>
      </c>
      <c r="G2" s="43"/>
      <c r="H2" s="43"/>
      <c r="I2" s="43"/>
      <c r="J2" s="43"/>
      <c r="L2" s="43" t="s">
        <v>18</v>
      </c>
      <c r="M2" s="43"/>
      <c r="N2" s="43"/>
      <c r="O2" s="43"/>
      <c r="P2" s="43"/>
      <c r="Q2" s="43"/>
      <c r="S2" s="42" t="s">
        <v>20</v>
      </c>
      <c r="T2" s="43"/>
      <c r="U2" s="43"/>
      <c r="V2" s="43"/>
      <c r="W2" s="43"/>
      <c r="X2" s="43"/>
      <c r="Z2" s="47" t="str">
        <f ca="1">"Atualizado em "&amp;TEXT(TODAY(),"dd/mmm/aaaa")</f>
        <v>Atualizado em 15/dez/2025</v>
      </c>
      <c r="AA2" s="47"/>
      <c r="AB2" s="47"/>
      <c r="AC2" s="47"/>
      <c r="AD2" s="47"/>
      <c r="AE2" s="47"/>
    </row>
    <row r="3" spans="1:31" x14ac:dyDescent="0.35">
      <c r="A3" s="2"/>
      <c r="B3" s="24" t="s">
        <v>1</v>
      </c>
      <c r="C3" s="5" t="s">
        <v>92</v>
      </c>
    </row>
    <row r="4" spans="1:31" x14ac:dyDescent="0.35">
      <c r="A4" s="2"/>
      <c r="B4" s="24" t="s">
        <v>2</v>
      </c>
      <c r="C4" s="5" t="s">
        <v>93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42" t="s">
        <v>28</v>
      </c>
      <c r="AA4" s="43"/>
      <c r="AB4" s="43"/>
      <c r="AC4" s="43"/>
      <c r="AD4" s="43"/>
      <c r="AE4" s="43"/>
    </row>
    <row r="5" spans="1:31" x14ac:dyDescent="0.35">
      <c r="A5" s="2"/>
      <c r="B5" s="25" t="s">
        <v>3</v>
      </c>
      <c r="C5" s="5" t="s">
        <v>47</v>
      </c>
      <c r="F5" s="4">
        <f t="shared" ref="F5:F16" si="0">DATE($C$9,E7,1)</f>
        <v>49310</v>
      </c>
      <c r="G5" s="36">
        <v>0.22222222222222221</v>
      </c>
      <c r="H5" s="36">
        <v>0.21184929971664709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0.22222222222222221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8" t="s">
        <v>95</v>
      </c>
      <c r="T5" s="38" t="s">
        <v>94</v>
      </c>
      <c r="U5" s="6">
        <v>49345</v>
      </c>
      <c r="V5" s="6">
        <v>49345</v>
      </c>
      <c r="W5" s="4">
        <f>IF(V5="","",DATE(YEAR(V5),MONTH(V5),1))</f>
        <v>49341</v>
      </c>
      <c r="X5" s="3">
        <f>IFERROR(VLOOKUP(V5,Auxiliar!$T$3:$X$367,5,FALSE),"")</f>
        <v>6</v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36"/>
      <c r="H6" s="36">
        <v>0.20994524337937476</v>
      </c>
      <c r="I6" s="21" t="str">
        <f t="shared" si="1"/>
        <v/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38" t="s">
        <v>104</v>
      </c>
      <c r="T6" s="38" t="s">
        <v>96</v>
      </c>
      <c r="U6" s="6">
        <v>49358</v>
      </c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44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22,2% (1,0% pior do que meta de 21,2%).</v>
      </c>
      <c r="AA6" s="44"/>
      <c r="AB6" s="44"/>
      <c r="AC6" s="44"/>
      <c r="AD6" s="44"/>
      <c r="AE6" s="44"/>
    </row>
    <row r="7" spans="1:31" x14ac:dyDescent="0.35">
      <c r="A7" s="2"/>
      <c r="E7" s="3">
        <v>1</v>
      </c>
      <c r="F7" s="4">
        <f t="shared" si="0"/>
        <v>49369</v>
      </c>
      <c r="G7" s="36"/>
      <c r="H7" s="36">
        <v>0.20804118704210242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38" t="s">
        <v>114</v>
      </c>
      <c r="T7" s="38" t="s">
        <v>96</v>
      </c>
      <c r="U7" s="6">
        <v>49358</v>
      </c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1" t="s">
        <v>7</v>
      </c>
      <c r="C8" s="41"/>
      <c r="E8" s="3">
        <f>E7+1</f>
        <v>2</v>
      </c>
      <c r="F8" s="4">
        <f t="shared" si="0"/>
        <v>49400</v>
      </c>
      <c r="G8" s="36"/>
      <c r="H8" s="36">
        <v>0.20613713070483011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38" t="s">
        <v>109</v>
      </c>
      <c r="T8" s="38" t="s">
        <v>96</v>
      </c>
      <c r="U8" s="6">
        <v>49359</v>
      </c>
      <c r="V8" s="6"/>
      <c r="W8" s="4" t="str">
        <f t="shared" si="6"/>
        <v/>
      </c>
      <c r="X8" s="3" t="str">
        <f>IFERROR(VLOOKUP(V8,Auxiliar!$T$3:$X$367,5,FALSE),"")</f>
        <v/>
      </c>
      <c r="AA8" s="45" t="str">
        <f>C3&amp;" ("&amp;Auxiliar!G3&amp;")"</f>
        <v>Entrada de Processos Trabalhistas (%)</v>
      </c>
      <c r="AB8" s="45"/>
      <c r="AC8" s="45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36"/>
      <c r="H9" s="36">
        <v>0.20423307436755778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38" t="s">
        <v>105</v>
      </c>
      <c r="T9" s="38" t="s">
        <v>96</v>
      </c>
      <c r="U9" s="6">
        <v>49365</v>
      </c>
      <c r="V9" s="6"/>
      <c r="W9" s="4" t="str">
        <f t="shared" si="6"/>
        <v/>
      </c>
      <c r="X9" s="3" t="str">
        <f>IFERROR(VLOOKUP(V9,Auxiliar!$T$3:$X$367,5,FALSE),"")</f>
        <v/>
      </c>
      <c r="AA9" s="45"/>
      <c r="AB9" s="45"/>
      <c r="AC9" s="45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81</v>
      </c>
      <c r="E10" s="3">
        <f t="shared" si="7"/>
        <v>4</v>
      </c>
      <c r="F10" s="4">
        <f t="shared" si="0"/>
        <v>49461</v>
      </c>
      <c r="G10" s="36"/>
      <c r="H10" s="36">
        <v>0.20232901803028544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38" t="s">
        <v>106</v>
      </c>
      <c r="T10" s="38" t="s">
        <v>96</v>
      </c>
      <c r="U10" s="6">
        <v>49368</v>
      </c>
      <c r="V10" s="6"/>
      <c r="W10" s="4" t="str">
        <f t="shared" si="6"/>
        <v/>
      </c>
      <c r="X10" s="3" t="str">
        <f>IFERROR(VLOOKUP(V10,Auxiliar!$T$3:$X$367,5,FALSE),"")</f>
        <v/>
      </c>
      <c r="Z10" s="46" t="str">
        <f>C4</f>
        <v>Núm. Processos Trabalhistas Recebidos / Núm. Funcionários em Loja Desligados</v>
      </c>
      <c r="AA10" s="46"/>
      <c r="AB10" s="46"/>
      <c r="AC10" s="46"/>
      <c r="AD10" s="46"/>
      <c r="AE10" s="46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36"/>
      <c r="H11" s="36">
        <v>0.20042496169301313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38" t="s">
        <v>110</v>
      </c>
      <c r="T11" s="38" t="s">
        <v>96</v>
      </c>
      <c r="U11" s="6">
        <v>49368</v>
      </c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36"/>
      <c r="H12" s="36">
        <v>0.1985209053557408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38" t="s">
        <v>111</v>
      </c>
      <c r="T12" s="38" t="s">
        <v>96</v>
      </c>
      <c r="U12" s="6">
        <v>49368</v>
      </c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36"/>
      <c r="H13" s="36">
        <v>0.19661684901846849</v>
      </c>
      <c r="I13" s="21" t="str">
        <f t="shared" si="1"/>
        <v/>
      </c>
      <c r="J13" s="21" t="str">
        <f t="shared" si="2"/>
        <v/>
      </c>
      <c r="S13" s="38" t="s">
        <v>107</v>
      </c>
      <c r="T13" s="38" t="s">
        <v>97</v>
      </c>
      <c r="U13" s="6">
        <v>49359</v>
      </c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36"/>
      <c r="H14" s="36">
        <v>0.19471279268119615</v>
      </c>
      <c r="I14" s="21" t="str">
        <f t="shared" si="1"/>
        <v/>
      </c>
      <c r="J14" s="21" t="str">
        <f t="shared" si="2"/>
        <v/>
      </c>
      <c r="S14" s="38" t="s">
        <v>108</v>
      </c>
      <c r="T14" s="38" t="s">
        <v>97</v>
      </c>
      <c r="U14" s="6">
        <v>49360</v>
      </c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36"/>
      <c r="H15" s="36">
        <v>0.19280873634392381</v>
      </c>
      <c r="I15" s="21" t="str">
        <f t="shared" si="1"/>
        <v/>
      </c>
      <c r="J15" s="21" t="str">
        <f t="shared" si="2"/>
        <v/>
      </c>
      <c r="S15" s="38" t="s">
        <v>112</v>
      </c>
      <c r="T15" s="38" t="s">
        <v>97</v>
      </c>
      <c r="U15" s="6">
        <v>49368</v>
      </c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36"/>
      <c r="H16" s="36">
        <v>0.19153936545240893</v>
      </c>
      <c r="I16" s="21" t="str">
        <f t="shared" si="1"/>
        <v/>
      </c>
      <c r="J16" s="21" t="str">
        <f t="shared" si="2"/>
        <v/>
      </c>
      <c r="S16" s="38" t="s">
        <v>100</v>
      </c>
      <c r="T16" s="38" t="s">
        <v>99</v>
      </c>
      <c r="U16" s="6">
        <v>49359</v>
      </c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38" t="s">
        <v>101</v>
      </c>
      <c r="T17" s="38" t="s">
        <v>99</v>
      </c>
      <c r="U17" s="6">
        <v>49362</v>
      </c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38" t="s">
        <v>102</v>
      </c>
      <c r="T18" s="38" t="s">
        <v>99</v>
      </c>
      <c r="U18" s="6">
        <v>49365</v>
      </c>
      <c r="V18" s="6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38" t="s">
        <v>103</v>
      </c>
      <c r="T19" s="38" t="s">
        <v>99</v>
      </c>
      <c r="U19" s="6">
        <v>49368</v>
      </c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38" t="s">
        <v>113</v>
      </c>
      <c r="T20" s="38" t="s">
        <v>98</v>
      </c>
      <c r="U20" s="6">
        <v>49368</v>
      </c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42" t="s">
        <v>29</v>
      </c>
      <c r="AA29" s="43"/>
      <c r="AB29" s="43"/>
      <c r="AC29" s="43"/>
      <c r="AD29" s="43"/>
      <c r="AE29" s="43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44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0,0% (0,0% melhor do que meta de 0,0%).</v>
      </c>
      <c r="AA31" s="44"/>
      <c r="AB31" s="44"/>
      <c r="AC31" s="44"/>
      <c r="AD31" s="44"/>
      <c r="AE31" s="44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45" t="str">
        <f>C3&amp;" ("&amp;Auxiliar!G3&amp;")"</f>
        <v>Entrada de Processos Trabalhistas (%)</v>
      </c>
      <c r="AB33" s="45"/>
      <c r="AC33" s="45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45"/>
      <c r="AB34" s="45"/>
      <c r="AC34" s="45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46" t="str">
        <f>C4</f>
        <v>Núm. Processos Trabalhistas Recebidos / Núm. Funcionários em Loja Desligados</v>
      </c>
      <c r="AB35" s="46"/>
      <c r="AC35" s="46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AA35:AC35"/>
    <mergeCell ref="L2:Q2"/>
    <mergeCell ref="F2:J2"/>
    <mergeCell ref="Z4:AE4"/>
    <mergeCell ref="Z29:AE29"/>
    <mergeCell ref="Z6:AE6"/>
    <mergeCell ref="AA8:AC9"/>
    <mergeCell ref="Z2:AE2"/>
    <mergeCell ref="B2:C2"/>
    <mergeCell ref="B8:C8"/>
    <mergeCell ref="S2:X2"/>
    <mergeCell ref="Z31:AE31"/>
    <mergeCell ref="AA33:AC34"/>
    <mergeCell ref="Z10:AE10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A1:L6198"/>
  <sheetViews>
    <sheetView workbookViewId="0">
      <selection activeCell="L4" sqref="L4"/>
    </sheetView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90</v>
      </c>
      <c r="K1" s="29" t="s">
        <v>89</v>
      </c>
      <c r="L1" t="s">
        <v>90</v>
      </c>
    </row>
    <row r="2" spans="1:12" x14ac:dyDescent="0.35">
      <c r="A2" s="3">
        <v>19797464187</v>
      </c>
      <c r="B2" s="3">
        <v>9</v>
      </c>
      <c r="C2" s="32">
        <v>49096</v>
      </c>
      <c r="D2" s="32"/>
      <c r="E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/>
      <c r="E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4">
        <v>801</v>
      </c>
      <c r="K4">
        <v>178</v>
      </c>
      <c r="L4" s="35">
        <f>K4/H4</f>
        <v>0.22222222222222221</v>
      </c>
    </row>
    <row r="5" spans="1:12" x14ac:dyDescent="0.35">
      <c r="A5" s="3">
        <v>28403151297</v>
      </c>
      <c r="B5" s="3">
        <v>43</v>
      </c>
      <c r="C5" s="32">
        <v>49096</v>
      </c>
      <c r="D5" s="32"/>
      <c r="E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 t="s">
        <v>87</v>
      </c>
      <c r="E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/>
      <c r="E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 t="s">
        <v>87</v>
      </c>
      <c r="E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 t="s">
        <v>87</v>
      </c>
      <c r="E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 t="s">
        <v>87</v>
      </c>
      <c r="E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 t="s">
        <v>87</v>
      </c>
      <c r="E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/>
      <c r="E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 t="s">
        <v>87</v>
      </c>
      <c r="E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/>
      <c r="E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 t="s">
        <v>87</v>
      </c>
      <c r="E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/>
      <c r="E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/>
      <c r="E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 t="s">
        <v>87</v>
      </c>
      <c r="E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 t="s">
        <v>87</v>
      </c>
      <c r="E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/>
      <c r="E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 t="s">
        <v>87</v>
      </c>
      <c r="E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 t="s">
        <v>87</v>
      </c>
      <c r="E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 t="s">
        <v>87</v>
      </c>
      <c r="E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 t="s">
        <v>87</v>
      </c>
      <c r="E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 t="s">
        <v>87</v>
      </c>
      <c r="E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 t="s">
        <v>87</v>
      </c>
      <c r="E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/>
      <c r="E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/>
      <c r="E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 t="s">
        <v>87</v>
      </c>
      <c r="E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/>
      <c r="E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/>
      <c r="E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 t="s">
        <v>87</v>
      </c>
      <c r="E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 t="s">
        <v>87</v>
      </c>
      <c r="E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/>
      <c r="E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/>
      <c r="E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/>
      <c r="E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 t="s">
        <v>87</v>
      </c>
      <c r="E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 t="s">
        <v>87</v>
      </c>
      <c r="E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 t="s">
        <v>87</v>
      </c>
      <c r="E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 t="s">
        <v>87</v>
      </c>
      <c r="E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 t="s">
        <v>87</v>
      </c>
      <c r="E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/>
      <c r="E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/>
      <c r="E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 t="s">
        <v>87</v>
      </c>
      <c r="E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/>
      <c r="E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 t="s">
        <v>87</v>
      </c>
      <c r="E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 t="s">
        <v>87</v>
      </c>
      <c r="E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/>
      <c r="E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/>
      <c r="E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/>
      <c r="E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/>
      <c r="E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 t="s">
        <v>87</v>
      </c>
      <c r="E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 t="s">
        <v>87</v>
      </c>
      <c r="E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 t="s">
        <v>87</v>
      </c>
      <c r="E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 t="s">
        <v>87</v>
      </c>
      <c r="E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/>
      <c r="E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 t="s">
        <v>87</v>
      </c>
      <c r="E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/>
      <c r="E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 t="s">
        <v>87</v>
      </c>
      <c r="E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/>
      <c r="E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/>
      <c r="E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 t="s">
        <v>87</v>
      </c>
      <c r="E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/>
      <c r="E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 t="s">
        <v>87</v>
      </c>
      <c r="E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 t="s">
        <v>87</v>
      </c>
      <c r="E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/>
      <c r="E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 t="s">
        <v>87</v>
      </c>
      <c r="E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/>
      <c r="E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 t="s">
        <v>87</v>
      </c>
      <c r="E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 t="s">
        <v>87</v>
      </c>
      <c r="E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 t="s">
        <v>87</v>
      </c>
      <c r="E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 t="s">
        <v>87</v>
      </c>
      <c r="E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/>
      <c r="E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 t="s">
        <v>87</v>
      </c>
      <c r="E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/>
      <c r="E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 t="s">
        <v>87</v>
      </c>
      <c r="E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 t="s">
        <v>87</v>
      </c>
      <c r="E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/>
      <c r="E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 t="s">
        <v>87</v>
      </c>
      <c r="E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 t="s">
        <v>87</v>
      </c>
      <c r="E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 t="s">
        <v>87</v>
      </c>
      <c r="E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 t="s">
        <v>87</v>
      </c>
      <c r="E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/>
      <c r="E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/>
      <c r="E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/>
      <c r="E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/>
      <c r="E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 t="s">
        <v>87</v>
      </c>
      <c r="E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 t="s">
        <v>87</v>
      </c>
      <c r="E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 t="s">
        <v>87</v>
      </c>
      <c r="E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/>
      <c r="E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 t="s">
        <v>87</v>
      </c>
      <c r="E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 t="s">
        <v>87</v>
      </c>
      <c r="E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/>
      <c r="E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/>
      <c r="E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/>
      <c r="E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/>
      <c r="E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/>
      <c r="E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 t="s">
        <v>87</v>
      </c>
      <c r="E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/>
      <c r="E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 t="s">
        <v>87</v>
      </c>
      <c r="E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 t="s">
        <v>87</v>
      </c>
      <c r="E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 t="s">
        <v>87</v>
      </c>
      <c r="E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 t="s">
        <v>87</v>
      </c>
      <c r="E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/>
      <c r="E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 t="s">
        <v>87</v>
      </c>
      <c r="E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/>
      <c r="E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/>
      <c r="E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/>
      <c r="E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 t="s">
        <v>87</v>
      </c>
      <c r="E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 t="s">
        <v>87</v>
      </c>
      <c r="E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 t="s">
        <v>87</v>
      </c>
      <c r="E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 t="s">
        <v>87</v>
      </c>
      <c r="E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/>
      <c r="E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/>
      <c r="E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/>
      <c r="E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/>
      <c r="E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/>
      <c r="E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/>
      <c r="E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/>
      <c r="E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/>
      <c r="E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 t="s">
        <v>87</v>
      </c>
      <c r="E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 t="s">
        <v>87</v>
      </c>
      <c r="E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 t="s">
        <v>87</v>
      </c>
      <c r="E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/>
      <c r="E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 t="s">
        <v>87</v>
      </c>
      <c r="E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/>
      <c r="E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/>
      <c r="E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/>
      <c r="E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/>
      <c r="E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/>
      <c r="E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/>
      <c r="E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/>
      <c r="E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/>
      <c r="E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 t="s">
        <v>87</v>
      </c>
      <c r="E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 t="s">
        <v>87</v>
      </c>
      <c r="E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/>
      <c r="E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 t="s">
        <v>87</v>
      </c>
      <c r="E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/>
      <c r="E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 t="s">
        <v>87</v>
      </c>
      <c r="E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 t="s">
        <v>87</v>
      </c>
      <c r="E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 t="s">
        <v>87</v>
      </c>
      <c r="E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 t="s">
        <v>87</v>
      </c>
      <c r="E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/>
      <c r="E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/>
      <c r="E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/>
      <c r="E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 t="s">
        <v>87</v>
      </c>
      <c r="E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 t="s">
        <v>87</v>
      </c>
      <c r="E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/>
      <c r="E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/>
      <c r="E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/>
      <c r="E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 t="s">
        <v>87</v>
      </c>
      <c r="E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 t="s">
        <v>87</v>
      </c>
      <c r="E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 t="s">
        <v>87</v>
      </c>
      <c r="E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/>
      <c r="E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 t="s">
        <v>87</v>
      </c>
      <c r="E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 t="s">
        <v>87</v>
      </c>
      <c r="E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/>
      <c r="E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/>
      <c r="E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 t="s">
        <v>87</v>
      </c>
      <c r="E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 t="s">
        <v>87</v>
      </c>
      <c r="E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 t="s">
        <v>87</v>
      </c>
      <c r="E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 t="s">
        <v>87</v>
      </c>
      <c r="E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/>
      <c r="E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 t="s">
        <v>87</v>
      </c>
      <c r="E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 t="s">
        <v>87</v>
      </c>
      <c r="E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/>
      <c r="E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/>
      <c r="E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/>
      <c r="E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/>
      <c r="E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/>
      <c r="E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/>
      <c r="E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 t="s">
        <v>87</v>
      </c>
      <c r="E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 t="s">
        <v>87</v>
      </c>
      <c r="E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 t="s">
        <v>87</v>
      </c>
      <c r="E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 t="s">
        <v>87</v>
      </c>
      <c r="E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 t="s">
        <v>87</v>
      </c>
      <c r="E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/>
      <c r="E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 t="s">
        <v>87</v>
      </c>
      <c r="E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 t="s">
        <v>87</v>
      </c>
      <c r="E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/>
      <c r="E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 t="s">
        <v>87</v>
      </c>
      <c r="E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/>
      <c r="E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 t="s">
        <v>87</v>
      </c>
      <c r="E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/>
      <c r="E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/>
      <c r="E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/>
      <c r="E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/>
      <c r="E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/>
      <c r="E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 t="s">
        <v>87</v>
      </c>
      <c r="E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 t="s">
        <v>87</v>
      </c>
      <c r="E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/>
      <c r="E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/>
      <c r="E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/>
      <c r="E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/>
      <c r="E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 t="s">
        <v>87</v>
      </c>
      <c r="E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 t="s">
        <v>87</v>
      </c>
      <c r="E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 t="s">
        <v>87</v>
      </c>
      <c r="E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 t="s">
        <v>87</v>
      </c>
      <c r="E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 t="s">
        <v>87</v>
      </c>
      <c r="E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 t="s">
        <v>87</v>
      </c>
      <c r="E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 t="s">
        <v>87</v>
      </c>
      <c r="E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/>
      <c r="E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 t="s">
        <v>87</v>
      </c>
      <c r="E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 t="s">
        <v>87</v>
      </c>
      <c r="E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 t="s">
        <v>87</v>
      </c>
      <c r="E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 t="s">
        <v>87</v>
      </c>
      <c r="E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 t="s">
        <v>87</v>
      </c>
      <c r="E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/>
      <c r="E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 t="s">
        <v>87</v>
      </c>
      <c r="E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/>
      <c r="E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 t="s">
        <v>87</v>
      </c>
      <c r="E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 t="s">
        <v>87</v>
      </c>
      <c r="E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 t="s">
        <v>87</v>
      </c>
      <c r="E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 t="s">
        <v>87</v>
      </c>
      <c r="E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/>
      <c r="E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 t="s">
        <v>87</v>
      </c>
      <c r="E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 t="s">
        <v>87</v>
      </c>
      <c r="E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/>
      <c r="E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 t="s">
        <v>87</v>
      </c>
      <c r="E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/>
      <c r="E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/>
      <c r="E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 t="s">
        <v>87</v>
      </c>
      <c r="E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 t="s">
        <v>87</v>
      </c>
      <c r="E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 t="s">
        <v>87</v>
      </c>
      <c r="E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 t="s">
        <v>87</v>
      </c>
      <c r="E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/>
      <c r="E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/>
      <c r="E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 t="s">
        <v>87</v>
      </c>
      <c r="E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/>
      <c r="E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 t="s">
        <v>87</v>
      </c>
      <c r="E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 t="s">
        <v>87</v>
      </c>
      <c r="E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 t="s">
        <v>87</v>
      </c>
      <c r="E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 t="s">
        <v>87</v>
      </c>
      <c r="E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 t="s">
        <v>87</v>
      </c>
      <c r="E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 t="s">
        <v>87</v>
      </c>
      <c r="E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 t="s">
        <v>87</v>
      </c>
      <c r="E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 t="s">
        <v>87</v>
      </c>
      <c r="E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 t="s">
        <v>87</v>
      </c>
      <c r="E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 t="s">
        <v>87</v>
      </c>
      <c r="E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 t="s">
        <v>87</v>
      </c>
      <c r="E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/>
      <c r="E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/>
      <c r="E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/>
      <c r="E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/>
      <c r="E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 t="s">
        <v>87</v>
      </c>
      <c r="E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 t="s">
        <v>87</v>
      </c>
      <c r="E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 t="s">
        <v>87</v>
      </c>
      <c r="E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 t="s">
        <v>87</v>
      </c>
      <c r="E1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/>
      <c r="E1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/>
      <c r="E1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/>
      <c r="E1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/>
      <c r="E1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 t="s">
        <v>87</v>
      </c>
      <c r="E1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/>
      <c r="E1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 t="s">
        <v>87</v>
      </c>
      <c r="E1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/>
      <c r="E1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/>
      <c r="E1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 t="s">
        <v>87</v>
      </c>
      <c r="E1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/>
      <c r="E1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 t="s">
        <v>87</v>
      </c>
      <c r="E1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 t="s">
        <v>87</v>
      </c>
      <c r="E1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 t="s">
        <v>87</v>
      </c>
      <c r="E1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 t="s">
        <v>87</v>
      </c>
      <c r="E1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/>
      <c r="E1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/>
      <c r="E1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/>
      <c r="E1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/>
      <c r="E1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 t="s">
        <v>87</v>
      </c>
      <c r="E1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 t="s">
        <v>87</v>
      </c>
      <c r="E1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 t="s">
        <v>87</v>
      </c>
      <c r="E1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 t="s">
        <v>87</v>
      </c>
      <c r="E1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 t="s">
        <v>87</v>
      </c>
      <c r="E1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 t="s">
        <v>87</v>
      </c>
      <c r="E1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 t="s">
        <v>87</v>
      </c>
      <c r="E1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/>
      <c r="E1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/>
      <c r="E1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/>
      <c r="E1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/>
      <c r="E1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 t="s">
        <v>87</v>
      </c>
      <c r="E1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/>
      <c r="E1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/>
      <c r="E1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 t="s">
        <v>87</v>
      </c>
      <c r="E1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/>
      <c r="E1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 t="s">
        <v>87</v>
      </c>
      <c r="E1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 t="s">
        <v>87</v>
      </c>
      <c r="E1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 t="s">
        <v>87</v>
      </c>
      <c r="E1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/>
      <c r="E1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/>
      <c r="E1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 t="s">
        <v>87</v>
      </c>
      <c r="E1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/>
      <c r="E1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/>
      <c r="E1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 t="s">
        <v>87</v>
      </c>
      <c r="E1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 t="s">
        <v>87</v>
      </c>
      <c r="E1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 t="s">
        <v>87</v>
      </c>
      <c r="E1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 t="s">
        <v>87</v>
      </c>
      <c r="E1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 t="s">
        <v>87</v>
      </c>
      <c r="E1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/>
      <c r="E1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 t="s">
        <v>87</v>
      </c>
      <c r="E1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 t="s">
        <v>87</v>
      </c>
      <c r="E1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 t="s">
        <v>87</v>
      </c>
      <c r="E1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 t="s">
        <v>87</v>
      </c>
      <c r="E1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/>
      <c r="E1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/>
      <c r="E1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 t="s">
        <v>87</v>
      </c>
      <c r="E1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 t="s">
        <v>87</v>
      </c>
      <c r="E1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 t="s">
        <v>87</v>
      </c>
      <c r="E1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/>
      <c r="E1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/>
      <c r="E1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/>
      <c r="E1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/>
      <c r="E1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 t="s">
        <v>87</v>
      </c>
      <c r="E1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 t="s">
        <v>87</v>
      </c>
      <c r="E1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/>
      <c r="E1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 t="s">
        <v>87</v>
      </c>
      <c r="E1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 t="s">
        <v>87</v>
      </c>
      <c r="E1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 t="s">
        <v>87</v>
      </c>
      <c r="E1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 t="s">
        <v>87</v>
      </c>
      <c r="E1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 t="s">
        <v>87</v>
      </c>
      <c r="E1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 t="s">
        <v>87</v>
      </c>
      <c r="E1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 t="s">
        <v>87</v>
      </c>
      <c r="E1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 t="s">
        <v>87</v>
      </c>
      <c r="E1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/>
      <c r="E1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/>
      <c r="E1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 t="s">
        <v>87</v>
      </c>
      <c r="E1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/>
      <c r="E1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/>
      <c r="E1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/>
      <c r="E1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/>
      <c r="E1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 t="s">
        <v>87</v>
      </c>
      <c r="E1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/>
      <c r="E1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 t="s">
        <v>87</v>
      </c>
      <c r="E1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/>
      <c r="E1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/>
      <c r="E1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/>
      <c r="E1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 t="s">
        <v>87</v>
      </c>
      <c r="E1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/>
      <c r="E1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 t="s">
        <v>87</v>
      </c>
      <c r="E1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/>
      <c r="E1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 t="s">
        <v>87</v>
      </c>
      <c r="E1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/>
      <c r="E1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 t="s">
        <v>87</v>
      </c>
      <c r="E1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 t="s">
        <v>87</v>
      </c>
      <c r="E1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 t="s">
        <v>87</v>
      </c>
      <c r="E1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/>
      <c r="E1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/>
      <c r="E1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 t="s">
        <v>87</v>
      </c>
      <c r="E1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/>
      <c r="E1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/>
      <c r="E1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/>
      <c r="E1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 t="s">
        <v>87</v>
      </c>
      <c r="E1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/>
      <c r="E1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/>
      <c r="E1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 t="s">
        <v>87</v>
      </c>
      <c r="E1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/>
      <c r="E1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/>
      <c r="E1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/>
      <c r="E1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/>
      <c r="E1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/>
      <c r="E1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/>
      <c r="E1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 t="s">
        <v>87</v>
      </c>
      <c r="E1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/>
      <c r="E1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 t="s">
        <v>87</v>
      </c>
      <c r="E1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/>
      <c r="E1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 t="s">
        <v>87</v>
      </c>
      <c r="E1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/>
      <c r="E1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/>
      <c r="E1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 t="s">
        <v>87</v>
      </c>
      <c r="E1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/>
      <c r="E1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 t="s">
        <v>87</v>
      </c>
      <c r="E1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 t="s">
        <v>87</v>
      </c>
      <c r="E1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/>
      <c r="E1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 t="s">
        <v>87</v>
      </c>
      <c r="E1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/>
      <c r="E1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/>
      <c r="E1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 t="s">
        <v>87</v>
      </c>
      <c r="E1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/>
      <c r="E1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/>
      <c r="E1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/>
      <c r="E1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/>
      <c r="E1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/>
      <c r="E1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 t="s">
        <v>87</v>
      </c>
      <c r="E1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 t="s">
        <v>87</v>
      </c>
      <c r="E1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/>
      <c r="E1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/>
      <c r="E1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/>
      <c r="E1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/>
      <c r="E1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 t="s">
        <v>87</v>
      </c>
      <c r="E1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 t="s">
        <v>87</v>
      </c>
      <c r="E1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 t="s">
        <v>87</v>
      </c>
      <c r="E1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 t="s">
        <v>87</v>
      </c>
      <c r="E1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/>
      <c r="E1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/>
      <c r="E1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 t="s">
        <v>87</v>
      </c>
      <c r="E1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 t="s">
        <v>87</v>
      </c>
      <c r="E1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 t="s">
        <v>87</v>
      </c>
      <c r="E1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/>
      <c r="E1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/>
      <c r="E1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 t="s">
        <v>87</v>
      </c>
      <c r="E1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/>
      <c r="E1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 t="s">
        <v>87</v>
      </c>
      <c r="E1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/>
      <c r="E1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 t="s">
        <v>87</v>
      </c>
      <c r="E1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/>
      <c r="E1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 t="s">
        <v>87</v>
      </c>
      <c r="E1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 t="s">
        <v>87</v>
      </c>
      <c r="E1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 t="s">
        <v>87</v>
      </c>
      <c r="E1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 t="s">
        <v>87</v>
      </c>
      <c r="E1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 t="s">
        <v>87</v>
      </c>
      <c r="E1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/>
      <c r="E1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 t="s">
        <v>87</v>
      </c>
      <c r="E1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/>
      <c r="E1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 t="s">
        <v>87</v>
      </c>
      <c r="E1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 t="s">
        <v>87</v>
      </c>
      <c r="E1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/>
      <c r="E1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/>
      <c r="E1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/>
      <c r="E1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 t="s">
        <v>87</v>
      </c>
      <c r="E1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 t="s">
        <v>87</v>
      </c>
      <c r="E1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/>
      <c r="E1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 t="s">
        <v>87</v>
      </c>
      <c r="E1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 t="s">
        <v>87</v>
      </c>
      <c r="E1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 t="s">
        <v>87</v>
      </c>
      <c r="E1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/>
      <c r="E1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/>
      <c r="E1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/>
      <c r="E1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 t="s">
        <v>87</v>
      </c>
      <c r="E1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/>
      <c r="E1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/>
      <c r="E1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 t="s">
        <v>87</v>
      </c>
      <c r="E1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 t="s">
        <v>87</v>
      </c>
      <c r="E1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/>
      <c r="E1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 t="s">
        <v>87</v>
      </c>
      <c r="E1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 t="s">
        <v>87</v>
      </c>
      <c r="E1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 t="s">
        <v>87</v>
      </c>
      <c r="E1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 t="s">
        <v>87</v>
      </c>
      <c r="E1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 t="s">
        <v>87</v>
      </c>
      <c r="E1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 t="s">
        <v>87</v>
      </c>
      <c r="E1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/>
      <c r="E1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 t="s">
        <v>87</v>
      </c>
      <c r="E1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 t="s">
        <v>87</v>
      </c>
      <c r="E1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 t="s">
        <v>87</v>
      </c>
      <c r="E1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 t="s">
        <v>87</v>
      </c>
      <c r="E1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/>
      <c r="E1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 t="s">
        <v>87</v>
      </c>
      <c r="E1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/>
      <c r="E1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/>
      <c r="E1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/>
      <c r="E1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 t="s">
        <v>87</v>
      </c>
      <c r="E1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/>
      <c r="E1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 t="s">
        <v>87</v>
      </c>
      <c r="E1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 t="s">
        <v>87</v>
      </c>
      <c r="E1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/>
      <c r="E1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 t="s">
        <v>87</v>
      </c>
      <c r="E1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 t="s">
        <v>87</v>
      </c>
      <c r="E1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 t="s">
        <v>87</v>
      </c>
      <c r="E1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 t="s">
        <v>87</v>
      </c>
      <c r="E1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 t="s">
        <v>87</v>
      </c>
      <c r="E1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/>
      <c r="E1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 t="s">
        <v>87</v>
      </c>
      <c r="E1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/>
      <c r="E1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 t="s">
        <v>87</v>
      </c>
      <c r="E1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 t="s">
        <v>87</v>
      </c>
      <c r="E1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 t="s">
        <v>87</v>
      </c>
      <c r="E1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 t="s">
        <v>87</v>
      </c>
      <c r="E1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 t="s">
        <v>87</v>
      </c>
      <c r="E1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 t="s">
        <v>87</v>
      </c>
      <c r="E1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 t="s">
        <v>87</v>
      </c>
      <c r="E1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/>
      <c r="E1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/>
      <c r="E1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/>
      <c r="E1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/>
      <c r="E1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 t="s">
        <v>87</v>
      </c>
      <c r="E1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/>
      <c r="E1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 t="s">
        <v>87</v>
      </c>
      <c r="E1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/>
      <c r="E1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/>
      <c r="E1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 t="s">
        <v>87</v>
      </c>
      <c r="E1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 t="s">
        <v>87</v>
      </c>
      <c r="E1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 t="s">
        <v>87</v>
      </c>
      <c r="E1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 t="s">
        <v>87</v>
      </c>
      <c r="E1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 t="s">
        <v>87</v>
      </c>
      <c r="E1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 t="s">
        <v>87</v>
      </c>
      <c r="E2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/>
      <c r="E2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 t="s">
        <v>87</v>
      </c>
      <c r="E2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/>
      <c r="E2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/>
      <c r="E2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 t="s">
        <v>87</v>
      </c>
      <c r="E2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 t="s">
        <v>87</v>
      </c>
      <c r="E2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 t="s">
        <v>87</v>
      </c>
      <c r="E2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 t="s">
        <v>87</v>
      </c>
      <c r="E2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 t="s">
        <v>87</v>
      </c>
      <c r="E2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 t="s">
        <v>87</v>
      </c>
      <c r="E2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/>
      <c r="E2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/>
      <c r="E2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 t="s">
        <v>87</v>
      </c>
      <c r="E2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/>
      <c r="E2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 t="s">
        <v>87</v>
      </c>
      <c r="E2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 t="s">
        <v>87</v>
      </c>
      <c r="E2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 t="s">
        <v>87</v>
      </c>
      <c r="E2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/>
      <c r="E2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 t="s">
        <v>87</v>
      </c>
      <c r="E2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 t="s">
        <v>87</v>
      </c>
      <c r="E2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 t="s">
        <v>87</v>
      </c>
      <c r="E2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 t="s">
        <v>87</v>
      </c>
      <c r="E2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 t="s">
        <v>87</v>
      </c>
      <c r="E2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 t="s">
        <v>87</v>
      </c>
      <c r="E2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 t="s">
        <v>87</v>
      </c>
      <c r="E2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 t="s">
        <v>87</v>
      </c>
      <c r="E2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 t="s">
        <v>87</v>
      </c>
      <c r="E2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 t="s">
        <v>87</v>
      </c>
      <c r="E2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 t="s">
        <v>87</v>
      </c>
      <c r="E2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 t="s">
        <v>87</v>
      </c>
      <c r="E2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 t="s">
        <v>87</v>
      </c>
      <c r="E2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 t="s">
        <v>87</v>
      </c>
      <c r="E2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 t="s">
        <v>87</v>
      </c>
      <c r="E2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/>
      <c r="E2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/>
      <c r="E2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/>
      <c r="E2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 t="s">
        <v>87</v>
      </c>
      <c r="E2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/>
      <c r="E2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 t="s">
        <v>87</v>
      </c>
      <c r="E2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 t="s">
        <v>87</v>
      </c>
      <c r="E2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 t="s">
        <v>87</v>
      </c>
      <c r="E2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/>
      <c r="E2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 t="s">
        <v>87</v>
      </c>
      <c r="E2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 t="s">
        <v>87</v>
      </c>
      <c r="E2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 t="s">
        <v>87</v>
      </c>
      <c r="E2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 t="s">
        <v>87</v>
      </c>
      <c r="E2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 t="s">
        <v>87</v>
      </c>
      <c r="E2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 t="s">
        <v>87</v>
      </c>
      <c r="E2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/>
      <c r="E2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 t="s">
        <v>87</v>
      </c>
      <c r="E2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 t="s">
        <v>87</v>
      </c>
      <c r="E2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/>
      <c r="E2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 t="s">
        <v>87</v>
      </c>
      <c r="E2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/>
      <c r="E2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 t="s">
        <v>87</v>
      </c>
      <c r="E2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/>
      <c r="E2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 t="s">
        <v>87</v>
      </c>
      <c r="E2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 t="s">
        <v>87</v>
      </c>
      <c r="E2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 t="s">
        <v>87</v>
      </c>
      <c r="E2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 t="s">
        <v>87</v>
      </c>
      <c r="E2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 t="s">
        <v>87</v>
      </c>
      <c r="E2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/>
      <c r="E2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 t="s">
        <v>87</v>
      </c>
      <c r="E2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 t="s">
        <v>87</v>
      </c>
      <c r="E2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 t="s">
        <v>87</v>
      </c>
      <c r="E2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 t="s">
        <v>87</v>
      </c>
      <c r="E2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 t="s">
        <v>87</v>
      </c>
      <c r="E2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 t="s">
        <v>87</v>
      </c>
      <c r="E2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/>
      <c r="E2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 t="s">
        <v>87</v>
      </c>
      <c r="E2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 t="s">
        <v>87</v>
      </c>
      <c r="E2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/>
      <c r="E2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/>
      <c r="E2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/>
      <c r="E2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/>
      <c r="E2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/>
      <c r="E2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 t="s">
        <v>87</v>
      </c>
      <c r="E2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 t="s">
        <v>87</v>
      </c>
      <c r="E2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 t="s">
        <v>87</v>
      </c>
      <c r="E2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 t="s">
        <v>87</v>
      </c>
      <c r="E2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 t="s">
        <v>87</v>
      </c>
      <c r="E2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 t="s">
        <v>87</v>
      </c>
      <c r="E2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/>
      <c r="E2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 t="s">
        <v>87</v>
      </c>
      <c r="E2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 t="s">
        <v>87</v>
      </c>
      <c r="E2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 t="s">
        <v>87</v>
      </c>
      <c r="E2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 t="s">
        <v>87</v>
      </c>
      <c r="E2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 t="s">
        <v>87</v>
      </c>
      <c r="E2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/>
      <c r="E2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 t="s">
        <v>87</v>
      </c>
      <c r="E2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 t="s">
        <v>87</v>
      </c>
      <c r="E2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 t="s">
        <v>87</v>
      </c>
      <c r="E2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 t="s">
        <v>87</v>
      </c>
      <c r="E2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 t="s">
        <v>87</v>
      </c>
      <c r="E2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/>
      <c r="E2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 t="s">
        <v>87</v>
      </c>
      <c r="E2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 t="s">
        <v>87</v>
      </c>
      <c r="E2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/>
      <c r="E2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 t="s">
        <v>87</v>
      </c>
      <c r="E2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/>
      <c r="E2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 t="s">
        <v>87</v>
      </c>
      <c r="E2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 t="s">
        <v>87</v>
      </c>
      <c r="E2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/>
      <c r="E2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/>
      <c r="E2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 t="s">
        <v>87</v>
      </c>
      <c r="E2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 t="s">
        <v>87</v>
      </c>
      <c r="E2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 t="s">
        <v>87</v>
      </c>
      <c r="E2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 t="s">
        <v>87</v>
      </c>
      <c r="E2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 t="s">
        <v>87</v>
      </c>
      <c r="E2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/>
      <c r="E2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 t="s">
        <v>87</v>
      </c>
      <c r="E2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 t="s">
        <v>87</v>
      </c>
      <c r="E2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 t="s">
        <v>87</v>
      </c>
      <c r="E2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/>
      <c r="E2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 t="s">
        <v>87</v>
      </c>
      <c r="E2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 t="s">
        <v>87</v>
      </c>
      <c r="E2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/>
      <c r="E2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/>
      <c r="E2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 t="s">
        <v>87</v>
      </c>
      <c r="E2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 t="s">
        <v>87</v>
      </c>
      <c r="E2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 t="s">
        <v>87</v>
      </c>
      <c r="E2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 t="s">
        <v>87</v>
      </c>
      <c r="E2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 t="s">
        <v>87</v>
      </c>
      <c r="E2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 t="s">
        <v>87</v>
      </c>
      <c r="E2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 t="s">
        <v>87</v>
      </c>
      <c r="E2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/>
      <c r="E2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 t="s">
        <v>87</v>
      </c>
      <c r="E2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 t="s">
        <v>87</v>
      </c>
      <c r="E2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/>
      <c r="E2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 t="s">
        <v>87</v>
      </c>
      <c r="E2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 t="s">
        <v>87</v>
      </c>
      <c r="E2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/>
      <c r="E2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/>
      <c r="E2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 t="s">
        <v>87</v>
      </c>
      <c r="E2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/>
      <c r="E2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/>
      <c r="E2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 t="s">
        <v>87</v>
      </c>
      <c r="E2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 t="s">
        <v>87</v>
      </c>
      <c r="E2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 t="s">
        <v>87</v>
      </c>
      <c r="E2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 t="s">
        <v>87</v>
      </c>
      <c r="E2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 t="s">
        <v>87</v>
      </c>
      <c r="E2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 t="s">
        <v>87</v>
      </c>
      <c r="E2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 t="s">
        <v>87</v>
      </c>
      <c r="E2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 t="s">
        <v>87</v>
      </c>
      <c r="E2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 t="s">
        <v>87</v>
      </c>
      <c r="E2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 t="s">
        <v>87</v>
      </c>
      <c r="E2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 t="s">
        <v>87</v>
      </c>
      <c r="E2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/>
      <c r="E2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 t="s">
        <v>87</v>
      </c>
      <c r="E2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 t="s">
        <v>87</v>
      </c>
      <c r="E2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 t="s">
        <v>87</v>
      </c>
      <c r="E2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 t="s">
        <v>87</v>
      </c>
      <c r="E2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 t="s">
        <v>87</v>
      </c>
      <c r="E2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 t="s">
        <v>87</v>
      </c>
      <c r="E2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 t="s">
        <v>87</v>
      </c>
      <c r="E2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 t="s">
        <v>87</v>
      </c>
      <c r="E2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/>
      <c r="E2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 t="s">
        <v>87</v>
      </c>
      <c r="E2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 t="s">
        <v>87</v>
      </c>
      <c r="E2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 t="s">
        <v>87</v>
      </c>
      <c r="E2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 t="s">
        <v>87</v>
      </c>
      <c r="E2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/>
      <c r="E2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 t="s">
        <v>87</v>
      </c>
      <c r="E2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 t="s">
        <v>87</v>
      </c>
      <c r="E2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 t="s">
        <v>87</v>
      </c>
      <c r="E2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 t="s">
        <v>87</v>
      </c>
      <c r="E2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 t="s">
        <v>87</v>
      </c>
      <c r="E2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 t="s">
        <v>87</v>
      </c>
      <c r="E2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 t="s">
        <v>87</v>
      </c>
      <c r="E2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 t="s">
        <v>87</v>
      </c>
      <c r="E2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 t="s">
        <v>87</v>
      </c>
      <c r="E2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 t="s">
        <v>87</v>
      </c>
      <c r="E2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 t="s">
        <v>87</v>
      </c>
      <c r="E2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 t="s">
        <v>87</v>
      </c>
      <c r="E2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/>
      <c r="E2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 t="s">
        <v>87</v>
      </c>
      <c r="E2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/>
      <c r="E2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 t="s">
        <v>87</v>
      </c>
      <c r="E2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 t="s">
        <v>87</v>
      </c>
      <c r="E2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/>
      <c r="E2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 t="s">
        <v>87</v>
      </c>
      <c r="E2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 t="s">
        <v>87</v>
      </c>
      <c r="E2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 t="s">
        <v>87</v>
      </c>
      <c r="E2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 t="s">
        <v>87</v>
      </c>
      <c r="E2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 t="s">
        <v>87</v>
      </c>
      <c r="E2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 t="s">
        <v>87</v>
      </c>
      <c r="E2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 t="s">
        <v>87</v>
      </c>
      <c r="E2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 t="s">
        <v>87</v>
      </c>
      <c r="E2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 t="s">
        <v>87</v>
      </c>
      <c r="E2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 t="s">
        <v>87</v>
      </c>
      <c r="E2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 t="s">
        <v>87</v>
      </c>
      <c r="E2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 t="s">
        <v>87</v>
      </c>
      <c r="E2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 t="s">
        <v>87</v>
      </c>
      <c r="E2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 t="s">
        <v>87</v>
      </c>
      <c r="E2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 t="s">
        <v>87</v>
      </c>
      <c r="E2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 t="s">
        <v>87</v>
      </c>
      <c r="E2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 t="s">
        <v>87</v>
      </c>
      <c r="E2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 t="s">
        <v>87</v>
      </c>
      <c r="E2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 t="s">
        <v>87</v>
      </c>
      <c r="E2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 t="s">
        <v>87</v>
      </c>
      <c r="E2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 t="s">
        <v>87</v>
      </c>
      <c r="E2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 t="s">
        <v>87</v>
      </c>
      <c r="E3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 t="s">
        <v>87</v>
      </c>
      <c r="E3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 t="s">
        <v>87</v>
      </c>
      <c r="E3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/>
      <c r="E3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 t="s">
        <v>87</v>
      </c>
      <c r="E3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 t="s">
        <v>87</v>
      </c>
      <c r="E3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 t="s">
        <v>87</v>
      </c>
      <c r="E3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/>
      <c r="E3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 t="s">
        <v>87</v>
      </c>
      <c r="E3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 t="s">
        <v>87</v>
      </c>
      <c r="E3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 t="s">
        <v>87</v>
      </c>
      <c r="E3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 t="s">
        <v>87</v>
      </c>
      <c r="E3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 t="s">
        <v>87</v>
      </c>
      <c r="E3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 t="s">
        <v>87</v>
      </c>
      <c r="E3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 t="s">
        <v>87</v>
      </c>
      <c r="E3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 t="s">
        <v>87</v>
      </c>
      <c r="E3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 t="s">
        <v>87</v>
      </c>
      <c r="E3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 t="s">
        <v>87</v>
      </c>
      <c r="E3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 t="s">
        <v>87</v>
      </c>
      <c r="E3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 t="s">
        <v>87</v>
      </c>
      <c r="E3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 t="s">
        <v>87</v>
      </c>
      <c r="E3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/>
      <c r="E3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 t="s">
        <v>87</v>
      </c>
      <c r="E3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 t="s">
        <v>87</v>
      </c>
      <c r="E3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 t="s">
        <v>87</v>
      </c>
      <c r="E3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 t="s">
        <v>87</v>
      </c>
      <c r="E3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 t="s">
        <v>87</v>
      </c>
      <c r="E3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 t="s">
        <v>87</v>
      </c>
      <c r="E3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 t="s">
        <v>87</v>
      </c>
      <c r="E3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 t="s">
        <v>87</v>
      </c>
      <c r="E3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 t="s">
        <v>87</v>
      </c>
      <c r="E3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 t="s">
        <v>87</v>
      </c>
      <c r="E3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 t="s">
        <v>87</v>
      </c>
      <c r="E3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 t="s">
        <v>87</v>
      </c>
      <c r="E3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/>
      <c r="E3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 t="s">
        <v>87</v>
      </c>
      <c r="E3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/>
      <c r="E3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 t="s">
        <v>87</v>
      </c>
      <c r="E3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 t="s">
        <v>87</v>
      </c>
      <c r="E3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 t="s">
        <v>87</v>
      </c>
      <c r="E3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 t="s">
        <v>87</v>
      </c>
      <c r="E3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 t="s">
        <v>87</v>
      </c>
      <c r="E3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 t="s">
        <v>87</v>
      </c>
      <c r="E3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 t="s">
        <v>87</v>
      </c>
      <c r="E3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 t="s">
        <v>87</v>
      </c>
      <c r="E3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 t="s">
        <v>87</v>
      </c>
      <c r="E3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 t="s">
        <v>87</v>
      </c>
      <c r="E3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/>
      <c r="E3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 t="s">
        <v>87</v>
      </c>
      <c r="E3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 t="s">
        <v>87</v>
      </c>
      <c r="E3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 t="s">
        <v>87</v>
      </c>
      <c r="E3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 t="s">
        <v>87</v>
      </c>
      <c r="E3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 t="s">
        <v>87</v>
      </c>
      <c r="E3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 t="s">
        <v>87</v>
      </c>
      <c r="E3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 t="s">
        <v>87</v>
      </c>
      <c r="E3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 t="s">
        <v>87</v>
      </c>
      <c r="E3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 t="s">
        <v>87</v>
      </c>
      <c r="E3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 t="s">
        <v>87</v>
      </c>
      <c r="E3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 t="s">
        <v>87</v>
      </c>
      <c r="E3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 t="s">
        <v>87</v>
      </c>
      <c r="E3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 t="s">
        <v>87</v>
      </c>
      <c r="E3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 t="s">
        <v>87</v>
      </c>
      <c r="E3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 t="s">
        <v>87</v>
      </c>
      <c r="E3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 t="s">
        <v>87</v>
      </c>
      <c r="E3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 t="s">
        <v>87</v>
      </c>
      <c r="E3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 t="s">
        <v>87</v>
      </c>
      <c r="E3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 t="s">
        <v>87</v>
      </c>
      <c r="E3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 t="s">
        <v>87</v>
      </c>
      <c r="E3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 t="s">
        <v>87</v>
      </c>
      <c r="E3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 t="s">
        <v>87</v>
      </c>
      <c r="E3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 t="s">
        <v>87</v>
      </c>
      <c r="E3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 t="s">
        <v>87</v>
      </c>
      <c r="E3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 t="s">
        <v>87</v>
      </c>
      <c r="E3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 t="s">
        <v>87</v>
      </c>
      <c r="E3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 t="s">
        <v>87</v>
      </c>
      <c r="E3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 t="s">
        <v>87</v>
      </c>
      <c r="E3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 t="s">
        <v>87</v>
      </c>
      <c r="E3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/>
      <c r="E3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 t="s">
        <v>87</v>
      </c>
      <c r="E3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 t="s">
        <v>87</v>
      </c>
      <c r="E3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 t="s">
        <v>87</v>
      </c>
      <c r="E3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/>
      <c r="E3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/>
      <c r="E3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 t="s">
        <v>87</v>
      </c>
      <c r="E3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 t="s">
        <v>87</v>
      </c>
      <c r="E3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 t="s">
        <v>87</v>
      </c>
      <c r="E3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/>
      <c r="E3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 t="s">
        <v>87</v>
      </c>
      <c r="E3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 t="s">
        <v>87</v>
      </c>
      <c r="E3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 t="s">
        <v>87</v>
      </c>
      <c r="E3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 t="s">
        <v>87</v>
      </c>
      <c r="E3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 t="s">
        <v>87</v>
      </c>
      <c r="E3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 t="s">
        <v>87</v>
      </c>
      <c r="E3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 t="s">
        <v>87</v>
      </c>
      <c r="E3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 t="s">
        <v>87</v>
      </c>
      <c r="E3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 t="s">
        <v>87</v>
      </c>
      <c r="E3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 t="s">
        <v>87</v>
      </c>
      <c r="E3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 t="s">
        <v>87</v>
      </c>
      <c r="E3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/>
      <c r="E3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 t="s">
        <v>87</v>
      </c>
      <c r="E3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 t="s">
        <v>87</v>
      </c>
      <c r="E3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 t="s">
        <v>87</v>
      </c>
      <c r="E3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 t="s">
        <v>87</v>
      </c>
      <c r="E3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 t="s">
        <v>87</v>
      </c>
      <c r="E3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 t="s">
        <v>87</v>
      </c>
      <c r="E3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 t="s">
        <v>87</v>
      </c>
      <c r="E3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/>
      <c r="E3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 t="s">
        <v>87</v>
      </c>
      <c r="E3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 t="s">
        <v>87</v>
      </c>
      <c r="E3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 t="s">
        <v>87</v>
      </c>
      <c r="E3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 t="s">
        <v>87</v>
      </c>
      <c r="E3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 t="s">
        <v>87</v>
      </c>
      <c r="E3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 t="s">
        <v>87</v>
      </c>
      <c r="E3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 t="s">
        <v>87</v>
      </c>
      <c r="E3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 t="s">
        <v>87</v>
      </c>
      <c r="E3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 t="s">
        <v>87</v>
      </c>
      <c r="E3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 t="s">
        <v>87</v>
      </c>
      <c r="E3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 t="s">
        <v>87</v>
      </c>
      <c r="E3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 t="s">
        <v>87</v>
      </c>
      <c r="E3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 t="s">
        <v>87</v>
      </c>
      <c r="E3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/>
      <c r="E3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 t="s">
        <v>87</v>
      </c>
      <c r="E3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 t="s">
        <v>87</v>
      </c>
      <c r="E3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 t="s">
        <v>87</v>
      </c>
      <c r="E3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 t="s">
        <v>87</v>
      </c>
      <c r="E3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 t="s">
        <v>87</v>
      </c>
      <c r="E3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 t="s">
        <v>87</v>
      </c>
      <c r="E3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 t="s">
        <v>87</v>
      </c>
      <c r="E3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 t="s">
        <v>87</v>
      </c>
      <c r="E3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 t="s">
        <v>87</v>
      </c>
      <c r="E3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 t="s">
        <v>87</v>
      </c>
      <c r="E3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/>
      <c r="E3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 t="s">
        <v>87</v>
      </c>
      <c r="E3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/>
      <c r="E3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 t="s">
        <v>87</v>
      </c>
      <c r="E3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 t="s">
        <v>87</v>
      </c>
      <c r="E3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/>
      <c r="E3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 t="s">
        <v>87</v>
      </c>
      <c r="E3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 t="s">
        <v>87</v>
      </c>
      <c r="E3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/>
      <c r="E3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 t="s">
        <v>87</v>
      </c>
      <c r="E3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 t="s">
        <v>87</v>
      </c>
      <c r="E3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 t="s">
        <v>87</v>
      </c>
      <c r="E3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 t="s">
        <v>87</v>
      </c>
      <c r="E3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 t="s">
        <v>87</v>
      </c>
      <c r="E3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 t="s">
        <v>87</v>
      </c>
      <c r="E3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/>
      <c r="E3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 t="s">
        <v>87</v>
      </c>
      <c r="E3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/>
      <c r="E3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/>
      <c r="E3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 t="s">
        <v>87</v>
      </c>
      <c r="E3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 t="s">
        <v>87</v>
      </c>
      <c r="E3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 t="s">
        <v>87</v>
      </c>
      <c r="E3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/>
      <c r="E3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/>
      <c r="E3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 t="s">
        <v>87</v>
      </c>
      <c r="E3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 t="s">
        <v>87</v>
      </c>
      <c r="E3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 t="s">
        <v>87</v>
      </c>
      <c r="E3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 t="s">
        <v>87</v>
      </c>
      <c r="E3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 t="s">
        <v>87</v>
      </c>
      <c r="E3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/>
      <c r="E3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 t="s">
        <v>87</v>
      </c>
      <c r="E3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 t="s">
        <v>87</v>
      </c>
      <c r="E3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 t="s">
        <v>87</v>
      </c>
      <c r="E3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 t="s">
        <v>87</v>
      </c>
      <c r="E3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 t="s">
        <v>87</v>
      </c>
      <c r="E3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 t="s">
        <v>87</v>
      </c>
      <c r="E3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 t="s">
        <v>87</v>
      </c>
      <c r="E3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 t="s">
        <v>87</v>
      </c>
      <c r="E3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 t="s">
        <v>87</v>
      </c>
      <c r="E3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/>
      <c r="E3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/>
      <c r="E3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 t="s">
        <v>87</v>
      </c>
      <c r="E3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 t="s">
        <v>87</v>
      </c>
      <c r="E3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 t="s">
        <v>87</v>
      </c>
      <c r="E3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 t="s">
        <v>87</v>
      </c>
      <c r="E3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 t="s">
        <v>87</v>
      </c>
      <c r="E3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/>
      <c r="E3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 t="s">
        <v>87</v>
      </c>
      <c r="E3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 t="s">
        <v>87</v>
      </c>
      <c r="E3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 t="s">
        <v>87</v>
      </c>
      <c r="E3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/>
      <c r="E3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 t="s">
        <v>87</v>
      </c>
      <c r="E3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 t="s">
        <v>87</v>
      </c>
      <c r="E3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 t="s">
        <v>87</v>
      </c>
      <c r="E3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 t="s">
        <v>87</v>
      </c>
      <c r="E3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 t="s">
        <v>87</v>
      </c>
      <c r="E3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 t="s">
        <v>87</v>
      </c>
      <c r="E3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 t="s">
        <v>87</v>
      </c>
      <c r="E3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 t="s">
        <v>87</v>
      </c>
      <c r="E3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 t="s">
        <v>87</v>
      </c>
      <c r="E3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 t="s">
        <v>87</v>
      </c>
      <c r="E3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/>
      <c r="E3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 t="s">
        <v>87</v>
      </c>
      <c r="E3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 t="s">
        <v>87</v>
      </c>
      <c r="E3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/>
      <c r="E3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/>
      <c r="E3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 t="s">
        <v>87</v>
      </c>
      <c r="E3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/>
      <c r="E3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 t="s">
        <v>87</v>
      </c>
      <c r="E3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 t="s">
        <v>87</v>
      </c>
      <c r="E3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/>
      <c r="E3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 t="s">
        <v>87</v>
      </c>
      <c r="E3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/>
      <c r="E3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/>
      <c r="E3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 t="s">
        <v>87</v>
      </c>
      <c r="E3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 t="s">
        <v>87</v>
      </c>
      <c r="E3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/>
      <c r="E4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 t="s">
        <v>87</v>
      </c>
      <c r="E4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/>
      <c r="E4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 t="s">
        <v>87</v>
      </c>
      <c r="E4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 t="s">
        <v>87</v>
      </c>
      <c r="E4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 t="s">
        <v>87</v>
      </c>
      <c r="E4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/>
      <c r="E4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/>
      <c r="E4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 t="s">
        <v>87</v>
      </c>
      <c r="E4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 t="s">
        <v>87</v>
      </c>
      <c r="E4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/>
      <c r="E4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 t="s">
        <v>87</v>
      </c>
      <c r="E4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/>
      <c r="E4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 t="s">
        <v>87</v>
      </c>
      <c r="E4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 t="s">
        <v>87</v>
      </c>
      <c r="E4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 t="s">
        <v>87</v>
      </c>
      <c r="E4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 t="s">
        <v>87</v>
      </c>
      <c r="E4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 t="s">
        <v>87</v>
      </c>
      <c r="E4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/>
      <c r="E4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 t="s">
        <v>87</v>
      </c>
      <c r="E4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 t="s">
        <v>87</v>
      </c>
      <c r="E4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 t="s">
        <v>87</v>
      </c>
      <c r="E4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 t="s">
        <v>87</v>
      </c>
      <c r="E4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 t="s">
        <v>87</v>
      </c>
      <c r="E4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 t="s">
        <v>87</v>
      </c>
      <c r="E4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 t="s">
        <v>87</v>
      </c>
      <c r="E4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 t="s">
        <v>87</v>
      </c>
      <c r="E4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/>
      <c r="E4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 t="s">
        <v>87</v>
      </c>
      <c r="E4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 t="s">
        <v>87</v>
      </c>
      <c r="E4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 t="s">
        <v>87</v>
      </c>
      <c r="E4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 t="s">
        <v>87</v>
      </c>
      <c r="E4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/>
      <c r="E4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 t="s">
        <v>87</v>
      </c>
      <c r="E4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 t="s">
        <v>87</v>
      </c>
      <c r="E4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 t="s">
        <v>87</v>
      </c>
      <c r="E4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/>
      <c r="E4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 t="s">
        <v>87</v>
      </c>
      <c r="E4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 t="s">
        <v>87</v>
      </c>
      <c r="E4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 t="s">
        <v>87</v>
      </c>
      <c r="E4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 t="s">
        <v>87</v>
      </c>
      <c r="E4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 t="s">
        <v>87</v>
      </c>
      <c r="E4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 t="s">
        <v>87</v>
      </c>
      <c r="E4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 t="s">
        <v>87</v>
      </c>
      <c r="E4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/>
      <c r="E4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 t="s">
        <v>87</v>
      </c>
      <c r="E4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 t="s">
        <v>87</v>
      </c>
      <c r="E4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 t="s">
        <v>87</v>
      </c>
      <c r="E4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 t="s">
        <v>87</v>
      </c>
      <c r="E4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 t="s">
        <v>87</v>
      </c>
      <c r="E4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 t="s">
        <v>87</v>
      </c>
      <c r="E4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/>
      <c r="E4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/>
      <c r="E4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 t="s">
        <v>87</v>
      </c>
      <c r="E4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/>
      <c r="E4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/>
      <c r="E4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/>
      <c r="E4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/>
      <c r="E4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 t="s">
        <v>87</v>
      </c>
      <c r="E4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 t="s">
        <v>87</v>
      </c>
      <c r="E4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 t="s">
        <v>87</v>
      </c>
      <c r="E4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 t="s">
        <v>87</v>
      </c>
      <c r="E4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 t="s">
        <v>87</v>
      </c>
      <c r="E4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 t="s">
        <v>87</v>
      </c>
      <c r="E4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 t="s">
        <v>87</v>
      </c>
      <c r="E4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 t="s">
        <v>87</v>
      </c>
      <c r="E4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 t="s">
        <v>87</v>
      </c>
      <c r="E4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 t="s">
        <v>87</v>
      </c>
      <c r="E4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/>
      <c r="E4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 t="s">
        <v>87</v>
      </c>
      <c r="E4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 t="s">
        <v>87</v>
      </c>
      <c r="E4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/>
      <c r="E4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/>
      <c r="E4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 t="s">
        <v>87</v>
      </c>
      <c r="E4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 t="s">
        <v>87</v>
      </c>
      <c r="E4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 t="s">
        <v>87</v>
      </c>
      <c r="E4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/>
      <c r="E4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 t="s">
        <v>87</v>
      </c>
      <c r="E4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 t="s">
        <v>87</v>
      </c>
      <c r="E4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/>
      <c r="E4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 t="s">
        <v>87</v>
      </c>
      <c r="E4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 t="s">
        <v>87</v>
      </c>
      <c r="E4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 t="s">
        <v>87</v>
      </c>
      <c r="E4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 t="s">
        <v>87</v>
      </c>
      <c r="E4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/>
      <c r="E4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 t="s">
        <v>87</v>
      </c>
      <c r="E4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 t="s">
        <v>87</v>
      </c>
      <c r="E4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 t="s">
        <v>87</v>
      </c>
      <c r="E4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 t="s">
        <v>87</v>
      </c>
      <c r="E4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 t="s">
        <v>87</v>
      </c>
      <c r="E4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/>
      <c r="E4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 t="s">
        <v>87</v>
      </c>
      <c r="E4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 t="s">
        <v>87</v>
      </c>
      <c r="E4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 t="s">
        <v>87</v>
      </c>
      <c r="E4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 t="s">
        <v>87</v>
      </c>
      <c r="E4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/>
      <c r="E4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 t="s">
        <v>87</v>
      </c>
      <c r="E4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 t="s">
        <v>87</v>
      </c>
      <c r="E4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 t="s">
        <v>87</v>
      </c>
      <c r="E4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 t="s">
        <v>87</v>
      </c>
      <c r="E4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 t="s">
        <v>87</v>
      </c>
      <c r="E4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 t="s">
        <v>87</v>
      </c>
      <c r="E4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 t="s">
        <v>87</v>
      </c>
      <c r="E4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/>
      <c r="E4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/>
      <c r="E4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/>
      <c r="E4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/>
      <c r="E4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/>
      <c r="E4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 t="s">
        <v>87</v>
      </c>
      <c r="E4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 t="s">
        <v>87</v>
      </c>
      <c r="E4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/>
      <c r="E4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/>
      <c r="E4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/>
      <c r="E4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 t="s">
        <v>87</v>
      </c>
      <c r="E4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 t="s">
        <v>87</v>
      </c>
      <c r="E4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 t="s">
        <v>87</v>
      </c>
      <c r="E4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 t="s">
        <v>87</v>
      </c>
      <c r="E4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 t="s">
        <v>87</v>
      </c>
      <c r="E4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 t="s">
        <v>87</v>
      </c>
      <c r="E4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/>
      <c r="E4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 t="s">
        <v>87</v>
      </c>
      <c r="E4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/>
      <c r="E4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/>
      <c r="E4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/>
      <c r="E4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 t="s">
        <v>87</v>
      </c>
      <c r="E4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 t="s">
        <v>87</v>
      </c>
      <c r="E4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 t="s">
        <v>87</v>
      </c>
      <c r="E4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 t="s">
        <v>87</v>
      </c>
      <c r="E4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 t="s">
        <v>87</v>
      </c>
      <c r="E4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/>
      <c r="E4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 t="s">
        <v>87</v>
      </c>
      <c r="E4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 t="s">
        <v>87</v>
      </c>
      <c r="E4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 t="s">
        <v>87</v>
      </c>
      <c r="E4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/>
      <c r="E4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 t="s">
        <v>87</v>
      </c>
      <c r="E4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 t="s">
        <v>87</v>
      </c>
      <c r="E4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/>
      <c r="E4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 t="s">
        <v>87</v>
      </c>
      <c r="E4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 t="s">
        <v>87</v>
      </c>
      <c r="E4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/>
      <c r="E4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/>
      <c r="E4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 t="s">
        <v>87</v>
      </c>
      <c r="E4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 t="s">
        <v>87</v>
      </c>
      <c r="E4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/>
      <c r="E4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 t="s">
        <v>87</v>
      </c>
      <c r="E4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/>
      <c r="E4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/>
      <c r="E4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 t="s">
        <v>87</v>
      </c>
      <c r="E4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/>
      <c r="E4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/>
      <c r="E4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 t="s">
        <v>87</v>
      </c>
      <c r="E4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/>
      <c r="E4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 t="s">
        <v>87</v>
      </c>
      <c r="E4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/>
      <c r="E4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/>
      <c r="E4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 t="s">
        <v>87</v>
      </c>
      <c r="E4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/>
      <c r="E4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 t="s">
        <v>87</v>
      </c>
      <c r="E4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 t="s">
        <v>87</v>
      </c>
      <c r="E4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 t="s">
        <v>87</v>
      </c>
      <c r="E4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 t="s">
        <v>87</v>
      </c>
      <c r="E4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/>
      <c r="E4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 t="s">
        <v>87</v>
      </c>
      <c r="E4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 t="s">
        <v>87</v>
      </c>
      <c r="E4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 t="s">
        <v>87</v>
      </c>
      <c r="E4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 t="s">
        <v>87</v>
      </c>
      <c r="E4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/>
      <c r="E4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 t="s">
        <v>87</v>
      </c>
      <c r="E4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/>
      <c r="E4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 t="s">
        <v>87</v>
      </c>
      <c r="E4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/>
      <c r="E4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/>
      <c r="E4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 t="s">
        <v>87</v>
      </c>
      <c r="E4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 t="s">
        <v>87</v>
      </c>
      <c r="E4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 t="s">
        <v>87</v>
      </c>
      <c r="E4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 t="s">
        <v>87</v>
      </c>
      <c r="E4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 t="s">
        <v>87</v>
      </c>
      <c r="E4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/>
      <c r="E4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/>
      <c r="E4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 t="s">
        <v>87</v>
      </c>
      <c r="E4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/>
      <c r="E4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 t="s">
        <v>87</v>
      </c>
      <c r="E4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 t="s">
        <v>87</v>
      </c>
      <c r="E4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 t="s">
        <v>87</v>
      </c>
      <c r="E4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 t="s">
        <v>87</v>
      </c>
      <c r="E4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 t="s">
        <v>87</v>
      </c>
      <c r="E4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 t="s">
        <v>87</v>
      </c>
      <c r="E4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/>
      <c r="E4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 t="s">
        <v>87</v>
      </c>
      <c r="E4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/>
      <c r="E4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 t="s">
        <v>87</v>
      </c>
      <c r="E4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 t="s">
        <v>87</v>
      </c>
      <c r="E4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/>
      <c r="E4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 t="s">
        <v>87</v>
      </c>
      <c r="E4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 t="s">
        <v>87</v>
      </c>
      <c r="E4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 t="s">
        <v>87</v>
      </c>
      <c r="E4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/>
      <c r="E4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 t="s">
        <v>87</v>
      </c>
      <c r="E4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 t="s">
        <v>87</v>
      </c>
      <c r="E4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 t="s">
        <v>87</v>
      </c>
      <c r="E4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 t="s">
        <v>87</v>
      </c>
      <c r="E4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/>
      <c r="E4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/>
      <c r="E4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 t="s">
        <v>87</v>
      </c>
      <c r="E4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 t="s">
        <v>87</v>
      </c>
      <c r="E4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 t="s">
        <v>87</v>
      </c>
      <c r="E4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/>
      <c r="E4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/>
      <c r="E4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 t="s">
        <v>87</v>
      </c>
      <c r="E4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 t="s">
        <v>87</v>
      </c>
      <c r="E4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 t="s">
        <v>87</v>
      </c>
      <c r="E4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 t="s">
        <v>87</v>
      </c>
      <c r="E4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/>
      <c r="E4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 t="s">
        <v>87</v>
      </c>
      <c r="E4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 t="s">
        <v>87</v>
      </c>
      <c r="E4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 t="s">
        <v>87</v>
      </c>
      <c r="E4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 t="s">
        <v>87</v>
      </c>
      <c r="E4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/>
      <c r="E4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 t="s">
        <v>87</v>
      </c>
      <c r="E4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/>
      <c r="E4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/>
      <c r="E4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 t="s">
        <v>87</v>
      </c>
      <c r="E4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 t="s">
        <v>87</v>
      </c>
      <c r="E4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 t="s">
        <v>87</v>
      </c>
      <c r="E4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/>
      <c r="E4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 t="s">
        <v>87</v>
      </c>
      <c r="E4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/>
      <c r="E4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 t="s">
        <v>87</v>
      </c>
      <c r="E4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/>
      <c r="E4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/>
      <c r="E4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 t="s">
        <v>87</v>
      </c>
      <c r="E4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/>
      <c r="E4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/>
      <c r="E4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 t="s">
        <v>87</v>
      </c>
      <c r="E4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 t="s">
        <v>87</v>
      </c>
      <c r="E4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/>
      <c r="E4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/>
      <c r="E4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 t="s">
        <v>87</v>
      </c>
      <c r="E4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/>
      <c r="E4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 t="s">
        <v>87</v>
      </c>
      <c r="E4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 t="s">
        <v>87</v>
      </c>
      <c r="E4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 t="s">
        <v>87</v>
      </c>
      <c r="E4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 t="s">
        <v>87</v>
      </c>
      <c r="E4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/>
      <c r="E4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 t="s">
        <v>87</v>
      </c>
      <c r="E4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 t="s">
        <v>87</v>
      </c>
      <c r="E4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 t="s">
        <v>87</v>
      </c>
      <c r="E5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/>
      <c r="E5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 t="s">
        <v>87</v>
      </c>
      <c r="E5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 t="s">
        <v>87</v>
      </c>
      <c r="E5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 t="s">
        <v>87</v>
      </c>
      <c r="E5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 t="s">
        <v>87</v>
      </c>
      <c r="E5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 t="s">
        <v>87</v>
      </c>
      <c r="E5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/>
      <c r="E5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 t="s">
        <v>87</v>
      </c>
      <c r="E5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/>
      <c r="E5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 t="s">
        <v>87</v>
      </c>
      <c r="E5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 t="s">
        <v>87</v>
      </c>
      <c r="E5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 t="s">
        <v>87</v>
      </c>
      <c r="E5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/>
      <c r="E5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/>
      <c r="E5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/>
      <c r="E5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 t="s">
        <v>87</v>
      </c>
      <c r="E5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 t="s">
        <v>87</v>
      </c>
      <c r="E5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 t="s">
        <v>87</v>
      </c>
      <c r="E5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/>
      <c r="E5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 t="s">
        <v>87</v>
      </c>
      <c r="E5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 t="s">
        <v>87</v>
      </c>
      <c r="E5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 t="s">
        <v>87</v>
      </c>
      <c r="E5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 t="s">
        <v>87</v>
      </c>
      <c r="E5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/>
      <c r="E5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/>
      <c r="E5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/>
      <c r="E5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 t="s">
        <v>87</v>
      </c>
      <c r="E5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/>
      <c r="E5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/>
      <c r="E5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 t="s">
        <v>87</v>
      </c>
      <c r="E5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 t="s">
        <v>87</v>
      </c>
      <c r="E5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/>
      <c r="E5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/>
      <c r="E5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 t="s">
        <v>87</v>
      </c>
      <c r="E5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 t="s">
        <v>87</v>
      </c>
      <c r="E5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/>
      <c r="E5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/>
      <c r="E5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/>
      <c r="E5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 t="s">
        <v>87</v>
      </c>
      <c r="E5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 t="s">
        <v>87</v>
      </c>
      <c r="E5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/>
      <c r="E5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 t="s">
        <v>87</v>
      </c>
      <c r="E5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/>
      <c r="E5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 t="s">
        <v>87</v>
      </c>
      <c r="E5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 t="s">
        <v>87</v>
      </c>
      <c r="E5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/>
      <c r="E5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/>
      <c r="E5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 t="s">
        <v>87</v>
      </c>
      <c r="E5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 t="s">
        <v>87</v>
      </c>
      <c r="E5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 t="s">
        <v>87</v>
      </c>
      <c r="E5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/>
      <c r="E5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/>
      <c r="E5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/>
      <c r="E5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 t="s">
        <v>87</v>
      </c>
      <c r="E5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 t="s">
        <v>87</v>
      </c>
      <c r="E5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 t="s">
        <v>87</v>
      </c>
      <c r="E5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/>
      <c r="E5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 t="s">
        <v>87</v>
      </c>
      <c r="E5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/>
      <c r="E5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 t="s">
        <v>87</v>
      </c>
      <c r="E5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 t="s">
        <v>87</v>
      </c>
      <c r="E5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/>
      <c r="E5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 t="s">
        <v>87</v>
      </c>
      <c r="E5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 t="s">
        <v>87</v>
      </c>
      <c r="E5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/>
      <c r="E5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/>
      <c r="E5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/>
      <c r="E5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/>
      <c r="E5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/>
      <c r="E5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/>
      <c r="E5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 t="s">
        <v>87</v>
      </c>
      <c r="E5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 t="s">
        <v>87</v>
      </c>
      <c r="E5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/>
      <c r="E5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 t="s">
        <v>87</v>
      </c>
      <c r="E5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 t="s">
        <v>87</v>
      </c>
      <c r="E5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 t="s">
        <v>87</v>
      </c>
      <c r="E5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 t="s">
        <v>87</v>
      </c>
      <c r="E5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 t="s">
        <v>87</v>
      </c>
      <c r="E5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/>
      <c r="E5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/>
      <c r="E5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/>
      <c r="E5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 t="s">
        <v>87</v>
      </c>
      <c r="E5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 t="s">
        <v>87</v>
      </c>
      <c r="E5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/>
      <c r="E5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 t="s">
        <v>87</v>
      </c>
      <c r="E5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 t="s">
        <v>87</v>
      </c>
      <c r="E5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/>
      <c r="E5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/>
      <c r="E5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/>
      <c r="E5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/>
      <c r="E5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/>
      <c r="E5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 t="s">
        <v>87</v>
      </c>
      <c r="E5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 t="s">
        <v>87</v>
      </c>
      <c r="E5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 t="s">
        <v>87</v>
      </c>
      <c r="E5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 t="s">
        <v>87</v>
      </c>
      <c r="E5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 t="s">
        <v>87</v>
      </c>
      <c r="E5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/>
      <c r="E5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 t="s">
        <v>87</v>
      </c>
      <c r="E5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/>
      <c r="E5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/>
      <c r="E5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/>
      <c r="E5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/>
      <c r="E5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 t="s">
        <v>87</v>
      </c>
      <c r="E5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 t="s">
        <v>87</v>
      </c>
      <c r="E5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 t="s">
        <v>87</v>
      </c>
      <c r="E5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/>
      <c r="E5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 t="s">
        <v>87</v>
      </c>
      <c r="E5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 t="s">
        <v>87</v>
      </c>
      <c r="E5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/>
      <c r="E5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/>
      <c r="E5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/>
      <c r="E5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 t="s">
        <v>87</v>
      </c>
      <c r="E5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/>
      <c r="E5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 t="s">
        <v>87</v>
      </c>
      <c r="E5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/>
      <c r="E5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 t="s">
        <v>87</v>
      </c>
      <c r="E5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 t="s">
        <v>87</v>
      </c>
      <c r="E5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/>
      <c r="E5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/>
      <c r="E5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 t="s">
        <v>87</v>
      </c>
      <c r="E5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/>
      <c r="E5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 t="s">
        <v>87</v>
      </c>
      <c r="E5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 t="s">
        <v>87</v>
      </c>
      <c r="E5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 t="s">
        <v>87</v>
      </c>
      <c r="E5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 t="s">
        <v>87</v>
      </c>
      <c r="E5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 t="s">
        <v>87</v>
      </c>
      <c r="E5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/>
      <c r="E5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/>
      <c r="E5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/>
      <c r="E5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 t="s">
        <v>87</v>
      </c>
      <c r="E5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 t="s">
        <v>87</v>
      </c>
      <c r="E5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/>
      <c r="E5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/>
      <c r="E5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/>
      <c r="E5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 t="s">
        <v>87</v>
      </c>
      <c r="E5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 t="s">
        <v>87</v>
      </c>
      <c r="E5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/>
      <c r="E5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 t="s">
        <v>87</v>
      </c>
      <c r="E5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 t="s">
        <v>87</v>
      </c>
      <c r="E5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 t="s">
        <v>87</v>
      </c>
      <c r="E5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 t="s">
        <v>87</v>
      </c>
      <c r="E5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 t="s">
        <v>87</v>
      </c>
      <c r="E5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 t="s">
        <v>87</v>
      </c>
      <c r="E5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 t="s">
        <v>87</v>
      </c>
      <c r="E5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/>
      <c r="E5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 t="s">
        <v>87</v>
      </c>
      <c r="E5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/>
      <c r="E5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 t="s">
        <v>87</v>
      </c>
      <c r="E5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 t="s">
        <v>87</v>
      </c>
      <c r="E5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/>
      <c r="E5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/>
      <c r="E5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 t="s">
        <v>87</v>
      </c>
      <c r="E5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 t="s">
        <v>87</v>
      </c>
      <c r="E5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/>
      <c r="E5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 t="s">
        <v>87</v>
      </c>
      <c r="E5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/>
      <c r="E5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 t="s">
        <v>87</v>
      </c>
      <c r="E5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/>
      <c r="E5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/>
      <c r="E5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/>
      <c r="E5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/>
      <c r="E5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 t="s">
        <v>87</v>
      </c>
      <c r="E5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/>
      <c r="E5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 t="s">
        <v>87</v>
      </c>
      <c r="E5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 t="s">
        <v>87</v>
      </c>
      <c r="E5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 t="s">
        <v>87</v>
      </c>
      <c r="E5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/>
      <c r="E5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 t="s">
        <v>87</v>
      </c>
      <c r="E5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 t="s">
        <v>87</v>
      </c>
      <c r="E5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/>
      <c r="E5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/>
      <c r="E5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/>
      <c r="E5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 t="s">
        <v>87</v>
      </c>
      <c r="E5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 t="s">
        <v>87</v>
      </c>
      <c r="E5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/>
      <c r="E5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 t="s">
        <v>87</v>
      </c>
      <c r="E5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 t="s">
        <v>87</v>
      </c>
      <c r="E5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 t="s">
        <v>87</v>
      </c>
      <c r="E5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 t="s">
        <v>87</v>
      </c>
      <c r="E5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 t="s">
        <v>87</v>
      </c>
      <c r="E5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/>
      <c r="E5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 t="s">
        <v>87</v>
      </c>
      <c r="E5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 t="s">
        <v>87</v>
      </c>
      <c r="E5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/>
      <c r="E5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 t="s">
        <v>87</v>
      </c>
      <c r="E5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 t="s">
        <v>87</v>
      </c>
      <c r="E5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/>
      <c r="E5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/>
      <c r="E5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 t="s">
        <v>87</v>
      </c>
      <c r="E5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 t="s">
        <v>87</v>
      </c>
      <c r="E5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 t="s">
        <v>87</v>
      </c>
      <c r="E5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/>
      <c r="E5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/>
      <c r="E5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 t="s">
        <v>87</v>
      </c>
      <c r="E5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 t="s">
        <v>87</v>
      </c>
      <c r="E5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 t="s">
        <v>87</v>
      </c>
      <c r="E5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 t="s">
        <v>87</v>
      </c>
      <c r="E5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 t="s">
        <v>87</v>
      </c>
      <c r="E5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 t="s">
        <v>87</v>
      </c>
      <c r="E5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 t="s">
        <v>87</v>
      </c>
      <c r="E5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 t="s">
        <v>87</v>
      </c>
      <c r="E5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/>
      <c r="E5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/>
      <c r="E5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/>
      <c r="E5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 t="s">
        <v>87</v>
      </c>
      <c r="E5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/>
      <c r="E5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 t="s">
        <v>87</v>
      </c>
      <c r="E5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/>
      <c r="E5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 t="s">
        <v>87</v>
      </c>
      <c r="E5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 t="s">
        <v>87</v>
      </c>
      <c r="E5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/>
      <c r="E5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/>
      <c r="E5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 t="s">
        <v>87</v>
      </c>
      <c r="E5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/>
      <c r="E5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 t="s">
        <v>87</v>
      </c>
      <c r="E5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/>
      <c r="E5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 t="s">
        <v>87</v>
      </c>
      <c r="E5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/>
      <c r="E5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/>
      <c r="E5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/>
      <c r="E5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/>
      <c r="E5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/>
      <c r="E5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 t="s">
        <v>87</v>
      </c>
      <c r="E5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 t="s">
        <v>87</v>
      </c>
      <c r="E5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/>
      <c r="E5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 t="s">
        <v>87</v>
      </c>
      <c r="E5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 t="s">
        <v>87</v>
      </c>
      <c r="E5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/>
      <c r="E5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 t="s">
        <v>87</v>
      </c>
      <c r="E5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 t="s">
        <v>87</v>
      </c>
      <c r="E5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 t="s">
        <v>87</v>
      </c>
      <c r="E5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 t="s">
        <v>87</v>
      </c>
      <c r="E5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 t="s">
        <v>87</v>
      </c>
      <c r="E5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 t="s">
        <v>87</v>
      </c>
      <c r="E5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 t="s">
        <v>87</v>
      </c>
      <c r="E5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 t="s">
        <v>87</v>
      </c>
      <c r="E5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/>
      <c r="E5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 t="s">
        <v>87</v>
      </c>
      <c r="E5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 t="s">
        <v>87</v>
      </c>
      <c r="E5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/>
      <c r="E5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 t="s">
        <v>87</v>
      </c>
      <c r="E5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/>
      <c r="E5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 t="s">
        <v>87</v>
      </c>
      <c r="E5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 t="s">
        <v>87</v>
      </c>
      <c r="E5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 t="s">
        <v>87</v>
      </c>
      <c r="E5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/>
      <c r="E5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/>
      <c r="E5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 t="s">
        <v>87</v>
      </c>
      <c r="E5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/>
      <c r="E5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/>
      <c r="E5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/>
      <c r="E5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 t="s">
        <v>87</v>
      </c>
      <c r="E5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/>
      <c r="E5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/>
      <c r="E5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/>
      <c r="E5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/>
      <c r="E5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 t="s">
        <v>87</v>
      </c>
      <c r="E5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 t="s">
        <v>87</v>
      </c>
      <c r="E5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/>
      <c r="E5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/>
      <c r="E5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 t="s">
        <v>87</v>
      </c>
      <c r="E5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/>
      <c r="E5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/>
      <c r="E5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 t="s">
        <v>87</v>
      </c>
      <c r="E5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 t="s">
        <v>87</v>
      </c>
      <c r="E5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 t="s">
        <v>87</v>
      </c>
      <c r="E5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 t="s">
        <v>87</v>
      </c>
      <c r="E5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 t="s">
        <v>87</v>
      </c>
      <c r="E5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 t="s">
        <v>87</v>
      </c>
      <c r="E5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/>
      <c r="E5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/>
      <c r="E5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/>
      <c r="E5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/>
      <c r="E5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 t="s">
        <v>87</v>
      </c>
      <c r="E5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/>
      <c r="E5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 t="s">
        <v>87</v>
      </c>
      <c r="E5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/>
      <c r="E5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/>
      <c r="E5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 t="s">
        <v>87</v>
      </c>
      <c r="E5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 t="s">
        <v>87</v>
      </c>
      <c r="E5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/>
      <c r="E5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 t="s">
        <v>87</v>
      </c>
      <c r="E5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/>
      <c r="E5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 t="s">
        <v>87</v>
      </c>
      <c r="E5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 t="s">
        <v>87</v>
      </c>
      <c r="E5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/>
      <c r="E5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/>
      <c r="E5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 t="s">
        <v>87</v>
      </c>
      <c r="E5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/>
      <c r="E5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/>
      <c r="E5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 t="s">
        <v>87</v>
      </c>
      <c r="E5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/>
      <c r="E5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 t="s">
        <v>87</v>
      </c>
      <c r="E5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/>
      <c r="E5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 t="s">
        <v>87</v>
      </c>
      <c r="E5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 t="s">
        <v>87</v>
      </c>
      <c r="E5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 t="s">
        <v>87</v>
      </c>
      <c r="E5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/>
      <c r="E5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 t="s">
        <v>87</v>
      </c>
      <c r="E5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/>
      <c r="E5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 t="s">
        <v>87</v>
      </c>
      <c r="E5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/>
      <c r="E5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/>
      <c r="E5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 t="s">
        <v>87</v>
      </c>
      <c r="E5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/>
      <c r="E5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/>
      <c r="E5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 t="s">
        <v>87</v>
      </c>
      <c r="E5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/>
      <c r="E5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 t="s">
        <v>87</v>
      </c>
      <c r="E5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 t="s">
        <v>87</v>
      </c>
      <c r="E5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 t="s">
        <v>87</v>
      </c>
      <c r="E5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 t="s">
        <v>87</v>
      </c>
      <c r="E5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/>
      <c r="E5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 t="s">
        <v>87</v>
      </c>
      <c r="E5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 t="s">
        <v>87</v>
      </c>
      <c r="E5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/>
      <c r="E5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 t="s">
        <v>87</v>
      </c>
      <c r="E5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 t="s">
        <v>87</v>
      </c>
      <c r="E5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/>
      <c r="E5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/>
      <c r="E5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 t="s">
        <v>87</v>
      </c>
      <c r="E5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/>
      <c r="E5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 t="s">
        <v>87</v>
      </c>
      <c r="E5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 t="s">
        <v>87</v>
      </c>
      <c r="E5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 t="s">
        <v>87</v>
      </c>
      <c r="E5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/>
      <c r="E5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 t="s">
        <v>87</v>
      </c>
      <c r="E5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/>
      <c r="E5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 t="s">
        <v>87</v>
      </c>
      <c r="E5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 t="s">
        <v>87</v>
      </c>
      <c r="E6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 t="s">
        <v>87</v>
      </c>
      <c r="E6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/>
      <c r="E6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 t="s">
        <v>87</v>
      </c>
      <c r="E6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/>
      <c r="E6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 t="s">
        <v>87</v>
      </c>
      <c r="E6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/>
      <c r="E6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 t="s">
        <v>87</v>
      </c>
      <c r="E6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/>
      <c r="E6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/>
      <c r="E6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/>
      <c r="E6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/>
      <c r="E6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 t="s">
        <v>87</v>
      </c>
      <c r="E6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 t="s">
        <v>87</v>
      </c>
      <c r="E6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/>
      <c r="E6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 t="s">
        <v>87</v>
      </c>
      <c r="E6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/>
      <c r="E6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 t="s">
        <v>87</v>
      </c>
      <c r="E6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/>
      <c r="E6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/>
      <c r="E6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/>
      <c r="E6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 t="s">
        <v>87</v>
      </c>
      <c r="E6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/>
      <c r="E6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/>
      <c r="E6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/>
      <c r="E6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/>
      <c r="E6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 t="s">
        <v>87</v>
      </c>
      <c r="E6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 t="s">
        <v>87</v>
      </c>
      <c r="E6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/>
      <c r="E6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/>
      <c r="E6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 t="s">
        <v>87</v>
      </c>
      <c r="E6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 t="s">
        <v>87</v>
      </c>
      <c r="E6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/>
      <c r="E6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/>
      <c r="E6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/>
      <c r="E6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/>
      <c r="E6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/>
      <c r="E6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 t="s">
        <v>87</v>
      </c>
      <c r="E6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 t="s">
        <v>87</v>
      </c>
      <c r="E6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 t="s">
        <v>87</v>
      </c>
      <c r="E6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/>
      <c r="E6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 t="s">
        <v>87</v>
      </c>
      <c r="E6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/>
      <c r="E6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 t="s">
        <v>87</v>
      </c>
      <c r="E6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/>
      <c r="E6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/>
      <c r="E6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 t="s">
        <v>87</v>
      </c>
      <c r="E6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/>
      <c r="E6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/>
      <c r="E6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/>
      <c r="E6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/>
      <c r="E6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 t="s">
        <v>87</v>
      </c>
      <c r="E6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 t="s">
        <v>87</v>
      </c>
      <c r="E6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/>
      <c r="E6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 t="s">
        <v>87</v>
      </c>
      <c r="E6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/>
      <c r="E6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/>
      <c r="E6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 t="s">
        <v>87</v>
      </c>
      <c r="E6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 t="s">
        <v>87</v>
      </c>
      <c r="E6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 t="s">
        <v>87</v>
      </c>
      <c r="E6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 t="s">
        <v>87</v>
      </c>
      <c r="E6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/>
      <c r="E6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/>
      <c r="E6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 t="s">
        <v>87</v>
      </c>
      <c r="E6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/>
      <c r="E6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/>
      <c r="E6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/>
      <c r="E6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/>
      <c r="E6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 t="s">
        <v>87</v>
      </c>
      <c r="E6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/>
      <c r="E6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 t="s">
        <v>87</v>
      </c>
      <c r="E6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 t="s">
        <v>87</v>
      </c>
      <c r="E6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 t="s">
        <v>87</v>
      </c>
      <c r="E6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 t="s">
        <v>87</v>
      </c>
      <c r="E6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 t="s">
        <v>87</v>
      </c>
      <c r="E6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/>
      <c r="E6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 t="s">
        <v>87</v>
      </c>
      <c r="E6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/>
      <c r="E6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 t="s">
        <v>87</v>
      </c>
      <c r="E6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 t="s">
        <v>87</v>
      </c>
      <c r="E6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 t="s">
        <v>87</v>
      </c>
      <c r="E6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/>
      <c r="E6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/>
      <c r="E6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 t="s">
        <v>87</v>
      </c>
      <c r="E6198" s="33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8" s="34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0.22222222222222221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16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%</v>
      </c>
      <c r="H3" s="3" t="str">
        <f>VLOOKUP('Gráfico Controle de Resultados'!C5,Auxiliar!B:D,3,FALSE)</f>
        <v>0,0%</v>
      </c>
      <c r="I3" s="3" t="str">
        <f>VLOOKUP('Gráfico Controle de Resultados'!C5,Auxiliar!B:E,4,FALSE)</f>
        <v>0,0%;"";""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0.21184929971664709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1</v>
      </c>
      <c r="AO4" s="3">
        <f>AN4+AO3</f>
        <v>1</v>
      </c>
      <c r="AQ4" s="26" t="s">
        <v>58</v>
      </c>
      <c r="AR4" s="3">
        <f>IF('Gráfico Controle de Resultados'!C6="Cima",Auxiliar!AR2-Auxiliar!AR3,AR3-AR2)</f>
        <v>-1.0372922505575116E-2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1</v>
      </c>
      <c r="AQ5" s="26" t="s">
        <v>60</v>
      </c>
      <c r="AR5" s="3">
        <f>ABS(AR4)</f>
        <v>1.0372922505575116E-2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1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1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1</v>
      </c>
      <c r="AT8" s="3">
        <f t="shared" si="12"/>
        <v>6</v>
      </c>
      <c r="AU8" s="3">
        <f>COUNTIF('Gráfico Controle de Resultados'!X:X,Auxiliar!AT8)</f>
        <v>1</v>
      </c>
      <c r="AV8" s="3">
        <f t="shared" si="13"/>
        <v>1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1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1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1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1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1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1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1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1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1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1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1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1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1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1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1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1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1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1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1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1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1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1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1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1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1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1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1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1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1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1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1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1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1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1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1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1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1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1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1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1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1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1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1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1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1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1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1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1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1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1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1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1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1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2491EA-DFAC-45E3-AAFB-C9A795FA76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 Controle de Resultados</vt:lpstr>
      <vt:lpstr>Realizado Jan35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2025-12-15T18:56:30Z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