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lucasmac31business-my.sharepoint.com/personal/contato_machadogestao_com/Documents/3. SUPORTE/2. PROJETOS/PG - FORMAÇÃO EM MÉTODO GERENCIAL/MÓDULO 5/DOCUMENTOS AUXILIARES/"/>
    </mc:Choice>
  </mc:AlternateContent>
  <xr:revisionPtr revIDLastSave="358" documentId="13_ncr:1_{0BEF2D83-7ABD-46F0-BE32-924C34AFB25C}" xr6:coauthVersionLast="47" xr6:coauthVersionMax="47" xr10:uidLastSave="{B69E5012-6FFC-468E-A5F6-C0F42F8EFE36}"/>
  <bookViews>
    <workbookView xWindow="-110" yWindow="-110" windowWidth="25820" windowHeight="13900" xr2:uid="{00000000-000D-0000-FFFF-FFFF00000000}"/>
  </bookViews>
  <sheets>
    <sheet name="Gráfico Controle de Resultados" sheetId="6" r:id="rId1"/>
    <sheet name="Realizado Jan35" sheetId="8" r:id="rId2"/>
    <sheet name="Realizado Fev35" sheetId="9" r:id="rId3"/>
    <sheet name="Auxiliar" sheetId="7" state="hidden" r:id="rId4"/>
  </sheets>
  <definedNames>
    <definedName name="_xlnm._FilterDatabase" localSheetId="0" hidden="1">'Gráfico Controle de Resultados'!$A$1:$A$12</definedName>
    <definedName name="Semanas">OFFSET(Auxiliar!$AC$3,0,0,ROWS(Auxiliar!$AC:$AC)-COUNTBLANK(Auxiliar!$AC:$AC)-1)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9" l="1"/>
  <c r="D5" i="8" l="1"/>
  <c r="AE35" i="6"/>
  <c r="X3" i="7" l="1"/>
  <c r="BH2" i="7" l="1"/>
  <c r="D6" i="7" l="1"/>
  <c r="D4" i="7"/>
  <c r="BE3" i="7"/>
  <c r="BE2" i="7"/>
  <c r="Z2" i="6" l="1"/>
  <c r="AT4" i="7" l="1"/>
  <c r="AT5" i="7" s="1"/>
  <c r="AT6" i="7" s="1"/>
  <c r="AT7" i="7" s="1"/>
  <c r="AT8" i="7" s="1"/>
  <c r="AT9" i="7" s="1"/>
  <c r="AT10" i="7" s="1"/>
  <c r="AT11" i="7" s="1"/>
  <c r="AT12" i="7" s="1"/>
  <c r="AT13" i="7" s="1"/>
  <c r="AT14" i="7" s="1"/>
  <c r="AT15" i="7" s="1"/>
  <c r="AT16" i="7" s="1"/>
  <c r="AT17" i="7" s="1"/>
  <c r="AT18" i="7" s="1"/>
  <c r="AT19" i="7" s="1"/>
  <c r="AT20" i="7" s="1"/>
  <c r="AT21" i="7" s="1"/>
  <c r="AT22" i="7" s="1"/>
  <c r="AT23" i="7" s="1"/>
  <c r="AT24" i="7" s="1"/>
  <c r="AT25" i="7" s="1"/>
  <c r="AT26" i="7" s="1"/>
  <c r="AT27" i="7" s="1"/>
  <c r="AT28" i="7" s="1"/>
  <c r="AT29" i="7" s="1"/>
  <c r="AT30" i="7" s="1"/>
  <c r="AT31" i="7" s="1"/>
  <c r="AT32" i="7" s="1"/>
  <c r="AT33" i="7" s="1"/>
  <c r="AT34" i="7" s="1"/>
  <c r="AT35" i="7" s="1"/>
  <c r="AT36" i="7" s="1"/>
  <c r="AT37" i="7" s="1"/>
  <c r="AT38" i="7" s="1"/>
  <c r="AT39" i="7" s="1"/>
  <c r="AT40" i="7" s="1"/>
  <c r="AT41" i="7" s="1"/>
  <c r="AT42" i="7" s="1"/>
  <c r="AT43" i="7" s="1"/>
  <c r="AT44" i="7" s="1"/>
  <c r="AT45" i="7" s="1"/>
  <c r="AT46" i="7" s="1"/>
  <c r="AT47" i="7" s="1"/>
  <c r="AT48" i="7" s="1"/>
  <c r="AT49" i="7" s="1"/>
  <c r="AT50" i="7" s="1"/>
  <c r="AT51" i="7" s="1"/>
  <c r="AT52" i="7" s="1"/>
  <c r="AT53" i="7" s="1"/>
  <c r="AT54" i="7" s="1"/>
  <c r="AT55" i="7" s="1"/>
  <c r="Q12" i="6"/>
  <c r="P12" i="6"/>
  <c r="Q11" i="6"/>
  <c r="P11" i="6"/>
  <c r="Q10" i="6"/>
  <c r="P10" i="6"/>
  <c r="Q9" i="6"/>
  <c r="P9" i="6"/>
  <c r="Q8" i="6"/>
  <c r="P8" i="6"/>
  <c r="Q7" i="6"/>
  <c r="P7" i="6"/>
  <c r="Q6" i="6"/>
  <c r="P6" i="6"/>
  <c r="Q5" i="6"/>
  <c r="P5" i="6"/>
  <c r="AA35" i="6"/>
  <c r="AE3" i="7" l="1"/>
  <c r="AE4" i="7" l="1"/>
  <c r="Z3" i="7"/>
  <c r="AA10" i="6"/>
  <c r="AE5" i="7" l="1"/>
  <c r="Z4" i="7"/>
  <c r="AE9" i="6"/>
  <c r="AE6" i="7" l="1"/>
  <c r="Z5" i="7"/>
  <c r="B3" i="7"/>
  <c r="G3" i="7" s="1"/>
  <c r="AA33" i="6" s="1"/>
  <c r="D3" i="7"/>
  <c r="I5" i="6"/>
  <c r="I6" i="6"/>
  <c r="I7" i="6"/>
  <c r="I8" i="6"/>
  <c r="I9" i="6"/>
  <c r="I10" i="6"/>
  <c r="I11" i="6"/>
  <c r="I12" i="6"/>
  <c r="I13" i="6"/>
  <c r="I14" i="6"/>
  <c r="I15" i="6"/>
  <c r="I16" i="6"/>
  <c r="AE7" i="7" l="1"/>
  <c r="Z6" i="7"/>
  <c r="H3" i="7"/>
  <c r="I3" i="7"/>
  <c r="AA8" i="6"/>
  <c r="J16" i="6"/>
  <c r="J15" i="6"/>
  <c r="J14" i="6"/>
  <c r="J13" i="6"/>
  <c r="J12" i="6"/>
  <c r="J11" i="6"/>
  <c r="J10" i="6"/>
  <c r="J9" i="6"/>
  <c r="J8" i="6"/>
  <c r="J7" i="6"/>
  <c r="J6" i="6"/>
  <c r="J5" i="6"/>
  <c r="AI3" i="7"/>
  <c r="AJ3" i="7"/>
  <c r="AE8" i="7" l="1"/>
  <c r="Z7" i="7"/>
  <c r="W153" i="6"/>
  <c r="W152" i="6"/>
  <c r="W151" i="6"/>
  <c r="W150" i="6"/>
  <c r="W149" i="6"/>
  <c r="W148" i="6"/>
  <c r="W147" i="6"/>
  <c r="W146" i="6"/>
  <c r="W145" i="6"/>
  <c r="W144" i="6"/>
  <c r="W143" i="6"/>
  <c r="W142" i="6"/>
  <c r="W141" i="6"/>
  <c r="W140" i="6"/>
  <c r="W139" i="6"/>
  <c r="W138" i="6"/>
  <c r="W137" i="6"/>
  <c r="W136" i="6"/>
  <c r="W135" i="6"/>
  <c r="W134" i="6"/>
  <c r="W133" i="6"/>
  <c r="W132" i="6"/>
  <c r="W131" i="6"/>
  <c r="W130" i="6"/>
  <c r="W129" i="6"/>
  <c r="W128" i="6"/>
  <c r="W127" i="6"/>
  <c r="W126" i="6"/>
  <c r="W125" i="6"/>
  <c r="W124" i="6"/>
  <c r="W123" i="6"/>
  <c r="W122" i="6"/>
  <c r="W121" i="6"/>
  <c r="W120" i="6"/>
  <c r="W119" i="6"/>
  <c r="W118" i="6"/>
  <c r="W117" i="6"/>
  <c r="W116" i="6"/>
  <c r="W115" i="6"/>
  <c r="W114" i="6"/>
  <c r="W113" i="6"/>
  <c r="W112" i="6"/>
  <c r="W111" i="6"/>
  <c r="W110" i="6"/>
  <c r="W109" i="6"/>
  <c r="W108" i="6"/>
  <c r="W107" i="6"/>
  <c r="W106" i="6"/>
  <c r="W105" i="6"/>
  <c r="W104" i="6"/>
  <c r="W103" i="6"/>
  <c r="W102" i="6"/>
  <c r="W101" i="6"/>
  <c r="W100" i="6"/>
  <c r="W99" i="6"/>
  <c r="W98" i="6"/>
  <c r="W97" i="6"/>
  <c r="W96" i="6"/>
  <c r="W95" i="6"/>
  <c r="W94" i="6"/>
  <c r="W93" i="6"/>
  <c r="W92" i="6"/>
  <c r="W91" i="6"/>
  <c r="W90" i="6"/>
  <c r="W89" i="6"/>
  <c r="W88" i="6"/>
  <c r="W87" i="6"/>
  <c r="W86" i="6"/>
  <c r="W85" i="6"/>
  <c r="W84" i="6"/>
  <c r="W83" i="6"/>
  <c r="W82" i="6"/>
  <c r="W81" i="6"/>
  <c r="W80" i="6"/>
  <c r="W79" i="6"/>
  <c r="W78" i="6"/>
  <c r="W77" i="6"/>
  <c r="W76" i="6"/>
  <c r="W75" i="6"/>
  <c r="W74" i="6"/>
  <c r="W73" i="6"/>
  <c r="W72" i="6"/>
  <c r="W71" i="6"/>
  <c r="W70" i="6"/>
  <c r="W69" i="6"/>
  <c r="W68" i="6"/>
  <c r="W67" i="6"/>
  <c r="W66" i="6"/>
  <c r="W65" i="6"/>
  <c r="W64" i="6"/>
  <c r="W63" i="6"/>
  <c r="W62" i="6"/>
  <c r="W61" i="6"/>
  <c r="W60" i="6"/>
  <c r="W59" i="6"/>
  <c r="W58" i="6"/>
  <c r="W57" i="6"/>
  <c r="W56" i="6"/>
  <c r="W55" i="6"/>
  <c r="W54" i="6"/>
  <c r="W53" i="6"/>
  <c r="W52" i="6"/>
  <c r="W51" i="6"/>
  <c r="W50" i="6"/>
  <c r="W49" i="6"/>
  <c r="W48" i="6"/>
  <c r="W47" i="6"/>
  <c r="W46" i="6"/>
  <c r="W45" i="6"/>
  <c r="W44" i="6"/>
  <c r="W43" i="6"/>
  <c r="W42" i="6"/>
  <c r="W41" i="6"/>
  <c r="W40" i="6"/>
  <c r="W39" i="6"/>
  <c r="W38" i="6"/>
  <c r="W37" i="6"/>
  <c r="W36" i="6"/>
  <c r="W35" i="6"/>
  <c r="W34" i="6"/>
  <c r="W33" i="6"/>
  <c r="W32" i="6"/>
  <c r="W31" i="6"/>
  <c r="W30" i="6"/>
  <c r="W29" i="6"/>
  <c r="W28" i="6"/>
  <c r="W27" i="6"/>
  <c r="W26" i="6"/>
  <c r="W25" i="6"/>
  <c r="W24" i="6"/>
  <c r="W23" i="6"/>
  <c r="W22" i="6"/>
  <c r="W21" i="6"/>
  <c r="W20" i="6"/>
  <c r="W19" i="6"/>
  <c r="W18" i="6"/>
  <c r="W17" i="6"/>
  <c r="W16" i="6"/>
  <c r="W15" i="6"/>
  <c r="W14" i="6"/>
  <c r="W13" i="6"/>
  <c r="W12" i="6"/>
  <c r="W11" i="6"/>
  <c r="W10" i="6"/>
  <c r="W9" i="6"/>
  <c r="W8" i="6"/>
  <c r="W7" i="6"/>
  <c r="W6" i="6"/>
  <c r="W5" i="6"/>
  <c r="S3" i="7"/>
  <c r="T367" i="7"/>
  <c r="W367" i="7" s="1"/>
  <c r="T366" i="7"/>
  <c r="W366" i="7" s="1"/>
  <c r="T365" i="7"/>
  <c r="W365" i="7" s="1"/>
  <c r="T364" i="7"/>
  <c r="W364" i="7" s="1"/>
  <c r="T363" i="7"/>
  <c r="W363" i="7" s="1"/>
  <c r="T362" i="7"/>
  <c r="W362" i="7" s="1"/>
  <c r="T361" i="7"/>
  <c r="W361" i="7" s="1"/>
  <c r="T360" i="7"/>
  <c r="W360" i="7" s="1"/>
  <c r="T359" i="7"/>
  <c r="W359" i="7" s="1"/>
  <c r="T358" i="7"/>
  <c r="W358" i="7" s="1"/>
  <c r="T357" i="7"/>
  <c r="W357" i="7" s="1"/>
  <c r="T356" i="7"/>
  <c r="W356" i="7" s="1"/>
  <c r="T355" i="7"/>
  <c r="W355" i="7" s="1"/>
  <c r="T354" i="7"/>
  <c r="W354" i="7" s="1"/>
  <c r="T353" i="7"/>
  <c r="W353" i="7" s="1"/>
  <c r="T352" i="7"/>
  <c r="W352" i="7" s="1"/>
  <c r="T351" i="7"/>
  <c r="W351" i="7" s="1"/>
  <c r="T350" i="7"/>
  <c r="W350" i="7" s="1"/>
  <c r="T349" i="7"/>
  <c r="W349" i="7" s="1"/>
  <c r="T348" i="7"/>
  <c r="W348" i="7" s="1"/>
  <c r="T347" i="7"/>
  <c r="W347" i="7" s="1"/>
  <c r="T346" i="7"/>
  <c r="W346" i="7" s="1"/>
  <c r="T345" i="7"/>
  <c r="W345" i="7" s="1"/>
  <c r="T344" i="7"/>
  <c r="W344" i="7" s="1"/>
  <c r="T343" i="7"/>
  <c r="W343" i="7" s="1"/>
  <c r="T342" i="7"/>
  <c r="W342" i="7" s="1"/>
  <c r="T341" i="7"/>
  <c r="W341" i="7" s="1"/>
  <c r="T340" i="7"/>
  <c r="W340" i="7" s="1"/>
  <c r="T339" i="7"/>
  <c r="W339" i="7" s="1"/>
  <c r="T338" i="7"/>
  <c r="W338" i="7" s="1"/>
  <c r="T337" i="7"/>
  <c r="W337" i="7" s="1"/>
  <c r="T336" i="7"/>
  <c r="W336" i="7" s="1"/>
  <c r="T335" i="7"/>
  <c r="W335" i="7" s="1"/>
  <c r="T334" i="7"/>
  <c r="W334" i="7" s="1"/>
  <c r="T333" i="7"/>
  <c r="W333" i="7" s="1"/>
  <c r="T332" i="7"/>
  <c r="W332" i="7" s="1"/>
  <c r="T331" i="7"/>
  <c r="W331" i="7" s="1"/>
  <c r="T330" i="7"/>
  <c r="W330" i="7" s="1"/>
  <c r="T329" i="7"/>
  <c r="W329" i="7" s="1"/>
  <c r="T328" i="7"/>
  <c r="W328" i="7" s="1"/>
  <c r="T327" i="7"/>
  <c r="W327" i="7" s="1"/>
  <c r="T326" i="7"/>
  <c r="W326" i="7" s="1"/>
  <c r="T325" i="7"/>
  <c r="W325" i="7" s="1"/>
  <c r="T324" i="7"/>
  <c r="W324" i="7" s="1"/>
  <c r="T323" i="7"/>
  <c r="W323" i="7" s="1"/>
  <c r="T322" i="7"/>
  <c r="W322" i="7" s="1"/>
  <c r="T321" i="7"/>
  <c r="W321" i="7" s="1"/>
  <c r="T320" i="7"/>
  <c r="W320" i="7" s="1"/>
  <c r="T319" i="7"/>
  <c r="W319" i="7" s="1"/>
  <c r="T318" i="7"/>
  <c r="W318" i="7" s="1"/>
  <c r="T317" i="7"/>
  <c r="W317" i="7" s="1"/>
  <c r="T316" i="7"/>
  <c r="W316" i="7" s="1"/>
  <c r="T315" i="7"/>
  <c r="W315" i="7" s="1"/>
  <c r="T314" i="7"/>
  <c r="W314" i="7" s="1"/>
  <c r="T313" i="7"/>
  <c r="W313" i="7" s="1"/>
  <c r="T312" i="7"/>
  <c r="W312" i="7" s="1"/>
  <c r="T311" i="7"/>
  <c r="W311" i="7" s="1"/>
  <c r="T310" i="7"/>
  <c r="W310" i="7" s="1"/>
  <c r="T309" i="7"/>
  <c r="W309" i="7" s="1"/>
  <c r="T308" i="7"/>
  <c r="W308" i="7" s="1"/>
  <c r="T307" i="7"/>
  <c r="W307" i="7" s="1"/>
  <c r="T306" i="7"/>
  <c r="W306" i="7" s="1"/>
  <c r="T305" i="7"/>
  <c r="W305" i="7" s="1"/>
  <c r="T304" i="7"/>
  <c r="W304" i="7" s="1"/>
  <c r="T303" i="7"/>
  <c r="W303" i="7" s="1"/>
  <c r="T302" i="7"/>
  <c r="W302" i="7" s="1"/>
  <c r="T301" i="7"/>
  <c r="W301" i="7" s="1"/>
  <c r="T300" i="7"/>
  <c r="W300" i="7" s="1"/>
  <c r="T299" i="7"/>
  <c r="W299" i="7" s="1"/>
  <c r="T298" i="7"/>
  <c r="W298" i="7" s="1"/>
  <c r="T297" i="7"/>
  <c r="W297" i="7" s="1"/>
  <c r="T296" i="7"/>
  <c r="W296" i="7" s="1"/>
  <c r="T295" i="7"/>
  <c r="W295" i="7" s="1"/>
  <c r="T294" i="7"/>
  <c r="W294" i="7" s="1"/>
  <c r="T293" i="7"/>
  <c r="W293" i="7" s="1"/>
  <c r="T292" i="7"/>
  <c r="W292" i="7" s="1"/>
  <c r="T291" i="7"/>
  <c r="W291" i="7" s="1"/>
  <c r="T290" i="7"/>
  <c r="W290" i="7" s="1"/>
  <c r="T289" i="7"/>
  <c r="W289" i="7" s="1"/>
  <c r="T288" i="7"/>
  <c r="W288" i="7" s="1"/>
  <c r="T287" i="7"/>
  <c r="W287" i="7" s="1"/>
  <c r="T286" i="7"/>
  <c r="W286" i="7" s="1"/>
  <c r="T285" i="7"/>
  <c r="W285" i="7" s="1"/>
  <c r="T284" i="7"/>
  <c r="W284" i="7" s="1"/>
  <c r="T283" i="7"/>
  <c r="W283" i="7" s="1"/>
  <c r="T282" i="7"/>
  <c r="W282" i="7" s="1"/>
  <c r="T281" i="7"/>
  <c r="W281" i="7" s="1"/>
  <c r="T280" i="7"/>
  <c r="W280" i="7" s="1"/>
  <c r="T279" i="7"/>
  <c r="W279" i="7" s="1"/>
  <c r="T278" i="7"/>
  <c r="W278" i="7" s="1"/>
  <c r="T277" i="7"/>
  <c r="W277" i="7" s="1"/>
  <c r="T276" i="7"/>
  <c r="W276" i="7" s="1"/>
  <c r="T275" i="7"/>
  <c r="W275" i="7" s="1"/>
  <c r="T274" i="7"/>
  <c r="W274" i="7" s="1"/>
  <c r="T273" i="7"/>
  <c r="W273" i="7" s="1"/>
  <c r="T272" i="7"/>
  <c r="W272" i="7" s="1"/>
  <c r="T271" i="7"/>
  <c r="W271" i="7" s="1"/>
  <c r="T270" i="7"/>
  <c r="W270" i="7" s="1"/>
  <c r="T269" i="7"/>
  <c r="W269" i="7" s="1"/>
  <c r="T268" i="7"/>
  <c r="W268" i="7" s="1"/>
  <c r="T267" i="7"/>
  <c r="W267" i="7" s="1"/>
  <c r="T266" i="7"/>
  <c r="W266" i="7" s="1"/>
  <c r="T265" i="7"/>
  <c r="W265" i="7" s="1"/>
  <c r="T264" i="7"/>
  <c r="W264" i="7" s="1"/>
  <c r="T263" i="7"/>
  <c r="W263" i="7" s="1"/>
  <c r="T262" i="7"/>
  <c r="W262" i="7" s="1"/>
  <c r="T261" i="7"/>
  <c r="W261" i="7" s="1"/>
  <c r="T260" i="7"/>
  <c r="W260" i="7" s="1"/>
  <c r="T259" i="7"/>
  <c r="W259" i="7" s="1"/>
  <c r="T258" i="7"/>
  <c r="W258" i="7" s="1"/>
  <c r="T257" i="7"/>
  <c r="W257" i="7" s="1"/>
  <c r="T256" i="7"/>
  <c r="W256" i="7" s="1"/>
  <c r="T255" i="7"/>
  <c r="W255" i="7" s="1"/>
  <c r="T254" i="7"/>
  <c r="W254" i="7" s="1"/>
  <c r="T253" i="7"/>
  <c r="W253" i="7" s="1"/>
  <c r="T252" i="7"/>
  <c r="W252" i="7" s="1"/>
  <c r="T251" i="7"/>
  <c r="W251" i="7" s="1"/>
  <c r="T250" i="7"/>
  <c r="W250" i="7" s="1"/>
  <c r="T249" i="7"/>
  <c r="W249" i="7" s="1"/>
  <c r="T248" i="7"/>
  <c r="W248" i="7" s="1"/>
  <c r="T247" i="7"/>
  <c r="W247" i="7" s="1"/>
  <c r="T246" i="7"/>
  <c r="W246" i="7" s="1"/>
  <c r="T245" i="7"/>
  <c r="W245" i="7" s="1"/>
  <c r="T244" i="7"/>
  <c r="W244" i="7" s="1"/>
  <c r="T243" i="7"/>
  <c r="W243" i="7" s="1"/>
  <c r="T242" i="7"/>
  <c r="W242" i="7" s="1"/>
  <c r="T241" i="7"/>
  <c r="W241" i="7" s="1"/>
  <c r="T240" i="7"/>
  <c r="W240" i="7" s="1"/>
  <c r="T239" i="7"/>
  <c r="W239" i="7" s="1"/>
  <c r="T238" i="7"/>
  <c r="W238" i="7" s="1"/>
  <c r="T237" i="7"/>
  <c r="W237" i="7" s="1"/>
  <c r="T236" i="7"/>
  <c r="W236" i="7" s="1"/>
  <c r="T235" i="7"/>
  <c r="W235" i="7" s="1"/>
  <c r="T234" i="7"/>
  <c r="W234" i="7" s="1"/>
  <c r="T233" i="7"/>
  <c r="W233" i="7" s="1"/>
  <c r="T232" i="7"/>
  <c r="W232" i="7" s="1"/>
  <c r="T231" i="7"/>
  <c r="W231" i="7" s="1"/>
  <c r="T230" i="7"/>
  <c r="W230" i="7" s="1"/>
  <c r="T229" i="7"/>
  <c r="W229" i="7" s="1"/>
  <c r="T228" i="7"/>
  <c r="W228" i="7" s="1"/>
  <c r="T227" i="7"/>
  <c r="W227" i="7" s="1"/>
  <c r="T226" i="7"/>
  <c r="W226" i="7" s="1"/>
  <c r="T225" i="7"/>
  <c r="W225" i="7" s="1"/>
  <c r="T224" i="7"/>
  <c r="W224" i="7" s="1"/>
  <c r="T223" i="7"/>
  <c r="W223" i="7" s="1"/>
  <c r="T222" i="7"/>
  <c r="W222" i="7" s="1"/>
  <c r="T221" i="7"/>
  <c r="W221" i="7" s="1"/>
  <c r="T220" i="7"/>
  <c r="W220" i="7" s="1"/>
  <c r="T219" i="7"/>
  <c r="W219" i="7" s="1"/>
  <c r="T218" i="7"/>
  <c r="W218" i="7" s="1"/>
  <c r="T217" i="7"/>
  <c r="W217" i="7" s="1"/>
  <c r="T216" i="7"/>
  <c r="W216" i="7" s="1"/>
  <c r="T215" i="7"/>
  <c r="W215" i="7" s="1"/>
  <c r="T214" i="7"/>
  <c r="W214" i="7" s="1"/>
  <c r="T213" i="7"/>
  <c r="W213" i="7" s="1"/>
  <c r="T212" i="7"/>
  <c r="W212" i="7" s="1"/>
  <c r="T211" i="7"/>
  <c r="W211" i="7" s="1"/>
  <c r="T210" i="7"/>
  <c r="W210" i="7" s="1"/>
  <c r="T209" i="7"/>
  <c r="W209" i="7" s="1"/>
  <c r="T208" i="7"/>
  <c r="W208" i="7" s="1"/>
  <c r="T207" i="7"/>
  <c r="W207" i="7" s="1"/>
  <c r="T206" i="7"/>
  <c r="W206" i="7" s="1"/>
  <c r="T205" i="7"/>
  <c r="W205" i="7" s="1"/>
  <c r="T204" i="7"/>
  <c r="W204" i="7" s="1"/>
  <c r="T203" i="7"/>
  <c r="W203" i="7" s="1"/>
  <c r="T202" i="7"/>
  <c r="W202" i="7" s="1"/>
  <c r="T201" i="7"/>
  <c r="W201" i="7" s="1"/>
  <c r="T200" i="7"/>
  <c r="W200" i="7" s="1"/>
  <c r="T199" i="7"/>
  <c r="W199" i="7" s="1"/>
  <c r="T198" i="7"/>
  <c r="W198" i="7" s="1"/>
  <c r="T197" i="7"/>
  <c r="W197" i="7" s="1"/>
  <c r="T196" i="7"/>
  <c r="W196" i="7" s="1"/>
  <c r="T195" i="7"/>
  <c r="W195" i="7" s="1"/>
  <c r="T194" i="7"/>
  <c r="W194" i="7" s="1"/>
  <c r="T193" i="7"/>
  <c r="W193" i="7" s="1"/>
  <c r="T192" i="7"/>
  <c r="W192" i="7" s="1"/>
  <c r="T191" i="7"/>
  <c r="W191" i="7" s="1"/>
  <c r="T190" i="7"/>
  <c r="W190" i="7" s="1"/>
  <c r="T189" i="7"/>
  <c r="W189" i="7" s="1"/>
  <c r="T188" i="7"/>
  <c r="W188" i="7" s="1"/>
  <c r="T187" i="7"/>
  <c r="W187" i="7" s="1"/>
  <c r="T186" i="7"/>
  <c r="W186" i="7" s="1"/>
  <c r="T185" i="7"/>
  <c r="W185" i="7" s="1"/>
  <c r="T184" i="7"/>
  <c r="W184" i="7" s="1"/>
  <c r="T183" i="7"/>
  <c r="W183" i="7" s="1"/>
  <c r="T182" i="7"/>
  <c r="W182" i="7" s="1"/>
  <c r="T181" i="7"/>
  <c r="W181" i="7" s="1"/>
  <c r="T180" i="7"/>
  <c r="W180" i="7" s="1"/>
  <c r="T179" i="7"/>
  <c r="W179" i="7" s="1"/>
  <c r="T178" i="7"/>
  <c r="W178" i="7" s="1"/>
  <c r="T177" i="7"/>
  <c r="W177" i="7" s="1"/>
  <c r="T176" i="7"/>
  <c r="W176" i="7" s="1"/>
  <c r="T175" i="7"/>
  <c r="W175" i="7" s="1"/>
  <c r="T174" i="7"/>
  <c r="W174" i="7" s="1"/>
  <c r="T173" i="7"/>
  <c r="W173" i="7" s="1"/>
  <c r="T172" i="7"/>
  <c r="W172" i="7" s="1"/>
  <c r="T171" i="7"/>
  <c r="W171" i="7" s="1"/>
  <c r="T170" i="7"/>
  <c r="W170" i="7" s="1"/>
  <c r="T169" i="7"/>
  <c r="W169" i="7" s="1"/>
  <c r="T168" i="7"/>
  <c r="W168" i="7" s="1"/>
  <c r="T167" i="7"/>
  <c r="W167" i="7" s="1"/>
  <c r="T166" i="7"/>
  <c r="W166" i="7" s="1"/>
  <c r="T165" i="7"/>
  <c r="W165" i="7" s="1"/>
  <c r="T164" i="7"/>
  <c r="W164" i="7" s="1"/>
  <c r="T163" i="7"/>
  <c r="W163" i="7" s="1"/>
  <c r="T162" i="7"/>
  <c r="W162" i="7" s="1"/>
  <c r="T161" i="7"/>
  <c r="W161" i="7" s="1"/>
  <c r="T160" i="7"/>
  <c r="W160" i="7" s="1"/>
  <c r="T159" i="7"/>
  <c r="W159" i="7" s="1"/>
  <c r="T158" i="7"/>
  <c r="W158" i="7" s="1"/>
  <c r="T157" i="7"/>
  <c r="W157" i="7" s="1"/>
  <c r="T156" i="7"/>
  <c r="W156" i="7" s="1"/>
  <c r="T155" i="7"/>
  <c r="W155" i="7" s="1"/>
  <c r="T154" i="7"/>
  <c r="W154" i="7" s="1"/>
  <c r="T153" i="7"/>
  <c r="W153" i="7" s="1"/>
  <c r="T152" i="7"/>
  <c r="W152" i="7" s="1"/>
  <c r="T151" i="7"/>
  <c r="W151" i="7" s="1"/>
  <c r="T150" i="7"/>
  <c r="W150" i="7" s="1"/>
  <c r="T149" i="7"/>
  <c r="W149" i="7" s="1"/>
  <c r="T148" i="7"/>
  <c r="W148" i="7" s="1"/>
  <c r="T147" i="7"/>
  <c r="W147" i="7" s="1"/>
  <c r="T146" i="7"/>
  <c r="W146" i="7" s="1"/>
  <c r="T145" i="7"/>
  <c r="W145" i="7" s="1"/>
  <c r="T144" i="7"/>
  <c r="W144" i="7" s="1"/>
  <c r="T143" i="7"/>
  <c r="W143" i="7" s="1"/>
  <c r="T142" i="7"/>
  <c r="W142" i="7" s="1"/>
  <c r="T141" i="7"/>
  <c r="W141" i="7" s="1"/>
  <c r="T140" i="7"/>
  <c r="W140" i="7" s="1"/>
  <c r="T139" i="7"/>
  <c r="W139" i="7" s="1"/>
  <c r="T138" i="7"/>
  <c r="W138" i="7" s="1"/>
  <c r="T137" i="7"/>
  <c r="W137" i="7" s="1"/>
  <c r="T136" i="7"/>
  <c r="W136" i="7" s="1"/>
  <c r="T135" i="7"/>
  <c r="W135" i="7" s="1"/>
  <c r="T134" i="7"/>
  <c r="W134" i="7" s="1"/>
  <c r="T133" i="7"/>
  <c r="W133" i="7" s="1"/>
  <c r="T132" i="7"/>
  <c r="W132" i="7" s="1"/>
  <c r="T131" i="7"/>
  <c r="W131" i="7" s="1"/>
  <c r="T130" i="7"/>
  <c r="W130" i="7" s="1"/>
  <c r="T129" i="7"/>
  <c r="W129" i="7" s="1"/>
  <c r="T128" i="7"/>
  <c r="W128" i="7" s="1"/>
  <c r="T127" i="7"/>
  <c r="W127" i="7" s="1"/>
  <c r="T126" i="7"/>
  <c r="W126" i="7" s="1"/>
  <c r="T125" i="7"/>
  <c r="W125" i="7" s="1"/>
  <c r="T124" i="7"/>
  <c r="W124" i="7" s="1"/>
  <c r="T123" i="7"/>
  <c r="W123" i="7" s="1"/>
  <c r="T122" i="7"/>
  <c r="W122" i="7" s="1"/>
  <c r="T121" i="7"/>
  <c r="W121" i="7" s="1"/>
  <c r="T120" i="7"/>
  <c r="W120" i="7" s="1"/>
  <c r="T119" i="7"/>
  <c r="W119" i="7" s="1"/>
  <c r="T118" i="7"/>
  <c r="W118" i="7" s="1"/>
  <c r="T117" i="7"/>
  <c r="W117" i="7" s="1"/>
  <c r="T116" i="7"/>
  <c r="W116" i="7" s="1"/>
  <c r="T115" i="7"/>
  <c r="W115" i="7" s="1"/>
  <c r="T114" i="7"/>
  <c r="W114" i="7" s="1"/>
  <c r="T113" i="7"/>
  <c r="W113" i="7" s="1"/>
  <c r="T112" i="7"/>
  <c r="W112" i="7" s="1"/>
  <c r="T111" i="7"/>
  <c r="W111" i="7" s="1"/>
  <c r="T110" i="7"/>
  <c r="W110" i="7" s="1"/>
  <c r="T109" i="7"/>
  <c r="W109" i="7" s="1"/>
  <c r="T108" i="7"/>
  <c r="W108" i="7" s="1"/>
  <c r="T107" i="7"/>
  <c r="W107" i="7" s="1"/>
  <c r="T106" i="7"/>
  <c r="W106" i="7" s="1"/>
  <c r="T105" i="7"/>
  <c r="W105" i="7" s="1"/>
  <c r="T104" i="7"/>
  <c r="W104" i="7" s="1"/>
  <c r="T103" i="7"/>
  <c r="W103" i="7" s="1"/>
  <c r="T102" i="7"/>
  <c r="W102" i="7" s="1"/>
  <c r="T101" i="7"/>
  <c r="W101" i="7" s="1"/>
  <c r="T100" i="7"/>
  <c r="W100" i="7" s="1"/>
  <c r="T99" i="7"/>
  <c r="W99" i="7" s="1"/>
  <c r="T98" i="7"/>
  <c r="W98" i="7" s="1"/>
  <c r="T97" i="7"/>
  <c r="W97" i="7" s="1"/>
  <c r="T96" i="7"/>
  <c r="W96" i="7" s="1"/>
  <c r="T95" i="7"/>
  <c r="W95" i="7" s="1"/>
  <c r="T94" i="7"/>
  <c r="W94" i="7" s="1"/>
  <c r="T93" i="7"/>
  <c r="W93" i="7" s="1"/>
  <c r="T92" i="7"/>
  <c r="W92" i="7" s="1"/>
  <c r="T91" i="7"/>
  <c r="W91" i="7" s="1"/>
  <c r="T90" i="7"/>
  <c r="W90" i="7" s="1"/>
  <c r="T89" i="7"/>
  <c r="W89" i="7" s="1"/>
  <c r="T88" i="7"/>
  <c r="W88" i="7" s="1"/>
  <c r="T87" i="7"/>
  <c r="W87" i="7" s="1"/>
  <c r="T86" i="7"/>
  <c r="W86" i="7" s="1"/>
  <c r="T85" i="7"/>
  <c r="W85" i="7" s="1"/>
  <c r="T84" i="7"/>
  <c r="W84" i="7" s="1"/>
  <c r="T83" i="7"/>
  <c r="W83" i="7" s="1"/>
  <c r="T82" i="7"/>
  <c r="W82" i="7" s="1"/>
  <c r="T81" i="7"/>
  <c r="W81" i="7" s="1"/>
  <c r="T80" i="7"/>
  <c r="W80" i="7" s="1"/>
  <c r="T79" i="7"/>
  <c r="W79" i="7" s="1"/>
  <c r="T78" i="7"/>
  <c r="W78" i="7" s="1"/>
  <c r="T77" i="7"/>
  <c r="W77" i="7" s="1"/>
  <c r="T76" i="7"/>
  <c r="W76" i="7" s="1"/>
  <c r="T75" i="7"/>
  <c r="W75" i="7" s="1"/>
  <c r="T74" i="7"/>
  <c r="W74" i="7" s="1"/>
  <c r="T73" i="7"/>
  <c r="W73" i="7" s="1"/>
  <c r="T72" i="7"/>
  <c r="W72" i="7" s="1"/>
  <c r="T71" i="7"/>
  <c r="W71" i="7" s="1"/>
  <c r="T70" i="7"/>
  <c r="W70" i="7" s="1"/>
  <c r="T69" i="7"/>
  <c r="W69" i="7" s="1"/>
  <c r="T68" i="7"/>
  <c r="W68" i="7" s="1"/>
  <c r="T67" i="7"/>
  <c r="W67" i="7" s="1"/>
  <c r="T66" i="7"/>
  <c r="W66" i="7" s="1"/>
  <c r="T65" i="7"/>
  <c r="W65" i="7" s="1"/>
  <c r="T64" i="7"/>
  <c r="W64" i="7" s="1"/>
  <c r="T63" i="7"/>
  <c r="W63" i="7" s="1"/>
  <c r="T62" i="7"/>
  <c r="W62" i="7" s="1"/>
  <c r="T61" i="7"/>
  <c r="W61" i="7" s="1"/>
  <c r="T60" i="7"/>
  <c r="W60" i="7" s="1"/>
  <c r="T59" i="7"/>
  <c r="W59" i="7" s="1"/>
  <c r="T58" i="7"/>
  <c r="W58" i="7" s="1"/>
  <c r="T57" i="7"/>
  <c r="W57" i="7" s="1"/>
  <c r="T56" i="7"/>
  <c r="W56" i="7" s="1"/>
  <c r="T55" i="7"/>
  <c r="W55" i="7" s="1"/>
  <c r="T54" i="7"/>
  <c r="W54" i="7" s="1"/>
  <c r="T53" i="7"/>
  <c r="W53" i="7" s="1"/>
  <c r="T52" i="7"/>
  <c r="W52" i="7" s="1"/>
  <c r="T51" i="7"/>
  <c r="W51" i="7" s="1"/>
  <c r="T50" i="7"/>
  <c r="W50" i="7" s="1"/>
  <c r="T49" i="7"/>
  <c r="W49" i="7" s="1"/>
  <c r="T48" i="7"/>
  <c r="W48" i="7" s="1"/>
  <c r="T47" i="7"/>
  <c r="W47" i="7" s="1"/>
  <c r="T46" i="7"/>
  <c r="W46" i="7" s="1"/>
  <c r="T45" i="7"/>
  <c r="W45" i="7" s="1"/>
  <c r="T44" i="7"/>
  <c r="W44" i="7" s="1"/>
  <c r="T43" i="7"/>
  <c r="W43" i="7" s="1"/>
  <c r="T42" i="7"/>
  <c r="W42" i="7" s="1"/>
  <c r="T41" i="7"/>
  <c r="W41" i="7" s="1"/>
  <c r="T40" i="7"/>
  <c r="W40" i="7" s="1"/>
  <c r="T39" i="7"/>
  <c r="W39" i="7" s="1"/>
  <c r="T38" i="7"/>
  <c r="W38" i="7" s="1"/>
  <c r="T37" i="7"/>
  <c r="W37" i="7" s="1"/>
  <c r="T36" i="7"/>
  <c r="W36" i="7" s="1"/>
  <c r="T35" i="7"/>
  <c r="W35" i="7" s="1"/>
  <c r="T34" i="7"/>
  <c r="W34" i="7" s="1"/>
  <c r="T33" i="7"/>
  <c r="W33" i="7" s="1"/>
  <c r="T32" i="7"/>
  <c r="W32" i="7" s="1"/>
  <c r="T31" i="7"/>
  <c r="W31" i="7" s="1"/>
  <c r="T30" i="7"/>
  <c r="W30" i="7" s="1"/>
  <c r="T29" i="7"/>
  <c r="W29" i="7" s="1"/>
  <c r="T28" i="7"/>
  <c r="W28" i="7" s="1"/>
  <c r="T27" i="7"/>
  <c r="W27" i="7" s="1"/>
  <c r="T26" i="7"/>
  <c r="W26" i="7" s="1"/>
  <c r="T25" i="7"/>
  <c r="W25" i="7" s="1"/>
  <c r="T24" i="7"/>
  <c r="W24" i="7" s="1"/>
  <c r="T23" i="7"/>
  <c r="W23" i="7" s="1"/>
  <c r="T22" i="7"/>
  <c r="W22" i="7" s="1"/>
  <c r="T21" i="7"/>
  <c r="W21" i="7" s="1"/>
  <c r="T20" i="7"/>
  <c r="W20" i="7" s="1"/>
  <c r="T19" i="7"/>
  <c r="W19" i="7" s="1"/>
  <c r="T18" i="7"/>
  <c r="W18" i="7" s="1"/>
  <c r="T17" i="7"/>
  <c r="W17" i="7" s="1"/>
  <c r="T16" i="7"/>
  <c r="W16" i="7" s="1"/>
  <c r="T15" i="7"/>
  <c r="W15" i="7" s="1"/>
  <c r="T14" i="7"/>
  <c r="W14" i="7" s="1"/>
  <c r="T13" i="7"/>
  <c r="W13" i="7" s="1"/>
  <c r="T12" i="7"/>
  <c r="W12" i="7" s="1"/>
  <c r="T11" i="7"/>
  <c r="W11" i="7" s="1"/>
  <c r="T10" i="7"/>
  <c r="W10" i="7" s="1"/>
  <c r="T9" i="7"/>
  <c r="W9" i="7" s="1"/>
  <c r="T8" i="7"/>
  <c r="W8" i="7" s="1"/>
  <c r="T7" i="7"/>
  <c r="W7" i="7" s="1"/>
  <c r="T6" i="7"/>
  <c r="W6" i="7" s="1"/>
  <c r="T5" i="7"/>
  <c r="W5" i="7" s="1"/>
  <c r="T4" i="7"/>
  <c r="W4" i="7" s="1"/>
  <c r="S4" i="7" s="1"/>
  <c r="X4" i="7" s="1"/>
  <c r="T3" i="7"/>
  <c r="X153" i="6" l="1"/>
  <c r="X149" i="6"/>
  <c r="X145" i="6"/>
  <c r="X141" i="6"/>
  <c r="X137" i="6"/>
  <c r="X133" i="6"/>
  <c r="X129" i="6"/>
  <c r="X125" i="6"/>
  <c r="X121" i="6"/>
  <c r="X117" i="6"/>
  <c r="X113" i="6"/>
  <c r="X109" i="6"/>
  <c r="X105" i="6"/>
  <c r="X101" i="6"/>
  <c r="X97" i="6"/>
  <c r="X93" i="6"/>
  <c r="X89" i="6"/>
  <c r="X85" i="6"/>
  <c r="X81" i="6"/>
  <c r="X77" i="6"/>
  <c r="X73" i="6"/>
  <c r="X69" i="6"/>
  <c r="X65" i="6"/>
  <c r="X61" i="6"/>
  <c r="X57" i="6"/>
  <c r="X53" i="6"/>
  <c r="X49" i="6"/>
  <c r="X45" i="6"/>
  <c r="X41" i="6"/>
  <c r="X37" i="6"/>
  <c r="X33" i="6"/>
  <c r="X29" i="6"/>
  <c r="X25" i="6"/>
  <c r="X21" i="6"/>
  <c r="X17" i="6"/>
  <c r="X13" i="6"/>
  <c r="X9" i="6"/>
  <c r="X5" i="6"/>
  <c r="X152" i="6"/>
  <c r="X148" i="6"/>
  <c r="X144" i="6"/>
  <c r="X140" i="6"/>
  <c r="X136" i="6"/>
  <c r="X132" i="6"/>
  <c r="X128" i="6"/>
  <c r="X124" i="6"/>
  <c r="X120" i="6"/>
  <c r="X116" i="6"/>
  <c r="X112" i="6"/>
  <c r="X108" i="6"/>
  <c r="X104" i="6"/>
  <c r="X100" i="6"/>
  <c r="X96" i="6"/>
  <c r="X92" i="6"/>
  <c r="X88" i="6"/>
  <c r="X84" i="6"/>
  <c r="X80" i="6"/>
  <c r="X76" i="6"/>
  <c r="X72" i="6"/>
  <c r="X68" i="6"/>
  <c r="X64" i="6"/>
  <c r="X60" i="6"/>
  <c r="X56" i="6"/>
  <c r="X52" i="6"/>
  <c r="X48" i="6"/>
  <c r="X44" i="6"/>
  <c r="X40" i="6"/>
  <c r="X36" i="6"/>
  <c r="X32" i="6"/>
  <c r="X28" i="6"/>
  <c r="X24" i="6"/>
  <c r="X20" i="6"/>
  <c r="X16" i="6"/>
  <c r="X12" i="6"/>
  <c r="X8" i="6"/>
  <c r="X151" i="6"/>
  <c r="X143" i="6"/>
  <c r="X135" i="6"/>
  <c r="X127" i="6"/>
  <c r="X119" i="6"/>
  <c r="X111" i="6"/>
  <c r="X103" i="6"/>
  <c r="X95" i="6"/>
  <c r="X87" i="6"/>
  <c r="X79" i="6"/>
  <c r="X71" i="6"/>
  <c r="X63" i="6"/>
  <c r="X55" i="6"/>
  <c r="X47" i="6"/>
  <c r="X39" i="6"/>
  <c r="X31" i="6"/>
  <c r="X23" i="6"/>
  <c r="X15" i="6"/>
  <c r="X7" i="6"/>
  <c r="X150" i="6"/>
  <c r="X139" i="6"/>
  <c r="X130" i="6"/>
  <c r="X118" i="6"/>
  <c r="X107" i="6"/>
  <c r="X98" i="6"/>
  <c r="X86" i="6"/>
  <c r="X75" i="6"/>
  <c r="X66" i="6"/>
  <c r="X54" i="6"/>
  <c r="X43" i="6"/>
  <c r="X34" i="6"/>
  <c r="X22" i="6"/>
  <c r="X11" i="6"/>
  <c r="X142" i="6"/>
  <c r="X131" i="6"/>
  <c r="X122" i="6"/>
  <c r="X110" i="6"/>
  <c r="X99" i="6"/>
  <c r="X90" i="6"/>
  <c r="X78" i="6"/>
  <c r="X67" i="6"/>
  <c r="X58" i="6"/>
  <c r="X46" i="6"/>
  <c r="X35" i="6"/>
  <c r="X26" i="6"/>
  <c r="X14" i="6"/>
  <c r="X147" i="6"/>
  <c r="X126" i="6"/>
  <c r="X106" i="6"/>
  <c r="X83" i="6"/>
  <c r="X62" i="6"/>
  <c r="X42" i="6"/>
  <c r="X19" i="6"/>
  <c r="X138" i="6"/>
  <c r="X74" i="6"/>
  <c r="X30" i="6"/>
  <c r="X114" i="6"/>
  <c r="X70" i="6"/>
  <c r="X50" i="6"/>
  <c r="X6" i="6"/>
  <c r="X146" i="6"/>
  <c r="X123" i="6"/>
  <c r="X102" i="6"/>
  <c r="X82" i="6"/>
  <c r="X59" i="6"/>
  <c r="X38" i="6"/>
  <c r="X18" i="6"/>
  <c r="X115" i="6"/>
  <c r="X94" i="6"/>
  <c r="X51" i="6"/>
  <c r="X10" i="6"/>
  <c r="X134" i="6"/>
  <c r="X91" i="6"/>
  <c r="X27" i="6"/>
  <c r="AA3" i="7"/>
  <c r="AE9" i="7"/>
  <c r="Z8" i="7"/>
  <c r="S5" i="7"/>
  <c r="W3" i="7"/>
  <c r="F5" i="6"/>
  <c r="E8" i="6"/>
  <c r="E9" i="6" s="1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S6" i="7" l="1"/>
  <c r="X5" i="7"/>
  <c r="F6" i="6"/>
  <c r="AM4" i="7" s="1"/>
  <c r="AN4" i="7" s="1"/>
  <c r="AU51" i="7"/>
  <c r="AU35" i="7"/>
  <c r="AU19" i="7"/>
  <c r="AU50" i="7"/>
  <c r="AU34" i="7"/>
  <c r="AU10" i="7"/>
  <c r="AU5" i="7"/>
  <c r="AU8" i="7"/>
  <c r="AU33" i="7"/>
  <c r="AU40" i="7"/>
  <c r="AU37" i="7"/>
  <c r="AU26" i="7"/>
  <c r="AU16" i="7"/>
  <c r="AU12" i="7"/>
  <c r="AU47" i="7"/>
  <c r="AU31" i="7"/>
  <c r="AU15" i="7"/>
  <c r="AU46" i="7"/>
  <c r="AU30" i="7"/>
  <c r="AU6" i="7"/>
  <c r="AU48" i="7"/>
  <c r="AU54" i="7"/>
  <c r="AU21" i="7"/>
  <c r="AU28" i="7"/>
  <c r="AU49" i="7"/>
  <c r="AU25" i="7"/>
  <c r="AU24" i="7"/>
  <c r="AU27" i="7"/>
  <c r="AU42" i="7"/>
  <c r="AU32" i="7"/>
  <c r="AU9" i="7"/>
  <c r="AU13" i="7"/>
  <c r="AU43" i="7"/>
  <c r="AU55" i="7"/>
  <c r="AU39" i="7"/>
  <c r="AU23" i="7"/>
  <c r="AU7" i="7"/>
  <c r="AU38" i="7"/>
  <c r="AU18" i="7"/>
  <c r="AU17" i="7"/>
  <c r="AU20" i="7"/>
  <c r="AU14" i="7"/>
  <c r="AU52" i="7"/>
  <c r="AU4" i="7"/>
  <c r="AU41" i="7"/>
  <c r="AU44" i="7"/>
  <c r="AU3" i="7"/>
  <c r="AV3" i="7" s="1"/>
  <c r="AU53" i="7"/>
  <c r="AU36" i="7"/>
  <c r="AU11" i="7"/>
  <c r="AU29" i="7"/>
  <c r="AU22" i="7"/>
  <c r="AU45" i="7"/>
  <c r="AE10" i="7"/>
  <c r="Z9" i="7"/>
  <c r="AM3" i="7"/>
  <c r="E10" i="6"/>
  <c r="F7" i="6"/>
  <c r="AM5" i="7" s="1"/>
  <c r="AN5" i="7" s="1"/>
  <c r="S7" i="7" l="1"/>
  <c r="X6" i="7"/>
  <c r="AV4" i="7"/>
  <c r="AV5" i="7" s="1"/>
  <c r="AV6" i="7" s="1"/>
  <c r="AV7" i="7" s="1"/>
  <c r="AV8" i="7" s="1"/>
  <c r="AV9" i="7" s="1"/>
  <c r="AV10" i="7" s="1"/>
  <c r="AV11" i="7" s="1"/>
  <c r="AV12" i="7" s="1"/>
  <c r="AV13" i="7" s="1"/>
  <c r="AV14" i="7" s="1"/>
  <c r="AV15" i="7" s="1"/>
  <c r="AV16" i="7" s="1"/>
  <c r="AV17" i="7" s="1"/>
  <c r="AV18" i="7" s="1"/>
  <c r="AV19" i="7" s="1"/>
  <c r="AV20" i="7" s="1"/>
  <c r="AV21" i="7" s="1"/>
  <c r="AV22" i="7" s="1"/>
  <c r="AE11" i="7"/>
  <c r="Z10" i="7"/>
  <c r="AN3" i="7"/>
  <c r="AO3" i="7" s="1"/>
  <c r="AO4" i="7" s="1"/>
  <c r="AO5" i="7" s="1"/>
  <c r="AD3" i="7"/>
  <c r="E11" i="6"/>
  <c r="F8" i="6"/>
  <c r="AM6" i="7" s="1"/>
  <c r="AN6" i="7" s="1"/>
  <c r="S8" i="7" l="1"/>
  <c r="X7" i="7"/>
  <c r="AV23" i="7"/>
  <c r="AE12" i="7"/>
  <c r="Z11" i="7"/>
  <c r="AO6" i="7"/>
  <c r="E12" i="6"/>
  <c r="F9" i="6"/>
  <c r="S9" i="7" l="1"/>
  <c r="X8" i="7"/>
  <c r="AV24" i="7"/>
  <c r="AE13" i="7"/>
  <c r="Z12" i="7"/>
  <c r="AM7" i="7"/>
  <c r="E13" i="6"/>
  <c r="F10" i="6"/>
  <c r="AM8" i="7" s="1"/>
  <c r="S10" i="7" l="1"/>
  <c r="AA4" i="7" s="1"/>
  <c r="X9" i="7"/>
  <c r="AV25" i="7"/>
  <c r="AE14" i="7"/>
  <c r="Z13" i="7"/>
  <c r="AN7" i="7"/>
  <c r="AO7" i="7" s="1"/>
  <c r="AN8" i="7"/>
  <c r="E14" i="6"/>
  <c r="F11" i="6"/>
  <c r="AM9" i="7" s="1"/>
  <c r="AB3" i="7" l="1"/>
  <c r="AC3" i="7" s="1"/>
  <c r="AD4" i="7"/>
  <c r="S11" i="7"/>
  <c r="X10" i="7"/>
  <c r="AV26" i="7"/>
  <c r="AE15" i="7"/>
  <c r="Z14" i="7"/>
  <c r="AO8" i="7"/>
  <c r="AN9" i="7"/>
  <c r="E15" i="6"/>
  <c r="F12" i="6"/>
  <c r="AM10" i="7" s="1"/>
  <c r="S12" i="7" l="1"/>
  <c r="X11" i="7"/>
  <c r="AV27" i="7"/>
  <c r="AO9" i="7"/>
  <c r="AE16" i="7"/>
  <c r="Z15" i="7"/>
  <c r="AN10" i="7"/>
  <c r="E16" i="6"/>
  <c r="F13" i="6"/>
  <c r="AM11" i="7" s="1"/>
  <c r="AO10" i="7" l="1"/>
  <c r="S13" i="7"/>
  <c r="X12" i="7"/>
  <c r="AV28" i="7"/>
  <c r="AE17" i="7"/>
  <c r="Z16" i="7"/>
  <c r="AN11" i="7"/>
  <c r="E17" i="6"/>
  <c r="F14" i="6"/>
  <c r="AM12" i="7" s="1"/>
  <c r="AO11" i="7" l="1"/>
  <c r="S14" i="7"/>
  <c r="X13" i="7"/>
  <c r="AV29" i="7"/>
  <c r="AE18" i="7"/>
  <c r="Z17" i="7"/>
  <c r="AN12" i="7"/>
  <c r="AO12" i="7" s="1"/>
  <c r="E18" i="6"/>
  <c r="F16" i="6" s="1"/>
  <c r="F15" i="6"/>
  <c r="AM13" i="7" s="1"/>
  <c r="S15" i="7" l="1"/>
  <c r="X14" i="7"/>
  <c r="AV30" i="7"/>
  <c r="AV31" i="7" s="1"/>
  <c r="AV32" i="7" s="1"/>
  <c r="AV33" i="7" s="1"/>
  <c r="AV34" i="7" s="1"/>
  <c r="AV35" i="7" s="1"/>
  <c r="AV36" i="7" s="1"/>
  <c r="AV37" i="7" s="1"/>
  <c r="AV38" i="7" s="1"/>
  <c r="AV39" i="7" s="1"/>
  <c r="AV40" i="7" s="1"/>
  <c r="AV41" i="7" s="1"/>
  <c r="AV42" i="7" s="1"/>
  <c r="AV43" i="7" s="1"/>
  <c r="AV44" i="7" s="1"/>
  <c r="AV45" i="7" s="1"/>
  <c r="AV46" i="7" s="1"/>
  <c r="AV47" i="7" s="1"/>
  <c r="AV48" i="7" s="1"/>
  <c r="AV49" i="7" s="1"/>
  <c r="AV50" i="7" s="1"/>
  <c r="AV51" i="7" s="1"/>
  <c r="AV52" i="7" s="1"/>
  <c r="AV53" i="7" s="1"/>
  <c r="AV54" i="7" s="1"/>
  <c r="AV55" i="7" s="1"/>
  <c r="AE19" i="7"/>
  <c r="Z18" i="7"/>
  <c r="AN13" i="7"/>
  <c r="AO13" i="7" s="1"/>
  <c r="AM14" i="7"/>
  <c r="S16" i="7" l="1"/>
  <c r="X15" i="7"/>
  <c r="AE20" i="7"/>
  <c r="Z19" i="7"/>
  <c r="AN14" i="7"/>
  <c r="AO14" i="7" s="1"/>
  <c r="S17" i="7" l="1"/>
  <c r="X16" i="7"/>
  <c r="AE21" i="7"/>
  <c r="Z20" i="7"/>
  <c r="S18" i="7" l="1"/>
  <c r="X17" i="7"/>
  <c r="AE22" i="7"/>
  <c r="Z21" i="7"/>
  <c r="S19" i="7" l="1"/>
  <c r="X18" i="7"/>
  <c r="AE23" i="7"/>
  <c r="Z22" i="7"/>
  <c r="S20" i="7" l="1"/>
  <c r="X19" i="7"/>
  <c r="AE24" i="7"/>
  <c r="Z23" i="7"/>
  <c r="S21" i="7" l="1"/>
  <c r="X20" i="7"/>
  <c r="AE25" i="7"/>
  <c r="Z24" i="7"/>
  <c r="S22" i="7" l="1"/>
  <c r="X21" i="7"/>
  <c r="AE26" i="7"/>
  <c r="Z25" i="7"/>
  <c r="S23" i="7" l="1"/>
  <c r="X22" i="7"/>
  <c r="AE27" i="7"/>
  <c r="Z26" i="7"/>
  <c r="S24" i="7" l="1"/>
  <c r="X23" i="7"/>
  <c r="AE28" i="7"/>
  <c r="Z27" i="7"/>
  <c r="S25" i="7" l="1"/>
  <c r="X24" i="7"/>
  <c r="AE29" i="7"/>
  <c r="Z28" i="7"/>
  <c r="S26" i="7" l="1"/>
  <c r="X25" i="7"/>
  <c r="AE30" i="7"/>
  <c r="Z29" i="7"/>
  <c r="S27" i="7" l="1"/>
  <c r="X26" i="7"/>
  <c r="AE31" i="7"/>
  <c r="Z30" i="7"/>
  <c r="S28" i="7" l="1"/>
  <c r="X27" i="7"/>
  <c r="AE32" i="7"/>
  <c r="Z31" i="7"/>
  <c r="S29" i="7" l="1"/>
  <c r="X28" i="7"/>
  <c r="AE33" i="7"/>
  <c r="Z32" i="7"/>
  <c r="S30" i="7" l="1"/>
  <c r="X29" i="7"/>
  <c r="AE34" i="7"/>
  <c r="Z33" i="7"/>
  <c r="S31" i="7" l="1"/>
  <c r="X30" i="7"/>
  <c r="AE35" i="7"/>
  <c r="Z34" i="7"/>
  <c r="S32" i="7" l="1"/>
  <c r="X31" i="7"/>
  <c r="AE36" i="7"/>
  <c r="Z35" i="7"/>
  <c r="S33" i="7" l="1"/>
  <c r="X32" i="7"/>
  <c r="AE37" i="7"/>
  <c r="Z36" i="7"/>
  <c r="S34" i="7" l="1"/>
  <c r="X33" i="7"/>
  <c r="AE38" i="7"/>
  <c r="Z37" i="7"/>
  <c r="S35" i="7" l="1"/>
  <c r="X34" i="7"/>
  <c r="AE39" i="7"/>
  <c r="Z38" i="7"/>
  <c r="S36" i="7" l="1"/>
  <c r="X35" i="7"/>
  <c r="AE40" i="7"/>
  <c r="Z39" i="7"/>
  <c r="S37" i="7" l="1"/>
  <c r="X36" i="7"/>
  <c r="AE41" i="7"/>
  <c r="Z40" i="7"/>
  <c r="S38" i="7" l="1"/>
  <c r="X37" i="7"/>
  <c r="AE42" i="7"/>
  <c r="Z41" i="7"/>
  <c r="S39" i="7" l="1"/>
  <c r="X38" i="7"/>
  <c r="AE43" i="7"/>
  <c r="Z42" i="7"/>
  <c r="S40" i="7" l="1"/>
  <c r="X39" i="7"/>
  <c r="AE44" i="7"/>
  <c r="Z43" i="7"/>
  <c r="S41" i="7" l="1"/>
  <c r="X40" i="7"/>
  <c r="AE45" i="7"/>
  <c r="Z44" i="7"/>
  <c r="S42" i="7" l="1"/>
  <c r="X41" i="7"/>
  <c r="AE46" i="7"/>
  <c r="Z45" i="7"/>
  <c r="S43" i="7" l="1"/>
  <c r="X42" i="7"/>
  <c r="AE47" i="7"/>
  <c r="Z46" i="7"/>
  <c r="S44" i="7" l="1"/>
  <c r="X43" i="7"/>
  <c r="AE48" i="7"/>
  <c r="Z47" i="7"/>
  <c r="S45" i="7" l="1"/>
  <c r="X44" i="7"/>
  <c r="AE49" i="7"/>
  <c r="Z48" i="7"/>
  <c r="S46" i="7" l="1"/>
  <c r="X45" i="7"/>
  <c r="AE50" i="7"/>
  <c r="Z49" i="7"/>
  <c r="S47" i="7" l="1"/>
  <c r="X46" i="7"/>
  <c r="AE51" i="7"/>
  <c r="Z50" i="7"/>
  <c r="S48" i="7" l="1"/>
  <c r="X47" i="7"/>
  <c r="AE52" i="7"/>
  <c r="Z51" i="7"/>
  <c r="S49" i="7" l="1"/>
  <c r="X48" i="7"/>
  <c r="AE53" i="7"/>
  <c r="Z52" i="7"/>
  <c r="S50" i="7" l="1"/>
  <c r="X49" i="7"/>
  <c r="AE54" i="7"/>
  <c r="Z53" i="7"/>
  <c r="S51" i="7" l="1"/>
  <c r="X50" i="7"/>
  <c r="AE55" i="7"/>
  <c r="Z54" i="7"/>
  <c r="S52" i="7" l="1"/>
  <c r="X51" i="7"/>
  <c r="Z55" i="7"/>
  <c r="S53" i="7" l="1"/>
  <c r="X52" i="7"/>
  <c r="S54" i="7" l="1"/>
  <c r="X53" i="7"/>
  <c r="S55" i="7" l="1"/>
  <c r="X54" i="7"/>
  <c r="S56" i="7" l="1"/>
  <c r="X55" i="7"/>
  <c r="S57" i="7" l="1"/>
  <c r="X56" i="7"/>
  <c r="S58" i="7" l="1"/>
  <c r="X57" i="7"/>
  <c r="S59" i="7" l="1"/>
  <c r="X58" i="7"/>
  <c r="S60" i="7" l="1"/>
  <c r="X59" i="7"/>
  <c r="S61" i="7" l="1"/>
  <c r="X60" i="7"/>
  <c r="S62" i="7" l="1"/>
  <c r="X61" i="7"/>
  <c r="S63" i="7" l="1"/>
  <c r="X62" i="7"/>
  <c r="S64" i="7" l="1"/>
  <c r="X63" i="7"/>
  <c r="S65" i="7" l="1"/>
  <c r="X64" i="7"/>
  <c r="S66" i="7" l="1"/>
  <c r="X65" i="7"/>
  <c r="S67" i="7" l="1"/>
  <c r="X66" i="7"/>
  <c r="S68" i="7" l="1"/>
  <c r="X67" i="7"/>
  <c r="S69" i="7" l="1"/>
  <c r="X68" i="7"/>
  <c r="S70" i="7" l="1"/>
  <c r="X69" i="7"/>
  <c r="S71" i="7" l="1"/>
  <c r="X70" i="7"/>
  <c r="S72" i="7" l="1"/>
  <c r="X71" i="7"/>
  <c r="S73" i="7" l="1"/>
  <c r="X72" i="7"/>
  <c r="S74" i="7" l="1"/>
  <c r="X73" i="7"/>
  <c r="S75" i="7" l="1"/>
  <c r="X74" i="7"/>
  <c r="S76" i="7" l="1"/>
  <c r="X75" i="7"/>
  <c r="S77" i="7" l="1"/>
  <c r="X76" i="7"/>
  <c r="S78" i="7" l="1"/>
  <c r="X77" i="7"/>
  <c r="S79" i="7" l="1"/>
  <c r="X78" i="7"/>
  <c r="S80" i="7" l="1"/>
  <c r="X79" i="7"/>
  <c r="S81" i="7" l="1"/>
  <c r="X80" i="7"/>
  <c r="S82" i="7" l="1"/>
  <c r="X81" i="7"/>
  <c r="S83" i="7" l="1"/>
  <c r="X82" i="7"/>
  <c r="S84" i="7" l="1"/>
  <c r="X83" i="7"/>
  <c r="S85" i="7" l="1"/>
  <c r="X84" i="7"/>
  <c r="S86" i="7" l="1"/>
  <c r="X85" i="7"/>
  <c r="S87" i="7" l="1"/>
  <c r="X86" i="7"/>
  <c r="S88" i="7" l="1"/>
  <c r="X87" i="7"/>
  <c r="S89" i="7" l="1"/>
  <c r="X88" i="7"/>
  <c r="S90" i="7" l="1"/>
  <c r="X89" i="7"/>
  <c r="S91" i="7" l="1"/>
  <c r="X90" i="7"/>
  <c r="S92" i="7" l="1"/>
  <c r="X91" i="7"/>
  <c r="S93" i="7" l="1"/>
  <c r="X92" i="7"/>
  <c r="S94" i="7" l="1"/>
  <c r="X93" i="7"/>
  <c r="S95" i="7" l="1"/>
  <c r="X94" i="7"/>
  <c r="S96" i="7" l="1"/>
  <c r="X95" i="7"/>
  <c r="S97" i="7" l="1"/>
  <c r="X96" i="7"/>
  <c r="S98" i="7" l="1"/>
  <c r="X97" i="7"/>
  <c r="S99" i="7" l="1"/>
  <c r="X98" i="7"/>
  <c r="S100" i="7" l="1"/>
  <c r="X99" i="7"/>
  <c r="S101" i="7" l="1"/>
  <c r="X100" i="7"/>
  <c r="S102" i="7" l="1"/>
  <c r="X101" i="7"/>
  <c r="S103" i="7" l="1"/>
  <c r="X102" i="7"/>
  <c r="S104" i="7" l="1"/>
  <c r="X103" i="7"/>
  <c r="S105" i="7" l="1"/>
  <c r="X104" i="7"/>
  <c r="S106" i="7" l="1"/>
  <c r="X105" i="7"/>
  <c r="S107" i="7" l="1"/>
  <c r="X106" i="7"/>
  <c r="S108" i="7" l="1"/>
  <c r="X107" i="7"/>
  <c r="S109" i="7" l="1"/>
  <c r="X108" i="7"/>
  <c r="S110" i="7" l="1"/>
  <c r="X109" i="7"/>
  <c r="S111" i="7" l="1"/>
  <c r="X110" i="7"/>
  <c r="S112" i="7" l="1"/>
  <c r="X111" i="7"/>
  <c r="S113" i="7" l="1"/>
  <c r="X112" i="7"/>
  <c r="S114" i="7" l="1"/>
  <c r="X113" i="7"/>
  <c r="S115" i="7" l="1"/>
  <c r="X114" i="7"/>
  <c r="S116" i="7" l="1"/>
  <c r="X115" i="7"/>
  <c r="S117" i="7" l="1"/>
  <c r="X116" i="7"/>
  <c r="S118" i="7" l="1"/>
  <c r="X117" i="7"/>
  <c r="S119" i="7" l="1"/>
  <c r="X118" i="7"/>
  <c r="S120" i="7" l="1"/>
  <c r="X119" i="7"/>
  <c r="S121" i="7" l="1"/>
  <c r="X120" i="7"/>
  <c r="S122" i="7" l="1"/>
  <c r="X121" i="7"/>
  <c r="S123" i="7" l="1"/>
  <c r="X122" i="7"/>
  <c r="S124" i="7" l="1"/>
  <c r="X123" i="7"/>
  <c r="S125" i="7" l="1"/>
  <c r="X124" i="7"/>
  <c r="S126" i="7" l="1"/>
  <c r="X125" i="7"/>
  <c r="S127" i="7" l="1"/>
  <c r="X126" i="7"/>
  <c r="S128" i="7" l="1"/>
  <c r="X127" i="7"/>
  <c r="S129" i="7" l="1"/>
  <c r="X128" i="7"/>
  <c r="S130" i="7" l="1"/>
  <c r="X129" i="7"/>
  <c r="S131" i="7" l="1"/>
  <c r="X130" i="7"/>
  <c r="S132" i="7" l="1"/>
  <c r="X131" i="7"/>
  <c r="S133" i="7" l="1"/>
  <c r="X132" i="7"/>
  <c r="S134" i="7" l="1"/>
  <c r="X133" i="7"/>
  <c r="S135" i="7" l="1"/>
  <c r="X134" i="7"/>
  <c r="S136" i="7" l="1"/>
  <c r="X135" i="7"/>
  <c r="S137" i="7" l="1"/>
  <c r="X136" i="7"/>
  <c r="S138" i="7" l="1"/>
  <c r="X137" i="7"/>
  <c r="S139" i="7" l="1"/>
  <c r="X138" i="7"/>
  <c r="S140" i="7" l="1"/>
  <c r="X139" i="7"/>
  <c r="S141" i="7" l="1"/>
  <c r="X140" i="7"/>
  <c r="S142" i="7" l="1"/>
  <c r="X141" i="7"/>
  <c r="S143" i="7" l="1"/>
  <c r="X142" i="7"/>
  <c r="S144" i="7" l="1"/>
  <c r="X143" i="7"/>
  <c r="S145" i="7" l="1"/>
  <c r="X144" i="7"/>
  <c r="S146" i="7" l="1"/>
  <c r="X145" i="7"/>
  <c r="S147" i="7" l="1"/>
  <c r="X146" i="7"/>
  <c r="S148" i="7" l="1"/>
  <c r="X147" i="7"/>
  <c r="S149" i="7" l="1"/>
  <c r="X148" i="7"/>
  <c r="S150" i="7" l="1"/>
  <c r="X149" i="7"/>
  <c r="S151" i="7" l="1"/>
  <c r="X150" i="7"/>
  <c r="S152" i="7" l="1"/>
  <c r="X151" i="7"/>
  <c r="S153" i="7" l="1"/>
  <c r="X152" i="7"/>
  <c r="S154" i="7" l="1"/>
  <c r="X153" i="7"/>
  <c r="S155" i="7" l="1"/>
  <c r="X154" i="7"/>
  <c r="S156" i="7" l="1"/>
  <c r="X155" i="7"/>
  <c r="S157" i="7" l="1"/>
  <c r="X156" i="7"/>
  <c r="S158" i="7" l="1"/>
  <c r="X157" i="7"/>
  <c r="S159" i="7" l="1"/>
  <c r="X158" i="7"/>
  <c r="S160" i="7" l="1"/>
  <c r="X159" i="7"/>
  <c r="S161" i="7" l="1"/>
  <c r="X160" i="7"/>
  <c r="S162" i="7" l="1"/>
  <c r="X161" i="7"/>
  <c r="S163" i="7" l="1"/>
  <c r="X162" i="7"/>
  <c r="S164" i="7" l="1"/>
  <c r="X163" i="7"/>
  <c r="S165" i="7" l="1"/>
  <c r="X164" i="7"/>
  <c r="S166" i="7" l="1"/>
  <c r="X165" i="7"/>
  <c r="S167" i="7" l="1"/>
  <c r="X166" i="7"/>
  <c r="S168" i="7" l="1"/>
  <c r="X167" i="7"/>
  <c r="S169" i="7" l="1"/>
  <c r="X168" i="7"/>
  <c r="S170" i="7" l="1"/>
  <c r="X169" i="7"/>
  <c r="S171" i="7" l="1"/>
  <c r="X170" i="7"/>
  <c r="S172" i="7" l="1"/>
  <c r="X171" i="7"/>
  <c r="S173" i="7" l="1"/>
  <c r="X172" i="7"/>
  <c r="S174" i="7" l="1"/>
  <c r="X173" i="7"/>
  <c r="S175" i="7" l="1"/>
  <c r="X174" i="7"/>
  <c r="S176" i="7" l="1"/>
  <c r="X175" i="7"/>
  <c r="S177" i="7" l="1"/>
  <c r="X176" i="7"/>
  <c r="S178" i="7" l="1"/>
  <c r="X177" i="7"/>
  <c r="S179" i="7" l="1"/>
  <c r="X178" i="7"/>
  <c r="S180" i="7" l="1"/>
  <c r="X179" i="7"/>
  <c r="S181" i="7" l="1"/>
  <c r="X180" i="7"/>
  <c r="S182" i="7" l="1"/>
  <c r="X181" i="7"/>
  <c r="S183" i="7" l="1"/>
  <c r="X182" i="7"/>
  <c r="S184" i="7" l="1"/>
  <c r="X183" i="7"/>
  <c r="S185" i="7" l="1"/>
  <c r="X184" i="7"/>
  <c r="S186" i="7" l="1"/>
  <c r="X185" i="7"/>
  <c r="S187" i="7" l="1"/>
  <c r="X186" i="7"/>
  <c r="S188" i="7" l="1"/>
  <c r="X187" i="7"/>
  <c r="S189" i="7" l="1"/>
  <c r="X188" i="7"/>
  <c r="S190" i="7" l="1"/>
  <c r="X189" i="7"/>
  <c r="S191" i="7" l="1"/>
  <c r="X190" i="7"/>
  <c r="S192" i="7" l="1"/>
  <c r="X191" i="7"/>
  <c r="S193" i="7" l="1"/>
  <c r="X192" i="7"/>
  <c r="S194" i="7" l="1"/>
  <c r="X193" i="7"/>
  <c r="S195" i="7" l="1"/>
  <c r="X194" i="7"/>
  <c r="S196" i="7" l="1"/>
  <c r="X195" i="7"/>
  <c r="S197" i="7" l="1"/>
  <c r="X196" i="7"/>
  <c r="S198" i="7" l="1"/>
  <c r="X197" i="7"/>
  <c r="S199" i="7" l="1"/>
  <c r="X198" i="7"/>
  <c r="S200" i="7" l="1"/>
  <c r="X199" i="7"/>
  <c r="S201" i="7" l="1"/>
  <c r="X200" i="7"/>
  <c r="S202" i="7" l="1"/>
  <c r="X201" i="7"/>
  <c r="S203" i="7" l="1"/>
  <c r="X202" i="7"/>
  <c r="S204" i="7" l="1"/>
  <c r="X203" i="7"/>
  <c r="S205" i="7" l="1"/>
  <c r="X204" i="7"/>
  <c r="S206" i="7" l="1"/>
  <c r="X205" i="7"/>
  <c r="S207" i="7" l="1"/>
  <c r="X206" i="7"/>
  <c r="S208" i="7" l="1"/>
  <c r="X207" i="7"/>
  <c r="S209" i="7" l="1"/>
  <c r="X208" i="7"/>
  <c r="S210" i="7" l="1"/>
  <c r="X209" i="7"/>
  <c r="S211" i="7" l="1"/>
  <c r="X210" i="7"/>
  <c r="S212" i="7" l="1"/>
  <c r="X211" i="7"/>
  <c r="S213" i="7" l="1"/>
  <c r="X212" i="7"/>
  <c r="S214" i="7" l="1"/>
  <c r="X213" i="7"/>
  <c r="S215" i="7" l="1"/>
  <c r="X214" i="7"/>
  <c r="S216" i="7" l="1"/>
  <c r="X215" i="7"/>
  <c r="S217" i="7" l="1"/>
  <c r="X216" i="7"/>
  <c r="S218" i="7" l="1"/>
  <c r="X217" i="7"/>
  <c r="S219" i="7" l="1"/>
  <c r="X218" i="7"/>
  <c r="S220" i="7" l="1"/>
  <c r="X219" i="7"/>
  <c r="S221" i="7" l="1"/>
  <c r="X220" i="7"/>
  <c r="S222" i="7" l="1"/>
  <c r="X221" i="7"/>
  <c r="S223" i="7" l="1"/>
  <c r="X222" i="7"/>
  <c r="S224" i="7" l="1"/>
  <c r="X223" i="7"/>
  <c r="S225" i="7" l="1"/>
  <c r="X224" i="7"/>
  <c r="S226" i="7" l="1"/>
  <c r="X225" i="7"/>
  <c r="S227" i="7" l="1"/>
  <c r="X226" i="7"/>
  <c r="S228" i="7" l="1"/>
  <c r="X227" i="7"/>
  <c r="S229" i="7" l="1"/>
  <c r="X228" i="7"/>
  <c r="S230" i="7" l="1"/>
  <c r="X229" i="7"/>
  <c r="S231" i="7" l="1"/>
  <c r="X230" i="7"/>
  <c r="S232" i="7" l="1"/>
  <c r="X231" i="7"/>
  <c r="S233" i="7" l="1"/>
  <c r="X232" i="7"/>
  <c r="S234" i="7" l="1"/>
  <c r="X233" i="7"/>
  <c r="S235" i="7" l="1"/>
  <c r="X234" i="7"/>
  <c r="S236" i="7" l="1"/>
  <c r="X235" i="7"/>
  <c r="S237" i="7" l="1"/>
  <c r="X236" i="7"/>
  <c r="S238" i="7" l="1"/>
  <c r="X237" i="7"/>
  <c r="S239" i="7" l="1"/>
  <c r="X238" i="7"/>
  <c r="S240" i="7" l="1"/>
  <c r="X239" i="7"/>
  <c r="S241" i="7" l="1"/>
  <c r="X240" i="7"/>
  <c r="S242" i="7" l="1"/>
  <c r="X241" i="7"/>
  <c r="S243" i="7" l="1"/>
  <c r="X242" i="7"/>
  <c r="S244" i="7" l="1"/>
  <c r="X243" i="7"/>
  <c r="S245" i="7" l="1"/>
  <c r="X244" i="7"/>
  <c r="S246" i="7" l="1"/>
  <c r="X245" i="7"/>
  <c r="S247" i="7" l="1"/>
  <c r="X246" i="7"/>
  <c r="S248" i="7" l="1"/>
  <c r="X247" i="7"/>
  <c r="S249" i="7" l="1"/>
  <c r="X248" i="7"/>
  <c r="S250" i="7" l="1"/>
  <c r="X249" i="7"/>
  <c r="S251" i="7" l="1"/>
  <c r="X250" i="7"/>
  <c r="S252" i="7" l="1"/>
  <c r="X251" i="7"/>
  <c r="S253" i="7" l="1"/>
  <c r="X252" i="7"/>
  <c r="S254" i="7" l="1"/>
  <c r="X253" i="7"/>
  <c r="S255" i="7" l="1"/>
  <c r="X254" i="7"/>
  <c r="S256" i="7" l="1"/>
  <c r="X255" i="7"/>
  <c r="S257" i="7" l="1"/>
  <c r="X256" i="7"/>
  <c r="S258" i="7" l="1"/>
  <c r="X257" i="7"/>
  <c r="S259" i="7" l="1"/>
  <c r="X258" i="7"/>
  <c r="S260" i="7" l="1"/>
  <c r="X259" i="7"/>
  <c r="S261" i="7" l="1"/>
  <c r="X260" i="7"/>
  <c r="S262" i="7" l="1"/>
  <c r="X261" i="7"/>
  <c r="S263" i="7" l="1"/>
  <c r="X262" i="7"/>
  <c r="S264" i="7" l="1"/>
  <c r="X263" i="7"/>
  <c r="S265" i="7" l="1"/>
  <c r="X264" i="7"/>
  <c r="S266" i="7" l="1"/>
  <c r="X265" i="7"/>
  <c r="S267" i="7" l="1"/>
  <c r="X266" i="7"/>
  <c r="S268" i="7" l="1"/>
  <c r="X267" i="7"/>
  <c r="S269" i="7" l="1"/>
  <c r="X268" i="7"/>
  <c r="S270" i="7" l="1"/>
  <c r="X269" i="7"/>
  <c r="S271" i="7" l="1"/>
  <c r="X270" i="7"/>
  <c r="S272" i="7" l="1"/>
  <c r="X271" i="7"/>
  <c r="S273" i="7" l="1"/>
  <c r="X272" i="7"/>
  <c r="S274" i="7" l="1"/>
  <c r="X273" i="7"/>
  <c r="S275" i="7" l="1"/>
  <c r="X274" i="7"/>
  <c r="S276" i="7" l="1"/>
  <c r="X275" i="7"/>
  <c r="S277" i="7" l="1"/>
  <c r="X276" i="7"/>
  <c r="S278" i="7" l="1"/>
  <c r="X277" i="7"/>
  <c r="S279" i="7" l="1"/>
  <c r="X278" i="7"/>
  <c r="S280" i="7" l="1"/>
  <c r="X279" i="7"/>
  <c r="S281" i="7" l="1"/>
  <c r="X280" i="7"/>
  <c r="S282" i="7" l="1"/>
  <c r="X281" i="7"/>
  <c r="S283" i="7" l="1"/>
  <c r="X282" i="7"/>
  <c r="S284" i="7" l="1"/>
  <c r="X283" i="7"/>
  <c r="S285" i="7" l="1"/>
  <c r="X284" i="7"/>
  <c r="S286" i="7" l="1"/>
  <c r="X285" i="7"/>
  <c r="S287" i="7" l="1"/>
  <c r="X286" i="7"/>
  <c r="S288" i="7" l="1"/>
  <c r="X287" i="7"/>
  <c r="S289" i="7" l="1"/>
  <c r="X288" i="7"/>
  <c r="S290" i="7" l="1"/>
  <c r="X289" i="7"/>
  <c r="S291" i="7" l="1"/>
  <c r="X290" i="7"/>
  <c r="S292" i="7" l="1"/>
  <c r="X291" i="7"/>
  <c r="S293" i="7" l="1"/>
  <c r="X292" i="7"/>
  <c r="S294" i="7" l="1"/>
  <c r="X293" i="7"/>
  <c r="S295" i="7" l="1"/>
  <c r="X294" i="7"/>
  <c r="S296" i="7" l="1"/>
  <c r="X295" i="7"/>
  <c r="S297" i="7" l="1"/>
  <c r="X296" i="7"/>
  <c r="S298" i="7" l="1"/>
  <c r="X297" i="7"/>
  <c r="S299" i="7" l="1"/>
  <c r="X298" i="7"/>
  <c r="S300" i="7" l="1"/>
  <c r="X299" i="7"/>
  <c r="S301" i="7" l="1"/>
  <c r="X300" i="7"/>
  <c r="S302" i="7" l="1"/>
  <c r="X301" i="7"/>
  <c r="S303" i="7" l="1"/>
  <c r="X302" i="7"/>
  <c r="S304" i="7" l="1"/>
  <c r="X303" i="7"/>
  <c r="S305" i="7" l="1"/>
  <c r="X304" i="7"/>
  <c r="S306" i="7" l="1"/>
  <c r="X305" i="7"/>
  <c r="S307" i="7" l="1"/>
  <c r="X306" i="7"/>
  <c r="S308" i="7" l="1"/>
  <c r="X307" i="7"/>
  <c r="S309" i="7" l="1"/>
  <c r="X308" i="7"/>
  <c r="S310" i="7" l="1"/>
  <c r="X309" i="7"/>
  <c r="S311" i="7" l="1"/>
  <c r="X310" i="7"/>
  <c r="S312" i="7" l="1"/>
  <c r="X311" i="7"/>
  <c r="S313" i="7" l="1"/>
  <c r="X312" i="7"/>
  <c r="S314" i="7" l="1"/>
  <c r="X313" i="7"/>
  <c r="S315" i="7" l="1"/>
  <c r="X314" i="7"/>
  <c r="S316" i="7" l="1"/>
  <c r="X315" i="7"/>
  <c r="S317" i="7" l="1"/>
  <c r="X316" i="7"/>
  <c r="S318" i="7" l="1"/>
  <c r="X317" i="7"/>
  <c r="S319" i="7" l="1"/>
  <c r="X318" i="7"/>
  <c r="S320" i="7" l="1"/>
  <c r="X319" i="7"/>
  <c r="S321" i="7" l="1"/>
  <c r="X320" i="7"/>
  <c r="S322" i="7" l="1"/>
  <c r="X321" i="7"/>
  <c r="S323" i="7" l="1"/>
  <c r="X322" i="7"/>
  <c r="S324" i="7" l="1"/>
  <c r="X323" i="7"/>
  <c r="S325" i="7" l="1"/>
  <c r="X324" i="7"/>
  <c r="S326" i="7" l="1"/>
  <c r="X325" i="7"/>
  <c r="S327" i="7" l="1"/>
  <c r="X326" i="7"/>
  <c r="S328" i="7" l="1"/>
  <c r="X327" i="7"/>
  <c r="S329" i="7" l="1"/>
  <c r="X328" i="7"/>
  <c r="S330" i="7" l="1"/>
  <c r="X329" i="7"/>
  <c r="S331" i="7" l="1"/>
  <c r="X330" i="7"/>
  <c r="S332" i="7" l="1"/>
  <c r="X331" i="7"/>
  <c r="S333" i="7" l="1"/>
  <c r="X332" i="7"/>
  <c r="S334" i="7" l="1"/>
  <c r="X333" i="7"/>
  <c r="S335" i="7" l="1"/>
  <c r="X334" i="7"/>
  <c r="S336" i="7" l="1"/>
  <c r="X335" i="7"/>
  <c r="S337" i="7" l="1"/>
  <c r="X336" i="7"/>
  <c r="S338" i="7" l="1"/>
  <c r="X337" i="7"/>
  <c r="S339" i="7" l="1"/>
  <c r="X338" i="7"/>
  <c r="S340" i="7" l="1"/>
  <c r="X339" i="7"/>
  <c r="S341" i="7" l="1"/>
  <c r="X340" i="7"/>
  <c r="S342" i="7" l="1"/>
  <c r="X341" i="7"/>
  <c r="S343" i="7" l="1"/>
  <c r="X342" i="7"/>
  <c r="S344" i="7" l="1"/>
  <c r="X343" i="7"/>
  <c r="S345" i="7" l="1"/>
  <c r="X344" i="7"/>
  <c r="S346" i="7" l="1"/>
  <c r="X345" i="7"/>
  <c r="S347" i="7" l="1"/>
  <c r="X346" i="7"/>
  <c r="S348" i="7" l="1"/>
  <c r="X347" i="7"/>
  <c r="S349" i="7" l="1"/>
  <c r="X348" i="7"/>
  <c r="S350" i="7" l="1"/>
  <c r="X349" i="7"/>
  <c r="S351" i="7" l="1"/>
  <c r="X350" i="7"/>
  <c r="S352" i="7" l="1"/>
  <c r="X351" i="7"/>
  <c r="S353" i="7" l="1"/>
  <c r="X352" i="7"/>
  <c r="S354" i="7" l="1"/>
  <c r="X353" i="7"/>
  <c r="S355" i="7" l="1"/>
  <c r="X354" i="7"/>
  <c r="S356" i="7" l="1"/>
  <c r="X355" i="7"/>
  <c r="S357" i="7" l="1"/>
  <c r="X356" i="7"/>
  <c r="S358" i="7" l="1"/>
  <c r="X357" i="7"/>
  <c r="S359" i="7" l="1"/>
  <c r="X358" i="7"/>
  <c r="S360" i="7" l="1"/>
  <c r="X359" i="7"/>
  <c r="S361" i="7" l="1"/>
  <c r="X360" i="7"/>
  <c r="S362" i="7" l="1"/>
  <c r="X361" i="7"/>
  <c r="S363" i="7" l="1"/>
  <c r="X362" i="7"/>
  <c r="S364" i="7" l="1"/>
  <c r="X363" i="7"/>
  <c r="S365" i="7" l="1"/>
  <c r="X364" i="7"/>
  <c r="S366" i="7" l="1"/>
  <c r="X365" i="7"/>
  <c r="S367" i="7" l="1"/>
  <c r="X366" i="7"/>
  <c r="X367" i="7" l="1"/>
  <c r="AA5" i="7"/>
  <c r="AA10" i="7"/>
  <c r="AA7" i="7"/>
  <c r="AA8" i="7"/>
  <c r="AA11" i="7"/>
  <c r="AA6" i="7"/>
  <c r="AA12" i="7"/>
  <c r="AA9" i="7"/>
  <c r="AA13" i="7"/>
  <c r="AA14" i="7"/>
  <c r="AA15" i="7"/>
  <c r="AA17" i="7"/>
  <c r="AA18" i="7"/>
  <c r="AA16" i="7"/>
  <c r="AA19" i="7"/>
  <c r="AA20" i="7"/>
  <c r="AA21" i="7"/>
  <c r="AA22" i="7"/>
  <c r="AA24" i="7"/>
  <c r="AA23" i="7"/>
  <c r="AA25" i="7"/>
  <c r="AA26" i="7"/>
  <c r="AA28" i="7"/>
  <c r="AA27" i="7"/>
  <c r="AA29" i="7"/>
  <c r="AA30" i="7"/>
  <c r="AA31" i="7"/>
  <c r="AA32" i="7"/>
  <c r="AA36" i="7"/>
  <c r="AA34" i="7"/>
  <c r="AA33" i="7"/>
  <c r="AA38" i="7"/>
  <c r="AA35" i="7"/>
  <c r="AA37" i="7"/>
  <c r="AA39" i="7"/>
  <c r="AA42" i="7"/>
  <c r="AA44" i="7"/>
  <c r="AA40" i="7"/>
  <c r="AA41" i="7"/>
  <c r="AA46" i="7"/>
  <c r="AA43" i="7"/>
  <c r="AA45" i="7"/>
  <c r="AA50" i="7"/>
  <c r="AA47" i="7"/>
  <c r="AA48" i="7"/>
  <c r="AA52" i="7"/>
  <c r="AA49" i="7"/>
  <c r="AA51" i="7"/>
  <c r="AA53" i="7"/>
  <c r="AA54" i="7"/>
  <c r="AA55" i="7"/>
  <c r="AB54" i="7" l="1"/>
  <c r="AD55" i="7"/>
  <c r="AD41" i="7"/>
  <c r="AB40" i="7"/>
  <c r="AC40" i="7" s="1"/>
  <c r="AB30" i="7"/>
  <c r="AC30" i="7" s="1"/>
  <c r="AD31" i="7"/>
  <c r="AD54" i="7"/>
  <c r="AB53" i="7"/>
  <c r="AC53" i="7" s="1"/>
  <c r="AD52" i="7"/>
  <c r="AB51" i="7"/>
  <c r="AC51" i="7" s="1"/>
  <c r="AD45" i="7"/>
  <c r="AB44" i="7"/>
  <c r="AC44" i="7" s="1"/>
  <c r="AD40" i="7"/>
  <c r="AB39" i="7"/>
  <c r="AC39" i="7" s="1"/>
  <c r="AB36" i="7"/>
  <c r="AC36" i="7" s="1"/>
  <c r="AD37" i="7"/>
  <c r="AB33" i="7"/>
  <c r="AC33" i="7" s="1"/>
  <c r="AD34" i="7"/>
  <c r="AD30" i="7"/>
  <c r="AB29" i="7"/>
  <c r="AC29" i="7" s="1"/>
  <c r="AB25" i="7"/>
  <c r="AC25" i="7" s="1"/>
  <c r="AD26" i="7"/>
  <c r="AB21" i="7"/>
  <c r="AC21" i="7" s="1"/>
  <c r="AD22" i="7"/>
  <c r="AB15" i="7"/>
  <c r="AC15" i="7" s="1"/>
  <c r="AD16" i="7"/>
  <c r="AD14" i="7"/>
  <c r="AB13" i="7"/>
  <c r="AC13" i="7" s="1"/>
  <c r="AB5" i="7"/>
  <c r="AC5" i="7" s="1"/>
  <c r="AD6" i="7"/>
  <c r="AD10" i="7"/>
  <c r="AB9" i="7"/>
  <c r="AC9" i="7" s="1"/>
  <c r="AD49" i="7"/>
  <c r="AB48" i="7"/>
  <c r="AC48" i="7" s="1"/>
  <c r="AB38" i="7"/>
  <c r="AC38" i="7" s="1"/>
  <c r="AD39" i="7"/>
  <c r="AD28" i="7"/>
  <c r="AB27" i="7"/>
  <c r="AC27" i="7" s="1"/>
  <c r="AB18" i="7"/>
  <c r="AC18" i="7" s="1"/>
  <c r="AD19" i="7"/>
  <c r="AB11" i="7"/>
  <c r="AC11" i="7" s="1"/>
  <c r="AD12" i="7"/>
  <c r="AD53" i="7"/>
  <c r="AB52" i="7"/>
  <c r="AC52" i="7" s="1"/>
  <c r="AD48" i="7"/>
  <c r="AB47" i="7"/>
  <c r="AC47" i="7" s="1"/>
  <c r="AD43" i="7"/>
  <c r="AB42" i="7"/>
  <c r="AC42" i="7" s="1"/>
  <c r="AD44" i="7"/>
  <c r="AB43" i="7"/>
  <c r="AC43" i="7" s="1"/>
  <c r="AB34" i="7"/>
  <c r="AC34" i="7" s="1"/>
  <c r="AD35" i="7"/>
  <c r="AB35" i="7"/>
  <c r="AC35" i="7" s="1"/>
  <c r="AD36" i="7"/>
  <c r="AD29" i="7"/>
  <c r="AB28" i="7"/>
  <c r="AC28" i="7" s="1"/>
  <c r="AB24" i="7"/>
  <c r="AC24" i="7" s="1"/>
  <c r="AD25" i="7"/>
  <c r="AD21" i="7"/>
  <c r="AB20" i="7"/>
  <c r="AC20" i="7" s="1"/>
  <c r="AB17" i="7"/>
  <c r="AC17" i="7" s="1"/>
  <c r="AD18" i="7"/>
  <c r="AB12" i="7"/>
  <c r="AC12" i="7" s="1"/>
  <c r="AD13" i="7"/>
  <c r="AB10" i="7"/>
  <c r="AC10" i="7" s="1"/>
  <c r="AD11" i="7"/>
  <c r="AB4" i="7"/>
  <c r="AC4" i="7" s="1"/>
  <c r="AD5" i="7"/>
  <c r="AB49" i="7"/>
  <c r="AC49" i="7" s="1"/>
  <c r="AD50" i="7"/>
  <c r="AB32" i="7"/>
  <c r="AC32" i="7" s="1"/>
  <c r="AD33" i="7"/>
  <c r="AB23" i="7"/>
  <c r="AC23" i="7" s="1"/>
  <c r="AD24" i="7"/>
  <c r="AD15" i="7"/>
  <c r="AB14" i="7"/>
  <c r="AC14" i="7" s="1"/>
  <c r="AD7" i="7"/>
  <c r="AB6" i="7"/>
  <c r="AC6" i="7" s="1"/>
  <c r="AB50" i="7"/>
  <c r="AC50" i="7" s="1"/>
  <c r="AD51" i="7"/>
  <c r="AB46" i="7"/>
  <c r="AC46" i="7" s="1"/>
  <c r="AD47" i="7"/>
  <c r="AD46" i="7"/>
  <c r="AB45" i="7"/>
  <c r="AC45" i="7" s="1"/>
  <c r="AD42" i="7"/>
  <c r="AB41" i="7"/>
  <c r="AC41" i="7" s="1"/>
  <c r="AB37" i="7"/>
  <c r="AC37" i="7" s="1"/>
  <c r="AD38" i="7"/>
  <c r="AB31" i="7"/>
  <c r="AC31" i="7" s="1"/>
  <c r="AD32" i="7"/>
  <c r="AD27" i="7"/>
  <c r="AB26" i="7"/>
  <c r="AC26" i="7" s="1"/>
  <c r="AD23" i="7"/>
  <c r="AB22" i="7"/>
  <c r="AC22" i="7" s="1"/>
  <c r="AB19" i="7"/>
  <c r="AC19" i="7" s="1"/>
  <c r="AD20" i="7"/>
  <c r="AD17" i="7"/>
  <c r="AB16" i="7"/>
  <c r="AC16" i="7" s="1"/>
  <c r="AD9" i="7"/>
  <c r="AB8" i="7"/>
  <c r="AC8" i="7" s="1"/>
  <c r="AB7" i="7"/>
  <c r="AC7" i="7" s="1"/>
  <c r="AD8" i="7"/>
  <c r="AC54" i="7" l="1"/>
  <c r="AB55" i="7"/>
  <c r="AC55" i="7" s="1"/>
  <c r="AG3" i="7" l="1"/>
  <c r="AR2" i="7" s="1"/>
  <c r="AG6" i="7"/>
  <c r="AR3" i="7" l="1"/>
  <c r="AR4" i="7" s="1"/>
  <c r="AR6" i="7" s="1"/>
  <c r="M12" i="6"/>
  <c r="M11" i="6" s="1"/>
  <c r="AR5" i="7" l="1"/>
  <c r="Z6" i="6" s="1"/>
  <c r="M10" i="6"/>
  <c r="M9" i="6" s="1"/>
  <c r="M8" i="6" s="1"/>
  <c r="M7" i="6" s="1"/>
  <c r="M6" i="6" s="1"/>
  <c r="M5" i="6" s="1"/>
  <c r="AX3" i="7" s="1"/>
  <c r="AY3" i="7" s="1"/>
  <c r="AX9" i="7"/>
  <c r="AY9" i="7" s="1"/>
  <c r="L11" i="6"/>
  <c r="AX10" i="7"/>
  <c r="AY10" i="7" s="1"/>
  <c r="L12" i="6"/>
  <c r="L9" i="6"/>
  <c r="AX6" i="7" l="1"/>
  <c r="AY6" i="7" s="1"/>
  <c r="L7" i="6"/>
  <c r="L6" i="6"/>
  <c r="BB3" i="7"/>
  <c r="BB2" i="7"/>
  <c r="L5" i="6"/>
  <c r="AX7" i="7"/>
  <c r="AY7" i="7" s="1"/>
  <c r="L8" i="6"/>
  <c r="AX5" i="7"/>
  <c r="AY5" i="7" s="1"/>
  <c r="AX4" i="7"/>
  <c r="AY4" i="7" s="1"/>
  <c r="AX8" i="7"/>
  <c r="AY8" i="7" s="1"/>
  <c r="L10" i="6"/>
  <c r="BB4" i="7" l="1"/>
  <c r="BB6" i="7" s="1"/>
  <c r="BB5" i="7" l="1"/>
  <c r="Z31" i="6" s="1"/>
</calcChain>
</file>

<file path=xl/sharedStrings.xml><?xml version="1.0" encoding="utf-8"?>
<sst xmlns="http://schemas.openxmlformats.org/spreadsheetml/2006/main" count="177" uniqueCount="119">
  <si>
    <t>INDICADOR</t>
  </si>
  <si>
    <t>Nome:</t>
  </si>
  <si>
    <t>Racional de Cálculo:</t>
  </si>
  <si>
    <t>Unidade de Medida:</t>
  </si>
  <si>
    <t>MÊS</t>
  </si>
  <si>
    <t>REAL</t>
  </si>
  <si>
    <t>META</t>
  </si>
  <si>
    <t>GERAL</t>
  </si>
  <si>
    <t>Ano:</t>
  </si>
  <si>
    <t>ANO</t>
  </si>
  <si>
    <t>SIM / NÃO</t>
  </si>
  <si>
    <t>MENSAL / SEMANAL</t>
  </si>
  <si>
    <t>Sim</t>
  </si>
  <si>
    <t>Não</t>
  </si>
  <si>
    <t>Semanal</t>
  </si>
  <si>
    <t>Mensal</t>
  </si>
  <si>
    <t>BASE DE DADOS: GRÁFICO MENSAL</t>
  </si>
  <si>
    <t>AUXILIAR</t>
  </si>
  <si>
    <t>BASE DE DADOS: GRÁFICO SEMANAL</t>
  </si>
  <si>
    <t>SEMANA</t>
  </si>
  <si>
    <t>BASE DE DADOS: PLANO DE AÇÃO</t>
  </si>
  <si>
    <t>O QUE?</t>
  </si>
  <si>
    <t>QUEM?</t>
  </si>
  <si>
    <t>QUANDO?</t>
  </si>
  <si>
    <t>DATA CONCLUSÃO</t>
  </si>
  <si>
    <t>DIA</t>
  </si>
  <si>
    <t>DATA</t>
  </si>
  <si>
    <t>DIA DA SEMANA</t>
  </si>
  <si>
    <t>GRÁFICO MENSAL</t>
  </si>
  <si>
    <t>GRÁFICO SEMANAL</t>
  </si>
  <si>
    <t>%</t>
  </si>
  <si>
    <t>Melhor Para:</t>
  </si>
  <si>
    <t>CIMA / BAIXO</t>
  </si>
  <si>
    <t>Cima</t>
  </si>
  <si>
    <t>Baixo</t>
  </si>
  <si>
    <t>VERDE</t>
  </si>
  <si>
    <t>VERMELHO</t>
  </si>
  <si>
    <t>MÊS CONCLUSÃO</t>
  </si>
  <si>
    <t>SEMANA CONCLUSÃO</t>
  </si>
  <si>
    <t>UNIDADE</t>
  </si>
  <si>
    <t>UNIDADE REF.</t>
  </si>
  <si>
    <t>#</t>
  </si>
  <si>
    <t>R$</t>
  </si>
  <si>
    <t>US$</t>
  </si>
  <si>
    <t>[$USD] #.##</t>
  </si>
  <si>
    <t>R$ #.##0,0</t>
  </si>
  <si>
    <t>[$USD] #.##0,0</t>
  </si>
  <si>
    <t>% ,0</t>
  </si>
  <si>
    <t># ,0</t>
  </si>
  <si>
    <t>R$ ,0</t>
  </si>
  <si>
    <t>US$ ,0</t>
  </si>
  <si>
    <t>UNIDADE GRAF.</t>
  </si>
  <si>
    <t>0%;"";""</t>
  </si>
  <si>
    <t>UNIDADE RÓT. IND.</t>
  </si>
  <si>
    <t># AÇÕES CONCLUÍDAS</t>
  </si>
  <si>
    <t># AÇÕES CONCLUÍDAS ACUM.</t>
  </si>
  <si>
    <t>Realizado:</t>
  </si>
  <si>
    <t>Meta:</t>
  </si>
  <si>
    <t>Desvio:</t>
  </si>
  <si>
    <t>Tipo:</t>
  </si>
  <si>
    <t>Desvio Absoluto:</t>
  </si>
  <si>
    <t>SEMANA  APRESENTAÇÃO</t>
  </si>
  <si>
    <t>DATA INÍCIO</t>
  </si>
  <si>
    <t>DATA FIM</t>
  </si>
  <si>
    <t>Resultados da Semana:</t>
  </si>
  <si>
    <t>MÊS APRESENTAÇÃO</t>
  </si>
  <si>
    <t>NÚM. MÊS</t>
  </si>
  <si>
    <t>SEMANA ABREVIADO</t>
  </si>
  <si>
    <t>NÚM. SEMANA</t>
  </si>
  <si>
    <t>Núm. E-mails Cadastrados:</t>
  </si>
  <si>
    <t>"Para" Consolidado:</t>
  </si>
  <si>
    <t>R$ #.##</t>
  </si>
  <si>
    <t>[$USD] #.##0;"";""</t>
  </si>
  <si>
    <t>[$USD] #.##0,0;"";""</t>
  </si>
  <si>
    <t>[$R$] #.##0;"";""</t>
  </si>
  <si>
    <t>[$R$] #.##0,0;"";""</t>
  </si>
  <si>
    <t>0,0%;"";""</t>
  </si>
  <si>
    <t>#.##</t>
  </si>
  <si>
    <t>#.##0;"";""</t>
  </si>
  <si>
    <t>#.##0,0;"";""</t>
  </si>
  <si>
    <t>Núm. Ações Cadastradas:</t>
  </si>
  <si>
    <t>Valor Médio Indezinado</t>
  </si>
  <si>
    <t>Valor Total das Indenizações / Núm. Processos Trabalhistas Recebidos</t>
  </si>
  <si>
    <t>2035</t>
  </si>
  <si>
    <t>jan</t>
  </si>
  <si>
    <t>Anos (Data Execução)</t>
  </si>
  <si>
    <t>Meses (Data Execução)</t>
  </si>
  <si>
    <t>Contagem de Valor Execução</t>
  </si>
  <si>
    <t>Soma de Valor Execução</t>
  </si>
  <si>
    <t>Semana 5: de 28/jan/2035 a 03/fev/2035</t>
  </si>
  <si>
    <t>Treinar o Felipe (coordenador) em PDCA (Análises e Planos de Ação).</t>
  </si>
  <si>
    <t>João Ribas (Gerente)</t>
  </si>
  <si>
    <t>fev</t>
  </si>
  <si>
    <t>Felipe Tavarnaro (Coordenador)</t>
  </si>
  <si>
    <t>Revisar o histórico de condenações da vara 0007, para encontrar principais jurisprudências e vieses da acusação e das decisões, que possam afetar diretamente as defesas montadas pelo departamento.</t>
  </si>
  <si>
    <t>Andressa Louveira (Advogada Sênior)</t>
  </si>
  <si>
    <t>James Henrique Pereira (Analista)</t>
  </si>
  <si>
    <t>Alinhar com a Joyce (Ger. RH) o ajuste / revisão salarial de todos os funcionários em mesmos cargos para evitar rescisórias de "Equiparação Salarial".</t>
  </si>
  <si>
    <t>Mariana Duarte (Analista)</t>
  </si>
  <si>
    <t>Revisar o histórico de condenações da vara 0008, para encontrar principais jurisprudências e vieses da acusação e das decisões, que possam afetar diretamente as defesas montadas pelo departamento, com auxílio da gerência (João Ribas).</t>
  </si>
  <si>
    <t>Revisar o histórico de condenações da vara 0012, para encontrar principais jurisprudências e vieses da acusação e das decisões, que possam afetar diretamente as defesas montadas pelo departamento, com auxílio da gerência (João Ribas).</t>
  </si>
  <si>
    <t>Revisar o histórico de condenações da vara 0015, para encontrar principais jurisprudências e vieses da acusação e das decisões, que possam afetar diretamente as defesas montadas pelo departamento, com auxílio da gerência (João Ribas).</t>
  </si>
  <si>
    <t>Obter liberações de acesso ao CRM específicas (processos de Horas Extras e de Desvios de Função), para o James, junto à Diretoria de TI.</t>
  </si>
  <si>
    <t>Alinhar com a Joyce (Ger. RH) pelo ajuste / revisão salarial dos funcionários, junto ao James.</t>
  </si>
  <si>
    <t>Montar um Padrão Metodológico (Checklist) com os principais pontos de defesa para o tipo de reclamação (assunto principal) "Desvio / Acúmulo de Função".</t>
  </si>
  <si>
    <t>Montar um Padrão Metodológico (Checklist) com os principais pontos de defesa para o tipo de reclamação (assunto principal) "Equiparação Salarial".</t>
  </si>
  <si>
    <t>Montar um Padrão Metodológico (Checklist) com os principais pontos de defesa para o tipo de reclamação (assunto principal) "Rescisão Indireta (Falta Grave Empregador)".</t>
  </si>
  <si>
    <t>Montar um Padrão Metodológico (Checklist) com os principais pontos de defesa para o tipo de reclamação (assunto principal) "Danos Morais (Assédio, Condições Degradantes, Revista Vexatória)", com auxílio da Mariana Duarte.</t>
  </si>
  <si>
    <t>Montar um Padrão Metodológico (Checklist) com os principais pontos de defesa para o tipo de reclamação (assunto principal) "Estabilidade Provisória (gestante e acidente de trabalho)", com auxílio da Mariana Duarte.</t>
  </si>
  <si>
    <t>Montar um Padrão Metodológico (Checklist) com os principais pontos de defesa para o tipo de reclamação (assunto principal) "Horas Extras (excesso de jornada, intervalos não concedidos)", com auxílio da Mariana Duarte.</t>
  </si>
  <si>
    <t>Montar "curso relâmpago" e repassar aos gerentes gerais (das regionais) e aos gerentes de loja sobre principais tipos de reclamações trabalhistas, valores de indenizações e boas práticas para evitar reclamatórias.</t>
  </si>
  <si>
    <t>Montar "curso relâmpago" e repassar aos gerentes gerais (das regionais) e aos gerentes de loja sobre "Horas Extras, Excesso de Jornada e Intervalos Não Concedidos".</t>
  </si>
  <si>
    <t>Montar "curso relâmpago" e repassar aos gerentes gerais (das regionais) e aos gerentes de loja sobre "Desvio / Acúmulo de Função".</t>
  </si>
  <si>
    <t>Revisar somente as condenações acima de R$100.000 referentes a "Desvio / Acúmulo de Função" para refinar o Padrão Metodológico (Checklist) criado pela Andressa.</t>
  </si>
  <si>
    <t>Revisar somente as condenações acima de R$100.000 referentes a "Equiparação Salarial" para refinar o Padrão Metodológico (Checklist) criado pela Andressa.</t>
  </si>
  <si>
    <t>Revisar somente as condenações acima de R$100.000 referentes a "Rescisão Indireta (Falta Grave Empregador)" para refinar o Padrão Metodológico (Checklist) criado pela Andressa.</t>
  </si>
  <si>
    <t>Revisar somente as condenações acima de R$100.000 referentes a "Danos Morais (Assédio, Condições Degradantes, Revista Vexatória)" para refinar o Padrão Metodológico (Checklist) criado pela Andressa.</t>
  </si>
  <si>
    <t>Revisar somente as condenações acima de R$100.000 referentes a "Estabilidade Provisória (gestante e acidente de trabalho)" para refinar o Padrão Metodológico (Checklist) criado pela Andressa.</t>
  </si>
  <si>
    <t>Revisar somente as condenações acima de R$100.000 referentes a "Horas Extras (excesso de jornada, intervalos não concedidos)" para refinar o Padrão Metodológico (Checklist) criado pela Andressa.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</si>
</sst>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416]mmm\-yy;@"/>
    <numFmt numFmtId="165" formatCode="[$-416]mmmyy"/>
    <numFmt numFmtId="166" formatCode="[$-416]dd/mmm/yyyy"/>
    <numFmt numFmtId="167" formatCode="0.0%"/>
    <numFmt numFmtId="168" formatCode="&quot;R$&quot;\ #,##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Wingdings 3"/>
      <family val="1"/>
      <charset val="2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A41034"/>
        <bgColor indexed="64"/>
      </patternFill>
    </fill>
    <fill>
      <patternFill patternType="solid">
        <fgColor rgb="FF4A08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166" fontId="0" fillId="2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14" fontId="0" fillId="2" borderId="1" xfId="0" applyNumberFormat="1" applyFill="1" applyBorder="1" applyAlignment="1">
      <alignment horizontal="center"/>
    </xf>
    <xf numFmtId="0" fontId="1" fillId="0" borderId="0" xfId="0" applyFont="1" applyAlignment="1">
      <alignment horizontal="center"/>
    </xf>
    <xf numFmtId="9" fontId="0" fillId="0" borderId="1" xfId="0" applyNumberFormat="1" applyBorder="1" applyAlignment="1">
      <alignment horizontal="center"/>
    </xf>
    <xf numFmtId="0" fontId="3" fillId="0" borderId="0" xfId="0" applyFont="1"/>
    <xf numFmtId="0" fontId="0" fillId="0" borderId="0" xfId="0" applyAlignment="1">
      <alignment vertical="top"/>
    </xf>
    <xf numFmtId="166" fontId="0" fillId="0" borderId="1" xfId="0" applyNumberFormat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0" fontId="1" fillId="0" borderId="0" xfId="0" applyFont="1"/>
    <xf numFmtId="0" fontId="0" fillId="0" borderId="1" xfId="0" quotePrefix="1" applyBorder="1"/>
    <xf numFmtId="1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left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167" fontId="6" fillId="0" borderId="0" xfId="1" applyNumberFormat="1" applyFill="1" applyBorder="1" applyAlignment="1">
      <alignment horizontal="center"/>
    </xf>
    <xf numFmtId="168" fontId="0" fillId="0" borderId="0" xfId="0" applyNumberFormat="1"/>
    <xf numFmtId="0" fontId="0" fillId="2" borderId="1" xfId="0" applyFill="1" applyBorder="1"/>
    <xf numFmtId="166" fontId="8" fillId="2" borderId="1" xfId="0" applyNumberFormat="1" applyFont="1" applyFill="1" applyBorder="1" applyAlignment="1">
      <alignment horizontal="center"/>
    </xf>
    <xf numFmtId="0" fontId="0" fillId="5" borderId="0" xfId="0" applyFill="1"/>
    <xf numFmtId="0" fontId="9" fillId="5" borderId="0" xfId="0" applyFont="1" applyFill="1"/>
    <xf numFmtId="0" fontId="0" fillId="6" borderId="1" xfId="0" applyFill="1" applyBorder="1"/>
    <xf numFmtId="166" fontId="2" fillId="6" borderId="1" xfId="0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6" fontId="0" fillId="6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 applyAlignment="1">
      <alignment horizontal="center" vertical="top"/>
    </xf>
    <xf numFmtId="0" fontId="1" fillId="0" borderId="0" xfId="0" applyFont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4A0816"/>
      <color rgb="FFFDE9EE"/>
      <color rgb="FFFACAD5"/>
      <color rgb="FFA41034"/>
      <color rgb="FF6A9B8A"/>
      <color rgb="FF417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31345351840901309"/>
          <c:w val="0.90529456004774345"/>
          <c:h val="0.456227111927214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Resultados'!$I$5:$I$16</c:f>
              <c:numCache>
                <c:formatCode>0</c:formatCode>
                <c:ptCount val="12"/>
                <c:pt idx="0">
                  <c:v>0</c:v>
                </c:pt>
                <c:pt idx="1">
                  <c:v>37721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C8-4421-8BDA-B3A99312AA51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'Gráfico Controle de Resultados'!$F$5:$F$16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Resultados'!$J$5:$J$16</c:f>
              <c:numCache>
                <c:formatCode>0</c:formatCode>
                <c:ptCount val="12"/>
                <c:pt idx="0">
                  <c:v>39433.454081632655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'Gráfico Controle de Resultados'!$H$5:$H$16</c:f>
              <c:numCache>
                <c:formatCode>0</c:formatCode>
                <c:ptCount val="12"/>
                <c:pt idx="0">
                  <c:v>37998.188775510207</c:v>
                </c:pt>
                <c:pt idx="1">
                  <c:v>37998.188775510207</c:v>
                </c:pt>
                <c:pt idx="2">
                  <c:v>37553.674610001071</c:v>
                </c:pt>
                <c:pt idx="3">
                  <c:v>37109.160444491936</c:v>
                </c:pt>
                <c:pt idx="4">
                  <c:v>36664.6462789828</c:v>
                </c:pt>
                <c:pt idx="5">
                  <c:v>36220.132113473665</c:v>
                </c:pt>
                <c:pt idx="6">
                  <c:v>35775.617947964529</c:v>
                </c:pt>
                <c:pt idx="7">
                  <c:v>35331.103782455393</c:v>
                </c:pt>
                <c:pt idx="8">
                  <c:v>34886.589616946258</c:v>
                </c:pt>
                <c:pt idx="9">
                  <c:v>34442.075451437122</c:v>
                </c:pt>
                <c:pt idx="10">
                  <c:v>33997.561285927986</c:v>
                </c:pt>
                <c:pt idx="11">
                  <c:v>33553.047120418851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dLbl>
              <c:idx val="1"/>
              <c:layout>
                <c:manualLayout>
                  <c:x val="-1.431496329897413E-2"/>
                  <c:y val="4.11142266693058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334-4351-8F9D-DF748FBC4A6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Auxiliar!$AM$3:$AM$14</c:f>
              <c:numCache>
                <c:formatCode>[$-416]mmmyy</c:formatCode>
                <c:ptCount val="12"/>
                <c:pt idx="0">
                  <c:v>49310</c:v>
                </c:pt>
                <c:pt idx="1">
                  <c:v>49341</c:v>
                </c:pt>
                <c:pt idx="2">
                  <c:v>49369</c:v>
                </c:pt>
                <c:pt idx="3">
                  <c:v>49400</c:v>
                </c:pt>
                <c:pt idx="4">
                  <c:v>49430</c:v>
                </c:pt>
                <c:pt idx="5">
                  <c:v>49461</c:v>
                </c:pt>
                <c:pt idx="6">
                  <c:v>49491</c:v>
                </c:pt>
                <c:pt idx="7">
                  <c:v>49522</c:v>
                </c:pt>
                <c:pt idx="8">
                  <c:v>49553</c:v>
                </c:pt>
                <c:pt idx="9">
                  <c:v>49583</c:v>
                </c:pt>
                <c:pt idx="10">
                  <c:v>49614</c:v>
                </c:pt>
                <c:pt idx="11">
                  <c:v>49644</c:v>
                </c:pt>
              </c:numCache>
            </c:numRef>
          </c:cat>
          <c:val>
            <c:numRef>
              <c:f>Auxiliar!$AO$3:$AO$14</c:f>
              <c:numCache>
                <c:formatCode>General</c:formatCode>
                <c:ptCount val="12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BC8-4421-8BDA-B3A99312A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68824"/>
        <c:axId val="330065544"/>
      </c:lineChart>
      <c:dateAx>
        <c:axId val="229447168"/>
        <c:scaling>
          <c:orientation val="minMax"/>
        </c:scaling>
        <c:delete val="0"/>
        <c:axPos val="b"/>
        <c:title>
          <c:overlay val="0"/>
        </c:title>
        <c:numFmt formatCode="[$-416]mmm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Offset val="100"/>
        <c:baseTimeUnit val="months"/>
      </c:date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330065544"/>
        <c:scaling>
          <c:orientation val="minMax"/>
          <c:max val="3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solidFill>
            <a:schemeClr val="bg1"/>
          </a:solidFill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330068824"/>
        <c:crosses val="max"/>
        <c:crossBetween val="between"/>
      </c:valAx>
      <c:dateAx>
        <c:axId val="330068824"/>
        <c:scaling>
          <c:orientation val="minMax"/>
        </c:scaling>
        <c:delete val="1"/>
        <c:axPos val="b"/>
        <c:numFmt formatCode="[$-416]mmmyy" sourceLinked="1"/>
        <c:majorTickMark val="out"/>
        <c:minorTickMark val="none"/>
        <c:tickLblPos val="nextTo"/>
        <c:crossAx val="330065544"/>
        <c:crossesAt val="0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4264939620366479E-2"/>
          <c:y val="0.46205322107013846"/>
          <c:w val="0.90529456004774345"/>
          <c:h val="0.307627400535329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Auxiliar!$AI$3</c:f>
              <c:strCache>
                <c:ptCount val="1"/>
                <c:pt idx="0">
                  <c:v>Real &lt;= Meta</c:v>
                </c:pt>
              </c:strCache>
            </c:strRef>
          </c:tx>
          <c:spPr>
            <a:solidFill>
              <a:srgbClr val="6A9B8A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Resultados'!$P$5:$P$12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F3-4895-B13A-E771EC5E4309}"/>
            </c:ext>
          </c:extLst>
        </c:ser>
        <c:ser>
          <c:idx val="3"/>
          <c:order val="1"/>
          <c:tx>
            <c:strRef>
              <c:f>Auxiliar!$AJ$3</c:f>
              <c:strCache>
                <c:ptCount val="1"/>
                <c:pt idx="0">
                  <c:v>Real &gt; Meta</c:v>
                </c:pt>
              </c:strCache>
            </c:strRef>
          </c:tx>
          <c:spPr>
            <a:solidFill>
              <a:srgbClr val="A41034"/>
            </a:solidFill>
          </c:spPr>
          <c:invertIfNegative val="0"/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Resultados'!$Q$5:$Q$12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229447168"/>
        <c:axId val="228137728"/>
      </c:barChart>
      <c:lineChart>
        <c:grouping val="stacked"/>
        <c:varyColors val="0"/>
        <c:ser>
          <c:idx val="1"/>
          <c:order val="2"/>
          <c:tx>
            <c:v>Meta</c:v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  <a:prstDash val="sysDot"/>
              </a:ln>
            </c:spPr>
          </c:marker>
          <c:dLbls>
            <c:numFmt formatCode="[$R$]\ #,##0;&quot;&quot;;&quot;&quot;" sourceLinked="0"/>
            <c:spPr>
              <a:noFill/>
              <a:ln>
                <a:noFill/>
              </a:ln>
              <a:effectLst/>
            </c:spPr>
            <c:txPr>
              <a:bodyPr rot="-2700000"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'Gráfico Controle de Resultados'!$O$5:$O$12</c:f>
              <c:numCache>
                <c:formatCode>0</c:formatCode>
                <c:ptCount val="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9447168"/>
        <c:axId val="228137728"/>
      </c:lineChart>
      <c:lineChart>
        <c:grouping val="stacked"/>
        <c:varyColors val="0"/>
        <c:ser>
          <c:idx val="2"/>
          <c:order val="3"/>
          <c:tx>
            <c:v>Ações Concluídas</c:v>
          </c:tx>
          <c:spPr>
            <a:ln>
              <a:solidFill>
                <a:schemeClr val="accent1">
                  <a:lumMod val="75000"/>
                </a:schemeClr>
              </a:solidFill>
            </a:ln>
          </c:spPr>
          <c:marker>
            <c:spPr>
              <a:solidFill>
                <a:schemeClr val="accent5">
                  <a:lumMod val="75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chemeClr val="accent1">
                        <a:lumMod val="75000"/>
                      </a:schemeClr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'Gráfico Controle de Resultados'!$L$5:$L$12</c:f>
              <c:strCache>
                <c:ptCount val="5"/>
                <c:pt idx="0">
                  <c:v>Sem. 1</c:v>
                </c:pt>
                <c:pt idx="1">
                  <c:v>Sem. 2</c:v>
                </c:pt>
                <c:pt idx="2">
                  <c:v>Sem. 3</c:v>
                </c:pt>
                <c:pt idx="3">
                  <c:v>Sem. 4</c:v>
                </c:pt>
                <c:pt idx="4">
                  <c:v>Sem. 5</c:v>
                </c:pt>
              </c:strCache>
            </c:strRef>
          </c:cat>
          <c:val>
            <c:numRef>
              <c:f>Auxiliar!$AY$3:$AY$10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F3-4895-B13A-E771EC5E43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592208"/>
        <c:axId val="277339984"/>
      </c:lineChart>
      <c:catAx>
        <c:axId val="22944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28137728"/>
        <c:crosses val="autoZero"/>
        <c:auto val="1"/>
        <c:lblAlgn val="ctr"/>
        <c:lblOffset val="100"/>
        <c:noMultiLvlLbl val="0"/>
      </c:catAx>
      <c:valAx>
        <c:axId val="228137728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29447168"/>
        <c:crosses val="autoZero"/>
        <c:crossBetween val="between"/>
      </c:valAx>
      <c:valAx>
        <c:axId val="27733998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7592208"/>
        <c:crosses val="max"/>
        <c:crossBetween val="between"/>
      </c:valAx>
      <c:catAx>
        <c:axId val="1675922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77339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526435500666825"/>
          <c:y val="0.88133672798394846"/>
          <c:w val="0.78822734165189912"/>
          <c:h val="6.4447793224243752E-2"/>
        </c:manualLayout>
      </c:layout>
      <c:overlay val="0"/>
      <c:txPr>
        <a:bodyPr/>
        <a:lstStyle/>
        <a:p>
          <a:pPr>
            <a:defRPr sz="11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30480</xdr:colOff>
      <xdr:row>6</xdr:row>
      <xdr:rowOff>106680</xdr:rowOff>
    </xdr:from>
    <xdr:to>
      <xdr:col>30</xdr:col>
      <xdr:colOff>563880</xdr:colOff>
      <xdr:row>27</xdr:row>
      <xdr:rowOff>114300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292100</xdr:colOff>
          <xdr:row>4</xdr:row>
          <xdr:rowOff>50800</xdr:rowOff>
        </xdr:from>
        <xdr:to>
          <xdr:col>33</xdr:col>
          <xdr:colOff>444500</xdr:colOff>
          <xdr:row>7</xdr:row>
          <xdr:rowOff>31750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Gráficos</a:t>
              </a:r>
            </a:p>
          </xdr:txBody>
        </xdr:sp>
        <xdr:clientData fPrintsWithSheet="0"/>
      </xdr:twoCellAnchor>
    </mc:Choice>
    <mc:Fallback/>
  </mc:AlternateContent>
  <xdr:twoCellAnchor>
    <xdr:from>
      <xdr:col>29</xdr:col>
      <xdr:colOff>396240</xdr:colOff>
      <xdr:row>7</xdr:row>
      <xdr:rowOff>54092</xdr:rowOff>
    </xdr:from>
    <xdr:to>
      <xdr:col>30</xdr:col>
      <xdr:colOff>392896</xdr:colOff>
      <xdr:row>8</xdr:row>
      <xdr:rowOff>88772</xdr:rowOff>
    </xdr:to>
    <xdr:sp macro="" textlink="">
      <xdr:nvSpPr>
        <xdr:cNvPr id="9" name="CaixaDeTexto 26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33329880" y="60273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7</xdr:row>
      <xdr:rowOff>1</xdr:rowOff>
    </xdr:from>
    <xdr:to>
      <xdr:col>30</xdr:col>
      <xdr:colOff>289560</xdr:colOff>
      <xdr:row>9</xdr:row>
      <xdr:rowOff>7621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3421320" y="73152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25</xdr:col>
      <xdr:colOff>0</xdr:colOff>
      <xdr:row>28</xdr:row>
      <xdr:rowOff>0</xdr:rowOff>
    </xdr:from>
    <xdr:to>
      <xdr:col>30</xdr:col>
      <xdr:colOff>533400</xdr:colOff>
      <xdr:row>49</xdr:row>
      <xdr:rowOff>7620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396240</xdr:colOff>
      <xdr:row>33</xdr:row>
      <xdr:rowOff>54092</xdr:rowOff>
    </xdr:from>
    <xdr:to>
      <xdr:col>30</xdr:col>
      <xdr:colOff>392896</xdr:colOff>
      <xdr:row>34</xdr:row>
      <xdr:rowOff>88772</xdr:rowOff>
    </xdr:to>
    <xdr:sp macro="" textlink="">
      <xdr:nvSpPr>
        <xdr:cNvPr id="13" name="CaixaDeTexto 2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34320480" y="968492"/>
          <a:ext cx="606256" cy="21756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00" b="1">
              <a:solidFill>
                <a:srgbClr val="6C6C6F"/>
              </a:solidFill>
              <a:cs typeface="Arial" pitchFamily="34" charset="0"/>
            </a:rPr>
            <a:t>MELHOR</a:t>
          </a:r>
        </a:p>
      </xdr:txBody>
    </xdr:sp>
    <xdr:clientData/>
  </xdr:twoCellAnchor>
  <xdr:twoCellAnchor>
    <xdr:from>
      <xdr:col>29</xdr:col>
      <xdr:colOff>487680</xdr:colOff>
      <xdr:row>33</xdr:row>
      <xdr:rowOff>1</xdr:rowOff>
    </xdr:from>
    <xdr:to>
      <xdr:col>30</xdr:col>
      <xdr:colOff>289560</xdr:colOff>
      <xdr:row>35</xdr:row>
      <xdr:rowOff>7621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34411920" y="914401"/>
          <a:ext cx="411480" cy="373380"/>
        </a:xfrm>
        <a:prstGeom prst="ellipse">
          <a:avLst/>
        </a:prstGeom>
        <a:noFill/>
        <a:ln w="9525">
          <a:solidFill>
            <a:srgbClr val="333F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54CC-63D0-4894-8A48-CD77976DD422}">
  <sheetPr codeName="Planilha1">
    <tabColor theme="1"/>
    <pageSetUpPr fitToPage="1"/>
  </sheetPr>
  <dimension ref="A2:AI153"/>
  <sheetViews>
    <sheetView showGridLines="0" tabSelected="1" topLeftCell="P4" zoomScale="115" zoomScaleNormal="115" workbookViewId="0">
      <selection activeCell="S27" sqref="S27"/>
    </sheetView>
  </sheetViews>
  <sheetFormatPr defaultRowHeight="14.5" x14ac:dyDescent="0.35"/>
  <cols>
    <col min="1" max="1" width="14.1796875" customWidth="1"/>
    <col min="2" max="2" width="21.54296875" bestFit="1" customWidth="1"/>
    <col min="3" max="3" width="37.1796875" bestFit="1" customWidth="1"/>
    <col min="5" max="5" width="8.90625" hidden="1" customWidth="1"/>
    <col min="6" max="10" width="20.1796875" style="1" customWidth="1"/>
    <col min="11" max="11" width="5.1796875" bestFit="1" customWidth="1"/>
    <col min="12" max="12" width="8.54296875" bestFit="1" customWidth="1"/>
    <col min="13" max="17" width="20.1796875" style="1" customWidth="1"/>
    <col min="19" max="19" width="53.1796875" style="1" customWidth="1"/>
    <col min="20" max="21" width="13.54296875" style="1" customWidth="1"/>
    <col min="22" max="22" width="16.90625" style="1" bestFit="1" customWidth="1"/>
    <col min="23" max="23" width="16" style="1" bestFit="1" customWidth="1"/>
    <col min="24" max="24" width="19.90625" style="1" bestFit="1" customWidth="1"/>
    <col min="25" max="25" width="10.453125" customWidth="1"/>
    <col min="26" max="29" width="19.81640625" customWidth="1"/>
    <col min="31" max="31" width="9.1796875" customWidth="1"/>
  </cols>
  <sheetData>
    <row r="2" spans="1:31" x14ac:dyDescent="0.35">
      <c r="A2" s="2"/>
      <c r="B2" s="44" t="s">
        <v>0</v>
      </c>
      <c r="C2" s="45"/>
      <c r="F2" s="40" t="s">
        <v>16</v>
      </c>
      <c r="G2" s="39"/>
      <c r="H2" s="39"/>
      <c r="I2" s="39"/>
      <c r="J2" s="39"/>
      <c r="L2" s="39" t="s">
        <v>18</v>
      </c>
      <c r="M2" s="39"/>
      <c r="N2" s="39"/>
      <c r="O2" s="39"/>
      <c r="P2" s="39"/>
      <c r="Q2" s="39"/>
      <c r="S2" s="40" t="s">
        <v>20</v>
      </c>
      <c r="T2" s="39"/>
      <c r="U2" s="39"/>
      <c r="V2" s="39"/>
      <c r="W2" s="39"/>
      <c r="X2" s="39"/>
      <c r="Z2" s="43" t="str">
        <f ca="1">"Atualizado em "&amp;TEXT(TODAY(),"dd/mmm/aaaa")</f>
        <v>Atualizado em 15/dez/2025</v>
      </c>
      <c r="AA2" s="43"/>
      <c r="AB2" s="43"/>
      <c r="AC2" s="43"/>
      <c r="AD2" s="43"/>
      <c r="AE2" s="43"/>
    </row>
    <row r="3" spans="1:31" x14ac:dyDescent="0.35">
      <c r="A3" s="2"/>
      <c r="B3" s="24" t="s">
        <v>1</v>
      </c>
      <c r="C3" s="5" t="s">
        <v>81</v>
      </c>
    </row>
    <row r="4" spans="1:31" x14ac:dyDescent="0.35">
      <c r="A4" s="2"/>
      <c r="B4" s="24" t="s">
        <v>2</v>
      </c>
      <c r="C4" s="5" t="s">
        <v>82</v>
      </c>
      <c r="F4" s="26" t="s">
        <v>4</v>
      </c>
      <c r="G4" s="26" t="s">
        <v>5</v>
      </c>
      <c r="H4" s="26" t="s">
        <v>6</v>
      </c>
      <c r="I4" s="26" t="s">
        <v>35</v>
      </c>
      <c r="J4" s="26" t="s">
        <v>36</v>
      </c>
      <c r="L4" s="26" t="s">
        <v>19</v>
      </c>
      <c r="M4" s="26" t="s">
        <v>68</v>
      </c>
      <c r="N4" s="26" t="s">
        <v>5</v>
      </c>
      <c r="O4" s="26" t="s">
        <v>6</v>
      </c>
      <c r="P4" s="26" t="s">
        <v>35</v>
      </c>
      <c r="Q4" s="26" t="s">
        <v>36</v>
      </c>
      <c r="S4" s="26" t="s">
        <v>21</v>
      </c>
      <c r="T4" s="26" t="s">
        <v>22</v>
      </c>
      <c r="U4" s="26" t="s">
        <v>23</v>
      </c>
      <c r="V4" s="26" t="s">
        <v>24</v>
      </c>
      <c r="W4" s="26" t="s">
        <v>37</v>
      </c>
      <c r="X4" s="26" t="s">
        <v>38</v>
      </c>
      <c r="Z4" s="40" t="s">
        <v>28</v>
      </c>
      <c r="AA4" s="39"/>
      <c r="AB4" s="39"/>
      <c r="AC4" s="39"/>
      <c r="AD4" s="39"/>
      <c r="AE4" s="39"/>
    </row>
    <row r="5" spans="1:31" x14ac:dyDescent="0.35">
      <c r="A5" s="2"/>
      <c r="B5" s="25" t="s">
        <v>3</v>
      </c>
      <c r="C5" s="5" t="s">
        <v>42</v>
      </c>
      <c r="F5" s="4">
        <f t="shared" ref="F5:F16" si="0">DATE($C$9,E7,1)</f>
        <v>49310</v>
      </c>
      <c r="G5" s="16">
        <v>39433.454081632655</v>
      </c>
      <c r="H5" s="16">
        <v>37998.188775510207</v>
      </c>
      <c r="I5" s="21" t="str">
        <f t="shared" ref="I5:I16" si="1">IF(G5="","",IF($C$6="Cima",IF(G5&gt;=H5,G5,""),IF(G5&lt;=H5,G5,"")))</f>
        <v/>
      </c>
      <c r="J5" s="21">
        <f t="shared" ref="J5:J16" si="2">IF(G5="","",IF($C$6="Cima",IF(G5&lt;H5,G5,""),IF(G5&gt;H5,G5,"")))</f>
        <v>39433.454081632655</v>
      </c>
      <c r="L5" s="3" t="str">
        <f>IF(M5="","","Sem. "&amp;M5)</f>
        <v>Sem. 1</v>
      </c>
      <c r="M5" s="3">
        <f>IF(Auxiliar!$AG$6&lt;2,IF(Auxiliar!$AG$6=1,1,""),M6-1)</f>
        <v>1</v>
      </c>
      <c r="N5" s="16"/>
      <c r="O5" s="16"/>
      <c r="P5" s="21" t="str">
        <f>IF(N5="","",IF($C$6="Cima",IF(N5&gt;=O5,N5,""),IF(N5&lt;=O5,N5,"")))</f>
        <v/>
      </c>
      <c r="Q5" s="21" t="str">
        <f>IF(N5="","",IF($C$6="Cima",IF(N5&lt;O5,N5,""),IF(N5&gt;O5,N5,"")))</f>
        <v/>
      </c>
      <c r="S5" s="30" t="s">
        <v>90</v>
      </c>
      <c r="T5" s="5" t="s">
        <v>91</v>
      </c>
      <c r="U5" s="6">
        <v>49345</v>
      </c>
      <c r="V5" s="6">
        <v>49345</v>
      </c>
      <c r="W5" s="4">
        <f>IF(V5="","",DATE(YEAR(V5),MONTH(V5),1))</f>
        <v>49341</v>
      </c>
      <c r="X5" s="3">
        <f>IFERROR(VLOOKUP(V5,Auxiliar!$T$3:$X$367,5,FALSE),"")</f>
        <v>6</v>
      </c>
    </row>
    <row r="6" spans="1:31" x14ac:dyDescent="0.35">
      <c r="A6" s="2"/>
      <c r="B6" s="25" t="s">
        <v>31</v>
      </c>
      <c r="C6" s="5" t="s">
        <v>34</v>
      </c>
      <c r="E6" s="17" t="s">
        <v>17</v>
      </c>
      <c r="F6" s="4">
        <f t="shared" si="0"/>
        <v>49341</v>
      </c>
      <c r="G6" s="16">
        <v>37721</v>
      </c>
      <c r="H6" s="16">
        <v>37998.188775510207</v>
      </c>
      <c r="I6" s="21">
        <f t="shared" si="1"/>
        <v>37721</v>
      </c>
      <c r="J6" s="21" t="str">
        <f t="shared" si="2"/>
        <v/>
      </c>
      <c r="L6" s="3" t="str">
        <f t="shared" ref="L6:L12" si="3">IF(M6="","","Sem. "&amp;M6)</f>
        <v>Sem. 2</v>
      </c>
      <c r="M6" s="3">
        <f>IF(Auxiliar!$AG$6&lt;3,IF(Auxiliar!$AG$6=2,2,""),M7-1)</f>
        <v>2</v>
      </c>
      <c r="N6" s="16"/>
      <c r="O6" s="16"/>
      <c r="P6" s="21" t="str">
        <f t="shared" ref="P6:P12" si="4">IF(N6="","",IF($C$6="Cima",IF(N6&gt;=O6,N6,""),IF(N6&lt;=O6,N6,"")))</f>
        <v/>
      </c>
      <c r="Q6" s="21" t="str">
        <f t="shared" ref="Q6:Q12" si="5">IF(N6="","",IF($C$6="Cima",IF(N6&lt;O6,N6,""),IF(N6&gt;O6,N6,"")))</f>
        <v/>
      </c>
      <c r="S6" s="30" t="s">
        <v>94</v>
      </c>
      <c r="T6" s="5" t="s">
        <v>93</v>
      </c>
      <c r="U6" s="6">
        <v>49353</v>
      </c>
      <c r="V6" s="6">
        <v>49368</v>
      </c>
      <c r="W6" s="4">
        <f t="shared" ref="W6:W69" si="6">IF(V6="","",DATE(YEAR(V6),MONTH(V6),1))</f>
        <v>49341</v>
      </c>
      <c r="X6" s="3">
        <f>IFERROR(VLOOKUP(V6,Auxiliar!$T$3:$X$367,5,FALSE),"")</f>
        <v>9</v>
      </c>
      <c r="Z6" s="41" t="str">
        <f>"O realizado de "&amp;TEXT(Auxiliar!AG3,"mmmaa")&amp;" é "&amp;TEXT(Auxiliar!AR2,Auxiliar!H3)&amp;" ("&amp;TEXT(Auxiliar!AR5,Auxiliar!H3)&amp;" "&amp;Auxiliar!AR6&amp;" do que meta de "&amp; TEXT(Auxiliar!AR3,Auxiliar!H3)&amp;")."</f>
        <v>O realizado de jan35 é R$ 39.433 (R$ 1.435 pior do que meta de R$ 37.998).</v>
      </c>
      <c r="AA6" s="41"/>
      <c r="AB6" s="41"/>
      <c r="AC6" s="41"/>
      <c r="AD6" s="41"/>
      <c r="AE6" s="41"/>
    </row>
    <row r="7" spans="1:31" x14ac:dyDescent="0.35">
      <c r="A7" s="2"/>
      <c r="E7" s="3">
        <v>1</v>
      </c>
      <c r="F7" s="4">
        <f t="shared" si="0"/>
        <v>49369</v>
      </c>
      <c r="G7" s="16"/>
      <c r="H7" s="16">
        <v>37553.674610001071</v>
      </c>
      <c r="I7" s="21" t="str">
        <f t="shared" si="1"/>
        <v/>
      </c>
      <c r="J7" s="21" t="str">
        <f t="shared" si="2"/>
        <v/>
      </c>
      <c r="L7" s="3" t="str">
        <f t="shared" si="3"/>
        <v>Sem. 3</v>
      </c>
      <c r="M7" s="3">
        <f>IF(Auxiliar!$AG$6&lt;4,IF(Auxiliar!$AG$6=3,3,""),M8-1)</f>
        <v>3</v>
      </c>
      <c r="N7" s="16"/>
      <c r="O7" s="16"/>
      <c r="P7" s="21" t="str">
        <f t="shared" si="4"/>
        <v/>
      </c>
      <c r="Q7" s="21" t="str">
        <f t="shared" si="5"/>
        <v/>
      </c>
      <c r="S7" s="34" t="s">
        <v>99</v>
      </c>
      <c r="T7" s="5" t="s">
        <v>93</v>
      </c>
      <c r="U7" s="35">
        <v>49373</v>
      </c>
      <c r="V7" s="6"/>
      <c r="W7" s="4" t="str">
        <f t="shared" si="6"/>
        <v/>
      </c>
      <c r="X7" s="3" t="str">
        <f>IFERROR(VLOOKUP(V7,Auxiliar!$T$3:$X$367,5,FALSE),"")</f>
        <v/>
      </c>
      <c r="Z7" s="13"/>
      <c r="AA7" s="13"/>
      <c r="AB7" s="13"/>
      <c r="AC7" s="13"/>
      <c r="AD7" s="13"/>
      <c r="AE7" s="13"/>
    </row>
    <row r="8" spans="1:31" x14ac:dyDescent="0.35">
      <c r="A8" s="2"/>
      <c r="B8" s="46" t="s">
        <v>7</v>
      </c>
      <c r="C8" s="46"/>
      <c r="E8" s="3">
        <f>E7+1</f>
        <v>2</v>
      </c>
      <c r="F8" s="4">
        <f t="shared" si="0"/>
        <v>49400</v>
      </c>
      <c r="G8" s="16"/>
      <c r="H8" s="16">
        <v>37109.160444491936</v>
      </c>
      <c r="I8" s="21" t="str">
        <f t="shared" si="1"/>
        <v/>
      </c>
      <c r="J8" s="21" t="str">
        <f t="shared" si="2"/>
        <v/>
      </c>
      <c r="L8" s="3" t="str">
        <f t="shared" si="3"/>
        <v>Sem. 4</v>
      </c>
      <c r="M8" s="3">
        <f>IF(Auxiliar!$AG$6&lt;5,IF(Auxiliar!$AG$6=4,4,""),M9-1)</f>
        <v>4</v>
      </c>
      <c r="N8" s="16"/>
      <c r="O8" s="16"/>
      <c r="P8" s="21" t="str">
        <f t="shared" si="4"/>
        <v/>
      </c>
      <c r="Q8" s="21" t="str">
        <f t="shared" si="5"/>
        <v/>
      </c>
      <c r="S8" s="34" t="s">
        <v>100</v>
      </c>
      <c r="T8" s="5" t="s">
        <v>93</v>
      </c>
      <c r="U8" s="35">
        <v>49376</v>
      </c>
      <c r="V8" s="6"/>
      <c r="W8" s="4" t="str">
        <f t="shared" si="6"/>
        <v/>
      </c>
      <c r="X8" s="3" t="str">
        <f>IFERROR(VLOOKUP(V8,Auxiliar!$T$3:$X$367,5,FALSE),"")</f>
        <v/>
      </c>
      <c r="AA8" s="42" t="str">
        <f>C3&amp;" ("&amp;Auxiliar!G3&amp;")"</f>
        <v>Valor Médio Indezinado (R$)</v>
      </c>
      <c r="AB8" s="42"/>
      <c r="AC8" s="42"/>
    </row>
    <row r="9" spans="1:31" x14ac:dyDescent="0.35">
      <c r="A9" s="2"/>
      <c r="B9" s="24" t="s">
        <v>8</v>
      </c>
      <c r="C9" s="5">
        <v>2035</v>
      </c>
      <c r="E9" s="3">
        <f t="shared" ref="E9:E18" si="7">E8+1</f>
        <v>3</v>
      </c>
      <c r="F9" s="4">
        <f t="shared" si="0"/>
        <v>49430</v>
      </c>
      <c r="G9" s="16"/>
      <c r="H9" s="16">
        <v>36664.6462789828</v>
      </c>
      <c r="I9" s="21" t="str">
        <f t="shared" si="1"/>
        <v/>
      </c>
      <c r="J9" s="21" t="str">
        <f t="shared" si="2"/>
        <v/>
      </c>
      <c r="L9" s="3" t="str">
        <f t="shared" si="3"/>
        <v>Sem. 5</v>
      </c>
      <c r="M9" s="3">
        <f>IF(Auxiliar!$AG$6&lt;6,IF(Auxiliar!$AG$6=5,5,""),M10-1)</f>
        <v>5</v>
      </c>
      <c r="N9" s="16"/>
      <c r="O9" s="16"/>
      <c r="P9" s="21" t="str">
        <f t="shared" si="4"/>
        <v/>
      </c>
      <c r="Q9" s="21" t="str">
        <f t="shared" si="5"/>
        <v/>
      </c>
      <c r="S9" s="34" t="s">
        <v>101</v>
      </c>
      <c r="T9" s="5" t="s">
        <v>93</v>
      </c>
      <c r="U9" s="35">
        <v>49380</v>
      </c>
      <c r="V9" s="6"/>
      <c r="W9" s="4" t="str">
        <f t="shared" si="6"/>
        <v/>
      </c>
      <c r="X9" s="3" t="str">
        <f>IFERROR(VLOOKUP(V9,Auxiliar!$T$3:$X$367,5,FALSE),"")</f>
        <v/>
      </c>
      <c r="AA9" s="42"/>
      <c r="AB9" s="42"/>
      <c r="AC9" s="42"/>
      <c r="AE9" s="12" t="str">
        <f>IF(C6="Baixo","(","&amp;")</f>
        <v>(</v>
      </c>
    </row>
    <row r="10" spans="1:31" x14ac:dyDescent="0.35">
      <c r="A10" s="2"/>
      <c r="B10" s="25" t="s">
        <v>64</v>
      </c>
      <c r="C10" s="15" t="s">
        <v>89</v>
      </c>
      <c r="E10" s="3">
        <f t="shared" si="7"/>
        <v>4</v>
      </c>
      <c r="F10" s="4">
        <f t="shared" si="0"/>
        <v>49461</v>
      </c>
      <c r="G10" s="16"/>
      <c r="H10" s="16">
        <v>36220.132113473665</v>
      </c>
      <c r="I10" s="21" t="str">
        <f t="shared" si="1"/>
        <v/>
      </c>
      <c r="J10" s="21" t="str">
        <f t="shared" si="2"/>
        <v/>
      </c>
      <c r="L10" s="3" t="str">
        <f t="shared" si="3"/>
        <v/>
      </c>
      <c r="M10" s="3" t="str">
        <f>IF(Auxiliar!$AG$6&lt;7,IF(Auxiliar!$AG$6=6,6,""),M11-1)</f>
        <v/>
      </c>
      <c r="N10" s="16"/>
      <c r="O10" s="16"/>
      <c r="P10" s="21" t="str">
        <f t="shared" si="4"/>
        <v/>
      </c>
      <c r="Q10" s="21" t="str">
        <f t="shared" si="5"/>
        <v/>
      </c>
      <c r="S10" s="30" t="s">
        <v>104</v>
      </c>
      <c r="T10" s="5" t="s">
        <v>95</v>
      </c>
      <c r="U10" s="6">
        <v>49348</v>
      </c>
      <c r="V10" s="6">
        <v>49351</v>
      </c>
      <c r="W10" s="4">
        <f t="shared" si="6"/>
        <v>49341</v>
      </c>
      <c r="X10" s="3">
        <f>IFERROR(VLOOKUP(V10,Auxiliar!$T$3:$X$367,5,FALSE),"")</f>
        <v>7</v>
      </c>
      <c r="AA10" s="38" t="str">
        <f>C4</f>
        <v>Valor Total das Indenizações / Núm. Processos Trabalhistas Recebidos</v>
      </c>
      <c r="AB10" s="38"/>
      <c r="AC10" s="38"/>
    </row>
    <row r="11" spans="1:31" x14ac:dyDescent="0.35">
      <c r="A11" s="2"/>
      <c r="B11" s="19"/>
      <c r="C11" s="1"/>
      <c r="E11" s="3">
        <f t="shared" si="7"/>
        <v>5</v>
      </c>
      <c r="F11" s="4">
        <f t="shared" si="0"/>
        <v>49491</v>
      </c>
      <c r="G11" s="16"/>
      <c r="H11" s="16">
        <v>35775.617947964529</v>
      </c>
      <c r="I11" s="21" t="str">
        <f t="shared" si="1"/>
        <v/>
      </c>
      <c r="J11" s="21" t="str">
        <f t="shared" si="2"/>
        <v/>
      </c>
      <c r="L11" s="3" t="str">
        <f t="shared" si="3"/>
        <v/>
      </c>
      <c r="M11" s="3" t="str">
        <f>IF(Auxiliar!$AG$6&lt;8,IF(Auxiliar!$AG$6=7,7,""),M12-1)</f>
        <v/>
      </c>
      <c r="N11" s="16"/>
      <c r="O11" s="16"/>
      <c r="P11" s="21" t="str">
        <f t="shared" si="4"/>
        <v/>
      </c>
      <c r="Q11" s="21" t="str">
        <f t="shared" si="5"/>
        <v/>
      </c>
      <c r="S11" s="30" t="s">
        <v>105</v>
      </c>
      <c r="T11" s="5" t="s">
        <v>95</v>
      </c>
      <c r="U11" s="6">
        <v>49352</v>
      </c>
      <c r="V11" s="6">
        <v>49355</v>
      </c>
      <c r="W11" s="4">
        <f t="shared" si="6"/>
        <v>49341</v>
      </c>
      <c r="X11" s="3">
        <f>IFERROR(VLOOKUP(V11,Auxiliar!$T$3:$X$367,5,FALSE),"")</f>
        <v>7</v>
      </c>
    </row>
    <row r="12" spans="1:31" ht="14.4" customHeight="1" x14ac:dyDescent="0.35">
      <c r="A12" s="2"/>
      <c r="B12" s="10"/>
      <c r="C12" s="28"/>
      <c r="E12" s="3">
        <f t="shared" si="7"/>
        <v>6</v>
      </c>
      <c r="F12" s="4">
        <f t="shared" si="0"/>
        <v>49522</v>
      </c>
      <c r="G12" s="16"/>
      <c r="H12" s="16">
        <v>35331.103782455393</v>
      </c>
      <c r="I12" s="21" t="str">
        <f t="shared" si="1"/>
        <v/>
      </c>
      <c r="J12" s="21" t="str">
        <f t="shared" si="2"/>
        <v/>
      </c>
      <c r="L12" s="3" t="str">
        <f t="shared" si="3"/>
        <v/>
      </c>
      <c r="M12" s="3" t="str">
        <f>IF(Auxiliar!AG6&lt;8,"",Auxiliar!AG6)</f>
        <v/>
      </c>
      <c r="N12" s="16"/>
      <c r="O12" s="16"/>
      <c r="P12" s="21" t="str">
        <f t="shared" si="4"/>
        <v/>
      </c>
      <c r="Q12" s="21" t="str">
        <f t="shared" si="5"/>
        <v/>
      </c>
      <c r="S12" s="30" t="s">
        <v>106</v>
      </c>
      <c r="T12" s="5" t="s">
        <v>95</v>
      </c>
      <c r="U12" s="6">
        <v>49356</v>
      </c>
      <c r="V12" s="6">
        <v>49360</v>
      </c>
      <c r="W12" s="4">
        <f t="shared" si="6"/>
        <v>49341</v>
      </c>
      <c r="X12" s="3">
        <f>IFERROR(VLOOKUP(V12,Auxiliar!$T$3:$X$367,5,FALSE),"")</f>
        <v>8</v>
      </c>
    </row>
    <row r="13" spans="1:31" ht="14.4" customHeight="1" x14ac:dyDescent="0.35">
      <c r="A13" s="2"/>
      <c r="B13" s="10"/>
      <c r="C13" s="28"/>
      <c r="E13" s="3">
        <f t="shared" si="7"/>
        <v>7</v>
      </c>
      <c r="F13" s="4">
        <f t="shared" si="0"/>
        <v>49553</v>
      </c>
      <c r="G13" s="16"/>
      <c r="H13" s="16">
        <v>34886.589616946258</v>
      </c>
      <c r="I13" s="21" t="str">
        <f t="shared" si="1"/>
        <v/>
      </c>
      <c r="J13" s="21" t="str">
        <f t="shared" si="2"/>
        <v/>
      </c>
      <c r="S13" s="34" t="s">
        <v>107</v>
      </c>
      <c r="T13" s="5" t="s">
        <v>95</v>
      </c>
      <c r="U13" s="35">
        <v>49371</v>
      </c>
      <c r="V13" s="6"/>
      <c r="W13" s="4" t="str">
        <f t="shared" si="6"/>
        <v/>
      </c>
      <c r="X13" s="3" t="str">
        <f>IFERROR(VLOOKUP(V13,Auxiliar!$T$3:$X$367,5,FALSE),"")</f>
        <v/>
      </c>
    </row>
    <row r="14" spans="1:31" ht="14.4" customHeight="1" x14ac:dyDescent="0.35">
      <c r="A14" s="2"/>
      <c r="B14" s="18"/>
      <c r="C14" s="28"/>
      <c r="E14" s="3">
        <f t="shared" si="7"/>
        <v>8</v>
      </c>
      <c r="F14" s="4">
        <f t="shared" si="0"/>
        <v>49583</v>
      </c>
      <c r="G14" s="16"/>
      <c r="H14" s="16">
        <v>34442.075451437122</v>
      </c>
      <c r="I14" s="21" t="str">
        <f t="shared" si="1"/>
        <v/>
      </c>
      <c r="J14" s="21" t="str">
        <f t="shared" si="2"/>
        <v/>
      </c>
      <c r="S14" s="34" t="s">
        <v>108</v>
      </c>
      <c r="T14" s="5" t="s">
        <v>95</v>
      </c>
      <c r="U14" s="35">
        <v>49376</v>
      </c>
      <c r="V14" s="6"/>
      <c r="W14" s="4" t="str">
        <f t="shared" si="6"/>
        <v/>
      </c>
      <c r="X14" s="3" t="str">
        <f>IFERROR(VLOOKUP(V14,Auxiliar!$T$3:$X$367,5,FALSE),"")</f>
        <v/>
      </c>
    </row>
    <row r="15" spans="1:31" x14ac:dyDescent="0.35">
      <c r="A15" s="2"/>
      <c r="B15" s="18"/>
      <c r="C15" s="18"/>
      <c r="E15" s="3">
        <f t="shared" si="7"/>
        <v>9</v>
      </c>
      <c r="F15" s="4">
        <f t="shared" si="0"/>
        <v>49614</v>
      </c>
      <c r="G15" s="16"/>
      <c r="H15" s="16">
        <v>33997.561285927986</v>
      </c>
      <c r="I15" s="21" t="str">
        <f t="shared" si="1"/>
        <v/>
      </c>
      <c r="J15" s="21" t="str">
        <f t="shared" si="2"/>
        <v/>
      </c>
      <c r="S15" s="34" t="s">
        <v>109</v>
      </c>
      <c r="T15" s="5" t="s">
        <v>95</v>
      </c>
      <c r="U15" s="35">
        <v>49381</v>
      </c>
      <c r="V15" s="6"/>
      <c r="W15" s="4" t="str">
        <f t="shared" si="6"/>
        <v/>
      </c>
      <c r="X15" s="3" t="str">
        <f>IFERROR(VLOOKUP(V15,Auxiliar!$T$3:$X$367,5,FALSE),"")</f>
        <v/>
      </c>
    </row>
    <row r="16" spans="1:31" x14ac:dyDescent="0.35">
      <c r="A16" s="2"/>
      <c r="B16" s="18"/>
      <c r="C16" s="18"/>
      <c r="E16" s="3">
        <f t="shared" si="7"/>
        <v>10</v>
      </c>
      <c r="F16" s="4">
        <f t="shared" si="0"/>
        <v>49644</v>
      </c>
      <c r="G16" s="16"/>
      <c r="H16" s="16">
        <v>33553.047120418851</v>
      </c>
      <c r="I16" s="21" t="str">
        <f t="shared" si="1"/>
        <v/>
      </c>
      <c r="J16" s="21" t="str">
        <f t="shared" si="2"/>
        <v/>
      </c>
      <c r="S16" s="30" t="s">
        <v>110</v>
      </c>
      <c r="T16" s="5" t="s">
        <v>96</v>
      </c>
      <c r="U16" s="6">
        <v>49352</v>
      </c>
      <c r="V16" s="6">
        <v>49357</v>
      </c>
      <c r="W16" s="4">
        <f t="shared" si="6"/>
        <v>49341</v>
      </c>
      <c r="X16" s="3">
        <f>IFERROR(VLOOKUP(V16,Auxiliar!$T$3:$X$367,5,FALSE),"")</f>
        <v>7</v>
      </c>
    </row>
    <row r="17" spans="1:35" x14ac:dyDescent="0.35">
      <c r="A17" s="2"/>
      <c r="B17" s="18"/>
      <c r="C17" s="18"/>
      <c r="E17" s="3">
        <f t="shared" si="7"/>
        <v>11</v>
      </c>
      <c r="S17" s="34" t="s">
        <v>111</v>
      </c>
      <c r="T17" s="5" t="s">
        <v>96</v>
      </c>
      <c r="U17" s="35">
        <v>49371</v>
      </c>
      <c r="V17" s="6"/>
      <c r="W17" s="4" t="str">
        <f t="shared" si="6"/>
        <v/>
      </c>
      <c r="X17" s="3" t="str">
        <f>IFERROR(VLOOKUP(V17,Auxiliar!$T$3:$X$367,5,FALSE),"")</f>
        <v/>
      </c>
    </row>
    <row r="18" spans="1:35" x14ac:dyDescent="0.35">
      <c r="A18" s="2"/>
      <c r="B18" s="18"/>
      <c r="C18" s="18"/>
      <c r="E18" s="3">
        <f t="shared" si="7"/>
        <v>12</v>
      </c>
      <c r="S18" s="34" t="s">
        <v>112</v>
      </c>
      <c r="T18" s="5" t="s">
        <v>96</v>
      </c>
      <c r="U18" s="35">
        <v>49376</v>
      </c>
      <c r="V18" s="6"/>
      <c r="W18" s="4" t="str">
        <f t="shared" si="6"/>
        <v/>
      </c>
      <c r="X18" s="3" t="str">
        <f>IFERROR(VLOOKUP(V18,Auxiliar!$T$3:$X$367,5,FALSE),"")</f>
        <v/>
      </c>
    </row>
    <row r="19" spans="1:35" x14ac:dyDescent="0.35">
      <c r="A19" s="2"/>
      <c r="B19" s="18"/>
      <c r="C19" s="18"/>
      <c r="S19" s="34" t="s">
        <v>97</v>
      </c>
      <c r="T19" s="5" t="s">
        <v>96</v>
      </c>
      <c r="U19" s="31">
        <v>49368</v>
      </c>
      <c r="V19" s="6"/>
      <c r="W19" s="4" t="str">
        <f t="shared" si="6"/>
        <v/>
      </c>
      <c r="X19" s="3" t="str">
        <f>IFERROR(VLOOKUP(V19,Auxiliar!$T$3:$X$367,5,FALSE),"")</f>
        <v/>
      </c>
    </row>
    <row r="20" spans="1:35" x14ac:dyDescent="0.35">
      <c r="A20" s="2"/>
      <c r="B20" s="18"/>
      <c r="C20" s="18"/>
      <c r="S20" s="30" t="s">
        <v>113</v>
      </c>
      <c r="T20" s="5" t="s">
        <v>98</v>
      </c>
      <c r="U20" s="6">
        <v>49350</v>
      </c>
      <c r="V20" s="6">
        <v>49352</v>
      </c>
      <c r="W20" s="4">
        <f t="shared" si="6"/>
        <v>49341</v>
      </c>
      <c r="X20" s="3">
        <f>IFERROR(VLOOKUP(V20,Auxiliar!$T$3:$X$367,5,FALSE),"")</f>
        <v>7</v>
      </c>
      <c r="AH20" s="13"/>
      <c r="AI20" s="13"/>
    </row>
    <row r="21" spans="1:35" x14ac:dyDescent="0.35">
      <c r="A21" s="2"/>
      <c r="B21" s="18"/>
      <c r="C21" s="18"/>
      <c r="S21" s="30" t="s">
        <v>114</v>
      </c>
      <c r="T21" s="5" t="s">
        <v>98</v>
      </c>
      <c r="U21" s="6">
        <v>49354</v>
      </c>
      <c r="V21" s="6">
        <v>49356</v>
      </c>
      <c r="W21" s="4">
        <f t="shared" si="6"/>
        <v>49341</v>
      </c>
      <c r="X21" s="3">
        <f>IFERROR(VLOOKUP(V21,Auxiliar!$T$3:$X$367,5,FALSE),"")</f>
        <v>7</v>
      </c>
    </row>
    <row r="22" spans="1:35" x14ac:dyDescent="0.35">
      <c r="A22" s="2"/>
      <c r="B22" s="18"/>
      <c r="C22" s="18"/>
      <c r="S22" s="30" t="s">
        <v>115</v>
      </c>
      <c r="T22" s="5" t="s">
        <v>98</v>
      </c>
      <c r="U22" s="6">
        <v>49360</v>
      </c>
      <c r="V22" s="6">
        <v>49362</v>
      </c>
      <c r="W22" s="4">
        <f t="shared" si="6"/>
        <v>49341</v>
      </c>
      <c r="X22" s="3">
        <f>IFERROR(VLOOKUP(V22,Auxiliar!$T$3:$X$367,5,FALSE),"")</f>
        <v>8</v>
      </c>
    </row>
    <row r="23" spans="1:35" x14ac:dyDescent="0.35">
      <c r="A23" s="2"/>
      <c r="B23" s="18"/>
      <c r="C23" s="18"/>
      <c r="S23" s="34" t="s">
        <v>116</v>
      </c>
      <c r="T23" s="5" t="s">
        <v>98</v>
      </c>
      <c r="U23" s="35">
        <v>49372</v>
      </c>
      <c r="V23" s="6"/>
      <c r="W23" s="4" t="str">
        <f t="shared" si="6"/>
        <v/>
      </c>
      <c r="X23" s="3" t="str">
        <f>IFERROR(VLOOKUP(V23,Auxiliar!$T$3:$X$367,5,FALSE),"")</f>
        <v/>
      </c>
    </row>
    <row r="24" spans="1:35" x14ac:dyDescent="0.35">
      <c r="A24" s="2"/>
      <c r="B24" s="18"/>
      <c r="C24" s="18"/>
      <c r="S24" s="34" t="s">
        <v>117</v>
      </c>
      <c r="T24" s="5" t="s">
        <v>98</v>
      </c>
      <c r="U24" s="35">
        <v>49377</v>
      </c>
      <c r="V24" s="6"/>
      <c r="W24" s="4" t="str">
        <f t="shared" si="6"/>
        <v/>
      </c>
      <c r="X24" s="3" t="str">
        <f>IFERROR(VLOOKUP(V24,Auxiliar!$T$3:$X$367,5,FALSE),"")</f>
        <v/>
      </c>
    </row>
    <row r="25" spans="1:35" x14ac:dyDescent="0.35">
      <c r="A25" s="2"/>
      <c r="B25" s="18"/>
      <c r="C25" s="18"/>
      <c r="S25" s="30" t="s">
        <v>118</v>
      </c>
      <c r="T25" s="5" t="s">
        <v>98</v>
      </c>
      <c r="U25" s="37">
        <v>49382</v>
      </c>
      <c r="V25" s="6"/>
      <c r="W25" s="4" t="str">
        <f t="shared" si="6"/>
        <v/>
      </c>
      <c r="X25" s="3" t="str">
        <f>IFERROR(VLOOKUP(V25,Auxiliar!$T$3:$X$367,5,FALSE),"")</f>
        <v/>
      </c>
    </row>
    <row r="26" spans="1:35" x14ac:dyDescent="0.35">
      <c r="A26" s="2"/>
      <c r="B26" s="18"/>
      <c r="C26" s="18"/>
      <c r="S26" s="34" t="s">
        <v>102</v>
      </c>
      <c r="T26" s="36" t="s">
        <v>91</v>
      </c>
      <c r="U26" s="37">
        <v>45719</v>
      </c>
      <c r="V26" s="9"/>
      <c r="W26" s="4" t="str">
        <f t="shared" si="6"/>
        <v/>
      </c>
      <c r="X26" s="3" t="str">
        <f>IFERROR(VLOOKUP(V26,Auxiliar!$T$3:$X$367,5,FALSE),"")</f>
        <v/>
      </c>
    </row>
    <row r="27" spans="1:35" x14ac:dyDescent="0.35">
      <c r="A27" s="2"/>
      <c r="B27" s="18"/>
      <c r="C27" s="18"/>
      <c r="S27" s="34" t="s">
        <v>103</v>
      </c>
      <c r="T27" s="36" t="s">
        <v>91</v>
      </c>
      <c r="U27" s="37">
        <v>45719</v>
      </c>
      <c r="V27" s="9"/>
      <c r="W27" s="4" t="str">
        <f t="shared" si="6"/>
        <v/>
      </c>
      <c r="X27" s="3" t="str">
        <f>IFERROR(VLOOKUP(V27,Auxiliar!$T$3:$X$367,5,FALSE),"")</f>
        <v/>
      </c>
    </row>
    <row r="28" spans="1:35" x14ac:dyDescent="0.35">
      <c r="A28" s="2"/>
      <c r="B28" s="18"/>
      <c r="C28" s="18"/>
      <c r="S28" s="5"/>
      <c r="T28" s="5"/>
      <c r="U28" s="6"/>
      <c r="V28" s="9"/>
      <c r="W28" s="4" t="str">
        <f t="shared" si="6"/>
        <v/>
      </c>
      <c r="X28" s="3" t="str">
        <f>IFERROR(VLOOKUP(V28,Auxiliar!$T$3:$X$367,5,FALSE),"")</f>
        <v/>
      </c>
    </row>
    <row r="29" spans="1:35" x14ac:dyDescent="0.35">
      <c r="A29" s="2"/>
      <c r="B29" s="18"/>
      <c r="C29" s="18"/>
      <c r="S29" s="5"/>
      <c r="T29" s="5"/>
      <c r="U29" s="6"/>
      <c r="V29" s="9"/>
      <c r="W29" s="4" t="str">
        <f t="shared" si="6"/>
        <v/>
      </c>
      <c r="X29" s="3" t="str">
        <f>IFERROR(VLOOKUP(V29,Auxiliar!$T$3:$X$367,5,FALSE),"")</f>
        <v/>
      </c>
      <c r="Z29" s="40" t="s">
        <v>29</v>
      </c>
      <c r="AA29" s="39"/>
      <c r="AB29" s="39"/>
      <c r="AC29" s="39"/>
      <c r="AD29" s="39"/>
      <c r="AE29" s="39"/>
    </row>
    <row r="30" spans="1:35" x14ac:dyDescent="0.35">
      <c r="A30" s="2"/>
      <c r="B30" s="18"/>
      <c r="C30" s="18"/>
      <c r="S30" s="5"/>
      <c r="T30" s="5"/>
      <c r="U30" s="6"/>
      <c r="V30" s="9"/>
      <c r="W30" s="4" t="str">
        <f t="shared" si="6"/>
        <v/>
      </c>
      <c r="X30" s="3" t="str">
        <f>IFERROR(VLOOKUP(V30,Auxiliar!$T$3:$X$367,5,FALSE),"")</f>
        <v/>
      </c>
    </row>
    <row r="31" spans="1:35" x14ac:dyDescent="0.35">
      <c r="A31" s="2"/>
      <c r="B31" s="18"/>
      <c r="C31" s="18"/>
      <c r="S31" s="5"/>
      <c r="T31" s="5"/>
      <c r="U31" s="6"/>
      <c r="V31" s="9"/>
      <c r="W31" s="4" t="str">
        <f t="shared" si="6"/>
        <v/>
      </c>
      <c r="X31" s="3" t="str">
        <f>IFERROR(VLOOKUP(V31,Auxiliar!$T$3:$X$367,5,FALSE),"")</f>
        <v/>
      </c>
      <c r="Z31" s="41" t="str">
        <f>"O realizado na Semana "&amp;Auxiliar!AG6&amp;" foi "&amp;TEXT(Auxiliar!BB2,Auxiliar!H3)&amp;" ("&amp;TEXT(Auxiliar!BB5,Auxiliar!H3)&amp;" "&amp;Auxiliar!BB6&amp;" do que meta de "&amp; TEXT(Auxiliar!BB3,Auxiliar!H3)&amp;")."</f>
        <v>O realizado na Semana 5 foi R$  (R$  melhor do que meta de R$ ).</v>
      </c>
      <c r="AA31" s="41"/>
      <c r="AB31" s="41"/>
      <c r="AC31" s="41"/>
      <c r="AD31" s="41"/>
      <c r="AE31" s="41"/>
    </row>
    <row r="32" spans="1:35" x14ac:dyDescent="0.35">
      <c r="A32" s="2"/>
      <c r="S32" s="5"/>
      <c r="T32" s="5"/>
      <c r="U32" s="6"/>
      <c r="V32" s="9"/>
      <c r="W32" s="4" t="str">
        <f t="shared" si="6"/>
        <v/>
      </c>
      <c r="X32" s="3" t="str">
        <f>IFERROR(VLOOKUP(V32,Auxiliar!$T$3:$X$367,5,FALSE),"")</f>
        <v/>
      </c>
    </row>
    <row r="33" spans="1:31" x14ac:dyDescent="0.35">
      <c r="A33" s="2"/>
      <c r="B33" s="18"/>
      <c r="S33" s="5"/>
      <c r="T33" s="5"/>
      <c r="U33" s="6"/>
      <c r="V33" s="9"/>
      <c r="W33" s="4" t="str">
        <f t="shared" si="6"/>
        <v/>
      </c>
      <c r="X33" s="3" t="str">
        <f>IFERROR(VLOOKUP(V33,Auxiliar!$T$3:$X$367,5,FALSE),"")</f>
        <v/>
      </c>
      <c r="AA33" s="42" t="str">
        <f>C3&amp;" ("&amp;Auxiliar!G3&amp;")"</f>
        <v>Valor Médio Indezinado (R$)</v>
      </c>
      <c r="AB33" s="42"/>
      <c r="AC33" s="42"/>
    </row>
    <row r="34" spans="1:31" x14ac:dyDescent="0.35">
      <c r="A34" s="2"/>
      <c r="B34" s="18"/>
      <c r="S34" s="5"/>
      <c r="T34" s="5"/>
      <c r="U34" s="6"/>
      <c r="V34" s="9"/>
      <c r="W34" s="4" t="str">
        <f t="shared" si="6"/>
        <v/>
      </c>
      <c r="X34" s="3" t="str">
        <f>IFERROR(VLOOKUP(V34,Auxiliar!$T$3:$X$367,5,FALSE),"")</f>
        <v/>
      </c>
      <c r="AA34" s="42"/>
      <c r="AB34" s="42"/>
      <c r="AC34" s="42"/>
    </row>
    <row r="35" spans="1:31" x14ac:dyDescent="0.35">
      <c r="A35" s="2"/>
      <c r="S35" s="5"/>
      <c r="T35" s="5"/>
      <c r="U35" s="6"/>
      <c r="V35" s="9"/>
      <c r="W35" s="4" t="str">
        <f t="shared" si="6"/>
        <v/>
      </c>
      <c r="X35" s="3" t="str">
        <f>IFERROR(VLOOKUP(V35,Auxiliar!$T$3:$X$367,5,FALSE),"")</f>
        <v/>
      </c>
      <c r="AA35" s="38" t="str">
        <f>C4</f>
        <v>Valor Total das Indenizações / Núm. Processos Trabalhistas Recebidos</v>
      </c>
      <c r="AB35" s="38"/>
      <c r="AC35" s="38"/>
      <c r="AE35" s="12" t="str">
        <f>IF(C6="Baixo","(","&amp;")</f>
        <v>(</v>
      </c>
    </row>
    <row r="36" spans="1:31" x14ac:dyDescent="0.35">
      <c r="A36" s="2"/>
      <c r="S36" s="5"/>
      <c r="T36" s="5"/>
      <c r="U36" s="6"/>
      <c r="V36" s="9"/>
      <c r="W36" s="4" t="str">
        <f t="shared" si="6"/>
        <v/>
      </c>
      <c r="X36" s="3" t="str">
        <f>IFERROR(VLOOKUP(V36,Auxiliar!$T$3:$X$367,5,FALSE),"")</f>
        <v/>
      </c>
    </row>
    <row r="37" spans="1:31" ht="14.4" customHeight="1" x14ac:dyDescent="0.35">
      <c r="A37" s="2"/>
      <c r="S37" s="5"/>
      <c r="T37" s="5"/>
      <c r="U37" s="6"/>
      <c r="V37" s="9"/>
      <c r="W37" s="4" t="str">
        <f t="shared" si="6"/>
        <v/>
      </c>
      <c r="X37" s="3" t="str">
        <f>IFERROR(VLOOKUP(V37,Auxiliar!$T$3:$X$367,5,FALSE),"")</f>
        <v/>
      </c>
    </row>
    <row r="38" spans="1:31" ht="14.4" customHeight="1" x14ac:dyDescent="0.35">
      <c r="A38" s="2"/>
      <c r="S38" s="5"/>
      <c r="T38" s="5"/>
      <c r="U38" s="6"/>
      <c r="V38" s="9"/>
      <c r="W38" s="4" t="str">
        <f t="shared" si="6"/>
        <v/>
      </c>
      <c r="X38" s="3" t="str">
        <f>IFERROR(VLOOKUP(V38,Auxiliar!$T$3:$X$367,5,FALSE),"")</f>
        <v/>
      </c>
    </row>
    <row r="39" spans="1:31" ht="14.4" customHeight="1" x14ac:dyDescent="0.35">
      <c r="A39" s="2"/>
      <c r="S39" s="5"/>
      <c r="T39" s="5"/>
      <c r="U39" s="6"/>
      <c r="V39" s="9"/>
      <c r="W39" s="4" t="str">
        <f t="shared" si="6"/>
        <v/>
      </c>
      <c r="X39" s="3" t="str">
        <f>IFERROR(VLOOKUP(V39,Auxiliar!$T$3:$X$367,5,FALSE),"")</f>
        <v/>
      </c>
    </row>
    <row r="40" spans="1:31" x14ac:dyDescent="0.35">
      <c r="A40" s="2"/>
      <c r="S40" s="5"/>
      <c r="T40" s="5"/>
      <c r="U40" s="6"/>
      <c r="V40" s="9"/>
      <c r="W40" s="4" t="str">
        <f t="shared" si="6"/>
        <v/>
      </c>
      <c r="X40" s="3" t="str">
        <f>IFERROR(VLOOKUP(V40,Auxiliar!$T$3:$X$367,5,FALSE),"")</f>
        <v/>
      </c>
    </row>
    <row r="41" spans="1:31" x14ac:dyDescent="0.35">
      <c r="A41" s="2"/>
      <c r="S41" s="5"/>
      <c r="T41" s="5"/>
      <c r="U41" s="6"/>
      <c r="V41" s="9"/>
      <c r="W41" s="4" t="str">
        <f t="shared" si="6"/>
        <v/>
      </c>
      <c r="X41" s="3" t="str">
        <f>IFERROR(VLOOKUP(V41,Auxiliar!$T$3:$X$367,5,FALSE),"")</f>
        <v/>
      </c>
    </row>
    <row r="42" spans="1:31" x14ac:dyDescent="0.35">
      <c r="A42" s="2"/>
      <c r="S42" s="5"/>
      <c r="T42" s="5"/>
      <c r="U42" s="6"/>
      <c r="V42" s="9"/>
      <c r="W42" s="4" t="str">
        <f t="shared" si="6"/>
        <v/>
      </c>
      <c r="X42" s="3" t="str">
        <f>IFERROR(VLOOKUP(V42,Auxiliar!$T$3:$X$367,5,FALSE),"")</f>
        <v/>
      </c>
    </row>
    <row r="43" spans="1:31" x14ac:dyDescent="0.35">
      <c r="A43" s="2"/>
      <c r="S43" s="5"/>
      <c r="T43" s="5"/>
      <c r="U43" s="6"/>
      <c r="V43" s="9"/>
      <c r="W43" s="4" t="str">
        <f t="shared" si="6"/>
        <v/>
      </c>
      <c r="X43" s="3" t="str">
        <f>IFERROR(VLOOKUP(V43,Auxiliar!$T$3:$X$367,5,FALSE),"")</f>
        <v/>
      </c>
    </row>
    <row r="44" spans="1:31" x14ac:dyDescent="0.35">
      <c r="A44" s="2"/>
      <c r="S44" s="5"/>
      <c r="T44" s="5"/>
      <c r="U44" s="6"/>
      <c r="V44" s="9"/>
      <c r="W44" s="4" t="str">
        <f t="shared" si="6"/>
        <v/>
      </c>
      <c r="X44" s="3" t="str">
        <f>IFERROR(VLOOKUP(V44,Auxiliar!$T$3:$X$367,5,FALSE),"")</f>
        <v/>
      </c>
    </row>
    <row r="45" spans="1:31" x14ac:dyDescent="0.35">
      <c r="A45" s="2"/>
      <c r="S45" s="5"/>
      <c r="T45" s="5"/>
      <c r="U45" s="6"/>
      <c r="V45" s="9"/>
      <c r="W45" s="4" t="str">
        <f t="shared" si="6"/>
        <v/>
      </c>
      <c r="X45" s="3" t="str">
        <f>IFERROR(VLOOKUP(V45,Auxiliar!$T$3:$X$367,5,FALSE),"")</f>
        <v/>
      </c>
    </row>
    <row r="46" spans="1:31" x14ac:dyDescent="0.35">
      <c r="A46" s="2"/>
      <c r="S46" s="5"/>
      <c r="T46" s="5"/>
      <c r="U46" s="6"/>
      <c r="V46" s="9"/>
      <c r="W46" s="4" t="str">
        <f t="shared" si="6"/>
        <v/>
      </c>
      <c r="X46" s="3" t="str">
        <f>IFERROR(VLOOKUP(V46,Auxiliar!$T$3:$X$367,5,FALSE),"")</f>
        <v/>
      </c>
    </row>
    <row r="47" spans="1:31" x14ac:dyDescent="0.35">
      <c r="A47" s="2"/>
      <c r="S47" s="5"/>
      <c r="T47" s="5"/>
      <c r="U47" s="6"/>
      <c r="V47" s="9"/>
      <c r="W47" s="4" t="str">
        <f t="shared" si="6"/>
        <v/>
      </c>
      <c r="X47" s="3" t="str">
        <f>IFERROR(VLOOKUP(V47,Auxiliar!$T$3:$X$367,5,FALSE),"")</f>
        <v/>
      </c>
    </row>
    <row r="48" spans="1:31" x14ac:dyDescent="0.35">
      <c r="A48" s="2"/>
      <c r="S48" s="5"/>
      <c r="T48" s="5"/>
      <c r="U48" s="6"/>
      <c r="V48" s="9"/>
      <c r="W48" s="4" t="str">
        <f t="shared" si="6"/>
        <v/>
      </c>
      <c r="X48" s="3" t="str">
        <f>IFERROR(VLOOKUP(V48,Auxiliar!$T$3:$X$367,5,FALSE),"")</f>
        <v/>
      </c>
    </row>
    <row r="49" spans="1:24" x14ac:dyDescent="0.35">
      <c r="A49" s="2"/>
      <c r="S49" s="5"/>
      <c r="T49" s="5"/>
      <c r="U49" s="6"/>
      <c r="V49" s="9"/>
      <c r="W49" s="4" t="str">
        <f t="shared" si="6"/>
        <v/>
      </c>
      <c r="X49" s="3" t="str">
        <f>IFERROR(VLOOKUP(V49,Auxiliar!$T$3:$X$367,5,FALSE),"")</f>
        <v/>
      </c>
    </row>
    <row r="50" spans="1:24" x14ac:dyDescent="0.35">
      <c r="A50" s="2"/>
      <c r="S50" s="5"/>
      <c r="T50" s="5"/>
      <c r="U50" s="6"/>
      <c r="V50" s="9"/>
      <c r="W50" s="4" t="str">
        <f t="shared" si="6"/>
        <v/>
      </c>
      <c r="X50" s="3" t="str">
        <f>IFERROR(VLOOKUP(V50,Auxiliar!$T$3:$X$367,5,FALSE),"")</f>
        <v/>
      </c>
    </row>
    <row r="51" spans="1:24" x14ac:dyDescent="0.35">
      <c r="A51" s="2"/>
      <c r="S51" s="5"/>
      <c r="T51" s="5"/>
      <c r="U51" s="6"/>
      <c r="V51" s="9"/>
      <c r="W51" s="4" t="str">
        <f t="shared" si="6"/>
        <v/>
      </c>
      <c r="X51" s="3" t="str">
        <f>IFERROR(VLOOKUP(V51,Auxiliar!$T$3:$X$367,5,FALSE),"")</f>
        <v/>
      </c>
    </row>
    <row r="52" spans="1:24" x14ac:dyDescent="0.35">
      <c r="A52" s="2"/>
      <c r="S52" s="5"/>
      <c r="T52" s="5"/>
      <c r="U52" s="6"/>
      <c r="V52" s="9"/>
      <c r="W52" s="4" t="str">
        <f t="shared" si="6"/>
        <v/>
      </c>
      <c r="X52" s="3" t="str">
        <f>IFERROR(VLOOKUP(V52,Auxiliar!$T$3:$X$367,5,FALSE),"")</f>
        <v/>
      </c>
    </row>
    <row r="53" spans="1:24" x14ac:dyDescent="0.35">
      <c r="A53" s="2"/>
      <c r="S53" s="5"/>
      <c r="T53" s="5"/>
      <c r="U53" s="6"/>
      <c r="V53" s="9"/>
      <c r="W53" s="4" t="str">
        <f t="shared" si="6"/>
        <v/>
      </c>
      <c r="X53" s="3" t="str">
        <f>IFERROR(VLOOKUP(V53,Auxiliar!$T$3:$X$367,5,FALSE),"")</f>
        <v/>
      </c>
    </row>
    <row r="54" spans="1:24" x14ac:dyDescent="0.35">
      <c r="A54" s="2"/>
      <c r="S54" s="5"/>
      <c r="T54" s="5"/>
      <c r="U54" s="6"/>
      <c r="V54" s="9"/>
      <c r="W54" s="4" t="str">
        <f t="shared" si="6"/>
        <v/>
      </c>
      <c r="X54" s="3" t="str">
        <f>IFERROR(VLOOKUP(V54,Auxiliar!$T$3:$X$367,5,FALSE),"")</f>
        <v/>
      </c>
    </row>
    <row r="55" spans="1:24" x14ac:dyDescent="0.35">
      <c r="A55" s="2"/>
      <c r="S55" s="5"/>
      <c r="T55" s="5"/>
      <c r="U55" s="6"/>
      <c r="V55" s="9"/>
      <c r="W55" s="4" t="str">
        <f t="shared" si="6"/>
        <v/>
      </c>
      <c r="X55" s="3" t="str">
        <f>IFERROR(VLOOKUP(V55,Auxiliar!$T$3:$X$367,5,FALSE),"")</f>
        <v/>
      </c>
    </row>
    <row r="56" spans="1:24" x14ac:dyDescent="0.35">
      <c r="A56" s="2"/>
      <c r="S56" s="5"/>
      <c r="T56" s="5"/>
      <c r="U56" s="6"/>
      <c r="V56" s="5"/>
      <c r="W56" s="4" t="str">
        <f t="shared" si="6"/>
        <v/>
      </c>
      <c r="X56" s="3" t="str">
        <f>IFERROR(VLOOKUP(V56,Auxiliar!$T$3:$X$367,5,FALSE),"")</f>
        <v/>
      </c>
    </row>
    <row r="57" spans="1:24" x14ac:dyDescent="0.35">
      <c r="A57" s="2"/>
      <c r="S57" s="5"/>
      <c r="T57" s="5"/>
      <c r="U57" s="6"/>
      <c r="V57" s="5"/>
      <c r="W57" s="4" t="str">
        <f t="shared" si="6"/>
        <v/>
      </c>
      <c r="X57" s="3" t="str">
        <f>IFERROR(VLOOKUP(V57,Auxiliar!$T$3:$X$367,5,FALSE),"")</f>
        <v/>
      </c>
    </row>
    <row r="58" spans="1:24" x14ac:dyDescent="0.35">
      <c r="A58" s="2"/>
      <c r="S58" s="5"/>
      <c r="T58" s="5"/>
      <c r="U58" s="6"/>
      <c r="V58" s="5"/>
      <c r="W58" s="4" t="str">
        <f t="shared" si="6"/>
        <v/>
      </c>
      <c r="X58" s="3" t="str">
        <f>IFERROR(VLOOKUP(V58,Auxiliar!$T$3:$X$367,5,FALSE),"")</f>
        <v/>
      </c>
    </row>
    <row r="59" spans="1:24" x14ac:dyDescent="0.35">
      <c r="A59" s="2"/>
      <c r="S59" s="5"/>
      <c r="T59" s="5"/>
      <c r="U59" s="6"/>
      <c r="V59" s="5"/>
      <c r="W59" s="4" t="str">
        <f t="shared" si="6"/>
        <v/>
      </c>
      <c r="X59" s="3" t="str">
        <f>IFERROR(VLOOKUP(V59,Auxiliar!$T$3:$X$367,5,FALSE),"")</f>
        <v/>
      </c>
    </row>
    <row r="60" spans="1:24" x14ac:dyDescent="0.35">
      <c r="A60" s="2"/>
      <c r="S60" s="5"/>
      <c r="T60" s="5"/>
      <c r="U60" s="6"/>
      <c r="V60" s="5"/>
      <c r="W60" s="4" t="str">
        <f t="shared" si="6"/>
        <v/>
      </c>
      <c r="X60" s="3" t="str">
        <f>IFERROR(VLOOKUP(V60,Auxiliar!$T$3:$X$367,5,FALSE),"")</f>
        <v/>
      </c>
    </row>
    <row r="61" spans="1:24" x14ac:dyDescent="0.35">
      <c r="A61" s="2"/>
      <c r="S61" s="5"/>
      <c r="T61" s="5"/>
      <c r="U61" s="6"/>
      <c r="V61" s="5"/>
      <c r="W61" s="4" t="str">
        <f t="shared" si="6"/>
        <v/>
      </c>
      <c r="X61" s="3" t="str">
        <f>IFERROR(VLOOKUP(V61,Auxiliar!$T$3:$X$367,5,FALSE),"")</f>
        <v/>
      </c>
    </row>
    <row r="62" spans="1:24" x14ac:dyDescent="0.35">
      <c r="A62" s="2"/>
      <c r="S62" s="5"/>
      <c r="T62" s="5"/>
      <c r="U62" s="6"/>
      <c r="V62" s="5"/>
      <c r="W62" s="4" t="str">
        <f t="shared" si="6"/>
        <v/>
      </c>
      <c r="X62" s="3" t="str">
        <f>IFERROR(VLOOKUP(V62,Auxiliar!$T$3:$X$367,5,FALSE),"")</f>
        <v/>
      </c>
    </row>
    <row r="63" spans="1:24" x14ac:dyDescent="0.35">
      <c r="A63" s="2"/>
      <c r="S63" s="5"/>
      <c r="T63" s="5"/>
      <c r="U63" s="6"/>
      <c r="V63" s="5"/>
      <c r="W63" s="4" t="str">
        <f t="shared" si="6"/>
        <v/>
      </c>
      <c r="X63" s="3" t="str">
        <f>IFERROR(VLOOKUP(V63,Auxiliar!$T$3:$X$367,5,FALSE),"")</f>
        <v/>
      </c>
    </row>
    <row r="64" spans="1:24" x14ac:dyDescent="0.35">
      <c r="A64" s="2"/>
      <c r="S64" s="5"/>
      <c r="T64" s="5"/>
      <c r="U64" s="6"/>
      <c r="V64" s="5"/>
      <c r="W64" s="4" t="str">
        <f t="shared" si="6"/>
        <v/>
      </c>
      <c r="X64" s="3" t="str">
        <f>IFERROR(VLOOKUP(V64,Auxiliar!$T$3:$X$367,5,FALSE),"")</f>
        <v/>
      </c>
    </row>
    <row r="65" spans="1:24" x14ac:dyDescent="0.35">
      <c r="A65" s="2"/>
      <c r="S65" s="5"/>
      <c r="T65" s="5"/>
      <c r="U65" s="6"/>
      <c r="V65" s="5"/>
      <c r="W65" s="4" t="str">
        <f t="shared" si="6"/>
        <v/>
      </c>
      <c r="X65" s="3" t="str">
        <f>IFERROR(VLOOKUP(V65,Auxiliar!$T$3:$X$367,5,FALSE),"")</f>
        <v/>
      </c>
    </row>
    <row r="66" spans="1:24" x14ac:dyDescent="0.35">
      <c r="A66" s="2"/>
      <c r="S66" s="5"/>
      <c r="T66" s="5"/>
      <c r="U66" s="6"/>
      <c r="V66" s="5"/>
      <c r="W66" s="4" t="str">
        <f t="shared" si="6"/>
        <v/>
      </c>
      <c r="X66" s="3" t="str">
        <f>IFERROR(VLOOKUP(V66,Auxiliar!$T$3:$X$367,5,FALSE),"")</f>
        <v/>
      </c>
    </row>
    <row r="67" spans="1:24" x14ac:dyDescent="0.35">
      <c r="A67" s="2"/>
      <c r="S67" s="5"/>
      <c r="T67" s="5"/>
      <c r="U67" s="6"/>
      <c r="V67" s="5"/>
      <c r="W67" s="4" t="str">
        <f t="shared" si="6"/>
        <v/>
      </c>
      <c r="X67" s="3" t="str">
        <f>IFERROR(VLOOKUP(V67,Auxiliar!$T$3:$X$367,5,FALSE),"")</f>
        <v/>
      </c>
    </row>
    <row r="68" spans="1:24" x14ac:dyDescent="0.35">
      <c r="A68" s="2"/>
      <c r="S68" s="5"/>
      <c r="T68" s="5"/>
      <c r="U68" s="6"/>
      <c r="V68" s="5"/>
      <c r="W68" s="4" t="str">
        <f t="shared" si="6"/>
        <v/>
      </c>
      <c r="X68" s="3" t="str">
        <f>IFERROR(VLOOKUP(V68,Auxiliar!$T$3:$X$367,5,FALSE),"")</f>
        <v/>
      </c>
    </row>
    <row r="69" spans="1:24" x14ac:dyDescent="0.35">
      <c r="A69" s="2"/>
      <c r="S69" s="5"/>
      <c r="T69" s="5"/>
      <c r="U69" s="6"/>
      <c r="V69" s="5"/>
      <c r="W69" s="4" t="str">
        <f t="shared" si="6"/>
        <v/>
      </c>
      <c r="X69" s="3" t="str">
        <f>IFERROR(VLOOKUP(V69,Auxiliar!$T$3:$X$367,5,FALSE),"")</f>
        <v/>
      </c>
    </row>
    <row r="70" spans="1:24" x14ac:dyDescent="0.35">
      <c r="A70" s="2"/>
      <c r="S70" s="5"/>
      <c r="T70" s="5"/>
      <c r="U70" s="6"/>
      <c r="V70" s="5"/>
      <c r="W70" s="4" t="str">
        <f t="shared" ref="W70:W133" si="8">IF(V70="","",DATE(YEAR(V70),MONTH(V70),1))</f>
        <v/>
      </c>
      <c r="X70" s="3" t="str">
        <f>IFERROR(VLOOKUP(V70,Auxiliar!$T$3:$X$367,5,FALSE),"")</f>
        <v/>
      </c>
    </row>
    <row r="71" spans="1:24" x14ac:dyDescent="0.35">
      <c r="A71" s="2"/>
      <c r="S71" s="5"/>
      <c r="T71" s="5"/>
      <c r="U71" s="6"/>
      <c r="V71" s="5"/>
      <c r="W71" s="4" t="str">
        <f t="shared" si="8"/>
        <v/>
      </c>
      <c r="X71" s="3" t="str">
        <f>IFERROR(VLOOKUP(V71,Auxiliar!$T$3:$X$367,5,FALSE),"")</f>
        <v/>
      </c>
    </row>
    <row r="72" spans="1:24" x14ac:dyDescent="0.35">
      <c r="A72" s="2"/>
      <c r="S72" s="5"/>
      <c r="T72" s="5"/>
      <c r="U72" s="6"/>
      <c r="V72" s="5"/>
      <c r="W72" s="4" t="str">
        <f t="shared" si="8"/>
        <v/>
      </c>
      <c r="X72" s="3" t="str">
        <f>IFERROR(VLOOKUP(V72,Auxiliar!$T$3:$X$367,5,FALSE),"")</f>
        <v/>
      </c>
    </row>
    <row r="73" spans="1:24" x14ac:dyDescent="0.35">
      <c r="A73" s="2"/>
      <c r="S73" s="5"/>
      <c r="T73" s="5"/>
      <c r="U73" s="6"/>
      <c r="V73" s="5"/>
      <c r="W73" s="4" t="str">
        <f t="shared" si="8"/>
        <v/>
      </c>
      <c r="X73" s="3" t="str">
        <f>IFERROR(VLOOKUP(V73,Auxiliar!$T$3:$X$367,5,FALSE),"")</f>
        <v/>
      </c>
    </row>
    <row r="74" spans="1:24" x14ac:dyDescent="0.35">
      <c r="A74" s="2"/>
      <c r="S74" s="5"/>
      <c r="T74" s="5"/>
      <c r="U74" s="6"/>
      <c r="V74" s="5"/>
      <c r="W74" s="4" t="str">
        <f t="shared" si="8"/>
        <v/>
      </c>
      <c r="X74" s="3" t="str">
        <f>IFERROR(VLOOKUP(V74,Auxiliar!$T$3:$X$367,5,FALSE),"")</f>
        <v/>
      </c>
    </row>
    <row r="75" spans="1:24" x14ac:dyDescent="0.35">
      <c r="A75" s="2"/>
      <c r="S75" s="5"/>
      <c r="T75" s="5"/>
      <c r="U75" s="6"/>
      <c r="V75" s="5"/>
      <c r="W75" s="4" t="str">
        <f t="shared" si="8"/>
        <v/>
      </c>
      <c r="X75" s="3" t="str">
        <f>IFERROR(VLOOKUP(V75,Auxiliar!$T$3:$X$367,5,FALSE),"")</f>
        <v/>
      </c>
    </row>
    <row r="76" spans="1:24" x14ac:dyDescent="0.35">
      <c r="A76" s="2"/>
      <c r="S76" s="5"/>
      <c r="T76" s="5"/>
      <c r="U76" s="6"/>
      <c r="V76" s="5"/>
      <c r="W76" s="4" t="str">
        <f t="shared" si="8"/>
        <v/>
      </c>
      <c r="X76" s="3" t="str">
        <f>IFERROR(VLOOKUP(V76,Auxiliar!$T$3:$X$367,5,FALSE),"")</f>
        <v/>
      </c>
    </row>
    <row r="77" spans="1:24" x14ac:dyDescent="0.35">
      <c r="A77" s="2"/>
      <c r="S77" s="5"/>
      <c r="T77" s="5"/>
      <c r="U77" s="6"/>
      <c r="V77" s="5"/>
      <c r="W77" s="4" t="str">
        <f t="shared" si="8"/>
        <v/>
      </c>
      <c r="X77" s="3" t="str">
        <f>IFERROR(VLOOKUP(V77,Auxiliar!$T$3:$X$367,5,FALSE),"")</f>
        <v/>
      </c>
    </row>
    <row r="78" spans="1:24" x14ac:dyDescent="0.35">
      <c r="A78" s="2"/>
      <c r="S78" s="5"/>
      <c r="T78" s="5"/>
      <c r="U78" s="6"/>
      <c r="V78" s="5"/>
      <c r="W78" s="4" t="str">
        <f t="shared" si="8"/>
        <v/>
      </c>
      <c r="X78" s="3" t="str">
        <f>IFERROR(VLOOKUP(V78,Auxiliar!$T$3:$X$367,5,FALSE),"")</f>
        <v/>
      </c>
    </row>
    <row r="79" spans="1:24" x14ac:dyDescent="0.35">
      <c r="A79" s="2"/>
      <c r="S79" s="5"/>
      <c r="T79" s="5"/>
      <c r="U79" s="6"/>
      <c r="V79" s="5"/>
      <c r="W79" s="4" t="str">
        <f t="shared" si="8"/>
        <v/>
      </c>
      <c r="X79" s="3" t="str">
        <f>IFERROR(VLOOKUP(V79,Auxiliar!$T$3:$X$367,5,FALSE),"")</f>
        <v/>
      </c>
    </row>
    <row r="80" spans="1:24" x14ac:dyDescent="0.35">
      <c r="A80" s="2"/>
      <c r="S80" s="5"/>
      <c r="T80" s="5"/>
      <c r="U80" s="6"/>
      <c r="V80" s="5"/>
      <c r="W80" s="4" t="str">
        <f t="shared" si="8"/>
        <v/>
      </c>
      <c r="X80" s="3" t="str">
        <f>IFERROR(VLOOKUP(V80,Auxiliar!$T$3:$X$367,5,FALSE),"")</f>
        <v/>
      </c>
    </row>
    <row r="81" spans="1:24" x14ac:dyDescent="0.35">
      <c r="A81" s="2"/>
      <c r="S81" s="5"/>
      <c r="T81" s="5"/>
      <c r="U81" s="6"/>
      <c r="V81" s="5"/>
      <c r="W81" s="4" t="str">
        <f t="shared" si="8"/>
        <v/>
      </c>
      <c r="X81" s="3" t="str">
        <f>IFERROR(VLOOKUP(V81,Auxiliar!$T$3:$X$367,5,FALSE),"")</f>
        <v/>
      </c>
    </row>
    <row r="82" spans="1:24" x14ac:dyDescent="0.35">
      <c r="A82" s="2"/>
      <c r="S82" s="5"/>
      <c r="T82" s="5"/>
      <c r="U82" s="6"/>
      <c r="V82" s="5"/>
      <c r="W82" s="4" t="str">
        <f t="shared" si="8"/>
        <v/>
      </c>
      <c r="X82" s="3" t="str">
        <f>IFERROR(VLOOKUP(V82,Auxiliar!$T$3:$X$367,5,FALSE),"")</f>
        <v/>
      </c>
    </row>
    <row r="83" spans="1:24" x14ac:dyDescent="0.35">
      <c r="A83" s="2"/>
      <c r="S83" s="5"/>
      <c r="T83" s="5"/>
      <c r="U83" s="6"/>
      <c r="V83" s="5"/>
      <c r="W83" s="4" t="str">
        <f t="shared" si="8"/>
        <v/>
      </c>
      <c r="X83" s="3" t="str">
        <f>IFERROR(VLOOKUP(V83,Auxiliar!$T$3:$X$367,5,FALSE),"")</f>
        <v/>
      </c>
    </row>
    <row r="84" spans="1:24" x14ac:dyDescent="0.35">
      <c r="A84" s="2"/>
      <c r="S84" s="5"/>
      <c r="T84" s="5"/>
      <c r="U84" s="6"/>
      <c r="V84" s="5"/>
      <c r="W84" s="4" t="str">
        <f t="shared" si="8"/>
        <v/>
      </c>
      <c r="X84" s="3" t="str">
        <f>IFERROR(VLOOKUP(V84,Auxiliar!$T$3:$X$367,5,FALSE),"")</f>
        <v/>
      </c>
    </row>
    <row r="85" spans="1:24" x14ac:dyDescent="0.35">
      <c r="A85" s="2"/>
      <c r="S85" s="5"/>
      <c r="T85" s="5"/>
      <c r="U85" s="6"/>
      <c r="V85" s="5"/>
      <c r="W85" s="4" t="str">
        <f t="shared" si="8"/>
        <v/>
      </c>
      <c r="X85" s="3" t="str">
        <f>IFERROR(VLOOKUP(V85,Auxiliar!$T$3:$X$367,5,FALSE),"")</f>
        <v/>
      </c>
    </row>
    <row r="86" spans="1:24" x14ac:dyDescent="0.35">
      <c r="A86" s="2"/>
      <c r="S86" s="5"/>
      <c r="T86" s="5"/>
      <c r="U86" s="6"/>
      <c r="V86" s="5"/>
      <c r="W86" s="4" t="str">
        <f t="shared" si="8"/>
        <v/>
      </c>
      <c r="X86" s="3" t="str">
        <f>IFERROR(VLOOKUP(V86,Auxiliar!$T$3:$X$367,5,FALSE),"")</f>
        <v/>
      </c>
    </row>
    <row r="87" spans="1:24" x14ac:dyDescent="0.35">
      <c r="A87" s="2"/>
      <c r="S87" s="5"/>
      <c r="T87" s="5"/>
      <c r="U87" s="6"/>
      <c r="V87" s="5"/>
      <c r="W87" s="4" t="str">
        <f t="shared" si="8"/>
        <v/>
      </c>
      <c r="X87" s="3" t="str">
        <f>IFERROR(VLOOKUP(V87,Auxiliar!$T$3:$X$367,5,FALSE),"")</f>
        <v/>
      </c>
    </row>
    <row r="88" spans="1:24" x14ac:dyDescent="0.35">
      <c r="A88" s="2"/>
      <c r="S88" s="5"/>
      <c r="T88" s="5"/>
      <c r="U88" s="6"/>
      <c r="V88" s="5"/>
      <c r="W88" s="4" t="str">
        <f t="shared" si="8"/>
        <v/>
      </c>
      <c r="X88" s="3" t="str">
        <f>IFERROR(VLOOKUP(V88,Auxiliar!$T$3:$X$367,5,FALSE),"")</f>
        <v/>
      </c>
    </row>
    <row r="89" spans="1:24" x14ac:dyDescent="0.35">
      <c r="A89" s="2"/>
      <c r="S89" s="5"/>
      <c r="T89" s="5"/>
      <c r="U89" s="6"/>
      <c r="V89" s="5"/>
      <c r="W89" s="4" t="str">
        <f t="shared" si="8"/>
        <v/>
      </c>
      <c r="X89" s="3" t="str">
        <f>IFERROR(VLOOKUP(V89,Auxiliar!$T$3:$X$367,5,FALSE),"")</f>
        <v/>
      </c>
    </row>
    <row r="90" spans="1:24" x14ac:dyDescent="0.35">
      <c r="A90" s="2"/>
      <c r="S90" s="5"/>
      <c r="T90" s="5"/>
      <c r="U90" s="6"/>
      <c r="V90" s="5"/>
      <c r="W90" s="4" t="str">
        <f t="shared" si="8"/>
        <v/>
      </c>
      <c r="X90" s="3" t="str">
        <f>IFERROR(VLOOKUP(V90,Auxiliar!$T$3:$X$367,5,FALSE),"")</f>
        <v/>
      </c>
    </row>
    <row r="91" spans="1:24" x14ac:dyDescent="0.35">
      <c r="A91" s="2"/>
      <c r="S91" s="5"/>
      <c r="T91" s="5"/>
      <c r="U91" s="6"/>
      <c r="V91" s="5"/>
      <c r="W91" s="4" t="str">
        <f t="shared" si="8"/>
        <v/>
      </c>
      <c r="X91" s="3" t="str">
        <f>IFERROR(VLOOKUP(V91,Auxiliar!$T$3:$X$367,5,FALSE),"")</f>
        <v/>
      </c>
    </row>
    <row r="92" spans="1:24" x14ac:dyDescent="0.35">
      <c r="A92" s="2"/>
      <c r="S92" s="5"/>
      <c r="T92" s="5"/>
      <c r="U92" s="6"/>
      <c r="V92" s="5"/>
      <c r="W92" s="4" t="str">
        <f t="shared" si="8"/>
        <v/>
      </c>
      <c r="X92" s="3" t="str">
        <f>IFERROR(VLOOKUP(V92,Auxiliar!$T$3:$X$367,5,FALSE),"")</f>
        <v/>
      </c>
    </row>
    <row r="93" spans="1:24" x14ac:dyDescent="0.35">
      <c r="A93" s="2"/>
      <c r="S93" s="5"/>
      <c r="T93" s="5"/>
      <c r="U93" s="6"/>
      <c r="V93" s="5"/>
      <c r="W93" s="4" t="str">
        <f t="shared" si="8"/>
        <v/>
      </c>
      <c r="X93" s="3" t="str">
        <f>IFERROR(VLOOKUP(V93,Auxiliar!$T$3:$X$367,5,FALSE),"")</f>
        <v/>
      </c>
    </row>
    <row r="94" spans="1:24" x14ac:dyDescent="0.35">
      <c r="A94" s="2"/>
      <c r="S94" s="5"/>
      <c r="T94" s="5"/>
      <c r="U94" s="6"/>
      <c r="V94" s="5"/>
      <c r="W94" s="4" t="str">
        <f t="shared" si="8"/>
        <v/>
      </c>
      <c r="X94" s="3" t="str">
        <f>IFERROR(VLOOKUP(V94,Auxiliar!$T$3:$X$367,5,FALSE),"")</f>
        <v/>
      </c>
    </row>
    <row r="95" spans="1:24" x14ac:dyDescent="0.35">
      <c r="A95" s="2"/>
      <c r="S95" s="5"/>
      <c r="T95" s="5"/>
      <c r="U95" s="6"/>
      <c r="V95" s="5"/>
      <c r="W95" s="4" t="str">
        <f t="shared" si="8"/>
        <v/>
      </c>
      <c r="X95" s="3" t="str">
        <f>IFERROR(VLOOKUP(V95,Auxiliar!$T$3:$X$367,5,FALSE),"")</f>
        <v/>
      </c>
    </row>
    <row r="96" spans="1:24" x14ac:dyDescent="0.35">
      <c r="A96" s="2"/>
      <c r="S96" s="5"/>
      <c r="T96" s="5"/>
      <c r="U96" s="6"/>
      <c r="V96" s="5"/>
      <c r="W96" s="4" t="str">
        <f t="shared" si="8"/>
        <v/>
      </c>
      <c r="X96" s="3" t="str">
        <f>IFERROR(VLOOKUP(V96,Auxiliar!$T$3:$X$367,5,FALSE),"")</f>
        <v/>
      </c>
    </row>
    <row r="97" spans="1:24" x14ac:dyDescent="0.35">
      <c r="A97" s="2"/>
      <c r="S97" s="5"/>
      <c r="T97" s="5"/>
      <c r="U97" s="6"/>
      <c r="V97" s="5"/>
      <c r="W97" s="4" t="str">
        <f t="shared" si="8"/>
        <v/>
      </c>
      <c r="X97" s="3" t="str">
        <f>IFERROR(VLOOKUP(V97,Auxiliar!$T$3:$X$367,5,FALSE),"")</f>
        <v/>
      </c>
    </row>
    <row r="98" spans="1:24" x14ac:dyDescent="0.35">
      <c r="A98" s="2"/>
      <c r="S98" s="5"/>
      <c r="T98" s="5"/>
      <c r="U98" s="6"/>
      <c r="V98" s="5"/>
      <c r="W98" s="4" t="str">
        <f t="shared" si="8"/>
        <v/>
      </c>
      <c r="X98" s="3" t="str">
        <f>IFERROR(VLOOKUP(V98,Auxiliar!$T$3:$X$367,5,FALSE),"")</f>
        <v/>
      </c>
    </row>
    <row r="99" spans="1:24" x14ac:dyDescent="0.35">
      <c r="A99" s="2"/>
      <c r="S99" s="5"/>
      <c r="T99" s="5"/>
      <c r="U99" s="6"/>
      <c r="V99" s="5"/>
      <c r="W99" s="4" t="str">
        <f t="shared" si="8"/>
        <v/>
      </c>
      <c r="X99" s="3" t="str">
        <f>IFERROR(VLOOKUP(V99,Auxiliar!$T$3:$X$367,5,FALSE),"")</f>
        <v/>
      </c>
    </row>
    <row r="100" spans="1:24" x14ac:dyDescent="0.35">
      <c r="A100" s="2"/>
      <c r="S100" s="5"/>
      <c r="T100" s="5"/>
      <c r="U100" s="6"/>
      <c r="V100" s="5"/>
      <c r="W100" s="4" t="str">
        <f t="shared" si="8"/>
        <v/>
      </c>
      <c r="X100" s="3" t="str">
        <f>IFERROR(VLOOKUP(V100,Auxiliar!$T$3:$X$367,5,FALSE),"")</f>
        <v/>
      </c>
    </row>
    <row r="101" spans="1:24" x14ac:dyDescent="0.35">
      <c r="A101" s="2"/>
      <c r="S101" s="5"/>
      <c r="T101" s="5"/>
      <c r="U101" s="6"/>
      <c r="V101" s="5"/>
      <c r="W101" s="4" t="str">
        <f t="shared" si="8"/>
        <v/>
      </c>
      <c r="X101" s="3" t="str">
        <f>IFERROR(VLOOKUP(V101,Auxiliar!$T$3:$X$367,5,FALSE),"")</f>
        <v/>
      </c>
    </row>
    <row r="102" spans="1:24" x14ac:dyDescent="0.35">
      <c r="A102" s="2"/>
      <c r="S102" s="5"/>
      <c r="T102" s="5"/>
      <c r="U102" s="6"/>
      <c r="V102" s="5"/>
      <c r="W102" s="4" t="str">
        <f t="shared" si="8"/>
        <v/>
      </c>
      <c r="X102" s="3" t="str">
        <f>IFERROR(VLOOKUP(V102,Auxiliar!$T$3:$X$367,5,FALSE),"")</f>
        <v/>
      </c>
    </row>
    <row r="103" spans="1:24" x14ac:dyDescent="0.35">
      <c r="A103" s="2"/>
      <c r="S103" s="5"/>
      <c r="T103" s="5"/>
      <c r="U103" s="6"/>
      <c r="V103" s="5"/>
      <c r="W103" s="4" t="str">
        <f t="shared" si="8"/>
        <v/>
      </c>
      <c r="X103" s="3" t="str">
        <f>IFERROR(VLOOKUP(V103,Auxiliar!$T$3:$X$367,5,FALSE),"")</f>
        <v/>
      </c>
    </row>
    <row r="104" spans="1:24" x14ac:dyDescent="0.35">
      <c r="A104" s="2"/>
      <c r="S104" s="5"/>
      <c r="T104" s="5"/>
      <c r="U104" s="6"/>
      <c r="V104" s="5"/>
      <c r="W104" s="4" t="str">
        <f t="shared" si="8"/>
        <v/>
      </c>
      <c r="X104" s="3" t="str">
        <f>IFERROR(VLOOKUP(V104,Auxiliar!$T$3:$X$367,5,FALSE),"")</f>
        <v/>
      </c>
    </row>
    <row r="105" spans="1:24" x14ac:dyDescent="0.35">
      <c r="A105" s="2"/>
      <c r="S105" s="5"/>
      <c r="T105" s="5"/>
      <c r="U105" s="6"/>
      <c r="V105" s="5"/>
      <c r="W105" s="4" t="str">
        <f t="shared" si="8"/>
        <v/>
      </c>
      <c r="X105" s="3" t="str">
        <f>IFERROR(VLOOKUP(V105,Auxiliar!$T$3:$X$367,5,FALSE),"")</f>
        <v/>
      </c>
    </row>
    <row r="106" spans="1:24" x14ac:dyDescent="0.35">
      <c r="A106" s="2"/>
      <c r="S106" s="5"/>
      <c r="T106" s="5"/>
      <c r="U106" s="6"/>
      <c r="V106" s="5"/>
      <c r="W106" s="4" t="str">
        <f t="shared" si="8"/>
        <v/>
      </c>
      <c r="X106" s="3" t="str">
        <f>IFERROR(VLOOKUP(V106,Auxiliar!$T$3:$X$367,5,FALSE),"")</f>
        <v/>
      </c>
    </row>
    <row r="107" spans="1:24" x14ac:dyDescent="0.35">
      <c r="A107" s="2"/>
      <c r="S107" s="5"/>
      <c r="T107" s="5"/>
      <c r="U107" s="6"/>
      <c r="V107" s="5"/>
      <c r="W107" s="4" t="str">
        <f t="shared" si="8"/>
        <v/>
      </c>
      <c r="X107" s="3" t="str">
        <f>IFERROR(VLOOKUP(V107,Auxiliar!$T$3:$X$367,5,FALSE),"")</f>
        <v/>
      </c>
    </row>
    <row r="108" spans="1:24" x14ac:dyDescent="0.35">
      <c r="A108" s="2"/>
      <c r="S108" s="5"/>
      <c r="T108" s="5"/>
      <c r="U108" s="6"/>
      <c r="V108" s="5"/>
      <c r="W108" s="4" t="str">
        <f t="shared" si="8"/>
        <v/>
      </c>
      <c r="X108" s="3" t="str">
        <f>IFERROR(VLOOKUP(V108,Auxiliar!$T$3:$X$367,5,FALSE),"")</f>
        <v/>
      </c>
    </row>
    <row r="109" spans="1:24" x14ac:dyDescent="0.35">
      <c r="A109" s="2"/>
      <c r="S109" s="5"/>
      <c r="T109" s="5"/>
      <c r="U109" s="6"/>
      <c r="V109" s="5"/>
      <c r="W109" s="4" t="str">
        <f t="shared" si="8"/>
        <v/>
      </c>
      <c r="X109" s="3" t="str">
        <f>IFERROR(VLOOKUP(V109,Auxiliar!$T$3:$X$367,5,FALSE),"")</f>
        <v/>
      </c>
    </row>
    <row r="110" spans="1:24" x14ac:dyDescent="0.35">
      <c r="A110" s="2"/>
      <c r="S110" s="5"/>
      <c r="T110" s="5"/>
      <c r="U110" s="6"/>
      <c r="V110" s="5"/>
      <c r="W110" s="4" t="str">
        <f t="shared" si="8"/>
        <v/>
      </c>
      <c r="X110" s="3" t="str">
        <f>IFERROR(VLOOKUP(V110,Auxiliar!$T$3:$X$367,5,FALSE),"")</f>
        <v/>
      </c>
    </row>
    <row r="111" spans="1:24" x14ac:dyDescent="0.35">
      <c r="A111" s="2"/>
      <c r="S111" s="5"/>
      <c r="T111" s="5"/>
      <c r="U111" s="6"/>
      <c r="V111" s="5"/>
      <c r="W111" s="4" t="str">
        <f t="shared" si="8"/>
        <v/>
      </c>
      <c r="X111" s="3" t="str">
        <f>IFERROR(VLOOKUP(V111,Auxiliar!$T$3:$X$367,5,FALSE),"")</f>
        <v/>
      </c>
    </row>
    <row r="112" spans="1:24" x14ac:dyDescent="0.35">
      <c r="A112" s="2"/>
      <c r="S112" s="5"/>
      <c r="T112" s="5"/>
      <c r="U112" s="6"/>
      <c r="V112" s="5"/>
      <c r="W112" s="4" t="str">
        <f t="shared" si="8"/>
        <v/>
      </c>
      <c r="X112" s="3" t="str">
        <f>IFERROR(VLOOKUP(V112,Auxiliar!$T$3:$X$367,5,FALSE),"")</f>
        <v/>
      </c>
    </row>
    <row r="113" spans="1:24" x14ac:dyDescent="0.35">
      <c r="A113" s="2"/>
      <c r="S113" s="5"/>
      <c r="T113" s="5"/>
      <c r="U113" s="6"/>
      <c r="V113" s="5"/>
      <c r="W113" s="4" t="str">
        <f t="shared" si="8"/>
        <v/>
      </c>
      <c r="X113" s="3" t="str">
        <f>IFERROR(VLOOKUP(V113,Auxiliar!$T$3:$X$367,5,FALSE),"")</f>
        <v/>
      </c>
    </row>
    <row r="114" spans="1:24" x14ac:dyDescent="0.35">
      <c r="A114" s="2"/>
      <c r="S114" s="5"/>
      <c r="T114" s="5"/>
      <c r="U114" s="6"/>
      <c r="V114" s="5"/>
      <c r="W114" s="4" t="str">
        <f t="shared" si="8"/>
        <v/>
      </c>
      <c r="X114" s="3" t="str">
        <f>IFERROR(VLOOKUP(V114,Auxiliar!$T$3:$X$367,5,FALSE),"")</f>
        <v/>
      </c>
    </row>
    <row r="115" spans="1:24" x14ac:dyDescent="0.35">
      <c r="A115" s="2"/>
      <c r="S115" s="5"/>
      <c r="T115" s="5"/>
      <c r="U115" s="6"/>
      <c r="V115" s="5"/>
      <c r="W115" s="4" t="str">
        <f t="shared" si="8"/>
        <v/>
      </c>
      <c r="X115" s="3" t="str">
        <f>IFERROR(VLOOKUP(V115,Auxiliar!$T$3:$X$367,5,FALSE),"")</f>
        <v/>
      </c>
    </row>
    <row r="116" spans="1:24" x14ac:dyDescent="0.35">
      <c r="A116" s="2"/>
      <c r="S116" s="5"/>
      <c r="T116" s="5"/>
      <c r="U116" s="6"/>
      <c r="V116" s="5"/>
      <c r="W116" s="4" t="str">
        <f t="shared" si="8"/>
        <v/>
      </c>
      <c r="X116" s="3" t="str">
        <f>IFERROR(VLOOKUP(V116,Auxiliar!$T$3:$X$367,5,FALSE),"")</f>
        <v/>
      </c>
    </row>
    <row r="117" spans="1:24" x14ac:dyDescent="0.35">
      <c r="A117" s="2"/>
      <c r="S117" s="5"/>
      <c r="T117" s="5"/>
      <c r="U117" s="6"/>
      <c r="V117" s="5"/>
      <c r="W117" s="4" t="str">
        <f t="shared" si="8"/>
        <v/>
      </c>
      <c r="X117" s="3" t="str">
        <f>IFERROR(VLOOKUP(V117,Auxiliar!$T$3:$X$367,5,FALSE),"")</f>
        <v/>
      </c>
    </row>
    <row r="118" spans="1:24" x14ac:dyDescent="0.35">
      <c r="A118" s="2"/>
      <c r="S118" s="5"/>
      <c r="T118" s="5"/>
      <c r="U118" s="6"/>
      <c r="V118" s="5"/>
      <c r="W118" s="4" t="str">
        <f t="shared" si="8"/>
        <v/>
      </c>
      <c r="X118" s="3" t="str">
        <f>IFERROR(VLOOKUP(V118,Auxiliar!$T$3:$X$367,5,FALSE),"")</f>
        <v/>
      </c>
    </row>
    <row r="119" spans="1:24" x14ac:dyDescent="0.35">
      <c r="A119" s="2"/>
      <c r="S119" s="5"/>
      <c r="T119" s="5"/>
      <c r="U119" s="6"/>
      <c r="V119" s="5"/>
      <c r="W119" s="4" t="str">
        <f t="shared" si="8"/>
        <v/>
      </c>
      <c r="X119" s="3" t="str">
        <f>IFERROR(VLOOKUP(V119,Auxiliar!$T$3:$X$367,5,FALSE),"")</f>
        <v/>
      </c>
    </row>
    <row r="120" spans="1:24" x14ac:dyDescent="0.35">
      <c r="A120" s="2"/>
      <c r="S120" s="5"/>
      <c r="T120" s="5"/>
      <c r="U120" s="6"/>
      <c r="V120" s="5"/>
      <c r="W120" s="4" t="str">
        <f t="shared" si="8"/>
        <v/>
      </c>
      <c r="X120" s="3" t="str">
        <f>IFERROR(VLOOKUP(V120,Auxiliar!$T$3:$X$367,5,FALSE),"")</f>
        <v/>
      </c>
    </row>
    <row r="121" spans="1:24" x14ac:dyDescent="0.35">
      <c r="S121" s="5"/>
      <c r="T121" s="5"/>
      <c r="U121" s="6"/>
      <c r="V121" s="5"/>
      <c r="W121" s="4" t="str">
        <f t="shared" si="8"/>
        <v/>
      </c>
      <c r="X121" s="3" t="str">
        <f>IFERROR(VLOOKUP(V121,Auxiliar!$T$3:$X$367,5,FALSE),"")</f>
        <v/>
      </c>
    </row>
    <row r="122" spans="1:24" x14ac:dyDescent="0.35">
      <c r="S122" s="5"/>
      <c r="T122" s="5"/>
      <c r="U122" s="6"/>
      <c r="V122" s="5"/>
      <c r="W122" s="4" t="str">
        <f t="shared" si="8"/>
        <v/>
      </c>
      <c r="X122" s="3" t="str">
        <f>IFERROR(VLOOKUP(V122,Auxiliar!$T$3:$X$367,5,FALSE),"")</f>
        <v/>
      </c>
    </row>
    <row r="123" spans="1:24" x14ac:dyDescent="0.35">
      <c r="S123" s="5"/>
      <c r="T123" s="5"/>
      <c r="U123" s="6"/>
      <c r="V123" s="5"/>
      <c r="W123" s="4" t="str">
        <f t="shared" si="8"/>
        <v/>
      </c>
      <c r="X123" s="3" t="str">
        <f>IFERROR(VLOOKUP(V123,Auxiliar!$T$3:$X$367,5,FALSE),"")</f>
        <v/>
      </c>
    </row>
    <row r="124" spans="1:24" x14ac:dyDescent="0.35">
      <c r="S124" s="5"/>
      <c r="T124" s="5"/>
      <c r="U124" s="6"/>
      <c r="V124" s="5"/>
      <c r="W124" s="4" t="str">
        <f t="shared" si="8"/>
        <v/>
      </c>
      <c r="X124" s="3" t="str">
        <f>IFERROR(VLOOKUP(V124,Auxiliar!$T$3:$X$367,5,FALSE),"")</f>
        <v/>
      </c>
    </row>
    <row r="125" spans="1:24" x14ac:dyDescent="0.35">
      <c r="S125" s="5"/>
      <c r="T125" s="5"/>
      <c r="U125" s="6"/>
      <c r="V125" s="5"/>
      <c r="W125" s="4" t="str">
        <f t="shared" si="8"/>
        <v/>
      </c>
      <c r="X125" s="3" t="str">
        <f>IFERROR(VLOOKUP(V125,Auxiliar!$T$3:$X$367,5,FALSE),"")</f>
        <v/>
      </c>
    </row>
    <row r="126" spans="1:24" x14ac:dyDescent="0.35">
      <c r="S126" s="5"/>
      <c r="T126" s="5"/>
      <c r="U126" s="6"/>
      <c r="V126" s="5"/>
      <c r="W126" s="4" t="str">
        <f t="shared" si="8"/>
        <v/>
      </c>
      <c r="X126" s="3" t="str">
        <f>IFERROR(VLOOKUP(V126,Auxiliar!$T$3:$X$367,5,FALSE),"")</f>
        <v/>
      </c>
    </row>
    <row r="127" spans="1:24" x14ac:dyDescent="0.35">
      <c r="S127" s="5"/>
      <c r="T127" s="5"/>
      <c r="U127" s="6"/>
      <c r="V127" s="5"/>
      <c r="W127" s="4" t="str">
        <f t="shared" si="8"/>
        <v/>
      </c>
      <c r="X127" s="3" t="str">
        <f>IFERROR(VLOOKUP(V127,Auxiliar!$T$3:$X$367,5,FALSE),"")</f>
        <v/>
      </c>
    </row>
    <row r="128" spans="1:24" x14ac:dyDescent="0.35">
      <c r="S128" s="5"/>
      <c r="T128" s="5"/>
      <c r="U128" s="6"/>
      <c r="V128" s="5"/>
      <c r="W128" s="4" t="str">
        <f t="shared" si="8"/>
        <v/>
      </c>
      <c r="X128" s="3" t="str">
        <f>IFERROR(VLOOKUP(V128,Auxiliar!$T$3:$X$367,5,FALSE),"")</f>
        <v/>
      </c>
    </row>
    <row r="129" spans="19:24" x14ac:dyDescent="0.35">
      <c r="S129" s="5"/>
      <c r="T129" s="5"/>
      <c r="U129" s="6"/>
      <c r="V129" s="5"/>
      <c r="W129" s="4" t="str">
        <f t="shared" si="8"/>
        <v/>
      </c>
      <c r="X129" s="3" t="str">
        <f>IFERROR(VLOOKUP(V129,Auxiliar!$T$3:$X$367,5,FALSE),"")</f>
        <v/>
      </c>
    </row>
    <row r="130" spans="19:24" x14ac:dyDescent="0.35">
      <c r="S130" s="5"/>
      <c r="T130" s="5"/>
      <c r="U130" s="6"/>
      <c r="V130" s="5"/>
      <c r="W130" s="4" t="str">
        <f t="shared" si="8"/>
        <v/>
      </c>
      <c r="X130" s="3" t="str">
        <f>IFERROR(VLOOKUP(V130,Auxiliar!$T$3:$X$367,5,FALSE),"")</f>
        <v/>
      </c>
    </row>
    <row r="131" spans="19:24" x14ac:dyDescent="0.35">
      <c r="S131" s="5"/>
      <c r="T131" s="5"/>
      <c r="U131" s="6"/>
      <c r="V131" s="5"/>
      <c r="W131" s="4" t="str">
        <f t="shared" si="8"/>
        <v/>
      </c>
      <c r="X131" s="3" t="str">
        <f>IFERROR(VLOOKUP(V131,Auxiliar!$T$3:$X$367,5,FALSE),"")</f>
        <v/>
      </c>
    </row>
    <row r="132" spans="19:24" x14ac:dyDescent="0.35">
      <c r="S132" s="5"/>
      <c r="T132" s="5"/>
      <c r="U132" s="6"/>
      <c r="V132" s="5"/>
      <c r="W132" s="4" t="str">
        <f t="shared" si="8"/>
        <v/>
      </c>
      <c r="X132" s="3" t="str">
        <f>IFERROR(VLOOKUP(V132,Auxiliar!$T$3:$X$367,5,FALSE),"")</f>
        <v/>
      </c>
    </row>
    <row r="133" spans="19:24" x14ac:dyDescent="0.35">
      <c r="S133" s="5"/>
      <c r="T133" s="5"/>
      <c r="U133" s="6"/>
      <c r="V133" s="5"/>
      <c r="W133" s="4" t="str">
        <f t="shared" si="8"/>
        <v/>
      </c>
      <c r="X133" s="3" t="str">
        <f>IFERROR(VLOOKUP(V133,Auxiliar!$T$3:$X$367,5,FALSE),"")</f>
        <v/>
      </c>
    </row>
    <row r="134" spans="19:24" x14ac:dyDescent="0.35">
      <c r="S134" s="5"/>
      <c r="T134" s="5"/>
      <c r="U134" s="6"/>
      <c r="V134" s="5"/>
      <c r="W134" s="4" t="str">
        <f t="shared" ref="W134:W153" si="9">IF(V134="","",DATE(YEAR(V134),MONTH(V134),1))</f>
        <v/>
      </c>
      <c r="X134" s="3" t="str">
        <f>IFERROR(VLOOKUP(V134,Auxiliar!$T$3:$X$367,5,FALSE),"")</f>
        <v/>
      </c>
    </row>
    <row r="135" spans="19:24" x14ac:dyDescent="0.35">
      <c r="S135" s="5"/>
      <c r="T135" s="5"/>
      <c r="U135" s="6"/>
      <c r="V135" s="5"/>
      <c r="W135" s="4" t="str">
        <f t="shared" si="9"/>
        <v/>
      </c>
      <c r="X135" s="3" t="str">
        <f>IFERROR(VLOOKUP(V135,Auxiliar!$T$3:$X$367,5,FALSE),"")</f>
        <v/>
      </c>
    </row>
    <row r="136" spans="19:24" x14ac:dyDescent="0.35">
      <c r="S136" s="5"/>
      <c r="T136" s="5"/>
      <c r="U136" s="6"/>
      <c r="V136" s="5"/>
      <c r="W136" s="4" t="str">
        <f t="shared" si="9"/>
        <v/>
      </c>
      <c r="X136" s="3" t="str">
        <f>IFERROR(VLOOKUP(V136,Auxiliar!$T$3:$X$367,5,FALSE),"")</f>
        <v/>
      </c>
    </row>
    <row r="137" spans="19:24" x14ac:dyDescent="0.35">
      <c r="S137" s="5"/>
      <c r="T137" s="5"/>
      <c r="U137" s="6"/>
      <c r="V137" s="5"/>
      <c r="W137" s="4" t="str">
        <f t="shared" si="9"/>
        <v/>
      </c>
      <c r="X137" s="3" t="str">
        <f>IFERROR(VLOOKUP(V137,Auxiliar!$T$3:$X$367,5,FALSE),"")</f>
        <v/>
      </c>
    </row>
    <row r="138" spans="19:24" x14ac:dyDescent="0.35">
      <c r="S138" s="5"/>
      <c r="T138" s="5"/>
      <c r="U138" s="6"/>
      <c r="V138" s="5"/>
      <c r="W138" s="4" t="str">
        <f t="shared" si="9"/>
        <v/>
      </c>
      <c r="X138" s="3" t="str">
        <f>IFERROR(VLOOKUP(V138,Auxiliar!$T$3:$X$367,5,FALSE),"")</f>
        <v/>
      </c>
    </row>
    <row r="139" spans="19:24" x14ac:dyDescent="0.35">
      <c r="S139" s="5"/>
      <c r="T139" s="5"/>
      <c r="U139" s="6"/>
      <c r="V139" s="5"/>
      <c r="W139" s="4" t="str">
        <f t="shared" si="9"/>
        <v/>
      </c>
      <c r="X139" s="3" t="str">
        <f>IFERROR(VLOOKUP(V139,Auxiliar!$T$3:$X$367,5,FALSE),"")</f>
        <v/>
      </c>
    </row>
    <row r="140" spans="19:24" x14ac:dyDescent="0.35">
      <c r="S140" s="5"/>
      <c r="T140" s="5"/>
      <c r="U140" s="6"/>
      <c r="V140" s="5"/>
      <c r="W140" s="4" t="str">
        <f t="shared" si="9"/>
        <v/>
      </c>
      <c r="X140" s="3" t="str">
        <f>IFERROR(VLOOKUP(V140,Auxiliar!$T$3:$X$367,5,FALSE),"")</f>
        <v/>
      </c>
    </row>
    <row r="141" spans="19:24" x14ac:dyDescent="0.35">
      <c r="S141" s="5"/>
      <c r="T141" s="5"/>
      <c r="U141" s="6"/>
      <c r="V141" s="5"/>
      <c r="W141" s="4" t="str">
        <f t="shared" si="9"/>
        <v/>
      </c>
      <c r="X141" s="3" t="str">
        <f>IFERROR(VLOOKUP(V141,Auxiliar!$T$3:$X$367,5,FALSE),"")</f>
        <v/>
      </c>
    </row>
    <row r="142" spans="19:24" x14ac:dyDescent="0.35">
      <c r="S142" s="5"/>
      <c r="T142" s="5"/>
      <c r="U142" s="6"/>
      <c r="V142" s="5"/>
      <c r="W142" s="4" t="str">
        <f t="shared" si="9"/>
        <v/>
      </c>
      <c r="X142" s="3" t="str">
        <f>IFERROR(VLOOKUP(V142,Auxiliar!$T$3:$X$367,5,FALSE),"")</f>
        <v/>
      </c>
    </row>
    <row r="143" spans="19:24" x14ac:dyDescent="0.35">
      <c r="S143" s="5"/>
      <c r="T143" s="5"/>
      <c r="U143" s="6"/>
      <c r="V143" s="5"/>
      <c r="W143" s="4" t="str">
        <f t="shared" si="9"/>
        <v/>
      </c>
      <c r="X143" s="3" t="str">
        <f>IFERROR(VLOOKUP(V143,Auxiliar!$T$3:$X$367,5,FALSE),"")</f>
        <v/>
      </c>
    </row>
    <row r="144" spans="19:24" x14ac:dyDescent="0.35">
      <c r="S144" s="5"/>
      <c r="T144" s="5"/>
      <c r="U144" s="6"/>
      <c r="V144" s="5"/>
      <c r="W144" s="4" t="str">
        <f t="shared" si="9"/>
        <v/>
      </c>
      <c r="X144" s="3" t="str">
        <f>IFERROR(VLOOKUP(V144,Auxiliar!$T$3:$X$367,5,FALSE),"")</f>
        <v/>
      </c>
    </row>
    <row r="145" spans="19:24" x14ac:dyDescent="0.35">
      <c r="S145" s="5"/>
      <c r="T145" s="5"/>
      <c r="U145" s="6"/>
      <c r="V145" s="5"/>
      <c r="W145" s="4" t="str">
        <f t="shared" si="9"/>
        <v/>
      </c>
      <c r="X145" s="3" t="str">
        <f>IFERROR(VLOOKUP(V145,Auxiliar!$T$3:$X$367,5,FALSE),"")</f>
        <v/>
      </c>
    </row>
    <row r="146" spans="19:24" x14ac:dyDescent="0.35">
      <c r="S146" s="5"/>
      <c r="T146" s="5"/>
      <c r="U146" s="6"/>
      <c r="V146" s="5"/>
      <c r="W146" s="4" t="str">
        <f t="shared" si="9"/>
        <v/>
      </c>
      <c r="X146" s="3" t="str">
        <f>IFERROR(VLOOKUP(V146,Auxiliar!$T$3:$X$367,5,FALSE),"")</f>
        <v/>
      </c>
    </row>
    <row r="147" spans="19:24" x14ac:dyDescent="0.35">
      <c r="S147" s="5"/>
      <c r="T147" s="5"/>
      <c r="U147" s="6"/>
      <c r="V147" s="5"/>
      <c r="W147" s="4" t="str">
        <f t="shared" si="9"/>
        <v/>
      </c>
      <c r="X147" s="3" t="str">
        <f>IFERROR(VLOOKUP(V147,Auxiliar!$T$3:$X$367,5,FALSE),"")</f>
        <v/>
      </c>
    </row>
    <row r="148" spans="19:24" x14ac:dyDescent="0.35">
      <c r="S148" s="5"/>
      <c r="T148" s="5"/>
      <c r="U148" s="6"/>
      <c r="V148" s="5"/>
      <c r="W148" s="4" t="str">
        <f t="shared" si="9"/>
        <v/>
      </c>
      <c r="X148" s="3" t="str">
        <f>IFERROR(VLOOKUP(V148,Auxiliar!$T$3:$X$367,5,FALSE),"")</f>
        <v/>
      </c>
    </row>
    <row r="149" spans="19:24" x14ac:dyDescent="0.35">
      <c r="S149" s="5"/>
      <c r="T149" s="5"/>
      <c r="U149" s="6"/>
      <c r="V149" s="5"/>
      <c r="W149" s="4" t="str">
        <f t="shared" si="9"/>
        <v/>
      </c>
      <c r="X149" s="3" t="str">
        <f>IFERROR(VLOOKUP(V149,Auxiliar!$T$3:$X$367,5,FALSE),"")</f>
        <v/>
      </c>
    </row>
    <row r="150" spans="19:24" x14ac:dyDescent="0.35">
      <c r="S150" s="5"/>
      <c r="T150" s="5"/>
      <c r="U150" s="6"/>
      <c r="V150" s="5"/>
      <c r="W150" s="4" t="str">
        <f t="shared" si="9"/>
        <v/>
      </c>
      <c r="X150" s="3" t="str">
        <f>IFERROR(VLOOKUP(V150,Auxiliar!$T$3:$X$367,5,FALSE),"")</f>
        <v/>
      </c>
    </row>
    <row r="151" spans="19:24" x14ac:dyDescent="0.35">
      <c r="S151" s="5"/>
      <c r="T151" s="5"/>
      <c r="U151" s="6"/>
      <c r="V151" s="5"/>
      <c r="W151" s="4" t="str">
        <f t="shared" si="9"/>
        <v/>
      </c>
      <c r="X151" s="3" t="str">
        <f>IFERROR(VLOOKUP(V151,Auxiliar!$T$3:$X$367,5,FALSE),"")</f>
        <v/>
      </c>
    </row>
    <row r="152" spans="19:24" x14ac:dyDescent="0.35">
      <c r="S152" s="5"/>
      <c r="T152" s="5"/>
      <c r="U152" s="6"/>
      <c r="V152" s="5"/>
      <c r="W152" s="4" t="str">
        <f t="shared" si="9"/>
        <v/>
      </c>
      <c r="X152" s="3" t="str">
        <f>IFERROR(VLOOKUP(V152,Auxiliar!$T$3:$X$367,5,FALSE),"")</f>
        <v/>
      </c>
    </row>
    <row r="153" spans="19:24" x14ac:dyDescent="0.35">
      <c r="S153" s="5"/>
      <c r="T153" s="5"/>
      <c r="U153" s="6"/>
      <c r="V153" s="5"/>
      <c r="W153" s="4" t="str">
        <f t="shared" si="9"/>
        <v/>
      </c>
      <c r="X153" s="3" t="str">
        <f>IFERROR(VLOOKUP(V153,Auxiliar!$T$3:$X$367,5,FALSE),"")</f>
        <v/>
      </c>
    </row>
  </sheetData>
  <mergeCells count="14">
    <mergeCell ref="B2:C2"/>
    <mergeCell ref="B8:C8"/>
    <mergeCell ref="S2:X2"/>
    <mergeCell ref="Z31:AE31"/>
    <mergeCell ref="AA33:AC34"/>
    <mergeCell ref="AA35:AC35"/>
    <mergeCell ref="L2:Q2"/>
    <mergeCell ref="F2:J2"/>
    <mergeCell ref="Z4:AE4"/>
    <mergeCell ref="Z29:AE29"/>
    <mergeCell ref="Z6:AE6"/>
    <mergeCell ref="AA8:AC9"/>
    <mergeCell ref="AA10:AC10"/>
    <mergeCell ref="Z2:AE2"/>
  </mergeCells>
  <phoneticPr fontId="7" type="noConversion"/>
  <pageMargins left="0.25" right="0.25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FormataGráficos">
                <anchor moveWithCells="1" sizeWithCells="1">
                  <from>
                    <xdr:col>31</xdr:col>
                    <xdr:colOff>292100</xdr:colOff>
                    <xdr:row>4</xdr:row>
                    <xdr:rowOff>50800</xdr:rowOff>
                  </from>
                  <to>
                    <xdr:col>33</xdr:col>
                    <xdr:colOff>444500</xdr:colOff>
                    <xdr:row>7</xdr:row>
                    <xdr:rowOff>31750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EE904EA-9099-4F58-ADB0-8D5DE083E08E}">
          <x14:formula1>
            <xm:f>OFFSET(Auxiliar!$AC$3,0,0,ROWS(Auxiliar!$AC:$AC)-COUNTBLANK(Auxiliar!$AC:$AC)-1)</xm:f>
          </x14:formula1>
          <xm:sqref>C10</xm:sqref>
        </x14:dataValidation>
        <x14:dataValidation type="list" allowBlank="1" showInputMessage="1" showErrorMessage="1" xr:uid="{01ACAE09-DAA0-40DC-88D0-B9564A3DDFB8}">
          <x14:formula1>
            <xm:f>Auxiliar!$K$3:$K$38</xm:f>
          </x14:formula1>
          <xm:sqref>C9</xm:sqref>
        </x14:dataValidation>
        <x14:dataValidation type="list" allowBlank="1" showInputMessage="1" showErrorMessage="1" xr:uid="{FA9BD5E1-7C20-4EAE-B89D-7757314EA8EE}">
          <x14:formula1>
            <xm:f>Auxiliar!$Q$3:$Q$4</xm:f>
          </x14:formula1>
          <xm:sqref>C6</xm:sqref>
        </x14:dataValidation>
        <x14:dataValidation type="list" allowBlank="1" showInputMessage="1" showErrorMessage="1" xr:uid="{8730EE29-9B3D-45FC-8F37-64352B1804C2}">
          <x14:formula1>
            <xm:f>Auxiliar!$B$3:$B$10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C2083-97EC-4C46-8E0E-64293A663C48}">
  <dimension ref="B1:D5"/>
  <sheetViews>
    <sheetView workbookViewId="0">
      <selection activeCell="E4" sqref="E4"/>
    </sheetView>
  </sheetViews>
  <sheetFormatPr defaultRowHeight="14.5" x14ac:dyDescent="0.35"/>
  <cols>
    <col min="2" max="2" width="25.36328125" bestFit="1" customWidth="1"/>
    <col min="3" max="3" width="21.36328125" bestFit="1" customWidth="1"/>
    <col min="4" max="4" width="8.90625" bestFit="1" customWidth="1"/>
  </cols>
  <sheetData>
    <row r="1" spans="2:4" x14ac:dyDescent="0.35">
      <c r="B1" s="32" t="s">
        <v>85</v>
      </c>
      <c r="C1" s="32" t="s">
        <v>83</v>
      </c>
    </row>
    <row r="2" spans="2:4" x14ac:dyDescent="0.35">
      <c r="B2" s="32" t="s">
        <v>86</v>
      </c>
      <c r="C2" s="32" t="s">
        <v>84</v>
      </c>
    </row>
    <row r="4" spans="2:4" x14ac:dyDescent="0.35">
      <c r="B4" s="33" t="s">
        <v>87</v>
      </c>
      <c r="C4" s="33" t="s">
        <v>88</v>
      </c>
    </row>
    <row r="5" spans="2:4" x14ac:dyDescent="0.35">
      <c r="B5">
        <v>196</v>
      </c>
      <c r="C5">
        <v>7728957</v>
      </c>
      <c r="D5" s="29">
        <f>C5/B5</f>
        <v>39433.454081632655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A49B9-0525-475E-9356-12E5B6575391}">
  <dimension ref="B1:D5"/>
  <sheetViews>
    <sheetView workbookViewId="0">
      <selection activeCell="D5" sqref="D5"/>
    </sheetView>
  </sheetViews>
  <sheetFormatPr defaultRowHeight="14.5" x14ac:dyDescent="0.35"/>
  <cols>
    <col min="2" max="2" width="25.36328125" bestFit="1" customWidth="1"/>
    <col min="3" max="3" width="21.36328125" bestFit="1" customWidth="1"/>
    <col min="4" max="4" width="8.90625" bestFit="1" customWidth="1"/>
  </cols>
  <sheetData>
    <row r="1" spans="2:4" x14ac:dyDescent="0.35">
      <c r="B1" s="32" t="s">
        <v>85</v>
      </c>
      <c r="C1" s="32" t="s">
        <v>83</v>
      </c>
    </row>
    <row r="2" spans="2:4" x14ac:dyDescent="0.35">
      <c r="B2" s="32" t="s">
        <v>86</v>
      </c>
      <c r="C2" s="32" t="s">
        <v>92</v>
      </c>
    </row>
    <row r="4" spans="2:4" x14ac:dyDescent="0.35">
      <c r="B4" s="33" t="s">
        <v>87</v>
      </c>
      <c r="C4" s="33" t="s">
        <v>88</v>
      </c>
    </row>
    <row r="5" spans="2:4" x14ac:dyDescent="0.35">
      <c r="B5">
        <v>212</v>
      </c>
      <c r="C5">
        <v>7996852</v>
      </c>
      <c r="D5" s="29">
        <f>C5/B5</f>
        <v>37721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23B0CE-2E8F-4894-B4E2-0E148EC5CAA7}">
  <sheetPr codeName="Planilha2">
    <tabColor rgb="FF4A0816"/>
  </sheetPr>
  <dimension ref="B2:BH1048576"/>
  <sheetViews>
    <sheetView showGridLines="0" zoomScaleNormal="100" workbookViewId="0">
      <selection activeCell="AR2" sqref="AR2"/>
    </sheetView>
  </sheetViews>
  <sheetFormatPr defaultRowHeight="14.5" x14ac:dyDescent="0.35"/>
  <cols>
    <col min="3" max="3" width="17.6328125" bestFit="1" customWidth="1"/>
    <col min="4" max="4" width="13.36328125" bestFit="1" customWidth="1"/>
    <col min="5" max="5" width="17.6328125" bestFit="1" customWidth="1"/>
    <col min="6" max="6" width="12.90625" customWidth="1"/>
    <col min="7" max="7" width="17.6328125" bestFit="1" customWidth="1"/>
    <col min="8" max="8" width="13.36328125" bestFit="1" customWidth="1"/>
    <col min="9" max="9" width="17.6328125" bestFit="1" customWidth="1"/>
    <col min="13" max="13" width="10" bestFit="1" customWidth="1"/>
    <col min="14" max="14" width="8.81640625" customWidth="1"/>
    <col min="15" max="15" width="18.6328125" bestFit="1" customWidth="1"/>
    <col min="16" max="16" width="8.81640625" customWidth="1"/>
    <col min="17" max="17" width="18.6328125" customWidth="1"/>
    <col min="20" max="20" width="18.6328125" bestFit="1" customWidth="1"/>
    <col min="23" max="23" width="15" bestFit="1" customWidth="1"/>
    <col min="24" max="24" width="15" customWidth="1"/>
    <col min="26" max="26" width="19.1796875" bestFit="1" customWidth="1"/>
    <col min="27" max="27" width="11.54296875" bestFit="1" customWidth="1"/>
    <col min="28" max="28" width="11.81640625" bestFit="1" customWidth="1"/>
    <col min="29" max="29" width="38.453125" bestFit="1" customWidth="1"/>
    <col min="30" max="30" width="19.08984375" bestFit="1" customWidth="1"/>
    <col min="32" max="32" width="8.90625"/>
    <col min="33" max="33" width="19.08984375" bestFit="1" customWidth="1"/>
    <col min="35" max="35" width="11.81640625" bestFit="1" customWidth="1"/>
    <col min="36" max="36" width="10.54296875" bestFit="1" customWidth="1"/>
    <col min="38" max="38" width="10.1796875" bestFit="1" customWidth="1"/>
    <col min="40" max="40" width="19.90625" bestFit="1" customWidth="1"/>
    <col min="41" max="41" width="26.54296875" bestFit="1" customWidth="1"/>
    <col min="43" max="43" width="15.1796875" bestFit="1" customWidth="1"/>
    <col min="44" max="44" width="8.90625" style="1"/>
    <col min="46" max="46" width="8.54296875" bestFit="1" customWidth="1"/>
    <col min="47" max="47" width="19.90625" bestFit="1" customWidth="1"/>
    <col min="48" max="48" width="26.54296875" bestFit="1" customWidth="1"/>
    <col min="50" max="50" width="8.54296875" bestFit="1" customWidth="1"/>
    <col min="51" max="51" width="26.54296875" bestFit="1" customWidth="1"/>
    <col min="53" max="53" width="15.1796875" bestFit="1" customWidth="1"/>
    <col min="56" max="56" width="23.81640625" bestFit="1" customWidth="1"/>
    <col min="57" max="57" width="20.1796875" bestFit="1" customWidth="1"/>
    <col min="59" max="59" width="22.6328125" bestFit="1" customWidth="1"/>
  </cols>
  <sheetData>
    <row r="2" spans="2:60" x14ac:dyDescent="0.35">
      <c r="B2" s="26" t="s">
        <v>39</v>
      </c>
      <c r="C2" s="26" t="s">
        <v>53</v>
      </c>
      <c r="D2" s="26" t="s">
        <v>40</v>
      </c>
      <c r="E2" s="26" t="s">
        <v>51</v>
      </c>
      <c r="F2" s="10"/>
      <c r="G2" s="26" t="s">
        <v>53</v>
      </c>
      <c r="H2" s="26" t="s">
        <v>40</v>
      </c>
      <c r="I2" s="26" t="s">
        <v>51</v>
      </c>
      <c r="K2" s="26" t="s">
        <v>9</v>
      </c>
      <c r="M2" s="26" t="s">
        <v>10</v>
      </c>
      <c r="O2" s="26" t="s">
        <v>11</v>
      </c>
      <c r="P2" s="10"/>
      <c r="Q2" s="26" t="s">
        <v>32</v>
      </c>
      <c r="S2" s="26" t="s">
        <v>19</v>
      </c>
      <c r="T2" s="26" t="s">
        <v>26</v>
      </c>
      <c r="U2" s="26" t="s">
        <v>4</v>
      </c>
      <c r="V2" s="26" t="s">
        <v>25</v>
      </c>
      <c r="W2" s="23" t="s">
        <v>27</v>
      </c>
      <c r="X2" s="26" t="s">
        <v>19</v>
      </c>
      <c r="Z2" s="26" t="s">
        <v>67</v>
      </c>
      <c r="AA2" s="26" t="s">
        <v>62</v>
      </c>
      <c r="AB2" s="26" t="s">
        <v>63</v>
      </c>
      <c r="AC2" s="26" t="s">
        <v>61</v>
      </c>
      <c r="AD2" s="26" t="s">
        <v>65</v>
      </c>
      <c r="AE2" s="26" t="s">
        <v>19</v>
      </c>
      <c r="AF2" s="10"/>
      <c r="AG2" s="26" t="s">
        <v>65</v>
      </c>
      <c r="AI2" s="26" t="s">
        <v>35</v>
      </c>
      <c r="AJ2" s="26" t="s">
        <v>36</v>
      </c>
      <c r="AL2" s="26" t="s">
        <v>66</v>
      </c>
      <c r="AM2" s="26" t="s">
        <v>4</v>
      </c>
      <c r="AN2" s="27" t="s">
        <v>54</v>
      </c>
      <c r="AO2" s="27" t="s">
        <v>55</v>
      </c>
      <c r="AQ2" s="26" t="s">
        <v>56</v>
      </c>
      <c r="AR2" s="3">
        <f>VLOOKUP($AG$3,'Gráfico Controle de Resultados'!$F$5:$H$16,2,FALSE)</f>
        <v>39433.454081632655</v>
      </c>
      <c r="AT2" s="26" t="s">
        <v>19</v>
      </c>
      <c r="AU2" s="26" t="s">
        <v>54</v>
      </c>
      <c r="AV2" s="26" t="s">
        <v>55</v>
      </c>
      <c r="AX2" s="26" t="s">
        <v>19</v>
      </c>
      <c r="AY2" s="26" t="s">
        <v>55</v>
      </c>
      <c r="BA2" s="26" t="s">
        <v>56</v>
      </c>
      <c r="BB2" s="3">
        <f>VLOOKUP(AG6,'Gráfico Controle de Resultados'!$M$5:$O$12,2,FALSE)</f>
        <v>0</v>
      </c>
      <c r="BD2" s="26" t="s">
        <v>69</v>
      </c>
      <c r="BE2" s="3">
        <f>ROWS('Gráfico Controle de Resultados'!C12:C31)-COUNTBLANK('Gráfico Controle de Resultados'!C12:C31)</f>
        <v>0</v>
      </c>
      <c r="BG2" s="23" t="s">
        <v>80</v>
      </c>
      <c r="BH2" s="3">
        <f>ROWS('Gráfico Controle de Resultados'!S:S)-COUNTBLANK('Gráfico Controle de Resultados'!S:S)-2</f>
        <v>23</v>
      </c>
    </row>
    <row r="3" spans="2:60" x14ac:dyDescent="0.35">
      <c r="B3" s="11" t="str">
        <f>"%"</f>
        <v>%</v>
      </c>
      <c r="C3" s="11" t="s">
        <v>30</v>
      </c>
      <c r="D3" s="3" t="str">
        <f>"0%"</f>
        <v>0%</v>
      </c>
      <c r="E3" s="3" t="s">
        <v>52</v>
      </c>
      <c r="F3" s="1"/>
      <c r="G3" s="3" t="str">
        <f>VLOOKUP('Gráfico Controle de Resultados'!C5,Auxiliar!B:C,2,FALSE)</f>
        <v>R$</v>
      </c>
      <c r="H3" s="3" t="str">
        <f>VLOOKUP('Gráfico Controle de Resultados'!C5,Auxiliar!B:D,3,FALSE)</f>
        <v>R$ #.##</v>
      </c>
      <c r="I3" s="3" t="str">
        <f>VLOOKUP('Gráfico Controle de Resultados'!C5,Auxiliar!B:E,4,FALSE)</f>
        <v>[$R$] #.##0;"";""</v>
      </c>
      <c r="K3" s="3">
        <v>2025</v>
      </c>
      <c r="M3" s="3" t="s">
        <v>12</v>
      </c>
      <c r="O3" s="3" t="s">
        <v>14</v>
      </c>
      <c r="P3" s="1"/>
      <c r="Q3" s="3" t="s">
        <v>33</v>
      </c>
      <c r="S3" s="3">
        <f>1</f>
        <v>1</v>
      </c>
      <c r="T3" s="7">
        <f>DATE('Gráfico Controle de Resultados'!$C$9,Auxiliar!U3,Auxiliar!V3)</f>
        <v>49310</v>
      </c>
      <c r="U3" s="3">
        <v>1</v>
      </c>
      <c r="V3" s="3">
        <v>1</v>
      </c>
      <c r="W3" s="22">
        <f>WEEKDAY(T3)</f>
        <v>2</v>
      </c>
      <c r="X3" s="3">
        <f>S3</f>
        <v>1</v>
      </c>
      <c r="Z3" s="3" t="str">
        <f t="shared" ref="Z3:Z34" si="0">"Semana "&amp;AE3</f>
        <v>Semana 1</v>
      </c>
      <c r="AA3" s="14">
        <f t="shared" ref="AA3:AA34" si="1">VLOOKUP(AE3,$S$3:$T$367,2,FALSE)</f>
        <v>49310</v>
      </c>
      <c r="AB3" s="14">
        <f>AA4-1</f>
        <v>49315</v>
      </c>
      <c r="AC3" s="8" t="str">
        <f>"Semana "&amp;AE3&amp;": de "&amp;TEXT(AA3,"dd/mmm/aaaa")&amp;" a "&amp;TEXT(AB3,"dd/mmm/aaaa")</f>
        <v>Semana 1: de 01/jan/2035 a 06/jan/2035</v>
      </c>
      <c r="AD3" s="4">
        <f t="shared" ref="AD3:AD34" si="2">VLOOKUP(MONTH(AA3),$AL$3:$AM$14,2,FALSE)</f>
        <v>49310</v>
      </c>
      <c r="AE3" s="3">
        <f>1</f>
        <v>1</v>
      </c>
      <c r="AF3" s="1"/>
      <c r="AG3" s="4">
        <f>VLOOKUP('Gráfico Controle de Resultados'!C10,Auxiliar!$AC$3:$AD$55,2,FALSE)</f>
        <v>49310</v>
      </c>
      <c r="AI3" s="8" t="str">
        <f>IF('Gráfico Controle de Resultados'!$C$6="Cima","Real &gt;= Meta", "Real &lt;= Meta")</f>
        <v>Real &lt;= Meta</v>
      </c>
      <c r="AJ3" s="8" t="str">
        <f>IF('Gráfico Controle de Resultados'!$C$6="Cima","Real &lt; Meta", "Real &gt; Meta")</f>
        <v>Real &gt; Meta</v>
      </c>
      <c r="AL3" s="3">
        <v>1</v>
      </c>
      <c r="AM3" s="4">
        <f>'Gráfico Controle de Resultados'!F5</f>
        <v>49310</v>
      </c>
      <c r="AN3" s="3">
        <f>COUNTIF('Gráfico Controle de Resultados'!W:W,Auxiliar!AM3)</f>
        <v>0</v>
      </c>
      <c r="AO3" s="3">
        <f>AN3</f>
        <v>0</v>
      </c>
      <c r="AQ3" s="26" t="s">
        <v>57</v>
      </c>
      <c r="AR3" s="3">
        <f>VLOOKUP($AG$3,'Gráfico Controle de Resultados'!$F$5:$H$16,3,FALSE)</f>
        <v>37998.188775510207</v>
      </c>
      <c r="AT3" s="3">
        <v>1</v>
      </c>
      <c r="AU3" s="3">
        <f>COUNTIF('Gráfico Controle de Resultados'!X:X,Auxiliar!AT3)</f>
        <v>0</v>
      </c>
      <c r="AV3" s="3">
        <f>AU3</f>
        <v>0</v>
      </c>
      <c r="AX3" s="3">
        <f>'Gráfico Controle de Resultados'!M5</f>
        <v>1</v>
      </c>
      <c r="AY3" s="3">
        <f>VLOOKUP(AX3,$AT$3:$AV$55,3,FALSE)</f>
        <v>0</v>
      </c>
      <c r="BA3" s="26" t="s">
        <v>57</v>
      </c>
      <c r="BB3" s="3">
        <f>VLOOKUP(AG6,'Gráfico Controle de Resultados'!$M$5:$O$12,3,FALSE)</f>
        <v>0</v>
      </c>
      <c r="BD3" s="26" t="s">
        <v>70</v>
      </c>
      <c r="BE3" s="20" t="str">
        <f>'Gráfico Controle de Resultados'!C12&amp;"; "&amp;'Gráfico Controle de Resultados'!C13&amp;"; "&amp;'Gráfico Controle de Resultados'!C14&amp;"; "&amp;'Gráfico Controle de Resultados'!C15&amp;"; "&amp;'Gráfico Controle de Resultados'!C16&amp;"; "&amp;'Gráfico Controle de Resultados'!C17&amp;"; "&amp;'Gráfico Controle de Resultados'!C18&amp;"; "&amp;'Gráfico Controle de Resultados'!C19&amp;"; "&amp;'Gráfico Controle de Resultados'!C20&amp;"; "&amp;'Gráfico Controle de Resultados'!C21&amp;"; "&amp;'Gráfico Controle de Resultados'!C22&amp;"; "&amp;'Gráfico Controle de Resultados'!C23&amp;"; "&amp;'Gráfico Controle de Resultados'!C24&amp;"; "&amp;'Gráfico Controle de Resultados'!C25&amp;"; "&amp;'Gráfico Controle de Resultados'!C26&amp;"; "&amp;'Gráfico Controle de Resultados'!C27&amp;"; "&amp;'Gráfico Controle de Resultados'!C28&amp;"; "&amp;'Gráfico Controle de Resultados'!C29&amp;"; "&amp;'Gráfico Controle de Resultados'!C30&amp;"; "&amp;'Gráfico Controle de Resultados'!C31</f>
        <v xml:space="preserve">; ; ; ; ; ; ; ; ; ; ; ; ; ; ; ; ; ; ; </v>
      </c>
    </row>
    <row r="4" spans="2:60" x14ac:dyDescent="0.35">
      <c r="B4" s="3" t="s">
        <v>47</v>
      </c>
      <c r="C4" s="3" t="s">
        <v>30</v>
      </c>
      <c r="D4" s="3" t="str">
        <f>"0,0%"</f>
        <v>0,0%</v>
      </c>
      <c r="E4" s="3" t="s">
        <v>76</v>
      </c>
      <c r="F4" s="1"/>
      <c r="G4" s="1"/>
      <c r="H4" s="1"/>
      <c r="I4" s="1"/>
      <c r="K4" s="3">
        <f>K3+1</f>
        <v>2026</v>
      </c>
      <c r="M4" s="3" t="s">
        <v>13</v>
      </c>
      <c r="O4" s="3" t="s">
        <v>15</v>
      </c>
      <c r="P4" s="1"/>
      <c r="Q4" s="3" t="s">
        <v>34</v>
      </c>
      <c r="S4" s="3">
        <f t="shared" ref="S4:S67" si="3">IF(W4=1,S3+1,S3)</f>
        <v>1</v>
      </c>
      <c r="T4" s="7">
        <f>DATE('Gráfico Controle de Resultados'!$C$9,Auxiliar!U4,Auxiliar!V4)</f>
        <v>49311</v>
      </c>
      <c r="U4" s="3">
        <v>1</v>
      </c>
      <c r="V4" s="3">
        <v>2</v>
      </c>
      <c r="W4" s="22">
        <f t="shared" ref="W4:W67" si="4">WEEKDAY(T4)</f>
        <v>3</v>
      </c>
      <c r="X4" s="3">
        <f t="shared" ref="X4:X67" si="5">S4</f>
        <v>1</v>
      </c>
      <c r="Z4" s="3" t="str">
        <f t="shared" si="0"/>
        <v>Semana 2</v>
      </c>
      <c r="AA4" s="14">
        <f t="shared" si="1"/>
        <v>49316</v>
      </c>
      <c r="AB4" s="14">
        <f t="shared" ref="AB4:AB54" si="6">AA5-1</f>
        <v>49322</v>
      </c>
      <c r="AC4" s="8" t="str">
        <f t="shared" ref="AC4:AC55" si="7">"Semana "&amp;AE4&amp;": de "&amp;TEXT(AA4,"dd/mmm/aaaa")&amp;" a "&amp;TEXT(AB4,"dd/mmm/aaaa")</f>
        <v>Semana 2: de 07/jan/2035 a 13/jan/2035</v>
      </c>
      <c r="AD4" s="4">
        <f t="shared" si="2"/>
        <v>49310</v>
      </c>
      <c r="AE4" s="3">
        <f>1+AE3</f>
        <v>2</v>
      </c>
      <c r="AF4" s="1"/>
      <c r="AL4" s="3">
        <v>2</v>
      </c>
      <c r="AM4" s="4">
        <f>'Gráfico Controle de Resultados'!F6</f>
        <v>49341</v>
      </c>
      <c r="AN4" s="3">
        <f>COUNTIF('Gráfico Controle de Resultados'!W:W,Auxiliar!AM4)</f>
        <v>9</v>
      </c>
      <c r="AO4" s="3">
        <f>AN4+AO3</f>
        <v>9</v>
      </c>
      <c r="AQ4" s="26" t="s">
        <v>58</v>
      </c>
      <c r="AR4" s="3">
        <f>IF('Gráfico Controle de Resultados'!C6="Cima",Auxiliar!AR2-Auxiliar!AR3,AR3-AR2)</f>
        <v>-1435.2653061224482</v>
      </c>
      <c r="AT4" s="3">
        <f>AT3+1</f>
        <v>2</v>
      </c>
      <c r="AU4" s="3">
        <f>COUNTIF('Gráfico Controle de Resultados'!X:X,Auxiliar!AT4)</f>
        <v>0</v>
      </c>
      <c r="AV4" s="3">
        <f>AU4+AV3</f>
        <v>0</v>
      </c>
      <c r="AX4" s="3">
        <f>'Gráfico Controle de Resultados'!M6</f>
        <v>2</v>
      </c>
      <c r="AY4" s="3">
        <f t="shared" ref="AY4:AY10" si="8">VLOOKUP(AX4,$AT$3:$AV$55,3,FALSE)</f>
        <v>0</v>
      </c>
      <c r="BA4" s="26" t="s">
        <v>58</v>
      </c>
      <c r="BB4" s="3">
        <f>IF('Gráfico Controle de Resultados'!C6="Cima",Auxiliar!BB2-Auxiliar!BB3,BB3-BB2)</f>
        <v>0</v>
      </c>
    </row>
    <row r="5" spans="2:60" x14ac:dyDescent="0.35">
      <c r="B5" s="3" t="s">
        <v>41</v>
      </c>
      <c r="C5" s="3" t="s">
        <v>41</v>
      </c>
      <c r="D5" s="3" t="s">
        <v>77</v>
      </c>
      <c r="E5" s="3" t="s">
        <v>78</v>
      </c>
      <c r="F5" s="1"/>
      <c r="G5" s="1"/>
      <c r="H5" s="1"/>
      <c r="I5" s="1"/>
      <c r="K5" s="3">
        <f t="shared" ref="K5:K38" si="9">K4+1</f>
        <v>2027</v>
      </c>
      <c r="S5" s="3">
        <f t="shared" si="3"/>
        <v>1</v>
      </c>
      <c r="T5" s="7">
        <f>DATE('Gráfico Controle de Resultados'!$C$9,Auxiliar!U5,Auxiliar!V5)</f>
        <v>49312</v>
      </c>
      <c r="U5" s="3">
        <v>1</v>
      </c>
      <c r="V5" s="3">
        <v>3</v>
      </c>
      <c r="W5" s="22">
        <f t="shared" si="4"/>
        <v>4</v>
      </c>
      <c r="X5" s="3">
        <f t="shared" si="5"/>
        <v>1</v>
      </c>
      <c r="Z5" s="3" t="str">
        <f t="shared" si="0"/>
        <v>Semana 3</v>
      </c>
      <c r="AA5" s="14">
        <f t="shared" si="1"/>
        <v>49323</v>
      </c>
      <c r="AB5" s="14">
        <f t="shared" si="6"/>
        <v>49329</v>
      </c>
      <c r="AC5" s="8" t="str">
        <f t="shared" si="7"/>
        <v>Semana 3: de 14/jan/2035 a 20/jan/2035</v>
      </c>
      <c r="AD5" s="4">
        <f t="shared" si="2"/>
        <v>49310</v>
      </c>
      <c r="AE5" s="3">
        <f t="shared" ref="AE5:AE55" si="10">1+AE4</f>
        <v>3</v>
      </c>
      <c r="AF5" s="1"/>
      <c r="AG5" s="26" t="s">
        <v>19</v>
      </c>
      <c r="AL5" s="3">
        <v>3</v>
      </c>
      <c r="AM5" s="4">
        <f>'Gráfico Controle de Resultados'!F7</f>
        <v>49369</v>
      </c>
      <c r="AN5" s="3">
        <f>COUNTIF('Gráfico Controle de Resultados'!W:W,Auxiliar!AM5)</f>
        <v>0</v>
      </c>
      <c r="AO5" s="3">
        <f t="shared" ref="AO5:AO14" si="11">AN5+AO4</f>
        <v>9</v>
      </c>
      <c r="AQ5" s="26" t="s">
        <v>60</v>
      </c>
      <c r="AR5" s="3">
        <f>ABS(AR4)</f>
        <v>1435.2653061224482</v>
      </c>
      <c r="AT5" s="3">
        <f t="shared" ref="AT5:AT55" si="12">AT4+1</f>
        <v>3</v>
      </c>
      <c r="AU5" s="3">
        <f>COUNTIF('Gráfico Controle de Resultados'!X:X,Auxiliar!AT5)</f>
        <v>0</v>
      </c>
      <c r="AV5" s="3">
        <f t="shared" ref="AV5:AV55" si="13">AU5+AV4</f>
        <v>0</v>
      </c>
      <c r="AX5" s="3">
        <f>'Gráfico Controle de Resultados'!M7</f>
        <v>3</v>
      </c>
      <c r="AY5" s="3">
        <f t="shared" si="8"/>
        <v>0</v>
      </c>
      <c r="BA5" s="26" t="s">
        <v>60</v>
      </c>
      <c r="BB5" s="3">
        <f>ABS(BB4)</f>
        <v>0</v>
      </c>
    </row>
    <row r="6" spans="2:60" x14ac:dyDescent="0.35">
      <c r="B6" s="3" t="s">
        <v>48</v>
      </c>
      <c r="C6" s="3" t="s">
        <v>41</v>
      </c>
      <c r="D6" s="3" t="str">
        <f>"#.##0,0"</f>
        <v>#.##0,0</v>
      </c>
      <c r="E6" s="3" t="s">
        <v>79</v>
      </c>
      <c r="F6" s="1"/>
      <c r="G6" s="1"/>
      <c r="H6" s="1"/>
      <c r="I6" s="1"/>
      <c r="K6" s="3">
        <f t="shared" si="9"/>
        <v>2028</v>
      </c>
      <c r="S6" s="3">
        <f t="shared" si="3"/>
        <v>1</v>
      </c>
      <c r="T6" s="7">
        <f>DATE('Gráfico Controle de Resultados'!$C$9,Auxiliar!U6,Auxiliar!V6)</f>
        <v>49313</v>
      </c>
      <c r="U6" s="3">
        <v>1</v>
      </c>
      <c r="V6" s="3">
        <v>4</v>
      </c>
      <c r="W6" s="22">
        <f t="shared" si="4"/>
        <v>5</v>
      </c>
      <c r="X6" s="3">
        <f t="shared" si="5"/>
        <v>1</v>
      </c>
      <c r="Z6" s="3" t="str">
        <f t="shared" si="0"/>
        <v>Semana 4</v>
      </c>
      <c r="AA6" s="14">
        <f t="shared" si="1"/>
        <v>49330</v>
      </c>
      <c r="AB6" s="14">
        <f t="shared" si="6"/>
        <v>49336</v>
      </c>
      <c r="AC6" s="8" t="str">
        <f t="shared" si="7"/>
        <v>Semana 4: de 21/jan/2035 a 27/jan/2035</v>
      </c>
      <c r="AD6" s="4">
        <f t="shared" si="2"/>
        <v>49310</v>
      </c>
      <c r="AE6" s="3">
        <f t="shared" si="10"/>
        <v>4</v>
      </c>
      <c r="AF6" s="1"/>
      <c r="AG6" s="3">
        <f>VLOOKUP('Gráfico Controle de Resultados'!C10,Auxiliar!$AC$3:$AE$55,3,FALSE)</f>
        <v>5</v>
      </c>
      <c r="AL6" s="3">
        <v>4</v>
      </c>
      <c r="AM6" s="4">
        <f>'Gráfico Controle de Resultados'!F8</f>
        <v>49400</v>
      </c>
      <c r="AN6" s="3">
        <f>COUNTIF('Gráfico Controle de Resultados'!W:W,Auxiliar!AM6)</f>
        <v>0</v>
      </c>
      <c r="AO6" s="3">
        <f t="shared" si="11"/>
        <v>9</v>
      </c>
      <c r="AQ6" s="26" t="s">
        <v>59</v>
      </c>
      <c r="AR6" s="3" t="str">
        <f>IF(AR4&lt;0,"pior","melhor")</f>
        <v>pior</v>
      </c>
      <c r="AT6" s="3">
        <f t="shared" si="12"/>
        <v>4</v>
      </c>
      <c r="AU6" s="3">
        <f>COUNTIF('Gráfico Controle de Resultados'!X:X,Auxiliar!AT6)</f>
        <v>0</v>
      </c>
      <c r="AV6" s="3">
        <f t="shared" si="13"/>
        <v>0</v>
      </c>
      <c r="AX6" s="3">
        <f>'Gráfico Controle de Resultados'!M8</f>
        <v>4</v>
      </c>
      <c r="AY6" s="3">
        <f t="shared" si="8"/>
        <v>0</v>
      </c>
      <c r="BA6" s="26" t="s">
        <v>59</v>
      </c>
      <c r="BB6" s="3" t="str">
        <f>IF(BB4&lt;0,"pior","melhor")</f>
        <v>melhor</v>
      </c>
    </row>
    <row r="7" spans="2:60" x14ac:dyDescent="0.35">
      <c r="B7" s="3" t="s">
        <v>42</v>
      </c>
      <c r="C7" s="3" t="s">
        <v>42</v>
      </c>
      <c r="D7" s="3" t="s">
        <v>71</v>
      </c>
      <c r="E7" s="3" t="s">
        <v>74</v>
      </c>
      <c r="K7" s="3">
        <f t="shared" si="9"/>
        <v>2029</v>
      </c>
      <c r="S7" s="3">
        <f t="shared" si="3"/>
        <v>1</v>
      </c>
      <c r="T7" s="7">
        <f>DATE('Gráfico Controle de Resultados'!$C$9,Auxiliar!U7,Auxiliar!V7)</f>
        <v>49314</v>
      </c>
      <c r="U7" s="3">
        <v>1</v>
      </c>
      <c r="V7" s="3">
        <v>5</v>
      </c>
      <c r="W7" s="22">
        <f t="shared" si="4"/>
        <v>6</v>
      </c>
      <c r="X7" s="3">
        <f t="shared" si="5"/>
        <v>1</v>
      </c>
      <c r="Z7" s="3" t="str">
        <f t="shared" si="0"/>
        <v>Semana 5</v>
      </c>
      <c r="AA7" s="14">
        <f t="shared" si="1"/>
        <v>49337</v>
      </c>
      <c r="AB7" s="14">
        <f t="shared" si="6"/>
        <v>49343</v>
      </c>
      <c r="AC7" s="8" t="str">
        <f t="shared" si="7"/>
        <v>Semana 5: de 28/jan/2035 a 03/fev/2035</v>
      </c>
      <c r="AD7" s="4">
        <f t="shared" si="2"/>
        <v>49310</v>
      </c>
      <c r="AE7" s="3">
        <f t="shared" si="10"/>
        <v>5</v>
      </c>
      <c r="AF7" s="1"/>
      <c r="AL7" s="3">
        <v>5</v>
      </c>
      <c r="AM7" s="4">
        <f>'Gráfico Controle de Resultados'!F9</f>
        <v>49430</v>
      </c>
      <c r="AN7" s="3">
        <f>COUNTIF('Gráfico Controle de Resultados'!W:W,Auxiliar!AM7)</f>
        <v>0</v>
      </c>
      <c r="AO7" s="3">
        <f t="shared" si="11"/>
        <v>9</v>
      </c>
      <c r="AT7" s="3">
        <f t="shared" si="12"/>
        <v>5</v>
      </c>
      <c r="AU7" s="3">
        <f>COUNTIF('Gráfico Controle de Resultados'!X:X,Auxiliar!AT7)</f>
        <v>0</v>
      </c>
      <c r="AV7" s="3">
        <f t="shared" si="13"/>
        <v>0</v>
      </c>
      <c r="AX7" s="3">
        <f>'Gráfico Controle de Resultados'!M9</f>
        <v>5</v>
      </c>
      <c r="AY7" s="3">
        <f t="shared" si="8"/>
        <v>0</v>
      </c>
    </row>
    <row r="8" spans="2:60" x14ac:dyDescent="0.35">
      <c r="B8" s="3" t="s">
        <v>49</v>
      </c>
      <c r="C8" s="3" t="s">
        <v>42</v>
      </c>
      <c r="D8" s="3" t="s">
        <v>45</v>
      </c>
      <c r="E8" s="3" t="s">
        <v>75</v>
      </c>
      <c r="K8" s="3">
        <f t="shared" si="9"/>
        <v>2030</v>
      </c>
      <c r="S8" s="3">
        <f t="shared" si="3"/>
        <v>1</v>
      </c>
      <c r="T8" s="7">
        <f>DATE('Gráfico Controle de Resultados'!$C$9,Auxiliar!U8,Auxiliar!V8)</f>
        <v>49315</v>
      </c>
      <c r="U8" s="3">
        <v>1</v>
      </c>
      <c r="V8" s="3">
        <v>6</v>
      </c>
      <c r="W8" s="22">
        <f t="shared" si="4"/>
        <v>7</v>
      </c>
      <c r="X8" s="3">
        <f t="shared" si="5"/>
        <v>1</v>
      </c>
      <c r="Z8" s="3" t="str">
        <f t="shared" si="0"/>
        <v>Semana 6</v>
      </c>
      <c r="AA8" s="14">
        <f t="shared" si="1"/>
        <v>49344</v>
      </c>
      <c r="AB8" s="14">
        <f t="shared" si="6"/>
        <v>49350</v>
      </c>
      <c r="AC8" s="8" t="str">
        <f t="shared" si="7"/>
        <v>Semana 6: de 04/fev/2035 a 10/fev/2035</v>
      </c>
      <c r="AD8" s="4">
        <f t="shared" si="2"/>
        <v>49341</v>
      </c>
      <c r="AE8" s="3">
        <f t="shared" si="10"/>
        <v>6</v>
      </c>
      <c r="AF8" s="1"/>
      <c r="AL8" s="3">
        <v>6</v>
      </c>
      <c r="AM8" s="4">
        <f>'Gráfico Controle de Resultados'!F10</f>
        <v>49461</v>
      </c>
      <c r="AN8" s="3">
        <f>COUNTIF('Gráfico Controle de Resultados'!W:W,Auxiliar!AM8)</f>
        <v>0</v>
      </c>
      <c r="AO8" s="3">
        <f t="shared" si="11"/>
        <v>9</v>
      </c>
      <c r="AT8" s="3">
        <f t="shared" si="12"/>
        <v>6</v>
      </c>
      <c r="AU8" s="3">
        <f>COUNTIF('Gráfico Controle de Resultados'!X:X,Auxiliar!AT8)</f>
        <v>1</v>
      </c>
      <c r="AV8" s="3">
        <f t="shared" si="13"/>
        <v>1</v>
      </c>
      <c r="AX8" s="3" t="str">
        <f>'Gráfico Controle de Resultados'!M10</f>
        <v/>
      </c>
      <c r="AY8" s="3" t="e">
        <f t="shared" si="8"/>
        <v>#N/A</v>
      </c>
    </row>
    <row r="9" spans="2:60" x14ac:dyDescent="0.35">
      <c r="B9" s="3" t="s">
        <v>43</v>
      </c>
      <c r="C9" s="3" t="s">
        <v>43</v>
      </c>
      <c r="D9" s="3" t="s">
        <v>44</v>
      </c>
      <c r="E9" s="3" t="s">
        <v>72</v>
      </c>
      <c r="K9" s="3">
        <f t="shared" si="9"/>
        <v>2031</v>
      </c>
      <c r="S9" s="3">
        <f t="shared" si="3"/>
        <v>2</v>
      </c>
      <c r="T9" s="7">
        <f>DATE('Gráfico Controle de Resultados'!$C$9,Auxiliar!U9,Auxiliar!V9)</f>
        <v>49316</v>
      </c>
      <c r="U9" s="3">
        <v>1</v>
      </c>
      <c r="V9" s="3">
        <v>7</v>
      </c>
      <c r="W9" s="22">
        <f t="shared" si="4"/>
        <v>1</v>
      </c>
      <c r="X9" s="3">
        <f t="shared" si="5"/>
        <v>2</v>
      </c>
      <c r="Z9" s="3" t="str">
        <f t="shared" si="0"/>
        <v>Semana 7</v>
      </c>
      <c r="AA9" s="14">
        <f t="shared" si="1"/>
        <v>49351</v>
      </c>
      <c r="AB9" s="14">
        <f t="shared" si="6"/>
        <v>49357</v>
      </c>
      <c r="AC9" s="8" t="str">
        <f t="shared" si="7"/>
        <v>Semana 7: de 11/fev/2035 a 17/fev/2035</v>
      </c>
      <c r="AD9" s="4">
        <f t="shared" si="2"/>
        <v>49341</v>
      </c>
      <c r="AE9" s="3">
        <f t="shared" si="10"/>
        <v>7</v>
      </c>
      <c r="AF9" s="1"/>
      <c r="AL9" s="3">
        <v>7</v>
      </c>
      <c r="AM9" s="4">
        <f>'Gráfico Controle de Resultados'!F11</f>
        <v>49491</v>
      </c>
      <c r="AN9" s="3">
        <f>COUNTIF('Gráfico Controle de Resultados'!W:W,Auxiliar!AM9)</f>
        <v>0</v>
      </c>
      <c r="AO9" s="3">
        <f t="shared" si="11"/>
        <v>9</v>
      </c>
      <c r="AT9" s="3">
        <f t="shared" si="12"/>
        <v>7</v>
      </c>
      <c r="AU9" s="3">
        <f>COUNTIF('Gráfico Controle de Resultados'!X:X,Auxiliar!AT9)</f>
        <v>5</v>
      </c>
      <c r="AV9" s="3">
        <f t="shared" si="13"/>
        <v>6</v>
      </c>
      <c r="AX9" s="3" t="str">
        <f>'Gráfico Controle de Resultados'!M11</f>
        <v/>
      </c>
      <c r="AY9" s="3" t="e">
        <f t="shared" si="8"/>
        <v>#N/A</v>
      </c>
    </row>
    <row r="10" spans="2:60" x14ac:dyDescent="0.35">
      <c r="B10" s="3" t="s">
        <v>50</v>
      </c>
      <c r="C10" s="3" t="s">
        <v>43</v>
      </c>
      <c r="D10" s="3" t="s">
        <v>46</v>
      </c>
      <c r="E10" s="3" t="s">
        <v>73</v>
      </c>
      <c r="K10" s="3">
        <f t="shared" si="9"/>
        <v>2032</v>
      </c>
      <c r="S10" s="3">
        <f t="shared" si="3"/>
        <v>2</v>
      </c>
      <c r="T10" s="7">
        <f>DATE('Gráfico Controle de Resultados'!$C$9,Auxiliar!U10,Auxiliar!V10)</f>
        <v>49317</v>
      </c>
      <c r="U10" s="3">
        <v>1</v>
      </c>
      <c r="V10" s="3">
        <v>8</v>
      </c>
      <c r="W10" s="22">
        <f t="shared" si="4"/>
        <v>2</v>
      </c>
      <c r="X10" s="3">
        <f t="shared" si="5"/>
        <v>2</v>
      </c>
      <c r="Z10" s="3" t="str">
        <f t="shared" si="0"/>
        <v>Semana 8</v>
      </c>
      <c r="AA10" s="14">
        <f t="shared" si="1"/>
        <v>49358</v>
      </c>
      <c r="AB10" s="14">
        <f t="shared" si="6"/>
        <v>49364</v>
      </c>
      <c r="AC10" s="8" t="str">
        <f t="shared" si="7"/>
        <v>Semana 8: de 18/fev/2035 a 24/fev/2035</v>
      </c>
      <c r="AD10" s="4">
        <f t="shared" si="2"/>
        <v>49341</v>
      </c>
      <c r="AE10" s="3">
        <f t="shared" si="10"/>
        <v>8</v>
      </c>
      <c r="AF10" s="1"/>
      <c r="AL10" s="3">
        <v>8</v>
      </c>
      <c r="AM10" s="4">
        <f>'Gráfico Controle de Resultados'!F12</f>
        <v>49522</v>
      </c>
      <c r="AN10" s="3">
        <f>COUNTIF('Gráfico Controle de Resultados'!W:W,Auxiliar!AM10)</f>
        <v>0</v>
      </c>
      <c r="AO10" s="3">
        <f t="shared" si="11"/>
        <v>9</v>
      </c>
      <c r="AT10" s="3">
        <f t="shared" si="12"/>
        <v>8</v>
      </c>
      <c r="AU10" s="3">
        <f>COUNTIF('Gráfico Controle de Resultados'!X:X,Auxiliar!AT10)</f>
        <v>2</v>
      </c>
      <c r="AV10" s="3">
        <f t="shared" si="13"/>
        <v>8</v>
      </c>
      <c r="AX10" s="3" t="str">
        <f>'Gráfico Controle de Resultados'!M12</f>
        <v/>
      </c>
      <c r="AY10" s="3" t="e">
        <f t="shared" si="8"/>
        <v>#N/A</v>
      </c>
    </row>
    <row r="11" spans="2:60" x14ac:dyDescent="0.35">
      <c r="K11" s="3">
        <f t="shared" si="9"/>
        <v>2033</v>
      </c>
      <c r="S11" s="3">
        <f t="shared" si="3"/>
        <v>2</v>
      </c>
      <c r="T11" s="7">
        <f>DATE('Gráfico Controle de Resultados'!$C$9,Auxiliar!U11,Auxiliar!V11)</f>
        <v>49318</v>
      </c>
      <c r="U11" s="3">
        <v>1</v>
      </c>
      <c r="V11" s="3">
        <v>9</v>
      </c>
      <c r="W11" s="22">
        <f t="shared" si="4"/>
        <v>3</v>
      </c>
      <c r="X11" s="3">
        <f t="shared" si="5"/>
        <v>2</v>
      </c>
      <c r="Z11" s="3" t="str">
        <f t="shared" si="0"/>
        <v>Semana 9</v>
      </c>
      <c r="AA11" s="14">
        <f t="shared" si="1"/>
        <v>49365</v>
      </c>
      <c r="AB11" s="14">
        <f t="shared" si="6"/>
        <v>49371</v>
      </c>
      <c r="AC11" s="8" t="str">
        <f t="shared" si="7"/>
        <v>Semana 9: de 25/fev/2035 a 03/mar/2035</v>
      </c>
      <c r="AD11" s="4">
        <f t="shared" si="2"/>
        <v>49341</v>
      </c>
      <c r="AE11" s="3">
        <f t="shared" si="10"/>
        <v>9</v>
      </c>
      <c r="AF11" s="1"/>
      <c r="AL11" s="3">
        <v>9</v>
      </c>
      <c r="AM11" s="4">
        <f>'Gráfico Controle de Resultados'!F13</f>
        <v>49553</v>
      </c>
      <c r="AN11" s="3">
        <f>COUNTIF('Gráfico Controle de Resultados'!W:W,Auxiliar!AM11)</f>
        <v>0</v>
      </c>
      <c r="AO11" s="3">
        <f t="shared" si="11"/>
        <v>9</v>
      </c>
      <c r="AT11" s="3">
        <f t="shared" si="12"/>
        <v>9</v>
      </c>
      <c r="AU11" s="3">
        <f>COUNTIF('Gráfico Controle de Resultados'!X:X,Auxiliar!AT11)</f>
        <v>1</v>
      </c>
      <c r="AV11" s="3">
        <f t="shared" si="13"/>
        <v>9</v>
      </c>
      <c r="AX11" s="1"/>
    </row>
    <row r="12" spans="2:60" x14ac:dyDescent="0.35">
      <c r="K12" s="3">
        <f t="shared" si="9"/>
        <v>2034</v>
      </c>
      <c r="S12" s="3">
        <f t="shared" si="3"/>
        <v>2</v>
      </c>
      <c r="T12" s="7">
        <f>DATE('Gráfico Controle de Resultados'!$C$9,Auxiliar!U12,Auxiliar!V12)</f>
        <v>49319</v>
      </c>
      <c r="U12" s="3">
        <v>1</v>
      </c>
      <c r="V12" s="3">
        <v>10</v>
      </c>
      <c r="W12" s="22">
        <f t="shared" si="4"/>
        <v>4</v>
      </c>
      <c r="X12" s="3">
        <f t="shared" si="5"/>
        <v>2</v>
      </c>
      <c r="Z12" s="3" t="str">
        <f t="shared" si="0"/>
        <v>Semana 10</v>
      </c>
      <c r="AA12" s="14">
        <f t="shared" si="1"/>
        <v>49372</v>
      </c>
      <c r="AB12" s="14">
        <f t="shared" si="6"/>
        <v>49378</v>
      </c>
      <c r="AC12" s="8" t="str">
        <f t="shared" si="7"/>
        <v>Semana 10: de 04/mar/2035 a 10/mar/2035</v>
      </c>
      <c r="AD12" s="4">
        <f t="shared" si="2"/>
        <v>49369</v>
      </c>
      <c r="AE12" s="3">
        <f t="shared" si="10"/>
        <v>10</v>
      </c>
      <c r="AF12" s="1"/>
      <c r="AL12" s="3">
        <v>10</v>
      </c>
      <c r="AM12" s="4">
        <f>'Gráfico Controle de Resultados'!F14</f>
        <v>49583</v>
      </c>
      <c r="AN12" s="3">
        <f>COUNTIF('Gráfico Controle de Resultados'!W:W,Auxiliar!AM12)</f>
        <v>0</v>
      </c>
      <c r="AO12" s="3">
        <f t="shared" si="11"/>
        <v>9</v>
      </c>
      <c r="AT12" s="3">
        <f t="shared" si="12"/>
        <v>10</v>
      </c>
      <c r="AU12" s="3">
        <f>COUNTIF('Gráfico Controle de Resultados'!X:X,Auxiliar!AT12)</f>
        <v>0</v>
      </c>
      <c r="AV12" s="3">
        <f t="shared" si="13"/>
        <v>9</v>
      </c>
    </row>
    <row r="13" spans="2:60" x14ac:dyDescent="0.35">
      <c r="K13" s="3">
        <f t="shared" si="9"/>
        <v>2035</v>
      </c>
      <c r="S13" s="3">
        <f t="shared" si="3"/>
        <v>2</v>
      </c>
      <c r="T13" s="7">
        <f>DATE('Gráfico Controle de Resultados'!$C$9,Auxiliar!U13,Auxiliar!V13)</f>
        <v>49320</v>
      </c>
      <c r="U13" s="3">
        <v>1</v>
      </c>
      <c r="V13" s="3">
        <v>11</v>
      </c>
      <c r="W13" s="22">
        <f t="shared" si="4"/>
        <v>5</v>
      </c>
      <c r="X13" s="3">
        <f t="shared" si="5"/>
        <v>2</v>
      </c>
      <c r="Z13" s="3" t="str">
        <f t="shared" si="0"/>
        <v>Semana 11</v>
      </c>
      <c r="AA13" s="14">
        <f t="shared" si="1"/>
        <v>49379</v>
      </c>
      <c r="AB13" s="14">
        <f t="shared" si="6"/>
        <v>49385</v>
      </c>
      <c r="AC13" s="8" t="str">
        <f t="shared" si="7"/>
        <v>Semana 11: de 11/mar/2035 a 17/mar/2035</v>
      </c>
      <c r="AD13" s="4">
        <f t="shared" si="2"/>
        <v>49369</v>
      </c>
      <c r="AE13" s="3">
        <f t="shared" si="10"/>
        <v>11</v>
      </c>
      <c r="AF13" s="1"/>
      <c r="AL13" s="3">
        <v>11</v>
      </c>
      <c r="AM13" s="4">
        <f>'Gráfico Controle de Resultados'!F15</f>
        <v>49614</v>
      </c>
      <c r="AN13" s="3">
        <f>COUNTIF('Gráfico Controle de Resultados'!W:W,Auxiliar!AM13)</f>
        <v>0</v>
      </c>
      <c r="AO13" s="3">
        <f t="shared" si="11"/>
        <v>9</v>
      </c>
      <c r="AT13" s="3">
        <f t="shared" si="12"/>
        <v>11</v>
      </c>
      <c r="AU13" s="3">
        <f>COUNTIF('Gráfico Controle de Resultados'!X:X,Auxiliar!AT13)</f>
        <v>0</v>
      </c>
      <c r="AV13" s="3">
        <f t="shared" si="13"/>
        <v>9</v>
      </c>
    </row>
    <row r="14" spans="2:60" x14ac:dyDescent="0.35">
      <c r="K14" s="3">
        <f t="shared" si="9"/>
        <v>2036</v>
      </c>
      <c r="S14" s="3">
        <f t="shared" si="3"/>
        <v>2</v>
      </c>
      <c r="T14" s="7">
        <f>DATE('Gráfico Controle de Resultados'!$C$9,Auxiliar!U14,Auxiliar!V14)</f>
        <v>49321</v>
      </c>
      <c r="U14" s="3">
        <v>1</v>
      </c>
      <c r="V14" s="3">
        <v>12</v>
      </c>
      <c r="W14" s="22">
        <f t="shared" si="4"/>
        <v>6</v>
      </c>
      <c r="X14" s="3">
        <f t="shared" si="5"/>
        <v>2</v>
      </c>
      <c r="Z14" s="3" t="str">
        <f t="shared" si="0"/>
        <v>Semana 12</v>
      </c>
      <c r="AA14" s="14">
        <f t="shared" si="1"/>
        <v>49386</v>
      </c>
      <c r="AB14" s="14">
        <f t="shared" si="6"/>
        <v>49392</v>
      </c>
      <c r="AC14" s="8" t="str">
        <f t="shared" si="7"/>
        <v>Semana 12: de 18/mar/2035 a 24/mar/2035</v>
      </c>
      <c r="AD14" s="4">
        <f t="shared" si="2"/>
        <v>49369</v>
      </c>
      <c r="AE14" s="3">
        <f t="shared" si="10"/>
        <v>12</v>
      </c>
      <c r="AF14" s="1"/>
      <c r="AL14" s="3">
        <v>12</v>
      </c>
      <c r="AM14" s="4">
        <f>'Gráfico Controle de Resultados'!F16</f>
        <v>49644</v>
      </c>
      <c r="AN14" s="3">
        <f>COUNTIF('Gráfico Controle de Resultados'!W:W,Auxiliar!AM14)</f>
        <v>0</v>
      </c>
      <c r="AO14" s="3">
        <f t="shared" si="11"/>
        <v>9</v>
      </c>
      <c r="AT14" s="3">
        <f t="shared" si="12"/>
        <v>12</v>
      </c>
      <c r="AU14" s="3">
        <f>COUNTIF('Gráfico Controle de Resultados'!X:X,Auxiliar!AT14)</f>
        <v>0</v>
      </c>
      <c r="AV14" s="3">
        <f t="shared" si="13"/>
        <v>9</v>
      </c>
    </row>
    <row r="15" spans="2:60" x14ac:dyDescent="0.35">
      <c r="K15" s="3">
        <f t="shared" si="9"/>
        <v>2037</v>
      </c>
      <c r="S15" s="3">
        <f t="shared" si="3"/>
        <v>2</v>
      </c>
      <c r="T15" s="7">
        <f>DATE('Gráfico Controle de Resultados'!$C$9,Auxiliar!U15,Auxiliar!V15)</f>
        <v>49322</v>
      </c>
      <c r="U15" s="3">
        <v>1</v>
      </c>
      <c r="V15" s="3">
        <v>13</v>
      </c>
      <c r="W15" s="22">
        <f t="shared" si="4"/>
        <v>7</v>
      </c>
      <c r="X15" s="3">
        <f t="shared" si="5"/>
        <v>2</v>
      </c>
      <c r="Z15" s="3" t="str">
        <f t="shared" si="0"/>
        <v>Semana 13</v>
      </c>
      <c r="AA15" s="14">
        <f t="shared" si="1"/>
        <v>49393</v>
      </c>
      <c r="AB15" s="14">
        <f t="shared" si="6"/>
        <v>49399</v>
      </c>
      <c r="AC15" s="8" t="str">
        <f t="shared" si="7"/>
        <v>Semana 13: de 25/mar/2035 a 31/mar/2035</v>
      </c>
      <c r="AD15" s="4">
        <f t="shared" si="2"/>
        <v>49369</v>
      </c>
      <c r="AE15" s="3">
        <f t="shared" si="10"/>
        <v>13</v>
      </c>
      <c r="AF15" s="1"/>
      <c r="AT15" s="3">
        <f t="shared" si="12"/>
        <v>13</v>
      </c>
      <c r="AU15" s="3">
        <f>COUNTIF('Gráfico Controle de Resultados'!X:X,Auxiliar!AT15)</f>
        <v>0</v>
      </c>
      <c r="AV15" s="3">
        <f t="shared" si="13"/>
        <v>9</v>
      </c>
    </row>
    <row r="16" spans="2:60" x14ac:dyDescent="0.35">
      <c r="K16" s="3">
        <f t="shared" si="9"/>
        <v>2038</v>
      </c>
      <c r="S16" s="3">
        <f t="shared" si="3"/>
        <v>3</v>
      </c>
      <c r="T16" s="7">
        <f>DATE('Gráfico Controle de Resultados'!$C$9,Auxiliar!U16,Auxiliar!V16)</f>
        <v>49323</v>
      </c>
      <c r="U16" s="3">
        <v>1</v>
      </c>
      <c r="V16" s="3">
        <v>14</v>
      </c>
      <c r="W16" s="22">
        <f t="shared" si="4"/>
        <v>1</v>
      </c>
      <c r="X16" s="3">
        <f t="shared" si="5"/>
        <v>3</v>
      </c>
      <c r="Z16" s="3" t="str">
        <f t="shared" si="0"/>
        <v>Semana 14</v>
      </c>
      <c r="AA16" s="14">
        <f t="shared" si="1"/>
        <v>49400</v>
      </c>
      <c r="AB16" s="14">
        <f t="shared" si="6"/>
        <v>49406</v>
      </c>
      <c r="AC16" s="8" t="str">
        <f t="shared" si="7"/>
        <v>Semana 14: de 01/abr/2035 a 07/abr/2035</v>
      </c>
      <c r="AD16" s="4">
        <f t="shared" si="2"/>
        <v>49400</v>
      </c>
      <c r="AE16" s="3">
        <f t="shared" si="10"/>
        <v>14</v>
      </c>
      <c r="AF16" s="1"/>
      <c r="AT16" s="3">
        <f t="shared" si="12"/>
        <v>14</v>
      </c>
      <c r="AU16" s="3">
        <f>COUNTIF('Gráfico Controle de Resultados'!X:X,Auxiliar!AT16)</f>
        <v>0</v>
      </c>
      <c r="AV16" s="3">
        <f t="shared" si="13"/>
        <v>9</v>
      </c>
    </row>
    <row r="17" spans="11:48" x14ac:dyDescent="0.35">
      <c r="K17" s="3">
        <f t="shared" si="9"/>
        <v>2039</v>
      </c>
      <c r="S17" s="3">
        <f t="shared" si="3"/>
        <v>3</v>
      </c>
      <c r="T17" s="7">
        <f>DATE('Gráfico Controle de Resultados'!$C$9,Auxiliar!U17,Auxiliar!V17)</f>
        <v>49324</v>
      </c>
      <c r="U17" s="3">
        <v>1</v>
      </c>
      <c r="V17" s="3">
        <v>15</v>
      </c>
      <c r="W17" s="22">
        <f t="shared" si="4"/>
        <v>2</v>
      </c>
      <c r="X17" s="3">
        <f t="shared" si="5"/>
        <v>3</v>
      </c>
      <c r="Z17" s="3" t="str">
        <f t="shared" si="0"/>
        <v>Semana 15</v>
      </c>
      <c r="AA17" s="14">
        <f t="shared" si="1"/>
        <v>49407</v>
      </c>
      <c r="AB17" s="14">
        <f t="shared" si="6"/>
        <v>49413</v>
      </c>
      <c r="AC17" s="8" t="str">
        <f t="shared" si="7"/>
        <v>Semana 15: de 08/abr/2035 a 14/abr/2035</v>
      </c>
      <c r="AD17" s="4">
        <f t="shared" si="2"/>
        <v>49400</v>
      </c>
      <c r="AE17" s="3">
        <f t="shared" si="10"/>
        <v>15</v>
      </c>
      <c r="AF17" s="1"/>
      <c r="AT17" s="3">
        <f t="shared" si="12"/>
        <v>15</v>
      </c>
      <c r="AU17" s="3">
        <f>COUNTIF('Gráfico Controle de Resultados'!X:X,Auxiliar!AT17)</f>
        <v>0</v>
      </c>
      <c r="AV17" s="3">
        <f t="shared" si="13"/>
        <v>9</v>
      </c>
    </row>
    <row r="18" spans="11:48" x14ac:dyDescent="0.35">
      <c r="K18" s="3">
        <f t="shared" si="9"/>
        <v>2040</v>
      </c>
      <c r="S18" s="3">
        <f t="shared" si="3"/>
        <v>3</v>
      </c>
      <c r="T18" s="7">
        <f>DATE('Gráfico Controle de Resultados'!$C$9,Auxiliar!U18,Auxiliar!V18)</f>
        <v>49325</v>
      </c>
      <c r="U18" s="3">
        <v>1</v>
      </c>
      <c r="V18" s="3">
        <v>16</v>
      </c>
      <c r="W18" s="22">
        <f t="shared" si="4"/>
        <v>3</v>
      </c>
      <c r="X18" s="3">
        <f t="shared" si="5"/>
        <v>3</v>
      </c>
      <c r="Z18" s="3" t="str">
        <f t="shared" si="0"/>
        <v>Semana 16</v>
      </c>
      <c r="AA18" s="14">
        <f t="shared" si="1"/>
        <v>49414</v>
      </c>
      <c r="AB18" s="14">
        <f t="shared" si="6"/>
        <v>49420</v>
      </c>
      <c r="AC18" s="8" t="str">
        <f t="shared" si="7"/>
        <v>Semana 16: de 15/abr/2035 a 21/abr/2035</v>
      </c>
      <c r="AD18" s="4">
        <f t="shared" si="2"/>
        <v>49400</v>
      </c>
      <c r="AE18" s="3">
        <f t="shared" si="10"/>
        <v>16</v>
      </c>
      <c r="AF18" s="1"/>
      <c r="AT18" s="3">
        <f t="shared" si="12"/>
        <v>16</v>
      </c>
      <c r="AU18" s="3">
        <f>COUNTIF('Gráfico Controle de Resultados'!X:X,Auxiliar!AT18)</f>
        <v>0</v>
      </c>
      <c r="AV18" s="3">
        <f t="shared" si="13"/>
        <v>9</v>
      </c>
    </row>
    <row r="19" spans="11:48" x14ac:dyDescent="0.35">
      <c r="K19" s="3">
        <f t="shared" si="9"/>
        <v>2041</v>
      </c>
      <c r="S19" s="3">
        <f t="shared" si="3"/>
        <v>3</v>
      </c>
      <c r="T19" s="7">
        <f>DATE('Gráfico Controle de Resultados'!$C$9,Auxiliar!U19,Auxiliar!V19)</f>
        <v>49326</v>
      </c>
      <c r="U19" s="3">
        <v>1</v>
      </c>
      <c r="V19" s="3">
        <v>17</v>
      </c>
      <c r="W19" s="22">
        <f t="shared" si="4"/>
        <v>4</v>
      </c>
      <c r="X19" s="3">
        <f t="shared" si="5"/>
        <v>3</v>
      </c>
      <c r="Z19" s="3" t="str">
        <f t="shared" si="0"/>
        <v>Semana 17</v>
      </c>
      <c r="AA19" s="14">
        <f t="shared" si="1"/>
        <v>49421</v>
      </c>
      <c r="AB19" s="14">
        <f t="shared" si="6"/>
        <v>49427</v>
      </c>
      <c r="AC19" s="8" t="str">
        <f t="shared" si="7"/>
        <v>Semana 17: de 22/abr/2035 a 28/abr/2035</v>
      </c>
      <c r="AD19" s="4">
        <f t="shared" si="2"/>
        <v>49400</v>
      </c>
      <c r="AE19" s="3">
        <f t="shared" si="10"/>
        <v>17</v>
      </c>
      <c r="AF19" s="1"/>
      <c r="AT19" s="3">
        <f t="shared" si="12"/>
        <v>17</v>
      </c>
      <c r="AU19" s="3">
        <f>COUNTIF('Gráfico Controle de Resultados'!X:X,Auxiliar!AT19)</f>
        <v>0</v>
      </c>
      <c r="AV19" s="3">
        <f t="shared" si="13"/>
        <v>9</v>
      </c>
    </row>
    <row r="20" spans="11:48" x14ac:dyDescent="0.35">
      <c r="K20" s="3">
        <f t="shared" si="9"/>
        <v>2042</v>
      </c>
      <c r="S20" s="3">
        <f t="shared" si="3"/>
        <v>3</v>
      </c>
      <c r="T20" s="7">
        <f>DATE('Gráfico Controle de Resultados'!$C$9,Auxiliar!U20,Auxiliar!V20)</f>
        <v>49327</v>
      </c>
      <c r="U20" s="3">
        <v>1</v>
      </c>
      <c r="V20" s="3">
        <v>18</v>
      </c>
      <c r="W20" s="22">
        <f t="shared" si="4"/>
        <v>5</v>
      </c>
      <c r="X20" s="3">
        <f t="shared" si="5"/>
        <v>3</v>
      </c>
      <c r="Z20" s="3" t="str">
        <f t="shared" si="0"/>
        <v>Semana 18</v>
      </c>
      <c r="AA20" s="14">
        <f t="shared" si="1"/>
        <v>49428</v>
      </c>
      <c r="AB20" s="14">
        <f t="shared" si="6"/>
        <v>49434</v>
      </c>
      <c r="AC20" s="8" t="str">
        <f t="shared" si="7"/>
        <v>Semana 18: de 29/abr/2035 a 05/mai/2035</v>
      </c>
      <c r="AD20" s="4">
        <f t="shared" si="2"/>
        <v>49400</v>
      </c>
      <c r="AE20" s="3">
        <f t="shared" si="10"/>
        <v>18</v>
      </c>
      <c r="AF20" s="1"/>
      <c r="AT20" s="3">
        <f t="shared" si="12"/>
        <v>18</v>
      </c>
      <c r="AU20" s="3">
        <f>COUNTIF('Gráfico Controle de Resultados'!X:X,Auxiliar!AT20)</f>
        <v>0</v>
      </c>
      <c r="AV20" s="3">
        <f t="shared" si="13"/>
        <v>9</v>
      </c>
    </row>
    <row r="21" spans="11:48" x14ac:dyDescent="0.35">
      <c r="K21" s="3">
        <f t="shared" si="9"/>
        <v>2043</v>
      </c>
      <c r="S21" s="3">
        <f t="shared" si="3"/>
        <v>3</v>
      </c>
      <c r="T21" s="7">
        <f>DATE('Gráfico Controle de Resultados'!$C$9,Auxiliar!U21,Auxiliar!V21)</f>
        <v>49328</v>
      </c>
      <c r="U21" s="3">
        <v>1</v>
      </c>
      <c r="V21" s="3">
        <v>19</v>
      </c>
      <c r="W21" s="22">
        <f t="shared" si="4"/>
        <v>6</v>
      </c>
      <c r="X21" s="3">
        <f t="shared" si="5"/>
        <v>3</v>
      </c>
      <c r="Z21" s="3" t="str">
        <f t="shared" si="0"/>
        <v>Semana 19</v>
      </c>
      <c r="AA21" s="14">
        <f t="shared" si="1"/>
        <v>49435</v>
      </c>
      <c r="AB21" s="14">
        <f t="shared" si="6"/>
        <v>49441</v>
      </c>
      <c r="AC21" s="8" t="str">
        <f t="shared" si="7"/>
        <v>Semana 19: de 06/mai/2035 a 12/mai/2035</v>
      </c>
      <c r="AD21" s="4">
        <f t="shared" si="2"/>
        <v>49430</v>
      </c>
      <c r="AE21" s="3">
        <f t="shared" si="10"/>
        <v>19</v>
      </c>
      <c r="AF21" s="1"/>
      <c r="AT21" s="3">
        <f t="shared" si="12"/>
        <v>19</v>
      </c>
      <c r="AU21" s="3">
        <f>COUNTIF('Gráfico Controle de Resultados'!X:X,Auxiliar!AT21)</f>
        <v>0</v>
      </c>
      <c r="AV21" s="3">
        <f t="shared" si="13"/>
        <v>9</v>
      </c>
    </row>
    <row r="22" spans="11:48" x14ac:dyDescent="0.35">
      <c r="K22" s="3">
        <f t="shared" si="9"/>
        <v>2044</v>
      </c>
      <c r="S22" s="3">
        <f t="shared" si="3"/>
        <v>3</v>
      </c>
      <c r="T22" s="7">
        <f>DATE('Gráfico Controle de Resultados'!$C$9,Auxiliar!U22,Auxiliar!V22)</f>
        <v>49329</v>
      </c>
      <c r="U22" s="3">
        <v>1</v>
      </c>
      <c r="V22" s="3">
        <v>20</v>
      </c>
      <c r="W22" s="22">
        <f t="shared" si="4"/>
        <v>7</v>
      </c>
      <c r="X22" s="3">
        <f t="shared" si="5"/>
        <v>3</v>
      </c>
      <c r="Z22" s="3" t="str">
        <f t="shared" si="0"/>
        <v>Semana 20</v>
      </c>
      <c r="AA22" s="14">
        <f t="shared" si="1"/>
        <v>49442</v>
      </c>
      <c r="AB22" s="14">
        <f t="shared" si="6"/>
        <v>49448</v>
      </c>
      <c r="AC22" s="8" t="str">
        <f t="shared" si="7"/>
        <v>Semana 20: de 13/mai/2035 a 19/mai/2035</v>
      </c>
      <c r="AD22" s="4">
        <f t="shared" si="2"/>
        <v>49430</v>
      </c>
      <c r="AE22" s="3">
        <f t="shared" si="10"/>
        <v>20</v>
      </c>
      <c r="AF22" s="1"/>
      <c r="AT22" s="3">
        <f t="shared" si="12"/>
        <v>20</v>
      </c>
      <c r="AU22" s="3">
        <f>COUNTIF('Gráfico Controle de Resultados'!X:X,Auxiliar!AT22)</f>
        <v>0</v>
      </c>
      <c r="AV22" s="3">
        <f t="shared" si="13"/>
        <v>9</v>
      </c>
    </row>
    <row r="23" spans="11:48" x14ac:dyDescent="0.35">
      <c r="K23" s="3">
        <f t="shared" si="9"/>
        <v>2045</v>
      </c>
      <c r="S23" s="3">
        <f t="shared" si="3"/>
        <v>4</v>
      </c>
      <c r="T23" s="7">
        <f>DATE('Gráfico Controle de Resultados'!$C$9,Auxiliar!U23,Auxiliar!V23)</f>
        <v>49330</v>
      </c>
      <c r="U23" s="3">
        <v>1</v>
      </c>
      <c r="V23" s="3">
        <v>21</v>
      </c>
      <c r="W23" s="22">
        <f t="shared" si="4"/>
        <v>1</v>
      </c>
      <c r="X23" s="3">
        <f t="shared" si="5"/>
        <v>4</v>
      </c>
      <c r="Z23" s="3" t="str">
        <f t="shared" si="0"/>
        <v>Semana 21</v>
      </c>
      <c r="AA23" s="14">
        <f t="shared" si="1"/>
        <v>49449</v>
      </c>
      <c r="AB23" s="14">
        <f t="shared" si="6"/>
        <v>49455</v>
      </c>
      <c r="AC23" s="8" t="str">
        <f t="shared" si="7"/>
        <v>Semana 21: de 20/mai/2035 a 26/mai/2035</v>
      </c>
      <c r="AD23" s="4">
        <f t="shared" si="2"/>
        <v>49430</v>
      </c>
      <c r="AE23" s="3">
        <f t="shared" si="10"/>
        <v>21</v>
      </c>
      <c r="AF23" s="1"/>
      <c r="AT23" s="3">
        <f t="shared" si="12"/>
        <v>21</v>
      </c>
      <c r="AU23" s="3">
        <f>COUNTIF('Gráfico Controle de Resultados'!X:X,Auxiliar!AT23)</f>
        <v>0</v>
      </c>
      <c r="AV23" s="3">
        <f t="shared" si="13"/>
        <v>9</v>
      </c>
    </row>
    <row r="24" spans="11:48" x14ac:dyDescent="0.35">
      <c r="K24" s="3">
        <f t="shared" si="9"/>
        <v>2046</v>
      </c>
      <c r="S24" s="3">
        <f t="shared" si="3"/>
        <v>4</v>
      </c>
      <c r="T24" s="7">
        <f>DATE('Gráfico Controle de Resultados'!$C$9,Auxiliar!U24,Auxiliar!V24)</f>
        <v>49331</v>
      </c>
      <c r="U24" s="3">
        <v>1</v>
      </c>
      <c r="V24" s="3">
        <v>22</v>
      </c>
      <c r="W24" s="22">
        <f t="shared" si="4"/>
        <v>2</v>
      </c>
      <c r="X24" s="3">
        <f t="shared" si="5"/>
        <v>4</v>
      </c>
      <c r="Z24" s="3" t="str">
        <f t="shared" si="0"/>
        <v>Semana 22</v>
      </c>
      <c r="AA24" s="14">
        <f t="shared" si="1"/>
        <v>49456</v>
      </c>
      <c r="AB24" s="14">
        <f t="shared" si="6"/>
        <v>49462</v>
      </c>
      <c r="AC24" s="8" t="str">
        <f t="shared" si="7"/>
        <v>Semana 22: de 27/mai/2035 a 02/jun/2035</v>
      </c>
      <c r="AD24" s="4">
        <f t="shared" si="2"/>
        <v>49430</v>
      </c>
      <c r="AE24" s="3">
        <f t="shared" si="10"/>
        <v>22</v>
      </c>
      <c r="AF24" s="1"/>
      <c r="AT24" s="3">
        <f t="shared" si="12"/>
        <v>22</v>
      </c>
      <c r="AU24" s="3">
        <f>COUNTIF('Gráfico Controle de Resultados'!X:X,Auxiliar!AT24)</f>
        <v>0</v>
      </c>
      <c r="AV24" s="3">
        <f t="shared" si="13"/>
        <v>9</v>
      </c>
    </row>
    <row r="25" spans="11:48" x14ac:dyDescent="0.35">
      <c r="K25" s="3">
        <f t="shared" si="9"/>
        <v>2047</v>
      </c>
      <c r="S25" s="3">
        <f t="shared" si="3"/>
        <v>4</v>
      </c>
      <c r="T25" s="7">
        <f>DATE('Gráfico Controle de Resultados'!$C$9,Auxiliar!U25,Auxiliar!V25)</f>
        <v>49332</v>
      </c>
      <c r="U25" s="3">
        <v>1</v>
      </c>
      <c r="V25" s="3">
        <v>23</v>
      </c>
      <c r="W25" s="22">
        <f t="shared" si="4"/>
        <v>3</v>
      </c>
      <c r="X25" s="3">
        <f t="shared" si="5"/>
        <v>4</v>
      </c>
      <c r="Z25" s="3" t="str">
        <f t="shared" si="0"/>
        <v>Semana 23</v>
      </c>
      <c r="AA25" s="14">
        <f t="shared" si="1"/>
        <v>49463</v>
      </c>
      <c r="AB25" s="14">
        <f t="shared" si="6"/>
        <v>49469</v>
      </c>
      <c r="AC25" s="8" t="str">
        <f t="shared" si="7"/>
        <v>Semana 23: de 03/jun/2035 a 09/jun/2035</v>
      </c>
      <c r="AD25" s="4">
        <f t="shared" si="2"/>
        <v>49461</v>
      </c>
      <c r="AE25" s="3">
        <f t="shared" si="10"/>
        <v>23</v>
      </c>
      <c r="AF25" s="1"/>
      <c r="AT25" s="3">
        <f t="shared" si="12"/>
        <v>23</v>
      </c>
      <c r="AU25" s="3">
        <f>COUNTIF('Gráfico Controle de Resultados'!X:X,Auxiliar!AT25)</f>
        <v>0</v>
      </c>
      <c r="AV25" s="3">
        <f t="shared" si="13"/>
        <v>9</v>
      </c>
    </row>
    <row r="26" spans="11:48" x14ac:dyDescent="0.35">
      <c r="K26" s="3">
        <f t="shared" si="9"/>
        <v>2048</v>
      </c>
      <c r="S26" s="3">
        <f t="shared" si="3"/>
        <v>4</v>
      </c>
      <c r="T26" s="7">
        <f>DATE('Gráfico Controle de Resultados'!$C$9,Auxiliar!U26,Auxiliar!V26)</f>
        <v>49333</v>
      </c>
      <c r="U26" s="3">
        <v>1</v>
      </c>
      <c r="V26" s="3">
        <v>24</v>
      </c>
      <c r="W26" s="22">
        <f t="shared" si="4"/>
        <v>4</v>
      </c>
      <c r="X26" s="3">
        <f t="shared" si="5"/>
        <v>4</v>
      </c>
      <c r="Z26" s="3" t="str">
        <f t="shared" si="0"/>
        <v>Semana 24</v>
      </c>
      <c r="AA26" s="14">
        <f t="shared" si="1"/>
        <v>49470</v>
      </c>
      <c r="AB26" s="14">
        <f t="shared" si="6"/>
        <v>49476</v>
      </c>
      <c r="AC26" s="8" t="str">
        <f t="shared" si="7"/>
        <v>Semana 24: de 10/jun/2035 a 16/jun/2035</v>
      </c>
      <c r="AD26" s="4">
        <f t="shared" si="2"/>
        <v>49461</v>
      </c>
      <c r="AE26" s="3">
        <f t="shared" si="10"/>
        <v>24</v>
      </c>
      <c r="AF26" s="1"/>
      <c r="AT26" s="3">
        <f t="shared" si="12"/>
        <v>24</v>
      </c>
      <c r="AU26" s="3">
        <f>COUNTIF('Gráfico Controle de Resultados'!X:X,Auxiliar!AT26)</f>
        <v>0</v>
      </c>
      <c r="AV26" s="3">
        <f t="shared" si="13"/>
        <v>9</v>
      </c>
    </row>
    <row r="27" spans="11:48" x14ac:dyDescent="0.35">
      <c r="K27" s="3">
        <f t="shared" si="9"/>
        <v>2049</v>
      </c>
      <c r="S27" s="3">
        <f t="shared" si="3"/>
        <v>4</v>
      </c>
      <c r="T27" s="7">
        <f>DATE('Gráfico Controle de Resultados'!$C$9,Auxiliar!U27,Auxiliar!V27)</f>
        <v>49334</v>
      </c>
      <c r="U27" s="3">
        <v>1</v>
      </c>
      <c r="V27" s="3">
        <v>25</v>
      </c>
      <c r="W27" s="22">
        <f t="shared" si="4"/>
        <v>5</v>
      </c>
      <c r="X27" s="3">
        <f t="shared" si="5"/>
        <v>4</v>
      </c>
      <c r="Z27" s="3" t="str">
        <f t="shared" si="0"/>
        <v>Semana 25</v>
      </c>
      <c r="AA27" s="14">
        <f t="shared" si="1"/>
        <v>49477</v>
      </c>
      <c r="AB27" s="14">
        <f t="shared" si="6"/>
        <v>49483</v>
      </c>
      <c r="AC27" s="8" t="str">
        <f t="shared" si="7"/>
        <v>Semana 25: de 17/jun/2035 a 23/jun/2035</v>
      </c>
      <c r="AD27" s="4">
        <f t="shared" si="2"/>
        <v>49461</v>
      </c>
      <c r="AE27" s="3">
        <f t="shared" si="10"/>
        <v>25</v>
      </c>
      <c r="AF27" s="1"/>
      <c r="AT27" s="3">
        <f t="shared" si="12"/>
        <v>25</v>
      </c>
      <c r="AU27" s="3">
        <f>COUNTIF('Gráfico Controle de Resultados'!X:X,Auxiliar!AT27)</f>
        <v>0</v>
      </c>
      <c r="AV27" s="3">
        <f t="shared" si="13"/>
        <v>9</v>
      </c>
    </row>
    <row r="28" spans="11:48" x14ac:dyDescent="0.35">
      <c r="K28" s="3">
        <f t="shared" si="9"/>
        <v>2050</v>
      </c>
      <c r="S28" s="3">
        <f t="shared" si="3"/>
        <v>4</v>
      </c>
      <c r="T28" s="7">
        <f>DATE('Gráfico Controle de Resultados'!$C$9,Auxiliar!U28,Auxiliar!V28)</f>
        <v>49335</v>
      </c>
      <c r="U28" s="3">
        <v>1</v>
      </c>
      <c r="V28" s="3">
        <v>26</v>
      </c>
      <c r="W28" s="22">
        <f t="shared" si="4"/>
        <v>6</v>
      </c>
      <c r="X28" s="3">
        <f t="shared" si="5"/>
        <v>4</v>
      </c>
      <c r="Z28" s="3" t="str">
        <f t="shared" si="0"/>
        <v>Semana 26</v>
      </c>
      <c r="AA28" s="14">
        <f t="shared" si="1"/>
        <v>49484</v>
      </c>
      <c r="AB28" s="14">
        <f t="shared" si="6"/>
        <v>49490</v>
      </c>
      <c r="AC28" s="8" t="str">
        <f t="shared" si="7"/>
        <v>Semana 26: de 24/jun/2035 a 30/jun/2035</v>
      </c>
      <c r="AD28" s="4">
        <f t="shared" si="2"/>
        <v>49461</v>
      </c>
      <c r="AE28" s="3">
        <f t="shared" si="10"/>
        <v>26</v>
      </c>
      <c r="AF28" s="1"/>
      <c r="AT28" s="3">
        <f t="shared" si="12"/>
        <v>26</v>
      </c>
      <c r="AU28" s="3">
        <f>COUNTIF('Gráfico Controle de Resultados'!X:X,Auxiliar!AT28)</f>
        <v>0</v>
      </c>
      <c r="AV28" s="3">
        <f t="shared" si="13"/>
        <v>9</v>
      </c>
    </row>
    <row r="29" spans="11:48" x14ac:dyDescent="0.35">
      <c r="K29" s="3">
        <f t="shared" si="9"/>
        <v>2051</v>
      </c>
      <c r="S29" s="3">
        <f t="shared" si="3"/>
        <v>4</v>
      </c>
      <c r="T29" s="7">
        <f>DATE('Gráfico Controle de Resultados'!$C$9,Auxiliar!U29,Auxiliar!V29)</f>
        <v>49336</v>
      </c>
      <c r="U29" s="3">
        <v>1</v>
      </c>
      <c r="V29" s="3">
        <v>27</v>
      </c>
      <c r="W29" s="22">
        <f t="shared" si="4"/>
        <v>7</v>
      </c>
      <c r="X29" s="3">
        <f t="shared" si="5"/>
        <v>4</v>
      </c>
      <c r="Z29" s="3" t="str">
        <f t="shared" si="0"/>
        <v>Semana 27</v>
      </c>
      <c r="AA29" s="14">
        <f t="shared" si="1"/>
        <v>49491</v>
      </c>
      <c r="AB29" s="14">
        <f t="shared" si="6"/>
        <v>49497</v>
      </c>
      <c r="AC29" s="8" t="str">
        <f t="shared" si="7"/>
        <v>Semana 27: de 01/jul/2035 a 07/jul/2035</v>
      </c>
      <c r="AD29" s="4">
        <f t="shared" si="2"/>
        <v>49491</v>
      </c>
      <c r="AE29" s="3">
        <f t="shared" si="10"/>
        <v>27</v>
      </c>
      <c r="AF29" s="1"/>
      <c r="AT29" s="3">
        <f t="shared" si="12"/>
        <v>27</v>
      </c>
      <c r="AU29" s="3">
        <f>COUNTIF('Gráfico Controle de Resultados'!X:X,Auxiliar!AT29)</f>
        <v>0</v>
      </c>
      <c r="AV29" s="3">
        <f t="shared" si="13"/>
        <v>9</v>
      </c>
    </row>
    <row r="30" spans="11:48" x14ac:dyDescent="0.35">
      <c r="K30" s="3">
        <f t="shared" si="9"/>
        <v>2052</v>
      </c>
      <c r="S30" s="3">
        <f t="shared" si="3"/>
        <v>5</v>
      </c>
      <c r="T30" s="7">
        <f>DATE('Gráfico Controle de Resultados'!$C$9,Auxiliar!U30,Auxiliar!V30)</f>
        <v>49337</v>
      </c>
      <c r="U30" s="3">
        <v>1</v>
      </c>
      <c r="V30" s="3">
        <v>28</v>
      </c>
      <c r="W30" s="22">
        <f t="shared" si="4"/>
        <v>1</v>
      </c>
      <c r="X30" s="3">
        <f t="shared" si="5"/>
        <v>5</v>
      </c>
      <c r="Z30" s="3" t="str">
        <f t="shared" si="0"/>
        <v>Semana 28</v>
      </c>
      <c r="AA30" s="14">
        <f t="shared" si="1"/>
        <v>49498</v>
      </c>
      <c r="AB30" s="14">
        <f t="shared" si="6"/>
        <v>49504</v>
      </c>
      <c r="AC30" s="8" t="str">
        <f t="shared" si="7"/>
        <v>Semana 28: de 08/jul/2035 a 14/jul/2035</v>
      </c>
      <c r="AD30" s="4">
        <f t="shared" si="2"/>
        <v>49491</v>
      </c>
      <c r="AE30" s="3">
        <f t="shared" si="10"/>
        <v>28</v>
      </c>
      <c r="AF30" s="1"/>
      <c r="AT30" s="3">
        <f t="shared" si="12"/>
        <v>28</v>
      </c>
      <c r="AU30" s="3">
        <f>COUNTIF('Gráfico Controle de Resultados'!X:X,Auxiliar!AT30)</f>
        <v>0</v>
      </c>
      <c r="AV30" s="3">
        <f t="shared" si="13"/>
        <v>9</v>
      </c>
    </row>
    <row r="31" spans="11:48" x14ac:dyDescent="0.35">
      <c r="K31" s="3">
        <f t="shared" si="9"/>
        <v>2053</v>
      </c>
      <c r="S31" s="3">
        <f t="shared" si="3"/>
        <v>5</v>
      </c>
      <c r="T31" s="7">
        <f>DATE('Gráfico Controle de Resultados'!$C$9,Auxiliar!U31,Auxiliar!V31)</f>
        <v>49338</v>
      </c>
      <c r="U31" s="3">
        <v>1</v>
      </c>
      <c r="V31" s="3">
        <v>29</v>
      </c>
      <c r="W31" s="22">
        <f t="shared" si="4"/>
        <v>2</v>
      </c>
      <c r="X31" s="3">
        <f t="shared" si="5"/>
        <v>5</v>
      </c>
      <c r="Z31" s="3" t="str">
        <f t="shared" si="0"/>
        <v>Semana 29</v>
      </c>
      <c r="AA31" s="14">
        <f t="shared" si="1"/>
        <v>49505</v>
      </c>
      <c r="AB31" s="14">
        <f t="shared" si="6"/>
        <v>49511</v>
      </c>
      <c r="AC31" s="8" t="str">
        <f t="shared" si="7"/>
        <v>Semana 29: de 15/jul/2035 a 21/jul/2035</v>
      </c>
      <c r="AD31" s="4">
        <f t="shared" si="2"/>
        <v>49491</v>
      </c>
      <c r="AE31" s="3">
        <f t="shared" si="10"/>
        <v>29</v>
      </c>
      <c r="AF31" s="1"/>
      <c r="AT31" s="3">
        <f t="shared" si="12"/>
        <v>29</v>
      </c>
      <c r="AU31" s="3">
        <f>COUNTIF('Gráfico Controle de Resultados'!X:X,Auxiliar!AT31)</f>
        <v>0</v>
      </c>
      <c r="AV31" s="3">
        <f t="shared" si="13"/>
        <v>9</v>
      </c>
    </row>
    <row r="32" spans="11:48" x14ac:dyDescent="0.35">
      <c r="K32" s="3">
        <f t="shared" si="9"/>
        <v>2054</v>
      </c>
      <c r="S32" s="3">
        <f t="shared" si="3"/>
        <v>5</v>
      </c>
      <c r="T32" s="7">
        <f>DATE('Gráfico Controle de Resultados'!$C$9,Auxiliar!U32,Auxiliar!V32)</f>
        <v>49339</v>
      </c>
      <c r="U32" s="3">
        <v>1</v>
      </c>
      <c r="V32" s="3">
        <v>30</v>
      </c>
      <c r="W32" s="22">
        <f t="shared" si="4"/>
        <v>3</v>
      </c>
      <c r="X32" s="3">
        <f t="shared" si="5"/>
        <v>5</v>
      </c>
      <c r="Z32" s="3" t="str">
        <f t="shared" si="0"/>
        <v>Semana 30</v>
      </c>
      <c r="AA32" s="14">
        <f t="shared" si="1"/>
        <v>49512</v>
      </c>
      <c r="AB32" s="14">
        <f t="shared" si="6"/>
        <v>49518</v>
      </c>
      <c r="AC32" s="8" t="str">
        <f t="shared" si="7"/>
        <v>Semana 30: de 22/jul/2035 a 28/jul/2035</v>
      </c>
      <c r="AD32" s="4">
        <f t="shared" si="2"/>
        <v>49491</v>
      </c>
      <c r="AE32" s="3">
        <f t="shared" si="10"/>
        <v>30</v>
      </c>
      <c r="AF32" s="1"/>
      <c r="AT32" s="3">
        <f t="shared" si="12"/>
        <v>30</v>
      </c>
      <c r="AU32" s="3">
        <f>COUNTIF('Gráfico Controle de Resultados'!X:X,Auxiliar!AT32)</f>
        <v>0</v>
      </c>
      <c r="AV32" s="3">
        <f t="shared" si="13"/>
        <v>9</v>
      </c>
    </row>
    <row r="33" spans="11:48" x14ac:dyDescent="0.35">
      <c r="K33" s="3">
        <f t="shared" si="9"/>
        <v>2055</v>
      </c>
      <c r="S33" s="3">
        <f t="shared" si="3"/>
        <v>5</v>
      </c>
      <c r="T33" s="7">
        <f>DATE('Gráfico Controle de Resultados'!$C$9,Auxiliar!U33,Auxiliar!V33)</f>
        <v>49340</v>
      </c>
      <c r="U33" s="3">
        <v>1</v>
      </c>
      <c r="V33" s="3">
        <v>31</v>
      </c>
      <c r="W33" s="22">
        <f t="shared" si="4"/>
        <v>4</v>
      </c>
      <c r="X33" s="3">
        <f t="shared" si="5"/>
        <v>5</v>
      </c>
      <c r="Z33" s="3" t="str">
        <f t="shared" si="0"/>
        <v>Semana 31</v>
      </c>
      <c r="AA33" s="14">
        <f t="shared" si="1"/>
        <v>49519</v>
      </c>
      <c r="AB33" s="14">
        <f t="shared" si="6"/>
        <v>49525</v>
      </c>
      <c r="AC33" s="8" t="str">
        <f t="shared" si="7"/>
        <v>Semana 31: de 29/jul/2035 a 04/ago/2035</v>
      </c>
      <c r="AD33" s="4">
        <f t="shared" si="2"/>
        <v>49491</v>
      </c>
      <c r="AE33" s="3">
        <f t="shared" si="10"/>
        <v>31</v>
      </c>
      <c r="AF33" s="1"/>
      <c r="AT33" s="3">
        <f t="shared" si="12"/>
        <v>31</v>
      </c>
      <c r="AU33" s="3">
        <f>COUNTIF('Gráfico Controle de Resultados'!X:X,Auxiliar!AT33)</f>
        <v>0</v>
      </c>
      <c r="AV33" s="3">
        <f t="shared" si="13"/>
        <v>9</v>
      </c>
    </row>
    <row r="34" spans="11:48" x14ac:dyDescent="0.35">
      <c r="K34" s="3">
        <f t="shared" si="9"/>
        <v>2056</v>
      </c>
      <c r="S34" s="3">
        <f t="shared" si="3"/>
        <v>5</v>
      </c>
      <c r="T34" s="7">
        <f>DATE('Gráfico Controle de Resultados'!$C$9,Auxiliar!U34,Auxiliar!V34)</f>
        <v>49341</v>
      </c>
      <c r="U34" s="3">
        <v>2</v>
      </c>
      <c r="V34" s="3">
        <v>1</v>
      </c>
      <c r="W34" s="22">
        <f t="shared" si="4"/>
        <v>5</v>
      </c>
      <c r="X34" s="3">
        <f t="shared" si="5"/>
        <v>5</v>
      </c>
      <c r="Z34" s="3" t="str">
        <f t="shared" si="0"/>
        <v>Semana 32</v>
      </c>
      <c r="AA34" s="14">
        <f t="shared" si="1"/>
        <v>49526</v>
      </c>
      <c r="AB34" s="14">
        <f t="shared" si="6"/>
        <v>49532</v>
      </c>
      <c r="AC34" s="8" t="str">
        <f t="shared" si="7"/>
        <v>Semana 32: de 05/ago/2035 a 11/ago/2035</v>
      </c>
      <c r="AD34" s="4">
        <f t="shared" si="2"/>
        <v>49522</v>
      </c>
      <c r="AE34" s="3">
        <f t="shared" si="10"/>
        <v>32</v>
      </c>
      <c r="AF34" s="1"/>
      <c r="AT34" s="3">
        <f t="shared" si="12"/>
        <v>32</v>
      </c>
      <c r="AU34" s="3">
        <f>COUNTIF('Gráfico Controle de Resultados'!X:X,Auxiliar!AT34)</f>
        <v>0</v>
      </c>
      <c r="AV34" s="3">
        <f t="shared" si="13"/>
        <v>9</v>
      </c>
    </row>
    <row r="35" spans="11:48" x14ac:dyDescent="0.35">
      <c r="K35" s="3">
        <f t="shared" si="9"/>
        <v>2057</v>
      </c>
      <c r="S35" s="3">
        <f t="shared" si="3"/>
        <v>5</v>
      </c>
      <c r="T35" s="7">
        <f>DATE('Gráfico Controle de Resultados'!$C$9,Auxiliar!U35,Auxiliar!V35)</f>
        <v>49342</v>
      </c>
      <c r="U35" s="3">
        <v>2</v>
      </c>
      <c r="V35" s="3">
        <v>2</v>
      </c>
      <c r="W35" s="22">
        <f t="shared" si="4"/>
        <v>6</v>
      </c>
      <c r="X35" s="3">
        <f t="shared" si="5"/>
        <v>5</v>
      </c>
      <c r="Z35" s="3" t="str">
        <f t="shared" ref="Z35:Z55" si="14">"Semana "&amp;AE35</f>
        <v>Semana 33</v>
      </c>
      <c r="AA35" s="14">
        <f t="shared" ref="AA35:AA55" si="15">VLOOKUP(AE35,$S$3:$T$367,2,FALSE)</f>
        <v>49533</v>
      </c>
      <c r="AB35" s="14">
        <f t="shared" si="6"/>
        <v>49539</v>
      </c>
      <c r="AC35" s="8" t="str">
        <f t="shared" si="7"/>
        <v>Semana 33: de 12/ago/2035 a 18/ago/2035</v>
      </c>
      <c r="AD35" s="4">
        <f t="shared" ref="AD35:AD55" si="16">VLOOKUP(MONTH(AA35),$AL$3:$AM$14,2,FALSE)</f>
        <v>49522</v>
      </c>
      <c r="AE35" s="3">
        <f t="shared" si="10"/>
        <v>33</v>
      </c>
      <c r="AF35" s="1"/>
      <c r="AT35" s="3">
        <f t="shared" si="12"/>
        <v>33</v>
      </c>
      <c r="AU35" s="3">
        <f>COUNTIF('Gráfico Controle de Resultados'!X:X,Auxiliar!AT35)</f>
        <v>0</v>
      </c>
      <c r="AV35" s="3">
        <f t="shared" si="13"/>
        <v>9</v>
      </c>
    </row>
    <row r="36" spans="11:48" x14ac:dyDescent="0.35">
      <c r="K36" s="3">
        <f t="shared" si="9"/>
        <v>2058</v>
      </c>
      <c r="S36" s="3">
        <f t="shared" si="3"/>
        <v>5</v>
      </c>
      <c r="T36" s="7">
        <f>DATE('Gráfico Controle de Resultados'!$C$9,Auxiliar!U36,Auxiliar!V36)</f>
        <v>49343</v>
      </c>
      <c r="U36" s="3">
        <v>2</v>
      </c>
      <c r="V36" s="3">
        <v>3</v>
      </c>
      <c r="W36" s="22">
        <f t="shared" si="4"/>
        <v>7</v>
      </c>
      <c r="X36" s="3">
        <f t="shared" si="5"/>
        <v>5</v>
      </c>
      <c r="Z36" s="3" t="str">
        <f t="shared" si="14"/>
        <v>Semana 34</v>
      </c>
      <c r="AA36" s="14">
        <f t="shared" si="15"/>
        <v>49540</v>
      </c>
      <c r="AB36" s="14">
        <f t="shared" si="6"/>
        <v>49546</v>
      </c>
      <c r="AC36" s="8" t="str">
        <f t="shared" si="7"/>
        <v>Semana 34: de 19/ago/2035 a 25/ago/2035</v>
      </c>
      <c r="AD36" s="4">
        <f t="shared" si="16"/>
        <v>49522</v>
      </c>
      <c r="AE36" s="3">
        <f t="shared" si="10"/>
        <v>34</v>
      </c>
      <c r="AF36" s="1"/>
      <c r="AT36" s="3">
        <f t="shared" si="12"/>
        <v>34</v>
      </c>
      <c r="AU36" s="3">
        <f>COUNTIF('Gráfico Controle de Resultados'!X:X,Auxiliar!AT36)</f>
        <v>0</v>
      </c>
      <c r="AV36" s="3">
        <f t="shared" si="13"/>
        <v>9</v>
      </c>
    </row>
    <row r="37" spans="11:48" x14ac:dyDescent="0.35">
      <c r="K37" s="3">
        <f t="shared" si="9"/>
        <v>2059</v>
      </c>
      <c r="S37" s="3">
        <f t="shared" si="3"/>
        <v>6</v>
      </c>
      <c r="T37" s="7">
        <f>DATE('Gráfico Controle de Resultados'!$C$9,Auxiliar!U37,Auxiliar!V37)</f>
        <v>49344</v>
      </c>
      <c r="U37" s="3">
        <v>2</v>
      </c>
      <c r="V37" s="3">
        <v>4</v>
      </c>
      <c r="W37" s="22">
        <f t="shared" si="4"/>
        <v>1</v>
      </c>
      <c r="X37" s="3">
        <f t="shared" si="5"/>
        <v>6</v>
      </c>
      <c r="Z37" s="3" t="str">
        <f t="shared" si="14"/>
        <v>Semana 35</v>
      </c>
      <c r="AA37" s="14">
        <f t="shared" si="15"/>
        <v>49547</v>
      </c>
      <c r="AB37" s="14">
        <f t="shared" si="6"/>
        <v>49553</v>
      </c>
      <c r="AC37" s="8" t="str">
        <f t="shared" si="7"/>
        <v>Semana 35: de 26/ago/2035 a 01/set/2035</v>
      </c>
      <c r="AD37" s="4">
        <f t="shared" si="16"/>
        <v>49522</v>
      </c>
      <c r="AE37" s="3">
        <f t="shared" si="10"/>
        <v>35</v>
      </c>
      <c r="AF37" s="1"/>
      <c r="AT37" s="3">
        <f t="shared" si="12"/>
        <v>35</v>
      </c>
      <c r="AU37" s="3">
        <f>COUNTIF('Gráfico Controle de Resultados'!X:X,Auxiliar!AT37)</f>
        <v>0</v>
      </c>
      <c r="AV37" s="3">
        <f t="shared" si="13"/>
        <v>9</v>
      </c>
    </row>
    <row r="38" spans="11:48" x14ac:dyDescent="0.35">
      <c r="K38" s="3">
        <f t="shared" si="9"/>
        <v>2060</v>
      </c>
      <c r="S38" s="3">
        <f t="shared" si="3"/>
        <v>6</v>
      </c>
      <c r="T38" s="7">
        <f>DATE('Gráfico Controle de Resultados'!$C$9,Auxiliar!U38,Auxiliar!V38)</f>
        <v>49345</v>
      </c>
      <c r="U38" s="3">
        <v>2</v>
      </c>
      <c r="V38" s="3">
        <v>5</v>
      </c>
      <c r="W38" s="22">
        <f t="shared" si="4"/>
        <v>2</v>
      </c>
      <c r="X38" s="3">
        <f t="shared" si="5"/>
        <v>6</v>
      </c>
      <c r="Z38" s="3" t="str">
        <f t="shared" si="14"/>
        <v>Semana 36</v>
      </c>
      <c r="AA38" s="14">
        <f t="shared" si="15"/>
        <v>49554</v>
      </c>
      <c r="AB38" s="14">
        <f t="shared" si="6"/>
        <v>49560</v>
      </c>
      <c r="AC38" s="8" t="str">
        <f t="shared" si="7"/>
        <v>Semana 36: de 02/set/2035 a 08/set/2035</v>
      </c>
      <c r="AD38" s="4">
        <f t="shared" si="16"/>
        <v>49553</v>
      </c>
      <c r="AE38" s="3">
        <f t="shared" si="10"/>
        <v>36</v>
      </c>
      <c r="AF38" s="1"/>
      <c r="AT38" s="3">
        <f t="shared" si="12"/>
        <v>36</v>
      </c>
      <c r="AU38" s="3">
        <f>COUNTIF('Gráfico Controle de Resultados'!X:X,Auxiliar!AT38)</f>
        <v>0</v>
      </c>
      <c r="AV38" s="3">
        <f t="shared" si="13"/>
        <v>9</v>
      </c>
    </row>
    <row r="39" spans="11:48" x14ac:dyDescent="0.35">
      <c r="K39" s="1"/>
      <c r="S39" s="3">
        <f t="shared" si="3"/>
        <v>6</v>
      </c>
      <c r="T39" s="7">
        <f>DATE('Gráfico Controle de Resultados'!$C$9,Auxiliar!U39,Auxiliar!V39)</f>
        <v>49346</v>
      </c>
      <c r="U39" s="3">
        <v>2</v>
      </c>
      <c r="V39" s="3">
        <v>6</v>
      </c>
      <c r="W39" s="22">
        <f t="shared" si="4"/>
        <v>3</v>
      </c>
      <c r="X39" s="3">
        <f t="shared" si="5"/>
        <v>6</v>
      </c>
      <c r="Z39" s="3" t="str">
        <f t="shared" si="14"/>
        <v>Semana 37</v>
      </c>
      <c r="AA39" s="14">
        <f t="shared" si="15"/>
        <v>49561</v>
      </c>
      <c r="AB39" s="14">
        <f t="shared" si="6"/>
        <v>49567</v>
      </c>
      <c r="AC39" s="8" t="str">
        <f t="shared" si="7"/>
        <v>Semana 37: de 09/set/2035 a 15/set/2035</v>
      </c>
      <c r="AD39" s="4">
        <f t="shared" si="16"/>
        <v>49553</v>
      </c>
      <c r="AE39" s="3">
        <f t="shared" si="10"/>
        <v>37</v>
      </c>
      <c r="AF39" s="1"/>
      <c r="AT39" s="3">
        <f t="shared" si="12"/>
        <v>37</v>
      </c>
      <c r="AU39" s="3">
        <f>COUNTIF('Gráfico Controle de Resultados'!X:X,Auxiliar!AT39)</f>
        <v>0</v>
      </c>
      <c r="AV39" s="3">
        <f t="shared" si="13"/>
        <v>9</v>
      </c>
    </row>
    <row r="40" spans="11:48" x14ac:dyDescent="0.35">
      <c r="K40" s="1"/>
      <c r="S40" s="3">
        <f t="shared" si="3"/>
        <v>6</v>
      </c>
      <c r="T40" s="7">
        <f>DATE('Gráfico Controle de Resultados'!$C$9,Auxiliar!U40,Auxiliar!V40)</f>
        <v>49347</v>
      </c>
      <c r="U40" s="3">
        <v>2</v>
      </c>
      <c r="V40" s="3">
        <v>7</v>
      </c>
      <c r="W40" s="22">
        <f t="shared" si="4"/>
        <v>4</v>
      </c>
      <c r="X40" s="3">
        <f t="shared" si="5"/>
        <v>6</v>
      </c>
      <c r="Z40" s="3" t="str">
        <f t="shared" si="14"/>
        <v>Semana 38</v>
      </c>
      <c r="AA40" s="14">
        <f t="shared" si="15"/>
        <v>49568</v>
      </c>
      <c r="AB40" s="14">
        <f t="shared" si="6"/>
        <v>49574</v>
      </c>
      <c r="AC40" s="8" t="str">
        <f t="shared" si="7"/>
        <v>Semana 38: de 16/set/2035 a 22/set/2035</v>
      </c>
      <c r="AD40" s="4">
        <f t="shared" si="16"/>
        <v>49553</v>
      </c>
      <c r="AE40" s="3">
        <f t="shared" si="10"/>
        <v>38</v>
      </c>
      <c r="AF40" s="1"/>
      <c r="AT40" s="3">
        <f t="shared" si="12"/>
        <v>38</v>
      </c>
      <c r="AU40" s="3">
        <f>COUNTIF('Gráfico Controle de Resultados'!X:X,Auxiliar!AT40)</f>
        <v>0</v>
      </c>
      <c r="AV40" s="3">
        <f t="shared" si="13"/>
        <v>9</v>
      </c>
    </row>
    <row r="41" spans="11:48" x14ac:dyDescent="0.35">
      <c r="K41" s="1"/>
      <c r="S41" s="3">
        <f t="shared" si="3"/>
        <v>6</v>
      </c>
      <c r="T41" s="7">
        <f>DATE('Gráfico Controle de Resultados'!$C$9,Auxiliar!U41,Auxiliar!V41)</f>
        <v>49348</v>
      </c>
      <c r="U41" s="3">
        <v>2</v>
      </c>
      <c r="V41" s="3">
        <v>8</v>
      </c>
      <c r="W41" s="22">
        <f t="shared" si="4"/>
        <v>5</v>
      </c>
      <c r="X41" s="3">
        <f t="shared" si="5"/>
        <v>6</v>
      </c>
      <c r="Z41" s="3" t="str">
        <f t="shared" si="14"/>
        <v>Semana 39</v>
      </c>
      <c r="AA41" s="14">
        <f t="shared" si="15"/>
        <v>49575</v>
      </c>
      <c r="AB41" s="14">
        <f t="shared" si="6"/>
        <v>49581</v>
      </c>
      <c r="AC41" s="8" t="str">
        <f t="shared" si="7"/>
        <v>Semana 39: de 23/set/2035 a 29/set/2035</v>
      </c>
      <c r="AD41" s="4">
        <f t="shared" si="16"/>
        <v>49553</v>
      </c>
      <c r="AE41" s="3">
        <f t="shared" si="10"/>
        <v>39</v>
      </c>
      <c r="AF41" s="1"/>
      <c r="AT41" s="3">
        <f t="shared" si="12"/>
        <v>39</v>
      </c>
      <c r="AU41" s="3">
        <f>COUNTIF('Gráfico Controle de Resultados'!X:X,Auxiliar!AT41)</f>
        <v>0</v>
      </c>
      <c r="AV41" s="3">
        <f t="shared" si="13"/>
        <v>9</v>
      </c>
    </row>
    <row r="42" spans="11:48" x14ac:dyDescent="0.35">
      <c r="K42" s="1"/>
      <c r="S42" s="3">
        <f t="shared" si="3"/>
        <v>6</v>
      </c>
      <c r="T42" s="7">
        <f>DATE('Gráfico Controle de Resultados'!$C$9,Auxiliar!U42,Auxiliar!V42)</f>
        <v>49349</v>
      </c>
      <c r="U42" s="3">
        <v>2</v>
      </c>
      <c r="V42" s="3">
        <v>9</v>
      </c>
      <c r="W42" s="22">
        <f t="shared" si="4"/>
        <v>6</v>
      </c>
      <c r="X42" s="3">
        <f t="shared" si="5"/>
        <v>6</v>
      </c>
      <c r="Z42" s="3" t="str">
        <f t="shared" si="14"/>
        <v>Semana 40</v>
      </c>
      <c r="AA42" s="14">
        <f t="shared" si="15"/>
        <v>49582</v>
      </c>
      <c r="AB42" s="14">
        <f t="shared" si="6"/>
        <v>49588</v>
      </c>
      <c r="AC42" s="8" t="str">
        <f t="shared" si="7"/>
        <v>Semana 40: de 30/set/2035 a 06/out/2035</v>
      </c>
      <c r="AD42" s="4">
        <f t="shared" si="16"/>
        <v>49553</v>
      </c>
      <c r="AE42" s="3">
        <f t="shared" si="10"/>
        <v>40</v>
      </c>
      <c r="AF42" s="1"/>
      <c r="AT42" s="3">
        <f t="shared" si="12"/>
        <v>40</v>
      </c>
      <c r="AU42" s="3">
        <f>COUNTIF('Gráfico Controle de Resultados'!X:X,Auxiliar!AT42)</f>
        <v>0</v>
      </c>
      <c r="AV42" s="3">
        <f t="shared" si="13"/>
        <v>9</v>
      </c>
    </row>
    <row r="43" spans="11:48" x14ac:dyDescent="0.35">
      <c r="K43" s="1"/>
      <c r="S43" s="3">
        <f t="shared" si="3"/>
        <v>6</v>
      </c>
      <c r="T43" s="7">
        <f>DATE('Gráfico Controle de Resultados'!$C$9,Auxiliar!U43,Auxiliar!V43)</f>
        <v>49350</v>
      </c>
      <c r="U43" s="3">
        <v>2</v>
      </c>
      <c r="V43" s="3">
        <v>10</v>
      </c>
      <c r="W43" s="22">
        <f t="shared" si="4"/>
        <v>7</v>
      </c>
      <c r="X43" s="3">
        <f t="shared" si="5"/>
        <v>6</v>
      </c>
      <c r="Z43" s="3" t="str">
        <f t="shared" si="14"/>
        <v>Semana 41</v>
      </c>
      <c r="AA43" s="14">
        <f t="shared" si="15"/>
        <v>49589</v>
      </c>
      <c r="AB43" s="14">
        <f t="shared" si="6"/>
        <v>49595</v>
      </c>
      <c r="AC43" s="8" t="str">
        <f t="shared" si="7"/>
        <v>Semana 41: de 07/out/2035 a 13/out/2035</v>
      </c>
      <c r="AD43" s="4">
        <f t="shared" si="16"/>
        <v>49583</v>
      </c>
      <c r="AE43" s="3">
        <f t="shared" si="10"/>
        <v>41</v>
      </c>
      <c r="AF43" s="1"/>
      <c r="AT43" s="3">
        <f t="shared" si="12"/>
        <v>41</v>
      </c>
      <c r="AU43" s="3">
        <f>COUNTIF('Gráfico Controle de Resultados'!X:X,Auxiliar!AT43)</f>
        <v>0</v>
      </c>
      <c r="AV43" s="3">
        <f t="shared" si="13"/>
        <v>9</v>
      </c>
    </row>
    <row r="44" spans="11:48" x14ac:dyDescent="0.35">
      <c r="K44" s="1"/>
      <c r="S44" s="3">
        <f t="shared" si="3"/>
        <v>7</v>
      </c>
      <c r="T44" s="7">
        <f>DATE('Gráfico Controle de Resultados'!$C$9,Auxiliar!U44,Auxiliar!V44)</f>
        <v>49351</v>
      </c>
      <c r="U44" s="3">
        <v>2</v>
      </c>
      <c r="V44" s="3">
        <v>11</v>
      </c>
      <c r="W44" s="22">
        <f t="shared" si="4"/>
        <v>1</v>
      </c>
      <c r="X44" s="3">
        <f t="shared" si="5"/>
        <v>7</v>
      </c>
      <c r="Z44" s="3" t="str">
        <f t="shared" si="14"/>
        <v>Semana 42</v>
      </c>
      <c r="AA44" s="14">
        <f t="shared" si="15"/>
        <v>49596</v>
      </c>
      <c r="AB44" s="14">
        <f t="shared" si="6"/>
        <v>49602</v>
      </c>
      <c r="AC44" s="8" t="str">
        <f t="shared" si="7"/>
        <v>Semana 42: de 14/out/2035 a 20/out/2035</v>
      </c>
      <c r="AD44" s="4">
        <f t="shared" si="16"/>
        <v>49583</v>
      </c>
      <c r="AE44" s="3">
        <f t="shared" si="10"/>
        <v>42</v>
      </c>
      <c r="AF44" s="1"/>
      <c r="AT44" s="3">
        <f t="shared" si="12"/>
        <v>42</v>
      </c>
      <c r="AU44" s="3">
        <f>COUNTIF('Gráfico Controle de Resultados'!X:X,Auxiliar!AT44)</f>
        <v>0</v>
      </c>
      <c r="AV44" s="3">
        <f t="shared" si="13"/>
        <v>9</v>
      </c>
    </row>
    <row r="45" spans="11:48" x14ac:dyDescent="0.35">
      <c r="K45" s="1"/>
      <c r="S45" s="3">
        <f t="shared" si="3"/>
        <v>7</v>
      </c>
      <c r="T45" s="7">
        <f>DATE('Gráfico Controle de Resultados'!$C$9,Auxiliar!U45,Auxiliar!V45)</f>
        <v>49352</v>
      </c>
      <c r="U45" s="3">
        <v>2</v>
      </c>
      <c r="V45" s="3">
        <v>12</v>
      </c>
      <c r="W45" s="22">
        <f t="shared" si="4"/>
        <v>2</v>
      </c>
      <c r="X45" s="3">
        <f t="shared" si="5"/>
        <v>7</v>
      </c>
      <c r="Z45" s="3" t="str">
        <f t="shared" si="14"/>
        <v>Semana 43</v>
      </c>
      <c r="AA45" s="14">
        <f t="shared" si="15"/>
        <v>49603</v>
      </c>
      <c r="AB45" s="14">
        <f t="shared" si="6"/>
        <v>49609</v>
      </c>
      <c r="AC45" s="8" t="str">
        <f t="shared" si="7"/>
        <v>Semana 43: de 21/out/2035 a 27/out/2035</v>
      </c>
      <c r="AD45" s="4">
        <f t="shared" si="16"/>
        <v>49583</v>
      </c>
      <c r="AE45" s="3">
        <f t="shared" si="10"/>
        <v>43</v>
      </c>
      <c r="AF45" s="1"/>
      <c r="AT45" s="3">
        <f t="shared" si="12"/>
        <v>43</v>
      </c>
      <c r="AU45" s="3">
        <f>COUNTIF('Gráfico Controle de Resultados'!X:X,Auxiliar!AT45)</f>
        <v>0</v>
      </c>
      <c r="AV45" s="3">
        <f t="shared" si="13"/>
        <v>9</v>
      </c>
    </row>
    <row r="46" spans="11:48" x14ac:dyDescent="0.35">
      <c r="K46" s="1"/>
      <c r="S46" s="3">
        <f t="shared" si="3"/>
        <v>7</v>
      </c>
      <c r="T46" s="7">
        <f>DATE('Gráfico Controle de Resultados'!$C$9,Auxiliar!U46,Auxiliar!V46)</f>
        <v>49353</v>
      </c>
      <c r="U46" s="3">
        <v>2</v>
      </c>
      <c r="V46" s="3">
        <v>13</v>
      </c>
      <c r="W46" s="22">
        <f t="shared" si="4"/>
        <v>3</v>
      </c>
      <c r="X46" s="3">
        <f t="shared" si="5"/>
        <v>7</v>
      </c>
      <c r="Z46" s="3" t="str">
        <f t="shared" si="14"/>
        <v>Semana 44</v>
      </c>
      <c r="AA46" s="14">
        <f t="shared" si="15"/>
        <v>49610</v>
      </c>
      <c r="AB46" s="14">
        <f t="shared" si="6"/>
        <v>49616</v>
      </c>
      <c r="AC46" s="8" t="str">
        <f t="shared" si="7"/>
        <v>Semana 44: de 28/out/2035 a 03/nov/2035</v>
      </c>
      <c r="AD46" s="4">
        <f t="shared" si="16"/>
        <v>49583</v>
      </c>
      <c r="AE46" s="3">
        <f t="shared" si="10"/>
        <v>44</v>
      </c>
      <c r="AF46" s="1"/>
      <c r="AT46" s="3">
        <f t="shared" si="12"/>
        <v>44</v>
      </c>
      <c r="AU46" s="3">
        <f>COUNTIF('Gráfico Controle de Resultados'!X:X,Auxiliar!AT46)</f>
        <v>0</v>
      </c>
      <c r="AV46" s="3">
        <f t="shared" si="13"/>
        <v>9</v>
      </c>
    </row>
    <row r="47" spans="11:48" x14ac:dyDescent="0.35">
      <c r="K47" s="1"/>
      <c r="S47" s="3">
        <f t="shared" si="3"/>
        <v>7</v>
      </c>
      <c r="T47" s="7">
        <f>DATE('Gráfico Controle de Resultados'!$C$9,Auxiliar!U47,Auxiliar!V47)</f>
        <v>49354</v>
      </c>
      <c r="U47" s="3">
        <v>2</v>
      </c>
      <c r="V47" s="3">
        <v>14</v>
      </c>
      <c r="W47" s="22">
        <f t="shared" si="4"/>
        <v>4</v>
      </c>
      <c r="X47" s="3">
        <f t="shared" si="5"/>
        <v>7</v>
      </c>
      <c r="Z47" s="3" t="str">
        <f t="shared" si="14"/>
        <v>Semana 45</v>
      </c>
      <c r="AA47" s="14">
        <f t="shared" si="15"/>
        <v>49617</v>
      </c>
      <c r="AB47" s="14">
        <f t="shared" si="6"/>
        <v>49623</v>
      </c>
      <c r="AC47" s="8" t="str">
        <f t="shared" si="7"/>
        <v>Semana 45: de 04/nov/2035 a 10/nov/2035</v>
      </c>
      <c r="AD47" s="4">
        <f t="shared" si="16"/>
        <v>49614</v>
      </c>
      <c r="AE47" s="3">
        <f t="shared" si="10"/>
        <v>45</v>
      </c>
      <c r="AF47" s="1"/>
      <c r="AT47" s="3">
        <f t="shared" si="12"/>
        <v>45</v>
      </c>
      <c r="AU47" s="3">
        <f>COUNTIF('Gráfico Controle de Resultados'!X:X,Auxiliar!AT47)</f>
        <v>0</v>
      </c>
      <c r="AV47" s="3">
        <f t="shared" si="13"/>
        <v>9</v>
      </c>
    </row>
    <row r="48" spans="11:48" x14ac:dyDescent="0.35">
      <c r="K48" s="1"/>
      <c r="S48" s="3">
        <f t="shared" si="3"/>
        <v>7</v>
      </c>
      <c r="T48" s="7">
        <f>DATE('Gráfico Controle de Resultados'!$C$9,Auxiliar!U48,Auxiliar!V48)</f>
        <v>49355</v>
      </c>
      <c r="U48" s="3">
        <v>2</v>
      </c>
      <c r="V48" s="3">
        <v>15</v>
      </c>
      <c r="W48" s="22">
        <f t="shared" si="4"/>
        <v>5</v>
      </c>
      <c r="X48" s="3">
        <f t="shared" si="5"/>
        <v>7</v>
      </c>
      <c r="Z48" s="3" t="str">
        <f t="shared" si="14"/>
        <v>Semana 46</v>
      </c>
      <c r="AA48" s="14">
        <f t="shared" si="15"/>
        <v>49624</v>
      </c>
      <c r="AB48" s="14">
        <f t="shared" si="6"/>
        <v>49630</v>
      </c>
      <c r="AC48" s="8" t="str">
        <f t="shared" si="7"/>
        <v>Semana 46: de 11/nov/2035 a 17/nov/2035</v>
      </c>
      <c r="AD48" s="4">
        <f t="shared" si="16"/>
        <v>49614</v>
      </c>
      <c r="AE48" s="3">
        <f t="shared" si="10"/>
        <v>46</v>
      </c>
      <c r="AF48" s="1"/>
      <c r="AT48" s="3">
        <f t="shared" si="12"/>
        <v>46</v>
      </c>
      <c r="AU48" s="3">
        <f>COUNTIF('Gráfico Controle de Resultados'!X:X,Auxiliar!AT48)</f>
        <v>0</v>
      </c>
      <c r="AV48" s="3">
        <f t="shared" si="13"/>
        <v>9</v>
      </c>
    </row>
    <row r="49" spans="11:48" x14ac:dyDescent="0.35">
      <c r="K49" s="1"/>
      <c r="S49" s="3">
        <f t="shared" si="3"/>
        <v>7</v>
      </c>
      <c r="T49" s="7">
        <f>DATE('Gráfico Controle de Resultados'!$C$9,Auxiliar!U49,Auxiliar!V49)</f>
        <v>49356</v>
      </c>
      <c r="U49" s="3">
        <v>2</v>
      </c>
      <c r="V49" s="3">
        <v>16</v>
      </c>
      <c r="W49" s="22">
        <f t="shared" si="4"/>
        <v>6</v>
      </c>
      <c r="X49" s="3">
        <f t="shared" si="5"/>
        <v>7</v>
      </c>
      <c r="Z49" s="3" t="str">
        <f t="shared" si="14"/>
        <v>Semana 47</v>
      </c>
      <c r="AA49" s="14">
        <f t="shared" si="15"/>
        <v>49631</v>
      </c>
      <c r="AB49" s="14">
        <f t="shared" si="6"/>
        <v>49637</v>
      </c>
      <c r="AC49" s="8" t="str">
        <f t="shared" si="7"/>
        <v>Semana 47: de 18/nov/2035 a 24/nov/2035</v>
      </c>
      <c r="AD49" s="4">
        <f t="shared" si="16"/>
        <v>49614</v>
      </c>
      <c r="AE49" s="3">
        <f t="shared" si="10"/>
        <v>47</v>
      </c>
      <c r="AF49" s="1"/>
      <c r="AT49" s="3">
        <f t="shared" si="12"/>
        <v>47</v>
      </c>
      <c r="AU49" s="3">
        <f>COUNTIF('Gráfico Controle de Resultados'!X:X,Auxiliar!AT49)</f>
        <v>0</v>
      </c>
      <c r="AV49" s="3">
        <f t="shared" si="13"/>
        <v>9</v>
      </c>
    </row>
    <row r="50" spans="11:48" x14ac:dyDescent="0.35">
      <c r="K50" s="1"/>
      <c r="S50" s="3">
        <f t="shared" si="3"/>
        <v>7</v>
      </c>
      <c r="T50" s="7">
        <f>DATE('Gráfico Controle de Resultados'!$C$9,Auxiliar!U50,Auxiliar!V50)</f>
        <v>49357</v>
      </c>
      <c r="U50" s="3">
        <v>2</v>
      </c>
      <c r="V50" s="3">
        <v>17</v>
      </c>
      <c r="W50" s="22">
        <f t="shared" si="4"/>
        <v>7</v>
      </c>
      <c r="X50" s="3">
        <f t="shared" si="5"/>
        <v>7</v>
      </c>
      <c r="Z50" s="3" t="str">
        <f t="shared" si="14"/>
        <v>Semana 48</v>
      </c>
      <c r="AA50" s="14">
        <f t="shared" si="15"/>
        <v>49638</v>
      </c>
      <c r="AB50" s="14">
        <f t="shared" si="6"/>
        <v>49644</v>
      </c>
      <c r="AC50" s="8" t="str">
        <f t="shared" si="7"/>
        <v>Semana 48: de 25/nov/2035 a 01/dez/2035</v>
      </c>
      <c r="AD50" s="4">
        <f t="shared" si="16"/>
        <v>49614</v>
      </c>
      <c r="AE50" s="3">
        <f t="shared" si="10"/>
        <v>48</v>
      </c>
      <c r="AF50" s="1"/>
      <c r="AT50" s="3">
        <f t="shared" si="12"/>
        <v>48</v>
      </c>
      <c r="AU50" s="3">
        <f>COUNTIF('Gráfico Controle de Resultados'!X:X,Auxiliar!AT50)</f>
        <v>0</v>
      </c>
      <c r="AV50" s="3">
        <f t="shared" si="13"/>
        <v>9</v>
      </c>
    </row>
    <row r="51" spans="11:48" x14ac:dyDescent="0.35">
      <c r="K51" s="1"/>
      <c r="S51" s="3">
        <f t="shared" si="3"/>
        <v>8</v>
      </c>
      <c r="T51" s="7">
        <f>DATE('Gráfico Controle de Resultados'!$C$9,Auxiliar!U51,Auxiliar!V51)</f>
        <v>49358</v>
      </c>
      <c r="U51" s="3">
        <v>2</v>
      </c>
      <c r="V51" s="3">
        <v>18</v>
      </c>
      <c r="W51" s="22">
        <f t="shared" si="4"/>
        <v>1</v>
      </c>
      <c r="X51" s="3">
        <f t="shared" si="5"/>
        <v>8</v>
      </c>
      <c r="Z51" s="3" t="str">
        <f t="shared" si="14"/>
        <v>Semana 49</v>
      </c>
      <c r="AA51" s="14">
        <f t="shared" si="15"/>
        <v>49645</v>
      </c>
      <c r="AB51" s="14">
        <f t="shared" si="6"/>
        <v>49651</v>
      </c>
      <c r="AC51" s="8" t="str">
        <f t="shared" si="7"/>
        <v>Semana 49: de 02/dez/2035 a 08/dez/2035</v>
      </c>
      <c r="AD51" s="4">
        <f t="shared" si="16"/>
        <v>49644</v>
      </c>
      <c r="AE51" s="3">
        <f t="shared" si="10"/>
        <v>49</v>
      </c>
      <c r="AF51" s="1"/>
      <c r="AT51" s="3">
        <f>AT50+1</f>
        <v>49</v>
      </c>
      <c r="AU51" s="3">
        <f>COUNTIF('Gráfico Controle de Resultados'!X:X,Auxiliar!AT51)</f>
        <v>0</v>
      </c>
      <c r="AV51" s="3">
        <f t="shared" si="13"/>
        <v>9</v>
      </c>
    </row>
    <row r="52" spans="11:48" x14ac:dyDescent="0.35">
      <c r="K52" s="1"/>
      <c r="S52" s="3">
        <f t="shared" si="3"/>
        <v>8</v>
      </c>
      <c r="T52" s="7">
        <f>DATE('Gráfico Controle de Resultados'!$C$9,Auxiliar!U52,Auxiliar!V52)</f>
        <v>49359</v>
      </c>
      <c r="U52" s="3">
        <v>2</v>
      </c>
      <c r="V52" s="3">
        <v>19</v>
      </c>
      <c r="W52" s="22">
        <f t="shared" si="4"/>
        <v>2</v>
      </c>
      <c r="X52" s="3">
        <f t="shared" si="5"/>
        <v>8</v>
      </c>
      <c r="Z52" s="3" t="str">
        <f t="shared" si="14"/>
        <v>Semana 50</v>
      </c>
      <c r="AA52" s="14">
        <f t="shared" si="15"/>
        <v>49652</v>
      </c>
      <c r="AB52" s="14">
        <f t="shared" si="6"/>
        <v>49658</v>
      </c>
      <c r="AC52" s="8" t="str">
        <f t="shared" si="7"/>
        <v>Semana 50: de 09/dez/2035 a 15/dez/2035</v>
      </c>
      <c r="AD52" s="4">
        <f t="shared" si="16"/>
        <v>49644</v>
      </c>
      <c r="AE52" s="3">
        <f t="shared" si="10"/>
        <v>50</v>
      </c>
      <c r="AF52" s="1"/>
      <c r="AT52" s="3">
        <f t="shared" si="12"/>
        <v>50</v>
      </c>
      <c r="AU52" s="3">
        <f>COUNTIF('Gráfico Controle de Resultados'!X:X,Auxiliar!AT52)</f>
        <v>0</v>
      </c>
      <c r="AV52" s="3">
        <f t="shared" si="13"/>
        <v>9</v>
      </c>
    </row>
    <row r="53" spans="11:48" x14ac:dyDescent="0.35">
      <c r="K53" s="1"/>
      <c r="S53" s="3">
        <f t="shared" si="3"/>
        <v>8</v>
      </c>
      <c r="T53" s="7">
        <f>DATE('Gráfico Controle de Resultados'!$C$9,Auxiliar!U53,Auxiliar!V53)</f>
        <v>49360</v>
      </c>
      <c r="U53" s="3">
        <v>2</v>
      </c>
      <c r="V53" s="3">
        <v>20</v>
      </c>
      <c r="W53" s="22">
        <f t="shared" si="4"/>
        <v>3</v>
      </c>
      <c r="X53" s="3">
        <f t="shared" si="5"/>
        <v>8</v>
      </c>
      <c r="Z53" s="3" t="str">
        <f t="shared" si="14"/>
        <v>Semana 51</v>
      </c>
      <c r="AA53" s="14">
        <f t="shared" si="15"/>
        <v>49659</v>
      </c>
      <c r="AB53" s="14">
        <f t="shared" si="6"/>
        <v>49665</v>
      </c>
      <c r="AC53" s="8" t="str">
        <f t="shared" si="7"/>
        <v>Semana 51: de 16/dez/2035 a 22/dez/2035</v>
      </c>
      <c r="AD53" s="4">
        <f t="shared" si="16"/>
        <v>49644</v>
      </c>
      <c r="AE53" s="3">
        <f t="shared" si="10"/>
        <v>51</v>
      </c>
      <c r="AF53" s="1"/>
      <c r="AT53" s="3">
        <f t="shared" si="12"/>
        <v>51</v>
      </c>
      <c r="AU53" s="3">
        <f>COUNTIF('Gráfico Controle de Resultados'!X:X,Auxiliar!AT53)</f>
        <v>0</v>
      </c>
      <c r="AV53" s="3">
        <f t="shared" si="13"/>
        <v>9</v>
      </c>
    </row>
    <row r="54" spans="11:48" x14ac:dyDescent="0.35">
      <c r="S54" s="3">
        <f t="shared" si="3"/>
        <v>8</v>
      </c>
      <c r="T54" s="7">
        <f>DATE('Gráfico Controle de Resultados'!$C$9,Auxiliar!U54,Auxiliar!V54)</f>
        <v>49361</v>
      </c>
      <c r="U54" s="3">
        <v>2</v>
      </c>
      <c r="V54" s="3">
        <v>21</v>
      </c>
      <c r="W54" s="22">
        <f t="shared" si="4"/>
        <v>4</v>
      </c>
      <c r="X54" s="3">
        <f t="shared" si="5"/>
        <v>8</v>
      </c>
      <c r="Z54" s="3" t="str">
        <f t="shared" si="14"/>
        <v>Semana 52</v>
      </c>
      <c r="AA54" s="14">
        <f t="shared" si="15"/>
        <v>49666</v>
      </c>
      <c r="AB54" s="14">
        <f t="shared" si="6"/>
        <v>49672</v>
      </c>
      <c r="AC54" s="8" t="str">
        <f t="shared" si="7"/>
        <v>Semana 52: de 23/dez/2035 a 29/dez/2035</v>
      </c>
      <c r="AD54" s="4">
        <f t="shared" si="16"/>
        <v>49644</v>
      </c>
      <c r="AE54" s="3">
        <f t="shared" si="10"/>
        <v>52</v>
      </c>
      <c r="AF54" s="1"/>
      <c r="AT54" s="3">
        <f>AT53+1</f>
        <v>52</v>
      </c>
      <c r="AU54" s="3">
        <f>COUNTIF('Gráfico Controle de Resultados'!X:X,Auxiliar!AT54)</f>
        <v>0</v>
      </c>
      <c r="AV54" s="3">
        <f t="shared" si="13"/>
        <v>9</v>
      </c>
    </row>
    <row r="55" spans="11:48" x14ac:dyDescent="0.35">
      <c r="S55" s="3">
        <f t="shared" si="3"/>
        <v>8</v>
      </c>
      <c r="T55" s="7">
        <f>DATE('Gráfico Controle de Resultados'!$C$9,Auxiliar!U55,Auxiliar!V55)</f>
        <v>49362</v>
      </c>
      <c r="U55" s="3">
        <v>2</v>
      </c>
      <c r="V55" s="3">
        <v>22</v>
      </c>
      <c r="W55" s="22">
        <f t="shared" si="4"/>
        <v>5</v>
      </c>
      <c r="X55" s="3">
        <f t="shared" si="5"/>
        <v>8</v>
      </c>
      <c r="Z55" s="3" t="str">
        <f t="shared" si="14"/>
        <v>Semana 53</v>
      </c>
      <c r="AA55" s="14">
        <f t="shared" si="15"/>
        <v>49673</v>
      </c>
      <c r="AB55" s="14" t="str">
        <f>IF(DAY(AB54)&lt;&gt;31,"31/dez/"&amp;'Gráfico Controle de Resultados'!C9,"")</f>
        <v>31/dez/2035</v>
      </c>
      <c r="AC55" s="8" t="str">
        <f t="shared" si="7"/>
        <v>Semana 53: de 30/dez/2035 a 31/dez/2035</v>
      </c>
      <c r="AD55" s="4">
        <f t="shared" si="16"/>
        <v>49644</v>
      </c>
      <c r="AE55" s="3">
        <f t="shared" si="10"/>
        <v>53</v>
      </c>
      <c r="AF55" s="1"/>
      <c r="AT55" s="3">
        <f t="shared" si="12"/>
        <v>53</v>
      </c>
      <c r="AU55" s="3">
        <f>COUNTIF('Gráfico Controle de Resultados'!X:X,Auxiliar!AT55)</f>
        <v>0</v>
      </c>
      <c r="AV55" s="3">
        <f t="shared" si="13"/>
        <v>9</v>
      </c>
    </row>
    <row r="56" spans="11:48" x14ac:dyDescent="0.35">
      <c r="S56" s="3">
        <f t="shared" si="3"/>
        <v>8</v>
      </c>
      <c r="T56" s="7">
        <f>DATE('Gráfico Controle de Resultados'!$C$9,Auxiliar!U56,Auxiliar!V56)</f>
        <v>49363</v>
      </c>
      <c r="U56" s="3">
        <v>2</v>
      </c>
      <c r="V56" s="3">
        <v>23</v>
      </c>
      <c r="W56" s="22">
        <f t="shared" si="4"/>
        <v>6</v>
      </c>
      <c r="X56" s="3">
        <f t="shared" si="5"/>
        <v>8</v>
      </c>
    </row>
    <row r="57" spans="11:48" x14ac:dyDescent="0.35">
      <c r="S57" s="3">
        <f t="shared" si="3"/>
        <v>8</v>
      </c>
      <c r="T57" s="7">
        <f>DATE('Gráfico Controle de Resultados'!$C$9,Auxiliar!U57,Auxiliar!V57)</f>
        <v>49364</v>
      </c>
      <c r="U57" s="3">
        <v>2</v>
      </c>
      <c r="V57" s="3">
        <v>24</v>
      </c>
      <c r="W57" s="22">
        <f t="shared" si="4"/>
        <v>7</v>
      </c>
      <c r="X57" s="3">
        <f t="shared" si="5"/>
        <v>8</v>
      </c>
    </row>
    <row r="58" spans="11:48" x14ac:dyDescent="0.35">
      <c r="S58" s="3">
        <f t="shared" si="3"/>
        <v>9</v>
      </c>
      <c r="T58" s="7">
        <f>DATE('Gráfico Controle de Resultados'!$C$9,Auxiliar!U58,Auxiliar!V58)</f>
        <v>49365</v>
      </c>
      <c r="U58" s="3">
        <v>2</v>
      </c>
      <c r="V58" s="3">
        <v>25</v>
      </c>
      <c r="W58" s="22">
        <f t="shared" si="4"/>
        <v>1</v>
      </c>
      <c r="X58" s="3">
        <f t="shared" si="5"/>
        <v>9</v>
      </c>
    </row>
    <row r="59" spans="11:48" x14ac:dyDescent="0.35">
      <c r="S59" s="3">
        <f t="shared" si="3"/>
        <v>9</v>
      </c>
      <c r="T59" s="7">
        <f>DATE('Gráfico Controle de Resultados'!$C$9,Auxiliar!U59,Auxiliar!V59)</f>
        <v>49366</v>
      </c>
      <c r="U59" s="3">
        <v>2</v>
      </c>
      <c r="V59" s="3">
        <v>26</v>
      </c>
      <c r="W59" s="22">
        <f t="shared" si="4"/>
        <v>2</v>
      </c>
      <c r="X59" s="3">
        <f t="shared" si="5"/>
        <v>9</v>
      </c>
    </row>
    <row r="60" spans="11:48" x14ac:dyDescent="0.35">
      <c r="S60" s="3">
        <f t="shared" si="3"/>
        <v>9</v>
      </c>
      <c r="T60" s="7">
        <f>DATE('Gráfico Controle de Resultados'!$C$9,Auxiliar!U60,Auxiliar!V60)</f>
        <v>49367</v>
      </c>
      <c r="U60" s="3">
        <v>2</v>
      </c>
      <c r="V60" s="3">
        <v>27</v>
      </c>
      <c r="W60" s="22">
        <f t="shared" si="4"/>
        <v>3</v>
      </c>
      <c r="X60" s="3">
        <f t="shared" si="5"/>
        <v>9</v>
      </c>
    </row>
    <row r="61" spans="11:48" x14ac:dyDescent="0.35">
      <c r="S61" s="3">
        <f t="shared" si="3"/>
        <v>9</v>
      </c>
      <c r="T61" s="7">
        <f>DATE('Gráfico Controle de Resultados'!$C$9,Auxiliar!U61,Auxiliar!V61)</f>
        <v>49368</v>
      </c>
      <c r="U61" s="3">
        <v>2</v>
      </c>
      <c r="V61" s="3">
        <v>28</v>
      </c>
      <c r="W61" s="22">
        <f t="shared" si="4"/>
        <v>4</v>
      </c>
      <c r="X61" s="3">
        <f t="shared" si="5"/>
        <v>9</v>
      </c>
    </row>
    <row r="62" spans="11:48" x14ac:dyDescent="0.35">
      <c r="S62" s="3">
        <f t="shared" si="3"/>
        <v>9</v>
      </c>
      <c r="T62" s="7">
        <f>DATE('Gráfico Controle de Resultados'!$C$9,Auxiliar!U62,Auxiliar!V62)</f>
        <v>49369</v>
      </c>
      <c r="U62" s="3">
        <v>3</v>
      </c>
      <c r="V62" s="3">
        <v>1</v>
      </c>
      <c r="W62" s="22">
        <f t="shared" si="4"/>
        <v>5</v>
      </c>
      <c r="X62" s="3">
        <f t="shared" si="5"/>
        <v>9</v>
      </c>
    </row>
    <row r="63" spans="11:48" x14ac:dyDescent="0.35">
      <c r="S63" s="3">
        <f t="shared" si="3"/>
        <v>9</v>
      </c>
      <c r="T63" s="7">
        <f>DATE('Gráfico Controle de Resultados'!$C$9,Auxiliar!U63,Auxiliar!V63)</f>
        <v>49370</v>
      </c>
      <c r="U63" s="3">
        <v>3</v>
      </c>
      <c r="V63" s="3">
        <v>2</v>
      </c>
      <c r="W63" s="22">
        <f t="shared" si="4"/>
        <v>6</v>
      </c>
      <c r="X63" s="3">
        <f t="shared" si="5"/>
        <v>9</v>
      </c>
    </row>
    <row r="64" spans="11:48" x14ac:dyDescent="0.35">
      <c r="S64" s="3">
        <f t="shared" si="3"/>
        <v>9</v>
      </c>
      <c r="T64" s="7">
        <f>DATE('Gráfico Controle de Resultados'!$C$9,Auxiliar!U64,Auxiliar!V64)</f>
        <v>49371</v>
      </c>
      <c r="U64" s="3">
        <v>3</v>
      </c>
      <c r="V64" s="3">
        <v>3</v>
      </c>
      <c r="W64" s="22">
        <f t="shared" si="4"/>
        <v>7</v>
      </c>
      <c r="X64" s="3">
        <f t="shared" si="5"/>
        <v>9</v>
      </c>
    </row>
    <row r="65" spans="19:24" x14ac:dyDescent="0.35">
      <c r="S65" s="3">
        <f t="shared" si="3"/>
        <v>10</v>
      </c>
      <c r="T65" s="7">
        <f>DATE('Gráfico Controle de Resultados'!$C$9,Auxiliar!U65,Auxiliar!V65)</f>
        <v>49372</v>
      </c>
      <c r="U65" s="3">
        <v>3</v>
      </c>
      <c r="V65" s="3">
        <v>4</v>
      </c>
      <c r="W65" s="22">
        <f t="shared" si="4"/>
        <v>1</v>
      </c>
      <c r="X65" s="3">
        <f t="shared" si="5"/>
        <v>10</v>
      </c>
    </row>
    <row r="66" spans="19:24" x14ac:dyDescent="0.35">
      <c r="S66" s="3">
        <f t="shared" si="3"/>
        <v>10</v>
      </c>
      <c r="T66" s="7">
        <f>DATE('Gráfico Controle de Resultados'!$C$9,Auxiliar!U66,Auxiliar!V66)</f>
        <v>49373</v>
      </c>
      <c r="U66" s="3">
        <v>3</v>
      </c>
      <c r="V66" s="3">
        <v>5</v>
      </c>
      <c r="W66" s="22">
        <f t="shared" si="4"/>
        <v>2</v>
      </c>
      <c r="X66" s="3">
        <f t="shared" si="5"/>
        <v>10</v>
      </c>
    </row>
    <row r="67" spans="19:24" x14ac:dyDescent="0.35">
      <c r="S67" s="3">
        <f t="shared" si="3"/>
        <v>10</v>
      </c>
      <c r="T67" s="7">
        <f>DATE('Gráfico Controle de Resultados'!$C$9,Auxiliar!U67,Auxiliar!V67)</f>
        <v>49374</v>
      </c>
      <c r="U67" s="3">
        <v>3</v>
      </c>
      <c r="V67" s="3">
        <v>6</v>
      </c>
      <c r="W67" s="22">
        <f t="shared" si="4"/>
        <v>3</v>
      </c>
      <c r="X67" s="3">
        <f t="shared" si="5"/>
        <v>10</v>
      </c>
    </row>
    <row r="68" spans="19:24" x14ac:dyDescent="0.35">
      <c r="S68" s="3">
        <f t="shared" ref="S68:S131" si="17">IF(W68=1,S67+1,S67)</f>
        <v>10</v>
      </c>
      <c r="T68" s="7">
        <f>DATE('Gráfico Controle de Resultados'!$C$9,Auxiliar!U68,Auxiliar!V68)</f>
        <v>49375</v>
      </c>
      <c r="U68" s="3">
        <v>3</v>
      </c>
      <c r="V68" s="3">
        <v>7</v>
      </c>
      <c r="W68" s="22">
        <f t="shared" ref="W68:W131" si="18">WEEKDAY(T68)</f>
        <v>4</v>
      </c>
      <c r="X68" s="3">
        <f t="shared" ref="X68:X131" si="19">S68</f>
        <v>10</v>
      </c>
    </row>
    <row r="69" spans="19:24" x14ac:dyDescent="0.35">
      <c r="S69" s="3">
        <f t="shared" si="17"/>
        <v>10</v>
      </c>
      <c r="T69" s="7">
        <f>DATE('Gráfico Controle de Resultados'!$C$9,Auxiliar!U69,Auxiliar!V69)</f>
        <v>49376</v>
      </c>
      <c r="U69" s="3">
        <v>3</v>
      </c>
      <c r="V69" s="3">
        <v>8</v>
      </c>
      <c r="W69" s="22">
        <f t="shared" si="18"/>
        <v>5</v>
      </c>
      <c r="X69" s="3">
        <f t="shared" si="19"/>
        <v>10</v>
      </c>
    </row>
    <row r="70" spans="19:24" x14ac:dyDescent="0.35">
      <c r="S70" s="3">
        <f t="shared" si="17"/>
        <v>10</v>
      </c>
      <c r="T70" s="7">
        <f>DATE('Gráfico Controle de Resultados'!$C$9,Auxiliar!U70,Auxiliar!V70)</f>
        <v>49377</v>
      </c>
      <c r="U70" s="3">
        <v>3</v>
      </c>
      <c r="V70" s="3">
        <v>9</v>
      </c>
      <c r="W70" s="22">
        <f t="shared" si="18"/>
        <v>6</v>
      </c>
      <c r="X70" s="3">
        <f t="shared" si="19"/>
        <v>10</v>
      </c>
    </row>
    <row r="71" spans="19:24" x14ac:dyDescent="0.35">
      <c r="S71" s="3">
        <f t="shared" si="17"/>
        <v>10</v>
      </c>
      <c r="T71" s="7">
        <f>DATE('Gráfico Controle de Resultados'!$C$9,Auxiliar!U71,Auxiliar!V71)</f>
        <v>49378</v>
      </c>
      <c r="U71" s="3">
        <v>3</v>
      </c>
      <c r="V71" s="3">
        <v>10</v>
      </c>
      <c r="W71" s="22">
        <f t="shared" si="18"/>
        <v>7</v>
      </c>
      <c r="X71" s="3">
        <f t="shared" si="19"/>
        <v>10</v>
      </c>
    </row>
    <row r="72" spans="19:24" x14ac:dyDescent="0.35">
      <c r="S72" s="3">
        <f t="shared" si="17"/>
        <v>11</v>
      </c>
      <c r="T72" s="7">
        <f>DATE('Gráfico Controle de Resultados'!$C$9,Auxiliar!U72,Auxiliar!V72)</f>
        <v>49379</v>
      </c>
      <c r="U72" s="3">
        <v>3</v>
      </c>
      <c r="V72" s="3">
        <v>11</v>
      </c>
      <c r="W72" s="22">
        <f t="shared" si="18"/>
        <v>1</v>
      </c>
      <c r="X72" s="3">
        <f t="shared" si="19"/>
        <v>11</v>
      </c>
    </row>
    <row r="73" spans="19:24" x14ac:dyDescent="0.35">
      <c r="S73" s="3">
        <f t="shared" si="17"/>
        <v>11</v>
      </c>
      <c r="T73" s="7">
        <f>DATE('Gráfico Controle de Resultados'!$C$9,Auxiliar!U73,Auxiliar!V73)</f>
        <v>49380</v>
      </c>
      <c r="U73" s="3">
        <v>3</v>
      </c>
      <c r="V73" s="3">
        <v>12</v>
      </c>
      <c r="W73" s="22">
        <f t="shared" si="18"/>
        <v>2</v>
      </c>
      <c r="X73" s="3">
        <f t="shared" si="19"/>
        <v>11</v>
      </c>
    </row>
    <row r="74" spans="19:24" x14ac:dyDescent="0.35">
      <c r="S74" s="3">
        <f t="shared" si="17"/>
        <v>11</v>
      </c>
      <c r="T74" s="7">
        <f>DATE('Gráfico Controle de Resultados'!$C$9,Auxiliar!U74,Auxiliar!V74)</f>
        <v>49381</v>
      </c>
      <c r="U74" s="3">
        <v>3</v>
      </c>
      <c r="V74" s="3">
        <v>13</v>
      </c>
      <c r="W74" s="22">
        <f t="shared" si="18"/>
        <v>3</v>
      </c>
      <c r="X74" s="3">
        <f t="shared" si="19"/>
        <v>11</v>
      </c>
    </row>
    <row r="75" spans="19:24" x14ac:dyDescent="0.35">
      <c r="S75" s="3">
        <f t="shared" si="17"/>
        <v>11</v>
      </c>
      <c r="T75" s="7">
        <f>DATE('Gráfico Controle de Resultados'!$C$9,Auxiliar!U75,Auxiliar!V75)</f>
        <v>49382</v>
      </c>
      <c r="U75" s="3">
        <v>3</v>
      </c>
      <c r="V75" s="3">
        <v>14</v>
      </c>
      <c r="W75" s="22">
        <f t="shared" si="18"/>
        <v>4</v>
      </c>
      <c r="X75" s="3">
        <f t="shared" si="19"/>
        <v>11</v>
      </c>
    </row>
    <row r="76" spans="19:24" x14ac:dyDescent="0.35">
      <c r="S76" s="3">
        <f t="shared" si="17"/>
        <v>11</v>
      </c>
      <c r="T76" s="7">
        <f>DATE('Gráfico Controle de Resultados'!$C$9,Auxiliar!U76,Auxiliar!V76)</f>
        <v>49383</v>
      </c>
      <c r="U76" s="3">
        <v>3</v>
      </c>
      <c r="V76" s="3">
        <v>15</v>
      </c>
      <c r="W76" s="22">
        <f t="shared" si="18"/>
        <v>5</v>
      </c>
      <c r="X76" s="3">
        <f t="shared" si="19"/>
        <v>11</v>
      </c>
    </row>
    <row r="77" spans="19:24" x14ac:dyDescent="0.35">
      <c r="S77" s="3">
        <f t="shared" si="17"/>
        <v>11</v>
      </c>
      <c r="T77" s="7">
        <f>DATE('Gráfico Controle de Resultados'!$C$9,Auxiliar!U77,Auxiliar!V77)</f>
        <v>49384</v>
      </c>
      <c r="U77" s="3">
        <v>3</v>
      </c>
      <c r="V77" s="3">
        <v>16</v>
      </c>
      <c r="W77" s="22">
        <f t="shared" si="18"/>
        <v>6</v>
      </c>
      <c r="X77" s="3">
        <f t="shared" si="19"/>
        <v>11</v>
      </c>
    </row>
    <row r="78" spans="19:24" x14ac:dyDescent="0.35">
      <c r="S78" s="3">
        <f t="shared" si="17"/>
        <v>11</v>
      </c>
      <c r="T78" s="7">
        <f>DATE('Gráfico Controle de Resultados'!$C$9,Auxiliar!U78,Auxiliar!V78)</f>
        <v>49385</v>
      </c>
      <c r="U78" s="3">
        <v>3</v>
      </c>
      <c r="V78" s="3">
        <v>17</v>
      </c>
      <c r="W78" s="22">
        <f t="shared" si="18"/>
        <v>7</v>
      </c>
      <c r="X78" s="3">
        <f t="shared" si="19"/>
        <v>11</v>
      </c>
    </row>
    <row r="79" spans="19:24" x14ac:dyDescent="0.35">
      <c r="S79" s="3">
        <f t="shared" si="17"/>
        <v>12</v>
      </c>
      <c r="T79" s="7">
        <f>DATE('Gráfico Controle de Resultados'!$C$9,Auxiliar!U79,Auxiliar!V79)</f>
        <v>49386</v>
      </c>
      <c r="U79" s="3">
        <v>3</v>
      </c>
      <c r="V79" s="3">
        <v>18</v>
      </c>
      <c r="W79" s="22">
        <f t="shared" si="18"/>
        <v>1</v>
      </c>
      <c r="X79" s="3">
        <f t="shared" si="19"/>
        <v>12</v>
      </c>
    </row>
    <row r="80" spans="19:24" x14ac:dyDescent="0.35">
      <c r="S80" s="3">
        <f t="shared" si="17"/>
        <v>12</v>
      </c>
      <c r="T80" s="7">
        <f>DATE('Gráfico Controle de Resultados'!$C$9,Auxiliar!U80,Auxiliar!V80)</f>
        <v>49387</v>
      </c>
      <c r="U80" s="3">
        <v>3</v>
      </c>
      <c r="V80" s="3">
        <v>19</v>
      </c>
      <c r="W80" s="22">
        <f t="shared" si="18"/>
        <v>2</v>
      </c>
      <c r="X80" s="3">
        <f t="shared" si="19"/>
        <v>12</v>
      </c>
    </row>
    <row r="81" spans="19:24" x14ac:dyDescent="0.35">
      <c r="S81" s="3">
        <f t="shared" si="17"/>
        <v>12</v>
      </c>
      <c r="T81" s="7">
        <f>DATE('Gráfico Controle de Resultados'!$C$9,Auxiliar!U81,Auxiliar!V81)</f>
        <v>49388</v>
      </c>
      <c r="U81" s="3">
        <v>3</v>
      </c>
      <c r="V81" s="3">
        <v>20</v>
      </c>
      <c r="W81" s="22">
        <f t="shared" si="18"/>
        <v>3</v>
      </c>
      <c r="X81" s="3">
        <f t="shared" si="19"/>
        <v>12</v>
      </c>
    </row>
    <row r="82" spans="19:24" x14ac:dyDescent="0.35">
      <c r="S82" s="3">
        <f t="shared" si="17"/>
        <v>12</v>
      </c>
      <c r="T82" s="7">
        <f>DATE('Gráfico Controle de Resultados'!$C$9,Auxiliar!U82,Auxiliar!V82)</f>
        <v>49389</v>
      </c>
      <c r="U82" s="3">
        <v>3</v>
      </c>
      <c r="V82" s="3">
        <v>21</v>
      </c>
      <c r="W82" s="22">
        <f t="shared" si="18"/>
        <v>4</v>
      </c>
      <c r="X82" s="3">
        <f t="shared" si="19"/>
        <v>12</v>
      </c>
    </row>
    <row r="83" spans="19:24" x14ac:dyDescent="0.35">
      <c r="S83" s="3">
        <f t="shared" si="17"/>
        <v>12</v>
      </c>
      <c r="T83" s="7">
        <f>DATE('Gráfico Controle de Resultados'!$C$9,Auxiliar!U83,Auxiliar!V83)</f>
        <v>49390</v>
      </c>
      <c r="U83" s="3">
        <v>3</v>
      </c>
      <c r="V83" s="3">
        <v>22</v>
      </c>
      <c r="W83" s="22">
        <f t="shared" si="18"/>
        <v>5</v>
      </c>
      <c r="X83" s="3">
        <f t="shared" si="19"/>
        <v>12</v>
      </c>
    </row>
    <row r="84" spans="19:24" x14ac:dyDescent="0.35">
      <c r="S84" s="3">
        <f t="shared" si="17"/>
        <v>12</v>
      </c>
      <c r="T84" s="7">
        <f>DATE('Gráfico Controle de Resultados'!$C$9,Auxiliar!U84,Auxiliar!V84)</f>
        <v>49391</v>
      </c>
      <c r="U84" s="3">
        <v>3</v>
      </c>
      <c r="V84" s="3">
        <v>23</v>
      </c>
      <c r="W84" s="22">
        <f t="shared" si="18"/>
        <v>6</v>
      </c>
      <c r="X84" s="3">
        <f t="shared" si="19"/>
        <v>12</v>
      </c>
    </row>
    <row r="85" spans="19:24" x14ac:dyDescent="0.35">
      <c r="S85" s="3">
        <f t="shared" si="17"/>
        <v>12</v>
      </c>
      <c r="T85" s="7">
        <f>DATE('Gráfico Controle de Resultados'!$C$9,Auxiliar!U85,Auxiliar!V85)</f>
        <v>49392</v>
      </c>
      <c r="U85" s="3">
        <v>3</v>
      </c>
      <c r="V85" s="3">
        <v>24</v>
      </c>
      <c r="W85" s="22">
        <f t="shared" si="18"/>
        <v>7</v>
      </c>
      <c r="X85" s="3">
        <f t="shared" si="19"/>
        <v>12</v>
      </c>
    </row>
    <row r="86" spans="19:24" x14ac:dyDescent="0.35">
      <c r="S86" s="3">
        <f t="shared" si="17"/>
        <v>13</v>
      </c>
      <c r="T86" s="7">
        <f>DATE('Gráfico Controle de Resultados'!$C$9,Auxiliar!U86,Auxiliar!V86)</f>
        <v>49393</v>
      </c>
      <c r="U86" s="3">
        <v>3</v>
      </c>
      <c r="V86" s="3">
        <v>25</v>
      </c>
      <c r="W86" s="22">
        <f t="shared" si="18"/>
        <v>1</v>
      </c>
      <c r="X86" s="3">
        <f t="shared" si="19"/>
        <v>13</v>
      </c>
    </row>
    <row r="87" spans="19:24" x14ac:dyDescent="0.35">
      <c r="S87" s="3">
        <f t="shared" si="17"/>
        <v>13</v>
      </c>
      <c r="T87" s="7">
        <f>DATE('Gráfico Controle de Resultados'!$C$9,Auxiliar!U87,Auxiliar!V87)</f>
        <v>49394</v>
      </c>
      <c r="U87" s="3">
        <v>3</v>
      </c>
      <c r="V87" s="3">
        <v>26</v>
      </c>
      <c r="W87" s="22">
        <f t="shared" si="18"/>
        <v>2</v>
      </c>
      <c r="X87" s="3">
        <f t="shared" si="19"/>
        <v>13</v>
      </c>
    </row>
    <row r="88" spans="19:24" x14ac:dyDescent="0.35">
      <c r="S88" s="3">
        <f t="shared" si="17"/>
        <v>13</v>
      </c>
      <c r="T88" s="7">
        <f>DATE('Gráfico Controle de Resultados'!$C$9,Auxiliar!U88,Auxiliar!V88)</f>
        <v>49395</v>
      </c>
      <c r="U88" s="3">
        <v>3</v>
      </c>
      <c r="V88" s="3">
        <v>27</v>
      </c>
      <c r="W88" s="22">
        <f t="shared" si="18"/>
        <v>3</v>
      </c>
      <c r="X88" s="3">
        <f t="shared" si="19"/>
        <v>13</v>
      </c>
    </row>
    <row r="89" spans="19:24" x14ac:dyDescent="0.35">
      <c r="S89" s="3">
        <f t="shared" si="17"/>
        <v>13</v>
      </c>
      <c r="T89" s="7">
        <f>DATE('Gráfico Controle de Resultados'!$C$9,Auxiliar!U89,Auxiliar!V89)</f>
        <v>49396</v>
      </c>
      <c r="U89" s="3">
        <v>3</v>
      </c>
      <c r="V89" s="3">
        <v>28</v>
      </c>
      <c r="W89" s="22">
        <f t="shared" si="18"/>
        <v>4</v>
      </c>
      <c r="X89" s="3">
        <f t="shared" si="19"/>
        <v>13</v>
      </c>
    </row>
    <row r="90" spans="19:24" x14ac:dyDescent="0.35">
      <c r="S90" s="3">
        <f t="shared" si="17"/>
        <v>13</v>
      </c>
      <c r="T90" s="7">
        <f>DATE('Gráfico Controle de Resultados'!$C$9,Auxiliar!U90,Auxiliar!V90)</f>
        <v>49397</v>
      </c>
      <c r="U90" s="3">
        <v>3</v>
      </c>
      <c r="V90" s="3">
        <v>29</v>
      </c>
      <c r="W90" s="22">
        <f t="shared" si="18"/>
        <v>5</v>
      </c>
      <c r="X90" s="3">
        <f t="shared" si="19"/>
        <v>13</v>
      </c>
    </row>
    <row r="91" spans="19:24" x14ac:dyDescent="0.35">
      <c r="S91" s="3">
        <f t="shared" si="17"/>
        <v>13</v>
      </c>
      <c r="T91" s="7">
        <f>DATE('Gráfico Controle de Resultados'!$C$9,Auxiliar!U91,Auxiliar!V91)</f>
        <v>49398</v>
      </c>
      <c r="U91" s="3">
        <v>3</v>
      </c>
      <c r="V91" s="3">
        <v>30</v>
      </c>
      <c r="W91" s="22">
        <f t="shared" si="18"/>
        <v>6</v>
      </c>
      <c r="X91" s="3">
        <f t="shared" si="19"/>
        <v>13</v>
      </c>
    </row>
    <row r="92" spans="19:24" x14ac:dyDescent="0.35">
      <c r="S92" s="3">
        <f t="shared" si="17"/>
        <v>13</v>
      </c>
      <c r="T92" s="7">
        <f>DATE('Gráfico Controle de Resultados'!$C$9,Auxiliar!U92,Auxiliar!V92)</f>
        <v>49399</v>
      </c>
      <c r="U92" s="3">
        <v>3</v>
      </c>
      <c r="V92" s="3">
        <v>31</v>
      </c>
      <c r="W92" s="22">
        <f t="shared" si="18"/>
        <v>7</v>
      </c>
      <c r="X92" s="3">
        <f t="shared" si="19"/>
        <v>13</v>
      </c>
    </row>
    <row r="93" spans="19:24" x14ac:dyDescent="0.35">
      <c r="S93" s="3">
        <f t="shared" si="17"/>
        <v>14</v>
      </c>
      <c r="T93" s="7">
        <f>DATE('Gráfico Controle de Resultados'!$C$9,Auxiliar!U93,Auxiliar!V93)</f>
        <v>49400</v>
      </c>
      <c r="U93" s="3">
        <v>4</v>
      </c>
      <c r="V93" s="3">
        <v>1</v>
      </c>
      <c r="W93" s="22">
        <f t="shared" si="18"/>
        <v>1</v>
      </c>
      <c r="X93" s="3">
        <f t="shared" si="19"/>
        <v>14</v>
      </c>
    </row>
    <row r="94" spans="19:24" x14ac:dyDescent="0.35">
      <c r="S94" s="3">
        <f t="shared" si="17"/>
        <v>14</v>
      </c>
      <c r="T94" s="7">
        <f>DATE('Gráfico Controle de Resultados'!$C$9,Auxiliar!U94,Auxiliar!V94)</f>
        <v>49401</v>
      </c>
      <c r="U94" s="3">
        <v>4</v>
      </c>
      <c r="V94" s="3">
        <v>2</v>
      </c>
      <c r="W94" s="22">
        <f t="shared" si="18"/>
        <v>2</v>
      </c>
      <c r="X94" s="3">
        <f t="shared" si="19"/>
        <v>14</v>
      </c>
    </row>
    <row r="95" spans="19:24" x14ac:dyDescent="0.35">
      <c r="S95" s="3">
        <f t="shared" si="17"/>
        <v>14</v>
      </c>
      <c r="T95" s="7">
        <f>DATE('Gráfico Controle de Resultados'!$C$9,Auxiliar!U95,Auxiliar!V95)</f>
        <v>49402</v>
      </c>
      <c r="U95" s="3">
        <v>4</v>
      </c>
      <c r="V95" s="3">
        <v>3</v>
      </c>
      <c r="W95" s="22">
        <f t="shared" si="18"/>
        <v>3</v>
      </c>
      <c r="X95" s="3">
        <f t="shared" si="19"/>
        <v>14</v>
      </c>
    </row>
    <row r="96" spans="19:24" x14ac:dyDescent="0.35">
      <c r="S96" s="3">
        <f t="shared" si="17"/>
        <v>14</v>
      </c>
      <c r="T96" s="7">
        <f>DATE('Gráfico Controle de Resultados'!$C$9,Auxiliar!U96,Auxiliar!V96)</f>
        <v>49403</v>
      </c>
      <c r="U96" s="3">
        <v>4</v>
      </c>
      <c r="V96" s="3">
        <v>4</v>
      </c>
      <c r="W96" s="22">
        <f t="shared" si="18"/>
        <v>4</v>
      </c>
      <c r="X96" s="3">
        <f t="shared" si="19"/>
        <v>14</v>
      </c>
    </row>
    <row r="97" spans="19:24" x14ac:dyDescent="0.35">
      <c r="S97" s="3">
        <f t="shared" si="17"/>
        <v>14</v>
      </c>
      <c r="T97" s="7">
        <f>DATE('Gráfico Controle de Resultados'!$C$9,Auxiliar!U97,Auxiliar!V97)</f>
        <v>49404</v>
      </c>
      <c r="U97" s="3">
        <v>4</v>
      </c>
      <c r="V97" s="3">
        <v>5</v>
      </c>
      <c r="W97" s="22">
        <f t="shared" si="18"/>
        <v>5</v>
      </c>
      <c r="X97" s="3">
        <f t="shared" si="19"/>
        <v>14</v>
      </c>
    </row>
    <row r="98" spans="19:24" x14ac:dyDescent="0.35">
      <c r="S98" s="3">
        <f t="shared" si="17"/>
        <v>14</v>
      </c>
      <c r="T98" s="7">
        <f>DATE('Gráfico Controle de Resultados'!$C$9,Auxiliar!U98,Auxiliar!V98)</f>
        <v>49405</v>
      </c>
      <c r="U98" s="3">
        <v>4</v>
      </c>
      <c r="V98" s="3">
        <v>6</v>
      </c>
      <c r="W98" s="22">
        <f t="shared" si="18"/>
        <v>6</v>
      </c>
      <c r="X98" s="3">
        <f t="shared" si="19"/>
        <v>14</v>
      </c>
    </row>
    <row r="99" spans="19:24" x14ac:dyDescent="0.35">
      <c r="S99" s="3">
        <f t="shared" si="17"/>
        <v>14</v>
      </c>
      <c r="T99" s="7">
        <f>DATE('Gráfico Controle de Resultados'!$C$9,Auxiliar!U99,Auxiliar!V99)</f>
        <v>49406</v>
      </c>
      <c r="U99" s="3">
        <v>4</v>
      </c>
      <c r="V99" s="3">
        <v>7</v>
      </c>
      <c r="W99" s="22">
        <f t="shared" si="18"/>
        <v>7</v>
      </c>
      <c r="X99" s="3">
        <f t="shared" si="19"/>
        <v>14</v>
      </c>
    </row>
    <row r="100" spans="19:24" x14ac:dyDescent="0.35">
      <c r="S100" s="3">
        <f t="shared" si="17"/>
        <v>15</v>
      </c>
      <c r="T100" s="7">
        <f>DATE('Gráfico Controle de Resultados'!$C$9,Auxiliar!U100,Auxiliar!V100)</f>
        <v>49407</v>
      </c>
      <c r="U100" s="3">
        <v>4</v>
      </c>
      <c r="V100" s="3">
        <v>8</v>
      </c>
      <c r="W100" s="22">
        <f t="shared" si="18"/>
        <v>1</v>
      </c>
      <c r="X100" s="3">
        <f t="shared" si="19"/>
        <v>15</v>
      </c>
    </row>
    <row r="101" spans="19:24" x14ac:dyDescent="0.35">
      <c r="S101" s="3">
        <f t="shared" si="17"/>
        <v>15</v>
      </c>
      <c r="T101" s="7">
        <f>DATE('Gráfico Controle de Resultados'!$C$9,Auxiliar!U101,Auxiliar!V101)</f>
        <v>49408</v>
      </c>
      <c r="U101" s="3">
        <v>4</v>
      </c>
      <c r="V101" s="3">
        <v>9</v>
      </c>
      <c r="W101" s="22">
        <f t="shared" si="18"/>
        <v>2</v>
      </c>
      <c r="X101" s="3">
        <f t="shared" si="19"/>
        <v>15</v>
      </c>
    </row>
    <row r="102" spans="19:24" x14ac:dyDescent="0.35">
      <c r="S102" s="3">
        <f t="shared" si="17"/>
        <v>15</v>
      </c>
      <c r="T102" s="7">
        <f>DATE('Gráfico Controle de Resultados'!$C$9,Auxiliar!U102,Auxiliar!V102)</f>
        <v>49409</v>
      </c>
      <c r="U102" s="3">
        <v>4</v>
      </c>
      <c r="V102" s="3">
        <v>10</v>
      </c>
      <c r="W102" s="22">
        <f t="shared" si="18"/>
        <v>3</v>
      </c>
      <c r="X102" s="3">
        <f t="shared" si="19"/>
        <v>15</v>
      </c>
    </row>
    <row r="103" spans="19:24" x14ac:dyDescent="0.35">
      <c r="S103" s="3">
        <f t="shared" si="17"/>
        <v>15</v>
      </c>
      <c r="T103" s="7">
        <f>DATE('Gráfico Controle de Resultados'!$C$9,Auxiliar!U103,Auxiliar!V103)</f>
        <v>49410</v>
      </c>
      <c r="U103" s="3">
        <v>4</v>
      </c>
      <c r="V103" s="3">
        <v>11</v>
      </c>
      <c r="W103" s="22">
        <f t="shared" si="18"/>
        <v>4</v>
      </c>
      <c r="X103" s="3">
        <f t="shared" si="19"/>
        <v>15</v>
      </c>
    </row>
    <row r="104" spans="19:24" x14ac:dyDescent="0.35">
      <c r="S104" s="3">
        <f t="shared" si="17"/>
        <v>15</v>
      </c>
      <c r="T104" s="7">
        <f>DATE('Gráfico Controle de Resultados'!$C$9,Auxiliar!U104,Auxiliar!V104)</f>
        <v>49411</v>
      </c>
      <c r="U104" s="3">
        <v>4</v>
      </c>
      <c r="V104" s="3">
        <v>12</v>
      </c>
      <c r="W104" s="22">
        <f t="shared" si="18"/>
        <v>5</v>
      </c>
      <c r="X104" s="3">
        <f t="shared" si="19"/>
        <v>15</v>
      </c>
    </row>
    <row r="105" spans="19:24" x14ac:dyDescent="0.35">
      <c r="S105" s="3">
        <f t="shared" si="17"/>
        <v>15</v>
      </c>
      <c r="T105" s="7">
        <f>DATE('Gráfico Controle de Resultados'!$C$9,Auxiliar!U105,Auxiliar!V105)</f>
        <v>49412</v>
      </c>
      <c r="U105" s="3">
        <v>4</v>
      </c>
      <c r="V105" s="3">
        <v>13</v>
      </c>
      <c r="W105" s="22">
        <f t="shared" si="18"/>
        <v>6</v>
      </c>
      <c r="X105" s="3">
        <f t="shared" si="19"/>
        <v>15</v>
      </c>
    </row>
    <row r="106" spans="19:24" x14ac:dyDescent="0.35">
      <c r="S106" s="3">
        <f t="shared" si="17"/>
        <v>15</v>
      </c>
      <c r="T106" s="7">
        <f>DATE('Gráfico Controle de Resultados'!$C$9,Auxiliar!U106,Auxiliar!V106)</f>
        <v>49413</v>
      </c>
      <c r="U106" s="3">
        <v>4</v>
      </c>
      <c r="V106" s="3">
        <v>14</v>
      </c>
      <c r="W106" s="22">
        <f t="shared" si="18"/>
        <v>7</v>
      </c>
      <c r="X106" s="3">
        <f t="shared" si="19"/>
        <v>15</v>
      </c>
    </row>
    <row r="107" spans="19:24" x14ac:dyDescent="0.35">
      <c r="S107" s="3">
        <f t="shared" si="17"/>
        <v>16</v>
      </c>
      <c r="T107" s="7">
        <f>DATE('Gráfico Controle de Resultados'!$C$9,Auxiliar!U107,Auxiliar!V107)</f>
        <v>49414</v>
      </c>
      <c r="U107" s="3">
        <v>4</v>
      </c>
      <c r="V107" s="3">
        <v>15</v>
      </c>
      <c r="W107" s="22">
        <f t="shared" si="18"/>
        <v>1</v>
      </c>
      <c r="X107" s="3">
        <f t="shared" si="19"/>
        <v>16</v>
      </c>
    </row>
    <row r="108" spans="19:24" x14ac:dyDescent="0.35">
      <c r="S108" s="3">
        <f t="shared" si="17"/>
        <v>16</v>
      </c>
      <c r="T108" s="7">
        <f>DATE('Gráfico Controle de Resultados'!$C$9,Auxiliar!U108,Auxiliar!V108)</f>
        <v>49415</v>
      </c>
      <c r="U108" s="3">
        <v>4</v>
      </c>
      <c r="V108" s="3">
        <v>16</v>
      </c>
      <c r="W108" s="22">
        <f t="shared" si="18"/>
        <v>2</v>
      </c>
      <c r="X108" s="3">
        <f t="shared" si="19"/>
        <v>16</v>
      </c>
    </row>
    <row r="109" spans="19:24" x14ac:dyDescent="0.35">
      <c r="S109" s="3">
        <f t="shared" si="17"/>
        <v>16</v>
      </c>
      <c r="T109" s="7">
        <f>DATE('Gráfico Controle de Resultados'!$C$9,Auxiliar!U109,Auxiliar!V109)</f>
        <v>49416</v>
      </c>
      <c r="U109" s="3">
        <v>4</v>
      </c>
      <c r="V109" s="3">
        <v>17</v>
      </c>
      <c r="W109" s="22">
        <f t="shared" si="18"/>
        <v>3</v>
      </c>
      <c r="X109" s="3">
        <f t="shared" si="19"/>
        <v>16</v>
      </c>
    </row>
    <row r="110" spans="19:24" x14ac:dyDescent="0.35">
      <c r="S110" s="3">
        <f t="shared" si="17"/>
        <v>16</v>
      </c>
      <c r="T110" s="7">
        <f>DATE('Gráfico Controle de Resultados'!$C$9,Auxiliar!U110,Auxiliar!V110)</f>
        <v>49417</v>
      </c>
      <c r="U110" s="3">
        <v>4</v>
      </c>
      <c r="V110" s="3">
        <v>18</v>
      </c>
      <c r="W110" s="22">
        <f t="shared" si="18"/>
        <v>4</v>
      </c>
      <c r="X110" s="3">
        <f t="shared" si="19"/>
        <v>16</v>
      </c>
    </row>
    <row r="111" spans="19:24" x14ac:dyDescent="0.35">
      <c r="S111" s="3">
        <f t="shared" si="17"/>
        <v>16</v>
      </c>
      <c r="T111" s="7">
        <f>DATE('Gráfico Controle de Resultados'!$C$9,Auxiliar!U111,Auxiliar!V111)</f>
        <v>49418</v>
      </c>
      <c r="U111" s="3">
        <v>4</v>
      </c>
      <c r="V111" s="3">
        <v>19</v>
      </c>
      <c r="W111" s="22">
        <f t="shared" si="18"/>
        <v>5</v>
      </c>
      <c r="X111" s="3">
        <f t="shared" si="19"/>
        <v>16</v>
      </c>
    </row>
    <row r="112" spans="19:24" x14ac:dyDescent="0.35">
      <c r="S112" s="3">
        <f t="shared" si="17"/>
        <v>16</v>
      </c>
      <c r="T112" s="7">
        <f>DATE('Gráfico Controle de Resultados'!$C$9,Auxiliar!U112,Auxiliar!V112)</f>
        <v>49419</v>
      </c>
      <c r="U112" s="3">
        <v>4</v>
      </c>
      <c r="V112" s="3">
        <v>20</v>
      </c>
      <c r="W112" s="22">
        <f t="shared" si="18"/>
        <v>6</v>
      </c>
      <c r="X112" s="3">
        <f t="shared" si="19"/>
        <v>16</v>
      </c>
    </row>
    <row r="113" spans="19:24" x14ac:dyDescent="0.35">
      <c r="S113" s="3">
        <f t="shared" si="17"/>
        <v>16</v>
      </c>
      <c r="T113" s="7">
        <f>DATE('Gráfico Controle de Resultados'!$C$9,Auxiliar!U113,Auxiliar!V113)</f>
        <v>49420</v>
      </c>
      <c r="U113" s="3">
        <v>4</v>
      </c>
      <c r="V113" s="3">
        <v>21</v>
      </c>
      <c r="W113" s="22">
        <f t="shared" si="18"/>
        <v>7</v>
      </c>
      <c r="X113" s="3">
        <f t="shared" si="19"/>
        <v>16</v>
      </c>
    </row>
    <row r="114" spans="19:24" x14ac:dyDescent="0.35">
      <c r="S114" s="3">
        <f t="shared" si="17"/>
        <v>17</v>
      </c>
      <c r="T114" s="7">
        <f>DATE('Gráfico Controle de Resultados'!$C$9,Auxiliar!U114,Auxiliar!V114)</f>
        <v>49421</v>
      </c>
      <c r="U114" s="3">
        <v>4</v>
      </c>
      <c r="V114" s="3">
        <v>22</v>
      </c>
      <c r="W114" s="22">
        <f t="shared" si="18"/>
        <v>1</v>
      </c>
      <c r="X114" s="3">
        <f t="shared" si="19"/>
        <v>17</v>
      </c>
    </row>
    <row r="115" spans="19:24" x14ac:dyDescent="0.35">
      <c r="S115" s="3">
        <f t="shared" si="17"/>
        <v>17</v>
      </c>
      <c r="T115" s="7">
        <f>DATE('Gráfico Controle de Resultados'!$C$9,Auxiliar!U115,Auxiliar!V115)</f>
        <v>49422</v>
      </c>
      <c r="U115" s="3">
        <v>4</v>
      </c>
      <c r="V115" s="3">
        <v>23</v>
      </c>
      <c r="W115" s="22">
        <f t="shared" si="18"/>
        <v>2</v>
      </c>
      <c r="X115" s="3">
        <f t="shared" si="19"/>
        <v>17</v>
      </c>
    </row>
    <row r="116" spans="19:24" x14ac:dyDescent="0.35">
      <c r="S116" s="3">
        <f t="shared" si="17"/>
        <v>17</v>
      </c>
      <c r="T116" s="7">
        <f>DATE('Gráfico Controle de Resultados'!$C$9,Auxiliar!U116,Auxiliar!V116)</f>
        <v>49423</v>
      </c>
      <c r="U116" s="3">
        <v>4</v>
      </c>
      <c r="V116" s="3">
        <v>24</v>
      </c>
      <c r="W116" s="22">
        <f t="shared" si="18"/>
        <v>3</v>
      </c>
      <c r="X116" s="3">
        <f t="shared" si="19"/>
        <v>17</v>
      </c>
    </row>
    <row r="117" spans="19:24" x14ac:dyDescent="0.35">
      <c r="S117" s="3">
        <f t="shared" si="17"/>
        <v>17</v>
      </c>
      <c r="T117" s="7">
        <f>DATE('Gráfico Controle de Resultados'!$C$9,Auxiliar!U117,Auxiliar!V117)</f>
        <v>49424</v>
      </c>
      <c r="U117" s="3">
        <v>4</v>
      </c>
      <c r="V117" s="3">
        <v>25</v>
      </c>
      <c r="W117" s="22">
        <f t="shared" si="18"/>
        <v>4</v>
      </c>
      <c r="X117" s="3">
        <f t="shared" si="19"/>
        <v>17</v>
      </c>
    </row>
    <row r="118" spans="19:24" x14ac:dyDescent="0.35">
      <c r="S118" s="3">
        <f t="shared" si="17"/>
        <v>17</v>
      </c>
      <c r="T118" s="7">
        <f>DATE('Gráfico Controle de Resultados'!$C$9,Auxiliar!U118,Auxiliar!V118)</f>
        <v>49425</v>
      </c>
      <c r="U118" s="3">
        <v>4</v>
      </c>
      <c r="V118" s="3">
        <v>26</v>
      </c>
      <c r="W118" s="22">
        <f t="shared" si="18"/>
        <v>5</v>
      </c>
      <c r="X118" s="3">
        <f t="shared" si="19"/>
        <v>17</v>
      </c>
    </row>
    <row r="119" spans="19:24" x14ac:dyDescent="0.35">
      <c r="S119" s="3">
        <f t="shared" si="17"/>
        <v>17</v>
      </c>
      <c r="T119" s="7">
        <f>DATE('Gráfico Controle de Resultados'!$C$9,Auxiliar!U119,Auxiliar!V119)</f>
        <v>49426</v>
      </c>
      <c r="U119" s="3">
        <v>4</v>
      </c>
      <c r="V119" s="3">
        <v>27</v>
      </c>
      <c r="W119" s="22">
        <f t="shared" si="18"/>
        <v>6</v>
      </c>
      <c r="X119" s="3">
        <f t="shared" si="19"/>
        <v>17</v>
      </c>
    </row>
    <row r="120" spans="19:24" x14ac:dyDescent="0.35">
      <c r="S120" s="3">
        <f t="shared" si="17"/>
        <v>17</v>
      </c>
      <c r="T120" s="7">
        <f>DATE('Gráfico Controle de Resultados'!$C$9,Auxiliar!U120,Auxiliar!V120)</f>
        <v>49427</v>
      </c>
      <c r="U120" s="3">
        <v>4</v>
      </c>
      <c r="V120" s="3">
        <v>28</v>
      </c>
      <c r="W120" s="22">
        <f t="shared" si="18"/>
        <v>7</v>
      </c>
      <c r="X120" s="3">
        <f t="shared" si="19"/>
        <v>17</v>
      </c>
    </row>
    <row r="121" spans="19:24" x14ac:dyDescent="0.35">
      <c r="S121" s="3">
        <f t="shared" si="17"/>
        <v>18</v>
      </c>
      <c r="T121" s="7">
        <f>DATE('Gráfico Controle de Resultados'!$C$9,Auxiliar!U121,Auxiliar!V121)</f>
        <v>49428</v>
      </c>
      <c r="U121" s="3">
        <v>4</v>
      </c>
      <c r="V121" s="3">
        <v>29</v>
      </c>
      <c r="W121" s="22">
        <f t="shared" si="18"/>
        <v>1</v>
      </c>
      <c r="X121" s="3">
        <f t="shared" si="19"/>
        <v>18</v>
      </c>
    </row>
    <row r="122" spans="19:24" x14ac:dyDescent="0.35">
      <c r="S122" s="3">
        <f t="shared" si="17"/>
        <v>18</v>
      </c>
      <c r="T122" s="7">
        <f>DATE('Gráfico Controle de Resultados'!$C$9,Auxiliar!U122,Auxiliar!V122)</f>
        <v>49429</v>
      </c>
      <c r="U122" s="3">
        <v>4</v>
      </c>
      <c r="V122" s="3">
        <v>30</v>
      </c>
      <c r="W122" s="22">
        <f t="shared" si="18"/>
        <v>2</v>
      </c>
      <c r="X122" s="3">
        <f t="shared" si="19"/>
        <v>18</v>
      </c>
    </row>
    <row r="123" spans="19:24" x14ac:dyDescent="0.35">
      <c r="S123" s="3">
        <f t="shared" si="17"/>
        <v>18</v>
      </c>
      <c r="T123" s="7">
        <f>DATE('Gráfico Controle de Resultados'!$C$9,Auxiliar!U123,Auxiliar!V123)</f>
        <v>49430</v>
      </c>
      <c r="U123" s="3">
        <v>5</v>
      </c>
      <c r="V123" s="3">
        <v>1</v>
      </c>
      <c r="W123" s="22">
        <f t="shared" si="18"/>
        <v>3</v>
      </c>
      <c r="X123" s="3">
        <f t="shared" si="19"/>
        <v>18</v>
      </c>
    </row>
    <row r="124" spans="19:24" x14ac:dyDescent="0.35">
      <c r="S124" s="3">
        <f t="shared" si="17"/>
        <v>18</v>
      </c>
      <c r="T124" s="7">
        <f>DATE('Gráfico Controle de Resultados'!$C$9,Auxiliar!U124,Auxiliar!V124)</f>
        <v>49431</v>
      </c>
      <c r="U124" s="3">
        <v>5</v>
      </c>
      <c r="V124" s="3">
        <v>2</v>
      </c>
      <c r="W124" s="22">
        <f t="shared" si="18"/>
        <v>4</v>
      </c>
      <c r="X124" s="3">
        <f t="shared" si="19"/>
        <v>18</v>
      </c>
    </row>
    <row r="125" spans="19:24" x14ac:dyDescent="0.35">
      <c r="S125" s="3">
        <f t="shared" si="17"/>
        <v>18</v>
      </c>
      <c r="T125" s="7">
        <f>DATE('Gráfico Controle de Resultados'!$C$9,Auxiliar!U125,Auxiliar!V125)</f>
        <v>49432</v>
      </c>
      <c r="U125" s="3">
        <v>5</v>
      </c>
      <c r="V125" s="3">
        <v>3</v>
      </c>
      <c r="W125" s="22">
        <f t="shared" si="18"/>
        <v>5</v>
      </c>
      <c r="X125" s="3">
        <f t="shared" si="19"/>
        <v>18</v>
      </c>
    </row>
    <row r="126" spans="19:24" x14ac:dyDescent="0.35">
      <c r="S126" s="3">
        <f t="shared" si="17"/>
        <v>18</v>
      </c>
      <c r="T126" s="7">
        <f>DATE('Gráfico Controle de Resultados'!$C$9,Auxiliar!U126,Auxiliar!V126)</f>
        <v>49433</v>
      </c>
      <c r="U126" s="3">
        <v>5</v>
      </c>
      <c r="V126" s="3">
        <v>4</v>
      </c>
      <c r="W126" s="22">
        <f t="shared" si="18"/>
        <v>6</v>
      </c>
      <c r="X126" s="3">
        <f t="shared" si="19"/>
        <v>18</v>
      </c>
    </row>
    <row r="127" spans="19:24" x14ac:dyDescent="0.35">
      <c r="S127" s="3">
        <f t="shared" si="17"/>
        <v>18</v>
      </c>
      <c r="T127" s="7">
        <f>DATE('Gráfico Controle de Resultados'!$C$9,Auxiliar!U127,Auxiliar!V127)</f>
        <v>49434</v>
      </c>
      <c r="U127" s="3">
        <v>5</v>
      </c>
      <c r="V127" s="3">
        <v>5</v>
      </c>
      <c r="W127" s="22">
        <f t="shared" si="18"/>
        <v>7</v>
      </c>
      <c r="X127" s="3">
        <f t="shared" si="19"/>
        <v>18</v>
      </c>
    </row>
    <row r="128" spans="19:24" x14ac:dyDescent="0.35">
      <c r="S128" s="3">
        <f t="shared" si="17"/>
        <v>19</v>
      </c>
      <c r="T128" s="7">
        <f>DATE('Gráfico Controle de Resultados'!$C$9,Auxiliar!U128,Auxiliar!V128)</f>
        <v>49435</v>
      </c>
      <c r="U128" s="3">
        <v>5</v>
      </c>
      <c r="V128" s="3">
        <v>6</v>
      </c>
      <c r="W128" s="22">
        <f t="shared" si="18"/>
        <v>1</v>
      </c>
      <c r="X128" s="3">
        <f t="shared" si="19"/>
        <v>19</v>
      </c>
    </row>
    <row r="129" spans="19:24" x14ac:dyDescent="0.35">
      <c r="S129" s="3">
        <f t="shared" si="17"/>
        <v>19</v>
      </c>
      <c r="T129" s="7">
        <f>DATE('Gráfico Controle de Resultados'!$C$9,Auxiliar!U129,Auxiliar!V129)</f>
        <v>49436</v>
      </c>
      <c r="U129" s="3">
        <v>5</v>
      </c>
      <c r="V129" s="3">
        <v>7</v>
      </c>
      <c r="W129" s="22">
        <f t="shared" si="18"/>
        <v>2</v>
      </c>
      <c r="X129" s="3">
        <f t="shared" si="19"/>
        <v>19</v>
      </c>
    </row>
    <row r="130" spans="19:24" x14ac:dyDescent="0.35">
      <c r="S130" s="3">
        <f t="shared" si="17"/>
        <v>19</v>
      </c>
      <c r="T130" s="7">
        <f>DATE('Gráfico Controle de Resultados'!$C$9,Auxiliar!U130,Auxiliar!V130)</f>
        <v>49437</v>
      </c>
      <c r="U130" s="3">
        <v>5</v>
      </c>
      <c r="V130" s="3">
        <v>8</v>
      </c>
      <c r="W130" s="22">
        <f t="shared" si="18"/>
        <v>3</v>
      </c>
      <c r="X130" s="3">
        <f t="shared" si="19"/>
        <v>19</v>
      </c>
    </row>
    <row r="131" spans="19:24" x14ac:dyDescent="0.35">
      <c r="S131" s="3">
        <f t="shared" si="17"/>
        <v>19</v>
      </c>
      <c r="T131" s="7">
        <f>DATE('Gráfico Controle de Resultados'!$C$9,Auxiliar!U131,Auxiliar!V131)</f>
        <v>49438</v>
      </c>
      <c r="U131" s="3">
        <v>5</v>
      </c>
      <c r="V131" s="3">
        <v>9</v>
      </c>
      <c r="W131" s="22">
        <f t="shared" si="18"/>
        <v>4</v>
      </c>
      <c r="X131" s="3">
        <f t="shared" si="19"/>
        <v>19</v>
      </c>
    </row>
    <row r="132" spans="19:24" x14ac:dyDescent="0.35">
      <c r="S132" s="3">
        <f t="shared" ref="S132:S195" si="20">IF(W132=1,S131+1,S131)</f>
        <v>19</v>
      </c>
      <c r="T132" s="7">
        <f>DATE('Gráfico Controle de Resultados'!$C$9,Auxiliar!U132,Auxiliar!V132)</f>
        <v>49439</v>
      </c>
      <c r="U132" s="3">
        <v>5</v>
      </c>
      <c r="V132" s="3">
        <v>10</v>
      </c>
      <c r="W132" s="22">
        <f t="shared" ref="W132:W195" si="21">WEEKDAY(T132)</f>
        <v>5</v>
      </c>
      <c r="X132" s="3">
        <f t="shared" ref="X132:X195" si="22">S132</f>
        <v>19</v>
      </c>
    </row>
    <row r="133" spans="19:24" x14ac:dyDescent="0.35">
      <c r="S133" s="3">
        <f t="shared" si="20"/>
        <v>19</v>
      </c>
      <c r="T133" s="7">
        <f>DATE('Gráfico Controle de Resultados'!$C$9,Auxiliar!U133,Auxiliar!V133)</f>
        <v>49440</v>
      </c>
      <c r="U133" s="3">
        <v>5</v>
      </c>
      <c r="V133" s="3">
        <v>11</v>
      </c>
      <c r="W133" s="22">
        <f t="shared" si="21"/>
        <v>6</v>
      </c>
      <c r="X133" s="3">
        <f t="shared" si="22"/>
        <v>19</v>
      </c>
    </row>
    <row r="134" spans="19:24" x14ac:dyDescent="0.35">
      <c r="S134" s="3">
        <f t="shared" si="20"/>
        <v>19</v>
      </c>
      <c r="T134" s="7">
        <f>DATE('Gráfico Controle de Resultados'!$C$9,Auxiliar!U134,Auxiliar!V134)</f>
        <v>49441</v>
      </c>
      <c r="U134" s="3">
        <v>5</v>
      </c>
      <c r="V134" s="3">
        <v>12</v>
      </c>
      <c r="W134" s="22">
        <f t="shared" si="21"/>
        <v>7</v>
      </c>
      <c r="X134" s="3">
        <f t="shared" si="22"/>
        <v>19</v>
      </c>
    </row>
    <row r="135" spans="19:24" x14ac:dyDescent="0.35">
      <c r="S135" s="3">
        <f t="shared" si="20"/>
        <v>20</v>
      </c>
      <c r="T135" s="7">
        <f>DATE('Gráfico Controle de Resultados'!$C$9,Auxiliar!U135,Auxiliar!V135)</f>
        <v>49442</v>
      </c>
      <c r="U135" s="3">
        <v>5</v>
      </c>
      <c r="V135" s="3">
        <v>13</v>
      </c>
      <c r="W135" s="22">
        <f t="shared" si="21"/>
        <v>1</v>
      </c>
      <c r="X135" s="3">
        <f t="shared" si="22"/>
        <v>20</v>
      </c>
    </row>
    <row r="136" spans="19:24" x14ac:dyDescent="0.35">
      <c r="S136" s="3">
        <f t="shared" si="20"/>
        <v>20</v>
      </c>
      <c r="T136" s="7">
        <f>DATE('Gráfico Controle de Resultados'!$C$9,Auxiliar!U136,Auxiliar!V136)</f>
        <v>49443</v>
      </c>
      <c r="U136" s="3">
        <v>5</v>
      </c>
      <c r="V136" s="3">
        <v>14</v>
      </c>
      <c r="W136" s="22">
        <f t="shared" si="21"/>
        <v>2</v>
      </c>
      <c r="X136" s="3">
        <f t="shared" si="22"/>
        <v>20</v>
      </c>
    </row>
    <row r="137" spans="19:24" x14ac:dyDescent="0.35">
      <c r="S137" s="3">
        <f t="shared" si="20"/>
        <v>20</v>
      </c>
      <c r="T137" s="7">
        <f>DATE('Gráfico Controle de Resultados'!$C$9,Auxiliar!U137,Auxiliar!V137)</f>
        <v>49444</v>
      </c>
      <c r="U137" s="3">
        <v>5</v>
      </c>
      <c r="V137" s="3">
        <v>15</v>
      </c>
      <c r="W137" s="22">
        <f t="shared" si="21"/>
        <v>3</v>
      </c>
      <c r="X137" s="3">
        <f t="shared" si="22"/>
        <v>20</v>
      </c>
    </row>
    <row r="138" spans="19:24" x14ac:dyDescent="0.35">
      <c r="S138" s="3">
        <f t="shared" si="20"/>
        <v>20</v>
      </c>
      <c r="T138" s="7">
        <f>DATE('Gráfico Controle de Resultados'!$C$9,Auxiliar!U138,Auxiliar!V138)</f>
        <v>49445</v>
      </c>
      <c r="U138" s="3">
        <v>5</v>
      </c>
      <c r="V138" s="3">
        <v>16</v>
      </c>
      <c r="W138" s="22">
        <f t="shared" si="21"/>
        <v>4</v>
      </c>
      <c r="X138" s="3">
        <f t="shared" si="22"/>
        <v>20</v>
      </c>
    </row>
    <row r="139" spans="19:24" x14ac:dyDescent="0.35">
      <c r="S139" s="3">
        <f t="shared" si="20"/>
        <v>20</v>
      </c>
      <c r="T139" s="7">
        <f>DATE('Gráfico Controle de Resultados'!$C$9,Auxiliar!U139,Auxiliar!V139)</f>
        <v>49446</v>
      </c>
      <c r="U139" s="3">
        <v>5</v>
      </c>
      <c r="V139" s="3">
        <v>17</v>
      </c>
      <c r="W139" s="22">
        <f t="shared" si="21"/>
        <v>5</v>
      </c>
      <c r="X139" s="3">
        <f t="shared" si="22"/>
        <v>20</v>
      </c>
    </row>
    <row r="140" spans="19:24" x14ac:dyDescent="0.35">
      <c r="S140" s="3">
        <f t="shared" si="20"/>
        <v>20</v>
      </c>
      <c r="T140" s="7">
        <f>DATE('Gráfico Controle de Resultados'!$C$9,Auxiliar!U140,Auxiliar!V140)</f>
        <v>49447</v>
      </c>
      <c r="U140" s="3">
        <v>5</v>
      </c>
      <c r="V140" s="3">
        <v>18</v>
      </c>
      <c r="W140" s="22">
        <f t="shared" si="21"/>
        <v>6</v>
      </c>
      <c r="X140" s="3">
        <f t="shared" si="22"/>
        <v>20</v>
      </c>
    </row>
    <row r="141" spans="19:24" x14ac:dyDescent="0.35">
      <c r="S141" s="3">
        <f t="shared" si="20"/>
        <v>20</v>
      </c>
      <c r="T141" s="7">
        <f>DATE('Gráfico Controle de Resultados'!$C$9,Auxiliar!U141,Auxiliar!V141)</f>
        <v>49448</v>
      </c>
      <c r="U141" s="3">
        <v>5</v>
      </c>
      <c r="V141" s="3">
        <v>19</v>
      </c>
      <c r="W141" s="22">
        <f t="shared" si="21"/>
        <v>7</v>
      </c>
      <c r="X141" s="3">
        <f t="shared" si="22"/>
        <v>20</v>
      </c>
    </row>
    <row r="142" spans="19:24" x14ac:dyDescent="0.35">
      <c r="S142" s="3">
        <f t="shared" si="20"/>
        <v>21</v>
      </c>
      <c r="T142" s="7">
        <f>DATE('Gráfico Controle de Resultados'!$C$9,Auxiliar!U142,Auxiliar!V142)</f>
        <v>49449</v>
      </c>
      <c r="U142" s="3">
        <v>5</v>
      </c>
      <c r="V142" s="3">
        <v>20</v>
      </c>
      <c r="W142" s="22">
        <f t="shared" si="21"/>
        <v>1</v>
      </c>
      <c r="X142" s="3">
        <f t="shared" si="22"/>
        <v>21</v>
      </c>
    </row>
    <row r="143" spans="19:24" x14ac:dyDescent="0.35">
      <c r="S143" s="3">
        <f t="shared" si="20"/>
        <v>21</v>
      </c>
      <c r="T143" s="7">
        <f>DATE('Gráfico Controle de Resultados'!$C$9,Auxiliar!U143,Auxiliar!V143)</f>
        <v>49450</v>
      </c>
      <c r="U143" s="3">
        <v>5</v>
      </c>
      <c r="V143" s="3">
        <v>21</v>
      </c>
      <c r="W143" s="22">
        <f t="shared" si="21"/>
        <v>2</v>
      </c>
      <c r="X143" s="3">
        <f t="shared" si="22"/>
        <v>21</v>
      </c>
    </row>
    <row r="144" spans="19:24" x14ac:dyDescent="0.35">
      <c r="S144" s="3">
        <f t="shared" si="20"/>
        <v>21</v>
      </c>
      <c r="T144" s="7">
        <f>DATE('Gráfico Controle de Resultados'!$C$9,Auxiliar!U144,Auxiliar!V144)</f>
        <v>49451</v>
      </c>
      <c r="U144" s="3">
        <v>5</v>
      </c>
      <c r="V144" s="3">
        <v>22</v>
      </c>
      <c r="W144" s="22">
        <f t="shared" si="21"/>
        <v>3</v>
      </c>
      <c r="X144" s="3">
        <f t="shared" si="22"/>
        <v>21</v>
      </c>
    </row>
    <row r="145" spans="19:24" x14ac:dyDescent="0.35">
      <c r="S145" s="3">
        <f t="shared" si="20"/>
        <v>21</v>
      </c>
      <c r="T145" s="7">
        <f>DATE('Gráfico Controle de Resultados'!$C$9,Auxiliar!U145,Auxiliar!V145)</f>
        <v>49452</v>
      </c>
      <c r="U145" s="3">
        <v>5</v>
      </c>
      <c r="V145" s="3">
        <v>23</v>
      </c>
      <c r="W145" s="22">
        <f t="shared" si="21"/>
        <v>4</v>
      </c>
      <c r="X145" s="3">
        <f t="shared" si="22"/>
        <v>21</v>
      </c>
    </row>
    <row r="146" spans="19:24" x14ac:dyDescent="0.35">
      <c r="S146" s="3">
        <f t="shared" si="20"/>
        <v>21</v>
      </c>
      <c r="T146" s="7">
        <f>DATE('Gráfico Controle de Resultados'!$C$9,Auxiliar!U146,Auxiliar!V146)</f>
        <v>49453</v>
      </c>
      <c r="U146" s="3">
        <v>5</v>
      </c>
      <c r="V146" s="3">
        <v>24</v>
      </c>
      <c r="W146" s="22">
        <f t="shared" si="21"/>
        <v>5</v>
      </c>
      <c r="X146" s="3">
        <f t="shared" si="22"/>
        <v>21</v>
      </c>
    </row>
    <row r="147" spans="19:24" x14ac:dyDescent="0.35">
      <c r="S147" s="3">
        <f t="shared" si="20"/>
        <v>21</v>
      </c>
      <c r="T147" s="7">
        <f>DATE('Gráfico Controle de Resultados'!$C$9,Auxiliar!U147,Auxiliar!V147)</f>
        <v>49454</v>
      </c>
      <c r="U147" s="3">
        <v>5</v>
      </c>
      <c r="V147" s="3">
        <v>25</v>
      </c>
      <c r="W147" s="22">
        <f t="shared" si="21"/>
        <v>6</v>
      </c>
      <c r="X147" s="3">
        <f t="shared" si="22"/>
        <v>21</v>
      </c>
    </row>
    <row r="148" spans="19:24" x14ac:dyDescent="0.35">
      <c r="S148" s="3">
        <f t="shared" si="20"/>
        <v>21</v>
      </c>
      <c r="T148" s="7">
        <f>DATE('Gráfico Controle de Resultados'!$C$9,Auxiliar!U148,Auxiliar!V148)</f>
        <v>49455</v>
      </c>
      <c r="U148" s="3">
        <v>5</v>
      </c>
      <c r="V148" s="3">
        <v>26</v>
      </c>
      <c r="W148" s="22">
        <f t="shared" si="21"/>
        <v>7</v>
      </c>
      <c r="X148" s="3">
        <f t="shared" si="22"/>
        <v>21</v>
      </c>
    </row>
    <row r="149" spans="19:24" x14ac:dyDescent="0.35">
      <c r="S149" s="3">
        <f t="shared" si="20"/>
        <v>22</v>
      </c>
      <c r="T149" s="7">
        <f>DATE('Gráfico Controle de Resultados'!$C$9,Auxiliar!U149,Auxiliar!V149)</f>
        <v>49456</v>
      </c>
      <c r="U149" s="3">
        <v>5</v>
      </c>
      <c r="V149" s="3">
        <v>27</v>
      </c>
      <c r="W149" s="22">
        <f t="shared" si="21"/>
        <v>1</v>
      </c>
      <c r="X149" s="3">
        <f t="shared" si="22"/>
        <v>22</v>
      </c>
    </row>
    <row r="150" spans="19:24" x14ac:dyDescent="0.35">
      <c r="S150" s="3">
        <f t="shared" si="20"/>
        <v>22</v>
      </c>
      <c r="T150" s="7">
        <f>DATE('Gráfico Controle de Resultados'!$C$9,Auxiliar!U150,Auxiliar!V150)</f>
        <v>49457</v>
      </c>
      <c r="U150" s="3">
        <v>5</v>
      </c>
      <c r="V150" s="3">
        <v>28</v>
      </c>
      <c r="W150" s="22">
        <f t="shared" si="21"/>
        <v>2</v>
      </c>
      <c r="X150" s="3">
        <f t="shared" si="22"/>
        <v>22</v>
      </c>
    </row>
    <row r="151" spans="19:24" x14ac:dyDescent="0.35">
      <c r="S151" s="3">
        <f t="shared" si="20"/>
        <v>22</v>
      </c>
      <c r="T151" s="7">
        <f>DATE('Gráfico Controle de Resultados'!$C$9,Auxiliar!U151,Auxiliar!V151)</f>
        <v>49458</v>
      </c>
      <c r="U151" s="3">
        <v>5</v>
      </c>
      <c r="V151" s="3">
        <v>29</v>
      </c>
      <c r="W151" s="22">
        <f t="shared" si="21"/>
        <v>3</v>
      </c>
      <c r="X151" s="3">
        <f t="shared" si="22"/>
        <v>22</v>
      </c>
    </row>
    <row r="152" spans="19:24" x14ac:dyDescent="0.35">
      <c r="S152" s="3">
        <f t="shared" si="20"/>
        <v>22</v>
      </c>
      <c r="T152" s="7">
        <f>DATE('Gráfico Controle de Resultados'!$C$9,Auxiliar!U152,Auxiliar!V152)</f>
        <v>49459</v>
      </c>
      <c r="U152" s="3">
        <v>5</v>
      </c>
      <c r="V152" s="3">
        <v>30</v>
      </c>
      <c r="W152" s="22">
        <f t="shared" si="21"/>
        <v>4</v>
      </c>
      <c r="X152" s="3">
        <f t="shared" si="22"/>
        <v>22</v>
      </c>
    </row>
    <row r="153" spans="19:24" x14ac:dyDescent="0.35">
      <c r="S153" s="3">
        <f t="shared" si="20"/>
        <v>22</v>
      </c>
      <c r="T153" s="7">
        <f>DATE('Gráfico Controle de Resultados'!$C$9,Auxiliar!U153,Auxiliar!V153)</f>
        <v>49460</v>
      </c>
      <c r="U153" s="3">
        <v>5</v>
      </c>
      <c r="V153" s="3">
        <v>31</v>
      </c>
      <c r="W153" s="22">
        <f t="shared" si="21"/>
        <v>5</v>
      </c>
      <c r="X153" s="3">
        <f t="shared" si="22"/>
        <v>22</v>
      </c>
    </row>
    <row r="154" spans="19:24" x14ac:dyDescent="0.35">
      <c r="S154" s="3">
        <f t="shared" si="20"/>
        <v>22</v>
      </c>
      <c r="T154" s="7">
        <f>DATE('Gráfico Controle de Resultados'!$C$9,Auxiliar!U154,Auxiliar!V154)</f>
        <v>49461</v>
      </c>
      <c r="U154" s="3">
        <v>6</v>
      </c>
      <c r="V154" s="3">
        <v>1</v>
      </c>
      <c r="W154" s="22">
        <f t="shared" si="21"/>
        <v>6</v>
      </c>
      <c r="X154" s="3">
        <f t="shared" si="22"/>
        <v>22</v>
      </c>
    </row>
    <row r="155" spans="19:24" x14ac:dyDescent="0.35">
      <c r="S155" s="3">
        <f t="shared" si="20"/>
        <v>22</v>
      </c>
      <c r="T155" s="7">
        <f>DATE('Gráfico Controle de Resultados'!$C$9,Auxiliar!U155,Auxiliar!V155)</f>
        <v>49462</v>
      </c>
      <c r="U155" s="3">
        <v>6</v>
      </c>
      <c r="V155" s="3">
        <v>2</v>
      </c>
      <c r="W155" s="22">
        <f t="shared" si="21"/>
        <v>7</v>
      </c>
      <c r="X155" s="3">
        <f t="shared" si="22"/>
        <v>22</v>
      </c>
    </row>
    <row r="156" spans="19:24" x14ac:dyDescent="0.35">
      <c r="S156" s="3">
        <f t="shared" si="20"/>
        <v>23</v>
      </c>
      <c r="T156" s="7">
        <f>DATE('Gráfico Controle de Resultados'!$C$9,Auxiliar!U156,Auxiliar!V156)</f>
        <v>49463</v>
      </c>
      <c r="U156" s="3">
        <v>6</v>
      </c>
      <c r="V156" s="3">
        <v>3</v>
      </c>
      <c r="W156" s="22">
        <f t="shared" si="21"/>
        <v>1</v>
      </c>
      <c r="X156" s="3">
        <f t="shared" si="22"/>
        <v>23</v>
      </c>
    </row>
    <row r="157" spans="19:24" x14ac:dyDescent="0.35">
      <c r="S157" s="3">
        <f t="shared" si="20"/>
        <v>23</v>
      </c>
      <c r="T157" s="7">
        <f>DATE('Gráfico Controle de Resultados'!$C$9,Auxiliar!U157,Auxiliar!V157)</f>
        <v>49464</v>
      </c>
      <c r="U157" s="3">
        <v>6</v>
      </c>
      <c r="V157" s="3">
        <v>4</v>
      </c>
      <c r="W157" s="22">
        <f t="shared" si="21"/>
        <v>2</v>
      </c>
      <c r="X157" s="3">
        <f t="shared" si="22"/>
        <v>23</v>
      </c>
    </row>
    <row r="158" spans="19:24" x14ac:dyDescent="0.35">
      <c r="S158" s="3">
        <f t="shared" si="20"/>
        <v>23</v>
      </c>
      <c r="T158" s="7">
        <f>DATE('Gráfico Controle de Resultados'!$C$9,Auxiliar!U158,Auxiliar!V158)</f>
        <v>49465</v>
      </c>
      <c r="U158" s="3">
        <v>6</v>
      </c>
      <c r="V158" s="3">
        <v>5</v>
      </c>
      <c r="W158" s="22">
        <f t="shared" si="21"/>
        <v>3</v>
      </c>
      <c r="X158" s="3">
        <f t="shared" si="22"/>
        <v>23</v>
      </c>
    </row>
    <row r="159" spans="19:24" x14ac:dyDescent="0.35">
      <c r="S159" s="3">
        <f t="shared" si="20"/>
        <v>23</v>
      </c>
      <c r="T159" s="7">
        <f>DATE('Gráfico Controle de Resultados'!$C$9,Auxiliar!U159,Auxiliar!V159)</f>
        <v>49466</v>
      </c>
      <c r="U159" s="3">
        <v>6</v>
      </c>
      <c r="V159" s="3">
        <v>6</v>
      </c>
      <c r="W159" s="22">
        <f t="shared" si="21"/>
        <v>4</v>
      </c>
      <c r="X159" s="3">
        <f t="shared" si="22"/>
        <v>23</v>
      </c>
    </row>
    <row r="160" spans="19:24" x14ac:dyDescent="0.35">
      <c r="S160" s="3">
        <f t="shared" si="20"/>
        <v>23</v>
      </c>
      <c r="T160" s="7">
        <f>DATE('Gráfico Controle de Resultados'!$C$9,Auxiliar!U160,Auxiliar!V160)</f>
        <v>49467</v>
      </c>
      <c r="U160" s="3">
        <v>6</v>
      </c>
      <c r="V160" s="3">
        <v>7</v>
      </c>
      <c r="W160" s="22">
        <f t="shared" si="21"/>
        <v>5</v>
      </c>
      <c r="X160" s="3">
        <f t="shared" si="22"/>
        <v>23</v>
      </c>
    </row>
    <row r="161" spans="19:24" x14ac:dyDescent="0.35">
      <c r="S161" s="3">
        <f t="shared" si="20"/>
        <v>23</v>
      </c>
      <c r="T161" s="7">
        <f>DATE('Gráfico Controle de Resultados'!$C$9,Auxiliar!U161,Auxiliar!V161)</f>
        <v>49468</v>
      </c>
      <c r="U161" s="3">
        <v>6</v>
      </c>
      <c r="V161" s="3">
        <v>8</v>
      </c>
      <c r="W161" s="22">
        <f t="shared" si="21"/>
        <v>6</v>
      </c>
      <c r="X161" s="3">
        <f t="shared" si="22"/>
        <v>23</v>
      </c>
    </row>
    <row r="162" spans="19:24" x14ac:dyDescent="0.35">
      <c r="S162" s="3">
        <f t="shared" si="20"/>
        <v>23</v>
      </c>
      <c r="T162" s="7">
        <f>DATE('Gráfico Controle de Resultados'!$C$9,Auxiliar!U162,Auxiliar!V162)</f>
        <v>49469</v>
      </c>
      <c r="U162" s="3">
        <v>6</v>
      </c>
      <c r="V162" s="3">
        <v>9</v>
      </c>
      <c r="W162" s="22">
        <f t="shared" si="21"/>
        <v>7</v>
      </c>
      <c r="X162" s="3">
        <f t="shared" si="22"/>
        <v>23</v>
      </c>
    </row>
    <row r="163" spans="19:24" x14ac:dyDescent="0.35">
      <c r="S163" s="3">
        <f t="shared" si="20"/>
        <v>24</v>
      </c>
      <c r="T163" s="7">
        <f>DATE('Gráfico Controle de Resultados'!$C$9,Auxiliar!U163,Auxiliar!V163)</f>
        <v>49470</v>
      </c>
      <c r="U163" s="3">
        <v>6</v>
      </c>
      <c r="V163" s="3">
        <v>10</v>
      </c>
      <c r="W163" s="22">
        <f t="shared" si="21"/>
        <v>1</v>
      </c>
      <c r="X163" s="3">
        <f t="shared" si="22"/>
        <v>24</v>
      </c>
    </row>
    <row r="164" spans="19:24" x14ac:dyDescent="0.35">
      <c r="S164" s="3">
        <f t="shared" si="20"/>
        <v>24</v>
      </c>
      <c r="T164" s="7">
        <f>DATE('Gráfico Controle de Resultados'!$C$9,Auxiliar!U164,Auxiliar!V164)</f>
        <v>49471</v>
      </c>
      <c r="U164" s="3">
        <v>6</v>
      </c>
      <c r="V164" s="3">
        <v>11</v>
      </c>
      <c r="W164" s="22">
        <f t="shared" si="21"/>
        <v>2</v>
      </c>
      <c r="X164" s="3">
        <f t="shared" si="22"/>
        <v>24</v>
      </c>
    </row>
    <row r="165" spans="19:24" x14ac:dyDescent="0.35">
      <c r="S165" s="3">
        <f t="shared" si="20"/>
        <v>24</v>
      </c>
      <c r="T165" s="7">
        <f>DATE('Gráfico Controle de Resultados'!$C$9,Auxiliar!U165,Auxiliar!V165)</f>
        <v>49472</v>
      </c>
      <c r="U165" s="3">
        <v>6</v>
      </c>
      <c r="V165" s="3">
        <v>12</v>
      </c>
      <c r="W165" s="22">
        <f t="shared" si="21"/>
        <v>3</v>
      </c>
      <c r="X165" s="3">
        <f t="shared" si="22"/>
        <v>24</v>
      </c>
    </row>
    <row r="166" spans="19:24" x14ac:dyDescent="0.35">
      <c r="S166" s="3">
        <f t="shared" si="20"/>
        <v>24</v>
      </c>
      <c r="T166" s="7">
        <f>DATE('Gráfico Controle de Resultados'!$C$9,Auxiliar!U166,Auxiliar!V166)</f>
        <v>49473</v>
      </c>
      <c r="U166" s="3">
        <v>6</v>
      </c>
      <c r="V166" s="3">
        <v>13</v>
      </c>
      <c r="W166" s="22">
        <f t="shared" si="21"/>
        <v>4</v>
      </c>
      <c r="X166" s="3">
        <f t="shared" si="22"/>
        <v>24</v>
      </c>
    </row>
    <row r="167" spans="19:24" x14ac:dyDescent="0.35">
      <c r="S167" s="3">
        <f t="shared" si="20"/>
        <v>24</v>
      </c>
      <c r="T167" s="7">
        <f>DATE('Gráfico Controle de Resultados'!$C$9,Auxiliar!U167,Auxiliar!V167)</f>
        <v>49474</v>
      </c>
      <c r="U167" s="3">
        <v>6</v>
      </c>
      <c r="V167" s="3">
        <v>14</v>
      </c>
      <c r="W167" s="22">
        <f t="shared" si="21"/>
        <v>5</v>
      </c>
      <c r="X167" s="3">
        <f t="shared" si="22"/>
        <v>24</v>
      </c>
    </row>
    <row r="168" spans="19:24" x14ac:dyDescent="0.35">
      <c r="S168" s="3">
        <f t="shared" si="20"/>
        <v>24</v>
      </c>
      <c r="T168" s="7">
        <f>DATE('Gráfico Controle de Resultados'!$C$9,Auxiliar!U168,Auxiliar!V168)</f>
        <v>49475</v>
      </c>
      <c r="U168" s="3">
        <v>6</v>
      </c>
      <c r="V168" s="3">
        <v>15</v>
      </c>
      <c r="W168" s="22">
        <f t="shared" si="21"/>
        <v>6</v>
      </c>
      <c r="X168" s="3">
        <f t="shared" si="22"/>
        <v>24</v>
      </c>
    </row>
    <row r="169" spans="19:24" x14ac:dyDescent="0.35">
      <c r="S169" s="3">
        <f t="shared" si="20"/>
        <v>24</v>
      </c>
      <c r="T169" s="7">
        <f>DATE('Gráfico Controle de Resultados'!$C$9,Auxiliar!U169,Auxiliar!V169)</f>
        <v>49476</v>
      </c>
      <c r="U169" s="3">
        <v>6</v>
      </c>
      <c r="V169" s="3">
        <v>16</v>
      </c>
      <c r="W169" s="22">
        <f t="shared" si="21"/>
        <v>7</v>
      </c>
      <c r="X169" s="3">
        <f t="shared" si="22"/>
        <v>24</v>
      </c>
    </row>
    <row r="170" spans="19:24" x14ac:dyDescent="0.35">
      <c r="S170" s="3">
        <f t="shared" si="20"/>
        <v>25</v>
      </c>
      <c r="T170" s="7">
        <f>DATE('Gráfico Controle de Resultados'!$C$9,Auxiliar!U170,Auxiliar!V170)</f>
        <v>49477</v>
      </c>
      <c r="U170" s="3">
        <v>6</v>
      </c>
      <c r="V170" s="3">
        <v>17</v>
      </c>
      <c r="W170" s="22">
        <f t="shared" si="21"/>
        <v>1</v>
      </c>
      <c r="X170" s="3">
        <f t="shared" si="22"/>
        <v>25</v>
      </c>
    </row>
    <row r="171" spans="19:24" x14ac:dyDescent="0.35">
      <c r="S171" s="3">
        <f t="shared" si="20"/>
        <v>25</v>
      </c>
      <c r="T171" s="7">
        <f>DATE('Gráfico Controle de Resultados'!$C$9,Auxiliar!U171,Auxiliar!V171)</f>
        <v>49478</v>
      </c>
      <c r="U171" s="3">
        <v>6</v>
      </c>
      <c r="V171" s="3">
        <v>18</v>
      </c>
      <c r="W171" s="22">
        <f t="shared" si="21"/>
        <v>2</v>
      </c>
      <c r="X171" s="3">
        <f t="shared" si="22"/>
        <v>25</v>
      </c>
    </row>
    <row r="172" spans="19:24" x14ac:dyDescent="0.35">
      <c r="S172" s="3">
        <f t="shared" si="20"/>
        <v>25</v>
      </c>
      <c r="T172" s="7">
        <f>DATE('Gráfico Controle de Resultados'!$C$9,Auxiliar!U172,Auxiliar!V172)</f>
        <v>49479</v>
      </c>
      <c r="U172" s="3">
        <v>6</v>
      </c>
      <c r="V172" s="3">
        <v>19</v>
      </c>
      <c r="W172" s="22">
        <f t="shared" si="21"/>
        <v>3</v>
      </c>
      <c r="X172" s="3">
        <f t="shared" si="22"/>
        <v>25</v>
      </c>
    </row>
    <row r="173" spans="19:24" x14ac:dyDescent="0.35">
      <c r="S173" s="3">
        <f t="shared" si="20"/>
        <v>25</v>
      </c>
      <c r="T173" s="7">
        <f>DATE('Gráfico Controle de Resultados'!$C$9,Auxiliar!U173,Auxiliar!V173)</f>
        <v>49480</v>
      </c>
      <c r="U173" s="3">
        <v>6</v>
      </c>
      <c r="V173" s="3">
        <v>20</v>
      </c>
      <c r="W173" s="22">
        <f t="shared" si="21"/>
        <v>4</v>
      </c>
      <c r="X173" s="3">
        <f t="shared" si="22"/>
        <v>25</v>
      </c>
    </row>
    <row r="174" spans="19:24" x14ac:dyDescent="0.35">
      <c r="S174" s="3">
        <f t="shared" si="20"/>
        <v>25</v>
      </c>
      <c r="T174" s="7">
        <f>DATE('Gráfico Controle de Resultados'!$C$9,Auxiliar!U174,Auxiliar!V174)</f>
        <v>49481</v>
      </c>
      <c r="U174" s="3">
        <v>6</v>
      </c>
      <c r="V174" s="3">
        <v>21</v>
      </c>
      <c r="W174" s="22">
        <f t="shared" si="21"/>
        <v>5</v>
      </c>
      <c r="X174" s="3">
        <f t="shared" si="22"/>
        <v>25</v>
      </c>
    </row>
    <row r="175" spans="19:24" x14ac:dyDescent="0.35">
      <c r="S175" s="3">
        <f t="shared" si="20"/>
        <v>25</v>
      </c>
      <c r="T175" s="7">
        <f>DATE('Gráfico Controle de Resultados'!$C$9,Auxiliar!U175,Auxiliar!V175)</f>
        <v>49482</v>
      </c>
      <c r="U175" s="3">
        <v>6</v>
      </c>
      <c r="V175" s="3">
        <v>22</v>
      </c>
      <c r="W175" s="22">
        <f t="shared" si="21"/>
        <v>6</v>
      </c>
      <c r="X175" s="3">
        <f t="shared" si="22"/>
        <v>25</v>
      </c>
    </row>
    <row r="176" spans="19:24" x14ac:dyDescent="0.35">
      <c r="S176" s="3">
        <f t="shared" si="20"/>
        <v>25</v>
      </c>
      <c r="T176" s="7">
        <f>DATE('Gráfico Controle de Resultados'!$C$9,Auxiliar!U176,Auxiliar!V176)</f>
        <v>49483</v>
      </c>
      <c r="U176" s="3">
        <v>6</v>
      </c>
      <c r="V176" s="3">
        <v>23</v>
      </c>
      <c r="W176" s="22">
        <f t="shared" si="21"/>
        <v>7</v>
      </c>
      <c r="X176" s="3">
        <f t="shared" si="22"/>
        <v>25</v>
      </c>
    </row>
    <row r="177" spans="19:24" x14ac:dyDescent="0.35">
      <c r="S177" s="3">
        <f t="shared" si="20"/>
        <v>26</v>
      </c>
      <c r="T177" s="7">
        <f>DATE('Gráfico Controle de Resultados'!$C$9,Auxiliar!U177,Auxiliar!V177)</f>
        <v>49484</v>
      </c>
      <c r="U177" s="3">
        <v>6</v>
      </c>
      <c r="V177" s="3">
        <v>24</v>
      </c>
      <c r="W177" s="22">
        <f t="shared" si="21"/>
        <v>1</v>
      </c>
      <c r="X177" s="3">
        <f t="shared" si="22"/>
        <v>26</v>
      </c>
    </row>
    <row r="178" spans="19:24" x14ac:dyDescent="0.35">
      <c r="S178" s="3">
        <f t="shared" si="20"/>
        <v>26</v>
      </c>
      <c r="T178" s="7">
        <f>DATE('Gráfico Controle de Resultados'!$C$9,Auxiliar!U178,Auxiliar!V178)</f>
        <v>49485</v>
      </c>
      <c r="U178" s="3">
        <v>6</v>
      </c>
      <c r="V178" s="3">
        <v>25</v>
      </c>
      <c r="W178" s="22">
        <f t="shared" si="21"/>
        <v>2</v>
      </c>
      <c r="X178" s="3">
        <f t="shared" si="22"/>
        <v>26</v>
      </c>
    </row>
    <row r="179" spans="19:24" x14ac:dyDescent="0.35">
      <c r="S179" s="3">
        <f t="shared" si="20"/>
        <v>26</v>
      </c>
      <c r="T179" s="7">
        <f>DATE('Gráfico Controle de Resultados'!$C$9,Auxiliar!U179,Auxiliar!V179)</f>
        <v>49486</v>
      </c>
      <c r="U179" s="3">
        <v>6</v>
      </c>
      <c r="V179" s="3">
        <v>26</v>
      </c>
      <c r="W179" s="22">
        <f t="shared" si="21"/>
        <v>3</v>
      </c>
      <c r="X179" s="3">
        <f t="shared" si="22"/>
        <v>26</v>
      </c>
    </row>
    <row r="180" spans="19:24" x14ac:dyDescent="0.35">
      <c r="S180" s="3">
        <f t="shared" si="20"/>
        <v>26</v>
      </c>
      <c r="T180" s="7">
        <f>DATE('Gráfico Controle de Resultados'!$C$9,Auxiliar!U180,Auxiliar!V180)</f>
        <v>49487</v>
      </c>
      <c r="U180" s="3">
        <v>6</v>
      </c>
      <c r="V180" s="3">
        <v>27</v>
      </c>
      <c r="W180" s="22">
        <f t="shared" si="21"/>
        <v>4</v>
      </c>
      <c r="X180" s="3">
        <f t="shared" si="22"/>
        <v>26</v>
      </c>
    </row>
    <row r="181" spans="19:24" x14ac:dyDescent="0.35">
      <c r="S181" s="3">
        <f t="shared" si="20"/>
        <v>26</v>
      </c>
      <c r="T181" s="7">
        <f>DATE('Gráfico Controle de Resultados'!$C$9,Auxiliar!U181,Auxiliar!V181)</f>
        <v>49488</v>
      </c>
      <c r="U181" s="3">
        <v>6</v>
      </c>
      <c r="V181" s="3">
        <v>28</v>
      </c>
      <c r="W181" s="22">
        <f t="shared" si="21"/>
        <v>5</v>
      </c>
      <c r="X181" s="3">
        <f t="shared" si="22"/>
        <v>26</v>
      </c>
    </row>
    <row r="182" spans="19:24" x14ac:dyDescent="0.35">
      <c r="S182" s="3">
        <f t="shared" si="20"/>
        <v>26</v>
      </c>
      <c r="T182" s="7">
        <f>DATE('Gráfico Controle de Resultados'!$C$9,Auxiliar!U182,Auxiliar!V182)</f>
        <v>49489</v>
      </c>
      <c r="U182" s="3">
        <v>6</v>
      </c>
      <c r="V182" s="3">
        <v>29</v>
      </c>
      <c r="W182" s="22">
        <f t="shared" si="21"/>
        <v>6</v>
      </c>
      <c r="X182" s="3">
        <f t="shared" si="22"/>
        <v>26</v>
      </c>
    </row>
    <row r="183" spans="19:24" x14ac:dyDescent="0.35">
      <c r="S183" s="3">
        <f t="shared" si="20"/>
        <v>26</v>
      </c>
      <c r="T183" s="7">
        <f>DATE('Gráfico Controle de Resultados'!$C$9,Auxiliar!U183,Auxiliar!V183)</f>
        <v>49490</v>
      </c>
      <c r="U183" s="3">
        <v>6</v>
      </c>
      <c r="V183" s="3">
        <v>30</v>
      </c>
      <c r="W183" s="22">
        <f t="shared" si="21"/>
        <v>7</v>
      </c>
      <c r="X183" s="3">
        <f t="shared" si="22"/>
        <v>26</v>
      </c>
    </row>
    <row r="184" spans="19:24" x14ac:dyDescent="0.35">
      <c r="S184" s="3">
        <f t="shared" si="20"/>
        <v>27</v>
      </c>
      <c r="T184" s="7">
        <f>DATE('Gráfico Controle de Resultados'!$C$9,Auxiliar!U184,Auxiliar!V184)</f>
        <v>49491</v>
      </c>
      <c r="U184" s="3">
        <v>7</v>
      </c>
      <c r="V184" s="3">
        <v>1</v>
      </c>
      <c r="W184" s="22">
        <f t="shared" si="21"/>
        <v>1</v>
      </c>
      <c r="X184" s="3">
        <f t="shared" si="22"/>
        <v>27</v>
      </c>
    </row>
    <row r="185" spans="19:24" x14ac:dyDescent="0.35">
      <c r="S185" s="3">
        <f t="shared" si="20"/>
        <v>27</v>
      </c>
      <c r="T185" s="7">
        <f>DATE('Gráfico Controle de Resultados'!$C$9,Auxiliar!U185,Auxiliar!V185)</f>
        <v>49492</v>
      </c>
      <c r="U185" s="3">
        <v>7</v>
      </c>
      <c r="V185" s="3">
        <v>2</v>
      </c>
      <c r="W185" s="22">
        <f t="shared" si="21"/>
        <v>2</v>
      </c>
      <c r="X185" s="3">
        <f t="shared" si="22"/>
        <v>27</v>
      </c>
    </row>
    <row r="186" spans="19:24" x14ac:dyDescent="0.35">
      <c r="S186" s="3">
        <f t="shared" si="20"/>
        <v>27</v>
      </c>
      <c r="T186" s="7">
        <f>DATE('Gráfico Controle de Resultados'!$C$9,Auxiliar!U186,Auxiliar!V186)</f>
        <v>49493</v>
      </c>
      <c r="U186" s="3">
        <v>7</v>
      </c>
      <c r="V186" s="3">
        <v>3</v>
      </c>
      <c r="W186" s="22">
        <f t="shared" si="21"/>
        <v>3</v>
      </c>
      <c r="X186" s="3">
        <f t="shared" si="22"/>
        <v>27</v>
      </c>
    </row>
    <row r="187" spans="19:24" x14ac:dyDescent="0.35">
      <c r="S187" s="3">
        <f t="shared" si="20"/>
        <v>27</v>
      </c>
      <c r="T187" s="7">
        <f>DATE('Gráfico Controle de Resultados'!$C$9,Auxiliar!U187,Auxiliar!V187)</f>
        <v>49494</v>
      </c>
      <c r="U187" s="3">
        <v>7</v>
      </c>
      <c r="V187" s="3">
        <v>4</v>
      </c>
      <c r="W187" s="22">
        <f t="shared" si="21"/>
        <v>4</v>
      </c>
      <c r="X187" s="3">
        <f t="shared" si="22"/>
        <v>27</v>
      </c>
    </row>
    <row r="188" spans="19:24" x14ac:dyDescent="0.35">
      <c r="S188" s="3">
        <f t="shared" si="20"/>
        <v>27</v>
      </c>
      <c r="T188" s="7">
        <f>DATE('Gráfico Controle de Resultados'!$C$9,Auxiliar!U188,Auxiliar!V188)</f>
        <v>49495</v>
      </c>
      <c r="U188" s="3">
        <v>7</v>
      </c>
      <c r="V188" s="3">
        <v>5</v>
      </c>
      <c r="W188" s="22">
        <f t="shared" si="21"/>
        <v>5</v>
      </c>
      <c r="X188" s="3">
        <f t="shared" si="22"/>
        <v>27</v>
      </c>
    </row>
    <row r="189" spans="19:24" x14ac:dyDescent="0.35">
      <c r="S189" s="3">
        <f t="shared" si="20"/>
        <v>27</v>
      </c>
      <c r="T189" s="7">
        <f>DATE('Gráfico Controle de Resultados'!$C$9,Auxiliar!U189,Auxiliar!V189)</f>
        <v>49496</v>
      </c>
      <c r="U189" s="3">
        <v>7</v>
      </c>
      <c r="V189" s="3">
        <v>6</v>
      </c>
      <c r="W189" s="22">
        <f t="shared" si="21"/>
        <v>6</v>
      </c>
      <c r="X189" s="3">
        <f t="shared" si="22"/>
        <v>27</v>
      </c>
    </row>
    <row r="190" spans="19:24" x14ac:dyDescent="0.35">
      <c r="S190" s="3">
        <f t="shared" si="20"/>
        <v>27</v>
      </c>
      <c r="T190" s="7">
        <f>DATE('Gráfico Controle de Resultados'!$C$9,Auxiliar!U190,Auxiliar!V190)</f>
        <v>49497</v>
      </c>
      <c r="U190" s="3">
        <v>7</v>
      </c>
      <c r="V190" s="3">
        <v>7</v>
      </c>
      <c r="W190" s="22">
        <f t="shared" si="21"/>
        <v>7</v>
      </c>
      <c r="X190" s="3">
        <f t="shared" si="22"/>
        <v>27</v>
      </c>
    </row>
    <row r="191" spans="19:24" x14ac:dyDescent="0.35">
      <c r="S191" s="3">
        <f t="shared" si="20"/>
        <v>28</v>
      </c>
      <c r="T191" s="7">
        <f>DATE('Gráfico Controle de Resultados'!$C$9,Auxiliar!U191,Auxiliar!V191)</f>
        <v>49498</v>
      </c>
      <c r="U191" s="3">
        <v>7</v>
      </c>
      <c r="V191" s="3">
        <v>8</v>
      </c>
      <c r="W191" s="22">
        <f t="shared" si="21"/>
        <v>1</v>
      </c>
      <c r="X191" s="3">
        <f t="shared" si="22"/>
        <v>28</v>
      </c>
    </row>
    <row r="192" spans="19:24" x14ac:dyDescent="0.35">
      <c r="S192" s="3">
        <f t="shared" si="20"/>
        <v>28</v>
      </c>
      <c r="T192" s="7">
        <f>DATE('Gráfico Controle de Resultados'!$C$9,Auxiliar!U192,Auxiliar!V192)</f>
        <v>49499</v>
      </c>
      <c r="U192" s="3">
        <v>7</v>
      </c>
      <c r="V192" s="3">
        <v>9</v>
      </c>
      <c r="W192" s="22">
        <f t="shared" si="21"/>
        <v>2</v>
      </c>
      <c r="X192" s="3">
        <f t="shared" si="22"/>
        <v>28</v>
      </c>
    </row>
    <row r="193" spans="19:24" x14ac:dyDescent="0.35">
      <c r="S193" s="3">
        <f t="shared" si="20"/>
        <v>28</v>
      </c>
      <c r="T193" s="7">
        <f>DATE('Gráfico Controle de Resultados'!$C$9,Auxiliar!U193,Auxiliar!V193)</f>
        <v>49500</v>
      </c>
      <c r="U193" s="3">
        <v>7</v>
      </c>
      <c r="V193" s="3">
        <v>10</v>
      </c>
      <c r="W193" s="22">
        <f t="shared" si="21"/>
        <v>3</v>
      </c>
      <c r="X193" s="3">
        <f t="shared" si="22"/>
        <v>28</v>
      </c>
    </row>
    <row r="194" spans="19:24" x14ac:dyDescent="0.35">
      <c r="S194" s="3">
        <f t="shared" si="20"/>
        <v>28</v>
      </c>
      <c r="T194" s="7">
        <f>DATE('Gráfico Controle de Resultados'!$C$9,Auxiliar!U194,Auxiliar!V194)</f>
        <v>49501</v>
      </c>
      <c r="U194" s="3">
        <v>7</v>
      </c>
      <c r="V194" s="3">
        <v>11</v>
      </c>
      <c r="W194" s="22">
        <f t="shared" si="21"/>
        <v>4</v>
      </c>
      <c r="X194" s="3">
        <f t="shared" si="22"/>
        <v>28</v>
      </c>
    </row>
    <row r="195" spans="19:24" x14ac:dyDescent="0.35">
      <c r="S195" s="3">
        <f t="shared" si="20"/>
        <v>28</v>
      </c>
      <c r="T195" s="7">
        <f>DATE('Gráfico Controle de Resultados'!$C$9,Auxiliar!U195,Auxiliar!V195)</f>
        <v>49502</v>
      </c>
      <c r="U195" s="3">
        <v>7</v>
      </c>
      <c r="V195" s="3">
        <v>12</v>
      </c>
      <c r="W195" s="22">
        <f t="shared" si="21"/>
        <v>5</v>
      </c>
      <c r="X195" s="3">
        <f t="shared" si="22"/>
        <v>28</v>
      </c>
    </row>
    <row r="196" spans="19:24" x14ac:dyDescent="0.35">
      <c r="S196" s="3">
        <f t="shared" ref="S196:S259" si="23">IF(W196=1,S195+1,S195)</f>
        <v>28</v>
      </c>
      <c r="T196" s="7">
        <f>DATE('Gráfico Controle de Resultados'!$C$9,Auxiliar!U196,Auxiliar!V196)</f>
        <v>49503</v>
      </c>
      <c r="U196" s="3">
        <v>7</v>
      </c>
      <c r="V196" s="3">
        <v>13</v>
      </c>
      <c r="W196" s="22">
        <f t="shared" ref="W196:W259" si="24">WEEKDAY(T196)</f>
        <v>6</v>
      </c>
      <c r="X196" s="3">
        <f t="shared" ref="X196:X259" si="25">S196</f>
        <v>28</v>
      </c>
    </row>
    <row r="197" spans="19:24" x14ac:dyDescent="0.35">
      <c r="S197" s="3">
        <f t="shared" si="23"/>
        <v>28</v>
      </c>
      <c r="T197" s="7">
        <f>DATE('Gráfico Controle de Resultados'!$C$9,Auxiliar!U197,Auxiliar!V197)</f>
        <v>49504</v>
      </c>
      <c r="U197" s="3">
        <v>7</v>
      </c>
      <c r="V197" s="3">
        <v>14</v>
      </c>
      <c r="W197" s="22">
        <f t="shared" si="24"/>
        <v>7</v>
      </c>
      <c r="X197" s="3">
        <f t="shared" si="25"/>
        <v>28</v>
      </c>
    </row>
    <row r="198" spans="19:24" x14ac:dyDescent="0.35">
      <c r="S198" s="3">
        <f t="shared" si="23"/>
        <v>29</v>
      </c>
      <c r="T198" s="7">
        <f>DATE('Gráfico Controle de Resultados'!$C$9,Auxiliar!U198,Auxiliar!V198)</f>
        <v>49505</v>
      </c>
      <c r="U198" s="3">
        <v>7</v>
      </c>
      <c r="V198" s="3">
        <v>15</v>
      </c>
      <c r="W198" s="22">
        <f t="shared" si="24"/>
        <v>1</v>
      </c>
      <c r="X198" s="3">
        <f t="shared" si="25"/>
        <v>29</v>
      </c>
    </row>
    <row r="199" spans="19:24" x14ac:dyDescent="0.35">
      <c r="S199" s="3">
        <f t="shared" si="23"/>
        <v>29</v>
      </c>
      <c r="T199" s="7">
        <f>DATE('Gráfico Controle de Resultados'!$C$9,Auxiliar!U199,Auxiliar!V199)</f>
        <v>49506</v>
      </c>
      <c r="U199" s="3">
        <v>7</v>
      </c>
      <c r="V199" s="3">
        <v>16</v>
      </c>
      <c r="W199" s="22">
        <f t="shared" si="24"/>
        <v>2</v>
      </c>
      <c r="X199" s="3">
        <f t="shared" si="25"/>
        <v>29</v>
      </c>
    </row>
    <row r="200" spans="19:24" x14ac:dyDescent="0.35">
      <c r="S200" s="3">
        <f t="shared" si="23"/>
        <v>29</v>
      </c>
      <c r="T200" s="7">
        <f>DATE('Gráfico Controle de Resultados'!$C$9,Auxiliar!U200,Auxiliar!V200)</f>
        <v>49507</v>
      </c>
      <c r="U200" s="3">
        <v>7</v>
      </c>
      <c r="V200" s="3">
        <v>17</v>
      </c>
      <c r="W200" s="22">
        <f t="shared" si="24"/>
        <v>3</v>
      </c>
      <c r="X200" s="3">
        <f t="shared" si="25"/>
        <v>29</v>
      </c>
    </row>
    <row r="201" spans="19:24" x14ac:dyDescent="0.35">
      <c r="S201" s="3">
        <f t="shared" si="23"/>
        <v>29</v>
      </c>
      <c r="T201" s="7">
        <f>DATE('Gráfico Controle de Resultados'!$C$9,Auxiliar!U201,Auxiliar!V201)</f>
        <v>49508</v>
      </c>
      <c r="U201" s="3">
        <v>7</v>
      </c>
      <c r="V201" s="3">
        <v>18</v>
      </c>
      <c r="W201" s="22">
        <f t="shared" si="24"/>
        <v>4</v>
      </c>
      <c r="X201" s="3">
        <f t="shared" si="25"/>
        <v>29</v>
      </c>
    </row>
    <row r="202" spans="19:24" x14ac:dyDescent="0.35">
      <c r="S202" s="3">
        <f t="shared" si="23"/>
        <v>29</v>
      </c>
      <c r="T202" s="7">
        <f>DATE('Gráfico Controle de Resultados'!$C$9,Auxiliar!U202,Auxiliar!V202)</f>
        <v>49509</v>
      </c>
      <c r="U202" s="3">
        <v>7</v>
      </c>
      <c r="V202" s="3">
        <v>19</v>
      </c>
      <c r="W202" s="22">
        <f t="shared" si="24"/>
        <v>5</v>
      </c>
      <c r="X202" s="3">
        <f t="shared" si="25"/>
        <v>29</v>
      </c>
    </row>
    <row r="203" spans="19:24" x14ac:dyDescent="0.35">
      <c r="S203" s="3">
        <f t="shared" si="23"/>
        <v>29</v>
      </c>
      <c r="T203" s="7">
        <f>DATE('Gráfico Controle de Resultados'!$C$9,Auxiliar!U203,Auxiliar!V203)</f>
        <v>49510</v>
      </c>
      <c r="U203" s="3">
        <v>7</v>
      </c>
      <c r="V203" s="3">
        <v>20</v>
      </c>
      <c r="W203" s="22">
        <f t="shared" si="24"/>
        <v>6</v>
      </c>
      <c r="X203" s="3">
        <f t="shared" si="25"/>
        <v>29</v>
      </c>
    </row>
    <row r="204" spans="19:24" x14ac:dyDescent="0.35">
      <c r="S204" s="3">
        <f t="shared" si="23"/>
        <v>29</v>
      </c>
      <c r="T204" s="7">
        <f>DATE('Gráfico Controle de Resultados'!$C$9,Auxiliar!U204,Auxiliar!V204)</f>
        <v>49511</v>
      </c>
      <c r="U204" s="3">
        <v>7</v>
      </c>
      <c r="V204" s="3">
        <v>21</v>
      </c>
      <c r="W204" s="22">
        <f t="shared" si="24"/>
        <v>7</v>
      </c>
      <c r="X204" s="3">
        <f t="shared" si="25"/>
        <v>29</v>
      </c>
    </row>
    <row r="205" spans="19:24" x14ac:dyDescent="0.35">
      <c r="S205" s="3">
        <f t="shared" si="23"/>
        <v>30</v>
      </c>
      <c r="T205" s="7">
        <f>DATE('Gráfico Controle de Resultados'!$C$9,Auxiliar!U205,Auxiliar!V205)</f>
        <v>49512</v>
      </c>
      <c r="U205" s="3">
        <v>7</v>
      </c>
      <c r="V205" s="3">
        <v>22</v>
      </c>
      <c r="W205" s="22">
        <f t="shared" si="24"/>
        <v>1</v>
      </c>
      <c r="X205" s="3">
        <f t="shared" si="25"/>
        <v>30</v>
      </c>
    </row>
    <row r="206" spans="19:24" x14ac:dyDescent="0.35">
      <c r="S206" s="3">
        <f t="shared" si="23"/>
        <v>30</v>
      </c>
      <c r="T206" s="7">
        <f>DATE('Gráfico Controle de Resultados'!$C$9,Auxiliar!U206,Auxiliar!V206)</f>
        <v>49513</v>
      </c>
      <c r="U206" s="3">
        <v>7</v>
      </c>
      <c r="V206" s="3">
        <v>23</v>
      </c>
      <c r="W206" s="22">
        <f t="shared" si="24"/>
        <v>2</v>
      </c>
      <c r="X206" s="3">
        <f t="shared" si="25"/>
        <v>30</v>
      </c>
    </row>
    <row r="207" spans="19:24" x14ac:dyDescent="0.35">
      <c r="S207" s="3">
        <f t="shared" si="23"/>
        <v>30</v>
      </c>
      <c r="T207" s="7">
        <f>DATE('Gráfico Controle de Resultados'!$C$9,Auxiliar!U207,Auxiliar!V207)</f>
        <v>49514</v>
      </c>
      <c r="U207" s="3">
        <v>7</v>
      </c>
      <c r="V207" s="3">
        <v>24</v>
      </c>
      <c r="W207" s="22">
        <f t="shared" si="24"/>
        <v>3</v>
      </c>
      <c r="X207" s="3">
        <f t="shared" si="25"/>
        <v>30</v>
      </c>
    </row>
    <row r="208" spans="19:24" x14ac:dyDescent="0.35">
      <c r="S208" s="3">
        <f t="shared" si="23"/>
        <v>30</v>
      </c>
      <c r="T208" s="7">
        <f>DATE('Gráfico Controle de Resultados'!$C$9,Auxiliar!U208,Auxiliar!V208)</f>
        <v>49515</v>
      </c>
      <c r="U208" s="3">
        <v>7</v>
      </c>
      <c r="V208" s="3">
        <v>25</v>
      </c>
      <c r="W208" s="22">
        <f t="shared" si="24"/>
        <v>4</v>
      </c>
      <c r="X208" s="3">
        <f t="shared" si="25"/>
        <v>30</v>
      </c>
    </row>
    <row r="209" spans="19:24" x14ac:dyDescent="0.35">
      <c r="S209" s="3">
        <f t="shared" si="23"/>
        <v>30</v>
      </c>
      <c r="T209" s="7">
        <f>DATE('Gráfico Controle de Resultados'!$C$9,Auxiliar!U209,Auxiliar!V209)</f>
        <v>49516</v>
      </c>
      <c r="U209" s="3">
        <v>7</v>
      </c>
      <c r="V209" s="3">
        <v>26</v>
      </c>
      <c r="W209" s="22">
        <f t="shared" si="24"/>
        <v>5</v>
      </c>
      <c r="X209" s="3">
        <f t="shared" si="25"/>
        <v>30</v>
      </c>
    </row>
    <row r="210" spans="19:24" x14ac:dyDescent="0.35">
      <c r="S210" s="3">
        <f t="shared" si="23"/>
        <v>30</v>
      </c>
      <c r="T210" s="7">
        <f>DATE('Gráfico Controle de Resultados'!$C$9,Auxiliar!U210,Auxiliar!V210)</f>
        <v>49517</v>
      </c>
      <c r="U210" s="3">
        <v>7</v>
      </c>
      <c r="V210" s="3">
        <v>27</v>
      </c>
      <c r="W210" s="22">
        <f t="shared" si="24"/>
        <v>6</v>
      </c>
      <c r="X210" s="3">
        <f t="shared" si="25"/>
        <v>30</v>
      </c>
    </row>
    <row r="211" spans="19:24" x14ac:dyDescent="0.35">
      <c r="S211" s="3">
        <f t="shared" si="23"/>
        <v>30</v>
      </c>
      <c r="T211" s="7">
        <f>DATE('Gráfico Controle de Resultados'!$C$9,Auxiliar!U211,Auxiliar!V211)</f>
        <v>49518</v>
      </c>
      <c r="U211" s="3">
        <v>7</v>
      </c>
      <c r="V211" s="3">
        <v>28</v>
      </c>
      <c r="W211" s="22">
        <f t="shared" si="24"/>
        <v>7</v>
      </c>
      <c r="X211" s="3">
        <f t="shared" si="25"/>
        <v>30</v>
      </c>
    </row>
    <row r="212" spans="19:24" x14ac:dyDescent="0.35">
      <c r="S212" s="3">
        <f t="shared" si="23"/>
        <v>31</v>
      </c>
      <c r="T212" s="7">
        <f>DATE('Gráfico Controle de Resultados'!$C$9,Auxiliar!U212,Auxiliar!V212)</f>
        <v>49519</v>
      </c>
      <c r="U212" s="3">
        <v>7</v>
      </c>
      <c r="V212" s="3">
        <v>29</v>
      </c>
      <c r="W212" s="22">
        <f t="shared" si="24"/>
        <v>1</v>
      </c>
      <c r="X212" s="3">
        <f t="shared" si="25"/>
        <v>31</v>
      </c>
    </row>
    <row r="213" spans="19:24" x14ac:dyDescent="0.35">
      <c r="S213" s="3">
        <f t="shared" si="23"/>
        <v>31</v>
      </c>
      <c r="T213" s="7">
        <f>DATE('Gráfico Controle de Resultados'!$C$9,Auxiliar!U213,Auxiliar!V213)</f>
        <v>49520</v>
      </c>
      <c r="U213" s="3">
        <v>7</v>
      </c>
      <c r="V213" s="3">
        <v>30</v>
      </c>
      <c r="W213" s="22">
        <f t="shared" si="24"/>
        <v>2</v>
      </c>
      <c r="X213" s="3">
        <f t="shared" si="25"/>
        <v>31</v>
      </c>
    </row>
    <row r="214" spans="19:24" x14ac:dyDescent="0.35">
      <c r="S214" s="3">
        <f t="shared" si="23"/>
        <v>31</v>
      </c>
      <c r="T214" s="7">
        <f>DATE('Gráfico Controle de Resultados'!$C$9,Auxiliar!U214,Auxiliar!V214)</f>
        <v>49521</v>
      </c>
      <c r="U214" s="3">
        <v>7</v>
      </c>
      <c r="V214" s="3">
        <v>31</v>
      </c>
      <c r="W214" s="22">
        <f t="shared" si="24"/>
        <v>3</v>
      </c>
      <c r="X214" s="3">
        <f t="shared" si="25"/>
        <v>31</v>
      </c>
    </row>
    <row r="215" spans="19:24" x14ac:dyDescent="0.35">
      <c r="S215" s="3">
        <f t="shared" si="23"/>
        <v>31</v>
      </c>
      <c r="T215" s="7">
        <f>DATE('Gráfico Controle de Resultados'!$C$9,Auxiliar!U215,Auxiliar!V215)</f>
        <v>49522</v>
      </c>
      <c r="U215" s="3">
        <v>8</v>
      </c>
      <c r="V215" s="3">
        <v>1</v>
      </c>
      <c r="W215" s="22">
        <f t="shared" si="24"/>
        <v>4</v>
      </c>
      <c r="X215" s="3">
        <f t="shared" si="25"/>
        <v>31</v>
      </c>
    </row>
    <row r="216" spans="19:24" x14ac:dyDescent="0.35">
      <c r="S216" s="3">
        <f t="shared" si="23"/>
        <v>31</v>
      </c>
      <c r="T216" s="7">
        <f>DATE('Gráfico Controle de Resultados'!$C$9,Auxiliar!U216,Auxiliar!V216)</f>
        <v>49523</v>
      </c>
      <c r="U216" s="3">
        <v>8</v>
      </c>
      <c r="V216" s="3">
        <v>2</v>
      </c>
      <c r="W216" s="22">
        <f t="shared" si="24"/>
        <v>5</v>
      </c>
      <c r="X216" s="3">
        <f t="shared" si="25"/>
        <v>31</v>
      </c>
    </row>
    <row r="217" spans="19:24" x14ac:dyDescent="0.35">
      <c r="S217" s="3">
        <f t="shared" si="23"/>
        <v>31</v>
      </c>
      <c r="T217" s="7">
        <f>DATE('Gráfico Controle de Resultados'!$C$9,Auxiliar!U217,Auxiliar!V217)</f>
        <v>49524</v>
      </c>
      <c r="U217" s="3">
        <v>8</v>
      </c>
      <c r="V217" s="3">
        <v>3</v>
      </c>
      <c r="W217" s="22">
        <f t="shared" si="24"/>
        <v>6</v>
      </c>
      <c r="X217" s="3">
        <f t="shared" si="25"/>
        <v>31</v>
      </c>
    </row>
    <row r="218" spans="19:24" x14ac:dyDescent="0.35">
      <c r="S218" s="3">
        <f t="shared" si="23"/>
        <v>31</v>
      </c>
      <c r="T218" s="7">
        <f>DATE('Gráfico Controle de Resultados'!$C$9,Auxiliar!U218,Auxiliar!V218)</f>
        <v>49525</v>
      </c>
      <c r="U218" s="3">
        <v>8</v>
      </c>
      <c r="V218" s="3">
        <v>4</v>
      </c>
      <c r="W218" s="22">
        <f t="shared" si="24"/>
        <v>7</v>
      </c>
      <c r="X218" s="3">
        <f t="shared" si="25"/>
        <v>31</v>
      </c>
    </row>
    <row r="219" spans="19:24" x14ac:dyDescent="0.35">
      <c r="S219" s="3">
        <f t="shared" si="23"/>
        <v>32</v>
      </c>
      <c r="T219" s="7">
        <f>DATE('Gráfico Controle de Resultados'!$C$9,Auxiliar!U219,Auxiliar!V219)</f>
        <v>49526</v>
      </c>
      <c r="U219" s="3">
        <v>8</v>
      </c>
      <c r="V219" s="3">
        <v>5</v>
      </c>
      <c r="W219" s="22">
        <f t="shared" si="24"/>
        <v>1</v>
      </c>
      <c r="X219" s="3">
        <f t="shared" si="25"/>
        <v>32</v>
      </c>
    </row>
    <row r="220" spans="19:24" x14ac:dyDescent="0.35">
      <c r="S220" s="3">
        <f t="shared" si="23"/>
        <v>32</v>
      </c>
      <c r="T220" s="7">
        <f>DATE('Gráfico Controle de Resultados'!$C$9,Auxiliar!U220,Auxiliar!V220)</f>
        <v>49527</v>
      </c>
      <c r="U220" s="3">
        <v>8</v>
      </c>
      <c r="V220" s="3">
        <v>6</v>
      </c>
      <c r="W220" s="22">
        <f t="shared" si="24"/>
        <v>2</v>
      </c>
      <c r="X220" s="3">
        <f t="shared" si="25"/>
        <v>32</v>
      </c>
    </row>
    <row r="221" spans="19:24" x14ac:dyDescent="0.35">
      <c r="S221" s="3">
        <f t="shared" si="23"/>
        <v>32</v>
      </c>
      <c r="T221" s="7">
        <f>DATE('Gráfico Controle de Resultados'!$C$9,Auxiliar!U221,Auxiliar!V221)</f>
        <v>49528</v>
      </c>
      <c r="U221" s="3">
        <v>8</v>
      </c>
      <c r="V221" s="3">
        <v>7</v>
      </c>
      <c r="W221" s="22">
        <f t="shared" si="24"/>
        <v>3</v>
      </c>
      <c r="X221" s="3">
        <f t="shared" si="25"/>
        <v>32</v>
      </c>
    </row>
    <row r="222" spans="19:24" x14ac:dyDescent="0.35">
      <c r="S222" s="3">
        <f t="shared" si="23"/>
        <v>32</v>
      </c>
      <c r="T222" s="7">
        <f>DATE('Gráfico Controle de Resultados'!$C$9,Auxiliar!U222,Auxiliar!V222)</f>
        <v>49529</v>
      </c>
      <c r="U222" s="3">
        <v>8</v>
      </c>
      <c r="V222" s="3">
        <v>8</v>
      </c>
      <c r="W222" s="22">
        <f t="shared" si="24"/>
        <v>4</v>
      </c>
      <c r="X222" s="3">
        <f t="shared" si="25"/>
        <v>32</v>
      </c>
    </row>
    <row r="223" spans="19:24" x14ac:dyDescent="0.35">
      <c r="S223" s="3">
        <f t="shared" si="23"/>
        <v>32</v>
      </c>
      <c r="T223" s="7">
        <f>DATE('Gráfico Controle de Resultados'!$C$9,Auxiliar!U223,Auxiliar!V223)</f>
        <v>49530</v>
      </c>
      <c r="U223" s="3">
        <v>8</v>
      </c>
      <c r="V223" s="3">
        <v>9</v>
      </c>
      <c r="W223" s="22">
        <f t="shared" si="24"/>
        <v>5</v>
      </c>
      <c r="X223" s="3">
        <f t="shared" si="25"/>
        <v>32</v>
      </c>
    </row>
    <row r="224" spans="19:24" x14ac:dyDescent="0.35">
      <c r="S224" s="3">
        <f t="shared" si="23"/>
        <v>32</v>
      </c>
      <c r="T224" s="7">
        <f>DATE('Gráfico Controle de Resultados'!$C$9,Auxiliar!U224,Auxiliar!V224)</f>
        <v>49531</v>
      </c>
      <c r="U224" s="3">
        <v>8</v>
      </c>
      <c r="V224" s="3">
        <v>10</v>
      </c>
      <c r="W224" s="22">
        <f t="shared" si="24"/>
        <v>6</v>
      </c>
      <c r="X224" s="3">
        <f t="shared" si="25"/>
        <v>32</v>
      </c>
    </row>
    <row r="225" spans="19:24" x14ac:dyDescent="0.35">
      <c r="S225" s="3">
        <f t="shared" si="23"/>
        <v>32</v>
      </c>
      <c r="T225" s="7">
        <f>DATE('Gráfico Controle de Resultados'!$C$9,Auxiliar!U225,Auxiliar!V225)</f>
        <v>49532</v>
      </c>
      <c r="U225" s="3">
        <v>8</v>
      </c>
      <c r="V225" s="3">
        <v>11</v>
      </c>
      <c r="W225" s="22">
        <f t="shared" si="24"/>
        <v>7</v>
      </c>
      <c r="X225" s="3">
        <f t="shared" si="25"/>
        <v>32</v>
      </c>
    </row>
    <row r="226" spans="19:24" x14ac:dyDescent="0.35">
      <c r="S226" s="3">
        <f t="shared" si="23"/>
        <v>33</v>
      </c>
      <c r="T226" s="7">
        <f>DATE('Gráfico Controle de Resultados'!$C$9,Auxiliar!U226,Auxiliar!V226)</f>
        <v>49533</v>
      </c>
      <c r="U226" s="3">
        <v>8</v>
      </c>
      <c r="V226" s="3">
        <v>12</v>
      </c>
      <c r="W226" s="22">
        <f t="shared" si="24"/>
        <v>1</v>
      </c>
      <c r="X226" s="3">
        <f t="shared" si="25"/>
        <v>33</v>
      </c>
    </row>
    <row r="227" spans="19:24" x14ac:dyDescent="0.35">
      <c r="S227" s="3">
        <f t="shared" si="23"/>
        <v>33</v>
      </c>
      <c r="T227" s="7">
        <f>DATE('Gráfico Controle de Resultados'!$C$9,Auxiliar!U227,Auxiliar!V227)</f>
        <v>49534</v>
      </c>
      <c r="U227" s="3">
        <v>8</v>
      </c>
      <c r="V227" s="3">
        <v>13</v>
      </c>
      <c r="W227" s="22">
        <f t="shared" si="24"/>
        <v>2</v>
      </c>
      <c r="X227" s="3">
        <f t="shared" si="25"/>
        <v>33</v>
      </c>
    </row>
    <row r="228" spans="19:24" x14ac:dyDescent="0.35">
      <c r="S228" s="3">
        <f t="shared" si="23"/>
        <v>33</v>
      </c>
      <c r="T228" s="7">
        <f>DATE('Gráfico Controle de Resultados'!$C$9,Auxiliar!U228,Auxiliar!V228)</f>
        <v>49535</v>
      </c>
      <c r="U228" s="3">
        <v>8</v>
      </c>
      <c r="V228" s="3">
        <v>14</v>
      </c>
      <c r="W228" s="22">
        <f t="shared" si="24"/>
        <v>3</v>
      </c>
      <c r="X228" s="3">
        <f t="shared" si="25"/>
        <v>33</v>
      </c>
    </row>
    <row r="229" spans="19:24" x14ac:dyDescent="0.35">
      <c r="S229" s="3">
        <f t="shared" si="23"/>
        <v>33</v>
      </c>
      <c r="T229" s="7">
        <f>DATE('Gráfico Controle de Resultados'!$C$9,Auxiliar!U229,Auxiliar!V229)</f>
        <v>49536</v>
      </c>
      <c r="U229" s="3">
        <v>8</v>
      </c>
      <c r="V229" s="3">
        <v>15</v>
      </c>
      <c r="W229" s="22">
        <f t="shared" si="24"/>
        <v>4</v>
      </c>
      <c r="X229" s="3">
        <f t="shared" si="25"/>
        <v>33</v>
      </c>
    </row>
    <row r="230" spans="19:24" x14ac:dyDescent="0.35">
      <c r="S230" s="3">
        <f t="shared" si="23"/>
        <v>33</v>
      </c>
      <c r="T230" s="7">
        <f>DATE('Gráfico Controle de Resultados'!$C$9,Auxiliar!U230,Auxiliar!V230)</f>
        <v>49537</v>
      </c>
      <c r="U230" s="3">
        <v>8</v>
      </c>
      <c r="V230" s="3">
        <v>16</v>
      </c>
      <c r="W230" s="22">
        <f t="shared" si="24"/>
        <v>5</v>
      </c>
      <c r="X230" s="3">
        <f t="shared" si="25"/>
        <v>33</v>
      </c>
    </row>
    <row r="231" spans="19:24" x14ac:dyDescent="0.35">
      <c r="S231" s="3">
        <f t="shared" si="23"/>
        <v>33</v>
      </c>
      <c r="T231" s="7">
        <f>DATE('Gráfico Controle de Resultados'!$C$9,Auxiliar!U231,Auxiliar!V231)</f>
        <v>49538</v>
      </c>
      <c r="U231" s="3">
        <v>8</v>
      </c>
      <c r="V231" s="3">
        <v>17</v>
      </c>
      <c r="W231" s="22">
        <f t="shared" si="24"/>
        <v>6</v>
      </c>
      <c r="X231" s="3">
        <f t="shared" si="25"/>
        <v>33</v>
      </c>
    </row>
    <row r="232" spans="19:24" x14ac:dyDescent="0.35">
      <c r="S232" s="3">
        <f t="shared" si="23"/>
        <v>33</v>
      </c>
      <c r="T232" s="7">
        <f>DATE('Gráfico Controle de Resultados'!$C$9,Auxiliar!U232,Auxiliar!V232)</f>
        <v>49539</v>
      </c>
      <c r="U232" s="3">
        <v>8</v>
      </c>
      <c r="V232" s="3">
        <v>18</v>
      </c>
      <c r="W232" s="22">
        <f t="shared" si="24"/>
        <v>7</v>
      </c>
      <c r="X232" s="3">
        <f t="shared" si="25"/>
        <v>33</v>
      </c>
    </row>
    <row r="233" spans="19:24" x14ac:dyDescent="0.35">
      <c r="S233" s="3">
        <f t="shared" si="23"/>
        <v>34</v>
      </c>
      <c r="T233" s="7">
        <f>DATE('Gráfico Controle de Resultados'!$C$9,Auxiliar!U233,Auxiliar!V233)</f>
        <v>49540</v>
      </c>
      <c r="U233" s="3">
        <v>8</v>
      </c>
      <c r="V233" s="3">
        <v>19</v>
      </c>
      <c r="W233" s="22">
        <f t="shared" si="24"/>
        <v>1</v>
      </c>
      <c r="X233" s="3">
        <f t="shared" si="25"/>
        <v>34</v>
      </c>
    </row>
    <row r="234" spans="19:24" x14ac:dyDescent="0.35">
      <c r="S234" s="3">
        <f t="shared" si="23"/>
        <v>34</v>
      </c>
      <c r="T234" s="7">
        <f>DATE('Gráfico Controle de Resultados'!$C$9,Auxiliar!U234,Auxiliar!V234)</f>
        <v>49541</v>
      </c>
      <c r="U234" s="3">
        <v>8</v>
      </c>
      <c r="V234" s="3">
        <v>20</v>
      </c>
      <c r="W234" s="22">
        <f t="shared" si="24"/>
        <v>2</v>
      </c>
      <c r="X234" s="3">
        <f t="shared" si="25"/>
        <v>34</v>
      </c>
    </row>
    <row r="235" spans="19:24" x14ac:dyDescent="0.35">
      <c r="S235" s="3">
        <f t="shared" si="23"/>
        <v>34</v>
      </c>
      <c r="T235" s="7">
        <f>DATE('Gráfico Controle de Resultados'!$C$9,Auxiliar!U235,Auxiliar!V235)</f>
        <v>49542</v>
      </c>
      <c r="U235" s="3">
        <v>8</v>
      </c>
      <c r="V235" s="3">
        <v>21</v>
      </c>
      <c r="W235" s="22">
        <f t="shared" si="24"/>
        <v>3</v>
      </c>
      <c r="X235" s="3">
        <f t="shared" si="25"/>
        <v>34</v>
      </c>
    </row>
    <row r="236" spans="19:24" x14ac:dyDescent="0.35">
      <c r="S236" s="3">
        <f t="shared" si="23"/>
        <v>34</v>
      </c>
      <c r="T236" s="7">
        <f>DATE('Gráfico Controle de Resultados'!$C$9,Auxiliar!U236,Auxiliar!V236)</f>
        <v>49543</v>
      </c>
      <c r="U236" s="3">
        <v>8</v>
      </c>
      <c r="V236" s="3">
        <v>22</v>
      </c>
      <c r="W236" s="22">
        <f t="shared" si="24"/>
        <v>4</v>
      </c>
      <c r="X236" s="3">
        <f t="shared" si="25"/>
        <v>34</v>
      </c>
    </row>
    <row r="237" spans="19:24" x14ac:dyDescent="0.35">
      <c r="S237" s="3">
        <f t="shared" si="23"/>
        <v>34</v>
      </c>
      <c r="T237" s="7">
        <f>DATE('Gráfico Controle de Resultados'!$C$9,Auxiliar!U237,Auxiliar!V237)</f>
        <v>49544</v>
      </c>
      <c r="U237" s="3">
        <v>8</v>
      </c>
      <c r="V237" s="3">
        <v>23</v>
      </c>
      <c r="W237" s="22">
        <f t="shared" si="24"/>
        <v>5</v>
      </c>
      <c r="X237" s="3">
        <f t="shared" si="25"/>
        <v>34</v>
      </c>
    </row>
    <row r="238" spans="19:24" x14ac:dyDescent="0.35">
      <c r="S238" s="3">
        <f t="shared" si="23"/>
        <v>34</v>
      </c>
      <c r="T238" s="7">
        <f>DATE('Gráfico Controle de Resultados'!$C$9,Auxiliar!U238,Auxiliar!V238)</f>
        <v>49545</v>
      </c>
      <c r="U238" s="3">
        <v>8</v>
      </c>
      <c r="V238" s="3">
        <v>24</v>
      </c>
      <c r="W238" s="22">
        <f t="shared" si="24"/>
        <v>6</v>
      </c>
      <c r="X238" s="3">
        <f t="shared" si="25"/>
        <v>34</v>
      </c>
    </row>
    <row r="239" spans="19:24" x14ac:dyDescent="0.35">
      <c r="S239" s="3">
        <f t="shared" si="23"/>
        <v>34</v>
      </c>
      <c r="T239" s="7">
        <f>DATE('Gráfico Controle de Resultados'!$C$9,Auxiliar!U239,Auxiliar!V239)</f>
        <v>49546</v>
      </c>
      <c r="U239" s="3">
        <v>8</v>
      </c>
      <c r="V239" s="3">
        <v>25</v>
      </c>
      <c r="W239" s="22">
        <f t="shared" si="24"/>
        <v>7</v>
      </c>
      <c r="X239" s="3">
        <f t="shared" si="25"/>
        <v>34</v>
      </c>
    </row>
    <row r="240" spans="19:24" x14ac:dyDescent="0.35">
      <c r="S240" s="3">
        <f t="shared" si="23"/>
        <v>35</v>
      </c>
      <c r="T240" s="7">
        <f>DATE('Gráfico Controle de Resultados'!$C$9,Auxiliar!U240,Auxiliar!V240)</f>
        <v>49547</v>
      </c>
      <c r="U240" s="3">
        <v>8</v>
      </c>
      <c r="V240" s="3">
        <v>26</v>
      </c>
      <c r="W240" s="22">
        <f t="shared" si="24"/>
        <v>1</v>
      </c>
      <c r="X240" s="3">
        <f t="shared" si="25"/>
        <v>35</v>
      </c>
    </row>
    <row r="241" spans="19:24" x14ac:dyDescent="0.35">
      <c r="S241" s="3">
        <f t="shared" si="23"/>
        <v>35</v>
      </c>
      <c r="T241" s="7">
        <f>DATE('Gráfico Controle de Resultados'!$C$9,Auxiliar!U241,Auxiliar!V241)</f>
        <v>49548</v>
      </c>
      <c r="U241" s="3">
        <v>8</v>
      </c>
      <c r="V241" s="3">
        <v>27</v>
      </c>
      <c r="W241" s="22">
        <f t="shared" si="24"/>
        <v>2</v>
      </c>
      <c r="X241" s="3">
        <f t="shared" si="25"/>
        <v>35</v>
      </c>
    </row>
    <row r="242" spans="19:24" x14ac:dyDescent="0.35">
      <c r="S242" s="3">
        <f t="shared" si="23"/>
        <v>35</v>
      </c>
      <c r="T242" s="7">
        <f>DATE('Gráfico Controle de Resultados'!$C$9,Auxiliar!U242,Auxiliar!V242)</f>
        <v>49549</v>
      </c>
      <c r="U242" s="3">
        <v>8</v>
      </c>
      <c r="V242" s="3">
        <v>28</v>
      </c>
      <c r="W242" s="22">
        <f t="shared" si="24"/>
        <v>3</v>
      </c>
      <c r="X242" s="3">
        <f t="shared" si="25"/>
        <v>35</v>
      </c>
    </row>
    <row r="243" spans="19:24" x14ac:dyDescent="0.35">
      <c r="S243" s="3">
        <f t="shared" si="23"/>
        <v>35</v>
      </c>
      <c r="T243" s="7">
        <f>DATE('Gráfico Controle de Resultados'!$C$9,Auxiliar!U243,Auxiliar!V243)</f>
        <v>49550</v>
      </c>
      <c r="U243" s="3">
        <v>8</v>
      </c>
      <c r="V243" s="3">
        <v>29</v>
      </c>
      <c r="W243" s="22">
        <f t="shared" si="24"/>
        <v>4</v>
      </c>
      <c r="X243" s="3">
        <f t="shared" si="25"/>
        <v>35</v>
      </c>
    </row>
    <row r="244" spans="19:24" x14ac:dyDescent="0.35">
      <c r="S244" s="3">
        <f t="shared" si="23"/>
        <v>35</v>
      </c>
      <c r="T244" s="7">
        <f>DATE('Gráfico Controle de Resultados'!$C$9,Auxiliar!U244,Auxiliar!V244)</f>
        <v>49551</v>
      </c>
      <c r="U244" s="3">
        <v>8</v>
      </c>
      <c r="V244" s="3">
        <v>30</v>
      </c>
      <c r="W244" s="22">
        <f t="shared" si="24"/>
        <v>5</v>
      </c>
      <c r="X244" s="3">
        <f t="shared" si="25"/>
        <v>35</v>
      </c>
    </row>
    <row r="245" spans="19:24" x14ac:dyDescent="0.35">
      <c r="S245" s="3">
        <f t="shared" si="23"/>
        <v>35</v>
      </c>
      <c r="T245" s="7">
        <f>DATE('Gráfico Controle de Resultados'!$C$9,Auxiliar!U245,Auxiliar!V245)</f>
        <v>49552</v>
      </c>
      <c r="U245" s="3">
        <v>8</v>
      </c>
      <c r="V245" s="3">
        <v>31</v>
      </c>
      <c r="W245" s="22">
        <f t="shared" si="24"/>
        <v>6</v>
      </c>
      <c r="X245" s="3">
        <f t="shared" si="25"/>
        <v>35</v>
      </c>
    </row>
    <row r="246" spans="19:24" x14ac:dyDescent="0.35">
      <c r="S246" s="3">
        <f t="shared" si="23"/>
        <v>35</v>
      </c>
      <c r="T246" s="7">
        <f>DATE('Gráfico Controle de Resultados'!$C$9,Auxiliar!U246,Auxiliar!V246)</f>
        <v>49553</v>
      </c>
      <c r="U246" s="3">
        <v>9</v>
      </c>
      <c r="V246" s="3">
        <v>1</v>
      </c>
      <c r="W246" s="22">
        <f t="shared" si="24"/>
        <v>7</v>
      </c>
      <c r="X246" s="3">
        <f t="shared" si="25"/>
        <v>35</v>
      </c>
    </row>
    <row r="247" spans="19:24" x14ac:dyDescent="0.35">
      <c r="S247" s="3">
        <f t="shared" si="23"/>
        <v>36</v>
      </c>
      <c r="T247" s="7">
        <f>DATE('Gráfico Controle de Resultados'!$C$9,Auxiliar!U247,Auxiliar!V247)</f>
        <v>49554</v>
      </c>
      <c r="U247" s="3">
        <v>9</v>
      </c>
      <c r="V247" s="3">
        <v>2</v>
      </c>
      <c r="W247" s="22">
        <f t="shared" si="24"/>
        <v>1</v>
      </c>
      <c r="X247" s="3">
        <f t="shared" si="25"/>
        <v>36</v>
      </c>
    </row>
    <row r="248" spans="19:24" x14ac:dyDescent="0.35">
      <c r="S248" s="3">
        <f t="shared" si="23"/>
        <v>36</v>
      </c>
      <c r="T248" s="7">
        <f>DATE('Gráfico Controle de Resultados'!$C$9,Auxiliar!U248,Auxiliar!V248)</f>
        <v>49555</v>
      </c>
      <c r="U248" s="3">
        <v>9</v>
      </c>
      <c r="V248" s="3">
        <v>3</v>
      </c>
      <c r="W248" s="22">
        <f t="shared" si="24"/>
        <v>2</v>
      </c>
      <c r="X248" s="3">
        <f t="shared" si="25"/>
        <v>36</v>
      </c>
    </row>
    <row r="249" spans="19:24" x14ac:dyDescent="0.35">
      <c r="S249" s="3">
        <f t="shared" si="23"/>
        <v>36</v>
      </c>
      <c r="T249" s="7">
        <f>DATE('Gráfico Controle de Resultados'!$C$9,Auxiliar!U249,Auxiliar!V249)</f>
        <v>49556</v>
      </c>
      <c r="U249" s="3">
        <v>9</v>
      </c>
      <c r="V249" s="3">
        <v>4</v>
      </c>
      <c r="W249" s="22">
        <f t="shared" si="24"/>
        <v>3</v>
      </c>
      <c r="X249" s="3">
        <f t="shared" si="25"/>
        <v>36</v>
      </c>
    </row>
    <row r="250" spans="19:24" x14ac:dyDescent="0.35">
      <c r="S250" s="3">
        <f t="shared" si="23"/>
        <v>36</v>
      </c>
      <c r="T250" s="7">
        <f>DATE('Gráfico Controle de Resultados'!$C$9,Auxiliar!U250,Auxiliar!V250)</f>
        <v>49557</v>
      </c>
      <c r="U250" s="3">
        <v>9</v>
      </c>
      <c r="V250" s="3">
        <v>5</v>
      </c>
      <c r="W250" s="22">
        <f t="shared" si="24"/>
        <v>4</v>
      </c>
      <c r="X250" s="3">
        <f t="shared" si="25"/>
        <v>36</v>
      </c>
    </row>
    <row r="251" spans="19:24" x14ac:dyDescent="0.35">
      <c r="S251" s="3">
        <f t="shared" si="23"/>
        <v>36</v>
      </c>
      <c r="T251" s="7">
        <f>DATE('Gráfico Controle de Resultados'!$C$9,Auxiliar!U251,Auxiliar!V251)</f>
        <v>49558</v>
      </c>
      <c r="U251" s="3">
        <v>9</v>
      </c>
      <c r="V251" s="3">
        <v>6</v>
      </c>
      <c r="W251" s="22">
        <f t="shared" si="24"/>
        <v>5</v>
      </c>
      <c r="X251" s="3">
        <f t="shared" si="25"/>
        <v>36</v>
      </c>
    </row>
    <row r="252" spans="19:24" x14ac:dyDescent="0.35">
      <c r="S252" s="3">
        <f t="shared" si="23"/>
        <v>36</v>
      </c>
      <c r="T252" s="7">
        <f>DATE('Gráfico Controle de Resultados'!$C$9,Auxiliar!U252,Auxiliar!V252)</f>
        <v>49559</v>
      </c>
      <c r="U252" s="3">
        <v>9</v>
      </c>
      <c r="V252" s="3">
        <v>7</v>
      </c>
      <c r="W252" s="22">
        <f t="shared" si="24"/>
        <v>6</v>
      </c>
      <c r="X252" s="3">
        <f t="shared" si="25"/>
        <v>36</v>
      </c>
    </row>
    <row r="253" spans="19:24" x14ac:dyDescent="0.35">
      <c r="S253" s="3">
        <f t="shared" si="23"/>
        <v>36</v>
      </c>
      <c r="T253" s="7">
        <f>DATE('Gráfico Controle de Resultados'!$C$9,Auxiliar!U253,Auxiliar!V253)</f>
        <v>49560</v>
      </c>
      <c r="U253" s="3">
        <v>9</v>
      </c>
      <c r="V253" s="3">
        <v>8</v>
      </c>
      <c r="W253" s="22">
        <f t="shared" si="24"/>
        <v>7</v>
      </c>
      <c r="X253" s="3">
        <f t="shared" si="25"/>
        <v>36</v>
      </c>
    </row>
    <row r="254" spans="19:24" x14ac:dyDescent="0.35">
      <c r="S254" s="3">
        <f t="shared" si="23"/>
        <v>37</v>
      </c>
      <c r="T254" s="7">
        <f>DATE('Gráfico Controle de Resultados'!$C$9,Auxiliar!U254,Auxiliar!V254)</f>
        <v>49561</v>
      </c>
      <c r="U254" s="3">
        <v>9</v>
      </c>
      <c r="V254" s="3">
        <v>9</v>
      </c>
      <c r="W254" s="22">
        <f t="shared" si="24"/>
        <v>1</v>
      </c>
      <c r="X254" s="3">
        <f t="shared" si="25"/>
        <v>37</v>
      </c>
    </row>
    <row r="255" spans="19:24" x14ac:dyDescent="0.35">
      <c r="S255" s="3">
        <f t="shared" si="23"/>
        <v>37</v>
      </c>
      <c r="T255" s="7">
        <f>DATE('Gráfico Controle de Resultados'!$C$9,Auxiliar!U255,Auxiliar!V255)</f>
        <v>49562</v>
      </c>
      <c r="U255" s="3">
        <v>9</v>
      </c>
      <c r="V255" s="3">
        <v>10</v>
      </c>
      <c r="W255" s="22">
        <f t="shared" si="24"/>
        <v>2</v>
      </c>
      <c r="X255" s="3">
        <f t="shared" si="25"/>
        <v>37</v>
      </c>
    </row>
    <row r="256" spans="19:24" x14ac:dyDescent="0.35">
      <c r="S256" s="3">
        <f t="shared" si="23"/>
        <v>37</v>
      </c>
      <c r="T256" s="7">
        <f>DATE('Gráfico Controle de Resultados'!$C$9,Auxiliar!U256,Auxiliar!V256)</f>
        <v>49563</v>
      </c>
      <c r="U256" s="3">
        <v>9</v>
      </c>
      <c r="V256" s="3">
        <v>11</v>
      </c>
      <c r="W256" s="22">
        <f t="shared" si="24"/>
        <v>3</v>
      </c>
      <c r="X256" s="3">
        <f t="shared" si="25"/>
        <v>37</v>
      </c>
    </row>
    <row r="257" spans="19:24" x14ac:dyDescent="0.35">
      <c r="S257" s="3">
        <f t="shared" si="23"/>
        <v>37</v>
      </c>
      <c r="T257" s="7">
        <f>DATE('Gráfico Controle de Resultados'!$C$9,Auxiliar!U257,Auxiliar!V257)</f>
        <v>49564</v>
      </c>
      <c r="U257" s="3">
        <v>9</v>
      </c>
      <c r="V257" s="3">
        <v>12</v>
      </c>
      <c r="W257" s="22">
        <f t="shared" si="24"/>
        <v>4</v>
      </c>
      <c r="X257" s="3">
        <f t="shared" si="25"/>
        <v>37</v>
      </c>
    </row>
    <row r="258" spans="19:24" x14ac:dyDescent="0.35">
      <c r="S258" s="3">
        <f t="shared" si="23"/>
        <v>37</v>
      </c>
      <c r="T258" s="7">
        <f>DATE('Gráfico Controle de Resultados'!$C$9,Auxiliar!U258,Auxiliar!V258)</f>
        <v>49565</v>
      </c>
      <c r="U258" s="3">
        <v>9</v>
      </c>
      <c r="V258" s="3">
        <v>13</v>
      </c>
      <c r="W258" s="22">
        <f t="shared" si="24"/>
        <v>5</v>
      </c>
      <c r="X258" s="3">
        <f t="shared" si="25"/>
        <v>37</v>
      </c>
    </row>
    <row r="259" spans="19:24" x14ac:dyDescent="0.35">
      <c r="S259" s="3">
        <f t="shared" si="23"/>
        <v>37</v>
      </c>
      <c r="T259" s="7">
        <f>DATE('Gráfico Controle de Resultados'!$C$9,Auxiliar!U259,Auxiliar!V259)</f>
        <v>49566</v>
      </c>
      <c r="U259" s="3">
        <v>9</v>
      </c>
      <c r="V259" s="3">
        <v>14</v>
      </c>
      <c r="W259" s="22">
        <f t="shared" si="24"/>
        <v>6</v>
      </c>
      <c r="X259" s="3">
        <f t="shared" si="25"/>
        <v>37</v>
      </c>
    </row>
    <row r="260" spans="19:24" x14ac:dyDescent="0.35">
      <c r="S260" s="3">
        <f t="shared" ref="S260:S323" si="26">IF(W260=1,S259+1,S259)</f>
        <v>37</v>
      </c>
      <c r="T260" s="7">
        <f>DATE('Gráfico Controle de Resultados'!$C$9,Auxiliar!U260,Auxiliar!V260)</f>
        <v>49567</v>
      </c>
      <c r="U260" s="3">
        <v>9</v>
      </c>
      <c r="V260" s="3">
        <v>15</v>
      </c>
      <c r="W260" s="22">
        <f t="shared" ref="W260:W323" si="27">WEEKDAY(T260)</f>
        <v>7</v>
      </c>
      <c r="X260" s="3">
        <f t="shared" ref="X260:X323" si="28">S260</f>
        <v>37</v>
      </c>
    </row>
    <row r="261" spans="19:24" x14ac:dyDescent="0.35">
      <c r="S261" s="3">
        <f t="shared" si="26"/>
        <v>38</v>
      </c>
      <c r="T261" s="7">
        <f>DATE('Gráfico Controle de Resultados'!$C$9,Auxiliar!U261,Auxiliar!V261)</f>
        <v>49568</v>
      </c>
      <c r="U261" s="3">
        <v>9</v>
      </c>
      <c r="V261" s="3">
        <v>16</v>
      </c>
      <c r="W261" s="22">
        <f t="shared" si="27"/>
        <v>1</v>
      </c>
      <c r="X261" s="3">
        <f t="shared" si="28"/>
        <v>38</v>
      </c>
    </row>
    <row r="262" spans="19:24" x14ac:dyDescent="0.35">
      <c r="S262" s="3">
        <f t="shared" si="26"/>
        <v>38</v>
      </c>
      <c r="T262" s="7">
        <f>DATE('Gráfico Controle de Resultados'!$C$9,Auxiliar!U262,Auxiliar!V262)</f>
        <v>49569</v>
      </c>
      <c r="U262" s="3">
        <v>9</v>
      </c>
      <c r="V262" s="3">
        <v>17</v>
      </c>
      <c r="W262" s="22">
        <f t="shared" si="27"/>
        <v>2</v>
      </c>
      <c r="X262" s="3">
        <f t="shared" si="28"/>
        <v>38</v>
      </c>
    </row>
    <row r="263" spans="19:24" x14ac:dyDescent="0.35">
      <c r="S263" s="3">
        <f t="shared" si="26"/>
        <v>38</v>
      </c>
      <c r="T263" s="7">
        <f>DATE('Gráfico Controle de Resultados'!$C$9,Auxiliar!U263,Auxiliar!V263)</f>
        <v>49570</v>
      </c>
      <c r="U263" s="3">
        <v>9</v>
      </c>
      <c r="V263" s="3">
        <v>18</v>
      </c>
      <c r="W263" s="22">
        <f t="shared" si="27"/>
        <v>3</v>
      </c>
      <c r="X263" s="3">
        <f t="shared" si="28"/>
        <v>38</v>
      </c>
    </row>
    <row r="264" spans="19:24" x14ac:dyDescent="0.35">
      <c r="S264" s="3">
        <f t="shared" si="26"/>
        <v>38</v>
      </c>
      <c r="T264" s="7">
        <f>DATE('Gráfico Controle de Resultados'!$C$9,Auxiliar!U264,Auxiliar!V264)</f>
        <v>49571</v>
      </c>
      <c r="U264" s="3">
        <v>9</v>
      </c>
      <c r="V264" s="3">
        <v>19</v>
      </c>
      <c r="W264" s="22">
        <f t="shared" si="27"/>
        <v>4</v>
      </c>
      <c r="X264" s="3">
        <f t="shared" si="28"/>
        <v>38</v>
      </c>
    </row>
    <row r="265" spans="19:24" x14ac:dyDescent="0.35">
      <c r="S265" s="3">
        <f t="shared" si="26"/>
        <v>38</v>
      </c>
      <c r="T265" s="7">
        <f>DATE('Gráfico Controle de Resultados'!$C$9,Auxiliar!U265,Auxiliar!V265)</f>
        <v>49572</v>
      </c>
      <c r="U265" s="3">
        <v>9</v>
      </c>
      <c r="V265" s="3">
        <v>20</v>
      </c>
      <c r="W265" s="22">
        <f t="shared" si="27"/>
        <v>5</v>
      </c>
      <c r="X265" s="3">
        <f t="shared" si="28"/>
        <v>38</v>
      </c>
    </row>
    <row r="266" spans="19:24" x14ac:dyDescent="0.35">
      <c r="S266" s="3">
        <f t="shared" si="26"/>
        <v>38</v>
      </c>
      <c r="T266" s="7">
        <f>DATE('Gráfico Controle de Resultados'!$C$9,Auxiliar!U266,Auxiliar!V266)</f>
        <v>49573</v>
      </c>
      <c r="U266" s="3">
        <v>9</v>
      </c>
      <c r="V266" s="3">
        <v>21</v>
      </c>
      <c r="W266" s="22">
        <f t="shared" si="27"/>
        <v>6</v>
      </c>
      <c r="X266" s="3">
        <f t="shared" si="28"/>
        <v>38</v>
      </c>
    </row>
    <row r="267" spans="19:24" x14ac:dyDescent="0.35">
      <c r="S267" s="3">
        <f t="shared" si="26"/>
        <v>38</v>
      </c>
      <c r="T267" s="7">
        <f>DATE('Gráfico Controle de Resultados'!$C$9,Auxiliar!U267,Auxiliar!V267)</f>
        <v>49574</v>
      </c>
      <c r="U267" s="3">
        <v>9</v>
      </c>
      <c r="V267" s="3">
        <v>22</v>
      </c>
      <c r="W267" s="22">
        <f t="shared" si="27"/>
        <v>7</v>
      </c>
      <c r="X267" s="3">
        <f t="shared" si="28"/>
        <v>38</v>
      </c>
    </row>
    <row r="268" spans="19:24" x14ac:dyDescent="0.35">
      <c r="S268" s="3">
        <f t="shared" si="26"/>
        <v>39</v>
      </c>
      <c r="T268" s="7">
        <f>DATE('Gráfico Controle de Resultados'!$C$9,Auxiliar!U268,Auxiliar!V268)</f>
        <v>49575</v>
      </c>
      <c r="U268" s="3">
        <v>9</v>
      </c>
      <c r="V268" s="3">
        <v>23</v>
      </c>
      <c r="W268" s="22">
        <f t="shared" si="27"/>
        <v>1</v>
      </c>
      <c r="X268" s="3">
        <f t="shared" si="28"/>
        <v>39</v>
      </c>
    </row>
    <row r="269" spans="19:24" x14ac:dyDescent="0.35">
      <c r="S269" s="3">
        <f t="shared" si="26"/>
        <v>39</v>
      </c>
      <c r="T269" s="7">
        <f>DATE('Gráfico Controle de Resultados'!$C$9,Auxiliar!U269,Auxiliar!V269)</f>
        <v>49576</v>
      </c>
      <c r="U269" s="3">
        <v>9</v>
      </c>
      <c r="V269" s="3">
        <v>24</v>
      </c>
      <c r="W269" s="22">
        <f t="shared" si="27"/>
        <v>2</v>
      </c>
      <c r="X269" s="3">
        <f t="shared" si="28"/>
        <v>39</v>
      </c>
    </row>
    <row r="270" spans="19:24" x14ac:dyDescent="0.35">
      <c r="S270" s="3">
        <f t="shared" si="26"/>
        <v>39</v>
      </c>
      <c r="T270" s="7">
        <f>DATE('Gráfico Controle de Resultados'!$C$9,Auxiliar!U270,Auxiliar!V270)</f>
        <v>49577</v>
      </c>
      <c r="U270" s="3">
        <v>9</v>
      </c>
      <c r="V270" s="3">
        <v>25</v>
      </c>
      <c r="W270" s="22">
        <f t="shared" si="27"/>
        <v>3</v>
      </c>
      <c r="X270" s="3">
        <f t="shared" si="28"/>
        <v>39</v>
      </c>
    </row>
    <row r="271" spans="19:24" x14ac:dyDescent="0.35">
      <c r="S271" s="3">
        <f t="shared" si="26"/>
        <v>39</v>
      </c>
      <c r="T271" s="7">
        <f>DATE('Gráfico Controle de Resultados'!$C$9,Auxiliar!U271,Auxiliar!V271)</f>
        <v>49578</v>
      </c>
      <c r="U271" s="3">
        <v>9</v>
      </c>
      <c r="V271" s="3">
        <v>26</v>
      </c>
      <c r="W271" s="22">
        <f t="shared" si="27"/>
        <v>4</v>
      </c>
      <c r="X271" s="3">
        <f t="shared" si="28"/>
        <v>39</v>
      </c>
    </row>
    <row r="272" spans="19:24" x14ac:dyDescent="0.35">
      <c r="S272" s="3">
        <f t="shared" si="26"/>
        <v>39</v>
      </c>
      <c r="T272" s="7">
        <f>DATE('Gráfico Controle de Resultados'!$C$9,Auxiliar!U272,Auxiliar!V272)</f>
        <v>49579</v>
      </c>
      <c r="U272" s="3">
        <v>9</v>
      </c>
      <c r="V272" s="3">
        <v>27</v>
      </c>
      <c r="W272" s="22">
        <f t="shared" si="27"/>
        <v>5</v>
      </c>
      <c r="X272" s="3">
        <f t="shared" si="28"/>
        <v>39</v>
      </c>
    </row>
    <row r="273" spans="19:24" x14ac:dyDescent="0.35">
      <c r="S273" s="3">
        <f t="shared" si="26"/>
        <v>39</v>
      </c>
      <c r="T273" s="7">
        <f>DATE('Gráfico Controle de Resultados'!$C$9,Auxiliar!U273,Auxiliar!V273)</f>
        <v>49580</v>
      </c>
      <c r="U273" s="3">
        <v>9</v>
      </c>
      <c r="V273" s="3">
        <v>28</v>
      </c>
      <c r="W273" s="22">
        <f t="shared" si="27"/>
        <v>6</v>
      </c>
      <c r="X273" s="3">
        <f t="shared" si="28"/>
        <v>39</v>
      </c>
    </row>
    <row r="274" spans="19:24" x14ac:dyDescent="0.35">
      <c r="S274" s="3">
        <f t="shared" si="26"/>
        <v>39</v>
      </c>
      <c r="T274" s="7">
        <f>DATE('Gráfico Controle de Resultados'!$C$9,Auxiliar!U274,Auxiliar!V274)</f>
        <v>49581</v>
      </c>
      <c r="U274" s="3">
        <v>9</v>
      </c>
      <c r="V274" s="3">
        <v>29</v>
      </c>
      <c r="W274" s="22">
        <f t="shared" si="27"/>
        <v>7</v>
      </c>
      <c r="X274" s="3">
        <f t="shared" si="28"/>
        <v>39</v>
      </c>
    </row>
    <row r="275" spans="19:24" x14ac:dyDescent="0.35">
      <c r="S275" s="3">
        <f t="shared" si="26"/>
        <v>40</v>
      </c>
      <c r="T275" s="7">
        <f>DATE('Gráfico Controle de Resultados'!$C$9,Auxiliar!U275,Auxiliar!V275)</f>
        <v>49582</v>
      </c>
      <c r="U275" s="3">
        <v>9</v>
      </c>
      <c r="V275" s="3">
        <v>30</v>
      </c>
      <c r="W275" s="22">
        <f t="shared" si="27"/>
        <v>1</v>
      </c>
      <c r="X275" s="3">
        <f t="shared" si="28"/>
        <v>40</v>
      </c>
    </row>
    <row r="276" spans="19:24" x14ac:dyDescent="0.35">
      <c r="S276" s="3">
        <f t="shared" si="26"/>
        <v>40</v>
      </c>
      <c r="T276" s="7">
        <f>DATE('Gráfico Controle de Resultados'!$C$9,Auxiliar!U276,Auxiliar!V276)</f>
        <v>49583</v>
      </c>
      <c r="U276" s="3">
        <v>10</v>
      </c>
      <c r="V276" s="3">
        <v>1</v>
      </c>
      <c r="W276" s="22">
        <f t="shared" si="27"/>
        <v>2</v>
      </c>
      <c r="X276" s="3">
        <f t="shared" si="28"/>
        <v>40</v>
      </c>
    </row>
    <row r="277" spans="19:24" x14ac:dyDescent="0.35">
      <c r="S277" s="3">
        <f t="shared" si="26"/>
        <v>40</v>
      </c>
      <c r="T277" s="7">
        <f>DATE('Gráfico Controle de Resultados'!$C$9,Auxiliar!U277,Auxiliar!V277)</f>
        <v>49584</v>
      </c>
      <c r="U277" s="3">
        <v>10</v>
      </c>
      <c r="V277" s="3">
        <v>2</v>
      </c>
      <c r="W277" s="22">
        <f t="shared" si="27"/>
        <v>3</v>
      </c>
      <c r="X277" s="3">
        <f t="shared" si="28"/>
        <v>40</v>
      </c>
    </row>
    <row r="278" spans="19:24" x14ac:dyDescent="0.35">
      <c r="S278" s="3">
        <f t="shared" si="26"/>
        <v>40</v>
      </c>
      <c r="T278" s="7">
        <f>DATE('Gráfico Controle de Resultados'!$C$9,Auxiliar!U278,Auxiliar!V278)</f>
        <v>49585</v>
      </c>
      <c r="U278" s="3">
        <v>10</v>
      </c>
      <c r="V278" s="3">
        <v>3</v>
      </c>
      <c r="W278" s="22">
        <f t="shared" si="27"/>
        <v>4</v>
      </c>
      <c r="X278" s="3">
        <f t="shared" si="28"/>
        <v>40</v>
      </c>
    </row>
    <row r="279" spans="19:24" x14ac:dyDescent="0.35">
      <c r="S279" s="3">
        <f t="shared" si="26"/>
        <v>40</v>
      </c>
      <c r="T279" s="7">
        <f>DATE('Gráfico Controle de Resultados'!$C$9,Auxiliar!U279,Auxiliar!V279)</f>
        <v>49586</v>
      </c>
      <c r="U279" s="3">
        <v>10</v>
      </c>
      <c r="V279" s="3">
        <v>4</v>
      </c>
      <c r="W279" s="22">
        <f t="shared" si="27"/>
        <v>5</v>
      </c>
      <c r="X279" s="3">
        <f t="shared" si="28"/>
        <v>40</v>
      </c>
    </row>
    <row r="280" spans="19:24" x14ac:dyDescent="0.35">
      <c r="S280" s="3">
        <f t="shared" si="26"/>
        <v>40</v>
      </c>
      <c r="T280" s="7">
        <f>DATE('Gráfico Controle de Resultados'!$C$9,Auxiliar!U280,Auxiliar!V280)</f>
        <v>49587</v>
      </c>
      <c r="U280" s="3">
        <v>10</v>
      </c>
      <c r="V280" s="3">
        <v>5</v>
      </c>
      <c r="W280" s="22">
        <f t="shared" si="27"/>
        <v>6</v>
      </c>
      <c r="X280" s="3">
        <f t="shared" si="28"/>
        <v>40</v>
      </c>
    </row>
    <row r="281" spans="19:24" x14ac:dyDescent="0.35">
      <c r="S281" s="3">
        <f t="shared" si="26"/>
        <v>40</v>
      </c>
      <c r="T281" s="7">
        <f>DATE('Gráfico Controle de Resultados'!$C$9,Auxiliar!U281,Auxiliar!V281)</f>
        <v>49588</v>
      </c>
      <c r="U281" s="3">
        <v>10</v>
      </c>
      <c r="V281" s="3">
        <v>6</v>
      </c>
      <c r="W281" s="22">
        <f t="shared" si="27"/>
        <v>7</v>
      </c>
      <c r="X281" s="3">
        <f t="shared" si="28"/>
        <v>40</v>
      </c>
    </row>
    <row r="282" spans="19:24" x14ac:dyDescent="0.35">
      <c r="S282" s="3">
        <f t="shared" si="26"/>
        <v>41</v>
      </c>
      <c r="T282" s="7">
        <f>DATE('Gráfico Controle de Resultados'!$C$9,Auxiliar!U282,Auxiliar!V282)</f>
        <v>49589</v>
      </c>
      <c r="U282" s="3">
        <v>10</v>
      </c>
      <c r="V282" s="3">
        <v>7</v>
      </c>
      <c r="W282" s="22">
        <f t="shared" si="27"/>
        <v>1</v>
      </c>
      <c r="X282" s="3">
        <f t="shared" si="28"/>
        <v>41</v>
      </c>
    </row>
    <row r="283" spans="19:24" x14ac:dyDescent="0.35">
      <c r="S283" s="3">
        <f t="shared" si="26"/>
        <v>41</v>
      </c>
      <c r="T283" s="7">
        <f>DATE('Gráfico Controle de Resultados'!$C$9,Auxiliar!U283,Auxiliar!V283)</f>
        <v>49590</v>
      </c>
      <c r="U283" s="3">
        <v>10</v>
      </c>
      <c r="V283" s="3">
        <v>8</v>
      </c>
      <c r="W283" s="22">
        <f t="shared" si="27"/>
        <v>2</v>
      </c>
      <c r="X283" s="3">
        <f t="shared" si="28"/>
        <v>41</v>
      </c>
    </row>
    <row r="284" spans="19:24" x14ac:dyDescent="0.35">
      <c r="S284" s="3">
        <f t="shared" si="26"/>
        <v>41</v>
      </c>
      <c r="T284" s="7">
        <f>DATE('Gráfico Controle de Resultados'!$C$9,Auxiliar!U284,Auxiliar!V284)</f>
        <v>49591</v>
      </c>
      <c r="U284" s="3">
        <v>10</v>
      </c>
      <c r="V284" s="3">
        <v>9</v>
      </c>
      <c r="W284" s="22">
        <f t="shared" si="27"/>
        <v>3</v>
      </c>
      <c r="X284" s="3">
        <f t="shared" si="28"/>
        <v>41</v>
      </c>
    </row>
    <row r="285" spans="19:24" x14ac:dyDescent="0.35">
      <c r="S285" s="3">
        <f t="shared" si="26"/>
        <v>41</v>
      </c>
      <c r="T285" s="7">
        <f>DATE('Gráfico Controle de Resultados'!$C$9,Auxiliar!U285,Auxiliar!V285)</f>
        <v>49592</v>
      </c>
      <c r="U285" s="3">
        <v>10</v>
      </c>
      <c r="V285" s="3">
        <v>10</v>
      </c>
      <c r="W285" s="22">
        <f t="shared" si="27"/>
        <v>4</v>
      </c>
      <c r="X285" s="3">
        <f t="shared" si="28"/>
        <v>41</v>
      </c>
    </row>
    <row r="286" spans="19:24" x14ac:dyDescent="0.35">
      <c r="S286" s="3">
        <f t="shared" si="26"/>
        <v>41</v>
      </c>
      <c r="T286" s="7">
        <f>DATE('Gráfico Controle de Resultados'!$C$9,Auxiliar!U286,Auxiliar!V286)</f>
        <v>49593</v>
      </c>
      <c r="U286" s="3">
        <v>10</v>
      </c>
      <c r="V286" s="3">
        <v>11</v>
      </c>
      <c r="W286" s="22">
        <f t="shared" si="27"/>
        <v>5</v>
      </c>
      <c r="X286" s="3">
        <f t="shared" si="28"/>
        <v>41</v>
      </c>
    </row>
    <row r="287" spans="19:24" x14ac:dyDescent="0.35">
      <c r="S287" s="3">
        <f t="shared" si="26"/>
        <v>41</v>
      </c>
      <c r="T287" s="7">
        <f>DATE('Gráfico Controle de Resultados'!$C$9,Auxiliar!U287,Auxiliar!V287)</f>
        <v>49594</v>
      </c>
      <c r="U287" s="3">
        <v>10</v>
      </c>
      <c r="V287" s="3">
        <v>12</v>
      </c>
      <c r="W287" s="22">
        <f t="shared" si="27"/>
        <v>6</v>
      </c>
      <c r="X287" s="3">
        <f t="shared" si="28"/>
        <v>41</v>
      </c>
    </row>
    <row r="288" spans="19:24" x14ac:dyDescent="0.35">
      <c r="S288" s="3">
        <f t="shared" si="26"/>
        <v>41</v>
      </c>
      <c r="T288" s="7">
        <f>DATE('Gráfico Controle de Resultados'!$C$9,Auxiliar!U288,Auxiliar!V288)</f>
        <v>49595</v>
      </c>
      <c r="U288" s="3">
        <v>10</v>
      </c>
      <c r="V288" s="3">
        <v>13</v>
      </c>
      <c r="W288" s="22">
        <f t="shared" si="27"/>
        <v>7</v>
      </c>
      <c r="X288" s="3">
        <f t="shared" si="28"/>
        <v>41</v>
      </c>
    </row>
    <row r="289" spans="19:24" x14ac:dyDescent="0.35">
      <c r="S289" s="3">
        <f t="shared" si="26"/>
        <v>42</v>
      </c>
      <c r="T289" s="7">
        <f>DATE('Gráfico Controle de Resultados'!$C$9,Auxiliar!U289,Auxiliar!V289)</f>
        <v>49596</v>
      </c>
      <c r="U289" s="3">
        <v>10</v>
      </c>
      <c r="V289" s="3">
        <v>14</v>
      </c>
      <c r="W289" s="22">
        <f t="shared" si="27"/>
        <v>1</v>
      </c>
      <c r="X289" s="3">
        <f t="shared" si="28"/>
        <v>42</v>
      </c>
    </row>
    <row r="290" spans="19:24" x14ac:dyDescent="0.35">
      <c r="S290" s="3">
        <f t="shared" si="26"/>
        <v>42</v>
      </c>
      <c r="T290" s="7">
        <f>DATE('Gráfico Controle de Resultados'!$C$9,Auxiliar!U290,Auxiliar!V290)</f>
        <v>49597</v>
      </c>
      <c r="U290" s="3">
        <v>10</v>
      </c>
      <c r="V290" s="3">
        <v>15</v>
      </c>
      <c r="W290" s="22">
        <f t="shared" si="27"/>
        <v>2</v>
      </c>
      <c r="X290" s="3">
        <f t="shared" si="28"/>
        <v>42</v>
      </c>
    </row>
    <row r="291" spans="19:24" x14ac:dyDescent="0.35">
      <c r="S291" s="3">
        <f t="shared" si="26"/>
        <v>42</v>
      </c>
      <c r="T291" s="7">
        <f>DATE('Gráfico Controle de Resultados'!$C$9,Auxiliar!U291,Auxiliar!V291)</f>
        <v>49598</v>
      </c>
      <c r="U291" s="3">
        <v>10</v>
      </c>
      <c r="V291" s="3">
        <v>16</v>
      </c>
      <c r="W291" s="22">
        <f t="shared" si="27"/>
        <v>3</v>
      </c>
      <c r="X291" s="3">
        <f t="shared" si="28"/>
        <v>42</v>
      </c>
    </row>
    <row r="292" spans="19:24" x14ac:dyDescent="0.35">
      <c r="S292" s="3">
        <f t="shared" si="26"/>
        <v>42</v>
      </c>
      <c r="T292" s="7">
        <f>DATE('Gráfico Controle de Resultados'!$C$9,Auxiliar!U292,Auxiliar!V292)</f>
        <v>49599</v>
      </c>
      <c r="U292" s="3">
        <v>10</v>
      </c>
      <c r="V292" s="3">
        <v>17</v>
      </c>
      <c r="W292" s="22">
        <f t="shared" si="27"/>
        <v>4</v>
      </c>
      <c r="X292" s="3">
        <f t="shared" si="28"/>
        <v>42</v>
      </c>
    </row>
    <row r="293" spans="19:24" x14ac:dyDescent="0.35">
      <c r="S293" s="3">
        <f t="shared" si="26"/>
        <v>42</v>
      </c>
      <c r="T293" s="7">
        <f>DATE('Gráfico Controle de Resultados'!$C$9,Auxiliar!U293,Auxiliar!V293)</f>
        <v>49600</v>
      </c>
      <c r="U293" s="3">
        <v>10</v>
      </c>
      <c r="V293" s="3">
        <v>18</v>
      </c>
      <c r="W293" s="22">
        <f t="shared" si="27"/>
        <v>5</v>
      </c>
      <c r="X293" s="3">
        <f t="shared" si="28"/>
        <v>42</v>
      </c>
    </row>
    <row r="294" spans="19:24" x14ac:dyDescent="0.35">
      <c r="S294" s="3">
        <f t="shared" si="26"/>
        <v>42</v>
      </c>
      <c r="T294" s="7">
        <f>DATE('Gráfico Controle de Resultados'!$C$9,Auxiliar!U294,Auxiliar!V294)</f>
        <v>49601</v>
      </c>
      <c r="U294" s="3">
        <v>10</v>
      </c>
      <c r="V294" s="3">
        <v>19</v>
      </c>
      <c r="W294" s="22">
        <f t="shared" si="27"/>
        <v>6</v>
      </c>
      <c r="X294" s="3">
        <f t="shared" si="28"/>
        <v>42</v>
      </c>
    </row>
    <row r="295" spans="19:24" x14ac:dyDescent="0.35">
      <c r="S295" s="3">
        <f t="shared" si="26"/>
        <v>42</v>
      </c>
      <c r="T295" s="7">
        <f>DATE('Gráfico Controle de Resultados'!$C$9,Auxiliar!U295,Auxiliar!V295)</f>
        <v>49602</v>
      </c>
      <c r="U295" s="3">
        <v>10</v>
      </c>
      <c r="V295" s="3">
        <v>20</v>
      </c>
      <c r="W295" s="22">
        <f t="shared" si="27"/>
        <v>7</v>
      </c>
      <c r="X295" s="3">
        <f t="shared" si="28"/>
        <v>42</v>
      </c>
    </row>
    <row r="296" spans="19:24" x14ac:dyDescent="0.35">
      <c r="S296" s="3">
        <f t="shared" si="26"/>
        <v>43</v>
      </c>
      <c r="T296" s="7">
        <f>DATE('Gráfico Controle de Resultados'!$C$9,Auxiliar!U296,Auxiliar!V296)</f>
        <v>49603</v>
      </c>
      <c r="U296" s="3">
        <v>10</v>
      </c>
      <c r="V296" s="3">
        <v>21</v>
      </c>
      <c r="W296" s="22">
        <f t="shared" si="27"/>
        <v>1</v>
      </c>
      <c r="X296" s="3">
        <f t="shared" si="28"/>
        <v>43</v>
      </c>
    </row>
    <row r="297" spans="19:24" x14ac:dyDescent="0.35">
      <c r="S297" s="3">
        <f t="shared" si="26"/>
        <v>43</v>
      </c>
      <c r="T297" s="7">
        <f>DATE('Gráfico Controle de Resultados'!$C$9,Auxiliar!U297,Auxiliar!V297)</f>
        <v>49604</v>
      </c>
      <c r="U297" s="3">
        <v>10</v>
      </c>
      <c r="V297" s="3">
        <v>22</v>
      </c>
      <c r="W297" s="22">
        <f t="shared" si="27"/>
        <v>2</v>
      </c>
      <c r="X297" s="3">
        <f t="shared" si="28"/>
        <v>43</v>
      </c>
    </row>
    <row r="298" spans="19:24" x14ac:dyDescent="0.35">
      <c r="S298" s="3">
        <f t="shared" si="26"/>
        <v>43</v>
      </c>
      <c r="T298" s="7">
        <f>DATE('Gráfico Controle de Resultados'!$C$9,Auxiliar!U298,Auxiliar!V298)</f>
        <v>49605</v>
      </c>
      <c r="U298" s="3">
        <v>10</v>
      </c>
      <c r="V298" s="3">
        <v>23</v>
      </c>
      <c r="W298" s="22">
        <f t="shared" si="27"/>
        <v>3</v>
      </c>
      <c r="X298" s="3">
        <f t="shared" si="28"/>
        <v>43</v>
      </c>
    </row>
    <row r="299" spans="19:24" x14ac:dyDescent="0.35">
      <c r="S299" s="3">
        <f t="shared" si="26"/>
        <v>43</v>
      </c>
      <c r="T299" s="7">
        <f>DATE('Gráfico Controle de Resultados'!$C$9,Auxiliar!U299,Auxiliar!V299)</f>
        <v>49606</v>
      </c>
      <c r="U299" s="3">
        <v>10</v>
      </c>
      <c r="V299" s="3">
        <v>24</v>
      </c>
      <c r="W299" s="22">
        <f t="shared" si="27"/>
        <v>4</v>
      </c>
      <c r="X299" s="3">
        <f t="shared" si="28"/>
        <v>43</v>
      </c>
    </row>
    <row r="300" spans="19:24" x14ac:dyDescent="0.35">
      <c r="S300" s="3">
        <f t="shared" si="26"/>
        <v>43</v>
      </c>
      <c r="T300" s="7">
        <f>DATE('Gráfico Controle de Resultados'!$C$9,Auxiliar!U300,Auxiliar!V300)</f>
        <v>49607</v>
      </c>
      <c r="U300" s="3">
        <v>10</v>
      </c>
      <c r="V300" s="3">
        <v>25</v>
      </c>
      <c r="W300" s="22">
        <f t="shared" si="27"/>
        <v>5</v>
      </c>
      <c r="X300" s="3">
        <f t="shared" si="28"/>
        <v>43</v>
      </c>
    </row>
    <row r="301" spans="19:24" x14ac:dyDescent="0.35">
      <c r="S301" s="3">
        <f t="shared" si="26"/>
        <v>43</v>
      </c>
      <c r="T301" s="7">
        <f>DATE('Gráfico Controle de Resultados'!$C$9,Auxiliar!U301,Auxiliar!V301)</f>
        <v>49608</v>
      </c>
      <c r="U301" s="3">
        <v>10</v>
      </c>
      <c r="V301" s="3">
        <v>26</v>
      </c>
      <c r="W301" s="22">
        <f t="shared" si="27"/>
        <v>6</v>
      </c>
      <c r="X301" s="3">
        <f t="shared" si="28"/>
        <v>43</v>
      </c>
    </row>
    <row r="302" spans="19:24" x14ac:dyDescent="0.35">
      <c r="S302" s="3">
        <f t="shared" si="26"/>
        <v>43</v>
      </c>
      <c r="T302" s="7">
        <f>DATE('Gráfico Controle de Resultados'!$C$9,Auxiliar!U302,Auxiliar!V302)</f>
        <v>49609</v>
      </c>
      <c r="U302" s="3">
        <v>10</v>
      </c>
      <c r="V302" s="3">
        <v>27</v>
      </c>
      <c r="W302" s="22">
        <f t="shared" si="27"/>
        <v>7</v>
      </c>
      <c r="X302" s="3">
        <f t="shared" si="28"/>
        <v>43</v>
      </c>
    </row>
    <row r="303" spans="19:24" x14ac:dyDescent="0.35">
      <c r="S303" s="3">
        <f t="shared" si="26"/>
        <v>44</v>
      </c>
      <c r="T303" s="7">
        <f>DATE('Gráfico Controle de Resultados'!$C$9,Auxiliar!U303,Auxiliar!V303)</f>
        <v>49610</v>
      </c>
      <c r="U303" s="3">
        <v>10</v>
      </c>
      <c r="V303" s="3">
        <v>28</v>
      </c>
      <c r="W303" s="22">
        <f t="shared" si="27"/>
        <v>1</v>
      </c>
      <c r="X303" s="3">
        <f t="shared" si="28"/>
        <v>44</v>
      </c>
    </row>
    <row r="304" spans="19:24" x14ac:dyDescent="0.35">
      <c r="S304" s="3">
        <f t="shared" si="26"/>
        <v>44</v>
      </c>
      <c r="T304" s="7">
        <f>DATE('Gráfico Controle de Resultados'!$C$9,Auxiliar!U304,Auxiliar!V304)</f>
        <v>49611</v>
      </c>
      <c r="U304" s="3">
        <v>10</v>
      </c>
      <c r="V304" s="3">
        <v>29</v>
      </c>
      <c r="W304" s="22">
        <f t="shared" si="27"/>
        <v>2</v>
      </c>
      <c r="X304" s="3">
        <f t="shared" si="28"/>
        <v>44</v>
      </c>
    </row>
    <row r="305" spans="19:24" x14ac:dyDescent="0.35">
      <c r="S305" s="3">
        <f t="shared" si="26"/>
        <v>44</v>
      </c>
      <c r="T305" s="7">
        <f>DATE('Gráfico Controle de Resultados'!$C$9,Auxiliar!U305,Auxiliar!V305)</f>
        <v>49612</v>
      </c>
      <c r="U305" s="3">
        <v>10</v>
      </c>
      <c r="V305" s="3">
        <v>30</v>
      </c>
      <c r="W305" s="22">
        <f t="shared" si="27"/>
        <v>3</v>
      </c>
      <c r="X305" s="3">
        <f t="shared" si="28"/>
        <v>44</v>
      </c>
    </row>
    <row r="306" spans="19:24" x14ac:dyDescent="0.35">
      <c r="S306" s="3">
        <f t="shared" si="26"/>
        <v>44</v>
      </c>
      <c r="T306" s="7">
        <f>DATE('Gráfico Controle de Resultados'!$C$9,Auxiliar!U306,Auxiliar!V306)</f>
        <v>49613</v>
      </c>
      <c r="U306" s="3">
        <v>10</v>
      </c>
      <c r="V306" s="3">
        <v>31</v>
      </c>
      <c r="W306" s="22">
        <f t="shared" si="27"/>
        <v>4</v>
      </c>
      <c r="X306" s="3">
        <f t="shared" si="28"/>
        <v>44</v>
      </c>
    </row>
    <row r="307" spans="19:24" x14ac:dyDescent="0.35">
      <c r="S307" s="3">
        <f t="shared" si="26"/>
        <v>44</v>
      </c>
      <c r="T307" s="7">
        <f>DATE('Gráfico Controle de Resultados'!$C$9,Auxiliar!U307,Auxiliar!V307)</f>
        <v>49614</v>
      </c>
      <c r="U307" s="3">
        <v>11</v>
      </c>
      <c r="V307" s="3">
        <v>1</v>
      </c>
      <c r="W307" s="22">
        <f t="shared" si="27"/>
        <v>5</v>
      </c>
      <c r="X307" s="3">
        <f t="shared" si="28"/>
        <v>44</v>
      </c>
    </row>
    <row r="308" spans="19:24" x14ac:dyDescent="0.35">
      <c r="S308" s="3">
        <f t="shared" si="26"/>
        <v>44</v>
      </c>
      <c r="T308" s="7">
        <f>DATE('Gráfico Controle de Resultados'!$C$9,Auxiliar!U308,Auxiliar!V308)</f>
        <v>49615</v>
      </c>
      <c r="U308" s="3">
        <v>11</v>
      </c>
      <c r="V308" s="3">
        <v>2</v>
      </c>
      <c r="W308" s="22">
        <f t="shared" si="27"/>
        <v>6</v>
      </c>
      <c r="X308" s="3">
        <f t="shared" si="28"/>
        <v>44</v>
      </c>
    </row>
    <row r="309" spans="19:24" x14ac:dyDescent="0.35">
      <c r="S309" s="3">
        <f t="shared" si="26"/>
        <v>44</v>
      </c>
      <c r="T309" s="7">
        <f>DATE('Gráfico Controle de Resultados'!$C$9,Auxiliar!U309,Auxiliar!V309)</f>
        <v>49616</v>
      </c>
      <c r="U309" s="3">
        <v>11</v>
      </c>
      <c r="V309" s="3">
        <v>3</v>
      </c>
      <c r="W309" s="22">
        <f t="shared" si="27"/>
        <v>7</v>
      </c>
      <c r="X309" s="3">
        <f t="shared" si="28"/>
        <v>44</v>
      </c>
    </row>
    <row r="310" spans="19:24" x14ac:dyDescent="0.35">
      <c r="S310" s="3">
        <f t="shared" si="26"/>
        <v>45</v>
      </c>
      <c r="T310" s="7">
        <f>DATE('Gráfico Controle de Resultados'!$C$9,Auxiliar!U310,Auxiliar!V310)</f>
        <v>49617</v>
      </c>
      <c r="U310" s="3">
        <v>11</v>
      </c>
      <c r="V310" s="3">
        <v>4</v>
      </c>
      <c r="W310" s="22">
        <f t="shared" si="27"/>
        <v>1</v>
      </c>
      <c r="X310" s="3">
        <f t="shared" si="28"/>
        <v>45</v>
      </c>
    </row>
    <row r="311" spans="19:24" x14ac:dyDescent="0.35">
      <c r="S311" s="3">
        <f t="shared" si="26"/>
        <v>45</v>
      </c>
      <c r="T311" s="7">
        <f>DATE('Gráfico Controle de Resultados'!$C$9,Auxiliar!U311,Auxiliar!V311)</f>
        <v>49618</v>
      </c>
      <c r="U311" s="3">
        <v>11</v>
      </c>
      <c r="V311" s="3">
        <v>5</v>
      </c>
      <c r="W311" s="22">
        <f t="shared" si="27"/>
        <v>2</v>
      </c>
      <c r="X311" s="3">
        <f t="shared" si="28"/>
        <v>45</v>
      </c>
    </row>
    <row r="312" spans="19:24" x14ac:dyDescent="0.35">
      <c r="S312" s="3">
        <f t="shared" si="26"/>
        <v>45</v>
      </c>
      <c r="T312" s="7">
        <f>DATE('Gráfico Controle de Resultados'!$C$9,Auxiliar!U312,Auxiliar!V312)</f>
        <v>49619</v>
      </c>
      <c r="U312" s="3">
        <v>11</v>
      </c>
      <c r="V312" s="3">
        <v>6</v>
      </c>
      <c r="W312" s="22">
        <f t="shared" si="27"/>
        <v>3</v>
      </c>
      <c r="X312" s="3">
        <f t="shared" si="28"/>
        <v>45</v>
      </c>
    </row>
    <row r="313" spans="19:24" x14ac:dyDescent="0.35">
      <c r="S313" s="3">
        <f t="shared" si="26"/>
        <v>45</v>
      </c>
      <c r="T313" s="7">
        <f>DATE('Gráfico Controle de Resultados'!$C$9,Auxiliar!U313,Auxiliar!V313)</f>
        <v>49620</v>
      </c>
      <c r="U313" s="3">
        <v>11</v>
      </c>
      <c r="V313" s="3">
        <v>7</v>
      </c>
      <c r="W313" s="22">
        <f t="shared" si="27"/>
        <v>4</v>
      </c>
      <c r="X313" s="3">
        <f t="shared" si="28"/>
        <v>45</v>
      </c>
    </row>
    <row r="314" spans="19:24" x14ac:dyDescent="0.35">
      <c r="S314" s="3">
        <f t="shared" si="26"/>
        <v>45</v>
      </c>
      <c r="T314" s="7">
        <f>DATE('Gráfico Controle de Resultados'!$C$9,Auxiliar!U314,Auxiliar!V314)</f>
        <v>49621</v>
      </c>
      <c r="U314" s="3">
        <v>11</v>
      </c>
      <c r="V314" s="3">
        <v>8</v>
      </c>
      <c r="W314" s="22">
        <f t="shared" si="27"/>
        <v>5</v>
      </c>
      <c r="X314" s="3">
        <f t="shared" si="28"/>
        <v>45</v>
      </c>
    </row>
    <row r="315" spans="19:24" x14ac:dyDescent="0.35">
      <c r="S315" s="3">
        <f t="shared" si="26"/>
        <v>45</v>
      </c>
      <c r="T315" s="7">
        <f>DATE('Gráfico Controle de Resultados'!$C$9,Auxiliar!U315,Auxiliar!V315)</f>
        <v>49622</v>
      </c>
      <c r="U315" s="3">
        <v>11</v>
      </c>
      <c r="V315" s="3">
        <v>9</v>
      </c>
      <c r="W315" s="22">
        <f t="shared" si="27"/>
        <v>6</v>
      </c>
      <c r="X315" s="3">
        <f t="shared" si="28"/>
        <v>45</v>
      </c>
    </row>
    <row r="316" spans="19:24" x14ac:dyDescent="0.35">
      <c r="S316" s="3">
        <f t="shared" si="26"/>
        <v>45</v>
      </c>
      <c r="T316" s="7">
        <f>DATE('Gráfico Controle de Resultados'!$C$9,Auxiliar!U316,Auxiliar!V316)</f>
        <v>49623</v>
      </c>
      <c r="U316" s="3">
        <v>11</v>
      </c>
      <c r="V316" s="3">
        <v>10</v>
      </c>
      <c r="W316" s="22">
        <f t="shared" si="27"/>
        <v>7</v>
      </c>
      <c r="X316" s="3">
        <f t="shared" si="28"/>
        <v>45</v>
      </c>
    </row>
    <row r="317" spans="19:24" x14ac:dyDescent="0.35">
      <c r="S317" s="3">
        <f t="shared" si="26"/>
        <v>46</v>
      </c>
      <c r="T317" s="7">
        <f>DATE('Gráfico Controle de Resultados'!$C$9,Auxiliar!U317,Auxiliar!V317)</f>
        <v>49624</v>
      </c>
      <c r="U317" s="3">
        <v>11</v>
      </c>
      <c r="V317" s="3">
        <v>11</v>
      </c>
      <c r="W317" s="22">
        <f t="shared" si="27"/>
        <v>1</v>
      </c>
      <c r="X317" s="3">
        <f t="shared" si="28"/>
        <v>46</v>
      </c>
    </row>
    <row r="318" spans="19:24" x14ac:dyDescent="0.35">
      <c r="S318" s="3">
        <f t="shared" si="26"/>
        <v>46</v>
      </c>
      <c r="T318" s="7">
        <f>DATE('Gráfico Controle de Resultados'!$C$9,Auxiliar!U318,Auxiliar!V318)</f>
        <v>49625</v>
      </c>
      <c r="U318" s="3">
        <v>11</v>
      </c>
      <c r="V318" s="3">
        <v>12</v>
      </c>
      <c r="W318" s="22">
        <f t="shared" si="27"/>
        <v>2</v>
      </c>
      <c r="X318" s="3">
        <f t="shared" si="28"/>
        <v>46</v>
      </c>
    </row>
    <row r="319" spans="19:24" x14ac:dyDescent="0.35">
      <c r="S319" s="3">
        <f t="shared" si="26"/>
        <v>46</v>
      </c>
      <c r="T319" s="7">
        <f>DATE('Gráfico Controle de Resultados'!$C$9,Auxiliar!U319,Auxiliar!V319)</f>
        <v>49626</v>
      </c>
      <c r="U319" s="3">
        <v>11</v>
      </c>
      <c r="V319" s="3">
        <v>13</v>
      </c>
      <c r="W319" s="22">
        <f t="shared" si="27"/>
        <v>3</v>
      </c>
      <c r="X319" s="3">
        <f t="shared" si="28"/>
        <v>46</v>
      </c>
    </row>
    <row r="320" spans="19:24" x14ac:dyDescent="0.35">
      <c r="S320" s="3">
        <f t="shared" si="26"/>
        <v>46</v>
      </c>
      <c r="T320" s="7">
        <f>DATE('Gráfico Controle de Resultados'!$C$9,Auxiliar!U320,Auxiliar!V320)</f>
        <v>49627</v>
      </c>
      <c r="U320" s="3">
        <v>11</v>
      </c>
      <c r="V320" s="3">
        <v>14</v>
      </c>
      <c r="W320" s="22">
        <f t="shared" si="27"/>
        <v>4</v>
      </c>
      <c r="X320" s="3">
        <f t="shared" si="28"/>
        <v>46</v>
      </c>
    </row>
    <row r="321" spans="19:24" x14ac:dyDescent="0.35">
      <c r="S321" s="3">
        <f t="shared" si="26"/>
        <v>46</v>
      </c>
      <c r="T321" s="7">
        <f>DATE('Gráfico Controle de Resultados'!$C$9,Auxiliar!U321,Auxiliar!V321)</f>
        <v>49628</v>
      </c>
      <c r="U321" s="3">
        <v>11</v>
      </c>
      <c r="V321" s="3">
        <v>15</v>
      </c>
      <c r="W321" s="22">
        <f t="shared" si="27"/>
        <v>5</v>
      </c>
      <c r="X321" s="3">
        <f t="shared" si="28"/>
        <v>46</v>
      </c>
    </row>
    <row r="322" spans="19:24" x14ac:dyDescent="0.35">
      <c r="S322" s="3">
        <f t="shared" si="26"/>
        <v>46</v>
      </c>
      <c r="T322" s="7">
        <f>DATE('Gráfico Controle de Resultados'!$C$9,Auxiliar!U322,Auxiliar!V322)</f>
        <v>49629</v>
      </c>
      <c r="U322" s="3">
        <v>11</v>
      </c>
      <c r="V322" s="3">
        <v>16</v>
      </c>
      <c r="W322" s="22">
        <f t="shared" si="27"/>
        <v>6</v>
      </c>
      <c r="X322" s="3">
        <f t="shared" si="28"/>
        <v>46</v>
      </c>
    </row>
    <row r="323" spans="19:24" x14ac:dyDescent="0.35">
      <c r="S323" s="3">
        <f t="shared" si="26"/>
        <v>46</v>
      </c>
      <c r="T323" s="7">
        <f>DATE('Gráfico Controle de Resultados'!$C$9,Auxiliar!U323,Auxiliar!V323)</f>
        <v>49630</v>
      </c>
      <c r="U323" s="3">
        <v>11</v>
      </c>
      <c r="V323" s="3">
        <v>17</v>
      </c>
      <c r="W323" s="22">
        <f t="shared" si="27"/>
        <v>7</v>
      </c>
      <c r="X323" s="3">
        <f t="shared" si="28"/>
        <v>46</v>
      </c>
    </row>
    <row r="324" spans="19:24" x14ac:dyDescent="0.35">
      <c r="S324" s="3">
        <f t="shared" ref="S324:S367" si="29">IF(W324=1,S323+1,S323)</f>
        <v>47</v>
      </c>
      <c r="T324" s="7">
        <f>DATE('Gráfico Controle de Resultados'!$C$9,Auxiliar!U324,Auxiliar!V324)</f>
        <v>49631</v>
      </c>
      <c r="U324" s="3">
        <v>11</v>
      </c>
      <c r="V324" s="3">
        <v>18</v>
      </c>
      <c r="W324" s="22">
        <f t="shared" ref="W324:W367" si="30">WEEKDAY(T324)</f>
        <v>1</v>
      </c>
      <c r="X324" s="3">
        <f t="shared" ref="X324:X367" si="31">S324</f>
        <v>47</v>
      </c>
    </row>
    <row r="325" spans="19:24" x14ac:dyDescent="0.35">
      <c r="S325" s="3">
        <f t="shared" si="29"/>
        <v>47</v>
      </c>
      <c r="T325" s="7">
        <f>DATE('Gráfico Controle de Resultados'!$C$9,Auxiliar!U325,Auxiliar!V325)</f>
        <v>49632</v>
      </c>
      <c r="U325" s="3">
        <v>11</v>
      </c>
      <c r="V325" s="3">
        <v>19</v>
      </c>
      <c r="W325" s="22">
        <f t="shared" si="30"/>
        <v>2</v>
      </c>
      <c r="X325" s="3">
        <f t="shared" si="31"/>
        <v>47</v>
      </c>
    </row>
    <row r="326" spans="19:24" x14ac:dyDescent="0.35">
      <c r="S326" s="3">
        <f t="shared" si="29"/>
        <v>47</v>
      </c>
      <c r="T326" s="7">
        <f>DATE('Gráfico Controle de Resultados'!$C$9,Auxiliar!U326,Auxiliar!V326)</f>
        <v>49633</v>
      </c>
      <c r="U326" s="3">
        <v>11</v>
      </c>
      <c r="V326" s="3">
        <v>20</v>
      </c>
      <c r="W326" s="22">
        <f t="shared" si="30"/>
        <v>3</v>
      </c>
      <c r="X326" s="3">
        <f t="shared" si="31"/>
        <v>47</v>
      </c>
    </row>
    <row r="327" spans="19:24" x14ac:dyDescent="0.35">
      <c r="S327" s="3">
        <f t="shared" si="29"/>
        <v>47</v>
      </c>
      <c r="T327" s="7">
        <f>DATE('Gráfico Controle de Resultados'!$C$9,Auxiliar!U327,Auxiliar!V327)</f>
        <v>49634</v>
      </c>
      <c r="U327" s="3">
        <v>11</v>
      </c>
      <c r="V327" s="3">
        <v>21</v>
      </c>
      <c r="W327" s="22">
        <f t="shared" si="30"/>
        <v>4</v>
      </c>
      <c r="X327" s="3">
        <f t="shared" si="31"/>
        <v>47</v>
      </c>
    </row>
    <row r="328" spans="19:24" x14ac:dyDescent="0.35">
      <c r="S328" s="3">
        <f t="shared" si="29"/>
        <v>47</v>
      </c>
      <c r="T328" s="7">
        <f>DATE('Gráfico Controle de Resultados'!$C$9,Auxiliar!U328,Auxiliar!V328)</f>
        <v>49635</v>
      </c>
      <c r="U328" s="3">
        <v>11</v>
      </c>
      <c r="V328" s="3">
        <v>22</v>
      </c>
      <c r="W328" s="22">
        <f t="shared" si="30"/>
        <v>5</v>
      </c>
      <c r="X328" s="3">
        <f t="shared" si="31"/>
        <v>47</v>
      </c>
    </row>
    <row r="329" spans="19:24" x14ac:dyDescent="0.35">
      <c r="S329" s="3">
        <f t="shared" si="29"/>
        <v>47</v>
      </c>
      <c r="T329" s="7">
        <f>DATE('Gráfico Controle de Resultados'!$C$9,Auxiliar!U329,Auxiliar!V329)</f>
        <v>49636</v>
      </c>
      <c r="U329" s="3">
        <v>11</v>
      </c>
      <c r="V329" s="3">
        <v>23</v>
      </c>
      <c r="W329" s="22">
        <f t="shared" si="30"/>
        <v>6</v>
      </c>
      <c r="X329" s="3">
        <f t="shared" si="31"/>
        <v>47</v>
      </c>
    </row>
    <row r="330" spans="19:24" x14ac:dyDescent="0.35">
      <c r="S330" s="3">
        <f t="shared" si="29"/>
        <v>47</v>
      </c>
      <c r="T330" s="7">
        <f>DATE('Gráfico Controle de Resultados'!$C$9,Auxiliar!U330,Auxiliar!V330)</f>
        <v>49637</v>
      </c>
      <c r="U330" s="3">
        <v>11</v>
      </c>
      <c r="V330" s="3">
        <v>24</v>
      </c>
      <c r="W330" s="22">
        <f t="shared" si="30"/>
        <v>7</v>
      </c>
      <c r="X330" s="3">
        <f t="shared" si="31"/>
        <v>47</v>
      </c>
    </row>
    <row r="331" spans="19:24" x14ac:dyDescent="0.35">
      <c r="S331" s="3">
        <f t="shared" si="29"/>
        <v>48</v>
      </c>
      <c r="T331" s="7">
        <f>DATE('Gráfico Controle de Resultados'!$C$9,Auxiliar!U331,Auxiliar!V331)</f>
        <v>49638</v>
      </c>
      <c r="U331" s="3">
        <v>11</v>
      </c>
      <c r="V331" s="3">
        <v>25</v>
      </c>
      <c r="W331" s="22">
        <f t="shared" si="30"/>
        <v>1</v>
      </c>
      <c r="X331" s="3">
        <f t="shared" si="31"/>
        <v>48</v>
      </c>
    </row>
    <row r="332" spans="19:24" x14ac:dyDescent="0.35">
      <c r="S332" s="3">
        <f t="shared" si="29"/>
        <v>48</v>
      </c>
      <c r="T332" s="7">
        <f>DATE('Gráfico Controle de Resultados'!$C$9,Auxiliar!U332,Auxiliar!V332)</f>
        <v>49639</v>
      </c>
      <c r="U332" s="3">
        <v>11</v>
      </c>
      <c r="V332" s="3">
        <v>26</v>
      </c>
      <c r="W332" s="22">
        <f t="shared" si="30"/>
        <v>2</v>
      </c>
      <c r="X332" s="3">
        <f t="shared" si="31"/>
        <v>48</v>
      </c>
    </row>
    <row r="333" spans="19:24" x14ac:dyDescent="0.35">
      <c r="S333" s="3">
        <f t="shared" si="29"/>
        <v>48</v>
      </c>
      <c r="T333" s="7">
        <f>DATE('Gráfico Controle de Resultados'!$C$9,Auxiliar!U333,Auxiliar!V333)</f>
        <v>49640</v>
      </c>
      <c r="U333" s="3">
        <v>11</v>
      </c>
      <c r="V333" s="3">
        <v>27</v>
      </c>
      <c r="W333" s="22">
        <f t="shared" si="30"/>
        <v>3</v>
      </c>
      <c r="X333" s="3">
        <f t="shared" si="31"/>
        <v>48</v>
      </c>
    </row>
    <row r="334" spans="19:24" x14ac:dyDescent="0.35">
      <c r="S334" s="3">
        <f t="shared" si="29"/>
        <v>48</v>
      </c>
      <c r="T334" s="7">
        <f>DATE('Gráfico Controle de Resultados'!$C$9,Auxiliar!U334,Auxiliar!V334)</f>
        <v>49641</v>
      </c>
      <c r="U334" s="3">
        <v>11</v>
      </c>
      <c r="V334" s="3">
        <v>28</v>
      </c>
      <c r="W334" s="22">
        <f t="shared" si="30"/>
        <v>4</v>
      </c>
      <c r="X334" s="3">
        <f t="shared" si="31"/>
        <v>48</v>
      </c>
    </row>
    <row r="335" spans="19:24" x14ac:dyDescent="0.35">
      <c r="S335" s="3">
        <f t="shared" si="29"/>
        <v>48</v>
      </c>
      <c r="T335" s="7">
        <f>DATE('Gráfico Controle de Resultados'!$C$9,Auxiliar!U335,Auxiliar!V335)</f>
        <v>49642</v>
      </c>
      <c r="U335" s="3">
        <v>11</v>
      </c>
      <c r="V335" s="3">
        <v>29</v>
      </c>
      <c r="W335" s="22">
        <f t="shared" si="30"/>
        <v>5</v>
      </c>
      <c r="X335" s="3">
        <f t="shared" si="31"/>
        <v>48</v>
      </c>
    </row>
    <row r="336" spans="19:24" x14ac:dyDescent="0.35">
      <c r="S336" s="3">
        <f t="shared" si="29"/>
        <v>48</v>
      </c>
      <c r="T336" s="7">
        <f>DATE('Gráfico Controle de Resultados'!$C$9,Auxiliar!U336,Auxiliar!V336)</f>
        <v>49643</v>
      </c>
      <c r="U336" s="3">
        <v>11</v>
      </c>
      <c r="V336" s="3">
        <v>30</v>
      </c>
      <c r="W336" s="22">
        <f t="shared" si="30"/>
        <v>6</v>
      </c>
      <c r="X336" s="3">
        <f t="shared" si="31"/>
        <v>48</v>
      </c>
    </row>
    <row r="337" spans="19:24" x14ac:dyDescent="0.35">
      <c r="S337" s="3">
        <f t="shared" si="29"/>
        <v>48</v>
      </c>
      <c r="T337" s="7">
        <f>DATE('Gráfico Controle de Resultados'!$C$9,Auxiliar!U337,Auxiliar!V337)</f>
        <v>49644</v>
      </c>
      <c r="U337" s="3">
        <v>12</v>
      </c>
      <c r="V337" s="3">
        <v>1</v>
      </c>
      <c r="W337" s="22">
        <f t="shared" si="30"/>
        <v>7</v>
      </c>
      <c r="X337" s="3">
        <f t="shared" si="31"/>
        <v>48</v>
      </c>
    </row>
    <row r="338" spans="19:24" x14ac:dyDescent="0.35">
      <c r="S338" s="3">
        <f t="shared" si="29"/>
        <v>49</v>
      </c>
      <c r="T338" s="7">
        <f>DATE('Gráfico Controle de Resultados'!$C$9,Auxiliar!U338,Auxiliar!V338)</f>
        <v>49645</v>
      </c>
      <c r="U338" s="3">
        <v>12</v>
      </c>
      <c r="V338" s="3">
        <v>2</v>
      </c>
      <c r="W338" s="22">
        <f t="shared" si="30"/>
        <v>1</v>
      </c>
      <c r="X338" s="3">
        <f t="shared" si="31"/>
        <v>49</v>
      </c>
    </row>
    <row r="339" spans="19:24" x14ac:dyDescent="0.35">
      <c r="S339" s="3">
        <f t="shared" si="29"/>
        <v>49</v>
      </c>
      <c r="T339" s="7">
        <f>DATE('Gráfico Controle de Resultados'!$C$9,Auxiliar!U339,Auxiliar!V339)</f>
        <v>49646</v>
      </c>
      <c r="U339" s="3">
        <v>12</v>
      </c>
      <c r="V339" s="3">
        <v>3</v>
      </c>
      <c r="W339" s="22">
        <f t="shared" si="30"/>
        <v>2</v>
      </c>
      <c r="X339" s="3">
        <f t="shared" si="31"/>
        <v>49</v>
      </c>
    </row>
    <row r="340" spans="19:24" x14ac:dyDescent="0.35">
      <c r="S340" s="3">
        <f t="shared" si="29"/>
        <v>49</v>
      </c>
      <c r="T340" s="7">
        <f>DATE('Gráfico Controle de Resultados'!$C$9,Auxiliar!U340,Auxiliar!V340)</f>
        <v>49647</v>
      </c>
      <c r="U340" s="3">
        <v>12</v>
      </c>
      <c r="V340" s="3">
        <v>4</v>
      </c>
      <c r="W340" s="22">
        <f t="shared" si="30"/>
        <v>3</v>
      </c>
      <c r="X340" s="3">
        <f t="shared" si="31"/>
        <v>49</v>
      </c>
    </row>
    <row r="341" spans="19:24" x14ac:dyDescent="0.35">
      <c r="S341" s="3">
        <f t="shared" si="29"/>
        <v>49</v>
      </c>
      <c r="T341" s="7">
        <f>DATE('Gráfico Controle de Resultados'!$C$9,Auxiliar!U341,Auxiliar!V341)</f>
        <v>49648</v>
      </c>
      <c r="U341" s="3">
        <v>12</v>
      </c>
      <c r="V341" s="3">
        <v>5</v>
      </c>
      <c r="W341" s="22">
        <f t="shared" si="30"/>
        <v>4</v>
      </c>
      <c r="X341" s="3">
        <f t="shared" si="31"/>
        <v>49</v>
      </c>
    </row>
    <row r="342" spans="19:24" x14ac:dyDescent="0.35">
      <c r="S342" s="3">
        <f t="shared" si="29"/>
        <v>49</v>
      </c>
      <c r="T342" s="7">
        <f>DATE('Gráfico Controle de Resultados'!$C$9,Auxiliar!U342,Auxiliar!V342)</f>
        <v>49649</v>
      </c>
      <c r="U342" s="3">
        <v>12</v>
      </c>
      <c r="V342" s="3">
        <v>6</v>
      </c>
      <c r="W342" s="22">
        <f t="shared" si="30"/>
        <v>5</v>
      </c>
      <c r="X342" s="3">
        <f t="shared" si="31"/>
        <v>49</v>
      </c>
    </row>
    <row r="343" spans="19:24" x14ac:dyDescent="0.35">
      <c r="S343" s="3">
        <f t="shared" si="29"/>
        <v>49</v>
      </c>
      <c r="T343" s="7">
        <f>DATE('Gráfico Controle de Resultados'!$C$9,Auxiliar!U343,Auxiliar!V343)</f>
        <v>49650</v>
      </c>
      <c r="U343" s="3">
        <v>12</v>
      </c>
      <c r="V343" s="3">
        <v>7</v>
      </c>
      <c r="W343" s="22">
        <f t="shared" si="30"/>
        <v>6</v>
      </c>
      <c r="X343" s="3">
        <f t="shared" si="31"/>
        <v>49</v>
      </c>
    </row>
    <row r="344" spans="19:24" x14ac:dyDescent="0.35">
      <c r="S344" s="3">
        <f t="shared" si="29"/>
        <v>49</v>
      </c>
      <c r="T344" s="7">
        <f>DATE('Gráfico Controle de Resultados'!$C$9,Auxiliar!U344,Auxiliar!V344)</f>
        <v>49651</v>
      </c>
      <c r="U344" s="3">
        <v>12</v>
      </c>
      <c r="V344" s="3">
        <v>8</v>
      </c>
      <c r="W344" s="22">
        <f t="shared" si="30"/>
        <v>7</v>
      </c>
      <c r="X344" s="3">
        <f t="shared" si="31"/>
        <v>49</v>
      </c>
    </row>
    <row r="345" spans="19:24" x14ac:dyDescent="0.35">
      <c r="S345" s="3">
        <f t="shared" si="29"/>
        <v>50</v>
      </c>
      <c r="T345" s="7">
        <f>DATE('Gráfico Controle de Resultados'!$C$9,Auxiliar!U345,Auxiliar!V345)</f>
        <v>49652</v>
      </c>
      <c r="U345" s="3">
        <v>12</v>
      </c>
      <c r="V345" s="3">
        <v>9</v>
      </c>
      <c r="W345" s="22">
        <f t="shared" si="30"/>
        <v>1</v>
      </c>
      <c r="X345" s="3">
        <f t="shared" si="31"/>
        <v>50</v>
      </c>
    </row>
    <row r="346" spans="19:24" x14ac:dyDescent="0.35">
      <c r="S346" s="3">
        <f t="shared" si="29"/>
        <v>50</v>
      </c>
      <c r="T346" s="7">
        <f>DATE('Gráfico Controle de Resultados'!$C$9,Auxiliar!U346,Auxiliar!V346)</f>
        <v>49653</v>
      </c>
      <c r="U346" s="3">
        <v>12</v>
      </c>
      <c r="V346" s="3">
        <v>10</v>
      </c>
      <c r="W346" s="22">
        <f t="shared" si="30"/>
        <v>2</v>
      </c>
      <c r="X346" s="3">
        <f t="shared" si="31"/>
        <v>50</v>
      </c>
    </row>
    <row r="347" spans="19:24" x14ac:dyDescent="0.35">
      <c r="S347" s="3">
        <f t="shared" si="29"/>
        <v>50</v>
      </c>
      <c r="T347" s="7">
        <f>DATE('Gráfico Controle de Resultados'!$C$9,Auxiliar!U347,Auxiliar!V347)</f>
        <v>49654</v>
      </c>
      <c r="U347" s="3">
        <v>12</v>
      </c>
      <c r="V347" s="3">
        <v>11</v>
      </c>
      <c r="W347" s="22">
        <f t="shared" si="30"/>
        <v>3</v>
      </c>
      <c r="X347" s="3">
        <f t="shared" si="31"/>
        <v>50</v>
      </c>
    </row>
    <row r="348" spans="19:24" x14ac:dyDescent="0.35">
      <c r="S348" s="3">
        <f t="shared" si="29"/>
        <v>50</v>
      </c>
      <c r="T348" s="7">
        <f>DATE('Gráfico Controle de Resultados'!$C$9,Auxiliar!U348,Auxiliar!V348)</f>
        <v>49655</v>
      </c>
      <c r="U348" s="3">
        <v>12</v>
      </c>
      <c r="V348" s="3">
        <v>12</v>
      </c>
      <c r="W348" s="22">
        <f t="shared" si="30"/>
        <v>4</v>
      </c>
      <c r="X348" s="3">
        <f t="shared" si="31"/>
        <v>50</v>
      </c>
    </row>
    <row r="349" spans="19:24" x14ac:dyDescent="0.35">
      <c r="S349" s="3">
        <f t="shared" si="29"/>
        <v>50</v>
      </c>
      <c r="T349" s="7">
        <f>DATE('Gráfico Controle de Resultados'!$C$9,Auxiliar!U349,Auxiliar!V349)</f>
        <v>49656</v>
      </c>
      <c r="U349" s="3">
        <v>12</v>
      </c>
      <c r="V349" s="3">
        <v>13</v>
      </c>
      <c r="W349" s="22">
        <f t="shared" si="30"/>
        <v>5</v>
      </c>
      <c r="X349" s="3">
        <f t="shared" si="31"/>
        <v>50</v>
      </c>
    </row>
    <row r="350" spans="19:24" x14ac:dyDescent="0.35">
      <c r="S350" s="3">
        <f t="shared" si="29"/>
        <v>50</v>
      </c>
      <c r="T350" s="7">
        <f>DATE('Gráfico Controle de Resultados'!$C$9,Auxiliar!U350,Auxiliar!V350)</f>
        <v>49657</v>
      </c>
      <c r="U350" s="3">
        <v>12</v>
      </c>
      <c r="V350" s="3">
        <v>14</v>
      </c>
      <c r="W350" s="22">
        <f t="shared" si="30"/>
        <v>6</v>
      </c>
      <c r="X350" s="3">
        <f t="shared" si="31"/>
        <v>50</v>
      </c>
    </row>
    <row r="351" spans="19:24" x14ac:dyDescent="0.35">
      <c r="S351" s="3">
        <f t="shared" si="29"/>
        <v>50</v>
      </c>
      <c r="T351" s="7">
        <f>DATE('Gráfico Controle de Resultados'!$C$9,Auxiliar!U351,Auxiliar!V351)</f>
        <v>49658</v>
      </c>
      <c r="U351" s="3">
        <v>12</v>
      </c>
      <c r="V351" s="3">
        <v>15</v>
      </c>
      <c r="W351" s="22">
        <f t="shared" si="30"/>
        <v>7</v>
      </c>
      <c r="X351" s="3">
        <f t="shared" si="31"/>
        <v>50</v>
      </c>
    </row>
    <row r="352" spans="19:24" x14ac:dyDescent="0.35">
      <c r="S352" s="3">
        <f t="shared" si="29"/>
        <v>51</v>
      </c>
      <c r="T352" s="7">
        <f>DATE('Gráfico Controle de Resultados'!$C$9,Auxiliar!U352,Auxiliar!V352)</f>
        <v>49659</v>
      </c>
      <c r="U352" s="3">
        <v>12</v>
      </c>
      <c r="V352" s="3">
        <v>16</v>
      </c>
      <c r="W352" s="22">
        <f t="shared" si="30"/>
        <v>1</v>
      </c>
      <c r="X352" s="3">
        <f t="shared" si="31"/>
        <v>51</v>
      </c>
    </row>
    <row r="353" spans="19:24" x14ac:dyDescent="0.35">
      <c r="S353" s="3">
        <f t="shared" si="29"/>
        <v>51</v>
      </c>
      <c r="T353" s="7">
        <f>DATE('Gráfico Controle de Resultados'!$C$9,Auxiliar!U353,Auxiliar!V353)</f>
        <v>49660</v>
      </c>
      <c r="U353" s="3">
        <v>12</v>
      </c>
      <c r="V353" s="3">
        <v>17</v>
      </c>
      <c r="W353" s="22">
        <f t="shared" si="30"/>
        <v>2</v>
      </c>
      <c r="X353" s="3">
        <f t="shared" si="31"/>
        <v>51</v>
      </c>
    </row>
    <row r="354" spans="19:24" x14ac:dyDescent="0.35">
      <c r="S354" s="3">
        <f t="shared" si="29"/>
        <v>51</v>
      </c>
      <c r="T354" s="7">
        <f>DATE('Gráfico Controle de Resultados'!$C$9,Auxiliar!U354,Auxiliar!V354)</f>
        <v>49661</v>
      </c>
      <c r="U354" s="3">
        <v>12</v>
      </c>
      <c r="V354" s="3">
        <v>18</v>
      </c>
      <c r="W354" s="22">
        <f t="shared" si="30"/>
        <v>3</v>
      </c>
      <c r="X354" s="3">
        <f t="shared" si="31"/>
        <v>51</v>
      </c>
    </row>
    <row r="355" spans="19:24" x14ac:dyDescent="0.35">
      <c r="S355" s="3">
        <f t="shared" si="29"/>
        <v>51</v>
      </c>
      <c r="T355" s="7">
        <f>DATE('Gráfico Controle de Resultados'!$C$9,Auxiliar!U355,Auxiliar!V355)</f>
        <v>49662</v>
      </c>
      <c r="U355" s="3">
        <v>12</v>
      </c>
      <c r="V355" s="3">
        <v>19</v>
      </c>
      <c r="W355" s="22">
        <f t="shared" si="30"/>
        <v>4</v>
      </c>
      <c r="X355" s="3">
        <f t="shared" si="31"/>
        <v>51</v>
      </c>
    </row>
    <row r="356" spans="19:24" x14ac:dyDescent="0.35">
      <c r="S356" s="3">
        <f t="shared" si="29"/>
        <v>51</v>
      </c>
      <c r="T356" s="7">
        <f>DATE('Gráfico Controle de Resultados'!$C$9,Auxiliar!U356,Auxiliar!V356)</f>
        <v>49663</v>
      </c>
      <c r="U356" s="3">
        <v>12</v>
      </c>
      <c r="V356" s="3">
        <v>20</v>
      </c>
      <c r="W356" s="22">
        <f t="shared" si="30"/>
        <v>5</v>
      </c>
      <c r="X356" s="3">
        <f t="shared" si="31"/>
        <v>51</v>
      </c>
    </row>
    <row r="357" spans="19:24" x14ac:dyDescent="0.35">
      <c r="S357" s="3">
        <f t="shared" si="29"/>
        <v>51</v>
      </c>
      <c r="T357" s="7">
        <f>DATE('Gráfico Controle de Resultados'!$C$9,Auxiliar!U357,Auxiliar!V357)</f>
        <v>49664</v>
      </c>
      <c r="U357" s="3">
        <v>12</v>
      </c>
      <c r="V357" s="3">
        <v>21</v>
      </c>
      <c r="W357" s="22">
        <f t="shared" si="30"/>
        <v>6</v>
      </c>
      <c r="X357" s="3">
        <f t="shared" si="31"/>
        <v>51</v>
      </c>
    </row>
    <row r="358" spans="19:24" x14ac:dyDescent="0.35">
      <c r="S358" s="3">
        <f t="shared" si="29"/>
        <v>51</v>
      </c>
      <c r="T358" s="7">
        <f>DATE('Gráfico Controle de Resultados'!$C$9,Auxiliar!U358,Auxiliar!V358)</f>
        <v>49665</v>
      </c>
      <c r="U358" s="3">
        <v>12</v>
      </c>
      <c r="V358" s="3">
        <v>22</v>
      </c>
      <c r="W358" s="22">
        <f t="shared" si="30"/>
        <v>7</v>
      </c>
      <c r="X358" s="3">
        <f t="shared" si="31"/>
        <v>51</v>
      </c>
    </row>
    <row r="359" spans="19:24" x14ac:dyDescent="0.35">
      <c r="S359" s="3">
        <f t="shared" si="29"/>
        <v>52</v>
      </c>
      <c r="T359" s="7">
        <f>DATE('Gráfico Controle de Resultados'!$C$9,Auxiliar!U359,Auxiliar!V359)</f>
        <v>49666</v>
      </c>
      <c r="U359" s="3">
        <v>12</v>
      </c>
      <c r="V359" s="3">
        <v>23</v>
      </c>
      <c r="W359" s="22">
        <f t="shared" si="30"/>
        <v>1</v>
      </c>
      <c r="X359" s="3">
        <f t="shared" si="31"/>
        <v>52</v>
      </c>
    </row>
    <row r="360" spans="19:24" x14ac:dyDescent="0.35">
      <c r="S360" s="3">
        <f t="shared" si="29"/>
        <v>52</v>
      </c>
      <c r="T360" s="7">
        <f>DATE('Gráfico Controle de Resultados'!$C$9,Auxiliar!U360,Auxiliar!V360)</f>
        <v>49667</v>
      </c>
      <c r="U360" s="3">
        <v>12</v>
      </c>
      <c r="V360" s="3">
        <v>24</v>
      </c>
      <c r="W360" s="22">
        <f t="shared" si="30"/>
        <v>2</v>
      </c>
      <c r="X360" s="3">
        <f t="shared" si="31"/>
        <v>52</v>
      </c>
    </row>
    <row r="361" spans="19:24" x14ac:dyDescent="0.35">
      <c r="S361" s="3">
        <f t="shared" si="29"/>
        <v>52</v>
      </c>
      <c r="T361" s="7">
        <f>DATE('Gráfico Controle de Resultados'!$C$9,Auxiliar!U361,Auxiliar!V361)</f>
        <v>49668</v>
      </c>
      <c r="U361" s="3">
        <v>12</v>
      </c>
      <c r="V361" s="3">
        <v>25</v>
      </c>
      <c r="W361" s="22">
        <f t="shared" si="30"/>
        <v>3</v>
      </c>
      <c r="X361" s="3">
        <f t="shared" si="31"/>
        <v>52</v>
      </c>
    </row>
    <row r="362" spans="19:24" x14ac:dyDescent="0.35">
      <c r="S362" s="3">
        <f t="shared" si="29"/>
        <v>52</v>
      </c>
      <c r="T362" s="7">
        <f>DATE('Gráfico Controle de Resultados'!$C$9,Auxiliar!U362,Auxiliar!V362)</f>
        <v>49669</v>
      </c>
      <c r="U362" s="3">
        <v>12</v>
      </c>
      <c r="V362" s="3">
        <v>26</v>
      </c>
      <c r="W362" s="22">
        <f t="shared" si="30"/>
        <v>4</v>
      </c>
      <c r="X362" s="3">
        <f t="shared" si="31"/>
        <v>52</v>
      </c>
    </row>
    <row r="363" spans="19:24" x14ac:dyDescent="0.35">
      <c r="S363" s="3">
        <f t="shared" si="29"/>
        <v>52</v>
      </c>
      <c r="T363" s="7">
        <f>DATE('Gráfico Controle de Resultados'!$C$9,Auxiliar!U363,Auxiliar!V363)</f>
        <v>49670</v>
      </c>
      <c r="U363" s="3">
        <v>12</v>
      </c>
      <c r="V363" s="3">
        <v>27</v>
      </c>
      <c r="W363" s="22">
        <f t="shared" si="30"/>
        <v>5</v>
      </c>
      <c r="X363" s="3">
        <f t="shared" si="31"/>
        <v>52</v>
      </c>
    </row>
    <row r="364" spans="19:24" x14ac:dyDescent="0.35">
      <c r="S364" s="3">
        <f t="shared" si="29"/>
        <v>52</v>
      </c>
      <c r="T364" s="7">
        <f>DATE('Gráfico Controle de Resultados'!$C$9,Auxiliar!U364,Auxiliar!V364)</f>
        <v>49671</v>
      </c>
      <c r="U364" s="3">
        <v>12</v>
      </c>
      <c r="V364" s="3">
        <v>28</v>
      </c>
      <c r="W364" s="22">
        <f t="shared" si="30"/>
        <v>6</v>
      </c>
      <c r="X364" s="3">
        <f t="shared" si="31"/>
        <v>52</v>
      </c>
    </row>
    <row r="365" spans="19:24" x14ac:dyDescent="0.35">
      <c r="S365" s="3">
        <f t="shared" si="29"/>
        <v>52</v>
      </c>
      <c r="T365" s="7">
        <f>DATE('Gráfico Controle de Resultados'!$C$9,Auxiliar!U365,Auxiliar!V365)</f>
        <v>49672</v>
      </c>
      <c r="U365" s="3">
        <v>12</v>
      </c>
      <c r="V365" s="3">
        <v>29</v>
      </c>
      <c r="W365" s="22">
        <f t="shared" si="30"/>
        <v>7</v>
      </c>
      <c r="X365" s="3">
        <f t="shared" si="31"/>
        <v>52</v>
      </c>
    </row>
    <row r="366" spans="19:24" x14ac:dyDescent="0.35">
      <c r="S366" s="3">
        <f t="shared" si="29"/>
        <v>53</v>
      </c>
      <c r="T366" s="7">
        <f>DATE('Gráfico Controle de Resultados'!$C$9,Auxiliar!U366,Auxiliar!V366)</f>
        <v>49673</v>
      </c>
      <c r="U366" s="3">
        <v>12</v>
      </c>
      <c r="V366" s="3">
        <v>30</v>
      </c>
      <c r="W366" s="22">
        <f t="shared" si="30"/>
        <v>1</v>
      </c>
      <c r="X366" s="3">
        <f t="shared" si="31"/>
        <v>53</v>
      </c>
    </row>
    <row r="367" spans="19:24" x14ac:dyDescent="0.35">
      <c r="S367" s="3">
        <f t="shared" si="29"/>
        <v>53</v>
      </c>
      <c r="T367" s="7">
        <f>DATE('Gráfico Controle de Resultados'!$C$9,Auxiliar!U367,Auxiliar!V367)</f>
        <v>49674</v>
      </c>
      <c r="U367" s="3">
        <v>12</v>
      </c>
      <c r="V367" s="3">
        <v>31</v>
      </c>
      <c r="W367" s="22">
        <f t="shared" si="30"/>
        <v>2</v>
      </c>
      <c r="X367" s="3">
        <f t="shared" si="31"/>
        <v>53</v>
      </c>
    </row>
    <row r="1048576" spans="50:50" x14ac:dyDescent="0.35">
      <c r="AX1048576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Gráfico Controle de Resultados</vt:lpstr>
      <vt:lpstr>Realizado Jan35</vt:lpstr>
      <vt:lpstr>Realizado Fev35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Machado</dc:creator>
  <cp:lastModifiedBy>Machado</cp:lastModifiedBy>
  <cp:lastPrinted>2020-09-17T22:05:49Z</cp:lastPrinted>
  <dcterms:created xsi:type="dcterms:W3CDTF">2015-06-05T18:17:20Z</dcterms:created>
  <dcterms:modified xsi:type="dcterms:W3CDTF">2025-12-15T19:35:36Z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b979ee7c-ce9a-4312-8374-90064c25f9ae</vt:lpwstr>
  </property>
</Properties>
</file>