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279" documentId="13_ncr:1_{0BEF2D83-7ABD-46F0-BE32-924C34AFB25C}" xr6:coauthVersionLast="47" xr6:coauthVersionMax="47" xr10:uidLastSave="{65ECC2FB-832B-48C9-A68A-0A18F9A8FB04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Realizado Fev35" sheetId="9" r:id="rId3"/>
    <sheet name="Auxiliar" sheetId="7" state="hidden" r:id="rId4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9" l="1"/>
  <c r="D5" i="8" l="1"/>
  <c r="AE35" i="6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AA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Braga Machado</author>
  </authors>
  <commentList>
    <comment ref="S7" authorId="0" shapeId="0" xr:uid="{EDE0AFF7-DD56-4896-9939-BFD6B6EA1871}">
      <text>
        <r>
          <rPr>
            <b/>
            <sz val="9"/>
            <color indexed="81"/>
            <rFont val="Segoe UI"/>
            <family val="2"/>
          </rPr>
          <t>Felipe Tavarnaro:</t>
        </r>
        <r>
          <rPr>
            <sz val="9"/>
            <color indexed="81"/>
            <rFont val="Segoe UI"/>
            <family val="2"/>
          </rPr>
          <t xml:space="preserve">
Preciso de auxílio da gerência para agilizar o processo. Número de condenações é elevado e as descobertas são valiosas (afetarão diretamente as defesas dos próximos meses).</t>
        </r>
      </text>
    </comment>
    <comment ref="S8" authorId="0" shapeId="0" xr:uid="{18214C2E-8D6F-49B1-B1CD-EA6C1CD3C3A1}">
      <text>
        <r>
          <rPr>
            <b/>
            <sz val="9"/>
            <color indexed="81"/>
            <rFont val="Segoe UI"/>
            <family val="2"/>
          </rPr>
          <t>Felipe Tavarnaro:</t>
        </r>
        <r>
          <rPr>
            <sz val="9"/>
            <color indexed="81"/>
            <rFont val="Segoe UI"/>
            <family val="2"/>
          </rPr>
          <t xml:space="preserve">
Idem!</t>
        </r>
      </text>
    </comment>
    <comment ref="S9" authorId="0" shapeId="0" xr:uid="{459A1E41-022D-47C0-8F77-AB229C137698}">
      <text>
        <r>
          <rPr>
            <b/>
            <sz val="9"/>
            <color indexed="81"/>
            <rFont val="Segoe UI"/>
            <family val="2"/>
          </rPr>
          <t>Felipe Tavarnaro:</t>
        </r>
        <r>
          <rPr>
            <sz val="9"/>
            <color indexed="81"/>
            <rFont val="Segoe UI"/>
            <family val="2"/>
          </rPr>
          <t xml:space="preserve">
Idem!</t>
        </r>
      </text>
    </comment>
    <comment ref="S13" authorId="0" shapeId="0" xr:uid="{E8788082-71FD-450D-9237-0A616A9144CA}">
      <text>
        <r>
          <rPr>
            <b/>
            <sz val="9"/>
            <color indexed="81"/>
            <rFont val="Segoe UI"/>
            <family val="2"/>
          </rPr>
          <t>Andressa Louveira:</t>
        </r>
        <r>
          <rPr>
            <sz val="9"/>
            <color indexed="81"/>
            <rFont val="Segoe UI"/>
            <family val="2"/>
          </rPr>
          <t xml:space="preserve">
Alinhar com a gerência que a Mari me auxilie. O número de tópicos a serem levantados exige tempo e detalhamentos.</t>
        </r>
      </text>
    </comment>
    <comment ref="S14" authorId="0" shapeId="0" xr:uid="{90A335DB-FC6C-4DA8-B3D5-6B011022CAD6}">
      <text>
        <r>
          <rPr>
            <b/>
            <sz val="9"/>
            <color indexed="81"/>
            <rFont val="Segoe UI"/>
            <family val="2"/>
          </rPr>
          <t xml:space="preserve">Andressa Louveira:
</t>
        </r>
        <r>
          <rPr>
            <sz val="9"/>
            <color indexed="81"/>
            <rFont val="Segoe UI"/>
            <family val="2"/>
          </rPr>
          <t>Idem!</t>
        </r>
      </text>
    </comment>
    <comment ref="S15" authorId="0" shapeId="0" xr:uid="{97F8AE17-385A-40C2-ACB3-E5F4990096FD}">
      <text>
        <r>
          <rPr>
            <b/>
            <sz val="9"/>
            <color indexed="81"/>
            <rFont val="Segoe UI"/>
            <family val="2"/>
          </rPr>
          <t xml:space="preserve">Andressa Louveira:
</t>
        </r>
        <r>
          <rPr>
            <sz val="9"/>
            <color indexed="81"/>
            <rFont val="Segoe UI"/>
            <family val="2"/>
          </rPr>
          <t>Idem!</t>
        </r>
      </text>
    </comment>
    <comment ref="S17" authorId="0" shapeId="0" xr:uid="{0BCBED8A-26C4-44D2-B987-65CB052A6F66}">
      <text>
        <r>
          <rPr>
            <b/>
            <sz val="9"/>
            <color indexed="81"/>
            <rFont val="Segoe UI"/>
            <family val="2"/>
          </rPr>
          <t xml:space="preserve">James Henrique Pereira: 
</t>
        </r>
        <r>
          <rPr>
            <sz val="9"/>
            <color indexed="81"/>
            <rFont val="Segoe UI"/>
            <family val="2"/>
          </rPr>
          <t>Preciso de acesso às bases de dados do CRM específicas (processos de Horas Extras).</t>
        </r>
      </text>
    </comment>
    <comment ref="S18" authorId="0" shapeId="0" xr:uid="{60380D13-57C0-4640-AE8F-7E76B1499404}">
      <text>
        <r>
          <rPr>
            <b/>
            <sz val="9"/>
            <color indexed="81"/>
            <rFont val="Segoe UI"/>
            <family val="2"/>
          </rPr>
          <t xml:space="preserve">James Henrique Pereira: </t>
        </r>
        <r>
          <rPr>
            <sz val="9"/>
            <color indexed="81"/>
            <rFont val="Segoe UI"/>
            <family val="2"/>
          </rPr>
          <t xml:space="preserve">
Preciso de acesso às bases de dados do CRM específicas (processos de Desvio de Função).</t>
        </r>
      </text>
    </comment>
    <comment ref="S19" authorId="0" shapeId="0" xr:uid="{C30F67A7-19EB-423E-B53B-19D335C08677}">
      <text>
        <r>
          <rPr>
            <b/>
            <sz val="9"/>
            <color indexed="81"/>
            <rFont val="Segoe UI"/>
            <family val="2"/>
          </rPr>
          <t>James Henrique Pereira:</t>
        </r>
        <r>
          <rPr>
            <sz val="9"/>
            <color indexed="81"/>
            <rFont val="Segoe UI"/>
            <family val="2"/>
          </rPr>
          <t xml:space="preserve">
Preciso de auxílio do João (gerente jurídico). Joyce remarcou pela terceira vez ontem. Ação crítica!</t>
        </r>
      </text>
    </comment>
    <comment ref="S23" authorId="0" shapeId="0" xr:uid="{EA677959-B8C1-4462-8E5A-8E7FAF734F41}">
      <text>
        <r>
          <rPr>
            <b/>
            <sz val="9"/>
            <color indexed="81"/>
            <rFont val="Segoe UI"/>
            <family val="2"/>
          </rPr>
          <t xml:space="preserve">Mariana Duarte:
</t>
        </r>
        <r>
          <rPr>
            <sz val="9"/>
            <color indexed="81"/>
            <rFont val="Segoe UI"/>
            <family val="2"/>
          </rPr>
          <t>Alinhar com a gerência para eu auxiliar a Andressa na montagem do Padrão. Pontos já estão delineados.</t>
        </r>
      </text>
    </comment>
    <comment ref="S24" authorId="0" shapeId="0" xr:uid="{1B354675-E6CA-458D-BBAD-C9019B0819FE}">
      <text>
        <r>
          <rPr>
            <b/>
            <sz val="9"/>
            <color indexed="81"/>
            <rFont val="Segoe UI"/>
            <family val="2"/>
          </rPr>
          <t>Mariana Duarte:</t>
        </r>
        <r>
          <rPr>
            <sz val="9"/>
            <color indexed="81"/>
            <rFont val="Segoe UI"/>
            <family val="2"/>
          </rPr>
          <t xml:space="preserve">
Idem!</t>
        </r>
      </text>
    </comment>
  </commentList>
</comments>
</file>

<file path=xl/sharedStrings.xml><?xml version="1.0" encoding="utf-8"?>
<sst xmlns="http://schemas.openxmlformats.org/spreadsheetml/2006/main" count="173" uniqueCount="117">
  <si>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</si>
  <si>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</si>
  <si>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</si>
  <si>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</si>
  <si>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</si>
  <si>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</si>
  <si>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</si>
  <si>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</si>
  <si>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</si>
  <si>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</si>
  <si>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</si>
  <si>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</si>
  <si>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</si>
  <si>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</si>
  <si>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</si>
  <si>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</si>
  <si>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</si>
  <si>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</si>
  <si>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</si>
  <si>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</si>
  <si>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</si>
  <si>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</si>
  <si>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</si>
  <si>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</si>
  <si>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</si>
  <si>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</si>
  <si>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</si>
  <si>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</si>
  <si>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</si>
  <si>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</si>
  <si>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</si>
  <si>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</si>
  <si>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</si>
  <si>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</si>
  <si>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</si>
  <si>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</si>
  <si>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</si>
  <si>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</si>
  <si>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</si>
  <si>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</si>
  <si>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</si>
  <si>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</si>
  <si>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</si>
  <si>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</si>
  <si>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</si>
  <si>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</si>
  <si>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</si>
  <si>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</si>
  <si>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</si>
  <si>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</si>
  <si>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</si>
  <si>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</si>
  <si>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</si>
  <si>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</si>
  <si>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</si>
  <si>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</si>
  <si>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</si>
  <si>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</si>
  <si>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</si>
  <si>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</si>
  <si>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</si>
  <si>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</si>
  <si>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</si>
  <si>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</si>
  <si>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</si>
  <si>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</si>
  <si>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</si>
  <si>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</si>
  <si>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</si>
  <si>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</si>
  <si>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</si>
  <si>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</si>
  <si>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</si>
  <si>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</si>
  <si>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</si>
  <si>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</si>
  <si>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</si>
  <si>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</si>
  <si>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</si>
  <si>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</si>
  <si>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</si>
  <si>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Valor Médio Indezinado</t>
  </si>
  <si>
    <t>Valor Total das Indenizações / Núm. Processos Trabalhistas Recebidos</t>
  </si>
  <si>
    <t>2035</t>
  </si>
  <si>
    <t>jan</t>
  </si>
  <si>
    <t>Anos (Data Execução)</t>
  </si>
  <si>
    <t>Meses (Data Execução)</t>
  </si>
  <si>
    <t>Contagem de Valor Execução</t>
  </si>
  <si>
    <t>Soma de Valor Execução</t>
  </si>
  <si>
    <t>Semana 5: de 28/jan/2035 a 03/fev/2035</t>
  </si>
  <si>
    <t>Treinar o Felipe (coordenador) em PDCA (Análises e Planos de Ação).</t>
  </si>
  <si>
    <t>João Ribas (Gerente)</t>
  </si>
  <si>
    <t>fev</t>
  </si>
  <si>
    <t>Felipe Tavarnaro (Coordenador)</t>
  </si>
  <si>
    <t>Revisar o histórico de condenações da vara 0007, para encontrar principais jurisprudências e vieses da acusação e das decisões, que possam afetar diretamente as defesas montadas pelo departamento.</t>
  </si>
  <si>
    <t>Revisar o histórico de condenações da vara 0008, para encontrar principais jurisprudências e vieses da acusação e das decisões, que possam afetar diretamente as defesas montadas pelo departamento.</t>
  </si>
  <si>
    <t>Revisar o histórico de condenações da vara 0012, para encontrar principais jurisprudências e vieses da acusação e das decisões, que possam afetar diretamente as defesas montadas pelo departamento.</t>
  </si>
  <si>
    <t>Revisar o histórico de condenações da vara 0015, para encontrar principais jurisprudências e vieses da acusação e das decisões, que possam afetar diretamente as defesas montadas pelo departamento.</t>
  </si>
  <si>
    <t>Andressa Louveira (Advogada Sênior)</t>
  </si>
  <si>
    <t>James Henrique Pereira (Analista)</t>
  </si>
  <si>
    <t>Alinhar com a Joyce (Ger. RH) o ajuste / revisão salarial de todos os funcionários em mesmos cargos para evitar rescisórias de "Equiparação Salarial".</t>
  </si>
  <si>
    <t>Mariana Duarte (Analista)</t>
  </si>
  <si>
    <t>Montar "curso relâmpago" e repassar aos gerentes gerais (das regionais) e aos gerentes de loja sobre principais tipos de reclamações trabalhistas, valores de indenizações e boas práticas para evitar reclamatórias.</t>
  </si>
  <si>
    <t>Montar "curso relâmpago" e repassar aos gerentes gerais (das regionais) e aos gerentes de loja sobre "Horas Extras, Excesso de Jornada e Intervalos Não Concedidos".</t>
  </si>
  <si>
    <t>Montar "curso relâmpago" e repassar aos gerentes gerais (das regionais) e aos gerentes de loja sobre "Desvio / Acúmulo de Função".</t>
  </si>
  <si>
    <t>Montar um Padrão Metodológico (Checklist) com os principais pontos de defesa para o tipo de reclamação (assunto principal) "Desvio / Acúmulo de Função".</t>
  </si>
  <si>
    <t>Montar um Padrão Metodológico (Checklist) com os principais pontos de defesa para o tipo de reclamação (assunto principal) "Equiparação Salarial".</t>
  </si>
  <si>
    <t>Montar um Padrão Metodológico (Checklist) com os principais pontos de defesa para o tipo de reclamação (assunto principal) "Rescisão Indireta (Falta Grave Empregador)".</t>
  </si>
  <si>
    <t>Montar um Padrão Metodológico (Checklist) com os principais pontos de defesa para o tipo de reclamação (assunto principal) "Danos Morais (Assédio, Condições Degradantes, Revista Vexatória)".</t>
  </si>
  <si>
    <t>Montar um Padrão Metodológico (Checklist) com os principais pontos de defesa para o tipo de reclamação (assunto principal) "Estabilidade Provisória (gestante e acidente de trabalho)".</t>
  </si>
  <si>
    <t>Montar um Padrão Metodológico (Checklist) com os principais pontos de defesa para o tipo de reclamação (assunto principal) "Horas Extras (excesso de jornada, intervalos não concedidos)".</t>
  </si>
  <si>
    <t>Revisar somente as condenações acima de R$100.000 referentes a "Desvio / Acúmulo de Função" para refinar o Padrão Metodológico (Checklist) criado pela Andressa.</t>
  </si>
  <si>
    <t>Revisar somente as condenações acima de R$100.000 referentes a "Equiparação Salarial" para refinar o Padrão Metodológico (Checklist) criado pela Andressa.</t>
  </si>
  <si>
    <t>Revisar somente as condenações acima de R$100.000 referentes a "Rescisão Indireta (Falta Grave Empregador)" para refinar o Padrão Metodológico (Checklist) criado pela Andressa.</t>
  </si>
  <si>
    <t>Revisar somente as condenações acima de R$100.000 referentes a "Danos Morais (Assédio, Condições Degradantes, Revista Vexatória)" para refinar o Padrão Metodológico (Checklist) criado pela Andressa.</t>
  </si>
  <si>
    <t>Revisar somente as condenações acima de R$100.000 referentes a "Estabilidade Provisória (gestante e acidente de trabalho)" para refinar o Padrão Metodológico (Checklist) criado pela Andressa.</t>
  </si>
  <si>
    <t>Revisar somente as condenações acima de R$100.000 referentes a "Horas Extras (excesso de jornada, intervalos não concedidos)" para refinar o Padrão Metodológico (Checklist) criado pela Andressa.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</si>
</sst>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mmmyy"/>
    <numFmt numFmtId="166" formatCode="[$-416]dd/mmm/yyyy"/>
    <numFmt numFmtId="167" formatCode="0.0%"/>
    <numFmt numFmtId="168" formatCode="&quot;R$&quot;\ #,##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168" fontId="0" fillId="0" borderId="0" xfId="0" applyNumberFormat="1"/>
    <xf numFmtId="0" fontId="0" fillId="2" borderId="1" xfId="0" applyFill="1" applyBorder="1"/>
    <xf numFmtId="166" fontId="8" fillId="2" borderId="1" xfId="0" applyNumberFormat="1" applyFont="1" applyFill="1" applyBorder="1" applyAlignment="1">
      <alignment horizontal="center"/>
    </xf>
    <xf numFmtId="0" fontId="0" fillId="5" borderId="0" xfId="0" applyFill="1"/>
    <xf numFmtId="0" fontId="9" fillId="5" borderId="0" xfId="0" applyFont="1" applyFill="1"/>
    <xf numFmtId="0" fontId="0" fillId="6" borderId="1" xfId="0" applyFill="1" applyBorder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37721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39433.454081632655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</c:formatCode>
                <c:ptCount val="12"/>
                <c:pt idx="0">
                  <c:v>37998.188775510207</c:v>
                </c:pt>
                <c:pt idx="1">
                  <c:v>37998.188775510207</c:v>
                </c:pt>
                <c:pt idx="2">
                  <c:v>37553.674610001071</c:v>
                </c:pt>
                <c:pt idx="3">
                  <c:v>37109.160444491936</c:v>
                </c:pt>
                <c:pt idx="4">
                  <c:v>36664.6462789828</c:v>
                </c:pt>
                <c:pt idx="5">
                  <c:v>36220.132113473665</c:v>
                </c:pt>
                <c:pt idx="6">
                  <c:v>35775.617947964529</c:v>
                </c:pt>
                <c:pt idx="7">
                  <c:v>35331.103782455393</c:v>
                </c:pt>
                <c:pt idx="8">
                  <c:v>34886.589616946258</c:v>
                </c:pt>
                <c:pt idx="9">
                  <c:v>34442.075451437122</c:v>
                </c:pt>
                <c:pt idx="10">
                  <c:v>33997.561285927986</c:v>
                </c:pt>
                <c:pt idx="11">
                  <c:v>33553.047120418851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1.431496329897413E-2"/>
                  <c:y val="4.11142266693058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34-4351-8F9D-DF748FBC4A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title>
          <c:overlay val="0"/>
        </c:title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Q1" zoomScaleNormal="100" workbookViewId="0">
      <selection activeCell="S7" sqref="S7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41" t="s">
        <v>0</v>
      </c>
      <c r="C2" s="42"/>
      <c r="F2" s="37" t="s">
        <v>16</v>
      </c>
      <c r="G2" s="36"/>
      <c r="H2" s="36"/>
      <c r="I2" s="36"/>
      <c r="J2" s="36"/>
      <c r="L2" s="36" t="s">
        <v>18</v>
      </c>
      <c r="M2" s="36"/>
      <c r="N2" s="36"/>
      <c r="O2" s="36"/>
      <c r="P2" s="36"/>
      <c r="Q2" s="36"/>
      <c r="S2" s="37" t="s">
        <v>20</v>
      </c>
      <c r="T2" s="36"/>
      <c r="U2" s="36"/>
      <c r="V2" s="36"/>
      <c r="W2" s="36"/>
      <c r="X2" s="36"/>
      <c r="Z2" s="40" t="str">
        <f ca="1">"Atualizado em "&amp;TEXT(TODAY(),"dd/mmm/aaaa")</f>
        <v>Atualizado em 15/dez/2025</v>
      </c>
      <c r="AA2" s="40"/>
      <c r="AB2" s="40"/>
      <c r="AC2" s="40"/>
      <c r="AD2" s="40"/>
      <c r="AE2" s="40"/>
    </row>
    <row r="3" spans="1:31" x14ac:dyDescent="0.35">
      <c r="A3" s="2"/>
      <c r="B3" s="24" t="s">
        <v>1</v>
      </c>
      <c r="C3" s="5" t="s">
        <v>81</v>
      </c>
    </row>
    <row r="4" spans="1:31" x14ac:dyDescent="0.35">
      <c r="A4" s="2"/>
      <c r="B4" s="24" t="s">
        <v>2</v>
      </c>
      <c r="C4" s="5" t="s">
        <v>82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37" t="s">
        <v>28</v>
      </c>
      <c r="AA4" s="36"/>
      <c r="AB4" s="36"/>
      <c r="AC4" s="36"/>
      <c r="AD4" s="36"/>
      <c r="AE4" s="36"/>
    </row>
    <row r="5" spans="1:31" x14ac:dyDescent="0.35">
      <c r="A5" s="2"/>
      <c r="B5" s="25" t="s">
        <v>3</v>
      </c>
      <c r="C5" s="5" t="s">
        <v>42</v>
      </c>
      <c r="F5" s="4">
        <f t="shared" ref="F5:F16" si="0">DATE($C$9,E7,1)</f>
        <v>49310</v>
      </c>
      <c r="G5" s="16">
        <v>39433.454081632655</v>
      </c>
      <c r="H5" s="16">
        <v>37998.188775510207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39433.454081632655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0" t="s">
        <v>90</v>
      </c>
      <c r="T5" s="5" t="s">
        <v>91</v>
      </c>
      <c r="U5" s="6">
        <v>49345</v>
      </c>
      <c r="V5" s="6">
        <v>49345</v>
      </c>
      <c r="W5" s="4">
        <f>IF(V5="","",DATE(YEAR(V5),MONTH(V5),1))</f>
        <v>49341</v>
      </c>
      <c r="X5" s="3">
        <f>IFERROR(VLOOKUP(V5,Auxiliar!$T$3:$X$367,5,FALSE),"")</f>
        <v>6</v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16">
        <v>37721</v>
      </c>
      <c r="H6" s="16">
        <v>37998.188775510207</v>
      </c>
      <c r="I6" s="21">
        <f t="shared" si="1"/>
        <v>37721</v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30" t="s">
        <v>94</v>
      </c>
      <c r="T6" s="5" t="s">
        <v>93</v>
      </c>
      <c r="U6" s="6">
        <v>49353</v>
      </c>
      <c r="V6" s="6">
        <v>49368</v>
      </c>
      <c r="W6" s="4">
        <f t="shared" ref="W6:W69" si="6">IF(V6="","",DATE(YEAR(V6),MONTH(V6),1))</f>
        <v>49341</v>
      </c>
      <c r="X6" s="3">
        <f>IFERROR(VLOOKUP(V6,Auxiliar!$T$3:$X$367,5,FALSE),"")</f>
        <v>9</v>
      </c>
      <c r="Z6" s="38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R$ 39.433 (R$ 1.435 pior do que meta de R$ 37.998).</v>
      </c>
      <c r="AA6" s="38"/>
      <c r="AB6" s="38"/>
      <c r="AC6" s="38"/>
      <c r="AD6" s="38"/>
      <c r="AE6" s="38"/>
    </row>
    <row r="7" spans="1:31" x14ac:dyDescent="0.35">
      <c r="A7" s="2"/>
      <c r="E7" s="3">
        <v>1</v>
      </c>
      <c r="F7" s="4">
        <f t="shared" si="0"/>
        <v>49369</v>
      </c>
      <c r="G7" s="16"/>
      <c r="H7" s="16">
        <v>37553.674610001071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34" t="s">
        <v>95</v>
      </c>
      <c r="T7" s="5" t="s">
        <v>93</v>
      </c>
      <c r="U7" s="31">
        <v>49360</v>
      </c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3" t="s">
        <v>7</v>
      </c>
      <c r="C8" s="43"/>
      <c r="E8" s="3">
        <f>E7+1</f>
        <v>2</v>
      </c>
      <c r="F8" s="4">
        <f t="shared" si="0"/>
        <v>49400</v>
      </c>
      <c r="G8" s="16"/>
      <c r="H8" s="16">
        <v>37109.160444491936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34" t="s">
        <v>96</v>
      </c>
      <c r="T8" s="5" t="s">
        <v>93</v>
      </c>
      <c r="U8" s="31">
        <v>49368</v>
      </c>
      <c r="V8" s="6"/>
      <c r="W8" s="4" t="str">
        <f t="shared" si="6"/>
        <v/>
      </c>
      <c r="X8" s="3" t="str">
        <f>IFERROR(VLOOKUP(V8,Auxiliar!$T$3:$X$367,5,FALSE),"")</f>
        <v/>
      </c>
      <c r="AA8" s="39" t="str">
        <f>C3&amp;" ("&amp;Auxiliar!G3&amp;")"</f>
        <v>Valor Médio Indezinado (R$)</v>
      </c>
      <c r="AB8" s="39"/>
      <c r="AC8" s="39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16"/>
      <c r="H9" s="16">
        <v>36664.6462789828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34" t="s">
        <v>97</v>
      </c>
      <c r="T9" s="5" t="s">
        <v>93</v>
      </c>
      <c r="U9" s="6">
        <v>49373</v>
      </c>
      <c r="V9" s="6"/>
      <c r="W9" s="4" t="str">
        <f t="shared" si="6"/>
        <v/>
      </c>
      <c r="X9" s="3" t="str">
        <f>IFERROR(VLOOKUP(V9,Auxiliar!$T$3:$X$367,5,FALSE),"")</f>
        <v/>
      </c>
      <c r="AA9" s="39"/>
      <c r="AB9" s="39"/>
      <c r="AC9" s="39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89</v>
      </c>
      <c r="E10" s="3">
        <f t="shared" si="7"/>
        <v>4</v>
      </c>
      <c r="F10" s="4">
        <f t="shared" si="0"/>
        <v>49461</v>
      </c>
      <c r="G10" s="16"/>
      <c r="H10" s="16">
        <v>36220.132113473665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30" t="s">
        <v>105</v>
      </c>
      <c r="T10" s="5" t="s">
        <v>98</v>
      </c>
      <c r="U10" s="6">
        <v>49348</v>
      </c>
      <c r="V10" s="6">
        <v>49351</v>
      </c>
      <c r="W10" s="4">
        <f t="shared" si="6"/>
        <v>49341</v>
      </c>
      <c r="X10" s="3">
        <f>IFERROR(VLOOKUP(V10,Auxiliar!$T$3:$X$367,5,FALSE),"")</f>
        <v>7</v>
      </c>
      <c r="AA10" s="35" t="str">
        <f>C4</f>
        <v>Valor Total das Indenizações / Núm. Processos Trabalhistas Recebidos</v>
      </c>
      <c r="AB10" s="35"/>
      <c r="AC10" s="35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16"/>
      <c r="H11" s="16">
        <v>35775.617947964529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30" t="s">
        <v>106</v>
      </c>
      <c r="T11" s="5" t="s">
        <v>98</v>
      </c>
      <c r="U11" s="6">
        <v>49352</v>
      </c>
      <c r="V11" s="6">
        <v>49355</v>
      </c>
      <c r="W11" s="4">
        <f t="shared" si="6"/>
        <v>49341</v>
      </c>
      <c r="X11" s="3">
        <f>IFERROR(VLOOKUP(V11,Auxiliar!$T$3:$X$367,5,FALSE),"")</f>
        <v>7</v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16"/>
      <c r="H12" s="16">
        <v>35331.103782455393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30" t="s">
        <v>107</v>
      </c>
      <c r="T12" s="5" t="s">
        <v>98</v>
      </c>
      <c r="U12" s="6">
        <v>49356</v>
      </c>
      <c r="V12" s="6">
        <v>49360</v>
      </c>
      <c r="W12" s="4">
        <f t="shared" si="6"/>
        <v>49341</v>
      </c>
      <c r="X12" s="3">
        <f>IFERROR(VLOOKUP(V12,Auxiliar!$T$3:$X$367,5,FALSE),"")</f>
        <v>8</v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16"/>
      <c r="H13" s="16">
        <v>34886.589616946258</v>
      </c>
      <c r="I13" s="21" t="str">
        <f t="shared" si="1"/>
        <v/>
      </c>
      <c r="J13" s="21" t="str">
        <f t="shared" si="2"/>
        <v/>
      </c>
      <c r="S13" s="34" t="s">
        <v>108</v>
      </c>
      <c r="T13" s="5" t="s">
        <v>98</v>
      </c>
      <c r="U13" s="31">
        <v>49360</v>
      </c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16"/>
      <c r="H14" s="16">
        <v>34442.075451437122</v>
      </c>
      <c r="I14" s="21" t="str">
        <f t="shared" si="1"/>
        <v/>
      </c>
      <c r="J14" s="21" t="str">
        <f t="shared" si="2"/>
        <v/>
      </c>
      <c r="S14" s="34" t="s">
        <v>109</v>
      </c>
      <c r="T14" s="5" t="s">
        <v>98</v>
      </c>
      <c r="U14" s="31">
        <v>49362</v>
      </c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16"/>
      <c r="H15" s="16">
        <v>33997.561285927986</v>
      </c>
      <c r="I15" s="21" t="str">
        <f t="shared" si="1"/>
        <v/>
      </c>
      <c r="J15" s="21" t="str">
        <f t="shared" si="2"/>
        <v/>
      </c>
      <c r="S15" s="34" t="s">
        <v>110</v>
      </c>
      <c r="T15" s="5" t="s">
        <v>98</v>
      </c>
      <c r="U15" s="31">
        <v>49368</v>
      </c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16"/>
      <c r="H16" s="16">
        <v>33553.047120418851</v>
      </c>
      <c r="I16" s="21" t="str">
        <f t="shared" si="1"/>
        <v/>
      </c>
      <c r="J16" s="21" t="str">
        <f t="shared" si="2"/>
        <v/>
      </c>
      <c r="S16" s="30" t="s">
        <v>102</v>
      </c>
      <c r="T16" s="5" t="s">
        <v>99</v>
      </c>
      <c r="U16" s="6">
        <v>49352</v>
      </c>
      <c r="V16" s="6">
        <v>49357</v>
      </c>
      <c r="W16" s="4">
        <f t="shared" si="6"/>
        <v>49341</v>
      </c>
      <c r="X16" s="3">
        <f>IFERROR(VLOOKUP(V16,Auxiliar!$T$3:$X$367,5,FALSE),"")</f>
        <v>7</v>
      </c>
    </row>
    <row r="17" spans="1:35" x14ac:dyDescent="0.35">
      <c r="A17" s="2"/>
      <c r="B17" s="18"/>
      <c r="C17" s="18"/>
      <c r="E17" s="3">
        <f t="shared" si="7"/>
        <v>11</v>
      </c>
      <c r="S17" s="34" t="s">
        <v>103</v>
      </c>
      <c r="T17" s="5" t="s">
        <v>99</v>
      </c>
      <c r="U17" s="31">
        <v>49360</v>
      </c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34" t="s">
        <v>104</v>
      </c>
      <c r="T18" s="5" t="s">
        <v>99</v>
      </c>
      <c r="U18" s="31">
        <v>49368</v>
      </c>
      <c r="V18" s="6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34" t="s">
        <v>100</v>
      </c>
      <c r="T19" s="5" t="s">
        <v>99</v>
      </c>
      <c r="U19" s="31">
        <v>49368</v>
      </c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30" t="s">
        <v>111</v>
      </c>
      <c r="T20" s="5" t="s">
        <v>101</v>
      </c>
      <c r="U20" s="6">
        <v>49350</v>
      </c>
      <c r="V20" s="6">
        <v>49352</v>
      </c>
      <c r="W20" s="4">
        <f t="shared" si="6"/>
        <v>49341</v>
      </c>
      <c r="X20" s="3">
        <f>IFERROR(VLOOKUP(V20,Auxiliar!$T$3:$X$367,5,FALSE),"")</f>
        <v>7</v>
      </c>
      <c r="AH20" s="13"/>
      <c r="AI20" s="13"/>
    </row>
    <row r="21" spans="1:35" x14ac:dyDescent="0.35">
      <c r="A21" s="2"/>
      <c r="B21" s="18"/>
      <c r="C21" s="18"/>
      <c r="S21" s="30" t="s">
        <v>112</v>
      </c>
      <c r="T21" s="5" t="s">
        <v>101</v>
      </c>
      <c r="U21" s="6">
        <v>49354</v>
      </c>
      <c r="V21" s="6">
        <v>49356</v>
      </c>
      <c r="W21" s="4">
        <f t="shared" si="6"/>
        <v>49341</v>
      </c>
      <c r="X21" s="3">
        <f>IFERROR(VLOOKUP(V21,Auxiliar!$T$3:$X$367,5,FALSE),"")</f>
        <v>7</v>
      </c>
    </row>
    <row r="22" spans="1:35" x14ac:dyDescent="0.35">
      <c r="A22" s="2"/>
      <c r="B22" s="18"/>
      <c r="C22" s="18"/>
      <c r="S22" s="30" t="s">
        <v>113</v>
      </c>
      <c r="T22" s="5" t="s">
        <v>101</v>
      </c>
      <c r="U22" s="6">
        <v>49360</v>
      </c>
      <c r="V22" s="6">
        <v>49362</v>
      </c>
      <c r="W22" s="4">
        <f t="shared" si="6"/>
        <v>49341</v>
      </c>
      <c r="X22" s="3">
        <f>IFERROR(VLOOKUP(V22,Auxiliar!$T$3:$X$367,5,FALSE),"")</f>
        <v>8</v>
      </c>
    </row>
    <row r="23" spans="1:35" x14ac:dyDescent="0.35">
      <c r="A23" s="2"/>
      <c r="B23" s="18"/>
      <c r="C23" s="18"/>
      <c r="S23" s="34" t="s">
        <v>114</v>
      </c>
      <c r="T23" s="5" t="s">
        <v>101</v>
      </c>
      <c r="U23" s="31">
        <v>49366</v>
      </c>
      <c r="V23" s="6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34" t="s">
        <v>115</v>
      </c>
      <c r="T24" s="5" t="s">
        <v>101</v>
      </c>
      <c r="U24" s="31">
        <v>49368</v>
      </c>
      <c r="V24" s="6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30" t="s">
        <v>116</v>
      </c>
      <c r="T25" s="5" t="s">
        <v>101</v>
      </c>
      <c r="U25" s="6">
        <v>49371</v>
      </c>
      <c r="V25" s="6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37" t="s">
        <v>29</v>
      </c>
      <c r="AA29" s="36"/>
      <c r="AB29" s="36"/>
      <c r="AC29" s="36"/>
      <c r="AD29" s="36"/>
      <c r="AE29" s="36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38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R$  (R$  melhor do que meta de R$ ).</v>
      </c>
      <c r="AA31" s="38"/>
      <c r="AB31" s="38"/>
      <c r="AC31" s="38"/>
      <c r="AD31" s="38"/>
      <c r="AE31" s="38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39" t="str">
        <f>C3&amp;" ("&amp;Auxiliar!G3&amp;")"</f>
        <v>Valor Médio Indezinado (R$)</v>
      </c>
      <c r="AB33" s="39"/>
      <c r="AC33" s="39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39"/>
      <c r="AB34" s="39"/>
      <c r="AC34" s="39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5" t="str">
        <f>C4</f>
        <v>Valor Total das Indenizações / Núm. Processos Trabalhistas Recebidos</v>
      </c>
      <c r="AB35" s="35"/>
      <c r="AC35" s="35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B1:D5"/>
  <sheetViews>
    <sheetView workbookViewId="0">
      <selection activeCell="E4" sqref="E4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32" t="s">
        <v>85</v>
      </c>
      <c r="C1" s="32" t="s">
        <v>83</v>
      </c>
    </row>
    <row r="2" spans="2:4" x14ac:dyDescent="0.35">
      <c r="B2" s="32" t="s">
        <v>86</v>
      </c>
      <c r="C2" s="32" t="s">
        <v>84</v>
      </c>
    </row>
    <row r="4" spans="2:4" x14ac:dyDescent="0.35">
      <c r="B4" s="33" t="s">
        <v>87</v>
      </c>
      <c r="C4" s="33" t="s">
        <v>88</v>
      </c>
    </row>
    <row r="5" spans="2:4" x14ac:dyDescent="0.35">
      <c r="B5">
        <v>196</v>
      </c>
      <c r="C5">
        <v>7728957</v>
      </c>
      <c r="D5" s="29">
        <f>C5/B5</f>
        <v>39433.454081632655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49B9-0525-475E-9356-12E5B6575391}">
  <dimension ref="B1:D5"/>
  <sheetViews>
    <sheetView workbookViewId="0">
      <selection activeCell="D5" sqref="D5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32" t="s">
        <v>85</v>
      </c>
      <c r="C1" s="32" t="s">
        <v>83</v>
      </c>
    </row>
    <row r="2" spans="2:4" x14ac:dyDescent="0.35">
      <c r="B2" s="32" t="s">
        <v>86</v>
      </c>
      <c r="C2" s="32" t="s">
        <v>92</v>
      </c>
    </row>
    <row r="4" spans="2:4" x14ac:dyDescent="0.35">
      <c r="B4" s="33" t="s">
        <v>87</v>
      </c>
      <c r="C4" s="33" t="s">
        <v>88</v>
      </c>
    </row>
    <row r="5" spans="2:4" x14ac:dyDescent="0.35">
      <c r="B5">
        <v>212</v>
      </c>
      <c r="C5">
        <v>7996852</v>
      </c>
      <c r="D5" s="29">
        <f>C5/B5</f>
        <v>37721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39433.454081632655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21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R$</v>
      </c>
      <c r="H3" s="3" t="str">
        <f>VLOOKUP('Gráfico Controle de Resultados'!C5,Auxiliar!B:D,3,FALSE)</f>
        <v>R$ #.##</v>
      </c>
      <c r="I3" s="3" t="str">
        <f>VLOOKUP('Gráfico Controle de Resultados'!C5,Auxiliar!B:E,4,FALSE)</f>
        <v>[$R$] #.##0;"";""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37998.188775510207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9</v>
      </c>
      <c r="AO4" s="3">
        <f>AN4+AO3</f>
        <v>9</v>
      </c>
      <c r="AQ4" s="26" t="s">
        <v>58</v>
      </c>
      <c r="AR4" s="3">
        <f>IF('Gráfico Controle de Resultados'!C6="Cima",Auxiliar!AR2-Auxiliar!AR3,AR3-AR2)</f>
        <v>-1435.2653061224482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9</v>
      </c>
      <c r="AQ5" s="26" t="s">
        <v>60</v>
      </c>
      <c r="AR5" s="3">
        <f>ABS(AR4)</f>
        <v>1435.2653061224482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9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9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9</v>
      </c>
      <c r="AT8" s="3">
        <f t="shared" si="12"/>
        <v>6</v>
      </c>
      <c r="AU8" s="3">
        <f>COUNTIF('Gráfico Controle de Resultados'!X:X,Auxiliar!AT8)</f>
        <v>1</v>
      </c>
      <c r="AV8" s="3">
        <f t="shared" si="13"/>
        <v>1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9</v>
      </c>
      <c r="AT9" s="3">
        <f t="shared" si="12"/>
        <v>7</v>
      </c>
      <c r="AU9" s="3">
        <f>COUNTIF('Gráfico Controle de Resultados'!X:X,Auxiliar!AT9)</f>
        <v>5</v>
      </c>
      <c r="AV9" s="3">
        <f t="shared" si="13"/>
        <v>6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9</v>
      </c>
      <c r="AT10" s="3">
        <f t="shared" si="12"/>
        <v>8</v>
      </c>
      <c r="AU10" s="3">
        <f>COUNTIF('Gráfico Controle de Resultados'!X:X,Auxiliar!AT10)</f>
        <v>2</v>
      </c>
      <c r="AV10" s="3">
        <f t="shared" si="13"/>
        <v>8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9</v>
      </c>
      <c r="AT11" s="3">
        <f t="shared" si="12"/>
        <v>9</v>
      </c>
      <c r="AU11" s="3">
        <f>COUNTIF('Gráfico Controle de Resultados'!X:X,Auxiliar!AT11)</f>
        <v>1</v>
      </c>
      <c r="AV11" s="3">
        <f t="shared" si="13"/>
        <v>9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9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9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9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9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9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9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9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9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9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9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9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9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9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9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9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9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9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9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9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9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9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9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9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9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9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9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9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9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9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9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9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9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9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9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9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9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9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9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9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9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9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9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9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9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9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9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9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Gráfico Controle de Resultados</vt:lpstr>
      <vt:lpstr>Realizado Jan35</vt:lpstr>
      <vt:lpstr>Realizado Fev35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2025-12-15T19:37:59Z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