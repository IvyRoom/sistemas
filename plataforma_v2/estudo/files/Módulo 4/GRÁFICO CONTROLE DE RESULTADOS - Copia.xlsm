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4/FERRAMENTAS/"/>
    </mc:Choice>
  </mc:AlternateContent>
  <xr:revisionPtr revIDLastSave="6" documentId="13_ncr:1_{BD427A36-4B61-4B1E-9F5A-113D06257126}" xr6:coauthVersionLast="47" xr6:coauthVersionMax="47" xr10:uidLastSave="{D3DA5896-3F1D-4E3C-ADDF-8E86C2C04857}"/>
  <bookViews>
    <workbookView xWindow="-110" yWindow="-110" windowWidth="25820" windowHeight="13900" xr2:uid="{00000000-000D-0000-FFFF-FFFF00000000}"/>
  </bookViews>
  <sheets>
    <sheet name="Gráfico Controle de Resultados" sheetId="6" r:id="rId1"/>
    <sheet name="Auxiliar" sheetId="7" state="hidden" r:id="rId2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AO11" i="7" s="1"/>
  <c r="E17" i="6"/>
  <c r="F14" i="6"/>
  <c r="AM12" i="7" s="1"/>
  <c r="S14" i="7" l="1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<sst xmlns="http://schemas.openxmlformats.org/spreadsheetml/2006/main" count="114" uniqueCount="81">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</sst>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4A081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27063407915594712"/>
          <c:w val="0.90529456004774345"/>
          <c:h val="0.49904654244952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'Gráfico Controle de Resultados'!$H$5:$H$16</c:f>
              <c:numCache>
                <c:formatCode>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zoomScaleNormal="100" workbookViewId="0">
      <selection activeCell="B2" sqref="B2:C2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29" t="s">
        <v>0</v>
      </c>
      <c r="C2" s="30"/>
      <c r="F2" s="32" t="s">
        <v>16</v>
      </c>
      <c r="G2" s="33"/>
      <c r="H2" s="33"/>
      <c r="I2" s="33"/>
      <c r="J2" s="33"/>
      <c r="L2" s="33" t="s">
        <v>18</v>
      </c>
      <c r="M2" s="33"/>
      <c r="N2" s="33"/>
      <c r="O2" s="33"/>
      <c r="P2" s="33"/>
      <c r="Q2" s="33"/>
      <c r="S2" s="32" t="s">
        <v>20</v>
      </c>
      <c r="T2" s="33"/>
      <c r="U2" s="33"/>
      <c r="V2" s="33"/>
      <c r="W2" s="33"/>
      <c r="X2" s="33"/>
      <c r="Z2" s="37" t="str">
        <f ca="1">"Atualizado em "&amp;TEXT(TODAY(),"dd/mmm/aaaa")</f>
        <v>Atualizado em 13/dez/2025</v>
      </c>
      <c r="AA2" s="37"/>
      <c r="AB2" s="37"/>
      <c r="AC2" s="37"/>
      <c r="AD2" s="37"/>
      <c r="AE2" s="37"/>
    </row>
    <row r="3" spans="1:31" x14ac:dyDescent="0.35">
      <c r="A3" s="2"/>
      <c r="B3" s="24" t="s">
        <v>1</v>
      </c>
      <c r="C3" s="5"/>
    </row>
    <row r="4" spans="1:31" x14ac:dyDescent="0.35">
      <c r="A4" s="2"/>
      <c r="B4" s="24" t="s">
        <v>2</v>
      </c>
      <c r="C4" s="5"/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32" t="s">
        <v>28</v>
      </c>
      <c r="AA4" s="33"/>
      <c r="AB4" s="33"/>
      <c r="AC4" s="33"/>
      <c r="AD4" s="33"/>
      <c r="AE4" s="33"/>
    </row>
    <row r="5" spans="1:31" x14ac:dyDescent="0.35">
      <c r="A5" s="2"/>
      <c r="B5" s="25" t="s">
        <v>3</v>
      </c>
      <c r="C5" s="5"/>
      <c r="F5" s="4">
        <f t="shared" ref="F5:F16" si="0">DATE($C$9,E7,1)</f>
        <v>1</v>
      </c>
      <c r="G5" s="16"/>
      <c r="H5" s="16"/>
      <c r="I5" s="21" t="str">
        <f t="shared" ref="I5:I16" si="1">IF(G5="","",IF($C$6="Cima",IF(G5&gt;=H5,G5,""),IF(G5&lt;=H5,G5,"")))</f>
        <v/>
      </c>
      <c r="J5" s="21" t="str">
        <f t="shared" ref="J5:J16" si="2">IF(G5="","",IF($C$6="Cima",IF(G5&lt;H5,G5,""),IF(G5&gt;H5,G5,"")))</f>
        <v/>
      </c>
      <c r="L5" s="3" t="e">
        <f>IF(M5="","","Sem. "&amp;M5)</f>
        <v>#N/A</v>
      </c>
      <c r="M5" s="3" t="e">
        <f>IF(Auxiliar!$AG$6&lt;2,IF(Auxiliar!$AG$6=1,1,""),M6-1)</f>
        <v>#N/A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5"/>
      <c r="T5" s="5"/>
      <c r="U5" s="6"/>
      <c r="V5" s="6"/>
      <c r="W5" s="4" t="str">
        <f>IF(V5="","",DATE(YEAR(V5),MONTH(V5),1))</f>
        <v/>
      </c>
      <c r="X5" s="3" t="str">
        <f>IFERROR(VLOOKUP(V5,Auxiliar!$T$3:$X$367,5,FALSE),"")</f>
        <v/>
      </c>
    </row>
    <row r="6" spans="1:31" x14ac:dyDescent="0.35">
      <c r="A6" s="2"/>
      <c r="B6" s="25" t="s">
        <v>31</v>
      </c>
      <c r="C6" s="5"/>
      <c r="E6" s="17" t="s">
        <v>17</v>
      </c>
      <c r="F6" s="4">
        <f t="shared" si="0"/>
        <v>32</v>
      </c>
      <c r="G6" s="16"/>
      <c r="H6" s="16"/>
      <c r="I6" s="21" t="str">
        <f t="shared" si="1"/>
        <v/>
      </c>
      <c r="J6" s="21" t="str">
        <f t="shared" si="2"/>
        <v/>
      </c>
      <c r="L6" s="3" t="e">
        <f t="shared" ref="L6:L12" si="3">IF(M6="","","Sem. "&amp;M6)</f>
        <v>#N/A</v>
      </c>
      <c r="M6" s="3" t="e">
        <f>IF(Auxiliar!$AG$6&lt;3,IF(Auxiliar!$AG$6=2,2,""),M7-1)</f>
        <v>#N/A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5"/>
      <c r="T6" s="5"/>
      <c r="U6" s="6"/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34" t="e">
        <f>"O realizado de "&amp;TEXT(Auxiliar!AG3,"mmmaa")&amp;" é "&amp;TEXT(Auxiliar!AR2,Auxiliar!H3)&amp;" ("&amp;TEXT(Auxiliar!AR5,Auxiliar!H3)&amp;" "&amp;Auxiliar!AR6&amp;" do que meta de "&amp; TEXT(Auxiliar!AR3,Auxiliar!H3)&amp;")."</f>
        <v>#N/A</v>
      </c>
      <c r="AA6" s="34"/>
      <c r="AB6" s="34"/>
      <c r="AC6" s="34"/>
      <c r="AD6" s="34"/>
      <c r="AE6" s="34"/>
    </row>
    <row r="7" spans="1:31" x14ac:dyDescent="0.35">
      <c r="A7" s="2"/>
      <c r="E7" s="3">
        <v>1</v>
      </c>
      <c r="F7" s="4">
        <f t="shared" si="0"/>
        <v>61</v>
      </c>
      <c r="G7" s="16"/>
      <c r="H7" s="16"/>
      <c r="I7" s="21" t="str">
        <f t="shared" si="1"/>
        <v/>
      </c>
      <c r="J7" s="21" t="str">
        <f t="shared" si="2"/>
        <v/>
      </c>
      <c r="L7" s="3" t="e">
        <f t="shared" si="3"/>
        <v>#N/A</v>
      </c>
      <c r="M7" s="3" t="e">
        <f>IF(Auxiliar!$AG$6&lt;4,IF(Auxiliar!$AG$6=3,3,""),M8-1)</f>
        <v>#N/A</v>
      </c>
      <c r="N7" s="16"/>
      <c r="O7" s="16"/>
      <c r="P7" s="21" t="str">
        <f t="shared" si="4"/>
        <v/>
      </c>
      <c r="Q7" s="21" t="str">
        <f t="shared" si="5"/>
        <v/>
      </c>
      <c r="S7" s="5"/>
      <c r="T7" s="5"/>
      <c r="U7" s="6"/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31" t="s">
        <v>7</v>
      </c>
      <c r="C8" s="31"/>
      <c r="E8" s="3">
        <f>E7+1</f>
        <v>2</v>
      </c>
      <c r="F8" s="4">
        <f t="shared" si="0"/>
        <v>92</v>
      </c>
      <c r="G8" s="16"/>
      <c r="H8" s="16"/>
      <c r="I8" s="21" t="str">
        <f t="shared" si="1"/>
        <v/>
      </c>
      <c r="J8" s="21" t="str">
        <f t="shared" si="2"/>
        <v/>
      </c>
      <c r="L8" s="3" t="e">
        <f t="shared" si="3"/>
        <v>#N/A</v>
      </c>
      <c r="M8" s="3" t="e">
        <f>IF(Auxiliar!$AG$6&lt;5,IF(Auxiliar!$AG$6=4,4,""),M9-1)</f>
        <v>#N/A</v>
      </c>
      <c r="N8" s="16"/>
      <c r="O8" s="16"/>
      <c r="P8" s="21" t="str">
        <f t="shared" si="4"/>
        <v/>
      </c>
      <c r="Q8" s="21" t="str">
        <f t="shared" si="5"/>
        <v/>
      </c>
      <c r="S8" s="5"/>
      <c r="T8" s="5"/>
      <c r="U8" s="6"/>
      <c r="V8" s="6"/>
      <c r="W8" s="4" t="str">
        <f t="shared" si="6"/>
        <v/>
      </c>
      <c r="X8" s="3" t="str">
        <f>IFERROR(VLOOKUP(V8,Auxiliar!$T$3:$X$367,5,FALSE),"")</f>
        <v/>
      </c>
      <c r="AA8" s="35" t="e">
        <f>C3&amp;" ("&amp;Auxiliar!G3&amp;")"</f>
        <v>#N/A</v>
      </c>
      <c r="AB8" s="35"/>
      <c r="AC8" s="35"/>
    </row>
    <row r="9" spans="1:31" x14ac:dyDescent="0.35">
      <c r="A9" s="2"/>
      <c r="B9" s="24" t="s">
        <v>8</v>
      </c>
      <c r="C9" s="5"/>
      <c r="E9" s="3">
        <f t="shared" ref="E9:E18" si="7">E8+1</f>
        <v>3</v>
      </c>
      <c r="F9" s="4">
        <f t="shared" si="0"/>
        <v>122</v>
      </c>
      <c r="G9" s="16"/>
      <c r="H9" s="16"/>
      <c r="I9" s="21" t="str">
        <f t="shared" si="1"/>
        <v/>
      </c>
      <c r="J9" s="21" t="str">
        <f t="shared" si="2"/>
        <v/>
      </c>
      <c r="L9" s="3" t="e">
        <f t="shared" si="3"/>
        <v>#N/A</v>
      </c>
      <c r="M9" s="3" t="e">
        <f>IF(Auxiliar!$AG$6&lt;6,IF(Auxiliar!$AG$6=5,5,""),M10-1)</f>
        <v>#N/A</v>
      </c>
      <c r="N9" s="16"/>
      <c r="O9" s="16"/>
      <c r="P9" s="21" t="str">
        <f t="shared" si="4"/>
        <v/>
      </c>
      <c r="Q9" s="21" t="str">
        <f t="shared" si="5"/>
        <v/>
      </c>
      <c r="S9" s="5"/>
      <c r="T9" s="5"/>
      <c r="U9" s="6"/>
      <c r="V9" s="6"/>
      <c r="W9" s="4" t="str">
        <f t="shared" si="6"/>
        <v/>
      </c>
      <c r="X9" s="3" t="str">
        <f>IFERROR(VLOOKUP(V9,Auxiliar!$T$3:$X$367,5,FALSE),"")</f>
        <v/>
      </c>
      <c r="AA9" s="35"/>
      <c r="AB9" s="35"/>
      <c r="AC9" s="35"/>
      <c r="AE9" s="12" t="str">
        <f>IF(C6="Baixo","(","&amp;")</f>
        <v>&amp;</v>
      </c>
    </row>
    <row r="10" spans="1:31" x14ac:dyDescent="0.35">
      <c r="A10" s="2"/>
      <c r="B10" s="25" t="s">
        <v>64</v>
      </c>
      <c r="C10" s="15"/>
      <c r="E10" s="3">
        <f t="shared" si="7"/>
        <v>4</v>
      </c>
      <c r="F10" s="4">
        <f t="shared" si="0"/>
        <v>153</v>
      </c>
      <c r="G10" s="16"/>
      <c r="H10" s="16"/>
      <c r="I10" s="21" t="str">
        <f t="shared" si="1"/>
        <v/>
      </c>
      <c r="J10" s="21" t="str">
        <f t="shared" si="2"/>
        <v/>
      </c>
      <c r="L10" s="3" t="e">
        <f t="shared" si="3"/>
        <v>#N/A</v>
      </c>
      <c r="M10" s="3" t="e">
        <f>IF(Auxiliar!$AG$6&lt;7,IF(Auxiliar!$AG$6=6,6,""),M11-1)</f>
        <v>#N/A</v>
      </c>
      <c r="N10" s="16"/>
      <c r="O10" s="16"/>
      <c r="P10" s="21" t="str">
        <f t="shared" si="4"/>
        <v/>
      </c>
      <c r="Q10" s="21" t="str">
        <f t="shared" si="5"/>
        <v/>
      </c>
      <c r="S10" s="5"/>
      <c r="T10" s="5"/>
      <c r="U10" s="6"/>
      <c r="V10" s="6"/>
      <c r="W10" s="4" t="str">
        <f t="shared" si="6"/>
        <v/>
      </c>
      <c r="X10" s="3" t="str">
        <f>IFERROR(VLOOKUP(V10,Auxiliar!$T$3:$X$367,5,FALSE),"")</f>
        <v/>
      </c>
      <c r="Z10" s="36">
        <f>C4</f>
        <v>0</v>
      </c>
      <c r="AA10" s="36"/>
      <c r="AB10" s="36"/>
      <c r="AC10" s="36"/>
      <c r="AD10" s="36"/>
      <c r="AE10" s="36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183</v>
      </c>
      <c r="G11" s="16"/>
      <c r="H11" s="16"/>
      <c r="I11" s="21" t="str">
        <f t="shared" si="1"/>
        <v/>
      </c>
      <c r="J11" s="21" t="str">
        <f t="shared" si="2"/>
        <v/>
      </c>
      <c r="L11" s="3" t="e">
        <f t="shared" si="3"/>
        <v>#N/A</v>
      </c>
      <c r="M11" s="3" t="e">
        <f>IF(Auxiliar!$AG$6&lt;8,IF(Auxiliar!$AG$6=7,7,""),M12-1)</f>
        <v>#N/A</v>
      </c>
      <c r="N11" s="16"/>
      <c r="O11" s="16"/>
      <c r="P11" s="21" t="str">
        <f t="shared" si="4"/>
        <v/>
      </c>
      <c r="Q11" s="21" t="str">
        <f t="shared" si="5"/>
        <v/>
      </c>
      <c r="S11" s="5"/>
      <c r="T11" s="5"/>
      <c r="U11" s="6"/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214</v>
      </c>
      <c r="G12" s="16"/>
      <c r="H12" s="16"/>
      <c r="I12" s="21" t="str">
        <f t="shared" si="1"/>
        <v/>
      </c>
      <c r="J12" s="21" t="str">
        <f t="shared" si="2"/>
        <v/>
      </c>
      <c r="L12" s="3" t="e">
        <f t="shared" si="3"/>
        <v>#N/A</v>
      </c>
      <c r="M12" s="3" t="e">
        <f>IF(Auxiliar!AG6&lt;8,"",Auxiliar!AG6)</f>
        <v>#N/A</v>
      </c>
      <c r="N12" s="16"/>
      <c r="O12" s="16"/>
      <c r="P12" s="21" t="str">
        <f t="shared" si="4"/>
        <v/>
      </c>
      <c r="Q12" s="21" t="str">
        <f t="shared" si="5"/>
        <v/>
      </c>
      <c r="S12" s="5"/>
      <c r="T12" s="5"/>
      <c r="U12" s="6"/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245</v>
      </c>
      <c r="G13" s="16"/>
      <c r="H13" s="16"/>
      <c r="I13" s="21" t="str">
        <f t="shared" si="1"/>
        <v/>
      </c>
      <c r="J13" s="21" t="str">
        <f t="shared" si="2"/>
        <v/>
      </c>
      <c r="S13" s="5"/>
      <c r="T13" s="5"/>
      <c r="U13" s="6"/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275</v>
      </c>
      <c r="G14" s="16"/>
      <c r="H14" s="16"/>
      <c r="I14" s="21" t="str">
        <f t="shared" si="1"/>
        <v/>
      </c>
      <c r="J14" s="21" t="str">
        <f t="shared" si="2"/>
        <v/>
      </c>
      <c r="S14" s="5"/>
      <c r="T14" s="5"/>
      <c r="U14" s="6"/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306</v>
      </c>
      <c r="G15" s="16"/>
      <c r="H15" s="16"/>
      <c r="I15" s="21" t="str">
        <f t="shared" si="1"/>
        <v/>
      </c>
      <c r="J15" s="21" t="str">
        <f t="shared" si="2"/>
        <v/>
      </c>
      <c r="S15" s="5"/>
      <c r="T15" s="5"/>
      <c r="U15" s="6"/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336</v>
      </c>
      <c r="G16" s="16"/>
      <c r="H16" s="16"/>
      <c r="I16" s="21" t="str">
        <f t="shared" si="1"/>
        <v/>
      </c>
      <c r="J16" s="21" t="str">
        <f t="shared" si="2"/>
        <v/>
      </c>
      <c r="S16" s="5"/>
      <c r="T16" s="5"/>
      <c r="U16" s="6"/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5"/>
      <c r="T17" s="5"/>
      <c r="U17" s="6"/>
      <c r="V17" s="9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5"/>
      <c r="T18" s="5"/>
      <c r="U18" s="6"/>
      <c r="V18" s="9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5"/>
      <c r="T19" s="5"/>
      <c r="U19" s="6"/>
      <c r="V19" s="9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5"/>
      <c r="T20" s="5"/>
      <c r="U20" s="6"/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32" t="s">
        <v>29</v>
      </c>
      <c r="AA29" s="33"/>
      <c r="AB29" s="33"/>
      <c r="AC29" s="33"/>
      <c r="AD29" s="33"/>
      <c r="AE29" s="33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34" t="e">
        <f>"O realizado na Semana "&amp;Auxiliar!AG6&amp;" foi "&amp;TEXT(Auxiliar!BB2,Auxiliar!H3)&amp;" ("&amp;TEXT(Auxiliar!BB5,Auxiliar!H3)&amp;" "&amp;Auxiliar!BB6&amp;" do que meta de "&amp; TEXT(Auxiliar!BB3,Auxiliar!H3)&amp;")."</f>
        <v>#N/A</v>
      </c>
      <c r="AA31" s="34"/>
      <c r="AB31" s="34"/>
      <c r="AC31" s="34"/>
      <c r="AD31" s="34"/>
      <c r="AE31" s="34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35" t="e">
        <f>C3&amp;" ("&amp;Auxiliar!G3&amp;")"</f>
        <v>#N/A</v>
      </c>
      <c r="AB33" s="35"/>
      <c r="AC33" s="35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35"/>
      <c r="AB34" s="35"/>
      <c r="AC34" s="35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6">
        <f>C4</f>
        <v>0</v>
      </c>
      <c r="AB35" s="36"/>
      <c r="AC35" s="36"/>
      <c r="AE35" s="12" t="str">
        <f>IF(C6="Baixo","(","&amp;")</f>
        <v>&amp;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AA35:AC35"/>
    <mergeCell ref="L2:Q2"/>
    <mergeCell ref="F2:J2"/>
    <mergeCell ref="Z4:AE4"/>
    <mergeCell ref="Z29:AE29"/>
    <mergeCell ref="Z6:AE6"/>
    <mergeCell ref="AA8:AC9"/>
    <mergeCell ref="Z2:AE2"/>
    <mergeCell ref="Z10:AE10"/>
    <mergeCell ref="B2:C2"/>
    <mergeCell ref="B8:C8"/>
    <mergeCell ref="S2:X2"/>
    <mergeCell ref="Z31:AE31"/>
    <mergeCell ref="AA33:AC34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BG2" sqref="BG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 t="e">
        <f>VLOOKUP($AG$3,'Gráfico Controle de Resultados'!$F$5:$H$16,2,FALSE)</f>
        <v>#N/A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 t="e">
        <f>VLOOKUP(AG6,'Gráfico Controle de Resultados'!$M$5:$O$12,2,FALSE)</f>
        <v>#N/A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0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e">
        <f>VLOOKUP('Gráfico Controle de Resultados'!C5,Auxiliar!B:C,2,FALSE)</f>
        <v>#N/A</v>
      </c>
      <c r="H3" s="3" t="e">
        <f>VLOOKUP('Gráfico Controle de Resultados'!C5,Auxiliar!B:D,3,FALSE)</f>
        <v>#N/A</v>
      </c>
      <c r="I3" s="3" t="e">
        <f>VLOOKUP('Gráfico Controle de Resultados'!C5,Auxiliar!B:E,4,FALSE)</f>
        <v>#N/A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1</v>
      </c>
      <c r="U3" s="3">
        <v>1</v>
      </c>
      <c r="V3" s="3">
        <v>1</v>
      </c>
      <c r="W3" s="22">
        <f>WEEKDAY(T3)</f>
        <v>1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1</v>
      </c>
      <c r="AB3" s="14">
        <f>AA4-1</f>
        <v>7</v>
      </c>
      <c r="AC3" s="8" t="str">
        <f>"Semana "&amp;AE3&amp;": de "&amp;TEXT(AA3,"dd/mmm/aaaa")&amp;" a "&amp;TEXT(AB3,"dd/mmm/aaaa")</f>
        <v>Semana 1: de 01/jan/1900 a 07/jan/1900</v>
      </c>
      <c r="AD3" s="4">
        <f t="shared" ref="AD3:AD34" si="2">VLOOKUP(MONTH(AA3),$AL$3:$AM$14,2,FALSE)</f>
        <v>1</v>
      </c>
      <c r="AE3" s="3">
        <f>1</f>
        <v>1</v>
      </c>
      <c r="AF3" s="1"/>
      <c r="AG3" s="4" t="e">
        <f>VLOOKUP('Gráfico Controle de Resultados'!C10,Auxiliar!$AC$3:$AD$55,2,FALSE)</f>
        <v>#N/A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1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 t="e">
        <f>VLOOKUP($AG$3,'Gráfico Controle de Resultados'!$F$5:$H$16,3,FALSE)</f>
        <v>#N/A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 t="e">
        <f>'Gráfico Controle de Resultados'!M5</f>
        <v>#N/A</v>
      </c>
      <c r="AY3" s="3" t="e">
        <f>VLOOKUP(AX3,$AT$3:$AV$55,3,FALSE)</f>
        <v>#N/A</v>
      </c>
      <c r="BA3" s="26" t="s">
        <v>57</v>
      </c>
      <c r="BB3" s="3" t="e">
        <f>VLOOKUP(AG6,'Gráfico Controle de Resultados'!$M$5:$O$12,3,FALSE)</f>
        <v>#N/A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2</v>
      </c>
      <c r="U4" s="3">
        <v>1</v>
      </c>
      <c r="V4" s="3">
        <v>2</v>
      </c>
      <c r="W4" s="22">
        <f t="shared" ref="W4:W67" si="4">WEEKDAY(T4)</f>
        <v>2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8</v>
      </c>
      <c r="AB4" s="14">
        <f t="shared" ref="AB4:AB54" si="6">AA5-1</f>
        <v>14</v>
      </c>
      <c r="AC4" s="8" t="str">
        <f t="shared" ref="AC4:AC55" si="7">"Semana "&amp;AE4&amp;": de "&amp;TEXT(AA4,"dd/mmm/aaaa")&amp;" a "&amp;TEXT(AB4,"dd/mmm/aaaa")</f>
        <v>Semana 2: de 08/jan/1900 a 14/jan/1900</v>
      </c>
      <c r="AD4" s="4">
        <f t="shared" si="2"/>
        <v>1</v>
      </c>
      <c r="AE4" s="3">
        <f>1+AE3</f>
        <v>2</v>
      </c>
      <c r="AF4" s="1"/>
      <c r="AL4" s="3">
        <v>2</v>
      </c>
      <c r="AM4" s="4">
        <f>'Gráfico Controle de Resultados'!F6</f>
        <v>32</v>
      </c>
      <c r="AN4" s="3">
        <f>COUNTIF('Gráfico Controle de Resultados'!W:W,Auxiliar!AM4)</f>
        <v>0</v>
      </c>
      <c r="AO4" s="3">
        <f>AN4+AO3</f>
        <v>0</v>
      </c>
      <c r="AQ4" s="26" t="s">
        <v>58</v>
      </c>
      <c r="AR4" s="3" t="e">
        <f>IF('Gráfico Controle de Resultados'!C6="Cima",Auxiliar!AR2-Auxiliar!AR3,AR3-AR2)</f>
        <v>#N/A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 t="e">
        <f>'Gráfico Controle de Resultados'!M6</f>
        <v>#N/A</v>
      </c>
      <c r="AY4" s="3" t="e">
        <f t="shared" ref="AY4:AY10" si="8">VLOOKUP(AX4,$AT$3:$AV$55,3,FALSE)</f>
        <v>#N/A</v>
      </c>
      <c r="BA4" s="26" t="s">
        <v>58</v>
      </c>
      <c r="BB4" s="3" t="e">
        <f>IF('Gráfico Controle de Resultados'!C6="Cima",Auxiliar!BB2-Auxiliar!BB3,BB3-BB2)</f>
        <v>#N/A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3</v>
      </c>
      <c r="U5" s="3">
        <v>1</v>
      </c>
      <c r="V5" s="3">
        <v>3</v>
      </c>
      <c r="W5" s="22">
        <f t="shared" si="4"/>
        <v>3</v>
      </c>
      <c r="X5" s="3">
        <f t="shared" si="5"/>
        <v>1</v>
      </c>
      <c r="Z5" s="3" t="str">
        <f t="shared" si="0"/>
        <v>Semana 3</v>
      </c>
      <c r="AA5" s="14">
        <f t="shared" si="1"/>
        <v>15</v>
      </c>
      <c r="AB5" s="14">
        <f t="shared" si="6"/>
        <v>21</v>
      </c>
      <c r="AC5" s="8" t="str">
        <f t="shared" si="7"/>
        <v>Semana 3: de 15/jan/1900 a 21/jan/1900</v>
      </c>
      <c r="AD5" s="4">
        <f t="shared" si="2"/>
        <v>1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61</v>
      </c>
      <c r="AN5" s="3">
        <f>COUNTIF('Gráfico Controle de Resultados'!W:W,Auxiliar!AM5)</f>
        <v>0</v>
      </c>
      <c r="AO5" s="3">
        <f t="shared" ref="AO5:AO14" si="11">AN5+AO4</f>
        <v>0</v>
      </c>
      <c r="AQ5" s="26" t="s">
        <v>60</v>
      </c>
      <c r="AR5" s="3" t="e">
        <f>ABS(AR4)</f>
        <v>#N/A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 t="e">
        <f>'Gráfico Controle de Resultados'!M7</f>
        <v>#N/A</v>
      </c>
      <c r="AY5" s="3" t="e">
        <f t="shared" si="8"/>
        <v>#N/A</v>
      </c>
      <c r="BA5" s="26" t="s">
        <v>60</v>
      </c>
      <c r="BB5" s="3" t="e">
        <f>ABS(BB4)</f>
        <v>#N/A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</v>
      </c>
      <c r="U6" s="3">
        <v>1</v>
      </c>
      <c r="V6" s="3">
        <v>4</v>
      </c>
      <c r="W6" s="22">
        <f t="shared" si="4"/>
        <v>4</v>
      </c>
      <c r="X6" s="3">
        <f t="shared" si="5"/>
        <v>1</v>
      </c>
      <c r="Z6" s="3" t="str">
        <f t="shared" si="0"/>
        <v>Semana 4</v>
      </c>
      <c r="AA6" s="14">
        <f t="shared" si="1"/>
        <v>22</v>
      </c>
      <c r="AB6" s="14">
        <f t="shared" si="6"/>
        <v>28</v>
      </c>
      <c r="AC6" s="8" t="str">
        <f t="shared" si="7"/>
        <v>Semana 4: de 22/jan/1900 a 28/jan/1900</v>
      </c>
      <c r="AD6" s="4">
        <f t="shared" si="2"/>
        <v>1</v>
      </c>
      <c r="AE6" s="3">
        <f t="shared" si="10"/>
        <v>4</v>
      </c>
      <c r="AF6" s="1"/>
      <c r="AG6" s="3" t="e">
        <f>VLOOKUP('Gráfico Controle de Resultados'!C10,Auxiliar!$AC$3:$AE$55,3,FALSE)</f>
        <v>#N/A</v>
      </c>
      <c r="AL6" s="3">
        <v>4</v>
      </c>
      <c r="AM6" s="4">
        <f>'Gráfico Controle de Resultados'!F8</f>
        <v>92</v>
      </c>
      <c r="AN6" s="3">
        <f>COUNTIF('Gráfico Controle de Resultados'!W:W,Auxiliar!AM6)</f>
        <v>0</v>
      </c>
      <c r="AO6" s="3">
        <f t="shared" si="11"/>
        <v>0</v>
      </c>
      <c r="AQ6" s="26" t="s">
        <v>59</v>
      </c>
      <c r="AR6" s="3" t="e">
        <f>IF(AR4&lt;0,"pior","melhor")</f>
        <v>#N/A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 t="e">
        <f>'Gráfico Controle de Resultados'!M8</f>
        <v>#N/A</v>
      </c>
      <c r="AY6" s="3" t="e">
        <f t="shared" si="8"/>
        <v>#N/A</v>
      </c>
      <c r="BA6" s="26" t="s">
        <v>59</v>
      </c>
      <c r="BB6" s="3" t="e">
        <f>IF(BB4&lt;0,"pior","melhor")</f>
        <v>#N/A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5</v>
      </c>
      <c r="U7" s="3">
        <v>1</v>
      </c>
      <c r="V7" s="3">
        <v>5</v>
      </c>
      <c r="W7" s="22">
        <f t="shared" si="4"/>
        <v>5</v>
      </c>
      <c r="X7" s="3">
        <f t="shared" si="5"/>
        <v>1</v>
      </c>
      <c r="Z7" s="3" t="str">
        <f t="shared" si="0"/>
        <v>Semana 5</v>
      </c>
      <c r="AA7" s="14">
        <f t="shared" si="1"/>
        <v>29</v>
      </c>
      <c r="AB7" s="14">
        <f t="shared" si="6"/>
        <v>35</v>
      </c>
      <c r="AC7" s="8" t="str">
        <f t="shared" si="7"/>
        <v>Semana 5: de 29/jan/1900 a 04/fev/1900</v>
      </c>
      <c r="AD7" s="4">
        <f t="shared" si="2"/>
        <v>1</v>
      </c>
      <c r="AE7" s="3">
        <f t="shared" si="10"/>
        <v>5</v>
      </c>
      <c r="AF7" s="1"/>
      <c r="AL7" s="3">
        <v>5</v>
      </c>
      <c r="AM7" s="4">
        <f>'Gráfico Controle de Resultados'!F9</f>
        <v>122</v>
      </c>
      <c r="AN7" s="3">
        <f>COUNTIF('Gráfico Controle de Resultados'!W:W,Auxiliar!AM7)</f>
        <v>0</v>
      </c>
      <c r="AO7" s="3">
        <f t="shared" si="11"/>
        <v>0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 t="e">
        <f>'Gráfico Controle de Resultados'!M9</f>
        <v>#N/A</v>
      </c>
      <c r="AY7" s="3" t="e">
        <f t="shared" si="8"/>
        <v>#N/A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6</v>
      </c>
      <c r="U8" s="3">
        <v>1</v>
      </c>
      <c r="V8" s="3">
        <v>6</v>
      </c>
      <c r="W8" s="22">
        <f t="shared" si="4"/>
        <v>6</v>
      </c>
      <c r="X8" s="3">
        <f t="shared" si="5"/>
        <v>1</v>
      </c>
      <c r="Z8" s="3" t="str">
        <f t="shared" si="0"/>
        <v>Semana 6</v>
      </c>
      <c r="AA8" s="14">
        <f t="shared" si="1"/>
        <v>36</v>
      </c>
      <c r="AB8" s="14">
        <f t="shared" si="6"/>
        <v>42</v>
      </c>
      <c r="AC8" s="8" t="str">
        <f t="shared" si="7"/>
        <v>Semana 6: de 05/fev/1900 a 11/fev/1900</v>
      </c>
      <c r="AD8" s="4">
        <f t="shared" si="2"/>
        <v>32</v>
      </c>
      <c r="AE8" s="3">
        <f t="shared" si="10"/>
        <v>6</v>
      </c>
      <c r="AF8" s="1"/>
      <c r="AL8" s="3">
        <v>6</v>
      </c>
      <c r="AM8" s="4">
        <f>'Gráfico Controle de Resultados'!F10</f>
        <v>153</v>
      </c>
      <c r="AN8" s="3">
        <f>COUNTIF('Gráfico Controle de Resultados'!W:W,Auxiliar!AM8)</f>
        <v>0</v>
      </c>
      <c r="AO8" s="3">
        <f t="shared" si="11"/>
        <v>0</v>
      </c>
      <c r="AT8" s="3">
        <f t="shared" si="12"/>
        <v>6</v>
      </c>
      <c r="AU8" s="3">
        <f>COUNTIF('Gráfico Controle de Resultados'!X:X,Auxiliar!AT8)</f>
        <v>0</v>
      </c>
      <c r="AV8" s="3">
        <f t="shared" si="13"/>
        <v>0</v>
      </c>
      <c r="AX8" s="3" t="e">
        <f>'Gráfico Controle de Resultados'!M10</f>
        <v>#N/A</v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1</v>
      </c>
      <c r="T9" s="7">
        <f>DATE('Gráfico Controle de Resultados'!$C$9,Auxiliar!U9,Auxiliar!V9)</f>
        <v>7</v>
      </c>
      <c r="U9" s="3">
        <v>1</v>
      </c>
      <c r="V9" s="3">
        <v>7</v>
      </c>
      <c r="W9" s="22">
        <f t="shared" si="4"/>
        <v>7</v>
      </c>
      <c r="X9" s="3">
        <f t="shared" si="5"/>
        <v>1</v>
      </c>
      <c r="Z9" s="3" t="str">
        <f t="shared" si="0"/>
        <v>Semana 7</v>
      </c>
      <c r="AA9" s="14">
        <f t="shared" si="1"/>
        <v>43</v>
      </c>
      <c r="AB9" s="14">
        <f t="shared" si="6"/>
        <v>49</v>
      </c>
      <c r="AC9" s="8" t="str">
        <f t="shared" si="7"/>
        <v>Semana 7: de 12/fev/1900 a 18/fev/1900</v>
      </c>
      <c r="AD9" s="4">
        <f t="shared" si="2"/>
        <v>32</v>
      </c>
      <c r="AE9" s="3">
        <f t="shared" si="10"/>
        <v>7</v>
      </c>
      <c r="AF9" s="1"/>
      <c r="AL9" s="3">
        <v>7</v>
      </c>
      <c r="AM9" s="4">
        <f>'Gráfico Controle de Resultados'!F11</f>
        <v>183</v>
      </c>
      <c r="AN9" s="3">
        <f>COUNTIF('Gráfico Controle de Resultados'!W:W,Auxiliar!AM9)</f>
        <v>0</v>
      </c>
      <c r="AO9" s="3">
        <f t="shared" si="11"/>
        <v>0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0</v>
      </c>
      <c r="AX9" s="3" t="e">
        <f>'Gráfico Controle de Resultados'!M11</f>
        <v>#N/A</v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8</v>
      </c>
      <c r="U10" s="3">
        <v>1</v>
      </c>
      <c r="V10" s="3">
        <v>8</v>
      </c>
      <c r="W10" s="22">
        <f t="shared" si="4"/>
        <v>1</v>
      </c>
      <c r="X10" s="3">
        <f t="shared" si="5"/>
        <v>2</v>
      </c>
      <c r="Z10" s="3" t="str">
        <f t="shared" si="0"/>
        <v>Semana 8</v>
      </c>
      <c r="AA10" s="14">
        <f t="shared" si="1"/>
        <v>50</v>
      </c>
      <c r="AB10" s="14">
        <f t="shared" si="6"/>
        <v>56</v>
      </c>
      <c r="AC10" s="8" t="str">
        <f t="shared" si="7"/>
        <v>Semana 8: de 19/fev/1900 a 25/fev/1900</v>
      </c>
      <c r="AD10" s="4">
        <f t="shared" si="2"/>
        <v>32</v>
      </c>
      <c r="AE10" s="3">
        <f t="shared" si="10"/>
        <v>8</v>
      </c>
      <c r="AF10" s="1"/>
      <c r="AL10" s="3">
        <v>8</v>
      </c>
      <c r="AM10" s="4">
        <f>'Gráfico Controle de Resultados'!F12</f>
        <v>214</v>
      </c>
      <c r="AN10" s="3">
        <f>COUNTIF('Gráfico Controle de Resultados'!W:W,Auxiliar!AM10)</f>
        <v>0</v>
      </c>
      <c r="AO10" s="3">
        <f t="shared" si="11"/>
        <v>0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0</v>
      </c>
      <c r="AX10" s="3" t="e">
        <f>'Gráfico Controle de Resultados'!M12</f>
        <v>#N/A</v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9</v>
      </c>
      <c r="U11" s="3">
        <v>1</v>
      </c>
      <c r="V11" s="3">
        <v>9</v>
      </c>
      <c r="W11" s="22">
        <f t="shared" si="4"/>
        <v>2</v>
      </c>
      <c r="X11" s="3">
        <f t="shared" si="5"/>
        <v>2</v>
      </c>
      <c r="Z11" s="3" t="str">
        <f t="shared" si="0"/>
        <v>Semana 9</v>
      </c>
      <c r="AA11" s="14">
        <f t="shared" si="1"/>
        <v>57</v>
      </c>
      <c r="AB11" s="14">
        <f t="shared" si="6"/>
        <v>63</v>
      </c>
      <c r="AC11" s="8" t="str">
        <f t="shared" si="7"/>
        <v>Semana 9: de 26/fev/1900 a 03/mar/1900</v>
      </c>
      <c r="AD11" s="4">
        <f t="shared" si="2"/>
        <v>32</v>
      </c>
      <c r="AE11" s="3">
        <f t="shared" si="10"/>
        <v>9</v>
      </c>
      <c r="AF11" s="1"/>
      <c r="AL11" s="3">
        <v>9</v>
      </c>
      <c r="AM11" s="4">
        <f>'Gráfico Controle de Resultados'!F13</f>
        <v>245</v>
      </c>
      <c r="AN11" s="3">
        <f>COUNTIF('Gráfico Controle de Resultados'!W:W,Auxiliar!AM11)</f>
        <v>0</v>
      </c>
      <c r="AO11" s="3">
        <f t="shared" si="11"/>
        <v>0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0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10</v>
      </c>
      <c r="U12" s="3">
        <v>1</v>
      </c>
      <c r="V12" s="3">
        <v>10</v>
      </c>
      <c r="W12" s="22">
        <f t="shared" si="4"/>
        <v>3</v>
      </c>
      <c r="X12" s="3">
        <f t="shared" si="5"/>
        <v>2</v>
      </c>
      <c r="Z12" s="3" t="str">
        <f t="shared" si="0"/>
        <v>Semana 10</v>
      </c>
      <c r="AA12" s="14">
        <f t="shared" si="1"/>
        <v>64</v>
      </c>
      <c r="AB12" s="14">
        <f t="shared" si="6"/>
        <v>70</v>
      </c>
      <c r="AC12" s="8" t="str">
        <f t="shared" si="7"/>
        <v>Semana 10: de 04/mar/1900 a 10/mar/1900</v>
      </c>
      <c r="AD12" s="4">
        <f t="shared" si="2"/>
        <v>61</v>
      </c>
      <c r="AE12" s="3">
        <f t="shared" si="10"/>
        <v>10</v>
      </c>
      <c r="AF12" s="1"/>
      <c r="AL12" s="3">
        <v>10</v>
      </c>
      <c r="AM12" s="4">
        <f>'Gráfico Controle de Resultados'!F14</f>
        <v>275</v>
      </c>
      <c r="AN12" s="3">
        <f>COUNTIF('Gráfico Controle de Resultados'!W:W,Auxiliar!AM12)</f>
        <v>0</v>
      </c>
      <c r="AO12" s="3">
        <f t="shared" si="11"/>
        <v>0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0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11</v>
      </c>
      <c r="U13" s="3">
        <v>1</v>
      </c>
      <c r="V13" s="3">
        <v>11</v>
      </c>
      <c r="W13" s="22">
        <f t="shared" si="4"/>
        <v>4</v>
      </c>
      <c r="X13" s="3">
        <f t="shared" si="5"/>
        <v>2</v>
      </c>
      <c r="Z13" s="3" t="str">
        <f t="shared" si="0"/>
        <v>Semana 11</v>
      </c>
      <c r="AA13" s="14">
        <f t="shared" si="1"/>
        <v>71</v>
      </c>
      <c r="AB13" s="14">
        <f t="shared" si="6"/>
        <v>77</v>
      </c>
      <c r="AC13" s="8" t="str">
        <f t="shared" si="7"/>
        <v>Semana 11: de 11/mar/1900 a 17/mar/1900</v>
      </c>
      <c r="AD13" s="4">
        <f t="shared" si="2"/>
        <v>61</v>
      </c>
      <c r="AE13" s="3">
        <f t="shared" si="10"/>
        <v>11</v>
      </c>
      <c r="AF13" s="1"/>
      <c r="AL13" s="3">
        <v>11</v>
      </c>
      <c r="AM13" s="4">
        <f>'Gráfico Controle de Resultados'!F15</f>
        <v>306</v>
      </c>
      <c r="AN13" s="3">
        <f>COUNTIF('Gráfico Controle de Resultados'!W:W,Auxiliar!AM13)</f>
        <v>0</v>
      </c>
      <c r="AO13" s="3">
        <f t="shared" si="11"/>
        <v>0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0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12</v>
      </c>
      <c r="U14" s="3">
        <v>1</v>
      </c>
      <c r="V14" s="3">
        <v>12</v>
      </c>
      <c r="W14" s="22">
        <f t="shared" si="4"/>
        <v>5</v>
      </c>
      <c r="X14" s="3">
        <f t="shared" si="5"/>
        <v>2</v>
      </c>
      <c r="Z14" s="3" t="str">
        <f t="shared" si="0"/>
        <v>Semana 12</v>
      </c>
      <c r="AA14" s="14">
        <f t="shared" si="1"/>
        <v>78</v>
      </c>
      <c r="AB14" s="14">
        <f t="shared" si="6"/>
        <v>84</v>
      </c>
      <c r="AC14" s="8" t="str">
        <f t="shared" si="7"/>
        <v>Semana 12: de 18/mar/1900 a 24/mar/1900</v>
      </c>
      <c r="AD14" s="4">
        <f t="shared" si="2"/>
        <v>61</v>
      </c>
      <c r="AE14" s="3">
        <f t="shared" si="10"/>
        <v>12</v>
      </c>
      <c r="AF14" s="1"/>
      <c r="AL14" s="3">
        <v>12</v>
      </c>
      <c r="AM14" s="4">
        <f>'Gráfico Controle de Resultados'!F16</f>
        <v>336</v>
      </c>
      <c r="AN14" s="3">
        <f>COUNTIF('Gráfico Controle de Resultados'!W:W,Auxiliar!AM14)</f>
        <v>0</v>
      </c>
      <c r="AO14" s="3">
        <f t="shared" si="11"/>
        <v>0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0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13</v>
      </c>
      <c r="U15" s="3">
        <v>1</v>
      </c>
      <c r="V15" s="3">
        <v>13</v>
      </c>
      <c r="W15" s="22">
        <f t="shared" si="4"/>
        <v>6</v>
      </c>
      <c r="X15" s="3">
        <f t="shared" si="5"/>
        <v>2</v>
      </c>
      <c r="Z15" s="3" t="str">
        <f t="shared" si="0"/>
        <v>Semana 13</v>
      </c>
      <c r="AA15" s="14">
        <f t="shared" si="1"/>
        <v>85</v>
      </c>
      <c r="AB15" s="14">
        <f t="shared" si="6"/>
        <v>91</v>
      </c>
      <c r="AC15" s="8" t="str">
        <f t="shared" si="7"/>
        <v>Semana 13: de 25/mar/1900 a 31/mar/1900</v>
      </c>
      <c r="AD15" s="4">
        <f t="shared" si="2"/>
        <v>61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0</v>
      </c>
    </row>
    <row r="16" spans="2:60" x14ac:dyDescent="0.35">
      <c r="K16" s="3">
        <f t="shared" si="9"/>
        <v>2038</v>
      </c>
      <c r="S16" s="3">
        <f t="shared" si="3"/>
        <v>2</v>
      </c>
      <c r="T16" s="7">
        <f>DATE('Gráfico Controle de Resultados'!$C$9,Auxiliar!U16,Auxiliar!V16)</f>
        <v>14</v>
      </c>
      <c r="U16" s="3">
        <v>1</v>
      </c>
      <c r="V16" s="3">
        <v>14</v>
      </c>
      <c r="W16" s="22">
        <f t="shared" si="4"/>
        <v>7</v>
      </c>
      <c r="X16" s="3">
        <f t="shared" si="5"/>
        <v>2</v>
      </c>
      <c r="Z16" s="3" t="str">
        <f t="shared" si="0"/>
        <v>Semana 14</v>
      </c>
      <c r="AA16" s="14">
        <f t="shared" si="1"/>
        <v>92</v>
      </c>
      <c r="AB16" s="14">
        <f t="shared" si="6"/>
        <v>98</v>
      </c>
      <c r="AC16" s="8" t="str">
        <f t="shared" si="7"/>
        <v>Semana 14: de 01/abr/1900 a 07/abr/1900</v>
      </c>
      <c r="AD16" s="4">
        <f t="shared" si="2"/>
        <v>92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0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15</v>
      </c>
      <c r="U17" s="3">
        <v>1</v>
      </c>
      <c r="V17" s="3">
        <v>15</v>
      </c>
      <c r="W17" s="22">
        <f t="shared" si="4"/>
        <v>1</v>
      </c>
      <c r="X17" s="3">
        <f t="shared" si="5"/>
        <v>3</v>
      </c>
      <c r="Z17" s="3" t="str">
        <f t="shared" si="0"/>
        <v>Semana 15</v>
      </c>
      <c r="AA17" s="14">
        <f t="shared" si="1"/>
        <v>99</v>
      </c>
      <c r="AB17" s="14">
        <f t="shared" si="6"/>
        <v>105</v>
      </c>
      <c r="AC17" s="8" t="str">
        <f t="shared" si="7"/>
        <v>Semana 15: de 08/abr/1900 a 14/abr/1900</v>
      </c>
      <c r="AD17" s="4">
        <f t="shared" si="2"/>
        <v>92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0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16</v>
      </c>
      <c r="U18" s="3">
        <v>1</v>
      </c>
      <c r="V18" s="3">
        <v>16</v>
      </c>
      <c r="W18" s="22">
        <f t="shared" si="4"/>
        <v>2</v>
      </c>
      <c r="X18" s="3">
        <f t="shared" si="5"/>
        <v>3</v>
      </c>
      <c r="Z18" s="3" t="str">
        <f t="shared" si="0"/>
        <v>Semana 16</v>
      </c>
      <c r="AA18" s="14">
        <f t="shared" si="1"/>
        <v>106</v>
      </c>
      <c r="AB18" s="14">
        <f t="shared" si="6"/>
        <v>112</v>
      </c>
      <c r="AC18" s="8" t="str">
        <f t="shared" si="7"/>
        <v>Semana 16: de 15/abr/1900 a 21/abr/1900</v>
      </c>
      <c r="AD18" s="4">
        <f t="shared" si="2"/>
        <v>92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0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17</v>
      </c>
      <c r="U19" s="3">
        <v>1</v>
      </c>
      <c r="V19" s="3">
        <v>17</v>
      </c>
      <c r="W19" s="22">
        <f t="shared" si="4"/>
        <v>3</v>
      </c>
      <c r="X19" s="3">
        <f t="shared" si="5"/>
        <v>3</v>
      </c>
      <c r="Z19" s="3" t="str">
        <f t="shared" si="0"/>
        <v>Semana 17</v>
      </c>
      <c r="AA19" s="14">
        <f t="shared" si="1"/>
        <v>113</v>
      </c>
      <c r="AB19" s="14">
        <f t="shared" si="6"/>
        <v>119</v>
      </c>
      <c r="AC19" s="8" t="str">
        <f t="shared" si="7"/>
        <v>Semana 17: de 22/abr/1900 a 28/abr/1900</v>
      </c>
      <c r="AD19" s="4">
        <f t="shared" si="2"/>
        <v>92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0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18</v>
      </c>
      <c r="U20" s="3">
        <v>1</v>
      </c>
      <c r="V20" s="3">
        <v>18</v>
      </c>
      <c r="W20" s="22">
        <f t="shared" si="4"/>
        <v>4</v>
      </c>
      <c r="X20" s="3">
        <f t="shared" si="5"/>
        <v>3</v>
      </c>
      <c r="Z20" s="3" t="str">
        <f t="shared" si="0"/>
        <v>Semana 18</v>
      </c>
      <c r="AA20" s="14">
        <f t="shared" si="1"/>
        <v>120</v>
      </c>
      <c r="AB20" s="14">
        <f t="shared" si="6"/>
        <v>126</v>
      </c>
      <c r="AC20" s="8" t="str">
        <f t="shared" si="7"/>
        <v>Semana 18: de 29/abr/1900 a 05/mai/1900</v>
      </c>
      <c r="AD20" s="4">
        <f t="shared" si="2"/>
        <v>92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0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19</v>
      </c>
      <c r="U21" s="3">
        <v>1</v>
      </c>
      <c r="V21" s="3">
        <v>19</v>
      </c>
      <c r="W21" s="22">
        <f t="shared" si="4"/>
        <v>5</v>
      </c>
      <c r="X21" s="3">
        <f t="shared" si="5"/>
        <v>3</v>
      </c>
      <c r="Z21" s="3" t="str">
        <f t="shared" si="0"/>
        <v>Semana 19</v>
      </c>
      <c r="AA21" s="14">
        <f t="shared" si="1"/>
        <v>127</v>
      </c>
      <c r="AB21" s="14">
        <f t="shared" si="6"/>
        <v>133</v>
      </c>
      <c r="AC21" s="8" t="str">
        <f t="shared" si="7"/>
        <v>Semana 19: de 06/mai/1900 a 12/mai/1900</v>
      </c>
      <c r="AD21" s="4">
        <f t="shared" si="2"/>
        <v>122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0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20</v>
      </c>
      <c r="U22" s="3">
        <v>1</v>
      </c>
      <c r="V22" s="3">
        <v>20</v>
      </c>
      <c r="W22" s="22">
        <f t="shared" si="4"/>
        <v>6</v>
      </c>
      <c r="X22" s="3">
        <f t="shared" si="5"/>
        <v>3</v>
      </c>
      <c r="Z22" s="3" t="str">
        <f t="shared" si="0"/>
        <v>Semana 20</v>
      </c>
      <c r="AA22" s="14">
        <f t="shared" si="1"/>
        <v>134</v>
      </c>
      <c r="AB22" s="14">
        <f t="shared" si="6"/>
        <v>140</v>
      </c>
      <c r="AC22" s="8" t="str">
        <f t="shared" si="7"/>
        <v>Semana 20: de 13/mai/1900 a 19/mai/1900</v>
      </c>
      <c r="AD22" s="4">
        <f t="shared" si="2"/>
        <v>122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0</v>
      </c>
    </row>
    <row r="23" spans="11:48" x14ac:dyDescent="0.35">
      <c r="K23" s="3">
        <f t="shared" si="9"/>
        <v>2045</v>
      </c>
      <c r="S23" s="3">
        <f t="shared" si="3"/>
        <v>3</v>
      </c>
      <c r="T23" s="7">
        <f>DATE('Gráfico Controle de Resultados'!$C$9,Auxiliar!U23,Auxiliar!V23)</f>
        <v>21</v>
      </c>
      <c r="U23" s="3">
        <v>1</v>
      </c>
      <c r="V23" s="3">
        <v>21</v>
      </c>
      <c r="W23" s="22">
        <f t="shared" si="4"/>
        <v>7</v>
      </c>
      <c r="X23" s="3">
        <f t="shared" si="5"/>
        <v>3</v>
      </c>
      <c r="Z23" s="3" t="str">
        <f t="shared" si="0"/>
        <v>Semana 21</v>
      </c>
      <c r="AA23" s="14">
        <f t="shared" si="1"/>
        <v>141</v>
      </c>
      <c r="AB23" s="14">
        <f t="shared" si="6"/>
        <v>147</v>
      </c>
      <c r="AC23" s="8" t="str">
        <f t="shared" si="7"/>
        <v>Semana 21: de 20/mai/1900 a 26/mai/1900</v>
      </c>
      <c r="AD23" s="4">
        <f t="shared" si="2"/>
        <v>122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0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22</v>
      </c>
      <c r="U24" s="3">
        <v>1</v>
      </c>
      <c r="V24" s="3">
        <v>22</v>
      </c>
      <c r="W24" s="22">
        <f t="shared" si="4"/>
        <v>1</v>
      </c>
      <c r="X24" s="3">
        <f t="shared" si="5"/>
        <v>4</v>
      </c>
      <c r="Z24" s="3" t="str">
        <f t="shared" si="0"/>
        <v>Semana 22</v>
      </c>
      <c r="AA24" s="14">
        <f t="shared" si="1"/>
        <v>148</v>
      </c>
      <c r="AB24" s="14">
        <f t="shared" si="6"/>
        <v>154</v>
      </c>
      <c r="AC24" s="8" t="str">
        <f t="shared" si="7"/>
        <v>Semana 22: de 27/mai/1900 a 02/jun/1900</v>
      </c>
      <c r="AD24" s="4">
        <f t="shared" si="2"/>
        <v>122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0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23</v>
      </c>
      <c r="U25" s="3">
        <v>1</v>
      </c>
      <c r="V25" s="3">
        <v>23</v>
      </c>
      <c r="W25" s="22">
        <f t="shared" si="4"/>
        <v>2</v>
      </c>
      <c r="X25" s="3">
        <f t="shared" si="5"/>
        <v>4</v>
      </c>
      <c r="Z25" s="3" t="str">
        <f t="shared" si="0"/>
        <v>Semana 23</v>
      </c>
      <c r="AA25" s="14">
        <f t="shared" si="1"/>
        <v>155</v>
      </c>
      <c r="AB25" s="14">
        <f t="shared" si="6"/>
        <v>161</v>
      </c>
      <c r="AC25" s="8" t="str">
        <f t="shared" si="7"/>
        <v>Semana 23: de 03/jun/1900 a 09/jun/1900</v>
      </c>
      <c r="AD25" s="4">
        <f t="shared" si="2"/>
        <v>153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0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24</v>
      </c>
      <c r="U26" s="3">
        <v>1</v>
      </c>
      <c r="V26" s="3">
        <v>24</v>
      </c>
      <c r="W26" s="22">
        <f t="shared" si="4"/>
        <v>3</v>
      </c>
      <c r="X26" s="3">
        <f t="shared" si="5"/>
        <v>4</v>
      </c>
      <c r="Z26" s="3" t="str">
        <f t="shared" si="0"/>
        <v>Semana 24</v>
      </c>
      <c r="AA26" s="14">
        <f t="shared" si="1"/>
        <v>162</v>
      </c>
      <c r="AB26" s="14">
        <f t="shared" si="6"/>
        <v>168</v>
      </c>
      <c r="AC26" s="8" t="str">
        <f t="shared" si="7"/>
        <v>Semana 24: de 10/jun/1900 a 16/jun/1900</v>
      </c>
      <c r="AD26" s="4">
        <f t="shared" si="2"/>
        <v>153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0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25</v>
      </c>
      <c r="U27" s="3">
        <v>1</v>
      </c>
      <c r="V27" s="3">
        <v>25</v>
      </c>
      <c r="W27" s="22">
        <f t="shared" si="4"/>
        <v>4</v>
      </c>
      <c r="X27" s="3">
        <f t="shared" si="5"/>
        <v>4</v>
      </c>
      <c r="Z27" s="3" t="str">
        <f t="shared" si="0"/>
        <v>Semana 25</v>
      </c>
      <c r="AA27" s="14">
        <f t="shared" si="1"/>
        <v>169</v>
      </c>
      <c r="AB27" s="14">
        <f t="shared" si="6"/>
        <v>175</v>
      </c>
      <c r="AC27" s="8" t="str">
        <f t="shared" si="7"/>
        <v>Semana 25: de 17/jun/1900 a 23/jun/1900</v>
      </c>
      <c r="AD27" s="4">
        <f t="shared" si="2"/>
        <v>153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0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26</v>
      </c>
      <c r="U28" s="3">
        <v>1</v>
      </c>
      <c r="V28" s="3">
        <v>26</v>
      </c>
      <c r="W28" s="22">
        <f t="shared" si="4"/>
        <v>5</v>
      </c>
      <c r="X28" s="3">
        <f t="shared" si="5"/>
        <v>4</v>
      </c>
      <c r="Z28" s="3" t="str">
        <f t="shared" si="0"/>
        <v>Semana 26</v>
      </c>
      <c r="AA28" s="14">
        <f t="shared" si="1"/>
        <v>176</v>
      </c>
      <c r="AB28" s="14">
        <f t="shared" si="6"/>
        <v>182</v>
      </c>
      <c r="AC28" s="8" t="str">
        <f t="shared" si="7"/>
        <v>Semana 26: de 24/jun/1900 a 30/jun/1900</v>
      </c>
      <c r="AD28" s="4">
        <f t="shared" si="2"/>
        <v>153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0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27</v>
      </c>
      <c r="U29" s="3">
        <v>1</v>
      </c>
      <c r="V29" s="3">
        <v>27</v>
      </c>
      <c r="W29" s="22">
        <f t="shared" si="4"/>
        <v>6</v>
      </c>
      <c r="X29" s="3">
        <f t="shared" si="5"/>
        <v>4</v>
      </c>
      <c r="Z29" s="3" t="str">
        <f t="shared" si="0"/>
        <v>Semana 27</v>
      </c>
      <c r="AA29" s="14">
        <f t="shared" si="1"/>
        <v>183</v>
      </c>
      <c r="AB29" s="14">
        <f t="shared" si="6"/>
        <v>189</v>
      </c>
      <c r="AC29" s="8" t="str">
        <f t="shared" si="7"/>
        <v>Semana 27: de 01/jul/1900 a 07/jul/1900</v>
      </c>
      <c r="AD29" s="4">
        <f t="shared" si="2"/>
        <v>183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0</v>
      </c>
    </row>
    <row r="30" spans="11:48" x14ac:dyDescent="0.35">
      <c r="K30" s="3">
        <f t="shared" si="9"/>
        <v>2052</v>
      </c>
      <c r="S30" s="3">
        <f t="shared" si="3"/>
        <v>4</v>
      </c>
      <c r="T30" s="7">
        <f>DATE('Gráfico Controle de Resultados'!$C$9,Auxiliar!U30,Auxiliar!V30)</f>
        <v>28</v>
      </c>
      <c r="U30" s="3">
        <v>1</v>
      </c>
      <c r="V30" s="3">
        <v>28</v>
      </c>
      <c r="W30" s="22">
        <f t="shared" si="4"/>
        <v>7</v>
      </c>
      <c r="X30" s="3">
        <f t="shared" si="5"/>
        <v>4</v>
      </c>
      <c r="Z30" s="3" t="str">
        <f t="shared" si="0"/>
        <v>Semana 28</v>
      </c>
      <c r="AA30" s="14">
        <f t="shared" si="1"/>
        <v>190</v>
      </c>
      <c r="AB30" s="14">
        <f t="shared" si="6"/>
        <v>196</v>
      </c>
      <c r="AC30" s="8" t="str">
        <f t="shared" si="7"/>
        <v>Semana 28: de 08/jul/1900 a 14/jul/1900</v>
      </c>
      <c r="AD30" s="4">
        <f t="shared" si="2"/>
        <v>183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0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29</v>
      </c>
      <c r="U31" s="3">
        <v>1</v>
      </c>
      <c r="V31" s="3">
        <v>29</v>
      </c>
      <c r="W31" s="22">
        <f t="shared" si="4"/>
        <v>1</v>
      </c>
      <c r="X31" s="3">
        <f t="shared" si="5"/>
        <v>5</v>
      </c>
      <c r="Z31" s="3" t="str">
        <f t="shared" si="0"/>
        <v>Semana 29</v>
      </c>
      <c r="AA31" s="14">
        <f t="shared" si="1"/>
        <v>197</v>
      </c>
      <c r="AB31" s="14">
        <f t="shared" si="6"/>
        <v>203</v>
      </c>
      <c r="AC31" s="8" t="str">
        <f t="shared" si="7"/>
        <v>Semana 29: de 15/jul/1900 a 21/jul/1900</v>
      </c>
      <c r="AD31" s="4">
        <f t="shared" si="2"/>
        <v>183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0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30</v>
      </c>
      <c r="U32" s="3">
        <v>1</v>
      </c>
      <c r="V32" s="3">
        <v>30</v>
      </c>
      <c r="W32" s="22">
        <f t="shared" si="4"/>
        <v>2</v>
      </c>
      <c r="X32" s="3">
        <f t="shared" si="5"/>
        <v>5</v>
      </c>
      <c r="Z32" s="3" t="str">
        <f t="shared" si="0"/>
        <v>Semana 30</v>
      </c>
      <c r="AA32" s="14">
        <f t="shared" si="1"/>
        <v>204</v>
      </c>
      <c r="AB32" s="14">
        <f t="shared" si="6"/>
        <v>210</v>
      </c>
      <c r="AC32" s="8" t="str">
        <f t="shared" si="7"/>
        <v>Semana 30: de 22/jul/1900 a 28/jul/1900</v>
      </c>
      <c r="AD32" s="4">
        <f t="shared" si="2"/>
        <v>183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0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31</v>
      </c>
      <c r="U33" s="3">
        <v>1</v>
      </c>
      <c r="V33" s="3">
        <v>31</v>
      </c>
      <c r="W33" s="22">
        <f t="shared" si="4"/>
        <v>3</v>
      </c>
      <c r="X33" s="3">
        <f t="shared" si="5"/>
        <v>5</v>
      </c>
      <c r="Z33" s="3" t="str">
        <f t="shared" si="0"/>
        <v>Semana 31</v>
      </c>
      <c r="AA33" s="14">
        <f t="shared" si="1"/>
        <v>211</v>
      </c>
      <c r="AB33" s="14">
        <f t="shared" si="6"/>
        <v>217</v>
      </c>
      <c r="AC33" s="8" t="str">
        <f t="shared" si="7"/>
        <v>Semana 31: de 29/jul/1900 a 04/ago/1900</v>
      </c>
      <c r="AD33" s="4">
        <f t="shared" si="2"/>
        <v>183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0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32</v>
      </c>
      <c r="U34" s="3">
        <v>2</v>
      </c>
      <c r="V34" s="3">
        <v>1</v>
      </c>
      <c r="W34" s="22">
        <f t="shared" si="4"/>
        <v>4</v>
      </c>
      <c r="X34" s="3">
        <f t="shared" si="5"/>
        <v>5</v>
      </c>
      <c r="Z34" s="3" t="str">
        <f t="shared" si="0"/>
        <v>Semana 32</v>
      </c>
      <c r="AA34" s="14">
        <f t="shared" si="1"/>
        <v>218</v>
      </c>
      <c r="AB34" s="14">
        <f t="shared" si="6"/>
        <v>224</v>
      </c>
      <c r="AC34" s="8" t="str">
        <f t="shared" si="7"/>
        <v>Semana 32: de 05/ago/1900 a 11/ago/1900</v>
      </c>
      <c r="AD34" s="4">
        <f t="shared" si="2"/>
        <v>214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0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33</v>
      </c>
      <c r="U35" s="3">
        <v>2</v>
      </c>
      <c r="V35" s="3">
        <v>2</v>
      </c>
      <c r="W35" s="22">
        <f t="shared" si="4"/>
        <v>5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225</v>
      </c>
      <c r="AB35" s="14">
        <f t="shared" si="6"/>
        <v>231</v>
      </c>
      <c r="AC35" s="8" t="str">
        <f t="shared" si="7"/>
        <v>Semana 33: de 12/ago/1900 a 18/ago/1900</v>
      </c>
      <c r="AD35" s="4">
        <f t="shared" ref="AD35:AD55" si="16">VLOOKUP(MONTH(AA35),$AL$3:$AM$14,2,FALSE)</f>
        <v>214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0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34</v>
      </c>
      <c r="U36" s="3">
        <v>2</v>
      </c>
      <c r="V36" s="3">
        <v>3</v>
      </c>
      <c r="W36" s="22">
        <f t="shared" si="4"/>
        <v>6</v>
      </c>
      <c r="X36" s="3">
        <f t="shared" si="5"/>
        <v>5</v>
      </c>
      <c r="Z36" s="3" t="str">
        <f t="shared" si="14"/>
        <v>Semana 34</v>
      </c>
      <c r="AA36" s="14">
        <f t="shared" si="15"/>
        <v>232</v>
      </c>
      <c r="AB36" s="14">
        <f t="shared" si="6"/>
        <v>238</v>
      </c>
      <c r="AC36" s="8" t="str">
        <f t="shared" si="7"/>
        <v>Semana 34: de 19/ago/1900 a 25/ago/1900</v>
      </c>
      <c r="AD36" s="4">
        <f t="shared" si="16"/>
        <v>214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0</v>
      </c>
    </row>
    <row r="37" spans="11:48" x14ac:dyDescent="0.35">
      <c r="K37" s="3">
        <f t="shared" si="9"/>
        <v>2059</v>
      </c>
      <c r="S37" s="3">
        <f t="shared" si="3"/>
        <v>5</v>
      </c>
      <c r="T37" s="7">
        <f>DATE('Gráfico Controle de Resultados'!$C$9,Auxiliar!U37,Auxiliar!V37)</f>
        <v>35</v>
      </c>
      <c r="U37" s="3">
        <v>2</v>
      </c>
      <c r="V37" s="3">
        <v>4</v>
      </c>
      <c r="W37" s="22">
        <f t="shared" si="4"/>
        <v>7</v>
      </c>
      <c r="X37" s="3">
        <f t="shared" si="5"/>
        <v>5</v>
      </c>
      <c r="Z37" s="3" t="str">
        <f t="shared" si="14"/>
        <v>Semana 35</v>
      </c>
      <c r="AA37" s="14">
        <f t="shared" si="15"/>
        <v>239</v>
      </c>
      <c r="AB37" s="14">
        <f t="shared" si="6"/>
        <v>245</v>
      </c>
      <c r="AC37" s="8" t="str">
        <f t="shared" si="7"/>
        <v>Semana 35: de 26/ago/1900 a 01/set/1900</v>
      </c>
      <c r="AD37" s="4">
        <f t="shared" si="16"/>
        <v>214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0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36</v>
      </c>
      <c r="U38" s="3">
        <v>2</v>
      </c>
      <c r="V38" s="3">
        <v>5</v>
      </c>
      <c r="W38" s="22">
        <f t="shared" si="4"/>
        <v>1</v>
      </c>
      <c r="X38" s="3">
        <f t="shared" si="5"/>
        <v>6</v>
      </c>
      <c r="Z38" s="3" t="str">
        <f t="shared" si="14"/>
        <v>Semana 36</v>
      </c>
      <c r="AA38" s="14">
        <f t="shared" si="15"/>
        <v>246</v>
      </c>
      <c r="AB38" s="14">
        <f t="shared" si="6"/>
        <v>252</v>
      </c>
      <c r="AC38" s="8" t="str">
        <f t="shared" si="7"/>
        <v>Semana 36: de 02/set/1900 a 08/set/1900</v>
      </c>
      <c r="AD38" s="4">
        <f t="shared" si="16"/>
        <v>245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0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37</v>
      </c>
      <c r="U39" s="3">
        <v>2</v>
      </c>
      <c r="V39" s="3">
        <v>6</v>
      </c>
      <c r="W39" s="22">
        <f t="shared" si="4"/>
        <v>2</v>
      </c>
      <c r="X39" s="3">
        <f t="shared" si="5"/>
        <v>6</v>
      </c>
      <c r="Z39" s="3" t="str">
        <f t="shared" si="14"/>
        <v>Semana 37</v>
      </c>
      <c r="AA39" s="14">
        <f t="shared" si="15"/>
        <v>253</v>
      </c>
      <c r="AB39" s="14">
        <f t="shared" si="6"/>
        <v>259</v>
      </c>
      <c r="AC39" s="8" t="str">
        <f t="shared" si="7"/>
        <v>Semana 37: de 09/set/1900 a 15/set/1900</v>
      </c>
      <c r="AD39" s="4">
        <f t="shared" si="16"/>
        <v>245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0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38</v>
      </c>
      <c r="U40" s="3">
        <v>2</v>
      </c>
      <c r="V40" s="3">
        <v>7</v>
      </c>
      <c r="W40" s="22">
        <f t="shared" si="4"/>
        <v>3</v>
      </c>
      <c r="X40" s="3">
        <f t="shared" si="5"/>
        <v>6</v>
      </c>
      <c r="Z40" s="3" t="str">
        <f t="shared" si="14"/>
        <v>Semana 38</v>
      </c>
      <c r="AA40" s="14">
        <f t="shared" si="15"/>
        <v>260</v>
      </c>
      <c r="AB40" s="14">
        <f t="shared" si="6"/>
        <v>266</v>
      </c>
      <c r="AC40" s="8" t="str">
        <f t="shared" si="7"/>
        <v>Semana 38: de 16/set/1900 a 22/set/1900</v>
      </c>
      <c r="AD40" s="4">
        <f t="shared" si="16"/>
        <v>245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0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39</v>
      </c>
      <c r="U41" s="3">
        <v>2</v>
      </c>
      <c r="V41" s="3">
        <v>8</v>
      </c>
      <c r="W41" s="22">
        <f t="shared" si="4"/>
        <v>4</v>
      </c>
      <c r="X41" s="3">
        <f t="shared" si="5"/>
        <v>6</v>
      </c>
      <c r="Z41" s="3" t="str">
        <f t="shared" si="14"/>
        <v>Semana 39</v>
      </c>
      <c r="AA41" s="14">
        <f t="shared" si="15"/>
        <v>267</v>
      </c>
      <c r="AB41" s="14">
        <f t="shared" si="6"/>
        <v>273</v>
      </c>
      <c r="AC41" s="8" t="str">
        <f t="shared" si="7"/>
        <v>Semana 39: de 23/set/1900 a 29/set/1900</v>
      </c>
      <c r="AD41" s="4">
        <f t="shared" si="16"/>
        <v>245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0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40</v>
      </c>
      <c r="U42" s="3">
        <v>2</v>
      </c>
      <c r="V42" s="3">
        <v>9</v>
      </c>
      <c r="W42" s="22">
        <f t="shared" si="4"/>
        <v>5</v>
      </c>
      <c r="X42" s="3">
        <f t="shared" si="5"/>
        <v>6</v>
      </c>
      <c r="Z42" s="3" t="str">
        <f t="shared" si="14"/>
        <v>Semana 40</v>
      </c>
      <c r="AA42" s="14">
        <f t="shared" si="15"/>
        <v>274</v>
      </c>
      <c r="AB42" s="14">
        <f t="shared" si="6"/>
        <v>280</v>
      </c>
      <c r="AC42" s="8" t="str">
        <f t="shared" si="7"/>
        <v>Semana 40: de 30/set/1900 a 06/out/1900</v>
      </c>
      <c r="AD42" s="4">
        <f t="shared" si="16"/>
        <v>245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0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41</v>
      </c>
      <c r="U43" s="3">
        <v>2</v>
      </c>
      <c r="V43" s="3">
        <v>10</v>
      </c>
      <c r="W43" s="22">
        <f t="shared" si="4"/>
        <v>6</v>
      </c>
      <c r="X43" s="3">
        <f t="shared" si="5"/>
        <v>6</v>
      </c>
      <c r="Z43" s="3" t="str">
        <f t="shared" si="14"/>
        <v>Semana 41</v>
      </c>
      <c r="AA43" s="14">
        <f t="shared" si="15"/>
        <v>281</v>
      </c>
      <c r="AB43" s="14">
        <f t="shared" si="6"/>
        <v>287</v>
      </c>
      <c r="AC43" s="8" t="str">
        <f t="shared" si="7"/>
        <v>Semana 41: de 07/out/1900 a 13/out/1900</v>
      </c>
      <c r="AD43" s="4">
        <f t="shared" si="16"/>
        <v>275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0</v>
      </c>
    </row>
    <row r="44" spans="11:48" x14ac:dyDescent="0.35">
      <c r="K44" s="1"/>
      <c r="S44" s="3">
        <f t="shared" si="3"/>
        <v>6</v>
      </c>
      <c r="T44" s="7">
        <f>DATE('Gráfico Controle de Resultados'!$C$9,Auxiliar!U44,Auxiliar!V44)</f>
        <v>42</v>
      </c>
      <c r="U44" s="3">
        <v>2</v>
      </c>
      <c r="V44" s="3">
        <v>11</v>
      </c>
      <c r="W44" s="22">
        <f t="shared" si="4"/>
        <v>7</v>
      </c>
      <c r="X44" s="3">
        <f t="shared" si="5"/>
        <v>6</v>
      </c>
      <c r="Z44" s="3" t="str">
        <f t="shared" si="14"/>
        <v>Semana 42</v>
      </c>
      <c r="AA44" s="14">
        <f t="shared" si="15"/>
        <v>288</v>
      </c>
      <c r="AB44" s="14">
        <f t="shared" si="6"/>
        <v>294</v>
      </c>
      <c r="AC44" s="8" t="str">
        <f t="shared" si="7"/>
        <v>Semana 42: de 14/out/1900 a 20/out/1900</v>
      </c>
      <c r="AD44" s="4">
        <f t="shared" si="16"/>
        <v>275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0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43</v>
      </c>
      <c r="U45" s="3">
        <v>2</v>
      </c>
      <c r="V45" s="3">
        <v>12</v>
      </c>
      <c r="W45" s="22">
        <f t="shared" si="4"/>
        <v>1</v>
      </c>
      <c r="X45" s="3">
        <f t="shared" si="5"/>
        <v>7</v>
      </c>
      <c r="Z45" s="3" t="str">
        <f t="shared" si="14"/>
        <v>Semana 43</v>
      </c>
      <c r="AA45" s="14">
        <f t="shared" si="15"/>
        <v>295</v>
      </c>
      <c r="AB45" s="14">
        <f t="shared" si="6"/>
        <v>301</v>
      </c>
      <c r="AC45" s="8" t="str">
        <f t="shared" si="7"/>
        <v>Semana 43: de 21/out/1900 a 27/out/1900</v>
      </c>
      <c r="AD45" s="4">
        <f t="shared" si="16"/>
        <v>275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0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44</v>
      </c>
      <c r="U46" s="3">
        <v>2</v>
      </c>
      <c r="V46" s="3">
        <v>13</v>
      </c>
      <c r="W46" s="22">
        <f t="shared" si="4"/>
        <v>2</v>
      </c>
      <c r="X46" s="3">
        <f t="shared" si="5"/>
        <v>7</v>
      </c>
      <c r="Z46" s="3" t="str">
        <f t="shared" si="14"/>
        <v>Semana 44</v>
      </c>
      <c r="AA46" s="14">
        <f t="shared" si="15"/>
        <v>302</v>
      </c>
      <c r="AB46" s="14">
        <f t="shared" si="6"/>
        <v>308</v>
      </c>
      <c r="AC46" s="8" t="str">
        <f t="shared" si="7"/>
        <v>Semana 44: de 28/out/1900 a 03/nov/1900</v>
      </c>
      <c r="AD46" s="4">
        <f t="shared" si="16"/>
        <v>275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0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45</v>
      </c>
      <c r="U47" s="3">
        <v>2</v>
      </c>
      <c r="V47" s="3">
        <v>14</v>
      </c>
      <c r="W47" s="22">
        <f t="shared" si="4"/>
        <v>3</v>
      </c>
      <c r="X47" s="3">
        <f t="shared" si="5"/>
        <v>7</v>
      </c>
      <c r="Z47" s="3" t="str">
        <f t="shared" si="14"/>
        <v>Semana 45</v>
      </c>
      <c r="AA47" s="14">
        <f t="shared" si="15"/>
        <v>309</v>
      </c>
      <c r="AB47" s="14">
        <f t="shared" si="6"/>
        <v>315</v>
      </c>
      <c r="AC47" s="8" t="str">
        <f t="shared" si="7"/>
        <v>Semana 45: de 04/nov/1900 a 10/nov/1900</v>
      </c>
      <c r="AD47" s="4">
        <f t="shared" si="16"/>
        <v>306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0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46</v>
      </c>
      <c r="U48" s="3">
        <v>2</v>
      </c>
      <c r="V48" s="3">
        <v>15</v>
      </c>
      <c r="W48" s="22">
        <f t="shared" si="4"/>
        <v>4</v>
      </c>
      <c r="X48" s="3">
        <f t="shared" si="5"/>
        <v>7</v>
      </c>
      <c r="Z48" s="3" t="str">
        <f t="shared" si="14"/>
        <v>Semana 46</v>
      </c>
      <c r="AA48" s="14">
        <f t="shared" si="15"/>
        <v>316</v>
      </c>
      <c r="AB48" s="14">
        <f t="shared" si="6"/>
        <v>322</v>
      </c>
      <c r="AC48" s="8" t="str">
        <f t="shared" si="7"/>
        <v>Semana 46: de 11/nov/1900 a 17/nov/1900</v>
      </c>
      <c r="AD48" s="4">
        <f t="shared" si="16"/>
        <v>306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0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47</v>
      </c>
      <c r="U49" s="3">
        <v>2</v>
      </c>
      <c r="V49" s="3">
        <v>16</v>
      </c>
      <c r="W49" s="22">
        <f t="shared" si="4"/>
        <v>5</v>
      </c>
      <c r="X49" s="3">
        <f t="shared" si="5"/>
        <v>7</v>
      </c>
      <c r="Z49" s="3" t="str">
        <f t="shared" si="14"/>
        <v>Semana 47</v>
      </c>
      <c r="AA49" s="14">
        <f t="shared" si="15"/>
        <v>323</v>
      </c>
      <c r="AB49" s="14">
        <f t="shared" si="6"/>
        <v>329</v>
      </c>
      <c r="AC49" s="8" t="str">
        <f t="shared" si="7"/>
        <v>Semana 47: de 18/nov/1900 a 24/nov/1900</v>
      </c>
      <c r="AD49" s="4">
        <f t="shared" si="16"/>
        <v>306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0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48</v>
      </c>
      <c r="U50" s="3">
        <v>2</v>
      </c>
      <c r="V50" s="3">
        <v>17</v>
      </c>
      <c r="W50" s="22">
        <f t="shared" si="4"/>
        <v>6</v>
      </c>
      <c r="X50" s="3">
        <f t="shared" si="5"/>
        <v>7</v>
      </c>
      <c r="Z50" s="3" t="str">
        <f t="shared" si="14"/>
        <v>Semana 48</v>
      </c>
      <c r="AA50" s="14">
        <f t="shared" si="15"/>
        <v>330</v>
      </c>
      <c r="AB50" s="14">
        <f t="shared" si="6"/>
        <v>336</v>
      </c>
      <c r="AC50" s="8" t="str">
        <f t="shared" si="7"/>
        <v>Semana 48: de 25/nov/1900 a 01/dez/1900</v>
      </c>
      <c r="AD50" s="4">
        <f t="shared" si="16"/>
        <v>306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0</v>
      </c>
    </row>
    <row r="51" spans="11:48" x14ac:dyDescent="0.35">
      <c r="K51" s="1"/>
      <c r="S51" s="3">
        <f t="shared" si="3"/>
        <v>7</v>
      </c>
      <c r="T51" s="7">
        <f>DATE('Gráfico Controle de Resultados'!$C$9,Auxiliar!U51,Auxiliar!V51)</f>
        <v>49</v>
      </c>
      <c r="U51" s="3">
        <v>2</v>
      </c>
      <c r="V51" s="3">
        <v>18</v>
      </c>
      <c r="W51" s="22">
        <f t="shared" si="4"/>
        <v>7</v>
      </c>
      <c r="X51" s="3">
        <f t="shared" si="5"/>
        <v>7</v>
      </c>
      <c r="Z51" s="3" t="str">
        <f t="shared" si="14"/>
        <v>Semana 49</v>
      </c>
      <c r="AA51" s="14">
        <f t="shared" si="15"/>
        <v>337</v>
      </c>
      <c r="AB51" s="14">
        <f t="shared" si="6"/>
        <v>343</v>
      </c>
      <c r="AC51" s="8" t="str">
        <f t="shared" si="7"/>
        <v>Semana 49: de 02/dez/1900 a 08/dez/1900</v>
      </c>
      <c r="AD51" s="4">
        <f t="shared" si="16"/>
        <v>336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0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50</v>
      </c>
      <c r="U52" s="3">
        <v>2</v>
      </c>
      <c r="V52" s="3">
        <v>19</v>
      </c>
      <c r="W52" s="22">
        <f t="shared" si="4"/>
        <v>1</v>
      </c>
      <c r="X52" s="3">
        <f t="shared" si="5"/>
        <v>8</v>
      </c>
      <c r="Z52" s="3" t="str">
        <f t="shared" si="14"/>
        <v>Semana 50</v>
      </c>
      <c r="AA52" s="14">
        <f t="shared" si="15"/>
        <v>344</v>
      </c>
      <c r="AB52" s="14">
        <f t="shared" si="6"/>
        <v>350</v>
      </c>
      <c r="AC52" s="8" t="str">
        <f t="shared" si="7"/>
        <v>Semana 50: de 09/dez/1900 a 15/dez/1900</v>
      </c>
      <c r="AD52" s="4">
        <f t="shared" si="16"/>
        <v>336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0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51</v>
      </c>
      <c r="U53" s="3">
        <v>2</v>
      </c>
      <c r="V53" s="3">
        <v>20</v>
      </c>
      <c r="W53" s="22">
        <f t="shared" si="4"/>
        <v>2</v>
      </c>
      <c r="X53" s="3">
        <f t="shared" si="5"/>
        <v>8</v>
      </c>
      <c r="Z53" s="3" t="str">
        <f t="shared" si="14"/>
        <v>Semana 51</v>
      </c>
      <c r="AA53" s="14">
        <f t="shared" si="15"/>
        <v>351</v>
      </c>
      <c r="AB53" s="14">
        <f t="shared" si="6"/>
        <v>357</v>
      </c>
      <c r="AC53" s="8" t="str">
        <f t="shared" si="7"/>
        <v>Semana 51: de 16/dez/1900 a 22/dez/1900</v>
      </c>
      <c r="AD53" s="4">
        <f t="shared" si="16"/>
        <v>336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0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52</v>
      </c>
      <c r="U54" s="3">
        <v>2</v>
      </c>
      <c r="V54" s="3">
        <v>21</v>
      </c>
      <c r="W54" s="22">
        <f t="shared" si="4"/>
        <v>3</v>
      </c>
      <c r="X54" s="3">
        <f t="shared" si="5"/>
        <v>8</v>
      </c>
      <c r="Z54" s="3" t="str">
        <f t="shared" si="14"/>
        <v>Semana 52</v>
      </c>
      <c r="AA54" s="14">
        <f t="shared" si="15"/>
        <v>358</v>
      </c>
      <c r="AB54" s="14">
        <f t="shared" si="6"/>
        <v>364</v>
      </c>
      <c r="AC54" s="8" t="str">
        <f t="shared" si="7"/>
        <v>Semana 52: de 23/dez/1900 a 29/dez/1900</v>
      </c>
      <c r="AD54" s="4">
        <f t="shared" si="16"/>
        <v>336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0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53</v>
      </c>
      <c r="U55" s="3">
        <v>2</v>
      </c>
      <c r="V55" s="3">
        <v>22</v>
      </c>
      <c r="W55" s="22">
        <f t="shared" si="4"/>
        <v>4</v>
      </c>
      <c r="X55" s="3">
        <f t="shared" si="5"/>
        <v>8</v>
      </c>
      <c r="Z55" s="3" t="str">
        <f t="shared" si="14"/>
        <v>Semana 53</v>
      </c>
      <c r="AA55" s="14">
        <f t="shared" si="15"/>
        <v>365</v>
      </c>
      <c r="AB55" s="14" t="str">
        <f>IF(DAY(AB54)&lt;&gt;31,"31/dez/"&amp;'Gráfico Controle de Resultados'!C9,"")</f>
        <v>31/dez/</v>
      </c>
      <c r="AC55" s="8" t="str">
        <f t="shared" si="7"/>
        <v>Semana 53: de 30/dez/1900 a 31/dez/</v>
      </c>
      <c r="AD55" s="4">
        <f t="shared" si="16"/>
        <v>336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0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54</v>
      </c>
      <c r="U56" s="3">
        <v>2</v>
      </c>
      <c r="V56" s="3">
        <v>23</v>
      </c>
      <c r="W56" s="22">
        <f t="shared" si="4"/>
        <v>5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55</v>
      </c>
      <c r="U57" s="3">
        <v>2</v>
      </c>
      <c r="V57" s="3">
        <v>24</v>
      </c>
      <c r="W57" s="22">
        <f t="shared" si="4"/>
        <v>6</v>
      </c>
      <c r="X57" s="3">
        <f t="shared" si="5"/>
        <v>8</v>
      </c>
    </row>
    <row r="58" spans="11:48" x14ac:dyDescent="0.35">
      <c r="S58" s="3">
        <f t="shared" si="3"/>
        <v>8</v>
      </c>
      <c r="T58" s="7">
        <f>DATE('Gráfico Controle de Resultados'!$C$9,Auxiliar!U58,Auxiliar!V58)</f>
        <v>56</v>
      </c>
      <c r="U58" s="3">
        <v>2</v>
      </c>
      <c r="V58" s="3">
        <v>25</v>
      </c>
      <c r="W58" s="22">
        <f t="shared" si="4"/>
        <v>7</v>
      </c>
      <c r="X58" s="3">
        <f t="shared" si="5"/>
        <v>8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57</v>
      </c>
      <c r="U59" s="3">
        <v>2</v>
      </c>
      <c r="V59" s="3">
        <v>26</v>
      </c>
      <c r="W59" s="22">
        <f t="shared" si="4"/>
        <v>1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58</v>
      </c>
      <c r="U60" s="3">
        <v>2</v>
      </c>
      <c r="V60" s="3">
        <v>27</v>
      </c>
      <c r="W60" s="22">
        <f t="shared" si="4"/>
        <v>2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59</v>
      </c>
      <c r="U61" s="3">
        <v>2</v>
      </c>
      <c r="V61" s="3">
        <v>28</v>
      </c>
      <c r="W61" s="22">
        <f t="shared" si="4"/>
        <v>3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61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62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63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64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65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66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67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68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69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70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71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72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73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74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75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76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77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78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79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80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81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82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83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84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85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86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87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88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89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90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91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92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93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94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95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96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97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98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99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100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101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102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103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104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105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106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107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108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109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110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111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112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113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114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115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116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117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118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119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120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121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122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123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124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125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126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127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128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129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130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131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132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133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134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135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136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137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138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139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140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141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142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143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144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145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146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147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148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149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150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151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152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153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154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155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156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157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158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159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160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161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162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163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164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165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166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167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168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169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170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171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172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173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174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175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176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177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178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179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180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181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182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183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184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185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186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187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188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189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190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191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192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193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194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195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196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197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198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199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200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201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202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203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204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205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206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207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208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209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210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211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212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213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214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215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216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217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218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219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220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221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222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223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224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225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226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227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228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229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230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231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232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233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234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235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236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237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238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239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240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241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242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243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244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245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246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247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248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249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250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251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252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253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254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255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256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257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258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259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260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261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262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263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264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265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266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267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268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269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270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271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272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273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274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275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276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277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278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279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280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281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282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283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284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285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286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287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288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289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290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291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292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293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294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295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296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297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298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299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300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301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302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303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304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305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306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307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308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309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310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311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312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313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314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315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316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317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318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319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320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321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322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323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324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325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326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327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328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329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330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331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332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333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334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335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336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337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338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339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340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341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342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343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344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345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346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347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348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349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350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351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352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353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354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355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356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357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358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359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360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361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362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363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364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365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366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Gráfico Controle de Resultados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2025-12-13T21:57:50Z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